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1"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P29" i="11"/>
  <c r="O29" i="11"/>
  <c r="N29" i="11"/>
  <c r="O28" i="11"/>
  <c r="N28" i="11"/>
  <c r="P27" i="11"/>
  <c r="O27" i="11"/>
  <c r="N27" i="11"/>
  <c r="O26" i="11"/>
  <c r="N26" i="11"/>
  <c r="P26" i="11" s="1"/>
  <c r="O25" i="11"/>
  <c r="N25" i="11"/>
  <c r="P25" i="11" s="1"/>
  <c r="O24" i="11"/>
  <c r="N24" i="11"/>
  <c r="P24" i="11" s="1"/>
  <c r="O23" i="11"/>
  <c r="N23" i="11"/>
  <c r="P23" i="11" s="1"/>
  <c r="O22" i="11"/>
  <c r="N22" i="11"/>
  <c r="O21" i="11"/>
  <c r="P21" i="11" s="1"/>
  <c r="N21" i="11"/>
  <c r="O20" i="11"/>
  <c r="N20" i="11"/>
  <c r="O19" i="11"/>
  <c r="N19" i="11"/>
  <c r="P19" i="11" s="1"/>
  <c r="O18" i="11"/>
  <c r="N18" i="11"/>
  <c r="P18" i="11" s="1"/>
  <c r="P17" i="11"/>
  <c r="O17" i="11"/>
  <c r="N17" i="11"/>
  <c r="O16" i="11"/>
  <c r="N16" i="11"/>
  <c r="P15" i="11"/>
  <c r="O15" i="11"/>
  <c r="N15" i="11"/>
  <c r="O14" i="11"/>
  <c r="N14" i="11"/>
  <c r="P14" i="11" s="1"/>
  <c r="O13" i="11"/>
  <c r="N13" i="11"/>
  <c r="P13" i="11" s="1"/>
  <c r="O12" i="11"/>
  <c r="N12" i="11"/>
  <c r="P12" i="11" s="1"/>
  <c r="O11" i="11"/>
  <c r="N11" i="11"/>
  <c r="P11" i="11" s="1"/>
  <c r="O10" i="11"/>
  <c r="N10" i="11"/>
  <c r="O9" i="11"/>
  <c r="P9" i="11" s="1"/>
  <c r="N9" i="11"/>
  <c r="O8" i="11"/>
  <c r="N8" i="11"/>
  <c r="O7" i="11"/>
  <c r="N7" i="11"/>
  <c r="P7" i="11" s="1"/>
  <c r="O6" i="11"/>
  <c r="N6" i="11"/>
  <c r="P6" i="11" s="1"/>
  <c r="P5" i="11"/>
  <c r="O5" i="11"/>
  <c r="N5" i="11"/>
  <c r="O4" i="11"/>
  <c r="N4" i="11"/>
  <c r="P3" i="11"/>
  <c r="O3" i="11"/>
  <c r="N3" i="11"/>
  <c r="P4" i="11" l="1"/>
  <c r="P16" i="11"/>
  <c r="P28"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C403" i="43"/>
  <c r="B403" i="43"/>
  <c r="D403" i="43"/>
  <c r="H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H434" i="43" l="1"/>
  <c r="H418" i="43"/>
  <c r="H415" i="43"/>
  <c r="H410" i="43"/>
  <c r="H424" i="43"/>
  <c r="H405" i="43"/>
  <c r="H421" i="43"/>
  <c r="H433" i="43"/>
  <c r="H426" i="43"/>
  <c r="H412" i="43"/>
  <c r="H417" i="43"/>
  <c r="H414" i="43"/>
  <c r="H430" i="43"/>
  <c r="H423" i="43"/>
  <c r="H407" i="43"/>
  <c r="H431" i="43"/>
  <c r="H429" i="43"/>
  <c r="H416" i="43"/>
  <c r="H404" i="43"/>
  <c r="H413" i="43"/>
  <c r="H427" i="43"/>
  <c r="H409" i="43"/>
  <c r="H422" i="43"/>
  <c r="H428" i="43"/>
  <c r="H408" i="43"/>
  <c r="H420" i="43"/>
  <c r="H432" i="43"/>
  <c r="H425" i="43"/>
  <c r="H411" i="43"/>
  <c r="H419" i="43"/>
  <c r="H406" i="43"/>
  <c r="B405" i="43"/>
  <c r="B424" i="43"/>
  <c r="B425" i="43"/>
  <c r="B413" i="43"/>
  <c r="B414" i="43"/>
  <c r="B408" i="43"/>
  <c r="B407" i="43"/>
  <c r="B427" i="43"/>
  <c r="B430" i="43"/>
  <c r="B419" i="43"/>
  <c r="B433" i="43"/>
  <c r="B422" i="43"/>
  <c r="B415" i="43"/>
  <c r="B417" i="43"/>
  <c r="B409" i="43"/>
  <c r="B406" i="43"/>
  <c r="B429" i="43"/>
  <c r="B418" i="43"/>
  <c r="B421" i="43"/>
  <c r="B411" i="43"/>
  <c r="B416" i="43"/>
  <c r="B432" i="43"/>
  <c r="B404" i="43"/>
  <c r="B428" i="43"/>
  <c r="B410" i="43"/>
  <c r="B420" i="43"/>
  <c r="B434" i="43"/>
  <c r="B423" i="43"/>
  <c r="B426" i="43"/>
  <c r="B412" i="43"/>
  <c r="B431" i="43"/>
  <c r="D406" i="43"/>
  <c r="D417" i="43"/>
  <c r="D419" i="43"/>
  <c r="D430" i="43"/>
  <c r="D411" i="43"/>
  <c r="D416" i="43"/>
  <c r="D423" i="43"/>
  <c r="D428" i="43"/>
  <c r="D404" i="43"/>
  <c r="D421" i="43"/>
  <c r="D434" i="43"/>
  <c r="D414" i="43"/>
  <c r="D418" i="43"/>
  <c r="D425" i="43"/>
  <c r="D429" i="43"/>
  <c r="D432" i="43"/>
  <c r="D412" i="43"/>
  <c r="D420" i="43"/>
  <c r="D422" i="43"/>
  <c r="D431" i="43"/>
  <c r="D409" i="43"/>
  <c r="D407" i="43"/>
  <c r="D427" i="43"/>
  <c r="D410" i="43"/>
  <c r="D405" i="43"/>
  <c r="D408" i="43"/>
  <c r="D413" i="43"/>
  <c r="D415" i="43"/>
  <c r="D424" i="43"/>
  <c r="D433" i="43"/>
  <c r="D426" i="43"/>
  <c r="C406" i="43"/>
  <c r="C409" i="43"/>
  <c r="C421" i="43"/>
  <c r="C434" i="43"/>
  <c r="C418" i="43"/>
  <c r="C425" i="43"/>
  <c r="C429" i="43"/>
  <c r="C432" i="43"/>
  <c r="C410" i="43"/>
  <c r="C422" i="43"/>
  <c r="C408" i="43"/>
  <c r="C424" i="43"/>
  <c r="C407" i="43"/>
  <c r="C414" i="43"/>
  <c r="C427" i="43"/>
  <c r="C412" i="43"/>
  <c r="C420" i="43"/>
  <c r="C431" i="43"/>
  <c r="C405" i="43"/>
  <c r="C415" i="43"/>
  <c r="C433" i="43"/>
  <c r="C417" i="43"/>
  <c r="C419" i="43"/>
  <c r="C426" i="43"/>
  <c r="C430" i="43"/>
  <c r="C423" i="43"/>
  <c r="C428" i="43"/>
  <c r="C404" i="43"/>
  <c r="C413" i="43"/>
  <c r="C416" i="43"/>
  <c r="C411" i="43"/>
  <c r="G410" i="43"/>
  <c r="G413" i="43"/>
  <c r="G431" i="43"/>
  <c r="G416" i="43"/>
  <c r="G434" i="43"/>
  <c r="G428" i="43"/>
  <c r="G429" i="43"/>
  <c r="G411" i="43"/>
  <c r="G427" i="43"/>
  <c r="G409" i="43"/>
  <c r="G426" i="43"/>
  <c r="G424" i="43"/>
  <c r="G405" i="43"/>
  <c r="G407" i="43"/>
  <c r="G420" i="43"/>
  <c r="G433" i="43"/>
  <c r="G414" i="43"/>
  <c r="G422" i="43"/>
  <c r="G408" i="43"/>
  <c r="G417" i="43"/>
  <c r="G430" i="43"/>
  <c r="G406" i="43"/>
  <c r="G419" i="43"/>
  <c r="G423" i="43"/>
  <c r="G421" i="43"/>
  <c r="G404" i="43"/>
  <c r="G415" i="43"/>
  <c r="G425" i="43"/>
  <c r="G432" i="43"/>
  <c r="G412" i="43"/>
  <c r="G418" i="43"/>
  <c r="E405" i="43"/>
  <c r="E408" i="43"/>
  <c r="E413" i="43"/>
  <c r="E415" i="43"/>
  <c r="E424" i="43"/>
  <c r="E406" i="43"/>
  <c r="E417" i="43"/>
  <c r="E419" i="43"/>
  <c r="E426" i="43"/>
  <c r="E430" i="43"/>
  <c r="E416" i="43"/>
  <c r="E423" i="43"/>
  <c r="E404" i="43"/>
  <c r="E434" i="43"/>
  <c r="E427" i="43"/>
  <c r="E411" i="43"/>
  <c r="E418" i="43"/>
  <c r="E425" i="43"/>
  <c r="E429" i="43"/>
  <c r="E410" i="43"/>
  <c r="E420" i="43"/>
  <c r="E422" i="43"/>
  <c r="E431" i="43"/>
  <c r="E433" i="43"/>
  <c r="E407" i="43"/>
  <c r="E428" i="43"/>
  <c r="E421" i="43"/>
  <c r="E409" i="43"/>
  <c r="E432" i="43"/>
  <c r="E412" i="43"/>
  <c r="E414" i="43"/>
  <c r="F415" i="43"/>
  <c r="F410" i="43"/>
  <c r="F420" i="43"/>
  <c r="F424" i="43"/>
  <c r="F430" i="43"/>
  <c r="F434" i="43"/>
  <c r="F419" i="43"/>
  <c r="F416" i="43"/>
  <c r="F423" i="43"/>
  <c r="F404" i="43"/>
  <c r="F427" i="43"/>
  <c r="F431" i="43"/>
  <c r="F421" i="43"/>
  <c r="F425" i="43"/>
  <c r="F426" i="43"/>
  <c r="F412" i="43"/>
  <c r="F409" i="43"/>
  <c r="F408" i="43"/>
  <c r="F413" i="43"/>
  <c r="F417" i="43"/>
  <c r="F414" i="43"/>
  <c r="F422" i="43"/>
  <c r="F411" i="43"/>
  <c r="F405" i="43"/>
  <c r="F428" i="43"/>
  <c r="F433" i="43"/>
  <c r="F429" i="43"/>
  <c r="F406" i="43"/>
  <c r="F407" i="43"/>
  <c r="F432" i="43"/>
  <c r="F418"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R286" i="43"/>
  <c r="M420" i="43"/>
  <c r="AF286" i="43"/>
  <c r="M434" i="43"/>
  <c r="Y247" i="43"/>
  <c r="L427" i="43"/>
  <c r="N247" i="43"/>
  <c r="L416" i="43"/>
  <c r="G208" i="43"/>
  <c r="K409" i="43"/>
  <c r="Z169" i="43"/>
  <c r="K428" i="43"/>
  <c r="H169" i="43"/>
  <c r="K410" i="43"/>
  <c r="AD169" i="43"/>
  <c r="K432" i="43"/>
  <c r="R169" i="43"/>
  <c r="K420" i="43"/>
  <c r="L169" i="43"/>
  <c r="K414" i="43"/>
  <c r="F169" i="43"/>
  <c r="K408" i="43"/>
  <c r="D169" i="43"/>
  <c r="K406" i="43"/>
  <c r="Y169" i="43"/>
  <c r="K427" i="43"/>
  <c r="N169" i="43"/>
  <c r="K416" i="43"/>
  <c r="K208" i="43"/>
  <c r="K413"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AD130" i="43"/>
  <c r="J432" i="43"/>
  <c r="O130" i="43"/>
  <c r="J417" i="43"/>
  <c r="F130" i="43"/>
  <c r="J408" i="43"/>
  <c r="R130" i="43"/>
  <c r="J420" i="43"/>
  <c r="N130" i="43"/>
  <c r="J416" i="43"/>
  <c r="Z130" i="43"/>
  <c r="J428" i="43"/>
  <c r="E130" i="43"/>
  <c r="J407" i="43"/>
  <c r="AB130" i="43"/>
  <c r="J430" i="43"/>
  <c r="AE130" i="43"/>
  <c r="J433" i="43"/>
  <c r="S130" i="43"/>
  <c r="J421" i="43"/>
  <c r="AF130" i="43"/>
  <c r="J434" i="43"/>
  <c r="I130" i="43"/>
  <c r="J411" i="43"/>
  <c r="X130" i="43"/>
  <c r="J426" i="43"/>
  <c r="M130" i="43"/>
  <c r="J415" i="43"/>
  <c r="P130" i="43"/>
  <c r="J418" i="43"/>
  <c r="W130" i="43"/>
  <c r="J425" i="43"/>
  <c r="C130" i="43"/>
  <c r="J405" i="43"/>
  <c r="V130" i="43"/>
  <c r="J424" i="43"/>
  <c r="K130" i="43"/>
  <c r="J413" i="43"/>
  <c r="Q130" i="43"/>
  <c r="J419" i="43"/>
  <c r="L130" i="43"/>
  <c r="J414" i="43"/>
  <c r="Y130" i="43"/>
  <c r="J427" i="43"/>
  <c r="G130" i="43"/>
  <c r="J409" i="43"/>
  <c r="T130" i="43"/>
  <c r="J422" i="43"/>
  <c r="J130" i="43"/>
  <c r="J412" i="43"/>
  <c r="AC130" i="43"/>
  <c r="J431" i="43"/>
  <c r="D130" i="43"/>
  <c r="J406"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<sst xmlns="http://schemas.openxmlformats.org/spreadsheetml/2006/main" count="311" uniqueCount="164">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</sst>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-3.5999508571428571E-4</c:v>
                </c:pt>
                <c:pt idx="1">
                  <c:v>-3.6278599999999998E-4</c:v>
                </c:pt>
                <c:pt idx="2">
                  <c:v>-3.7324014285714294E-4</c:v>
                </c:pt>
                <c:pt idx="3">
                  <c:v>-3.806628857142857E-4</c:v>
                </c:pt>
                <c:pt idx="4">
                  <c:v>-3.878932285714286E-4</c:v>
                </c:pt>
                <c:pt idx="5">
                  <c:v>-3.9618314285714287E-4</c:v>
                </c:pt>
                <c:pt idx="6">
                  <c:v>-4.0530537142857145E-4</c:v>
                </c:pt>
                <c:pt idx="7">
                  <c:v>-4.1631285714285719E-4</c:v>
                </c:pt>
                <c:pt idx="8">
                  <c:v>-4.2841082857142859E-4</c:v>
                </c:pt>
                <c:pt idx="9">
                  <c:v>-4.4282602857142865E-4</c:v>
                </c:pt>
                <c:pt idx="10">
                  <c:v>-4.5658385714285717E-4</c:v>
                </c:pt>
                <c:pt idx="11">
                  <c:v>-4.7222405714285716E-4</c:v>
                </c:pt>
                <c:pt idx="12">
                  <c:v>-4.9287082857142855E-4</c:v>
                </c:pt>
                <c:pt idx="13">
                  <c:v>-5.1801585714285716E-4</c:v>
                </c:pt>
                <c:pt idx="14">
                  <c:v>-5.4382945714285722E-4</c:v>
                </c:pt>
                <c:pt idx="15">
                  <c:v>-5.6631957142857148E-4</c:v>
                </c:pt>
                <c:pt idx="16">
                  <c:v>-5.9135617142857145E-4</c:v>
                </c:pt>
                <c:pt idx="17">
                  <c:v>-6.1750360000000003E-4</c:v>
                </c:pt>
                <c:pt idx="18">
                  <c:v>-6.4772062857142859E-4</c:v>
                </c:pt>
                <c:pt idx="19">
                  <c:v>-6.7977485714285719E-4</c:v>
                </c:pt>
                <c:pt idx="20">
                  <c:v>-7.3137274285714287E-4</c:v>
                </c:pt>
                <c:pt idx="21">
                  <c:v>-8.0382091428571442E-4</c:v>
                </c:pt>
                <c:pt idx="22">
                  <c:v>-9.0442820000000005E-4</c:v>
                </c:pt>
                <c:pt idx="23">
                  <c:v>-1.0340307714285716E-3</c:v>
                </c:pt>
                <c:pt idx="24">
                  <c:v>-1.2221332857142858E-3</c:v>
                </c:pt>
                <c:pt idx="25">
                  <c:v>-1.5110083142857143E-3</c:v>
                </c:pt>
                <c:pt idx="26">
                  <c:v>-2.0067045714285713E-3</c:v>
                </c:pt>
                <c:pt idx="27">
                  <c:v>-2.7355667999999999E-3</c:v>
                </c:pt>
                <c:pt idx="28">
                  <c:v>-3.7568405714285716E-3</c:v>
                </c:pt>
                <c:pt idx="29">
                  <c:v>-4.6848757142857146E-3</c:v>
                </c:pt>
                <c:pt idx="30">
                  <c:v>-5.4542020000000009E-3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-3.6499157142857151E-4</c:v>
                </c:pt>
                <c:pt idx="1">
                  <c:v>-3.7702474285714288E-4</c:v>
                </c:pt>
                <c:pt idx="2">
                  <c:v>-3.8432448571428576E-4</c:v>
                </c:pt>
                <c:pt idx="3">
                  <c:v>-3.9200328571428571E-4</c:v>
                </c:pt>
                <c:pt idx="4">
                  <c:v>-4.0057774285714288E-4</c:v>
                </c:pt>
                <c:pt idx="5">
                  <c:v>-4.1050514285714286E-4</c:v>
                </c:pt>
                <c:pt idx="6">
                  <c:v>-4.2189285714285712E-4</c:v>
                </c:pt>
                <c:pt idx="7">
                  <c:v>-4.350891142857143E-4</c:v>
                </c:pt>
                <c:pt idx="8">
                  <c:v>-4.4929674285714289E-4</c:v>
                </c:pt>
                <c:pt idx="9">
                  <c:v>-4.6354088571428579E-4</c:v>
                </c:pt>
                <c:pt idx="10">
                  <c:v>-4.8108748571428574E-4</c:v>
                </c:pt>
                <c:pt idx="11">
                  <c:v>-5.0375437142857141E-4</c:v>
                </c:pt>
                <c:pt idx="12">
                  <c:v>-5.2969905714285719E-4</c:v>
                </c:pt>
                <c:pt idx="13">
                  <c:v>-5.5408702857142863E-4</c:v>
                </c:pt>
                <c:pt idx="14">
                  <c:v>-5.774936857142857E-4</c:v>
                </c:pt>
                <c:pt idx="15">
                  <c:v>-6.0290725714285721E-4</c:v>
                </c:pt>
                <c:pt idx="16">
                  <c:v>-6.3093077142857145E-4</c:v>
                </c:pt>
                <c:pt idx="17">
                  <c:v>-6.6142368571428577E-4</c:v>
                </c:pt>
                <c:pt idx="18">
                  <c:v>-7.0192851428571438E-4</c:v>
                </c:pt>
                <c:pt idx="19">
                  <c:v>-7.6508594285714293E-4</c:v>
                </c:pt>
                <c:pt idx="20">
                  <c:v>-8.4982022857142865E-4</c:v>
                </c:pt>
                <c:pt idx="21">
                  <c:v>-9.6031400000000009E-4</c:v>
                </c:pt>
                <c:pt idx="22">
                  <c:v>-1.1084513428571429E-3</c:v>
                </c:pt>
                <c:pt idx="23">
                  <c:v>-1.3287063714285715E-3</c:v>
                </c:pt>
                <c:pt idx="24">
                  <c:v>-1.6862730571428571E-3</c:v>
                </c:pt>
                <c:pt idx="25">
                  <c:v>-2.2753457428571428E-3</c:v>
                </c:pt>
                <c:pt idx="26">
                  <c:v>-3.1217257142857145E-3</c:v>
                </c:pt>
                <c:pt idx="27">
                  <c:v>-4.1663445714285718E-3</c:v>
                </c:pt>
                <c:pt idx="28">
                  <c:v>-5.0214025714285723E-3</c:v>
                </c:pt>
                <c:pt idx="29">
                  <c:v>-5.6401380000000003E-3</c:v>
                </c:pt>
                <c:pt idx="30">
                  <c:v>-5.9958525714285723E-3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-3.7633954285714287E-4</c:v>
                </c:pt>
                <c:pt idx="1">
                  <c:v>-3.8540391428571434E-4</c:v>
                </c:pt>
                <c:pt idx="2">
                  <c:v>-3.9335028571428572E-4</c:v>
                </c:pt>
                <c:pt idx="3">
                  <c:v>-4.0201937142857143E-4</c:v>
                </c:pt>
                <c:pt idx="4">
                  <c:v>-4.1216908571428576E-4</c:v>
                </c:pt>
                <c:pt idx="5">
                  <c:v>-4.2365497142857146E-4</c:v>
                </c:pt>
                <c:pt idx="6">
                  <c:v>-4.3714400000000004E-4</c:v>
                </c:pt>
                <c:pt idx="7">
                  <c:v>-4.5126900000000002E-4</c:v>
                </c:pt>
                <c:pt idx="8">
                  <c:v>-4.6570742857142861E-4</c:v>
                </c:pt>
                <c:pt idx="9">
                  <c:v>-4.8378871428571426E-4</c:v>
                </c:pt>
                <c:pt idx="10">
                  <c:v>-5.0694940000000006E-4</c:v>
                </c:pt>
                <c:pt idx="11">
                  <c:v>-5.3302717142857147E-4</c:v>
                </c:pt>
                <c:pt idx="12">
                  <c:v>-5.5704579999999999E-4</c:v>
                </c:pt>
                <c:pt idx="13">
                  <c:v>-5.8081520000000011E-4</c:v>
                </c:pt>
                <c:pt idx="14">
                  <c:v>-6.0632237142857145E-4</c:v>
                </c:pt>
                <c:pt idx="15">
                  <c:v>-6.3484974285714293E-4</c:v>
                </c:pt>
                <c:pt idx="16">
                  <c:v>-6.6514245714285717E-4</c:v>
                </c:pt>
                <c:pt idx="17">
                  <c:v>-7.0607157142857152E-4</c:v>
                </c:pt>
                <c:pt idx="18">
                  <c:v>-7.6816097142857142E-4</c:v>
                </c:pt>
                <c:pt idx="19">
                  <c:v>-8.5432602857142862E-4</c:v>
                </c:pt>
                <c:pt idx="20">
                  <c:v>-9.6764748571428582E-4</c:v>
                </c:pt>
                <c:pt idx="21">
                  <c:v>-1.1218572857142858E-3</c:v>
                </c:pt>
                <c:pt idx="22">
                  <c:v>-1.3513724571428572E-3</c:v>
                </c:pt>
                <c:pt idx="23">
                  <c:v>-1.7279395999999999E-3</c:v>
                </c:pt>
                <c:pt idx="24">
                  <c:v>-2.3361168857142858E-3</c:v>
                </c:pt>
                <c:pt idx="25">
                  <c:v>-3.210096E-3</c:v>
                </c:pt>
                <c:pt idx="26">
                  <c:v>-4.2436945714285712E-3</c:v>
                </c:pt>
                <c:pt idx="27">
                  <c:v>-5.0913620000000003E-3</c:v>
                </c:pt>
                <c:pt idx="28">
                  <c:v>-5.6714805714285716E-3</c:v>
                </c:pt>
                <c:pt idx="29">
                  <c:v>-6.0295740000000002E-3</c:v>
                </c:pt>
                <c:pt idx="30">
                  <c:v>-6.2946374285714288E-3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-3.8382265714285714E-4</c:v>
                </c:pt>
                <c:pt idx="1">
                  <c:v>-3.9338445714285714E-4</c:v>
                </c:pt>
                <c:pt idx="2">
                  <c:v>-4.0219902857142859E-4</c:v>
                </c:pt>
                <c:pt idx="3">
                  <c:v>-4.1229211428571433E-4</c:v>
                </c:pt>
                <c:pt idx="4">
                  <c:v>-4.237640857142858E-4</c:v>
                </c:pt>
                <c:pt idx="5">
                  <c:v>-4.3715760000000002E-4</c:v>
                </c:pt>
                <c:pt idx="6">
                  <c:v>-4.5135482857142859E-4</c:v>
                </c:pt>
                <c:pt idx="7">
                  <c:v>-4.6574105714285716E-4</c:v>
                </c:pt>
                <c:pt idx="8">
                  <c:v>-4.8362802857142864E-4</c:v>
                </c:pt>
                <c:pt idx="9">
                  <c:v>-5.0662740000000008E-4</c:v>
                </c:pt>
                <c:pt idx="10">
                  <c:v>-5.3271571428571435E-4</c:v>
                </c:pt>
                <c:pt idx="11">
                  <c:v>-5.569610571428572E-4</c:v>
                </c:pt>
                <c:pt idx="12">
                  <c:v>-5.8063117142857139E-4</c:v>
                </c:pt>
                <c:pt idx="13">
                  <c:v>-6.0616185714285715E-4</c:v>
                </c:pt>
                <c:pt idx="14">
                  <c:v>-6.3452037142857146E-4</c:v>
                </c:pt>
                <c:pt idx="15">
                  <c:v>-6.6471354285714285E-4</c:v>
                </c:pt>
                <c:pt idx="16">
                  <c:v>-7.0354954285714285E-4</c:v>
                </c:pt>
                <c:pt idx="17">
                  <c:v>-7.6183774285714279E-4</c:v>
                </c:pt>
                <c:pt idx="18">
                  <c:v>-8.4521674285714286E-4</c:v>
                </c:pt>
                <c:pt idx="19">
                  <c:v>-9.5746677142857144E-4</c:v>
                </c:pt>
                <c:pt idx="20">
                  <c:v>-1.1098411428571431E-3</c:v>
                </c:pt>
                <c:pt idx="21">
                  <c:v>-1.3359454857142859E-3</c:v>
                </c:pt>
                <c:pt idx="22">
                  <c:v>-1.7043230571428571E-3</c:v>
                </c:pt>
                <c:pt idx="23">
                  <c:v>-2.3040462857142857E-3</c:v>
                </c:pt>
                <c:pt idx="24">
                  <c:v>-3.1656362857142859E-3</c:v>
                </c:pt>
                <c:pt idx="25">
                  <c:v>-4.2048082857142864E-3</c:v>
                </c:pt>
                <c:pt idx="26">
                  <c:v>-5.0564605714285716E-3</c:v>
                </c:pt>
                <c:pt idx="27">
                  <c:v>-5.6548028571428571E-3</c:v>
                </c:pt>
                <c:pt idx="28">
                  <c:v>-6.0127154285714293E-3</c:v>
                </c:pt>
                <c:pt idx="29">
                  <c:v>-6.2865677142857146E-3</c:v>
                </c:pt>
                <c:pt idx="30">
                  <c:v>-6.4140320000000009E-3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-3.9366482857142865E-4</c:v>
                </c:pt>
                <c:pt idx="1">
                  <c:v>-4.0491805714285717E-4</c:v>
                </c:pt>
                <c:pt idx="2">
                  <c:v>-4.1571082857142861E-4</c:v>
                </c:pt>
                <c:pt idx="3">
                  <c:v>-4.2745811428571433E-4</c:v>
                </c:pt>
                <c:pt idx="4">
                  <c:v>-4.4150500000000002E-4</c:v>
                </c:pt>
                <c:pt idx="5">
                  <c:v>-4.554939428571429E-4</c:v>
                </c:pt>
                <c:pt idx="6">
                  <c:v>-4.7038757142857146E-4</c:v>
                </c:pt>
                <c:pt idx="7">
                  <c:v>-4.8958205714285719E-4</c:v>
                </c:pt>
                <c:pt idx="8">
                  <c:v>-5.1373637142857148E-4</c:v>
                </c:pt>
                <c:pt idx="9">
                  <c:v>-5.4002100000000001E-4</c:v>
                </c:pt>
                <c:pt idx="10">
                  <c:v>-5.6337371428571439E-4</c:v>
                </c:pt>
                <c:pt idx="11">
                  <c:v>-5.8787177142857142E-4</c:v>
                </c:pt>
                <c:pt idx="12">
                  <c:v>-6.1364405714285717E-4</c:v>
                </c:pt>
                <c:pt idx="13">
                  <c:v>-6.4314922857142858E-4</c:v>
                </c:pt>
                <c:pt idx="14">
                  <c:v>-6.7329702857142854E-4</c:v>
                </c:pt>
                <c:pt idx="15">
                  <c:v>-7.1481365714285718E-4</c:v>
                </c:pt>
                <c:pt idx="16">
                  <c:v>-7.7185057142857148E-4</c:v>
                </c:pt>
                <c:pt idx="17">
                  <c:v>-8.5811151428571433E-4</c:v>
                </c:pt>
                <c:pt idx="18">
                  <c:v>-9.7714334285714283E-4</c:v>
                </c:pt>
                <c:pt idx="19">
                  <c:v>-1.1450628000000001E-3</c:v>
                </c:pt>
                <c:pt idx="20">
                  <c:v>-1.3958689142857146E-3</c:v>
                </c:pt>
                <c:pt idx="21">
                  <c:v>-1.8148498000000002E-3</c:v>
                </c:pt>
                <c:pt idx="22">
                  <c:v>-2.464179485714286E-3</c:v>
                </c:pt>
                <c:pt idx="23">
                  <c:v>-3.3960300000000004E-3</c:v>
                </c:pt>
                <c:pt idx="24">
                  <c:v>-4.3980477142857143E-3</c:v>
                </c:pt>
                <c:pt idx="25">
                  <c:v>-5.2293177142857146E-3</c:v>
                </c:pt>
                <c:pt idx="26">
                  <c:v>-5.7320725714285724E-3</c:v>
                </c:pt>
                <c:pt idx="27">
                  <c:v>-6.0948040000000005E-3</c:v>
                </c:pt>
                <c:pt idx="28">
                  <c:v>-6.3178514285714285E-3</c:v>
                </c:pt>
                <c:pt idx="29">
                  <c:v>-6.4428497142857144E-3</c:v>
                </c:pt>
                <c:pt idx="30">
                  <c:v>-6.7568782857142864E-3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-4.2099691428571434E-4</c:v>
                </c:pt>
                <c:pt idx="1">
                  <c:v>-4.3679314285714293E-4</c:v>
                </c:pt>
                <c:pt idx="2">
                  <c:v>-4.5152640000000003E-4</c:v>
                </c:pt>
                <c:pt idx="3">
                  <c:v>-4.6579128571428574E-4</c:v>
                </c:pt>
                <c:pt idx="4">
                  <c:v>-4.8305622857142865E-4</c:v>
                </c:pt>
                <c:pt idx="5">
                  <c:v>-5.0552008571428568E-4</c:v>
                </c:pt>
                <c:pt idx="6">
                  <c:v>-5.3161102857142862E-4</c:v>
                </c:pt>
                <c:pt idx="7">
                  <c:v>-5.5661174285714281E-4</c:v>
                </c:pt>
                <c:pt idx="8">
                  <c:v>-5.7996000000000002E-4</c:v>
                </c:pt>
                <c:pt idx="9">
                  <c:v>-6.0558114285714289E-4</c:v>
                </c:pt>
                <c:pt idx="10">
                  <c:v>-6.3340537142857146E-4</c:v>
                </c:pt>
                <c:pt idx="11">
                  <c:v>-6.6375940000000001E-4</c:v>
                </c:pt>
                <c:pt idx="12">
                  <c:v>-6.9877779999999998E-4</c:v>
                </c:pt>
                <c:pt idx="13">
                  <c:v>-7.4557468571428585E-4</c:v>
                </c:pt>
                <c:pt idx="14">
                  <c:v>-8.0384180000000007E-4</c:v>
                </c:pt>
                <c:pt idx="15">
                  <c:v>-8.9073805714285725E-4</c:v>
                </c:pt>
                <c:pt idx="16">
                  <c:v>-1.0281325428571429E-3</c:v>
                </c:pt>
                <c:pt idx="17">
                  <c:v>-1.2448388857142858E-3</c:v>
                </c:pt>
                <c:pt idx="18">
                  <c:v>-1.5896212285714288E-3</c:v>
                </c:pt>
                <c:pt idx="19">
                  <c:v>-2.1613843714285716E-3</c:v>
                </c:pt>
                <c:pt idx="20">
                  <c:v>-2.981823142857143E-3</c:v>
                </c:pt>
                <c:pt idx="21">
                  <c:v>-4.0335100000000006E-3</c:v>
                </c:pt>
                <c:pt idx="22">
                  <c:v>-4.9064134285714284E-3</c:v>
                </c:pt>
                <c:pt idx="23">
                  <c:v>-5.5716142857142863E-3</c:v>
                </c:pt>
                <c:pt idx="24">
                  <c:v>-5.9386188571428581E-3</c:v>
                </c:pt>
                <c:pt idx="25">
                  <c:v>-6.2464694285714285E-3</c:v>
                </c:pt>
                <c:pt idx="26">
                  <c:v>-6.358090857142857E-3</c:v>
                </c:pt>
                <c:pt idx="27">
                  <c:v>-6.6076685714285726E-3</c:v>
                </c:pt>
                <c:pt idx="28">
                  <c:v>-6.8895494285714292E-3</c:v>
                </c:pt>
                <c:pt idx="29">
                  <c:v>-6.9306028571428577E-3</c:v>
                </c:pt>
                <c:pt idx="30">
                  <c:v>-6.9356111428571432E-3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-4.5570065714285718E-4</c:v>
                </c:pt>
                <c:pt idx="1">
                  <c:v>-4.7502377142857145E-4</c:v>
                </c:pt>
                <c:pt idx="2">
                  <c:v>-4.9555025714285712E-4</c:v>
                </c:pt>
                <c:pt idx="3">
                  <c:v>-5.2058842857142867E-4</c:v>
                </c:pt>
                <c:pt idx="4">
                  <c:v>-5.4701862857142855E-4</c:v>
                </c:pt>
                <c:pt idx="5">
                  <c:v>-5.7006357142857145E-4</c:v>
                </c:pt>
                <c:pt idx="6">
                  <c:v>-5.9517077142857142E-4</c:v>
                </c:pt>
                <c:pt idx="7">
                  <c:v>-6.2135062857142864E-4</c:v>
                </c:pt>
                <c:pt idx="8">
                  <c:v>-6.5162028571428578E-4</c:v>
                </c:pt>
                <c:pt idx="9">
                  <c:v>-6.8221957142857142E-4</c:v>
                </c:pt>
                <c:pt idx="10">
                  <c:v>-7.24981542857143E-4</c:v>
                </c:pt>
                <c:pt idx="11">
                  <c:v>-7.7555411428571427E-4</c:v>
                </c:pt>
                <c:pt idx="12">
                  <c:v>-8.4309208571428575E-4</c:v>
                </c:pt>
                <c:pt idx="13">
                  <c:v>-9.3429554285714294E-4</c:v>
                </c:pt>
                <c:pt idx="14">
                  <c:v>-1.0801062E-3</c:v>
                </c:pt>
                <c:pt idx="15">
                  <c:v>-1.3319143428571429E-3</c:v>
                </c:pt>
                <c:pt idx="16">
                  <c:v>-1.7799718571428571E-3</c:v>
                </c:pt>
                <c:pt idx="17">
                  <c:v>-2.461023085714286E-3</c:v>
                </c:pt>
                <c:pt idx="18">
                  <c:v>-3.4348485714285715E-3</c:v>
                </c:pt>
                <c:pt idx="19">
                  <c:v>-4.4121640000000005E-3</c:v>
                </c:pt>
                <c:pt idx="20">
                  <c:v>-5.2413105714285719E-3</c:v>
                </c:pt>
                <c:pt idx="21">
                  <c:v>-5.7147317142857146E-3</c:v>
                </c:pt>
                <c:pt idx="22">
                  <c:v>-6.0956394285714291E-3</c:v>
                </c:pt>
                <c:pt idx="23">
                  <c:v>-6.2988837142857138E-3</c:v>
                </c:pt>
                <c:pt idx="24">
                  <c:v>-6.4397999999999999E-3</c:v>
                </c:pt>
                <c:pt idx="25">
                  <c:v>-6.7772074285714287E-3</c:v>
                </c:pt>
                <c:pt idx="26">
                  <c:v>-6.9143051428571436E-3</c:v>
                </c:pt>
                <c:pt idx="27">
                  <c:v>-6.9280194285714298E-3</c:v>
                </c:pt>
                <c:pt idx="28">
                  <c:v>-6.9320440000000001E-3</c:v>
                </c:pt>
                <c:pt idx="29">
                  <c:v>-6.9347925714285724E-3</c:v>
                </c:pt>
                <c:pt idx="30">
                  <c:v>-6.9376311428571442E-3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4985160"/>
        <c:axId val="5449937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9851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93784"/>
        <c:crossesAt val="-8.0000000000000019E-3"/>
        <c:crossBetween val="midCat"/>
      </c:valAx>
      <c:valAx>
        <c:axId val="544993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851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27778.156971666598</c:v>
                </c:pt>
                <c:pt idx="1">
                  <c:v>27564.45948851389</c:v>
                </c:pt>
                <c:pt idx="2">
                  <c:v>26792.4021340531</c:v>
                </c:pt>
                <c:pt idx="3">
                  <c:v>26269.963201786119</c:v>
                </c:pt>
                <c:pt idx="4">
                  <c:v>25780.290202097585</c:v>
                </c:pt>
                <c:pt idx="5">
                  <c:v>25240.85181384367</c:v>
                </c:pt>
                <c:pt idx="6">
                  <c:v>24672.754680633043</c:v>
                </c:pt>
                <c:pt idx="7">
                  <c:v>24020.396748324576</c:v>
                </c:pt>
                <c:pt idx="8">
                  <c:v>23342.080388924409</c:v>
                </c:pt>
                <c:pt idx="9">
                  <c:v>22582.231745185189</c:v>
                </c:pt>
                <c:pt idx="10">
                  <c:v>21901.781772523715</c:v>
                </c:pt>
                <c:pt idx="11">
                  <c:v>21176.388302840744</c:v>
                </c:pt>
                <c:pt idx="12">
                  <c:v>20289.291677060097</c:v>
                </c:pt>
                <c:pt idx="13">
                  <c:v>19304.428353130945</c:v>
                </c:pt>
                <c:pt idx="14">
                  <c:v>18388.117577406487</c:v>
                </c:pt>
                <c:pt idx="15">
                  <c:v>17657.874642711824</c:v>
                </c:pt>
                <c:pt idx="16">
                  <c:v>16910.282640396654</c:v>
                </c:pt>
                <c:pt idx="17">
                  <c:v>16194.23757205626</c:v>
                </c:pt>
                <c:pt idx="18">
                  <c:v>15438.754856480893</c:v>
                </c:pt>
                <c:pt idx="19">
                  <c:v>14710.752971992406</c:v>
                </c:pt>
                <c:pt idx="20">
                  <c:v>13672.918628242171</c:v>
                </c:pt>
                <c:pt idx="21">
                  <c:v>12440.582003127063</c:v>
                </c:pt>
                <c:pt idx="22">
                  <c:v>11056.709642622818</c:v>
                </c:pt>
                <c:pt idx="23">
                  <c:v>9670.892082045526</c:v>
                </c:pt>
                <c:pt idx="24">
                  <c:v>8182.4135852378968</c:v>
                </c:pt>
                <c:pt idx="25">
                  <c:v>6618.0972701842556</c:v>
                </c:pt>
                <c:pt idx="26">
                  <c:v>4983.2945727935466</c:v>
                </c:pt>
                <c:pt idx="27">
                  <c:v>3655.5495555802186</c:v>
                </c:pt>
                <c:pt idx="28">
                  <c:v>2661.8111175788895</c:v>
                </c:pt>
                <c:pt idx="29">
                  <c:v>2134.5283439444802</c:v>
                </c:pt>
                <c:pt idx="30">
                  <c:v>1833.4487794914817</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27397.892945473101</c:v>
                </c:pt>
                <c:pt idx="1">
                  <c:v>26523.458180008798</c:v>
                </c:pt>
                <c:pt idx="2">
                  <c:v>26019.67965016466</c:v>
                </c:pt>
                <c:pt idx="3">
                  <c:v>25509.990258828006</c:v>
                </c:pt>
                <c:pt idx="4">
                  <c:v>24963.943150396844</c:v>
                </c:pt>
                <c:pt idx="5">
                  <c:v>24360.23074010557</c:v>
                </c:pt>
                <c:pt idx="6">
                  <c:v>23702.700414797258</c:v>
                </c:pt>
                <c:pt idx="7">
                  <c:v>22983.797276603891</c:v>
                </c:pt>
                <c:pt idx="8">
                  <c:v>22257.005328835807</c:v>
                </c:pt>
                <c:pt idx="9">
                  <c:v>21573.070053120908</c:v>
                </c:pt>
                <c:pt idx="10">
                  <c:v>20786.240126684414</c:v>
                </c:pt>
                <c:pt idx="11">
                  <c:v>19850.944363304498</c:v>
                </c:pt>
                <c:pt idx="12">
                  <c:v>18878.644137935571</c:v>
                </c:pt>
                <c:pt idx="13">
                  <c:v>18047.706378874158</c:v>
                </c:pt>
                <c:pt idx="14">
                  <c:v>17316.206648443753</c:v>
                </c:pt>
                <c:pt idx="15">
                  <c:v>16586.298939889071</c:v>
                </c:pt>
                <c:pt idx="16">
                  <c:v>15849.59943760187</c:v>
                </c:pt>
                <c:pt idx="17">
                  <c:v>15118.902174180206</c:v>
                </c:pt>
                <c:pt idx="18">
                  <c:v>14246.464983939348</c:v>
                </c:pt>
                <c:pt idx="19">
                  <c:v>13070.427045955023</c:v>
                </c:pt>
                <c:pt idx="20">
                  <c:v>11767.194594567696</c:v>
                </c:pt>
                <c:pt idx="21">
                  <c:v>10413.260662658255</c:v>
                </c:pt>
                <c:pt idx="22">
                  <c:v>9021.5958187429424</c:v>
                </c:pt>
                <c:pt idx="23">
                  <c:v>7526.1172935058657</c:v>
                </c:pt>
                <c:pt idx="24">
                  <c:v>5930.2376668127145</c:v>
                </c:pt>
                <c:pt idx="25">
                  <c:v>4394.9364756509658</c:v>
                </c:pt>
                <c:pt idx="26">
                  <c:v>3203.3563852960447</c:v>
                </c:pt>
                <c:pt idx="27">
                  <c:v>2400.1855412000077</c:v>
                </c:pt>
                <c:pt idx="28">
                  <c:v>1991.4754608402236</c:v>
                </c:pt>
                <c:pt idx="29">
                  <c:v>1773.0062633219256</c:v>
                </c:pt>
                <c:pt idx="30">
                  <c:v>1667.8195270597521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26571.749341248375</c:v>
                </c:pt>
                <c:pt idx="1">
                  <c:v>25946.804454577039</c:v>
                </c:pt>
                <c:pt idx="2">
                  <c:v>25422.633116538804</c:v>
                </c:pt>
                <c:pt idx="3">
                  <c:v>24874.423250962038</c:v>
                </c:pt>
                <c:pt idx="4">
                  <c:v>24261.887527712272</c:v>
                </c:pt>
                <c:pt idx="5">
                  <c:v>23604.113428150831</c:v>
                </c:pt>
                <c:pt idx="6">
                  <c:v>22875.757187562907</c:v>
                </c:pt>
                <c:pt idx="7">
                  <c:v>22159.731778606551</c:v>
                </c:pt>
                <c:pt idx="8">
                  <c:v>21472.708800620374</c:v>
                </c:pt>
                <c:pt idx="9">
                  <c:v>20670.180400475889</c:v>
                </c:pt>
                <c:pt idx="10">
                  <c:v>19725.834570471921</c:v>
                </c:pt>
                <c:pt idx="11">
                  <c:v>18760.769686841479</c:v>
                </c:pt>
                <c:pt idx="12">
                  <c:v>17951.845252221632</c:v>
                </c:pt>
                <c:pt idx="13">
                  <c:v>17217.180266632138</c:v>
                </c:pt>
                <c:pt idx="14">
                  <c:v>16492.876514582083</c:v>
                </c:pt>
                <c:pt idx="15">
                  <c:v>15751.758762624639</c:v>
                </c:pt>
                <c:pt idx="16">
                  <c:v>15034.373302458171</c:v>
                </c:pt>
                <c:pt idx="17">
                  <c:v>14162.870174431931</c:v>
                </c:pt>
                <c:pt idx="18">
                  <c:v>13018.104761821871</c:v>
                </c:pt>
                <c:pt idx="19">
                  <c:v>11705.13324605317</c:v>
                </c:pt>
                <c:pt idx="20">
                  <c:v>10334.341945422744</c:v>
                </c:pt>
                <c:pt idx="21">
                  <c:v>8913.7897728524422</c:v>
                </c:pt>
                <c:pt idx="22">
                  <c:v>7399.8844264907739</c:v>
                </c:pt>
                <c:pt idx="23">
                  <c:v>5787.2393224855778</c:v>
                </c:pt>
                <c:pt idx="24">
                  <c:v>4280.6077303543925</c:v>
                </c:pt>
                <c:pt idx="25">
                  <c:v>3115.1716334963194</c:v>
                </c:pt>
                <c:pt idx="26">
                  <c:v>2356.4372580738441</c:v>
                </c:pt>
                <c:pt idx="27">
                  <c:v>1964.1109785554434</c:v>
                </c:pt>
                <c:pt idx="28">
                  <c:v>1763.2080149189565</c:v>
                </c:pt>
                <c:pt idx="29">
                  <c:v>1658.491959796828</c:v>
                </c:pt>
                <c:pt idx="30">
                  <c:v>1588.6538523426129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26053.699055806504</c:v>
                </c:pt>
                <c:pt idx="1">
                  <c:v>25420.424773845374</c:v>
                </c:pt>
                <c:pt idx="2">
                  <c:v>24863.312165419735</c:v>
                </c:pt>
                <c:pt idx="3">
                  <c:v>24254.64774489987</c:v>
                </c:pt>
                <c:pt idx="4">
                  <c:v>23598.035645574491</c:v>
                </c:pt>
                <c:pt idx="5">
                  <c:v>22875.045521340588</c:v>
                </c:pt>
                <c:pt idx="6">
                  <c:v>22155.517936189448</c:v>
                </c:pt>
                <c:pt idx="7">
                  <c:v>21471.158375742449</c:v>
                </c:pt>
                <c:pt idx="8">
                  <c:v>20677.048080812518</c:v>
                </c:pt>
                <c:pt idx="9">
                  <c:v>19738.371829079908</c:v>
                </c:pt>
                <c:pt idx="10">
                  <c:v>18771.738343420904</c:v>
                </c:pt>
                <c:pt idx="11">
                  <c:v>17954.576665195927</c:v>
                </c:pt>
                <c:pt idx="12">
                  <c:v>17222.637178428147</c:v>
                </c:pt>
                <c:pt idx="13">
                  <c:v>16497.243899731639</c:v>
                </c:pt>
                <c:pt idx="14">
                  <c:v>15759.935299611905</c:v>
                </c:pt>
                <c:pt idx="15">
                  <c:v>15044.074409883286</c:v>
                </c:pt>
                <c:pt idx="16">
                  <c:v>14213.640107546087</c:v>
                </c:pt>
                <c:pt idx="17">
                  <c:v>13126.154609374827</c:v>
                </c:pt>
                <c:pt idx="18">
                  <c:v>11831.284797076225</c:v>
                </c:pt>
                <c:pt idx="19">
                  <c:v>10444.226680660338</c:v>
                </c:pt>
                <c:pt idx="20">
                  <c:v>9010.2985137641299</c:v>
                </c:pt>
                <c:pt idx="21">
                  <c:v>7485.3353725382967</c:v>
                </c:pt>
                <c:pt idx="22">
                  <c:v>5867.432208987475</c:v>
                </c:pt>
                <c:pt idx="23">
                  <c:v>4340.1905864490318</c:v>
                </c:pt>
                <c:pt idx="24">
                  <c:v>3158.9225980026404</c:v>
                </c:pt>
                <c:pt idx="25">
                  <c:v>2378.2297123925264</c:v>
                </c:pt>
                <c:pt idx="26">
                  <c:v>1977.667947517439</c:v>
                </c:pt>
                <c:pt idx="27">
                  <c:v>1768.4082456329159</c:v>
                </c:pt>
                <c:pt idx="28">
                  <c:v>1663.1420726285587</c:v>
                </c:pt>
                <c:pt idx="29">
                  <c:v>1590.6931181661835</c:v>
                </c:pt>
                <c:pt idx="30">
                  <c:v>1559.0817133434941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25402.320131795943</c:v>
                </c:pt>
                <c:pt idx="1">
                  <c:v>24696.354789808618</c:v>
                </c:pt>
                <c:pt idx="2">
                  <c:v>24055.182864407325</c:v>
                </c:pt>
                <c:pt idx="3">
                  <c:v>23394.104979642449</c:v>
                </c:pt>
                <c:pt idx="4">
                  <c:v>22649.800115513979</c:v>
                </c:pt>
                <c:pt idx="5">
                  <c:v>21954.188758853183</c:v>
                </c:pt>
                <c:pt idx="6">
                  <c:v>21259.065093131409</c:v>
                </c:pt>
                <c:pt idx="7">
                  <c:v>20425.585157999485</c:v>
                </c:pt>
                <c:pt idx="8">
                  <c:v>19465.236561298003</c:v>
                </c:pt>
                <c:pt idx="9">
                  <c:v>18517.798381914778</c:v>
                </c:pt>
                <c:pt idx="10">
                  <c:v>17750.206916697767</c:v>
                </c:pt>
                <c:pt idx="11">
                  <c:v>17010.512302196905</c:v>
                </c:pt>
                <c:pt idx="12">
                  <c:v>16296.091982965276</c:v>
                </c:pt>
                <c:pt idx="13">
                  <c:v>15548.491012283619</c:v>
                </c:pt>
                <c:pt idx="14">
                  <c:v>14852.2859535227</c:v>
                </c:pt>
                <c:pt idx="15">
                  <c:v>13989.659962528494</c:v>
                </c:pt>
                <c:pt idx="16">
                  <c:v>12955.875619152041</c:v>
                </c:pt>
                <c:pt idx="17">
                  <c:v>11653.497049650856</c:v>
                </c:pt>
                <c:pt idx="18">
                  <c:v>10233.913041622172</c:v>
                </c:pt>
                <c:pt idx="19">
                  <c:v>8733.14546590807</c:v>
                </c:pt>
                <c:pt idx="20">
                  <c:v>7163.9964882498571</c:v>
                </c:pt>
                <c:pt idx="21">
                  <c:v>5510.0978604400207</c:v>
                </c:pt>
                <c:pt idx="22">
                  <c:v>4058.1459499900525</c:v>
                </c:pt>
                <c:pt idx="23">
                  <c:v>2944.6147413303179</c:v>
                </c:pt>
                <c:pt idx="24">
                  <c:v>2273.7361324021235</c:v>
                </c:pt>
                <c:pt idx="25">
                  <c:v>1912.2953598098456</c:v>
                </c:pt>
                <c:pt idx="26">
                  <c:v>1744.5696779634031</c:v>
                </c:pt>
                <c:pt idx="27">
                  <c:v>1640.7418515837423</c:v>
                </c:pt>
                <c:pt idx="28">
                  <c:v>1582.8165814056135</c:v>
                </c:pt>
                <c:pt idx="29">
                  <c:v>1552.1082197256635</c:v>
                </c:pt>
                <c:pt idx="30">
                  <c:v>1479.9733807759237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23753.143219509173</c:v>
                </c:pt>
                <c:pt idx="1">
                  <c:v>22894.132299303492</c:v>
                </c:pt>
                <c:pt idx="2">
                  <c:v>22147.099261527121</c:v>
                </c:pt>
                <c:pt idx="3">
                  <c:v>21468.84303484792</c:v>
                </c:pt>
                <c:pt idx="4">
                  <c:v>20701.523774103076</c:v>
                </c:pt>
                <c:pt idx="5">
                  <c:v>19781.607660297574</c:v>
                </c:pt>
                <c:pt idx="6">
                  <c:v>18810.745944967493</c:v>
                </c:pt>
                <c:pt idx="7">
                  <c:v>17965.844465783306</c:v>
                </c:pt>
                <c:pt idx="8">
                  <c:v>17242.568452996758</c:v>
                </c:pt>
                <c:pt idx="9">
                  <c:v>16513.063720610284</c:v>
                </c:pt>
                <c:pt idx="10">
                  <c:v>15787.67792487483</c:v>
                </c:pt>
                <c:pt idx="11">
                  <c:v>15065.700011178749</c:v>
                </c:pt>
                <c:pt idx="12">
                  <c:v>14310.70076925741</c:v>
                </c:pt>
                <c:pt idx="13">
                  <c:v>13412.472541794603</c:v>
                </c:pt>
                <c:pt idx="14">
                  <c:v>12440.258767334566</c:v>
                </c:pt>
                <c:pt idx="15">
                  <c:v>11226.645049922003</c:v>
                </c:pt>
                <c:pt idx="16">
                  <c:v>9726.3724112947184</c:v>
                </c:pt>
                <c:pt idx="17">
                  <c:v>8033.1680788249332</c:v>
                </c:pt>
                <c:pt idx="18">
                  <c:v>6290.8067785348248</c:v>
                </c:pt>
                <c:pt idx="19">
                  <c:v>4626.6643417017394</c:v>
                </c:pt>
                <c:pt idx="20">
                  <c:v>3353.6529569014392</c:v>
                </c:pt>
                <c:pt idx="21">
                  <c:v>2479.2302485924165</c:v>
                </c:pt>
                <c:pt idx="22">
                  <c:v>2038.148669202473</c:v>
                </c:pt>
                <c:pt idx="23">
                  <c:v>1794.8119678062012</c:v>
                </c:pt>
                <c:pt idx="24">
                  <c:v>1683.8932149976572</c:v>
                </c:pt>
                <c:pt idx="25">
                  <c:v>1600.9043371380121</c:v>
                </c:pt>
                <c:pt idx="26">
                  <c:v>1572.7991663984669</c:v>
                </c:pt>
                <c:pt idx="27">
                  <c:v>1513.3930965060508</c:v>
                </c:pt>
                <c:pt idx="28">
                  <c:v>1451.473728968301</c:v>
                </c:pt>
                <c:pt idx="29">
                  <c:v>1442.8759238013101</c:v>
                </c:pt>
                <c:pt idx="30">
                  <c:v>1441.8340062647276</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21944.22993088884</c:v>
                </c:pt>
                <c:pt idx="1">
                  <c:v>21051.578050349599</c:v>
                </c:pt>
                <c:pt idx="2">
                  <c:v>20179.587954723233</c:v>
                </c:pt>
                <c:pt idx="3">
                  <c:v>19209.032416339858</c:v>
                </c:pt>
                <c:pt idx="4">
                  <c:v>18280.913076243109</c:v>
                </c:pt>
                <c:pt idx="5">
                  <c:v>17541.903221319928</c:v>
                </c:pt>
                <c:pt idx="6">
                  <c:v>16801.90036213856</c:v>
                </c:pt>
                <c:pt idx="7">
                  <c:v>16093.972614128335</c:v>
                </c:pt>
                <c:pt idx="8">
                  <c:v>15346.360785926596</c:v>
                </c:pt>
                <c:pt idx="9">
                  <c:v>14658.037410243078</c:v>
                </c:pt>
                <c:pt idx="10">
                  <c:v>13793.454603809812</c:v>
                </c:pt>
                <c:pt idx="11">
                  <c:v>12894.006769869315</c:v>
                </c:pt>
                <c:pt idx="12">
                  <c:v>11861.100548142122</c:v>
                </c:pt>
                <c:pt idx="13">
                  <c:v>10703.251317478494</c:v>
                </c:pt>
                <c:pt idx="14">
                  <c:v>9258.3488549551894</c:v>
                </c:pt>
                <c:pt idx="15">
                  <c:v>7507.9903250749585</c:v>
                </c:pt>
                <c:pt idx="16">
                  <c:v>5618.0663530555021</c:v>
                </c:pt>
                <c:pt idx="17">
                  <c:v>4063.3507495512199</c:v>
                </c:pt>
                <c:pt idx="18">
                  <c:v>2911.3364947674963</c:v>
                </c:pt>
                <c:pt idx="19">
                  <c:v>2266.4615367878437</c:v>
                </c:pt>
                <c:pt idx="20">
                  <c:v>1907.9197585642019</c:v>
                </c:pt>
                <c:pt idx="21">
                  <c:v>1749.8634231598223</c:v>
                </c:pt>
                <c:pt idx="22">
                  <c:v>1640.5169822099524</c:v>
                </c:pt>
                <c:pt idx="23">
                  <c:v>1587.5828882695905</c:v>
                </c:pt>
                <c:pt idx="24">
                  <c:v>1552.8432560017393</c:v>
                </c:pt>
                <c:pt idx="25">
                  <c:v>1475.5340020790695</c:v>
                </c:pt>
                <c:pt idx="26">
                  <c:v>1446.2769278168969</c:v>
                </c:pt>
                <c:pt idx="27">
                  <c:v>1443.4139660116425</c:v>
                </c:pt>
                <c:pt idx="28">
                  <c:v>1442.5759559518087</c:v>
                </c:pt>
                <c:pt idx="29">
                  <c:v>1442.004197962621</c:v>
                </c:pt>
                <c:pt idx="30">
                  <c:v>1441.4141937044049</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44994960"/>
        <c:axId val="5449855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99496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85552"/>
        <c:crosses val="autoZero"/>
        <c:crossBetween val="midCat"/>
      </c:valAx>
      <c:valAx>
        <c:axId val="54498555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9496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32878.229128228493</c:v>
                </c:pt>
                <c:pt idx="1">
                  <c:v>32917.621395250077</c:v>
                </c:pt>
                <c:pt idx="2">
                  <c:v>33027.932534087544</c:v>
                </c:pt>
                <c:pt idx="3">
                  <c:v>33126.431322112228</c:v>
                </c:pt>
                <c:pt idx="4">
                  <c:v>33232.994377679985</c:v>
                </c:pt>
                <c:pt idx="5">
                  <c:v>33369.04393074676</c:v>
                </c:pt>
                <c:pt idx="6">
                  <c:v>33536.478154290198</c:v>
                </c:pt>
                <c:pt idx="7">
                  <c:v>33763.382357764502</c:v>
                </c:pt>
                <c:pt idx="8">
                  <c:v>34045.918294192881</c:v>
                </c:pt>
                <c:pt idx="9">
                  <c:v>34429.394077487086</c:v>
                </c:pt>
                <c:pt idx="10">
                  <c:v>34848.57319188078</c:v>
                </c:pt>
                <c:pt idx="11">
                  <c:v>35387.277658954059</c:v>
                </c:pt>
                <c:pt idx="12">
                  <c:v>36211.574088156383</c:v>
                </c:pt>
                <c:pt idx="13">
                  <c:v>37421.710840644082</c:v>
                </c:pt>
                <c:pt idx="14">
                  <c:v>38951.098987451682</c:v>
                </c:pt>
                <c:pt idx="15">
                  <c:v>40568.71496485774</c:v>
                </c:pt>
                <c:pt idx="16">
                  <c:v>42732.071838619653</c:v>
                </c:pt>
                <c:pt idx="17">
                  <c:v>45521.775796670132</c:v>
                </c:pt>
                <c:pt idx="18">
                  <c:v>49555.852135531619</c:v>
                </c:pt>
                <c:pt idx="19">
                  <c:v>54063.455668120841</c:v>
                </c:pt>
                <c:pt idx="20">
                  <c:v>55616.680936317942</c:v>
                </c:pt>
                <c:pt idx="21">
                  <c:v>47250.76168227828</c:v>
                </c:pt>
                <c:pt idx="22">
                  <c:v>38372.055671055496</c:v>
                </c:pt>
                <c:pt idx="23">
                  <c:v>32616.615817362534</c:v>
                </c:pt>
                <c:pt idx="24">
                  <c:v>29588.562583402756</c:v>
                </c:pt>
                <c:pt idx="25">
                  <c:v>28444.801602791398</c:v>
                </c:pt>
                <c:pt idx="26">
                  <c:v>30608.703926029837</c:v>
                </c:pt>
                <c:pt idx="27">
                  <c:v>42229.006211524982</c:v>
                </c:pt>
                <c:pt idx="28">
                  <c:v>266342.79382938251</c:v>
                </c:pt>
                <c:pt idx="29">
                  <c:v>-63610.38746722733</c:v>
                </c:pt>
                <c:pt idx="30">
                  <c:v>-31064.324097111163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32845.136364466423</c:v>
                </c:pt>
                <c:pt idx="1">
                  <c:v>32978.697382158534</c:v>
                </c:pt>
                <c:pt idx="2">
                  <c:v>33070.809686995737</c:v>
                </c:pt>
                <c:pt idx="3">
                  <c:v>33179.420636882976</c:v>
                </c:pt>
                <c:pt idx="4">
                  <c:v>33315.643678415632</c:v>
                </c:pt>
                <c:pt idx="5">
                  <c:v>33492.716559024913</c:v>
                </c:pt>
                <c:pt idx="6">
                  <c:v>33723.038695529671</c:v>
                </c:pt>
                <c:pt idx="7">
                  <c:v>34026.110781900396</c:v>
                </c:pt>
                <c:pt idx="8">
                  <c:v>34401.191531464567</c:v>
                </c:pt>
                <c:pt idx="9">
                  <c:v>34828.548806220606</c:v>
                </c:pt>
                <c:pt idx="10">
                  <c:v>35428.816220000408</c:v>
                </c:pt>
                <c:pt idx="11">
                  <c:v>36343.440361027038</c:v>
                </c:pt>
                <c:pt idx="12">
                  <c:v>37619.06245170653</c:v>
                </c:pt>
                <c:pt idx="13">
                  <c:v>39089.155663069367</c:v>
                </c:pt>
                <c:pt idx="14">
                  <c:v>40779.668105699609</c:v>
                </c:pt>
                <c:pt idx="15">
                  <c:v>43006.671612679616</c:v>
                </c:pt>
                <c:pt idx="16">
                  <c:v>46027.517511892336</c:v>
                </c:pt>
                <c:pt idx="17">
                  <c:v>49809.634691869775</c:v>
                </c:pt>
                <c:pt idx="18">
                  <c:v>52072.08204417731</c:v>
                </c:pt>
                <c:pt idx="19">
                  <c:v>47000.747983332156</c:v>
                </c:pt>
                <c:pt idx="20">
                  <c:v>38796.5530925286</c:v>
                </c:pt>
                <c:pt idx="21">
                  <c:v>32906.823295623995</c:v>
                </c:pt>
                <c:pt idx="22">
                  <c:v>29413.630864815354</c:v>
                </c:pt>
                <c:pt idx="23">
                  <c:v>27574.064528195548</c:v>
                </c:pt>
                <c:pt idx="24">
                  <c:v>27347.875683433191</c:v>
                </c:pt>
                <c:pt idx="25">
                  <c:v>31039.620656814455</c:v>
                </c:pt>
                <c:pt idx="26">
                  <c:v>51039.931309002168</c:v>
                </c:pt>
                <c:pt idx="27">
                  <c:v>-469113.5630113699</c:v>
                </c:pt>
                <c:pt idx="28">
                  <c:v>-49053.038106922882</c:v>
                </c:pt>
                <c:pt idx="29">
                  <c:v>-30167.862606934468</c:v>
                </c:pt>
                <c:pt idx="30">
                  <c:v>-25394.116691045081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32914.930027937065</c:v>
                </c:pt>
                <c:pt idx="1">
                  <c:v>33025.817678199324</c:v>
                </c:pt>
                <c:pt idx="2">
                  <c:v>33131.419105957953</c:v>
                </c:pt>
                <c:pt idx="3">
                  <c:v>33262.142844177419</c:v>
                </c:pt>
                <c:pt idx="4">
                  <c:v>33435.111723998991</c:v>
                </c:pt>
                <c:pt idx="5">
                  <c:v>33658.398452236819</c:v>
                </c:pt>
                <c:pt idx="6">
                  <c:v>33957.432127339969</c:v>
                </c:pt>
                <c:pt idx="7">
                  <c:v>34318.754197061076</c:v>
                </c:pt>
                <c:pt idx="8">
                  <c:v>34738.607265315688</c:v>
                </c:pt>
                <c:pt idx="9">
                  <c:v>35340.11895928318</c:v>
                </c:pt>
                <c:pt idx="10">
                  <c:v>36253.02790468061</c:v>
                </c:pt>
                <c:pt idx="11">
                  <c:v>37508.414208976021</c:v>
                </c:pt>
                <c:pt idx="12">
                  <c:v>38923.741206765451</c:v>
                </c:pt>
                <c:pt idx="13">
                  <c:v>40597.279235301292</c:v>
                </c:pt>
                <c:pt idx="14">
                  <c:v>42778.705220106953</c:v>
                </c:pt>
                <c:pt idx="15">
                  <c:v>45789.281754821095</c:v>
                </c:pt>
                <c:pt idx="16">
                  <c:v>49598.914832427879</c:v>
                </c:pt>
                <c:pt idx="17">
                  <c:v>52967.151739842295</c:v>
                </c:pt>
                <c:pt idx="18">
                  <c:v>49016.600942407204</c:v>
                </c:pt>
                <c:pt idx="19">
                  <c:v>40472.370380006629</c:v>
                </c:pt>
                <c:pt idx="20">
                  <c:v>33956.107753013719</c:v>
                </c:pt>
                <c:pt idx="21">
                  <c:v>30122.242082820478</c:v>
                </c:pt>
                <c:pt idx="22">
                  <c:v>28176.964864290905</c:v>
                </c:pt>
                <c:pt idx="23">
                  <c:v>28221.950968956324</c:v>
                </c:pt>
                <c:pt idx="24">
                  <c:v>32946.866588253128</c:v>
                </c:pt>
                <c:pt idx="25">
                  <c:v>60583.96712817868</c:v>
                </c:pt>
                <c:pt idx="26">
                  <c:v>-192085.0003567205</c:v>
                </c:pt>
                <c:pt idx="27">
                  <c:v>-43136.991005074786</c:v>
                </c:pt>
                <c:pt idx="28">
                  <c:v>-29067.25664892737</c:v>
                </c:pt>
                <c:pt idx="29">
                  <c:v>-24590.860771464442</c:v>
                </c:pt>
                <c:pt idx="30">
                  <c:v>-21808.361824400279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32940.622758096513</c:v>
                </c:pt>
                <c:pt idx="1">
                  <c:v>33063.028902188402</c:v>
                </c:pt>
                <c:pt idx="2">
                  <c:v>33186.791838901372</c:v>
                </c:pt>
                <c:pt idx="3">
                  <c:v>33348.219978731839</c:v>
                </c:pt>
                <c:pt idx="4">
                  <c:v>33558.485844186886</c:v>
                </c:pt>
                <c:pt idx="5">
                  <c:v>33839.457530678323</c:v>
                </c:pt>
                <c:pt idx="6">
                  <c:v>34184.055314255194</c:v>
                </c:pt>
                <c:pt idx="7">
                  <c:v>34582.004544510135</c:v>
                </c:pt>
                <c:pt idx="8">
                  <c:v>35148.296991701412</c:v>
                </c:pt>
                <c:pt idx="9">
                  <c:v>36010.404414126533</c:v>
                </c:pt>
                <c:pt idx="10">
                  <c:v>37203.892360508056</c:v>
                </c:pt>
                <c:pt idx="11">
                  <c:v>38561.662334649511</c:v>
                </c:pt>
                <c:pt idx="12">
                  <c:v>40144.606838172716</c:v>
                </c:pt>
                <c:pt idx="13">
                  <c:v>42213.057405633284</c:v>
                </c:pt>
                <c:pt idx="14">
                  <c:v>45047.052160805426</c:v>
                </c:pt>
                <c:pt idx="15">
                  <c:v>48772.670582415376</c:v>
                </c:pt>
                <c:pt idx="16">
                  <c:v>53173.436252798107</c:v>
                </c:pt>
                <c:pt idx="17">
                  <c:v>52041.72318769533</c:v>
                </c:pt>
                <c:pt idx="18">
                  <c:v>43516.198345340119</c:v>
                </c:pt>
                <c:pt idx="19">
                  <c:v>35940.774942666772</c:v>
                </c:pt>
                <c:pt idx="20">
                  <c:v>31361.636224374335</c:v>
                </c:pt>
                <c:pt idx="21">
                  <c:v>29062.27497495657</c:v>
                </c:pt>
                <c:pt idx="22">
                  <c:v>29036.575549063033</c:v>
                </c:pt>
                <c:pt idx="23">
                  <c:v>34066.30392866247</c:v>
                </c:pt>
                <c:pt idx="24">
                  <c:v>63544.420636467767</c:v>
                </c:pt>
                <c:pt idx="25">
                  <c:v>-164849.55358741846</c:v>
                </c:pt>
                <c:pt idx="26">
                  <c:v>-42104.857938209301</c:v>
                </c:pt>
                <c:pt idx="27">
                  <c:v>-28492.115824520955</c:v>
                </c:pt>
                <c:pt idx="28">
                  <c:v>-24494.572002844325</c:v>
                </c:pt>
                <c:pt idx="29">
                  <c:v>-21714.596986386121</c:v>
                </c:pt>
                <c:pt idx="30">
                  <c:v>-20553.584368940563</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32980.582446509005</c:v>
                </c:pt>
                <c:pt idx="1">
                  <c:v>33133.758293663705</c:v>
                </c:pt>
                <c:pt idx="2">
                  <c:v>33298.683674492604</c:v>
                </c:pt>
                <c:pt idx="3">
                  <c:v>33506.339006837261</c:v>
                </c:pt>
                <c:pt idx="4">
                  <c:v>33792.339508352357</c:v>
                </c:pt>
                <c:pt idx="5">
                  <c:v>34123.407204660194</c:v>
                </c:pt>
                <c:pt idx="6">
                  <c:v>34524.750922170912</c:v>
                </c:pt>
                <c:pt idx="7">
                  <c:v>35121.061596903281</c:v>
                </c:pt>
                <c:pt idx="8">
                  <c:v>36018.391196364231</c:v>
                </c:pt>
                <c:pt idx="9">
                  <c:v>37216.102016523655</c:v>
                </c:pt>
                <c:pt idx="10">
                  <c:v>38513.469855000949</c:v>
                </c:pt>
                <c:pt idx="11">
                  <c:v>40131.860911409232</c:v>
                </c:pt>
                <c:pt idx="12">
                  <c:v>42202.398991753347</c:v>
                </c:pt>
                <c:pt idx="13">
                  <c:v>45141.120687391449</c:v>
                </c:pt>
                <c:pt idx="14">
                  <c:v>48935.430677929115</c:v>
                </c:pt>
                <c:pt idx="15">
                  <c:v>54828.632326397623</c:v>
                </c:pt>
                <c:pt idx="16">
                  <c:v>56926.730743394786</c:v>
                </c:pt>
                <c:pt idx="17">
                  <c:v>48788.518361001385</c:v>
                </c:pt>
                <c:pt idx="18">
                  <c:v>39424.36373864171</c:v>
                </c:pt>
                <c:pt idx="19">
                  <c:v>33786.14490047373</c:v>
                </c:pt>
                <c:pt idx="20">
                  <c:v>31209.015874510449</c:v>
                </c:pt>
                <c:pt idx="21">
                  <c:v>32327.943526223095</c:v>
                </c:pt>
                <c:pt idx="22">
                  <c:v>41843.0050450708</c:v>
                </c:pt>
                <c:pt idx="23">
                  <c:v>141567.54915832213</c:v>
                </c:pt>
                <c:pt idx="24">
                  <c:v>-71523.040227827194</c:v>
                </c:pt>
                <c:pt idx="25">
                  <c:v>-32457.590448640276</c:v>
                </c:pt>
                <c:pt idx="26">
                  <c:v>-26179.224466654621</c:v>
                </c:pt>
                <c:pt idx="27">
                  <c:v>-22743.458981196909</c:v>
                </c:pt>
                <c:pt idx="28">
                  <c:v>-20171.073758124621</c:v>
                </c:pt>
                <c:pt idx="29">
                  <c:v>-20359.75098279411</c:v>
                </c:pt>
                <c:pt idx="30">
                  <c:v>-17392.012991336898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33227.321090717371</c:v>
                </c:pt>
                <c:pt idx="1">
                  <c:v>33498.180752086977</c:v>
                </c:pt>
                <c:pt idx="2">
                  <c:v>33793.796011339487</c:v>
                </c:pt>
                <c:pt idx="3">
                  <c:v>34125.219783478031</c:v>
                </c:pt>
                <c:pt idx="4">
                  <c:v>34587.007609971733</c:v>
                </c:pt>
                <c:pt idx="5">
                  <c:v>35299.121223334449</c:v>
                </c:pt>
                <c:pt idx="6">
                  <c:v>36308.978619094836</c:v>
                </c:pt>
                <c:pt idx="7">
                  <c:v>37495.949366155641</c:v>
                </c:pt>
                <c:pt idx="8">
                  <c:v>38820.179758727929</c:v>
                </c:pt>
                <c:pt idx="9">
                  <c:v>40566.356405900551</c:v>
                </c:pt>
                <c:pt idx="10">
                  <c:v>42888.725764683921</c:v>
                </c:pt>
                <c:pt idx="11">
                  <c:v>46092.228442039224</c:v>
                </c:pt>
                <c:pt idx="12">
                  <c:v>50930.507650562598</c:v>
                </c:pt>
                <c:pt idx="13">
                  <c:v>60352.173902547278</c:v>
                </c:pt>
                <c:pt idx="14">
                  <c:v>78389.055633608659</c:v>
                </c:pt>
                <c:pt idx="15">
                  <c:v>99064.323314250432</c:v>
                </c:pt>
                <c:pt idx="16">
                  <c:v>85015.362275963344</c:v>
                </c:pt>
                <c:pt idx="17">
                  <c:v>65511.382789934971</c:v>
                </c:pt>
                <c:pt idx="18">
                  <c:v>63327.291909685009</c:v>
                </c:pt>
                <c:pt idx="19">
                  <c:v>113713.19388197045</c:v>
                </c:pt>
                <c:pt idx="20">
                  <c:v>-146920.54536906688</c:v>
                </c:pt>
                <c:pt idx="21">
                  <c:v>-33019.011214577105</c:v>
                </c:pt>
                <c:pt idx="22">
                  <c:v>-22836.395106695516</c:v>
                </c:pt>
                <c:pt idx="23">
                  <c:v>-19672.912535355055</c:v>
                </c:pt>
                <c:pt idx="24">
                  <c:v>-20109.949713634411</c:v>
                </c:pt>
                <c:pt idx="25">
                  <c:v>-19267.218149499204</c:v>
                </c:pt>
                <c:pt idx="26">
                  <c:v>-13467.640338584128</c:v>
                </c:pt>
                <c:pt idx="27">
                  <c:v>-17869.104216700292</c:v>
                </c:pt>
                <c:pt idx="28">
                  <c:v>-15903.286209624497</c:v>
                </c:pt>
                <c:pt idx="29">
                  <c:v>-14418.672097974508</c:v>
                </c:pt>
                <c:pt idx="30">
                  <c:v>-14753.048717517431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33712.602032634866</c:v>
                </c:pt>
                <c:pt idx="1">
                  <c:v>34147.721364506273</c:v>
                </c:pt>
                <c:pt idx="2">
                  <c:v>34696.879043487541</c:v>
                </c:pt>
                <c:pt idx="3">
                  <c:v>35511.075397115274</c:v>
                </c:pt>
                <c:pt idx="4">
                  <c:v>36572.854369380897</c:v>
                </c:pt>
                <c:pt idx="5">
                  <c:v>37698.306014771195</c:v>
                </c:pt>
                <c:pt idx="6">
                  <c:v>39152.486922342272</c:v>
                </c:pt>
                <c:pt idx="7">
                  <c:v>40993.203959250131</c:v>
                </c:pt>
                <c:pt idx="8">
                  <c:v>43625.906110069838</c:v>
                </c:pt>
                <c:pt idx="9">
                  <c:v>47031.385656153085</c:v>
                </c:pt>
                <c:pt idx="10">
                  <c:v>53502.634011104579</c:v>
                </c:pt>
                <c:pt idx="11">
                  <c:v>65721.627222423907</c:v>
                </c:pt>
                <c:pt idx="12">
                  <c:v>100706.41232255145</c:v>
                </c:pt>
                <c:pt idx="13">
                  <c:v>501369.45485383167</c:v>
                </c:pt>
                <c:pt idx="14">
                  <c:v>-118375.41579364783</c:v>
                </c:pt>
                <c:pt idx="15">
                  <c:v>-62217.37756242256</c:v>
                </c:pt>
                <c:pt idx="16">
                  <c:v>-38486.588578477997</c:v>
                </c:pt>
                <c:pt idx="17">
                  <c:v>-23364.529653326481</c:v>
                </c:pt>
                <c:pt idx="18">
                  <c:v>-14203.42024852575</c:v>
                </c:pt>
                <c:pt idx="19">
                  <c:v>-11570.811747984026</c:v>
                </c:pt>
                <c:pt idx="20">
                  <c:v>-11188.999333902882</c:v>
                </c:pt>
                <c:pt idx="21">
                  <c:v>-13243.083610397513</c:v>
                </c:pt>
                <c:pt idx="22">
                  <c:v>-14434.120611511818</c:v>
                </c:pt>
                <c:pt idx="23">
                  <c:v>-14688.114671370091</c:v>
                </c:pt>
                <c:pt idx="24">
                  <c:v>-16576.443453015301</c:v>
                </c:pt>
                <c:pt idx="25">
                  <c:v>-14395.721098121998</c:v>
                </c:pt>
                <c:pt idx="26">
                  <c:v>-15556.924564917272</c:v>
                </c:pt>
                <c:pt idx="27">
                  <c:v>-15548.838457342066</c:v>
                </c:pt>
                <c:pt idx="28">
                  <c:v>-15639.676160397003</c:v>
                </c:pt>
                <c:pt idx="29">
                  <c:v>-15554.269735924026</c:v>
                </c:pt>
                <c:pt idx="30">
                  <c:v>-15488.953057408791</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4988688"/>
        <c:axId val="5449988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49886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98880"/>
        <c:crosses val="autoZero"/>
        <c:crossBetween val="midCat"/>
        <c:majorUnit val="10000"/>
      </c:valAx>
      <c:valAx>
        <c:axId val="5449988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8868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0.35918667302442542</c:v>
                </c:pt>
                <c:pt idx="1">
                  <c:v>0.36043716445192803</c:v>
                </c:pt>
                <c:pt idx="2">
                  <c:v>0.36479927706444065</c:v>
                </c:pt>
                <c:pt idx="3">
                  <c:v>0.36782979555738898</c:v>
                </c:pt>
                <c:pt idx="4">
                  <c:v>0.37070936236282398</c:v>
                </c:pt>
                <c:pt idx="5">
                  <c:v>0.37393080112300153</c:v>
                </c:pt>
                <c:pt idx="6">
                  <c:v>0.37738349384252629</c:v>
                </c:pt>
                <c:pt idx="7">
                  <c:v>0.38142777238272035</c:v>
                </c:pt>
                <c:pt idx="8">
                  <c:v>0.38573236010641054</c:v>
                </c:pt>
                <c:pt idx="9">
                  <c:v>0.39068337123814695</c:v>
                </c:pt>
                <c:pt idx="10">
                  <c:v>0.39525261358655128</c:v>
                </c:pt>
                <c:pt idx="11">
                  <c:v>0.40026364603437042</c:v>
                </c:pt>
                <c:pt idx="12">
                  <c:v>0.40661691191299681</c:v>
                </c:pt>
                <c:pt idx="13">
                  <c:v>0.41402304562656794</c:v>
                </c:pt>
                <c:pt idx="14">
                  <c:v>0.4213196458490584</c:v>
                </c:pt>
                <c:pt idx="15">
                  <c:v>0.42745693055183126</c:v>
                </c:pt>
                <c:pt idx="16">
                  <c:v>0.43404531260010282</c:v>
                </c:pt>
                <c:pt idx="17">
                  <c:v>0.44070882455468396</c:v>
                </c:pt>
                <c:pt idx="18">
                  <c:v>0.44807624733449902</c:v>
                </c:pt>
                <c:pt idx="19">
                  <c:v>0.45464973276866461</c:v>
                </c:pt>
                <c:pt idx="20">
                  <c:v>0.45902632568126489</c:v>
                </c:pt>
                <c:pt idx="21">
                  <c:v>0.45611858391200993</c:v>
                </c:pt>
                <c:pt idx="22">
                  <c:v>0.45197586086514591</c:v>
                </c:pt>
                <c:pt idx="23">
                  <c:v>0.45058299867671792</c:v>
                </c:pt>
                <c:pt idx="24">
                  <c:v>0.45391004231126064</c:v>
                </c:pt>
                <c:pt idx="25">
                  <c:v>0.46122257321038468</c:v>
                </c:pt>
                <c:pt idx="26">
                  <c:v>0.47286559086354235</c:v>
                </c:pt>
                <c:pt idx="27">
                  <c:v>0.48557251723586398</c:v>
                </c:pt>
                <c:pt idx="28">
                  <c:v>0.49833434507506391</c:v>
                </c:pt>
                <c:pt idx="29">
                  <c:v>0.50559271430588337</c:v>
                </c:pt>
                <c:pt idx="30">
                  <c:v>0.50983684034542798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0.36097437866471271</c:v>
                </c:pt>
                <c:pt idx="1">
                  <c:v>0.3659566109567951</c:v>
                </c:pt>
                <c:pt idx="2">
                  <c:v>0.36886885092708488</c:v>
                </c:pt>
                <c:pt idx="3">
                  <c:v>0.37185836999179678</c:v>
                </c:pt>
                <c:pt idx="4">
                  <c:v>0.37511400854522908</c:v>
                </c:pt>
                <c:pt idx="5">
                  <c:v>0.37877846666963633</c:v>
                </c:pt>
                <c:pt idx="6">
                  <c:v>0.38285604672818085</c:v>
                </c:pt>
                <c:pt idx="7">
                  <c:v>0.38742078388013651</c:v>
                </c:pt>
                <c:pt idx="8">
                  <c:v>0.39216940684317697</c:v>
                </c:pt>
                <c:pt idx="9">
                  <c:v>0.39676538934984368</c:v>
                </c:pt>
                <c:pt idx="10">
                  <c:v>0.40221594385387111</c:v>
                </c:pt>
                <c:pt idx="11">
                  <c:v>0.40896594559151084</c:v>
                </c:pt>
                <c:pt idx="12">
                  <c:v>0.41636047034146129</c:v>
                </c:pt>
                <c:pt idx="13">
                  <c:v>0.42304896301488693</c:v>
                </c:pt>
                <c:pt idx="14">
                  <c:v>0.42922859416298381</c:v>
                </c:pt>
                <c:pt idx="15">
                  <c:v>0.43572199258886246</c:v>
                </c:pt>
                <c:pt idx="16">
                  <c:v>0.44260824721679903</c:v>
                </c:pt>
                <c:pt idx="17">
                  <c:v>0.44941105180517749</c:v>
                </c:pt>
                <c:pt idx="18">
                  <c:v>0.45440146163846229</c:v>
                </c:pt>
                <c:pt idx="19">
                  <c:v>0.45365170553388434</c:v>
                </c:pt>
                <c:pt idx="20">
                  <c:v>0.44944914063841662</c:v>
                </c:pt>
                <c:pt idx="21">
                  <c:v>0.44725885789142183</c:v>
                </c:pt>
                <c:pt idx="22">
                  <c:v>0.4488808671722867</c:v>
                </c:pt>
                <c:pt idx="23">
                  <c:v>0.45450968496253596</c:v>
                </c:pt>
                <c:pt idx="24">
                  <c:v>0.46385924245415805</c:v>
                </c:pt>
                <c:pt idx="25">
                  <c:v>0.47640147021424106</c:v>
                </c:pt>
                <c:pt idx="26">
                  <c:v>0.48953970514477341</c:v>
                </c:pt>
                <c:pt idx="27">
                  <c:v>0.50085273791907747</c:v>
                </c:pt>
                <c:pt idx="28">
                  <c:v>0.50676640203371748</c:v>
                </c:pt>
                <c:pt idx="29">
                  <c:v>0.50979522638833097</c:v>
                </c:pt>
                <c:pt idx="30">
                  <c:v>0.51094623311999854</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0.36545239845719868</c:v>
                </c:pt>
                <c:pt idx="1">
                  <c:v>0.36905797605880936</c:v>
                </c:pt>
                <c:pt idx="2">
                  <c:v>0.37211216320458834</c:v>
                </c:pt>
                <c:pt idx="3">
                  <c:v>0.37536169188151419</c:v>
                </c:pt>
                <c:pt idx="4">
                  <c:v>0.37905983522157827</c:v>
                </c:pt>
                <c:pt idx="5">
                  <c:v>0.38311924852056162</c:v>
                </c:pt>
                <c:pt idx="6">
                  <c:v>0.38772336542910996</c:v>
                </c:pt>
                <c:pt idx="7">
                  <c:v>0.39238278847301405</c:v>
                </c:pt>
                <c:pt idx="8">
                  <c:v>0.39697961196974679</c:v>
                </c:pt>
                <c:pt idx="9">
                  <c:v>0.40251787010917695</c:v>
                </c:pt>
                <c:pt idx="10">
                  <c:v>0.4093140825720053</c:v>
                </c:pt>
                <c:pt idx="11">
                  <c:v>0.41663750617698336</c:v>
                </c:pt>
                <c:pt idx="12">
                  <c:v>0.42313240927150236</c:v>
                </c:pt>
                <c:pt idx="13">
                  <c:v>0.4293171833558862</c:v>
                </c:pt>
                <c:pt idx="14">
                  <c:v>0.43574343266615878</c:v>
                </c:pt>
                <c:pt idx="15">
                  <c:v>0.44266577184675554</c:v>
                </c:pt>
                <c:pt idx="16">
                  <c:v>0.44948016721315892</c:v>
                </c:pt>
                <c:pt idx="17">
                  <c:v>0.45543505201111745</c:v>
                </c:pt>
                <c:pt idx="18">
                  <c:v>0.4557357286050982</c:v>
                </c:pt>
                <c:pt idx="19">
                  <c:v>0.45179784325227995</c:v>
                </c:pt>
                <c:pt idx="20">
                  <c:v>0.44927597895597277</c:v>
                </c:pt>
                <c:pt idx="21">
                  <c:v>0.45067991204890967</c:v>
                </c:pt>
                <c:pt idx="22">
                  <c:v>0.45622970475983404</c:v>
                </c:pt>
                <c:pt idx="23">
                  <c:v>0.46582306134179358</c:v>
                </c:pt>
                <c:pt idx="24">
                  <c:v>0.47834590370484276</c:v>
                </c:pt>
                <c:pt idx="25">
                  <c:v>0.49143015393576134</c:v>
                </c:pt>
                <c:pt idx="26">
                  <c:v>0.50204461328205197</c:v>
                </c:pt>
                <c:pt idx="27">
                  <c:v>0.5075886570234055</c:v>
                </c:pt>
                <c:pt idx="28">
                  <c:v>0.51010993249331416</c:v>
                </c:pt>
                <c:pt idx="29">
                  <c:v>0.51124057141397672</c:v>
                </c:pt>
                <c:pt idx="30">
                  <c:v>0.51214101472586804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0.36817847349590693</c:v>
                </c:pt>
                <c:pt idx="1">
                  <c:v>0.37185876179580335</c:v>
                </c:pt>
                <c:pt idx="2">
                  <c:v>0.3751344998631097</c:v>
                </c:pt>
                <c:pt idx="3">
                  <c:v>0.37878089764926726</c:v>
                </c:pt>
                <c:pt idx="4">
                  <c:v>0.38280144821818979</c:v>
                </c:pt>
                <c:pt idx="5">
                  <c:v>0.38733544019038313</c:v>
                </c:pt>
                <c:pt idx="6">
                  <c:v>0.39197927838718466</c:v>
                </c:pt>
                <c:pt idx="7">
                  <c:v>0.39652056197751084</c:v>
                </c:pt>
                <c:pt idx="8">
                  <c:v>0.40195329574718602</c:v>
                </c:pt>
                <c:pt idx="9">
                  <c:v>0.40864505157044401</c:v>
                </c:pt>
                <c:pt idx="10">
                  <c:v>0.41590602867785276</c:v>
                </c:pt>
                <c:pt idx="11">
                  <c:v>0.42239884737773664</c:v>
                </c:pt>
                <c:pt idx="12">
                  <c:v>0.42849750549783489</c:v>
                </c:pt>
                <c:pt idx="13">
                  <c:v>0.43486516213373472</c:v>
                </c:pt>
                <c:pt idx="14">
                  <c:v>0.44169083752934107</c:v>
                </c:pt>
                <c:pt idx="15">
                  <c:v>0.44859117401119813</c:v>
                </c:pt>
                <c:pt idx="16">
                  <c:v>0.45544880705730789</c:v>
                </c:pt>
                <c:pt idx="17">
                  <c:v>0.45796272104585001</c:v>
                </c:pt>
                <c:pt idx="18">
                  <c:v>0.45468628063821065</c:v>
                </c:pt>
                <c:pt idx="19">
                  <c:v>0.45156742030316488</c:v>
                </c:pt>
                <c:pt idx="20">
                  <c:v>0.45211613296523251</c:v>
                </c:pt>
                <c:pt idx="21">
                  <c:v>0.45707301315887733</c:v>
                </c:pt>
                <c:pt idx="22">
                  <c:v>0.46632160130204697</c:v>
                </c:pt>
                <c:pt idx="23">
                  <c:v>0.47876596477104505</c:v>
                </c:pt>
                <c:pt idx="24">
                  <c:v>0.49171466047854784</c:v>
                </c:pt>
                <c:pt idx="25">
                  <c:v>0.50240444459876499</c:v>
                </c:pt>
                <c:pt idx="26">
                  <c:v>0.50782834429865453</c:v>
                </c:pt>
                <c:pt idx="27">
                  <c:v>0.51034443034770449</c:v>
                </c:pt>
                <c:pt idx="28">
                  <c:v>0.5113163988089241</c:v>
                </c:pt>
                <c:pt idx="29">
                  <c:v>0.51220909233823575</c:v>
                </c:pt>
                <c:pt idx="30">
                  <c:v>0.51264241543273503</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0.3716299195494005</c:v>
                </c:pt>
                <c:pt idx="1">
                  <c:v>0.37577445651790431</c:v>
                </c:pt>
                <c:pt idx="2">
                  <c:v>0.37959892999797451</c:v>
                </c:pt>
                <c:pt idx="3">
                  <c:v>0.38363343736803218</c:v>
                </c:pt>
                <c:pt idx="4">
                  <c:v>0.38828927677570391</c:v>
                </c:pt>
                <c:pt idx="5">
                  <c:v>0.39277062991209288</c:v>
                </c:pt>
                <c:pt idx="6">
                  <c:v>0.39737282903186527</c:v>
                </c:pt>
                <c:pt idx="7">
                  <c:v>0.40307057821680203</c:v>
                </c:pt>
                <c:pt idx="8">
                  <c:v>0.40992917823944497</c:v>
                </c:pt>
                <c:pt idx="9">
                  <c:v>0.41707084936114919</c:v>
                </c:pt>
                <c:pt idx="10">
                  <c:v>0.42318615199857185</c:v>
                </c:pt>
                <c:pt idx="11">
                  <c:v>0.42935574580112512</c:v>
                </c:pt>
                <c:pt idx="12">
                  <c:v>0.43564310571479736</c:v>
                </c:pt>
                <c:pt idx="13">
                  <c:v>0.44259302540005935</c:v>
                </c:pt>
                <c:pt idx="14">
                  <c:v>0.4494153631027461</c:v>
                </c:pt>
                <c:pt idx="15">
                  <c:v>0.45747459138001917</c:v>
                </c:pt>
                <c:pt idx="16">
                  <c:v>0.4620685647147838</c:v>
                </c:pt>
                <c:pt idx="17">
                  <c:v>0.460190438785129</c:v>
                </c:pt>
                <c:pt idx="18">
                  <c:v>0.45673608875691496</c:v>
                </c:pt>
                <c:pt idx="19">
                  <c:v>0.45691949322405223</c:v>
                </c:pt>
                <c:pt idx="20">
                  <c:v>0.46174184346250108</c:v>
                </c:pt>
                <c:pt idx="21">
                  <c:v>0.47159269835206985</c:v>
                </c:pt>
                <c:pt idx="22">
                  <c:v>0.48383582494605387</c:v>
                </c:pt>
                <c:pt idx="23">
                  <c:v>0.49653332189140181</c:v>
                </c:pt>
                <c:pt idx="24">
                  <c:v>0.50529837687072454</c:v>
                </c:pt>
                <c:pt idx="25">
                  <c:v>0.50981945637048953</c:v>
                </c:pt>
                <c:pt idx="26">
                  <c:v>0.51110657855293817</c:v>
                </c:pt>
                <c:pt idx="27">
                  <c:v>0.51202354380176018</c:v>
                </c:pt>
                <c:pt idx="28">
                  <c:v>0.51307827073218382</c:v>
                </c:pt>
                <c:pt idx="29">
                  <c:v>0.51270569092452178</c:v>
                </c:pt>
                <c:pt idx="30">
                  <c:v>0.51418250033806812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0.38085536018859178</c:v>
                </c:pt>
                <c:pt idx="1">
                  <c:v>0.38609265844047785</c:v>
                </c:pt>
                <c:pt idx="2">
                  <c:v>0.39077334759859633</c:v>
                </c:pt>
                <c:pt idx="3">
                  <c:v>0.39514674107563202</c:v>
                </c:pt>
                <c:pt idx="4">
                  <c:v>0.40024421883332356</c:v>
                </c:pt>
                <c:pt idx="5">
                  <c:v>0.40660009383264306</c:v>
                </c:pt>
                <c:pt idx="6">
                  <c:v>0.41365429589604341</c:v>
                </c:pt>
                <c:pt idx="7">
                  <c:v>0.42014317648757582</c:v>
                </c:pt>
                <c:pt idx="8">
                  <c:v>0.42597248578719715</c:v>
                </c:pt>
                <c:pt idx="9">
                  <c:v>0.43215616262820034</c:v>
                </c:pt>
                <c:pt idx="10">
                  <c:v>0.43864868663660572</c:v>
                </c:pt>
                <c:pt idx="11">
                  <c:v>0.44552335422400691</c:v>
                </c:pt>
                <c:pt idx="12">
                  <c:v>0.4531691925939425</c:v>
                </c:pt>
                <c:pt idx="13">
                  <c:v>0.46296053736343123</c:v>
                </c:pt>
                <c:pt idx="14">
                  <c:v>0.47355017936542809</c:v>
                </c:pt>
                <c:pt idx="15">
                  <c:v>0.48111219613962503</c:v>
                </c:pt>
                <c:pt idx="16">
                  <c:v>0.48093212773372551</c:v>
                </c:pt>
                <c:pt idx="17">
                  <c:v>0.47956292037425102</c:v>
                </c:pt>
                <c:pt idx="18">
                  <c:v>0.48344366599604865</c:v>
                </c:pt>
                <c:pt idx="19">
                  <c:v>0.49321881043621607</c:v>
                </c:pt>
                <c:pt idx="20">
                  <c:v>0.50380438391430893</c:v>
                </c:pt>
                <c:pt idx="21">
                  <c:v>0.51251415551928003</c:v>
                </c:pt>
                <c:pt idx="22">
                  <c:v>0.5148750029625947</c:v>
                </c:pt>
                <c:pt idx="23">
                  <c:v>0.51520544186988637</c:v>
                </c:pt>
                <c:pt idx="24">
                  <c:v>0.5139557220760228</c:v>
                </c:pt>
                <c:pt idx="25">
                  <c:v>0.5138482570474211</c:v>
                </c:pt>
                <c:pt idx="26">
                  <c:v>0.51946392892960958</c:v>
                </c:pt>
                <c:pt idx="27">
                  <c:v>0.5141155471305201</c:v>
                </c:pt>
                <c:pt idx="28">
                  <c:v>0.51521146541492668</c:v>
                </c:pt>
                <c:pt idx="29">
                  <c:v>0.51667832647829848</c:v>
                </c:pt>
                <c:pt idx="30">
                  <c:v>0.5162885429521733</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0.39151321954894824</c:v>
                </c:pt>
                <c:pt idx="1">
                  <c:v>0.39725240216549768</c:v>
                </c:pt>
                <c:pt idx="2">
                  <c:v>0.40306722818195923</c:v>
                </c:pt>
                <c:pt idx="3">
                  <c:v>0.4098448760866481</c:v>
                </c:pt>
                <c:pt idx="4">
                  <c:v>0.41669179508746956</c:v>
                </c:pt>
                <c:pt idx="5">
                  <c:v>0.42244610312884906</c:v>
                </c:pt>
                <c:pt idx="6">
                  <c:v>0.42847665762388393</c:v>
                </c:pt>
                <c:pt idx="7">
                  <c:v>0.43456650103056604</c:v>
                </c:pt>
                <c:pt idx="8">
                  <c:v>0.44137137710787738</c:v>
                </c:pt>
                <c:pt idx="9">
                  <c:v>0.4480558312080925</c:v>
                </c:pt>
                <c:pt idx="10">
                  <c:v>0.45703185192419077</c:v>
                </c:pt>
                <c:pt idx="11">
                  <c:v>0.46730146195195965</c:v>
                </c:pt>
                <c:pt idx="12">
                  <c:v>0.48037016664812376</c:v>
                </c:pt>
                <c:pt idx="13">
                  <c:v>0.49644199461632577</c:v>
                </c:pt>
                <c:pt idx="14">
                  <c:v>0.51303529227033418</c:v>
                </c:pt>
                <c:pt idx="15">
                  <c:v>0.52011225432300434</c:v>
                </c:pt>
                <c:pt idx="16">
                  <c:v>0.52432910857418857</c:v>
                </c:pt>
                <c:pt idx="17">
                  <c:v>0.52898518116878868</c:v>
                </c:pt>
                <c:pt idx="18">
                  <c:v>0.53416238769519475</c:v>
                </c:pt>
                <c:pt idx="19">
                  <c:v>0.53264624796358429</c:v>
                </c:pt>
                <c:pt idx="20">
                  <c:v>0.52841957684847307</c:v>
                </c:pt>
                <c:pt idx="21">
                  <c:v>0.52202235615510217</c:v>
                </c:pt>
                <c:pt idx="22">
                  <c:v>0.51894258087444056</c:v>
                </c:pt>
                <c:pt idx="23">
                  <c:v>0.51801437107246184</c:v>
                </c:pt>
                <c:pt idx="24">
                  <c:v>0.51561295160009402</c:v>
                </c:pt>
                <c:pt idx="25">
                  <c:v>0.51708301598812767</c:v>
                </c:pt>
                <c:pt idx="26">
                  <c:v>0.51549446059407766</c:v>
                </c:pt>
                <c:pt idx="27">
                  <c:v>0.51547183058048163</c:v>
                </c:pt>
                <c:pt idx="28">
                  <c:v>0.51537303736510776</c:v>
                </c:pt>
                <c:pt idx="29">
                  <c:v>0.51545132218188916</c:v>
                </c:pt>
                <c:pt idx="30">
                  <c:v>0.51551013151504277</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4996528"/>
        <c:axId val="5449969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9965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996920"/>
        <c:crosses val="autoZero"/>
        <c:crossBetween val="midCat"/>
        <c:majorUnit val="10000"/>
      </c:valAx>
      <c:valAx>
        <c:axId val="54499692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99652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4997704"/>
        <c:axId val="5465842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99770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4216"/>
        <c:crosses val="autoZero"/>
        <c:crossBetween val="midCat"/>
        <c:majorUnit val="10000"/>
      </c:valAx>
      <c:valAx>
        <c:axId val="54658421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9770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1.1100577913486249E-2</c:v>
                </c:pt>
                <c:pt idx="1">
                  <c:v>1.4955260307978701E-2</c:v>
                </c:pt>
                <c:pt idx="2">
                  <c:v>4.1051622114259469E-3</c:v>
                </c:pt>
                <c:pt idx="3">
                  <c:v>6.9666247724774059E-4</c:v>
                </c:pt>
                <c:pt idx="4">
                  <c:v>9.9269191976421252E-5</c:v>
                </c:pt>
                <c:pt idx="5">
                  <c:v>1.7975555010486798E-5</c:v>
                </c:pt>
                <c:pt idx="6">
                  <c:v>8.5622324613375518E-6</c:v>
                </c:pt>
                <c:pt idx="7">
                  <c:v>3.5842086559924586E-5</c:v>
                </c:pt>
                <c:pt idx="8">
                  <c:v>7.415394521770423E-5</c:v>
                </c:pt>
                <c:pt idx="9">
                  <c:v>1.7466562984407304E-4</c:v>
                </c:pt>
                <c:pt idx="10">
                  <c:v>2.9885010345774674E-4</c:v>
                </c:pt>
                <c:pt idx="11">
                  <c:v>4.6831782570422195E-4</c:v>
                </c:pt>
                <c:pt idx="12">
                  <c:v>5.9530931324848079E-4</c:v>
                </c:pt>
                <c:pt idx="13">
                  <c:v>6.8951336670193184E-4</c:v>
                </c:pt>
                <c:pt idx="14">
                  <c:v>6.5558520165952814E-4</c:v>
                </c:pt>
                <c:pt idx="15">
                  <c:v>5.7955147649097058E-4</c:v>
                </c:pt>
                <c:pt idx="16">
                  <c:v>4.2829292706595508E-4</c:v>
                </c:pt>
                <c:pt idx="17">
                  <c:v>3.1847287780758116E-4</c:v>
                </c:pt>
                <c:pt idx="18">
                  <c:v>1.7079147393753093E-4</c:v>
                </c:pt>
                <c:pt idx="19">
                  <c:v>1.3493349650971808E-4</c:v>
                </c:pt>
                <c:pt idx="20">
                  <c:v>2.9287450351572887E-5</c:v>
                </c:pt>
                <c:pt idx="21">
                  <c:v>8.0859148471037188E-5</c:v>
                </c:pt>
                <c:pt idx="22">
                  <c:v>3.2213753288141464E-5</c:v>
                </c:pt>
                <c:pt idx="23">
                  <c:v>1.7410707013599993E-5</c:v>
                </c:pt>
                <c:pt idx="24">
                  <c:v>1.8457320584059416E-4</c:v>
                </c:pt>
                <c:pt idx="25">
                  <c:v>1.8933921948876108E-4</c:v>
                </c:pt>
                <c:pt idx="26">
                  <c:v>1.2260693326692836E-3</c:v>
                </c:pt>
                <c:pt idx="27">
                  <c:v>3.6778483055167968E-3</c:v>
                </c:pt>
                <c:pt idx="28">
                  <c:v>4.9047059633233045E-3</c:v>
                </c:pt>
                <c:pt idx="29">
                  <c:v>4.8988305694097883E-3</c:v>
                </c:pt>
                <c:pt idx="30">
                  <c:v>7.0815199639457961E-3</c:v>
                </c:pt>
              </c:numCache>
            </c:numRef>
          </c:yVal>
          <c:smooth val="1"/>
        </c:ser>
        <c:dLbls>
          <c:showLegendKey val="0"/>
          <c:showVal val="0"/>
          <c:showCatName val="0"/>
          <c:showSerName val="0"/>
          <c:showPercent val="0"/>
          <c:showBubbleSize val="0"/>
        </c:dLbls>
        <c:axId val="546586176"/>
        <c:axId val="546585392"/>
      </c:scatterChart>
      <c:valAx>
        <c:axId val="5465861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5392"/>
        <c:crossesAt val="-1.5000000000000005E-3"/>
        <c:crossBetween val="midCat"/>
      </c:valAx>
      <c:valAx>
        <c:axId val="54658539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61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8505.4055188309922</c:v>
                </c:pt>
                <c:pt idx="1">
                  <c:v>8382.0226107786984</c:v>
                </c:pt>
                <c:pt idx="2">
                  <c:v>7929.4666757274645</c:v>
                </c:pt>
                <c:pt idx="3">
                  <c:v>7699.4766714132929</c:v>
                </c:pt>
                <c:pt idx="4">
                  <c:v>7391.3780439715129</c:v>
                </c:pt>
                <c:pt idx="5">
                  <c:v>7031.8363166652543</c:v>
                </c:pt>
                <c:pt idx="6">
                  <c:v>6653.1771372946841</c:v>
                </c:pt>
                <c:pt idx="7">
                  <c:v>6325.5905096738506</c:v>
                </c:pt>
                <c:pt idx="8">
                  <c:v>6045.4496914792717</c:v>
                </c:pt>
                <c:pt idx="9">
                  <c:v>5766.1128081789284</c:v>
                </c:pt>
                <c:pt idx="10">
                  <c:v>5485.3418775199243</c:v>
                </c:pt>
                <c:pt idx="11">
                  <c:v>5213.5980726309772</c:v>
                </c:pt>
                <c:pt idx="12">
                  <c:v>4921.0310639329673</c:v>
                </c:pt>
                <c:pt idx="13">
                  <c:v>4587.1779443488995</c:v>
                </c:pt>
                <c:pt idx="14">
                  <c:v>4218.4186503698384</c:v>
                </c:pt>
                <c:pt idx="15">
                  <c:v>3792.1338767970592</c:v>
                </c:pt>
                <c:pt idx="16">
                  <c:v>3282.4619348568226</c:v>
                </c:pt>
                <c:pt idx="17">
                  <c:v>2715.5744153646046</c:v>
                </c:pt>
                <c:pt idx="18">
                  <c:v>2119.9768169658341</c:v>
                </c:pt>
                <c:pt idx="19">
                  <c:v>1549.4342159896732</c:v>
                </c:pt>
                <c:pt idx="20">
                  <c:v>1115.0235937695147</c:v>
                </c:pt>
                <c:pt idx="21">
                  <c:v>819.63884701229028</c:v>
                </c:pt>
                <c:pt idx="22">
                  <c:v>672.73350000323262</c:v>
                </c:pt>
                <c:pt idx="23">
                  <c:v>592.27718141525918</c:v>
                </c:pt>
                <c:pt idx="24">
                  <c:v>556.22631230494824</c:v>
                </c:pt>
                <c:pt idx="25">
                  <c:v>528.65312481256296</c:v>
                </c:pt>
                <c:pt idx="26">
                  <c:v>518.18522876425141</c:v>
                </c:pt>
                <c:pt idx="27">
                  <c:v>497.92338145131907</c:v>
                </c:pt>
                <c:pt idx="28">
                  <c:v>481.31657333485026</c:v>
                </c:pt>
                <c:pt idx="29">
                  <c:v>477.99995001294695</c:v>
                </c:pt>
                <c:pt idx="30">
                  <c:v>472.08152980478735</c:v>
                </c:pt>
              </c:numCache>
            </c:numRef>
          </c:yVal>
          <c:smooth val="1"/>
        </c:ser>
        <c:dLbls>
          <c:showLegendKey val="0"/>
          <c:showVal val="0"/>
          <c:showCatName val="0"/>
          <c:showSerName val="0"/>
          <c:showPercent val="0"/>
          <c:showBubbleSize val="0"/>
        </c:dLbls>
        <c:axId val="546585784"/>
        <c:axId val="546583040"/>
      </c:scatterChart>
      <c:valAx>
        <c:axId val="5465857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3040"/>
        <c:crosses val="autoZero"/>
        <c:crossBetween val="midCat"/>
      </c:valAx>
      <c:valAx>
        <c:axId val="5465830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578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5.8635390780178423E-3</c:v>
                </c:pt>
                <c:pt idx="11">
                  <c:v>1.2326290161076795E-3</c:v>
                </c:pt>
                <c:pt idx="12">
                  <c:v>6.0525592781525322E-6</c:v>
                </c:pt>
                <c:pt idx="13">
                  <c:v>1.6272351320574417E-3</c:v>
                </c:pt>
                <c:pt idx="14">
                  <c:v>8.0242595306580689E-4</c:v>
                </c:pt>
                <c:pt idx="15">
                  <c:v>2.1574934953544505E-3</c:v>
                </c:pt>
                <c:pt idx="16">
                  <c:v>3.1992600015248793E-6</c:v>
                </c:pt>
                <c:pt idx="17">
                  <c:v>1.8931282575672499E-3</c:v>
                </c:pt>
                <c:pt idx="18">
                  <c:v>1.338582946040742E-4</c:v>
                </c:pt>
                <c:pt idx="19">
                  <c:v>8.3284279907456236E-4</c:v>
                </c:pt>
                <c:pt idx="20">
                  <c:v>9.9050396963289069E-3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0.10507130638835346</c:v>
                </c:pt>
                <c:pt idx="1">
                  <c:v>8.0312017306372566E-2</c:v>
                </c:pt>
                <c:pt idx="2">
                  <c:v>5.7484229881755083E-2</c:v>
                </c:pt>
                <c:pt idx="3">
                  <c:v>3.152572026088097E-2</c:v>
                </c:pt>
                <c:pt idx="4">
                  <c:v>4.259480733555707E-3</c:v>
                </c:pt>
                <c:pt idx="5">
                  <c:v>8.4770970914182509E-3</c:v>
                </c:pt>
                <c:pt idx="6">
                  <c:v>1.0943793756301523E-2</c:v>
                </c:pt>
                <c:pt idx="7">
                  <c:v>4.7813845556508782E-3</c:v>
                </c:pt>
                <c:pt idx="8">
                  <c:v>6.7554462068136695E-3</c:v>
                </c:pt>
                <c:pt idx="9">
                  <c:v>7.1740030511408129E-3</c:v>
                </c:pt>
                <c:pt idx="10">
                  <c:v>7.8243355086234211E-3</c:v>
                </c:pt>
                <c:pt idx="11">
                  <c:v>8.0708655458469267E-3</c:v>
                </c:pt>
                <c:pt idx="12">
                  <c:v>7.1692991561260397E-3</c:v>
                </c:pt>
                <c:pt idx="13">
                  <c:v>8.1366823568073728E-3</c:v>
                </c:pt>
                <c:pt idx="14">
                  <c:v>8.0081495329538972E-3</c:v>
                </c:pt>
                <c:pt idx="15">
                  <c:v>8.0010889919329212E-3</c:v>
                </c:pt>
                <c:pt idx="16">
                  <c:v>7.0075723188915418E-3</c:v>
                </c:pt>
                <c:pt idx="17">
                  <c:v>1.1977523649386985E-3</c:v>
                </c:pt>
                <c:pt idx="18">
                  <c:v>1.6015940481055223E-2</c:v>
                </c:pt>
                <c:pt idx="19">
                  <c:v>2.5101932862193126E-2</c:v>
                </c:pt>
                <c:pt idx="20">
                  <c:v>2.0546239748046702E-2</c:v>
                </c:pt>
                <c:pt idx="21">
                  <c:v>1.1036771353759968E-2</c:v>
                </c:pt>
                <c:pt idx="22">
                  <c:v>4.6572017659219983E-4</c:v>
                </c:pt>
                <c:pt idx="23">
                  <c:v>3.8427550995991685E-3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5.7132718483056382E-3</c:v>
                </c:pt>
                <c:pt idx="11">
                  <c:v>4.2166876165953019E-3</c:v>
                </c:pt>
                <c:pt idx="12">
                  <c:v>6.4450215271502666E-3</c:v>
                </c:pt>
                <c:pt idx="13">
                  <c:v>5.6173180600484927E-3</c:v>
                </c:pt>
                <c:pt idx="14">
                  <c:v>7.6800617464524105E-3</c:v>
                </c:pt>
                <c:pt idx="15">
                  <c:v>6.2036602067318388E-3</c:v>
                </c:pt>
                <c:pt idx="16">
                  <c:v>3.1268905823269573E-3</c:v>
                </c:pt>
                <c:pt idx="17">
                  <c:v>9.7570898229887276E-3</c:v>
                </c:pt>
                <c:pt idx="18">
                  <c:v>1.4038458382549657E-2</c:v>
                </c:pt>
                <c:pt idx="19">
                  <c:v>8.5748077697886185E-3</c:v>
                </c:pt>
                <c:pt idx="20">
                  <c:v>1.5004936507420801E-3</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7.2616674074231537E-3</c:v>
                </c:pt>
                <c:pt idx="11">
                  <c:v>4.7914655491528681E-3</c:v>
                </c:pt>
                <c:pt idx="12">
                  <c:v>5.2157479455809145E-3</c:v>
                </c:pt>
                <c:pt idx="13">
                  <c:v>4.8029277437858734E-3</c:v>
                </c:pt>
                <c:pt idx="14">
                  <c:v>1.3075682453974074E-2</c:v>
                </c:pt>
                <c:pt idx="15">
                  <c:v>1.0630966875029065E-2</c:v>
                </c:pt>
                <c:pt idx="16">
                  <c:v>2.790849959002418E-3</c:v>
                </c:pt>
                <c:pt idx="17">
                  <c:v>1.4361562242239174E-2</c:v>
                </c:pt>
                <c:pt idx="18">
                  <c:v>2.2242414625227511E-2</c:v>
                </c:pt>
                <c:pt idx="19">
                  <c:v>3.5059338556574671E-2</c:v>
                </c:pt>
                <c:pt idx="20">
                  <c:v>1.4793586302505954E-2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546586568"/>
        <c:axId val="546589312"/>
      </c:scatterChart>
      <c:valAx>
        <c:axId val="5465865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9312"/>
        <c:crossesAt val="1.0000000000000005E-9"/>
        <c:crossBetween val="midCat"/>
      </c:valAx>
      <c:valAx>
        <c:axId val="546589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656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-17.1505695637697</c:v>
                </c:pt>
                <c:pt idx="1">
                  <c:v>-13.683361470714468</c:v>
                </c:pt>
                <c:pt idx="2">
                  <c:v>-10.991713763275115</c:v>
                </c:pt>
                <c:pt idx="3">
                  <c:v>-8.7424584874974141</c:v>
                </c:pt>
                <c:pt idx="4">
                  <c:v>-5.9128741218641254</c:v>
                </c:pt>
                <c:pt idx="5">
                  <c:v>0</c:v>
                </c:pt>
                <c:pt idx="6">
                  <c:v>5.6123079345528986</c:v>
                </c:pt>
              </c:numCache>
            </c:numRef>
          </c:yVal>
          <c:smooth val="0"/>
        </c:ser>
        <c:dLbls>
          <c:showLegendKey val="0"/>
          <c:showVal val="0"/>
          <c:showCatName val="0"/>
          <c:showSerName val="0"/>
          <c:showPercent val="0"/>
          <c:showBubbleSize val="0"/>
        </c:dLbls>
        <c:axId val="546586960"/>
        <c:axId val="546585000"/>
      </c:scatterChart>
      <c:valAx>
        <c:axId val="546586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5000"/>
        <c:crossesAt val="-100"/>
        <c:crossBetween val="midCat"/>
      </c:valAx>
      <c:valAx>
        <c:axId val="54658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696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ser>
        <c:dLbls>
          <c:showLegendKey val="0"/>
          <c:showVal val="0"/>
          <c:showCatName val="0"/>
          <c:showSerName val="0"/>
          <c:showPercent val="0"/>
          <c:showBubbleSize val="0"/>
        </c:dLbls>
        <c:axId val="546588528"/>
        <c:axId val="546588136"/>
      </c:scatterChart>
      <c:valAx>
        <c:axId val="54658852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8136"/>
        <c:crosses val="autoZero"/>
        <c:crossBetween val="midCat"/>
      </c:valAx>
      <c:valAx>
        <c:axId val="54658813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852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3.5612484806025714E-23</c:v>
                </c:pt>
                <c:pt idx="1">
                  <c:v>3.5612484806025711E-22</c:v>
                </c:pt>
                <c:pt idx="2">
                  <c:v>3.5612484806025715E-21</c:v>
                </c:pt>
                <c:pt idx="3">
                  <c:v>3.5612484806025714E-20</c:v>
                </c:pt>
                <c:pt idx="4">
                  <c:v>3.561248480602571E-19</c:v>
                </c:pt>
                <c:pt idx="5">
                  <c:v>3.5612484806025715E-18</c:v>
                </c:pt>
                <c:pt idx="6">
                  <c:v>3.5612484806025713E-17</c:v>
                </c:pt>
                <c:pt idx="7">
                  <c:v>3.5612484806025712E-16</c:v>
                </c:pt>
                <c:pt idx="8">
                  <c:v>3.5612484806025709E-15</c:v>
                </c:pt>
                <c:pt idx="9">
                  <c:v>3.5612484806025711E-14</c:v>
                </c:pt>
                <c:pt idx="10">
                  <c:v>3.5612484806025715E-13</c:v>
                </c:pt>
                <c:pt idx="11">
                  <c:v>3.5612484806025714E-12</c:v>
                </c:pt>
                <c:pt idx="12">
                  <c:v>3.5612484806025714E-11</c:v>
                </c:pt>
                <c:pt idx="13">
                  <c:v>3.5612484806025712E-10</c:v>
                </c:pt>
                <c:pt idx="14">
                  <c:v>3.5612484806025714E-9</c:v>
                </c:pt>
                <c:pt idx="15">
                  <c:v>3.561248480602571E-8</c:v>
                </c:pt>
                <c:pt idx="16">
                  <c:v>3.5612484806025713E-7</c:v>
                </c:pt>
                <c:pt idx="17">
                  <c:v>3.5612484806025712E-6</c:v>
                </c:pt>
                <c:pt idx="18">
                  <c:v>3.5612484806025712E-5</c:v>
                </c:pt>
                <c:pt idx="19">
                  <c:v>3.5612484806025715E-4</c:v>
                </c:pt>
                <c:pt idx="20">
                  <c:v>3.5612484806025711E-3</c:v>
                </c:pt>
                <c:pt idx="21">
                  <c:v>3.5612484806025711E-2</c:v>
                </c:pt>
                <c:pt idx="22">
                  <c:v>0.35612484806025713</c:v>
                </c:pt>
                <c:pt idx="23">
                  <c:v>3.561248480602571</c:v>
                </c:pt>
                <c:pt idx="24">
                  <c:v>35.612484806025712</c:v>
                </c:pt>
                <c:pt idx="25">
                  <c:v>356.12484806025714</c:v>
                </c:pt>
                <c:pt idx="26">
                  <c:v>3561.2484806025714</c:v>
                </c:pt>
                <c:pt idx="27">
                  <c:v>35612.484806025714</c:v>
                </c:pt>
                <c:pt idx="28">
                  <c:v>356124.84806025709</c:v>
                </c:pt>
                <c:pt idx="29">
                  <c:v>3561248.4806025713</c:v>
                </c:pt>
                <c:pt idx="30">
                  <c:v>35612484.806025714</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1.1412784566506278E-21</c:v>
                </c:pt>
                <c:pt idx="1">
                  <c:v>1.1412784566506277E-20</c:v>
                </c:pt>
                <c:pt idx="2">
                  <c:v>1.1412784566506278E-19</c:v>
                </c:pt>
                <c:pt idx="3">
                  <c:v>1.1412784566506278E-18</c:v>
                </c:pt>
                <c:pt idx="4">
                  <c:v>1.1412784566506276E-17</c:v>
                </c:pt>
                <c:pt idx="5">
                  <c:v>1.1412784566506278E-16</c:v>
                </c:pt>
                <c:pt idx="6">
                  <c:v>1.1412784566506277E-15</c:v>
                </c:pt>
                <c:pt idx="7">
                  <c:v>1.1412784566506278E-14</c:v>
                </c:pt>
                <c:pt idx="8">
                  <c:v>1.1412784566506277E-13</c:v>
                </c:pt>
                <c:pt idx="9">
                  <c:v>1.1412784566506277E-12</c:v>
                </c:pt>
                <c:pt idx="10">
                  <c:v>1.1412784566506278E-11</c:v>
                </c:pt>
                <c:pt idx="11">
                  <c:v>1.1412784566506278E-10</c:v>
                </c:pt>
                <c:pt idx="12">
                  <c:v>1.1412784566506278E-9</c:v>
                </c:pt>
                <c:pt idx="13">
                  <c:v>1.1412784566506278E-8</c:v>
                </c:pt>
                <c:pt idx="14">
                  <c:v>1.1412784566506278E-7</c:v>
                </c:pt>
                <c:pt idx="15">
                  <c:v>1.1412784566506278E-6</c:v>
                </c:pt>
                <c:pt idx="16">
                  <c:v>1.1412784566506277E-5</c:v>
                </c:pt>
                <c:pt idx="17">
                  <c:v>1.1412784566506277E-4</c:v>
                </c:pt>
                <c:pt idx="18">
                  <c:v>1.1412784566506278E-3</c:v>
                </c:pt>
                <c:pt idx="19">
                  <c:v>1.1412784566506278E-2</c:v>
                </c:pt>
                <c:pt idx="20">
                  <c:v>0.11412784566506277</c:v>
                </c:pt>
                <c:pt idx="21">
                  <c:v>1.1412784566506278</c:v>
                </c:pt>
                <c:pt idx="22">
                  <c:v>11.412784566506277</c:v>
                </c:pt>
                <c:pt idx="23">
                  <c:v>114.12784566506278</c:v>
                </c:pt>
                <c:pt idx="24">
                  <c:v>1141.2784566506277</c:v>
                </c:pt>
                <c:pt idx="25">
                  <c:v>11412.784566506278</c:v>
                </c:pt>
                <c:pt idx="26">
                  <c:v>114127.84566506278</c:v>
                </c:pt>
                <c:pt idx="27">
                  <c:v>1141278.4566506278</c:v>
                </c:pt>
                <c:pt idx="28">
                  <c:v>11412784.566506278</c:v>
                </c:pt>
                <c:pt idx="29">
                  <c:v>114127845.66506277</c:v>
                </c:pt>
                <c:pt idx="30">
                  <c:v>1141278456.6506276</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1.6840670007462967E-20</c:v>
                </c:pt>
                <c:pt idx="1">
                  <c:v>1.6840670007462966E-19</c:v>
                </c:pt>
                <c:pt idx="2">
                  <c:v>1.6840670007462966E-18</c:v>
                </c:pt>
                <c:pt idx="3">
                  <c:v>1.6840670007462966E-17</c:v>
                </c:pt>
                <c:pt idx="4">
                  <c:v>1.6840670007462966E-16</c:v>
                </c:pt>
                <c:pt idx="5">
                  <c:v>1.6840670007462967E-15</c:v>
                </c:pt>
                <c:pt idx="6">
                  <c:v>1.6840670007462968E-14</c:v>
                </c:pt>
                <c:pt idx="7">
                  <c:v>1.6840670007462967E-13</c:v>
                </c:pt>
                <c:pt idx="8">
                  <c:v>1.6840670007462964E-12</c:v>
                </c:pt>
                <c:pt idx="9">
                  <c:v>1.6840670007462965E-11</c:v>
                </c:pt>
                <c:pt idx="10">
                  <c:v>1.6840670007462968E-10</c:v>
                </c:pt>
                <c:pt idx="11">
                  <c:v>1.6840670007462967E-9</c:v>
                </c:pt>
                <c:pt idx="12">
                  <c:v>1.6840670007462965E-8</c:v>
                </c:pt>
                <c:pt idx="13">
                  <c:v>1.6840670007462967E-7</c:v>
                </c:pt>
                <c:pt idx="14">
                  <c:v>1.6840670007462966E-6</c:v>
                </c:pt>
                <c:pt idx="15">
                  <c:v>1.6840670007462968E-5</c:v>
                </c:pt>
                <c:pt idx="16">
                  <c:v>1.6840670007462966E-4</c:v>
                </c:pt>
                <c:pt idx="17">
                  <c:v>1.6840670007462967E-3</c:v>
                </c:pt>
                <c:pt idx="18">
                  <c:v>1.6840670007462966E-2</c:v>
                </c:pt>
                <c:pt idx="19">
                  <c:v>0.16840670007462966</c:v>
                </c:pt>
                <c:pt idx="20">
                  <c:v>1.6840670007462966</c:v>
                </c:pt>
                <c:pt idx="21">
                  <c:v>16.840670007462965</c:v>
                </c:pt>
                <c:pt idx="22">
                  <c:v>168.40670007462967</c:v>
                </c:pt>
                <c:pt idx="23">
                  <c:v>1684.0670007462966</c:v>
                </c:pt>
                <c:pt idx="24">
                  <c:v>16840.670007462966</c:v>
                </c:pt>
                <c:pt idx="25">
                  <c:v>168406.70007462965</c:v>
                </c:pt>
                <c:pt idx="26">
                  <c:v>1684067.0007462967</c:v>
                </c:pt>
                <c:pt idx="27">
                  <c:v>16840670.007462967</c:v>
                </c:pt>
                <c:pt idx="28">
                  <c:v>168406700.07462966</c:v>
                </c:pt>
                <c:pt idx="29">
                  <c:v>1684067000.7462966</c:v>
                </c:pt>
                <c:pt idx="30">
                  <c:v>16840670007.462967</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1.596608807267776E-19</c:v>
                </c:pt>
                <c:pt idx="1">
                  <c:v>1.5966088072677757E-18</c:v>
                </c:pt>
                <c:pt idx="2">
                  <c:v>1.5966088072677758E-17</c:v>
                </c:pt>
                <c:pt idx="3">
                  <c:v>1.5966088072677758E-16</c:v>
                </c:pt>
                <c:pt idx="4">
                  <c:v>1.5966088072677757E-15</c:v>
                </c:pt>
                <c:pt idx="5">
                  <c:v>1.5966088072677759E-14</c:v>
                </c:pt>
                <c:pt idx="6">
                  <c:v>1.5966088072677759E-13</c:v>
                </c:pt>
                <c:pt idx="7">
                  <c:v>1.5966088072677758E-12</c:v>
                </c:pt>
                <c:pt idx="8">
                  <c:v>1.5966088072677757E-11</c:v>
                </c:pt>
                <c:pt idx="9">
                  <c:v>1.5966088072677757E-10</c:v>
                </c:pt>
                <c:pt idx="10">
                  <c:v>1.5966088072677759E-9</c:v>
                </c:pt>
                <c:pt idx="11">
                  <c:v>1.596608807267776E-8</c:v>
                </c:pt>
                <c:pt idx="12">
                  <c:v>1.5966088072677759E-7</c:v>
                </c:pt>
                <c:pt idx="13">
                  <c:v>1.5966088072677759E-6</c:v>
                </c:pt>
                <c:pt idx="14">
                  <c:v>1.5966088072677758E-5</c:v>
                </c:pt>
                <c:pt idx="15">
                  <c:v>1.5966088072677759E-4</c:v>
                </c:pt>
                <c:pt idx="16">
                  <c:v>1.5966088072677759E-3</c:v>
                </c:pt>
                <c:pt idx="17">
                  <c:v>1.5966088072677759E-2</c:v>
                </c:pt>
                <c:pt idx="18">
                  <c:v>0.15966088072677759</c:v>
                </c:pt>
                <c:pt idx="19">
                  <c:v>1.5966088072677758</c:v>
                </c:pt>
                <c:pt idx="20">
                  <c:v>15.966088072677758</c:v>
                </c:pt>
                <c:pt idx="21">
                  <c:v>159.66088072677758</c:v>
                </c:pt>
                <c:pt idx="22">
                  <c:v>1596.6088072677758</c:v>
                </c:pt>
                <c:pt idx="23">
                  <c:v>15966.088072677758</c:v>
                </c:pt>
                <c:pt idx="24">
                  <c:v>159660.88072677757</c:v>
                </c:pt>
                <c:pt idx="25">
                  <c:v>1596608.8072677758</c:v>
                </c:pt>
                <c:pt idx="26">
                  <c:v>15966088.072677758</c:v>
                </c:pt>
                <c:pt idx="27">
                  <c:v>159660880.72677758</c:v>
                </c:pt>
                <c:pt idx="28">
                  <c:v>1596608807.2677758</c:v>
                </c:pt>
                <c:pt idx="29">
                  <c:v>15966088072.677757</c:v>
                </c:pt>
                <c:pt idx="30">
                  <c:v>159660880726.77759</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2.7044029231432577E-18</c:v>
                </c:pt>
                <c:pt idx="1">
                  <c:v>2.7044029231432575E-17</c:v>
                </c:pt>
                <c:pt idx="2">
                  <c:v>2.7044029231432577E-16</c:v>
                </c:pt>
                <c:pt idx="3">
                  <c:v>2.7044029231432575E-15</c:v>
                </c:pt>
                <c:pt idx="4">
                  <c:v>2.7044029231432574E-14</c:v>
                </c:pt>
                <c:pt idx="5">
                  <c:v>2.7044029231432573E-13</c:v>
                </c:pt>
                <c:pt idx="6">
                  <c:v>2.7044029231432575E-12</c:v>
                </c:pt>
                <c:pt idx="7">
                  <c:v>2.7044029231432576E-11</c:v>
                </c:pt>
                <c:pt idx="8">
                  <c:v>2.7044029231432572E-10</c:v>
                </c:pt>
                <c:pt idx="9">
                  <c:v>2.7044029231432574E-9</c:v>
                </c:pt>
                <c:pt idx="10">
                  <c:v>2.7044029231432579E-8</c:v>
                </c:pt>
                <c:pt idx="11">
                  <c:v>2.7044029231432575E-7</c:v>
                </c:pt>
                <c:pt idx="12">
                  <c:v>2.7044029231432574E-6</c:v>
                </c:pt>
                <c:pt idx="13">
                  <c:v>2.7044029231432576E-5</c:v>
                </c:pt>
                <c:pt idx="14">
                  <c:v>2.7044029231432579E-4</c:v>
                </c:pt>
                <c:pt idx="15">
                  <c:v>2.7044029231432574E-3</c:v>
                </c:pt>
                <c:pt idx="16">
                  <c:v>2.7044029231432575E-2</c:v>
                </c:pt>
                <c:pt idx="17">
                  <c:v>0.27044029231432576</c:v>
                </c:pt>
                <c:pt idx="18">
                  <c:v>2.7044029231432574</c:v>
                </c:pt>
                <c:pt idx="19">
                  <c:v>27.044029231432575</c:v>
                </c:pt>
                <c:pt idx="20">
                  <c:v>270.44029231432575</c:v>
                </c:pt>
                <c:pt idx="21">
                  <c:v>2704.4029231432573</c:v>
                </c:pt>
                <c:pt idx="22">
                  <c:v>27044.029231432574</c:v>
                </c:pt>
                <c:pt idx="23">
                  <c:v>270440.29231432575</c:v>
                </c:pt>
                <c:pt idx="24">
                  <c:v>2704402.9231432574</c:v>
                </c:pt>
                <c:pt idx="25">
                  <c:v>27044029.231432576</c:v>
                </c:pt>
                <c:pt idx="26">
                  <c:v>270440292.31432575</c:v>
                </c:pt>
                <c:pt idx="27">
                  <c:v>2704402923.1432576</c:v>
                </c:pt>
                <c:pt idx="28">
                  <c:v>27044029231.432575</c:v>
                </c:pt>
                <c:pt idx="29">
                  <c:v>270440292314.32574</c:v>
                </c:pt>
                <c:pt idx="30">
                  <c:v>2704402923143.2573</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2.7377536504938516E-13</c:v>
                </c:pt>
                <c:pt idx="1">
                  <c:v>2.7377536504938513E-12</c:v>
                </c:pt>
                <c:pt idx="2">
                  <c:v>2.7377536504938514E-11</c:v>
                </c:pt>
                <c:pt idx="3">
                  <c:v>2.737753650493851E-10</c:v>
                </c:pt>
                <c:pt idx="4">
                  <c:v>2.7377536504938511E-9</c:v>
                </c:pt>
                <c:pt idx="5">
                  <c:v>2.7377536504938515E-8</c:v>
                </c:pt>
                <c:pt idx="6">
                  <c:v>2.7377536504938512E-7</c:v>
                </c:pt>
                <c:pt idx="7">
                  <c:v>2.7377536504938512E-6</c:v>
                </c:pt>
                <c:pt idx="8">
                  <c:v>2.737753650493851E-5</c:v>
                </c:pt>
                <c:pt idx="9">
                  <c:v>2.7377536504938512E-4</c:v>
                </c:pt>
                <c:pt idx="10">
                  <c:v>2.7377536504938514E-3</c:v>
                </c:pt>
                <c:pt idx="11">
                  <c:v>2.7377536504938516E-2</c:v>
                </c:pt>
                <c:pt idx="12">
                  <c:v>0.27377536504938516</c:v>
                </c:pt>
                <c:pt idx="13">
                  <c:v>2.7377536504938513</c:v>
                </c:pt>
                <c:pt idx="14">
                  <c:v>27.377536504938515</c:v>
                </c:pt>
                <c:pt idx="15">
                  <c:v>273.77536504938513</c:v>
                </c:pt>
                <c:pt idx="16">
                  <c:v>2737.7536504938512</c:v>
                </c:pt>
                <c:pt idx="17">
                  <c:v>27377.536504938511</c:v>
                </c:pt>
                <c:pt idx="18">
                  <c:v>273775.36504938512</c:v>
                </c:pt>
                <c:pt idx="19">
                  <c:v>2737753.6504938514</c:v>
                </c:pt>
                <c:pt idx="20">
                  <c:v>27377536.504938513</c:v>
                </c:pt>
                <c:pt idx="21">
                  <c:v>273775365.04938513</c:v>
                </c:pt>
                <c:pt idx="22">
                  <c:v>2737753650.4938512</c:v>
                </c:pt>
                <c:pt idx="23">
                  <c:v>27377536504.938511</c:v>
                </c:pt>
                <c:pt idx="24">
                  <c:v>273775365049.38513</c:v>
                </c:pt>
                <c:pt idx="25">
                  <c:v>2737753650493.8511</c:v>
                </c:pt>
                <c:pt idx="26">
                  <c:v>27377536504938.512</c:v>
                </c:pt>
                <c:pt idx="27">
                  <c:v>273775365049385.12</c:v>
                </c:pt>
                <c:pt idx="28">
                  <c:v>2737753650493851.5</c:v>
                </c:pt>
                <c:pt idx="29">
                  <c:v>2.7377536504938512E+16</c:v>
                </c:pt>
                <c:pt idx="30">
                  <c:v>2.7377536504938512E+17</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546590096"/>
        <c:axId val="491925016"/>
      </c:scatterChart>
      <c:valAx>
        <c:axId val="5465900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5016"/>
        <c:crosses val="autoZero"/>
        <c:crossBetween val="midCat"/>
      </c:valAx>
      <c:valAx>
        <c:axId val="491925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9009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3.5612484806025714E-23</c:v>
                </c:pt>
                <c:pt idx="1">
                  <c:v>3.5612484806025711E-22</c:v>
                </c:pt>
                <c:pt idx="2">
                  <c:v>3.5612484806025715E-21</c:v>
                </c:pt>
                <c:pt idx="3">
                  <c:v>3.5612484806025714E-20</c:v>
                </c:pt>
                <c:pt idx="4">
                  <c:v>3.561248480602571E-19</c:v>
                </c:pt>
                <c:pt idx="5">
                  <c:v>3.5612484806025715E-18</c:v>
                </c:pt>
                <c:pt idx="6">
                  <c:v>3.5612484806025713E-17</c:v>
                </c:pt>
                <c:pt idx="7">
                  <c:v>3.5612484806025712E-16</c:v>
                </c:pt>
                <c:pt idx="8">
                  <c:v>3.5612484806025709E-15</c:v>
                </c:pt>
                <c:pt idx="9">
                  <c:v>3.5612484806025711E-14</c:v>
                </c:pt>
                <c:pt idx="10">
                  <c:v>3.5612484806025715E-13</c:v>
                </c:pt>
                <c:pt idx="11">
                  <c:v>3.5612484806025714E-12</c:v>
                </c:pt>
                <c:pt idx="12">
                  <c:v>3.5612484806025714E-11</c:v>
                </c:pt>
                <c:pt idx="13">
                  <c:v>3.5612484806025712E-10</c:v>
                </c:pt>
                <c:pt idx="14">
                  <c:v>3.5612484806025714E-9</c:v>
                </c:pt>
                <c:pt idx="15">
                  <c:v>3.561248480602571E-8</c:v>
                </c:pt>
                <c:pt idx="16">
                  <c:v>3.5612484806025713E-7</c:v>
                </c:pt>
                <c:pt idx="17">
                  <c:v>3.5612484806025712E-6</c:v>
                </c:pt>
                <c:pt idx="18">
                  <c:v>3.5612484806025712E-5</c:v>
                </c:pt>
                <c:pt idx="19">
                  <c:v>3.5612484806025715E-4</c:v>
                </c:pt>
                <c:pt idx="20">
                  <c:v>3.5612484806025711E-3</c:v>
                </c:pt>
                <c:pt idx="21">
                  <c:v>3.5612484806025711E-2</c:v>
                </c:pt>
                <c:pt idx="22">
                  <c:v>0.35612484806025713</c:v>
                </c:pt>
                <c:pt idx="23">
                  <c:v>3.561248480602571</c:v>
                </c:pt>
                <c:pt idx="24">
                  <c:v>35.612484806025712</c:v>
                </c:pt>
                <c:pt idx="25">
                  <c:v>356.12484806025714</c:v>
                </c:pt>
                <c:pt idx="26">
                  <c:v>3561.2484806025714</c:v>
                </c:pt>
                <c:pt idx="27">
                  <c:v>35612.484806025714</c:v>
                </c:pt>
                <c:pt idx="28">
                  <c:v>356124.84806025709</c:v>
                </c:pt>
                <c:pt idx="29">
                  <c:v>3561248.4806025713</c:v>
                </c:pt>
                <c:pt idx="30">
                  <c:v>35612484.806025714</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1.1412784566506278E-21</c:v>
                </c:pt>
                <c:pt idx="1">
                  <c:v>1.1412784566506277E-20</c:v>
                </c:pt>
                <c:pt idx="2">
                  <c:v>1.1412784566506278E-19</c:v>
                </c:pt>
                <c:pt idx="3">
                  <c:v>1.1412784566506278E-18</c:v>
                </c:pt>
                <c:pt idx="4">
                  <c:v>1.1412784566506276E-17</c:v>
                </c:pt>
                <c:pt idx="5">
                  <c:v>1.1412784566506278E-16</c:v>
                </c:pt>
                <c:pt idx="6">
                  <c:v>1.1412784566506277E-15</c:v>
                </c:pt>
                <c:pt idx="7">
                  <c:v>1.1412784566506278E-14</c:v>
                </c:pt>
                <c:pt idx="8">
                  <c:v>1.1412784566506277E-13</c:v>
                </c:pt>
                <c:pt idx="9">
                  <c:v>1.1412784566506277E-12</c:v>
                </c:pt>
                <c:pt idx="10">
                  <c:v>1.1412784566506278E-11</c:v>
                </c:pt>
                <c:pt idx="11">
                  <c:v>1.1412784566506278E-10</c:v>
                </c:pt>
                <c:pt idx="12">
                  <c:v>1.1412784566506278E-9</c:v>
                </c:pt>
                <c:pt idx="13">
                  <c:v>1.1412784566506278E-8</c:v>
                </c:pt>
                <c:pt idx="14">
                  <c:v>1.1412784566506278E-7</c:v>
                </c:pt>
                <c:pt idx="15">
                  <c:v>1.1412784566506278E-6</c:v>
                </c:pt>
                <c:pt idx="16">
                  <c:v>1.1412784566506277E-5</c:v>
                </c:pt>
                <c:pt idx="17">
                  <c:v>1.1412784566506277E-4</c:v>
                </c:pt>
                <c:pt idx="18">
                  <c:v>1.1412784566506278E-3</c:v>
                </c:pt>
                <c:pt idx="19">
                  <c:v>1.1412784566506278E-2</c:v>
                </c:pt>
                <c:pt idx="20">
                  <c:v>0.11412784566506277</c:v>
                </c:pt>
                <c:pt idx="21">
                  <c:v>1.1412784566506278</c:v>
                </c:pt>
                <c:pt idx="22">
                  <c:v>11.412784566506277</c:v>
                </c:pt>
                <c:pt idx="23">
                  <c:v>114.12784566506278</c:v>
                </c:pt>
                <c:pt idx="24">
                  <c:v>1141.2784566506277</c:v>
                </c:pt>
                <c:pt idx="25">
                  <c:v>11412.784566506278</c:v>
                </c:pt>
                <c:pt idx="26">
                  <c:v>114127.84566506278</c:v>
                </c:pt>
                <c:pt idx="27">
                  <c:v>1141278.4566506278</c:v>
                </c:pt>
                <c:pt idx="28">
                  <c:v>11412784.566506278</c:v>
                </c:pt>
                <c:pt idx="29">
                  <c:v>114127845.66506277</c:v>
                </c:pt>
                <c:pt idx="30">
                  <c:v>1141278456.6506276</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1.6840670007462967E-20</c:v>
                </c:pt>
                <c:pt idx="1">
                  <c:v>1.6840670007462966E-19</c:v>
                </c:pt>
                <c:pt idx="2">
                  <c:v>1.6840670007462966E-18</c:v>
                </c:pt>
                <c:pt idx="3">
                  <c:v>1.6840670007462966E-17</c:v>
                </c:pt>
                <c:pt idx="4">
                  <c:v>1.6840670007462966E-16</c:v>
                </c:pt>
                <c:pt idx="5">
                  <c:v>1.6840670007462967E-15</c:v>
                </c:pt>
                <c:pt idx="6">
                  <c:v>1.6840670007462968E-14</c:v>
                </c:pt>
                <c:pt idx="7">
                  <c:v>1.6840670007462967E-13</c:v>
                </c:pt>
                <c:pt idx="8">
                  <c:v>1.6840670007462964E-12</c:v>
                </c:pt>
                <c:pt idx="9">
                  <c:v>1.6840670007462965E-11</c:v>
                </c:pt>
                <c:pt idx="10">
                  <c:v>1.6840670007462968E-10</c:v>
                </c:pt>
                <c:pt idx="11">
                  <c:v>1.6840670007462967E-9</c:v>
                </c:pt>
                <c:pt idx="12">
                  <c:v>1.6840670007462965E-8</c:v>
                </c:pt>
                <c:pt idx="13">
                  <c:v>1.6840670007462967E-7</c:v>
                </c:pt>
                <c:pt idx="14">
                  <c:v>1.6840670007462966E-6</c:v>
                </c:pt>
                <c:pt idx="15">
                  <c:v>1.6840670007462968E-5</c:v>
                </c:pt>
                <c:pt idx="16">
                  <c:v>1.6840670007462966E-4</c:v>
                </c:pt>
                <c:pt idx="17">
                  <c:v>1.6840670007462967E-3</c:v>
                </c:pt>
                <c:pt idx="18">
                  <c:v>1.6840670007462966E-2</c:v>
                </c:pt>
                <c:pt idx="19">
                  <c:v>0.16840670007462966</c:v>
                </c:pt>
                <c:pt idx="20">
                  <c:v>1.6840670007462966</c:v>
                </c:pt>
                <c:pt idx="21">
                  <c:v>16.840670007462965</c:v>
                </c:pt>
                <c:pt idx="22">
                  <c:v>168.40670007462967</c:v>
                </c:pt>
                <c:pt idx="23">
                  <c:v>1684.0670007462966</c:v>
                </c:pt>
                <c:pt idx="24">
                  <c:v>16840.670007462966</c:v>
                </c:pt>
                <c:pt idx="25">
                  <c:v>168406.70007462965</c:v>
                </c:pt>
                <c:pt idx="26">
                  <c:v>1684067.0007462967</c:v>
                </c:pt>
                <c:pt idx="27">
                  <c:v>16840670.007462967</c:v>
                </c:pt>
                <c:pt idx="28">
                  <c:v>168406700.07462966</c:v>
                </c:pt>
                <c:pt idx="29">
                  <c:v>1684067000.7462966</c:v>
                </c:pt>
                <c:pt idx="30">
                  <c:v>16840670007.462967</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1.596608807267776E-19</c:v>
                </c:pt>
                <c:pt idx="1">
                  <c:v>1.5966088072677757E-18</c:v>
                </c:pt>
                <c:pt idx="2">
                  <c:v>1.5966088072677758E-17</c:v>
                </c:pt>
                <c:pt idx="3">
                  <c:v>1.5966088072677758E-16</c:v>
                </c:pt>
                <c:pt idx="4">
                  <c:v>1.5966088072677757E-15</c:v>
                </c:pt>
                <c:pt idx="5">
                  <c:v>1.5966088072677759E-14</c:v>
                </c:pt>
                <c:pt idx="6">
                  <c:v>1.5966088072677759E-13</c:v>
                </c:pt>
                <c:pt idx="7">
                  <c:v>1.5966088072677758E-12</c:v>
                </c:pt>
                <c:pt idx="8">
                  <c:v>1.5966088072677757E-11</c:v>
                </c:pt>
                <c:pt idx="9">
                  <c:v>1.5966088072677757E-10</c:v>
                </c:pt>
                <c:pt idx="10">
                  <c:v>1.5966088072677759E-9</c:v>
                </c:pt>
                <c:pt idx="11">
                  <c:v>1.596608807267776E-8</c:v>
                </c:pt>
                <c:pt idx="12">
                  <c:v>1.5966088072677759E-7</c:v>
                </c:pt>
                <c:pt idx="13">
                  <c:v>1.5966088072677759E-6</c:v>
                </c:pt>
                <c:pt idx="14">
                  <c:v>1.5966088072677758E-5</c:v>
                </c:pt>
                <c:pt idx="15">
                  <c:v>1.5966088072677759E-4</c:v>
                </c:pt>
                <c:pt idx="16">
                  <c:v>1.5966088072677759E-3</c:v>
                </c:pt>
                <c:pt idx="17">
                  <c:v>1.5966088072677759E-2</c:v>
                </c:pt>
                <c:pt idx="18">
                  <c:v>0.15966088072677759</c:v>
                </c:pt>
                <c:pt idx="19">
                  <c:v>1.5966088072677758</c:v>
                </c:pt>
                <c:pt idx="20">
                  <c:v>15.966088072677758</c:v>
                </c:pt>
                <c:pt idx="21">
                  <c:v>159.66088072677758</c:v>
                </c:pt>
                <c:pt idx="22">
                  <c:v>1596.6088072677758</c:v>
                </c:pt>
                <c:pt idx="23">
                  <c:v>15966.088072677758</c:v>
                </c:pt>
                <c:pt idx="24">
                  <c:v>159660.88072677757</c:v>
                </c:pt>
                <c:pt idx="25">
                  <c:v>1596608.8072677758</c:v>
                </c:pt>
                <c:pt idx="26">
                  <c:v>15966088.072677758</c:v>
                </c:pt>
                <c:pt idx="27">
                  <c:v>159660880.72677758</c:v>
                </c:pt>
                <c:pt idx="28">
                  <c:v>1596608807.2677758</c:v>
                </c:pt>
                <c:pt idx="29">
                  <c:v>15966088072.677757</c:v>
                </c:pt>
                <c:pt idx="30">
                  <c:v>159660880726.77759</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2.7044029231432577E-18</c:v>
                </c:pt>
                <c:pt idx="1">
                  <c:v>2.7044029231432575E-17</c:v>
                </c:pt>
                <c:pt idx="2">
                  <c:v>2.7044029231432577E-16</c:v>
                </c:pt>
                <c:pt idx="3">
                  <c:v>2.7044029231432575E-15</c:v>
                </c:pt>
                <c:pt idx="4">
                  <c:v>2.7044029231432574E-14</c:v>
                </c:pt>
                <c:pt idx="5">
                  <c:v>2.7044029231432573E-13</c:v>
                </c:pt>
                <c:pt idx="6">
                  <c:v>2.7044029231432575E-12</c:v>
                </c:pt>
                <c:pt idx="7">
                  <c:v>2.7044029231432576E-11</c:v>
                </c:pt>
                <c:pt idx="8">
                  <c:v>2.7044029231432572E-10</c:v>
                </c:pt>
                <c:pt idx="9">
                  <c:v>2.7044029231432574E-9</c:v>
                </c:pt>
                <c:pt idx="10">
                  <c:v>2.7044029231432579E-8</c:v>
                </c:pt>
                <c:pt idx="11">
                  <c:v>2.7044029231432575E-7</c:v>
                </c:pt>
                <c:pt idx="12">
                  <c:v>2.7044029231432574E-6</c:v>
                </c:pt>
                <c:pt idx="13">
                  <c:v>2.7044029231432576E-5</c:v>
                </c:pt>
                <c:pt idx="14">
                  <c:v>2.7044029231432579E-4</c:v>
                </c:pt>
                <c:pt idx="15">
                  <c:v>2.7044029231432574E-3</c:v>
                </c:pt>
                <c:pt idx="16">
                  <c:v>2.7044029231432575E-2</c:v>
                </c:pt>
                <c:pt idx="17">
                  <c:v>0.27044029231432576</c:v>
                </c:pt>
                <c:pt idx="18">
                  <c:v>2.7044029231432574</c:v>
                </c:pt>
                <c:pt idx="19">
                  <c:v>27.044029231432575</c:v>
                </c:pt>
                <c:pt idx="20">
                  <c:v>270.44029231432575</c:v>
                </c:pt>
                <c:pt idx="21">
                  <c:v>2704.4029231432573</c:v>
                </c:pt>
                <c:pt idx="22">
                  <c:v>27044.029231432574</c:v>
                </c:pt>
                <c:pt idx="23">
                  <c:v>270440.29231432575</c:v>
                </c:pt>
                <c:pt idx="24">
                  <c:v>2704402.9231432574</c:v>
                </c:pt>
                <c:pt idx="25">
                  <c:v>27044029.231432576</c:v>
                </c:pt>
                <c:pt idx="26">
                  <c:v>270440292.31432575</c:v>
                </c:pt>
                <c:pt idx="27">
                  <c:v>2704402923.1432576</c:v>
                </c:pt>
                <c:pt idx="28">
                  <c:v>27044029231.432575</c:v>
                </c:pt>
                <c:pt idx="29">
                  <c:v>270440292314.32574</c:v>
                </c:pt>
                <c:pt idx="30">
                  <c:v>2704402923143.2573</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2.7377536504938516E-13</c:v>
                </c:pt>
                <c:pt idx="1">
                  <c:v>2.7377536504938513E-12</c:v>
                </c:pt>
                <c:pt idx="2">
                  <c:v>2.7377536504938514E-11</c:v>
                </c:pt>
                <c:pt idx="3">
                  <c:v>2.737753650493851E-10</c:v>
                </c:pt>
                <c:pt idx="4">
                  <c:v>2.7377536504938511E-9</c:v>
                </c:pt>
                <c:pt idx="5">
                  <c:v>2.7377536504938515E-8</c:v>
                </c:pt>
                <c:pt idx="6">
                  <c:v>2.7377536504938512E-7</c:v>
                </c:pt>
                <c:pt idx="7">
                  <c:v>2.7377536504938512E-6</c:v>
                </c:pt>
                <c:pt idx="8">
                  <c:v>2.737753650493851E-5</c:v>
                </c:pt>
                <c:pt idx="9">
                  <c:v>2.7377536504938512E-4</c:v>
                </c:pt>
                <c:pt idx="10">
                  <c:v>2.7377536504938514E-3</c:v>
                </c:pt>
                <c:pt idx="11">
                  <c:v>2.7377536504938516E-2</c:v>
                </c:pt>
                <c:pt idx="12">
                  <c:v>0.27377536504938516</c:v>
                </c:pt>
                <c:pt idx="13">
                  <c:v>2.7377536504938513</c:v>
                </c:pt>
                <c:pt idx="14">
                  <c:v>27.377536504938515</c:v>
                </c:pt>
                <c:pt idx="15">
                  <c:v>273.77536504938513</c:v>
                </c:pt>
                <c:pt idx="16">
                  <c:v>2737.7536504938512</c:v>
                </c:pt>
                <c:pt idx="17">
                  <c:v>27377.536504938511</c:v>
                </c:pt>
                <c:pt idx="18">
                  <c:v>273775.36504938512</c:v>
                </c:pt>
                <c:pt idx="19">
                  <c:v>2737753.6504938514</c:v>
                </c:pt>
                <c:pt idx="20">
                  <c:v>27377536.504938513</c:v>
                </c:pt>
                <c:pt idx="21">
                  <c:v>273775365.04938513</c:v>
                </c:pt>
                <c:pt idx="22">
                  <c:v>2737753650.4938512</c:v>
                </c:pt>
                <c:pt idx="23">
                  <c:v>27377536504.938511</c:v>
                </c:pt>
                <c:pt idx="24">
                  <c:v>273775365049.38513</c:v>
                </c:pt>
                <c:pt idx="25">
                  <c:v>2737753650493.8511</c:v>
                </c:pt>
                <c:pt idx="26">
                  <c:v>27377536504938.512</c:v>
                </c:pt>
                <c:pt idx="27">
                  <c:v>273775365049385.12</c:v>
                </c:pt>
                <c:pt idx="28">
                  <c:v>2737753650493851.5</c:v>
                </c:pt>
                <c:pt idx="29">
                  <c:v>2.7377536504938512E+16</c:v>
                </c:pt>
                <c:pt idx="30">
                  <c:v>2.7377536504938512E+17</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91926584"/>
        <c:axId val="491930504"/>
      </c:scatterChart>
      <c:valAx>
        <c:axId val="49192658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0504"/>
        <c:crosses val="autoZero"/>
        <c:crossBetween val="midCat"/>
      </c:valAx>
      <c:valAx>
        <c:axId val="491930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658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-17.1505695637697</c:v>
                </c:pt>
                <c:pt idx="1">
                  <c:v>-17.091981798352524</c:v>
                </c:pt>
                <c:pt idx="2">
                  <c:v>-17.033288620414108</c:v>
                </c:pt>
                <c:pt idx="3">
                  <c:v>-16.974384617433223</c:v>
                </c:pt>
                <c:pt idx="4">
                  <c:v>-16.91516437688863</c:v>
                </c:pt>
                <c:pt idx="5">
                  <c:v>-16.855522486259101</c:v>
                </c:pt>
                <c:pt idx="6">
                  <c:v>-16.795353533023395</c:v>
                </c:pt>
                <c:pt idx="7">
                  <c:v>-16.734552104660274</c:v>
                </c:pt>
                <c:pt idx="8">
                  <c:v>-16.673012788648506</c:v>
                </c:pt>
                <c:pt idx="9">
                  <c:v>-16.610630172466859</c:v>
                </c:pt>
                <c:pt idx="10">
                  <c:v>-16.547298843594092</c:v>
                </c:pt>
                <c:pt idx="11">
                  <c:v>-16.482913389508973</c:v>
                </c:pt>
                <c:pt idx="12">
                  <c:v>-16.417368397690268</c:v>
                </c:pt>
                <c:pt idx="13">
                  <c:v>-16.350558455616735</c:v>
                </c:pt>
                <c:pt idx="14">
                  <c:v>-16.282378150767144</c:v>
                </c:pt>
                <c:pt idx="15">
                  <c:v>-16.212722070620263</c:v>
                </c:pt>
                <c:pt idx="16">
                  <c:v>-16.141484802654851</c:v>
                </c:pt>
                <c:pt idx="17">
                  <c:v>-16.068560934349673</c:v>
                </c:pt>
                <c:pt idx="18">
                  <c:v>-15.993845053183497</c:v>
                </c:pt>
                <c:pt idx="19">
                  <c:v>-15.917231746635085</c:v>
                </c:pt>
                <c:pt idx="20">
                  <c:v>-15.838615602183204</c:v>
                </c:pt>
                <c:pt idx="21">
                  <c:v>-15.757891207306617</c:v>
                </c:pt>
                <c:pt idx="22">
                  <c:v>-15.674953149484086</c:v>
                </c:pt>
                <c:pt idx="23">
                  <c:v>-15.589696016194384</c:v>
                </c:pt>
                <c:pt idx="24">
                  <c:v>-15.502014394916268</c:v>
                </c:pt>
                <c:pt idx="25">
                  <c:v>-15.411802873128504</c:v>
                </c:pt>
                <c:pt idx="26">
                  <c:v>-15.31895603830986</c:v>
                </c:pt>
                <c:pt idx="27">
                  <c:v>-15.223368477939097</c:v>
                </c:pt>
                <c:pt idx="28">
                  <c:v>-15.124934779494982</c:v>
                </c:pt>
                <c:pt idx="29">
                  <c:v>-15.023549530456282</c:v>
                </c:pt>
                <c:pt idx="30">
                  <c:v>-14.919107318301755</c:v>
                </c:pt>
                <c:pt idx="31">
                  <c:v>-14.811502730510171</c:v>
                </c:pt>
                <c:pt idx="32">
                  <c:v>-14.700630354560294</c:v>
                </c:pt>
                <c:pt idx="33">
                  <c:v>-14.586384777930887</c:v>
                </c:pt>
                <c:pt idx="34">
                  <c:v>-14.468660588100716</c:v>
                </c:pt>
                <c:pt idx="35">
                  <c:v>-14.347352372548546</c:v>
                </c:pt>
                <c:pt idx="36">
                  <c:v>-14.222354718753142</c:v>
                </c:pt>
                <c:pt idx="37">
                  <c:v>-14.093562214193266</c:v>
                </c:pt>
                <c:pt idx="38">
                  <c:v>-13.960869446347687</c:v>
                </c:pt>
                <c:pt idx="39">
                  <c:v>-13.824171002695165</c:v>
                </c:pt>
                <c:pt idx="40">
                  <c:v>-13.683361470714466</c:v>
                </c:pt>
                <c:pt idx="41">
                  <c:v>-13.599511460000592</c:v>
                </c:pt>
                <c:pt idx="42">
                  <c:v>-13.511702468750856</c:v>
                </c:pt>
                <c:pt idx="43">
                  <c:v>-13.420192017278811</c:v>
                </c:pt>
                <c:pt idx="44">
                  <c:v>-13.325237625898009</c:v>
                </c:pt>
                <c:pt idx="45">
                  <c:v>-13.227096814921993</c:v>
                </c:pt>
                <c:pt idx="46">
                  <c:v>-13.126027104664317</c:v>
                </c:pt>
                <c:pt idx="47">
                  <c:v>-13.022286015438533</c:v>
                </c:pt>
                <c:pt idx="48">
                  <c:v>-12.91613106755819</c:v>
                </c:pt>
                <c:pt idx="49">
                  <c:v>-12.807819781336841</c:v>
                </c:pt>
                <c:pt idx="50">
                  <c:v>-12.69760967708803</c:v>
                </c:pt>
                <c:pt idx="51">
                  <c:v>-12.585758275125311</c:v>
                </c:pt>
                <c:pt idx="52">
                  <c:v>-12.472523095762238</c:v>
                </c:pt>
                <c:pt idx="53">
                  <c:v>-12.358161659312355</c:v>
                </c:pt>
                <c:pt idx="54">
                  <c:v>-12.242931486089216</c:v>
                </c:pt>
                <c:pt idx="55">
                  <c:v>-12.12709009640637</c:v>
                </c:pt>
                <c:pt idx="56">
                  <c:v>-12.010895010577368</c:v>
                </c:pt>
                <c:pt idx="57">
                  <c:v>-11.894603748915758</c:v>
                </c:pt>
                <c:pt idx="58">
                  <c:v>-11.778473831735095</c:v>
                </c:pt>
                <c:pt idx="59">
                  <c:v>-11.662762779348926</c:v>
                </c:pt>
                <c:pt idx="60">
                  <c:v>-11.547728112070802</c:v>
                </c:pt>
                <c:pt idx="61">
                  <c:v>-11.433627350214273</c:v>
                </c:pt>
                <c:pt idx="62">
                  <c:v>-11.320718014092888</c:v>
                </c:pt>
                <c:pt idx="63">
                  <c:v>-11.2092576240202</c:v>
                </c:pt>
                <c:pt idx="64">
                  <c:v>-11.099503700309759</c:v>
                </c:pt>
                <c:pt idx="65">
                  <c:v>-10.991713763275117</c:v>
                </c:pt>
                <c:pt idx="66">
                  <c:v>-10.88608478606587</c:v>
                </c:pt>
                <c:pt idx="67">
                  <c:v>-10.782571553175837</c:v>
                </c:pt>
                <c:pt idx="68">
                  <c:v>-10.681068301934882</c:v>
                </c:pt>
                <c:pt idx="69">
                  <c:v>-10.581469269672867</c:v>
                </c:pt>
                <c:pt idx="70">
                  <c:v>-10.483668693719665</c:v>
                </c:pt>
                <c:pt idx="71">
                  <c:v>-10.38756081140513</c:v>
                </c:pt>
                <c:pt idx="72">
                  <c:v>-10.293039860059134</c:v>
                </c:pt>
                <c:pt idx="73">
                  <c:v>-10.200000077011541</c:v>
                </c:pt>
                <c:pt idx="74">
                  <c:v>-10.108335699592216</c:v>
                </c:pt>
                <c:pt idx="75">
                  <c:v>-10.017940965131025</c:v>
                </c:pt>
                <c:pt idx="76">
                  <c:v>-9.9287101109578302</c:v>
                </c:pt>
                <c:pt idx="77">
                  <c:v>-9.8405373744025013</c:v>
                </c:pt>
                <c:pt idx="78">
                  <c:v>-9.7533169927948986</c:v>
                </c:pt>
                <c:pt idx="79">
                  <c:v>-9.6669432034648928</c:v>
                </c:pt>
                <c:pt idx="80">
                  <c:v>-9.5813102437423439</c:v>
                </c:pt>
                <c:pt idx="81">
                  <c:v>-9.496312350957119</c:v>
                </c:pt>
                <c:pt idx="82">
                  <c:v>-9.4118437624390818</c:v>
                </c:pt>
                <c:pt idx="83">
                  <c:v>-9.3277987155180995</c:v>
                </c:pt>
                <c:pt idx="84">
                  <c:v>-9.2440714475240373</c:v>
                </c:pt>
                <c:pt idx="85">
                  <c:v>-9.1605561957867589</c:v>
                </c:pt>
                <c:pt idx="86">
                  <c:v>-9.0771471976361298</c:v>
                </c:pt>
                <c:pt idx="87">
                  <c:v>-8.9937386904020151</c:v>
                </c:pt>
                <c:pt idx="88">
                  <c:v>-8.9102249114142822</c:v>
                </c:pt>
                <c:pt idx="89">
                  <c:v>-8.8265000980027928</c:v>
                </c:pt>
                <c:pt idx="90">
                  <c:v>-8.7424584874974123</c:v>
                </c:pt>
                <c:pt idx="91">
                  <c:v>-8.6580077823184567</c:v>
                </c:pt>
                <c:pt idx="92">
                  <c:v>-8.5731095452480179</c:v>
                </c:pt>
                <c:pt idx="93">
                  <c:v>-8.4877388041586439</c:v>
                </c:pt>
                <c:pt idx="94">
                  <c:v>-8.4018705869228789</c:v>
                </c:pt>
                <c:pt idx="95">
                  <c:v>-8.3154799214132638</c:v>
                </c:pt>
                <c:pt idx="96">
                  <c:v>-8.2285418355023463</c:v>
                </c:pt>
                <c:pt idx="97">
                  <c:v>-8.1410313570626673</c:v>
                </c:pt>
                <c:pt idx="98">
                  <c:v>-8.0529235139667747</c:v>
                </c:pt>
                <c:pt idx="99">
                  <c:v>-7.9641933340872111</c:v>
                </c:pt>
                <c:pt idx="100">
                  <c:v>-7.8748158452965189</c:v>
                </c:pt>
                <c:pt idx="101">
                  <c:v>-7.7847660754672443</c:v>
                </c:pt>
                <c:pt idx="102">
                  <c:v>-7.6940190524719325</c:v>
                </c:pt>
                <c:pt idx="103">
                  <c:v>-7.6025498041831261</c:v>
                </c:pt>
                <c:pt idx="104">
                  <c:v>-7.5103333584733685</c:v>
                </c:pt>
                <c:pt idx="105">
                  <c:v>-7.4173447432152058</c:v>
                </c:pt>
                <c:pt idx="106">
                  <c:v>-7.3235589862811814</c:v>
                </c:pt>
                <c:pt idx="107">
                  <c:v>-7.2289511155438397</c:v>
                </c:pt>
                <c:pt idx="108">
                  <c:v>-7.1334961588757251</c:v>
                </c:pt>
                <c:pt idx="109">
                  <c:v>-7.0371691441493809</c:v>
                </c:pt>
                <c:pt idx="110">
                  <c:v>-6.9399450992373524</c:v>
                </c:pt>
                <c:pt idx="111">
                  <c:v>-6.841799052012183</c:v>
                </c:pt>
                <c:pt idx="112">
                  <c:v>-6.742706030346417</c:v>
                </c:pt>
                <c:pt idx="113">
                  <c:v>-6.6426410621125989</c:v>
                </c:pt>
                <c:pt idx="114">
                  <c:v>-6.5415791751832719</c:v>
                </c:pt>
                <c:pt idx="115">
                  <c:v>-6.4394953974309823</c:v>
                </c:pt>
                <c:pt idx="116">
                  <c:v>-6.3363647567282726</c:v>
                </c:pt>
                <c:pt idx="117">
                  <c:v>-6.2321622809476889</c:v>
                </c:pt>
                <c:pt idx="118">
                  <c:v>-6.1268629979617728</c:v>
                </c:pt>
                <c:pt idx="119">
                  <c:v>-6.0204419356430696</c:v>
                </c:pt>
                <c:pt idx="120">
                  <c:v>-5.9128741218641245</c:v>
                </c:pt>
                <c:pt idx="121">
                  <c:v>-5.8041402853293755</c:v>
                </c:pt>
                <c:pt idx="122">
                  <c:v>-5.6942439580708273</c:v>
                </c:pt>
                <c:pt idx="123">
                  <c:v>-5.5831943729523816</c:v>
                </c:pt>
                <c:pt idx="124">
                  <c:v>-5.4710007628379431</c:v>
                </c:pt>
                <c:pt idx="125">
                  <c:v>-5.3576723605914109</c:v>
                </c:pt>
                <c:pt idx="126">
                  <c:v>-5.2432183990766861</c:v>
                </c:pt>
                <c:pt idx="127">
                  <c:v>-5.1276481111576704</c:v>
                </c:pt>
                <c:pt idx="128">
                  <c:v>-5.0109707296982666</c:v>
                </c:pt>
                <c:pt idx="129">
                  <c:v>-4.8931954875623722</c:v>
                </c:pt>
                <c:pt idx="130">
                  <c:v>-4.7743316176138917</c:v>
                </c:pt>
                <c:pt idx="131">
                  <c:v>-4.6543883527167242</c:v>
                </c:pt>
                <c:pt idx="132">
                  <c:v>-4.5333749257347744</c:v>
                </c:pt>
                <c:pt idx="133">
                  <c:v>-4.4113005695319387</c:v>
                </c:pt>
                <c:pt idx="134">
                  <c:v>-4.2881745169721217</c:v>
                </c:pt>
                <c:pt idx="135">
                  <c:v>-4.1640060009192252</c:v>
                </c:pt>
                <c:pt idx="136">
                  <c:v>-4.0388042542371476</c:v>
                </c:pt>
                <c:pt idx="137">
                  <c:v>-3.9125785097897925</c:v>
                </c:pt>
                <c:pt idx="138">
                  <c:v>-3.7853380004410604</c:v>
                </c:pt>
                <c:pt idx="139">
                  <c:v>-3.6570919590548523</c:v>
                </c:pt>
                <c:pt idx="140">
                  <c:v>-3.5278496184950696</c:v>
                </c:pt>
                <c:pt idx="141">
                  <c:v>-3.3976202116256138</c:v>
                </c:pt>
                <c:pt idx="142">
                  <c:v>-3.2664129713103862</c:v>
                </c:pt>
                <c:pt idx="143">
                  <c:v>-3.1342371304132883</c:v>
                </c:pt>
                <c:pt idx="144">
                  <c:v>-3.0011019217982202</c:v>
                </c:pt>
                <c:pt idx="145">
                  <c:v>-2.8670165783290846</c:v>
                </c:pt>
                <c:pt idx="146">
                  <c:v>-2.7319903328697817</c:v>
                </c:pt>
                <c:pt idx="147">
                  <c:v>-2.5960324182842132</c:v>
                </c:pt>
                <c:pt idx="148">
                  <c:v>-2.4591520674362801</c:v>
                </c:pt>
                <c:pt idx="149">
                  <c:v>-2.3213585131898848</c:v>
                </c:pt>
                <c:pt idx="150">
                  <c:v>-2.182660988408927</c:v>
                </c:pt>
                <c:pt idx="151">
                  <c:v>-2.0430687259573084</c:v>
                </c:pt>
                <c:pt idx="152">
                  <c:v>-1.9025909586989307</c:v>
                </c:pt>
                <c:pt idx="153">
                  <c:v>-1.7612369194976951</c:v>
                </c:pt>
                <c:pt idx="154">
                  <c:v>-1.6190158412175029</c:v>
                </c:pt>
                <c:pt idx="155">
                  <c:v>-1.4759369567222549</c:v>
                </c:pt>
                <c:pt idx="156">
                  <c:v>-1.3320094988758524</c:v>
                </c:pt>
                <c:pt idx="157">
                  <c:v>-1.1872427005421973</c:v>
                </c:pt>
                <c:pt idx="158">
                  <c:v>-1.0416457945851905</c:v>
                </c:pt>
                <c:pt idx="159">
                  <c:v>-0.89522801386873296</c:v>
                </c:pt>
                <c:pt idx="160">
                  <c:v>-0.74799859125672652</c:v>
                </c:pt>
                <c:pt idx="161">
                  <c:v>-0.599966759613072</c:v>
                </c:pt>
                <c:pt idx="162">
                  <c:v>-0.45114175180167082</c:v>
                </c:pt>
                <c:pt idx="163">
                  <c:v>-0.30153280068642424</c:v>
                </c:pt>
                <c:pt idx="164">
                  <c:v>-0.15114913913123351</c:v>
                </c:pt>
                <c:pt idx="165">
                  <c:v>0</c:v>
                </c:pt>
                <c:pt idx="166">
                  <c:v>0.15190332148872943</c:v>
                </c:pt>
                <c:pt idx="167">
                  <c:v>0.30454128069782505</c:v>
                </c:pt>
                <c:pt idx="168">
                  <c:v>0.4578922706355113</c:v>
                </c:pt>
                <c:pt idx="169">
                  <c:v>0.61193468431001263</c:v>
                </c:pt>
                <c:pt idx="170">
                  <c:v>0.76664691472955382</c:v>
                </c:pt>
                <c:pt idx="171">
                  <c:v>0.92200735490235919</c:v>
                </c:pt>
                <c:pt idx="172">
                  <c:v>1.0779943978366531</c:v>
                </c:pt>
                <c:pt idx="173">
                  <c:v>1.2345864365406607</c:v>
                </c:pt>
                <c:pt idx="174">
                  <c:v>1.3917618640226059</c:v>
                </c:pt>
                <c:pt idx="175">
                  <c:v>1.5494990732907135</c:v>
                </c:pt>
                <c:pt idx="176">
                  <c:v>1.7077764573532079</c:v>
                </c:pt>
                <c:pt idx="177">
                  <c:v>1.8665724092183138</c:v>
                </c:pt>
                <c:pt idx="178">
                  <c:v>2.0258653218942553</c:v>
                </c:pt>
                <c:pt idx="179">
                  <c:v>2.1856335883892575</c:v>
                </c:pt>
                <c:pt idx="180">
                  <c:v>2.3458556017115448</c:v>
                </c:pt>
                <c:pt idx="181">
                  <c:v>2.5065097548693411</c:v>
                </c:pt>
                <c:pt idx="182">
                  <c:v>2.6675744408708715</c:v>
                </c:pt>
                <c:pt idx="183">
                  <c:v>2.829028052724361</c:v>
                </c:pt>
                <c:pt idx="184">
                  <c:v>2.9908489834380334</c:v>
                </c:pt>
                <c:pt idx="185">
                  <c:v>3.153015626020113</c:v>
                </c:pt>
                <c:pt idx="186">
                  <c:v>3.3155063734788253</c:v>
                </c:pt>
                <c:pt idx="187">
                  <c:v>3.4782996188223936</c:v>
                </c:pt>
                <c:pt idx="188">
                  <c:v>3.641373755059043</c:v>
                </c:pt>
                <c:pt idx="189">
                  <c:v>3.8047071751969987</c:v>
                </c:pt>
                <c:pt idx="190">
                  <c:v>3.968278272244484</c:v>
                </c:pt>
                <c:pt idx="191">
                  <c:v>4.1320654392097245</c:v>
                </c:pt>
                <c:pt idx="192">
                  <c:v>4.2960470691009442</c:v>
                </c:pt>
                <c:pt idx="193">
                  <c:v>4.4602015549263676</c:v>
                </c:pt>
                <c:pt idx="194">
                  <c:v>4.6245072896942192</c:v>
                </c:pt>
                <c:pt idx="195">
                  <c:v>4.7889426664127246</c:v>
                </c:pt>
                <c:pt idx="196">
                  <c:v>4.9534860780901058</c:v>
                </c:pt>
                <c:pt idx="197">
                  <c:v>5.1181159177345901</c:v>
                </c:pt>
                <c:pt idx="198">
                  <c:v>5.2828105783544004</c:v>
                </c:pt>
                <c:pt idx="199">
                  <c:v>5.4475484529577614</c:v>
                </c:pt>
                <c:pt idx="200">
                  <c:v>5.6123079345528986</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-17.1505695637697</c:v>
                </c:pt>
                <c:pt idx="1">
                  <c:v>-13.683361470714468</c:v>
                </c:pt>
                <c:pt idx="2">
                  <c:v>-10.991713763275115</c:v>
                </c:pt>
                <c:pt idx="3">
                  <c:v>-8.7424584874974141</c:v>
                </c:pt>
                <c:pt idx="4">
                  <c:v>-5.9128741218641254</c:v>
                </c:pt>
                <c:pt idx="5">
                  <c:v>0</c:v>
                </c:pt>
                <c:pt idx="6">
                  <c:v>5.6123079345528986</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-17.160283800628577</c:v>
                </c:pt>
                <c:pt idx="1">
                  <c:v>-17.094217230871891</c:v>
                </c:pt>
                <c:pt idx="2">
                  <c:v>-17.030747148390674</c:v>
                </c:pt>
                <c:pt idx="3">
                  <c:v>-16.969233280602879</c:v>
                </c:pt>
                <c:pt idx="4">
                  <c:v>-16.909092541603655</c:v>
                </c:pt>
                <c:pt idx="5">
                  <c:v>-16.84979598313663</c:v>
                </c:pt>
                <c:pt idx="6">
                  <c:v>-16.79086584905869</c:v>
                </c:pt>
                <c:pt idx="7">
                  <c:v>-16.731872731189526</c:v>
                </c:pt>
                <c:pt idx="8">
                  <c:v>-16.672432824450141</c:v>
                </c:pt>
                <c:pt idx="9">
                  <c:v>-16.61220527922066</c:v>
                </c:pt>
                <c:pt idx="10">
                  <c:v>-16.550889648865962</c:v>
                </c:pt>
                <c:pt idx="11">
                  <c:v>-16.488223430395237</c:v>
                </c:pt>
                <c:pt idx="12">
                  <c:v>-16.423979696245823</c:v>
                </c:pt>
                <c:pt idx="13">
                  <c:v>-16.357964815198841</c:v>
                </c:pt>
                <c:pt idx="14">
                  <c:v>-16.290016260455246</c:v>
                </c:pt>
                <c:pt idx="15">
                  <c:v>-16.220000502920684</c:v>
                </c:pt>
                <c:pt idx="16">
                  <c:v>-16.147810987768707</c:v>
                </c:pt>
                <c:pt idx="17">
                  <c:v>-16.073366192369818</c:v>
                </c:pt>
                <c:pt idx="18">
                  <c:v>-15.996607763696247</c:v>
                </c:pt>
                <c:pt idx="19">
                  <c:v>-15.91749873333093</c:v>
                </c:pt>
                <c:pt idx="20">
                  <c:v>-15.836021808229916</c:v>
                </c:pt>
                <c:pt idx="21">
                  <c:v>-15.752177735407173</c:v>
                </c:pt>
                <c:pt idx="22">
                  <c:v>-15.665983738731029</c:v>
                </c:pt>
                <c:pt idx="23">
                  <c:v>-15.577472026041619</c:v>
                </c:pt>
                <c:pt idx="24">
                  <c:v>-15.486688364819003</c:v>
                </c:pt>
                <c:pt idx="25">
                  <c:v>-15.393690724650696</c:v>
                </c:pt>
                <c:pt idx="26">
                  <c:v>-15.298547984768945</c:v>
                </c:pt>
                <c:pt idx="27">
                  <c:v>-15.201338704946721</c:v>
                </c:pt>
                <c:pt idx="28">
                  <c:v>-15.102149958063144</c:v>
                </c:pt>
                <c:pt idx="29">
                  <c:v>-15.001076222666889</c:v>
                </c:pt>
                <c:pt idx="30">
                  <c:v>-14.898218333888686</c:v>
                </c:pt>
                <c:pt idx="31">
                  <c:v>-14.793682491071991</c:v>
                </c:pt>
                <c:pt idx="32">
                  <c:v>-14.687579320512654</c:v>
                </c:pt>
                <c:pt idx="33">
                  <c:v>-14.580022991717378</c:v>
                </c:pt>
                <c:pt idx="34">
                  <c:v>-14.471130385611048</c:v>
                </c:pt>
                <c:pt idx="35">
                  <c:v>-14.361020313144039</c:v>
                </c:pt>
                <c:pt idx="36">
                  <c:v>-14.249812782768963</c:v>
                </c:pt>
                <c:pt idx="37">
                  <c:v>-14.137628315278327</c:v>
                </c:pt>
                <c:pt idx="38">
                  <c:v>-14.024587304513012</c:v>
                </c:pt>
                <c:pt idx="39">
                  <c:v>-13.910809422472788</c:v>
                </c:pt>
                <c:pt idx="40">
                  <c:v>-13.796413067379156</c:v>
                </c:pt>
                <c:pt idx="41">
                  <c:v>-13.681514853262097</c:v>
                </c:pt>
                <c:pt idx="42">
                  <c:v>-13.566229139661107</c:v>
                </c:pt>
                <c:pt idx="43">
                  <c:v>-13.450667600051698</c:v>
                </c:pt>
                <c:pt idx="44">
                  <c:v>-13.334938827628893</c:v>
                </c:pt>
                <c:pt idx="45">
                  <c:v>-13.219147977098459</c:v>
                </c:pt>
                <c:pt idx="46">
                  <c:v>-13.103396441147531</c:v>
                </c:pt>
                <c:pt idx="47">
                  <c:v>-12.987781560286034</c:v>
                </c:pt>
                <c:pt idx="48">
                  <c:v>-12.872396364770058</c:v>
                </c:pt>
                <c:pt idx="49">
                  <c:v>-12.757329347339521</c:v>
                </c:pt>
                <c:pt idx="50">
                  <c:v>-12.642664265520832</c:v>
                </c:pt>
                <c:pt idx="51">
                  <c:v>-12.52847997226729</c:v>
                </c:pt>
                <c:pt idx="52">
                  <c:v>-12.414850273728272</c:v>
                </c:pt>
                <c:pt idx="53">
                  <c:v>-12.301843812959778</c:v>
                </c:pt>
                <c:pt idx="54">
                  <c:v>-12.189523978408005</c:v>
                </c:pt>
                <c:pt idx="55">
                  <c:v>-12.077948836018205</c:v>
                </c:pt>
                <c:pt idx="56">
                  <c:v>-11.967171083841027</c:v>
                </c:pt>
                <c:pt idx="57">
                  <c:v>-11.857238028028616</c:v>
                </c:pt>
                <c:pt idx="58">
                  <c:v>-11.748191579132998</c:v>
                </c:pt>
                <c:pt idx="59">
                  <c:v>-11.640068267638959</c:v>
                </c:pt>
                <c:pt idx="60">
                  <c:v>-11.532899277684329</c:v>
                </c:pt>
                <c:pt idx="61">
                  <c:v>-11.426710497940006</c:v>
                </c:pt>
                <c:pt idx="62">
                  <c:v>-11.321522588642697</c:v>
                </c:pt>
                <c:pt idx="63">
                  <c:v>-11.217351063793107</c:v>
                </c:pt>
                <c:pt idx="64">
                  <c:v>-11.11420638755248</c:v>
                </c:pt>
                <c:pt idx="65">
                  <c:v>-11.012094083890609</c:v>
                </c:pt>
                <c:pt idx="66">
                  <c:v>-10.911014858558278</c:v>
                </c:pt>
                <c:pt idx="67">
                  <c:v>-10.810964732477396</c:v>
                </c:pt>
                <c:pt idx="68">
                  <c:v>-10.711935185662124</c:v>
                </c:pt>
                <c:pt idx="69">
                  <c:v>-10.613913310804289</c:v>
                </c:pt>
                <c:pt idx="70">
                  <c:v>-10.516881975676606</c:v>
                </c:pt>
                <c:pt idx="71">
                  <c:v>-10.420819993527161</c:v>
                </c:pt>
                <c:pt idx="72">
                  <c:v>-10.325702300658913</c:v>
                </c:pt>
                <c:pt idx="73">
                  <c:v>-10.231500140407769</c:v>
                </c:pt>
                <c:pt idx="74">
                  <c:v>-10.138181252753196</c:v>
                </c:pt>
                <c:pt idx="75">
                  <c:v>-10.045710068815142</c:v>
                </c:pt>
                <c:pt idx="76">
                  <c:v>-9.9540479095113366</c:v>
                </c:pt>
                <c:pt idx="77">
                  <c:v>-9.86315318766896</c:v>
                </c:pt>
                <c:pt idx="78">
                  <c:v>-9.7729816129049087</c:v>
                </c:pt>
                <c:pt idx="79">
                  <c:v>-9.6834863986088564</c:v>
                </c:pt>
                <c:pt idx="80">
                  <c:v>-9.5946184703834803</c:v>
                </c:pt>
                <c:pt idx="81">
                  <c:v>-9.5063266753162594</c:v>
                </c:pt>
                <c:pt idx="82">
                  <c:v>-9.4185579914773268</c:v>
                </c:pt>
                <c:pt idx="83">
                  <c:v>-9.3312577370580421</c:v>
                </c:pt>
                <c:pt idx="84">
                  <c:v>-9.2443697785849217</c:v>
                </c:pt>
                <c:pt idx="85">
                  <c:v>-9.157836737663704</c:v>
                </c:pt>
                <c:pt idx="86">
                  <c:v>-9.0716001957284327</c:v>
                </c:pt>
                <c:pt idx="87">
                  <c:v>-8.985600896290542</c:v>
                </c:pt>
                <c:pt idx="88">
                  <c:v>-8.8997789442028576</c:v>
                </c:pt>
                <c:pt idx="89">
                  <c:v>-8.8140740014738554</c:v>
                </c:pt>
                <c:pt idx="90">
                  <c:v>-8.7284254791871518</c:v>
                </c:pt>
                <c:pt idx="91">
                  <c:v>-8.6427727251017572</c:v>
                </c:pt>
                <c:pt idx="92">
                  <c:v>-8.5570552065283021</c:v>
                </c:pt>
                <c:pt idx="93">
                  <c:v>-8.4712126880968555</c:v>
                </c:pt>
                <c:pt idx="94">
                  <c:v>-8.3851854040518266</c:v>
                </c:pt>
                <c:pt idx="95">
                  <c:v>-8.2989142247296268</c:v>
                </c:pt>
                <c:pt idx="96">
                  <c:v>-8.2123408168948746</c:v>
                </c:pt>
                <c:pt idx="97">
                  <c:v>-8.1254077976309134</c:v>
                </c:pt>
                <c:pt idx="98">
                  <c:v>-8.0380588815006497</c:v>
                </c:pt>
                <c:pt idx="99">
                  <c:v>-7.9502390207136244</c:v>
                </c:pt>
                <c:pt idx="100">
                  <c:v>-7.8618945380555179</c:v>
                </c:pt>
                <c:pt idx="101">
                  <c:v>-7.7729732523562083</c:v>
                </c:pt>
                <c:pt idx="102">
                  <c:v>-7.6834245962927019</c:v>
                </c:pt>
                <c:pt idx="103">
                  <c:v>-7.5931997263432596</c:v>
                </c:pt>
                <c:pt idx="104">
                  <c:v>-7.5022516247292099</c:v>
                </c:pt>
                <c:pt idx="105">
                  <c:v>-7.4105351932009951</c:v>
                </c:pt>
                <c:pt idx="106">
                  <c:v>-7.3180073385450282</c:v>
                </c:pt>
                <c:pt idx="107">
                  <c:v>-7.2246270497081575</c:v>
                </c:pt>
                <c:pt idx="108">
                  <c:v>-7.1303554664564679</c:v>
                </c:pt>
                <c:pt idx="109">
                  <c:v>-7.0351559395053709</c:v>
                </c:pt>
                <c:pt idx="110">
                  <c:v>-6.9389940820779437</c:v>
                </c:pt>
                <c:pt idx="111">
                  <c:v>-6.8418378128685911</c:v>
                </c:pt>
                <c:pt idx="112">
                  <c:v>-6.7436573904091945</c:v>
                </c:pt>
                <c:pt idx="113">
                  <c:v>-6.6444254388549906</c:v>
                </c:pt>
                <c:pt idx="114">
                  <c:v>-6.54411696522752</c:v>
                </c:pt>
                <c:pt idx="115">
                  <c:v>-6.4427093681720882</c:v>
                </c:pt>
                <c:pt idx="116">
                  <c:v>-6.3401824383072043</c:v>
                </c:pt>
                <c:pt idx="117">
                  <c:v>-6.2365183502636627</c:v>
                </c:pt>
                <c:pt idx="118">
                  <c:v>-6.131701646530912</c:v>
                </c:pt>
                <c:pt idx="119">
                  <c:v>-6.0257192132484949</c:v>
                </c:pt>
                <c:pt idx="120">
                  <c:v>-5.9185602481004596</c:v>
                </c:pt>
                <c:pt idx="121">
                  <c:v>-5.8102162204906502</c:v>
                </c:pt>
                <c:pt idx="122">
                  <c:v>-5.7006808241969473</c:v>
                </c:pt>
                <c:pt idx="123">
                  <c:v>-5.5899499227226013</c:v>
                </c:pt>
                <c:pt idx="124">
                  <c:v>-5.4780214875828381</c:v>
                </c:pt>
                <c:pt idx="125">
                  <c:v>-5.3648955297850893</c:v>
                </c:pt>
                <c:pt idx="126">
                  <c:v>-5.2505740247812112</c:v>
                </c:pt>
                <c:pt idx="127">
                  <c:v>-5.135060831190204</c:v>
                </c:pt>
                <c:pt idx="128">
                  <c:v>-5.0183616036099794</c:v>
                </c:pt>
                <c:pt idx="129">
                  <c:v>-4.9004836998568484</c:v>
                </c:pt>
                <c:pt idx="130">
                  <c:v>-4.7814360829914886</c:v>
                </c:pt>
                <c:pt idx="131">
                  <c:v>-4.6612292185102238</c:v>
                </c:pt>
                <c:pt idx="132">
                  <c:v>-4.5398749671005163</c:v>
                </c:pt>
                <c:pt idx="133">
                  <c:v>-4.4173864733797421</c:v>
                </c:pt>
                <c:pt idx="134">
                  <c:v>-4.2937780510562904</c:v>
                </c:pt>
                <c:pt idx="135">
                  <c:v>-4.1690650649722212</c:v>
                </c:pt>
                <c:pt idx="136">
                  <c:v>-4.0432638105067484</c:v>
                </c:pt>
                <c:pt idx="137">
                  <c:v>-3.9163913908399071</c:v>
                </c:pt>
                <c:pt idx="138">
                  <c:v>-3.7884655925958755</c:v>
                </c:pt>
                <c:pt idx="139">
                  <c:v>-3.6595047604054822</c:v>
                </c:pt>
                <c:pt idx="140">
                  <c:v>-3.5295276709475507</c:v>
                </c:pt>
                <c:pt idx="141">
                  <c:v>-3.3985534070487695</c:v>
                </c:pt>
                <c:pt idx="142">
                  <c:v>-3.2666012324419409</c:v>
                </c:pt>
                <c:pt idx="143">
                  <c:v>-3.133690467802468</c:v>
                </c:pt>
                <c:pt idx="144">
                  <c:v>-2.9998403687030839</c:v>
                </c:pt>
                <c:pt idx="145">
                  <c:v>-2.8650700061468979</c:v>
                </c:pt>
                <c:pt idx="146">
                  <c:v>-2.7293981503589144</c:v>
                </c:pt>
                <c:pt idx="147">
                  <c:v>-2.5928431585362763</c:v>
                </c:pt>
                <c:pt idx="148">
                  <c:v>-2.4554228672775817</c:v>
                </c:pt>
                <c:pt idx="149">
                  <c:v>-2.3171544904316863</c:v>
                </c:pt>
                <c:pt idx="150">
                  <c:v>-2.1780545231265163</c:v>
                </c:pt>
                <c:pt idx="151">
                  <c:v>-2.0381386527585006</c:v>
                </c:pt>
                <c:pt idx="152">
                  <c:v>-1.8974216777432991</c:v>
                </c:pt>
                <c:pt idx="153">
                  <c:v>-1.7559174348486268</c:v>
                </c:pt>
                <c:pt idx="154">
                  <c:v>-1.6136387359500219</c:v>
                </c:pt>
                <c:pt idx="155">
                  <c:v>-1.4705973150705367</c:v>
                </c:pt>
                <c:pt idx="156">
                  <c:v>-1.3268037865853797</c:v>
                </c:pt>
                <c:pt idx="157">
                  <c:v>-1.1822676154926506</c:v>
                </c:pt>
                <c:pt idx="158">
                  <c:v>-1.0369971006713921</c:v>
                </c:pt>
                <c:pt idx="159">
                  <c:v>-0.8909993720682603</c:v>
                </c:pt>
                <c:pt idx="160">
                  <c:v>-0.74428040277422391</c:v>
                </c:pt>
                <c:pt idx="161">
                  <c:v>-0.59684503697276858</c:v>
                </c:pt>
                <c:pt idx="162">
                  <c:v>-0.44869703476119005</c:v>
                </c:pt>
                <c:pt idx="163">
                  <c:v>-0.29983913486663294</c:v>
                </c:pt>
                <c:pt idx="164">
                  <c:v>-0.15027313629863323</c:v>
                </c:pt>
                <c:pt idx="165">
                  <c:v>0</c:v>
                </c:pt>
                <c:pt idx="166">
                  <c:v>0.15098002842203276</c:v>
                </c:pt>
                <c:pt idx="167">
                  <c:v>0.30266727378236802</c:v>
                </c:pt>
                <c:pt idx="168">
                  <c:v>0.45506246310021614</c:v>
                </c:pt>
                <c:pt idx="169">
                  <c:v>0.60816653293468048</c:v>
                </c:pt>
                <c:pt idx="170">
                  <c:v>0.76198041111147596</c:v>
                </c:pt>
                <c:pt idx="171">
                  <c:v>0.91650477165841182</c:v>
                </c:pt>
                <c:pt idx="172">
                  <c:v>1.0717397617471791</c:v>
                </c:pt>
                <c:pt idx="173">
                  <c:v>1.2276846994188961</c:v>
                </c:pt>
                <c:pt idx="174">
                  <c:v>1.3843377408507773</c:v>
                </c:pt>
                <c:pt idx="175">
                  <c:v>1.5416955159012049</c:v>
                </c:pt>
                <c:pt idx="176">
                  <c:v>1.6997527306503837</c:v>
                </c:pt>
                <c:pt idx="177">
                  <c:v>1.8585017356336937</c:v>
                </c:pt>
                <c:pt idx="178">
                  <c:v>2.0179320584447349</c:v>
                </c:pt>
                <c:pt idx="179">
                  <c:v>2.1780298993650007</c:v>
                </c:pt>
                <c:pt idx="180">
                  <c:v>2.3387775886570119</c:v>
                </c:pt>
                <c:pt idx="181">
                  <c:v>2.500153004137657</c:v>
                </c:pt>
                <c:pt idx="182">
                  <c:v>2.6621289476283909</c:v>
                </c:pt>
                <c:pt idx="183">
                  <c:v>2.8246724788588886</c:v>
                </c:pt>
                <c:pt idx="184">
                  <c:v>2.9877442053805909</c:v>
                </c:pt>
                <c:pt idx="185">
                  <c:v>3.1512975270265815</c:v>
                </c:pt>
                <c:pt idx="186">
                  <c:v>3.3152778334340764</c:v>
                </c:pt>
                <c:pt idx="187">
                  <c:v>3.4796216531257431</c:v>
                </c:pt>
                <c:pt idx="188">
                  <c:v>3.6442557526259876</c:v>
                </c:pt>
                <c:pt idx="189">
                  <c:v>3.8090961840682453</c:v>
                </c:pt>
                <c:pt idx="190">
                  <c:v>3.9740472797292279</c:v>
                </c:pt>
                <c:pt idx="191">
                  <c:v>4.1390005919059885</c:v>
                </c:pt>
                <c:pt idx="192">
                  <c:v>4.3038337765315839</c:v>
                </c:pt>
                <c:pt idx="193">
                  <c:v>4.468409418905023</c:v>
                </c:pt>
                <c:pt idx="194">
                  <c:v>4.6325737998910936</c:v>
                </c:pt>
                <c:pt idx="195">
                  <c:v>4.7961556009255872</c:v>
                </c:pt>
                <c:pt idx="196">
                  <c:v>4.9589645461413339</c:v>
                </c:pt>
                <c:pt idx="197">
                  <c:v>5.120789979910394</c:v>
                </c:pt>
                <c:pt idx="198">
                  <c:v>5.2813993780776372</c:v>
                </c:pt>
                <c:pt idx="199">
                  <c:v>5.4405367911408842</c:v>
                </c:pt>
                <c:pt idx="200">
                  <c:v>5.5979212176126723</c:v>
                </c:pt>
              </c:numCache>
            </c:numRef>
          </c:yVal>
          <c:smooth val="1"/>
        </c:ser>
        <c:dLbls>
          <c:showLegendKey val="0"/>
          <c:showVal val="0"/>
          <c:showCatName val="0"/>
          <c:showSerName val="0"/>
          <c:showPercent val="0"/>
          <c:showBubbleSize val="0"/>
        </c:dLbls>
        <c:axId val="491926192"/>
        <c:axId val="491923448"/>
      </c:scatterChart>
      <c:valAx>
        <c:axId val="49192619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3448"/>
        <c:crossesAt val="-1000"/>
        <c:crossBetween val="midCat"/>
      </c:valAx>
      <c:valAx>
        <c:axId val="491923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619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1.9178677428571428E-5</v>
      </c>
    </row>
    <row r="26" spans="1:2" s="11" customFormat="1" x14ac:dyDescent="0.25">
      <c r="A26" s="61" t="s">
        <v>148</v>
      </c>
      <c r="B26" s="53">
        <f>CTE!O6</f>
        <v>2.1154238571428571E-5</v>
      </c>
    </row>
    <row r="27" spans="1:2" s="11" customFormat="1" x14ac:dyDescent="0.25">
      <c r="A27" s="61" t="s">
        <v>149</v>
      </c>
      <c r="B27" s="53">
        <f>CTE!O8</f>
        <v>5.9200051428571433E-5</v>
      </c>
    </row>
    <row r="28" spans="1:2" s="11" customFormat="1" x14ac:dyDescent="0.25">
      <c r="A28" s="61" t="s">
        <v>150</v>
      </c>
      <c r="B28" s="53">
        <f>CTE!O9</f>
        <v>5.9157857142857142E-5</v>
      </c>
    </row>
    <row r="29" spans="1:2" s="11" customFormat="1" x14ac:dyDescent="0.25">
      <c r="A29" s="61"/>
    </row>
    <row r="30" spans="1:2" s="11" customFormat="1" x14ac:dyDescent="0.25">
      <c r="A30" s="61" t="s">
        <v>151</v>
      </c>
      <c r="B30" s="52">
        <f>CTE!P5</f>
        <v>1.9777143684210526E-5</v>
      </c>
    </row>
    <row r="31" spans="1:2" s="11" customFormat="1" x14ac:dyDescent="0.25">
      <c r="A31" s="61" t="s">
        <v>152</v>
      </c>
      <c r="B31" s="52">
        <f>CTE!P6</f>
        <v>2.1845439578947371E-5</v>
      </c>
    </row>
    <row r="32" spans="1:2" s="11" customFormat="1" x14ac:dyDescent="0.25">
      <c r="A32" s="61" t="s">
        <v>153</v>
      </c>
      <c r="B32" s="52">
        <f>CTE!P8</f>
        <v>6.052054E-5</v>
      </c>
    </row>
    <row r="33" spans="1:2" s="11" customFormat="1" x14ac:dyDescent="0.25">
      <c r="A33" s="61" t="s">
        <v>154</v>
      </c>
      <c r="B33" s="52">
        <f>CTE!P9</f>
        <v>6.0679988421052626E-5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0.15062657054892623</v>
      </c>
      <c r="D59" s="55">
        <v>1</v>
      </c>
    </row>
    <row r="60" spans="1:4" s="11" customFormat="1" x14ac:dyDescent="0.25">
      <c r="A60" s="54">
        <v>2</v>
      </c>
      <c r="B60" s="56">
        <f>'Shiftfunktion bestimmen'!N2</f>
        <v>3.5342216465981946E-4</v>
      </c>
      <c r="D60" s="55">
        <v>2</v>
      </c>
    </row>
    <row r="61" spans="1:4" s="11" customFormat="1" x14ac:dyDescent="0.25">
      <c r="A61" s="54">
        <v>3</v>
      </c>
      <c r="B61" s="56">
        <f>'Shiftfunktion bestimmen'!N3</f>
        <v>1.3113200152656884E-8</v>
      </c>
      <c r="D61" s="55">
        <v>3</v>
      </c>
    </row>
    <row r="62" spans="1:4" s="11" customFormat="1" x14ac:dyDescent="0.25">
      <c r="A62" s="54">
        <v>4</v>
      </c>
      <c r="B62" s="56">
        <f>'Shiftfunktion bestimmen'!N4</f>
        <v>2.392940067924793E-8</v>
      </c>
      <c r="D62" s="55">
        <v>4</v>
      </c>
    </row>
    <row r="63" spans="1:4" s="11" customFormat="1" x14ac:dyDescent="0.25">
      <c r="A63" s="54">
        <v>5</v>
      </c>
      <c r="B63" s="56">
        <f>'Shiftfunktion bestimmen'!N5</f>
        <v>-1.3015687563167799E-9</v>
      </c>
      <c r="D63" s="55">
        <v>5</v>
      </c>
    </row>
    <row r="64" spans="1:4" s="11" customFormat="1" x14ac:dyDescent="0.25">
      <c r="A64" s="54">
        <v>6</v>
      </c>
      <c r="B64" s="56">
        <f>'Shiftfunktion bestimmen'!N6</f>
        <v>-3.2360235271067014E-11</v>
      </c>
      <c r="D64" s="55">
        <v>6</v>
      </c>
    </row>
    <row r="65" spans="1:5" s="11" customFormat="1" x14ac:dyDescent="0.25">
      <c r="A65" s="54">
        <v>7</v>
      </c>
      <c r="B65" s="56">
        <f>'Shiftfunktion bestimmen'!N7</f>
        <v>-2.2463279124399686E-13</v>
      </c>
      <c r="D65" s="55">
        <v>7</v>
      </c>
    </row>
    <row r="66" spans="1:5" x14ac:dyDescent="0.25">
      <c r="A66" s="54">
        <v>8</v>
      </c>
      <c r="B66" s="56">
        <f>'Shiftfunktion bestimmen'!N8</f>
        <v>-4.9822169598687902E-16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0.16357682793148628</v>
      </c>
      <c r="D74" s="51">
        <v>1</v>
      </c>
      <c r="E74" s="56">
        <f>'Mastercurve bestimmen'!A18</f>
        <v>1.0000000000000001E-20</v>
      </c>
    </row>
    <row r="75" spans="1:5" x14ac:dyDescent="0.25">
      <c r="A75" s="50">
        <f>A74+1</f>
        <v>2</v>
      </c>
      <c r="B75" s="56">
        <f>'Mastercurve bestimmen'!C19</f>
        <v>5.824819559930694E-2</v>
      </c>
      <c r="D75" s="51">
        <v>2</v>
      </c>
      <c r="E75" s="56">
        <f>'Mastercurve bestimmen'!A19</f>
        <v>3.9038946506297401E-14</v>
      </c>
    </row>
    <row r="76" spans="1:5" x14ac:dyDescent="0.25">
      <c r="A76" s="50">
        <f t="shared" ref="A76:A104" si="0">A75+1</f>
        <v>3</v>
      </c>
      <c r="B76" s="56">
        <f>'Mastercurve bestimmen'!C20</f>
        <v>1.72549599699389E-2</v>
      </c>
      <c r="D76" s="51">
        <v>3</v>
      </c>
      <c r="E76" s="56">
        <f>'Mastercurve bestimmen'!A20</f>
        <v>4.3276437088188502E-13</v>
      </c>
    </row>
    <row r="77" spans="1:5" x14ac:dyDescent="0.25">
      <c r="A77" s="50">
        <f t="shared" si="0"/>
        <v>4</v>
      </c>
      <c r="B77" s="56">
        <f>'Mastercurve bestimmen'!C21</f>
        <v>3.2278437816377237E-2</v>
      </c>
      <c r="D77" s="51">
        <v>4</v>
      </c>
      <c r="E77" s="56">
        <f>'Mastercurve bestimmen'!A21</f>
        <v>4.7973886968128502E-12</v>
      </c>
    </row>
    <row r="78" spans="1:5" x14ac:dyDescent="0.25">
      <c r="A78" s="50">
        <f t="shared" si="0"/>
        <v>5</v>
      </c>
      <c r="B78" s="56">
        <f>'Mastercurve bestimmen'!C22</f>
        <v>3.7144505568638776E-2</v>
      </c>
      <c r="D78" s="51">
        <v>5</v>
      </c>
      <c r="E78" s="56">
        <f>'Mastercurve bestimmen'!A22</f>
        <v>5.31812225239524E-11</v>
      </c>
    </row>
    <row r="79" spans="1:5" x14ac:dyDescent="0.25">
      <c r="A79" s="50">
        <f t="shared" si="0"/>
        <v>6</v>
      </c>
      <c r="B79" s="56">
        <f>'Mastercurve bestimmen'!C23</f>
        <v>4.0797811725329765E-2</v>
      </c>
      <c r="D79" s="51">
        <v>6</v>
      </c>
      <c r="E79" s="56">
        <f>'Mastercurve bestimmen'!A23</f>
        <v>5.8953789402578301E-10</v>
      </c>
    </row>
    <row r="80" spans="1:5" x14ac:dyDescent="0.25">
      <c r="A80" s="50">
        <f t="shared" si="0"/>
        <v>7</v>
      </c>
      <c r="B80" s="56">
        <f>'Mastercurve bestimmen'!C24</f>
        <v>3.2982255914933402E-2</v>
      </c>
      <c r="D80" s="51">
        <v>7</v>
      </c>
      <c r="E80" s="56">
        <f>'Mastercurve bestimmen'!A24</f>
        <v>6.5352940755699598E-9</v>
      </c>
    </row>
    <row r="81" spans="1:5" x14ac:dyDescent="0.25">
      <c r="A81" s="50">
        <f t="shared" si="0"/>
        <v>8</v>
      </c>
      <c r="B81" s="56">
        <f>'Mastercurve bestimmen'!C25</f>
        <v>2.7372238189347697E-2</v>
      </c>
      <c r="D81" s="51">
        <v>8</v>
      </c>
      <c r="E81" s="56">
        <f>'Mastercurve bestimmen'!A25</f>
        <v>7.2446689325643296E-8</v>
      </c>
    </row>
    <row r="82" spans="1:5" x14ac:dyDescent="0.25">
      <c r="A82" s="50">
        <f t="shared" si="0"/>
        <v>9</v>
      </c>
      <c r="B82" s="56">
        <f>'Mastercurve bestimmen'!C26</f>
        <v>2.94207547964777E-2</v>
      </c>
      <c r="D82" s="51">
        <f>A82</f>
        <v>9</v>
      </c>
      <c r="E82" s="56">
        <f>'Mastercurve bestimmen'!A26</f>
        <v>8.03104303120212E-7</v>
      </c>
    </row>
    <row r="83" spans="1:5" x14ac:dyDescent="0.25">
      <c r="A83" s="50">
        <f t="shared" si="0"/>
        <v>10</v>
      </c>
      <c r="B83" s="56">
        <f>'Mastercurve bestimmen'!C27</f>
        <v>2.9009360037806093E-2</v>
      </c>
      <c r="C83" s="11"/>
      <c r="D83" s="51">
        <f t="shared" ref="D83:D104" si="1">A83</f>
        <v>10</v>
      </c>
      <c r="E83" s="56">
        <f>'Mastercurve bestimmen'!A27</f>
        <v>8.9027742702096099E-6</v>
      </c>
    </row>
    <row r="84" spans="1:5" x14ac:dyDescent="0.25">
      <c r="A84" s="50">
        <f t="shared" si="0"/>
        <v>11</v>
      </c>
      <c r="B84" s="56">
        <f>'Mastercurve bestimmen'!C28</f>
        <v>2.6775000161878105E-2</v>
      </c>
      <c r="C84" s="11"/>
      <c r="D84" s="51">
        <f t="shared" si="1"/>
        <v>11</v>
      </c>
      <c r="E84" s="56">
        <f>'Mastercurve bestimmen'!A28</f>
        <v>9.86912775817142E-5</v>
      </c>
    </row>
    <row r="85" spans="1:5" x14ac:dyDescent="0.25">
      <c r="A85" s="50">
        <f t="shared" si="0"/>
        <v>12</v>
      </c>
      <c r="B85" s="56">
        <f>'Mastercurve bestimmen'!C29</f>
        <v>3.1584912015022802E-2</v>
      </c>
      <c r="C85" s="11"/>
      <c r="D85" s="51">
        <f t="shared" si="1"/>
        <v>12</v>
      </c>
      <c r="E85" s="56">
        <f>'Mastercurve bestimmen'!A29</f>
        <v>1.0940374286813801E-3</v>
      </c>
    </row>
    <row r="86" spans="1:5" x14ac:dyDescent="0.25">
      <c r="A86" s="50">
        <f t="shared" si="0"/>
        <v>13</v>
      </c>
      <c r="B86" s="56">
        <f>'Mastercurve bestimmen'!C30</f>
        <v>3.592675255612271E-2</v>
      </c>
      <c r="C86" s="11"/>
      <c r="D86" s="51">
        <f t="shared" si="1"/>
        <v>13</v>
      </c>
      <c r="E86" s="56">
        <f>'Mastercurve bestimmen'!A30</f>
        <v>1.2127899493091E-2</v>
      </c>
    </row>
    <row r="87" spans="1:5" x14ac:dyDescent="0.25">
      <c r="A87" s="50">
        <f t="shared" si="0"/>
        <v>14</v>
      </c>
      <c r="B87" s="56">
        <f>'Mastercurve bestimmen'!C31</f>
        <v>3.8216836337325075E-2</v>
      </c>
      <c r="C87" s="11"/>
      <c r="D87" s="51">
        <f t="shared" si="1"/>
        <v>14</v>
      </c>
      <c r="E87" s="56">
        <f>'Mastercurve bestimmen'!A31</f>
        <v>0.13444324870292301</v>
      </c>
    </row>
    <row r="88" spans="1:5" x14ac:dyDescent="0.25">
      <c r="A88" s="50">
        <f t="shared" si="0"/>
        <v>15</v>
      </c>
      <c r="B88" s="56">
        <f>'Mastercurve bestimmen'!C32</f>
        <v>4.8113881849429982E-2</v>
      </c>
      <c r="C88" s="11"/>
      <c r="D88" s="51">
        <f t="shared" si="1"/>
        <v>15</v>
      </c>
      <c r="E88" s="56">
        <f>'Mastercurve bestimmen'!A32</f>
        <v>1.49036419143257</v>
      </c>
    </row>
    <row r="89" spans="1:5" x14ac:dyDescent="0.25">
      <c r="A89" s="50">
        <f t="shared" si="0"/>
        <v>16</v>
      </c>
      <c r="B89" s="56">
        <f>'Mastercurve bestimmen'!C33</f>
        <v>5.6463045562969084E-2</v>
      </c>
      <c r="C89" s="11"/>
      <c r="D89" s="51">
        <f t="shared" si="1"/>
        <v>16</v>
      </c>
      <c r="E89" s="56">
        <f>'Mastercurve bestimmen'!A33</f>
        <v>16.521360830937301</v>
      </c>
    </row>
    <row r="90" spans="1:5" x14ac:dyDescent="0.25">
      <c r="A90" s="50">
        <f t="shared" si="0"/>
        <v>17</v>
      </c>
      <c r="B90" s="56">
        <f>'Mastercurve bestimmen'!C34</f>
        <v>5.9569205174430817E-2</v>
      </c>
      <c r="C90" s="11"/>
      <c r="D90" s="51">
        <f t="shared" si="1"/>
        <v>17</v>
      </c>
      <c r="E90" s="56">
        <f>'Mastercurve bestimmen'!A34</f>
        <v>183.146753843879</v>
      </c>
    </row>
    <row r="91" spans="1:5" x14ac:dyDescent="0.25">
      <c r="A91" s="50">
        <f t="shared" si="0"/>
        <v>18</v>
      </c>
      <c r="B91" s="56">
        <f>'Mastercurve bestimmen'!C35</f>
        <v>6.4663842713273356E-2</v>
      </c>
      <c r="C91" s="11"/>
      <c r="D91" s="51">
        <f t="shared" si="1"/>
        <v>18</v>
      </c>
      <c r="E91" s="56">
        <f>'Mastercurve bestimmen'!A35</f>
        <v>2030.26456396616</v>
      </c>
    </row>
    <row r="92" spans="1:5" x14ac:dyDescent="0.25">
      <c r="A92" s="50">
        <f t="shared" si="0"/>
        <v>19</v>
      </c>
      <c r="B92" s="56">
        <f>'Mastercurve bestimmen'!C36</f>
        <v>4.8548005334617741E-2</v>
      </c>
      <c r="C92" s="11"/>
      <c r="D92" s="51">
        <f t="shared" si="1"/>
        <v>19</v>
      </c>
      <c r="E92" s="56">
        <f>'Mastercurve bestimmen'!A36</f>
        <v>22506.400540467101</v>
      </c>
    </row>
    <row r="93" spans="1:5" x14ac:dyDescent="0.25">
      <c r="A93" s="50">
        <f t="shared" si="0"/>
        <v>20</v>
      </c>
      <c r="B93" s="56">
        <f>'Mastercurve bestimmen'!C37</f>
        <v>3.8659494646510029E-2</v>
      </c>
      <c r="C93" s="11"/>
      <c r="D93" s="51">
        <f t="shared" si="1"/>
        <v>20</v>
      </c>
      <c r="E93" s="56">
        <f>'Mastercurve bestimmen'!A37</f>
        <v>249493.62476110301</v>
      </c>
    </row>
    <row r="94" spans="1:5" x14ac:dyDescent="0.25">
      <c r="A94" s="50">
        <f t="shared" si="0"/>
        <v>21</v>
      </c>
      <c r="B94" s="56">
        <f>'Mastercurve bestimmen'!C38</f>
        <v>6.6103757573429938E-3</v>
      </c>
      <c r="C94" s="11"/>
      <c r="D94" s="51">
        <f t="shared" si="1"/>
        <v>21</v>
      </c>
      <c r="E94" s="56">
        <f>'Mastercurve bestimmen'!A38</f>
        <v>2765749.6224023802</v>
      </c>
    </row>
    <row r="95" spans="1:5" x14ac:dyDescent="0.25">
      <c r="A95" s="50">
        <f t="shared" si="0"/>
        <v>22</v>
      </c>
      <c r="B95" s="56">
        <f>'Mastercurve bestimmen'!C39</f>
        <v>1.6903393193058183E-2</v>
      </c>
      <c r="C95" s="11"/>
      <c r="D95" s="51">
        <f t="shared" si="1"/>
        <v>22</v>
      </c>
      <c r="E95" s="56">
        <f>'Mastercurve bestimmen'!A39</f>
        <v>10000000</v>
      </c>
    </row>
    <row r="96" spans="1:5" x14ac:dyDescent="0.25">
      <c r="A96" s="50">
        <f t="shared" si="0"/>
        <v>23</v>
      </c>
      <c r="B96" s="56">
        <f>'Mastercurve bestimmen'!C40</f>
        <v>1.9810156254800116E-3</v>
      </c>
      <c r="C96" s="11"/>
      <c r="D96" s="51">
        <f t="shared" si="1"/>
        <v>23</v>
      </c>
      <c r="E96" s="56">
        <f>'Mastercurve bestimmen'!A40</f>
        <v>100000000</v>
      </c>
    </row>
    <row r="97" spans="1:5" x14ac:dyDescent="0.25">
      <c r="A97" s="50">
        <f t="shared" si="0"/>
        <v>24</v>
      </c>
      <c r="B97" s="56">
        <f>'Mastercurve bestimmen'!C41</f>
        <v>4.9795148637895425E-3</v>
      </c>
      <c r="C97" s="11"/>
      <c r="D97" s="51">
        <f t="shared" si="1"/>
        <v>24</v>
      </c>
      <c r="E97" s="56">
        <f>'Mastercurve bestimmen'!A41</f>
        <v>1000000000</v>
      </c>
    </row>
    <row r="98" spans="1:5" x14ac:dyDescent="0.25">
      <c r="A98" s="50">
        <f t="shared" si="0"/>
        <v>25</v>
      </c>
      <c r="B98" s="56">
        <f>'Mastercurve bestimmen'!C42</f>
        <v>1.5203897421204233E-3</v>
      </c>
      <c r="C98" s="11"/>
      <c r="D98" s="51">
        <f t="shared" si="1"/>
        <v>25</v>
      </c>
      <c r="E98" s="56">
        <f>'Mastercurve bestimmen'!A42</f>
        <v>10000000000</v>
      </c>
    </row>
    <row r="99" spans="1:5" x14ac:dyDescent="0.25">
      <c r="A99" s="50">
        <f t="shared" si="0"/>
        <v>26</v>
      </c>
      <c r="B99" s="56">
        <f>'Mastercurve bestimmen'!C43</f>
        <v>3.2547360985645695E-4</v>
      </c>
      <c r="C99" s="11"/>
      <c r="D99" s="51">
        <f t="shared" si="1"/>
        <v>26</v>
      </c>
      <c r="E99" s="56">
        <f>'Mastercurve bestimmen'!A43</f>
        <v>100000000000</v>
      </c>
    </row>
    <row r="100" spans="1:5" x14ac:dyDescent="0.25">
      <c r="A100" s="50">
        <f t="shared" si="0"/>
        <v>27</v>
      </c>
      <c r="B100" s="56">
        <f>'Mastercurve bestimmen'!C44</f>
        <v>3.3657757333866336E-3</v>
      </c>
      <c r="C100" s="11"/>
      <c r="D100" s="51">
        <f t="shared" si="1"/>
        <v>27</v>
      </c>
      <c r="E100" s="56">
        <f>'Mastercurve bestimmen'!A44</f>
        <v>1000000000000</v>
      </c>
    </row>
    <row r="101" spans="1:5" x14ac:dyDescent="0.25">
      <c r="A101" s="50">
        <f t="shared" si="0"/>
        <v>28</v>
      </c>
      <c r="B101" s="56">
        <f>'Mastercurve bestimmen'!C45</f>
        <v>7.1877880972849508E-4</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6.8174095740770341E-3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27691.328000000001</v>
      </c>
    </row>
    <row r="108" spans="1:5" s="11" customFormat="1" x14ac:dyDescent="0.25">
      <c r="A108" s="61" t="str">
        <f>STUTT!B3</f>
        <v>mp,PRXY,MatID,</v>
      </c>
      <c r="B108" s="52">
        <f>STUTT!C3</f>
        <v>0.35195679000000002</v>
      </c>
    </row>
    <row r="109" spans="1:5" s="11" customFormat="1" x14ac:dyDescent="0.25">
      <c r="A109" s="61" t="str">
        <f>STUTT!B4</f>
        <v>mp,ey,MatID,</v>
      </c>
      <c r="B109" s="52">
        <f>STUTT!C4</f>
        <v>27960.883999999998</v>
      </c>
    </row>
    <row r="110" spans="1:5" s="11" customFormat="1" x14ac:dyDescent="0.25">
      <c r="A110" s="61" t="str">
        <f>STUTT!B5</f>
        <v>mp,PRYZ,MatID,</v>
      </c>
      <c r="B110" s="52">
        <f>STUTT!C5</f>
        <v>0.35541003999999998</v>
      </c>
    </row>
    <row r="111" spans="1:5" s="11" customFormat="1" x14ac:dyDescent="0.25">
      <c r="A111" s="61" t="str">
        <f>STUTT!B6</f>
        <v>mp,ez,MatID,</v>
      </c>
      <c r="B111" s="52">
        <f>STUTT!C6</f>
        <v>27691.328000000001</v>
      </c>
    </row>
    <row r="112" spans="1:5" s="11" customFormat="1" x14ac:dyDescent="0.25">
      <c r="A112" s="61" t="str">
        <f>STUTT!B7</f>
        <v>mp,PRXZ,MatID,</v>
      </c>
      <c r="B112" s="52">
        <f>STUTT!C7</f>
        <v>0.35911014000000002</v>
      </c>
    </row>
    <row r="113" spans="1:4" s="11" customFormat="1" x14ac:dyDescent="0.25">
      <c r="A113" s="61" t="str">
        <f>STUTT!B8</f>
        <v>MP,GXZ,</v>
      </c>
      <c r="B113" s="52" t="str">
        <f>STUTT!C8</f>
        <v>MatID,</v>
      </c>
      <c r="C113" s="112">
        <f>STUTT!D8</f>
        <v>10187.300999999999</v>
      </c>
      <c r="D113" s="112"/>
    </row>
    <row r="114" spans="1:4" s="11" customFormat="1" x14ac:dyDescent="0.25">
      <c r="A114" s="61" t="str">
        <f>STUTT!B9</f>
        <v>MP,GXY,</v>
      </c>
      <c r="B114" s="52" t="str">
        <f>STUTT!C9</f>
        <v>MatID,</v>
      </c>
      <c r="C114" s="112">
        <f>STUTT!D9</f>
        <v>10360.254000000001</v>
      </c>
      <c r="D114" s="112"/>
    </row>
    <row r="115" spans="1:4" x14ac:dyDescent="0.25">
      <c r="A115" s="61" t="str">
        <f>STUTT!B10</f>
        <v>MP,GYZ,</v>
      </c>
      <c r="B115" s="52" t="str">
        <f>STUTT!C10</f>
        <v>MatID,</v>
      </c>
      <c r="C115" s="112">
        <f>STUTT!D10</f>
        <v>10360.254000000001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1.0879999999999999E-7</v>
      </c>
      <c r="C3" s="3">
        <v>3.8299999999999999E-8</v>
      </c>
      <c r="D3" s="3">
        <v>1.0879999999999999E-7</v>
      </c>
      <c r="E3" s="3">
        <v>-1.0000000000000001E-5</v>
      </c>
      <c r="F3" s="3">
        <v>-1.0000000000000001E-5</v>
      </c>
      <c r="G3" s="3">
        <v>-1.0000000000000001E-5</v>
      </c>
      <c r="H3" s="3">
        <v>-3.3571118E-6</v>
      </c>
      <c r="I3" s="3">
        <v>-9.3909650000000005E-7</v>
      </c>
      <c r="J3" s="3">
        <v>-3.3571118E-6</v>
      </c>
      <c r="L3" s="48">
        <f>ABS(H3/(-0.5)/$L$1)</f>
        <v>1.9183496000000003E-5</v>
      </c>
      <c r="R3">
        <f>ABS(I3/(-0.5)/$R$1)</f>
        <v>1.9770452631578948E-5</v>
      </c>
    </row>
    <row r="4" spans="1:18" x14ac:dyDescent="0.25">
      <c r="A4">
        <v>-39</v>
      </c>
      <c r="B4" s="3">
        <v>-1.0879999999999999E-7</v>
      </c>
      <c r="C4" s="3">
        <v>-3.8229999999999999E-8</v>
      </c>
      <c r="D4" s="3">
        <v>-1.0879999999999999E-7</v>
      </c>
      <c r="E4" s="3">
        <v>1.0000000000000001E-5</v>
      </c>
      <c r="F4" s="3">
        <v>1.0000000000000001E-5</v>
      </c>
      <c r="G4" s="3">
        <v>1.0000000000000001E-5</v>
      </c>
      <c r="H4" s="3">
        <v>3.3570912999999998E-6</v>
      </c>
      <c r="I4" s="3">
        <v>9.3910432999999997E-7</v>
      </c>
      <c r="J4" s="3">
        <v>3.3570912999999998E-6</v>
      </c>
      <c r="L4" s="48">
        <f t="shared" ref="L4:L14" si="0">ABS(H4/(-0.5)/$L$1)</f>
        <v>1.9183378857142858E-5</v>
      </c>
      <c r="N4" s="39" t="s">
        <v>27</v>
      </c>
      <c r="O4" s="39" t="s">
        <v>131</v>
      </c>
      <c r="P4" s="85" t="s">
        <v>132</v>
      </c>
      <c r="R4" s="11">
        <f t="shared" ref="R4:R14" si="1">ABS(I4/(-0.5)/$R$1)</f>
        <v>1.9770617473684209E-5</v>
      </c>
    </row>
    <row r="5" spans="1:18" x14ac:dyDescent="0.25">
      <c r="A5">
        <v>0</v>
      </c>
      <c r="B5" s="3">
        <v>1.1000000000000001E-7</v>
      </c>
      <c r="C5" s="3">
        <v>3.5479999999999997E-8</v>
      </c>
      <c r="D5" s="3">
        <v>1.1000000000000001E-7</v>
      </c>
      <c r="E5" s="3">
        <v>-1.0000000000000001E-5</v>
      </c>
      <c r="F5" s="3">
        <v>-1.0000000000000001E-5</v>
      </c>
      <c r="G5" s="3">
        <v>-1.0000000000000001E-5</v>
      </c>
      <c r="H5" s="3">
        <v>-3.3562790999999999E-6</v>
      </c>
      <c r="I5" s="3">
        <v>-9.3941038999999995E-7</v>
      </c>
      <c r="J5" s="3">
        <v>-3.3562790999999999E-6</v>
      </c>
      <c r="L5" s="48">
        <f t="shared" si="0"/>
        <v>1.9178737714285714E-5</v>
      </c>
      <c r="M5" s="48"/>
      <c r="N5" s="10">
        <f>(INDEX(A:A,ROW(A2)*2+1)+INDEX(A:A,ROW(A2)*2+2))/2</f>
        <v>0.5</v>
      </c>
      <c r="O5" s="89">
        <f>(INDEX(L:L,ROW(L2)*2+1)+INDEX(L:L,ROW(L2)*2+2))/2</f>
        <v>1.9178677428571428E-5</v>
      </c>
      <c r="P5" s="89">
        <f>(INDEX(R:R,ROW(M2)*2+1)+INDEX(R:R,ROW(R2)*2+2))/2</f>
        <v>1.9777143684210526E-5</v>
      </c>
      <c r="R5" s="11">
        <f t="shared" si="1"/>
        <v>1.9777060842105263E-5</v>
      </c>
    </row>
    <row r="6" spans="1:18" x14ac:dyDescent="0.25">
      <c r="A6">
        <v>1</v>
      </c>
      <c r="B6" s="3">
        <v>-1.1000000000000001E-7</v>
      </c>
      <c r="C6" s="3">
        <v>-3.5409999999999997E-8</v>
      </c>
      <c r="D6" s="3">
        <v>-1.1000000000000001E-7</v>
      </c>
      <c r="E6" s="3">
        <v>1.0000000000000001E-5</v>
      </c>
      <c r="F6" s="3">
        <v>1.0000000000000001E-5</v>
      </c>
      <c r="G6" s="3">
        <v>1.0000000000000001E-5</v>
      </c>
      <c r="H6" s="3">
        <v>3.3562580000000001E-6</v>
      </c>
      <c r="I6" s="3">
        <v>9.3941826000000002E-7</v>
      </c>
      <c r="J6" s="3">
        <v>3.3562580000000001E-6</v>
      </c>
      <c r="L6" s="48">
        <f t="shared" si="0"/>
        <v>1.9178617142857144E-5</v>
      </c>
      <c r="M6" s="49"/>
      <c r="N6" s="10">
        <f>(INDEX(A:A,ROW(A3)*2+1)+INDEX(A:A,ROW(A3)*2+2))/2</f>
        <v>151.5</v>
      </c>
      <c r="O6" s="89">
        <f t="shared" ref="O6:O7" si="2">(INDEX(L:L,ROW(L3)*2+1)+INDEX(L:L,ROW(L3)*2+2))/2</f>
        <v>2.1154238571428571E-5</v>
      </c>
      <c r="P6" s="89">
        <f t="shared" ref="P6:P9" si="3">(INDEX(R:R,ROW(M3)*2+1)+INDEX(R:R,ROW(R3)*2+2))/2</f>
        <v>2.1845439578947371E-5</v>
      </c>
      <c r="R6" s="11">
        <f t="shared" si="1"/>
        <v>1.9777226526315789E-5</v>
      </c>
    </row>
    <row r="7" spans="1:18" x14ac:dyDescent="0.25">
      <c r="A7">
        <v>151</v>
      </c>
      <c r="B7" s="3">
        <v>1.268E-7</v>
      </c>
      <c r="C7" s="3">
        <v>1.7590000000000001E-7</v>
      </c>
      <c r="D7" s="3">
        <v>1.268E-7</v>
      </c>
      <c r="E7" s="3">
        <v>-1.0689999999999999E-5</v>
      </c>
      <c r="F7" s="3">
        <v>-1.0689999999999999E-5</v>
      </c>
      <c r="G7" s="3">
        <v>-1.0689999999999999E-5</v>
      </c>
      <c r="H7" s="3">
        <v>-3.5274511000000002E-6</v>
      </c>
      <c r="I7" s="3">
        <v>-9.8912186000000008E-7</v>
      </c>
      <c r="J7" s="3">
        <v>-3.5274511000000002E-6</v>
      </c>
      <c r="L7" s="48">
        <f t="shared" si="0"/>
        <v>2.015686342857143E-5</v>
      </c>
      <c r="M7" s="48"/>
      <c r="N7" s="10">
        <f>(INDEX(A:A,ROW(A4)*2+1)+INDEX(A:A,ROW(A4)*2+2))/2</f>
        <v>156.5</v>
      </c>
      <c r="O7" s="89">
        <f t="shared" si="2"/>
        <v>4.1120605142857142E-5</v>
      </c>
      <c r="P7" s="89">
        <f t="shared" si="3"/>
        <v>4.226697684210527E-5</v>
      </c>
      <c r="R7" s="11">
        <f t="shared" si="1"/>
        <v>2.082361810526316E-5</v>
      </c>
    </row>
    <row r="8" spans="1:18" x14ac:dyDescent="0.25">
      <c r="A8">
        <v>152</v>
      </c>
      <c r="B8" s="3">
        <v>-1.515E-7</v>
      </c>
      <c r="C8" s="3">
        <v>-4.7759999999999999E-7</v>
      </c>
      <c r="D8" s="3">
        <v>-1.515E-7</v>
      </c>
      <c r="E8" s="3">
        <v>1.206E-5</v>
      </c>
      <c r="F8" s="3">
        <v>1.206E-5</v>
      </c>
      <c r="G8" s="3">
        <v>1.206E-5</v>
      </c>
      <c r="H8" s="3">
        <v>3.8765323999999999E-6</v>
      </c>
      <c r="I8" s="3">
        <v>1.0861949E-6</v>
      </c>
      <c r="J8" s="3">
        <v>3.8765323999999999E-6</v>
      </c>
      <c r="L8" s="48">
        <f t="shared" si="0"/>
        <v>2.2151613714285715E-5</v>
      </c>
      <c r="M8" s="49"/>
      <c r="N8" s="10">
        <f>(INDEX(A:A,ROW(A5)*2+1)+INDEX(A:A,ROW(A5)*2+2))/2</f>
        <v>161.5</v>
      </c>
      <c r="O8" s="89">
        <f t="shared" ref="O8:O9" si="4">(INDEX(L:L,ROW(L5)*2+1)+INDEX(L:L,ROW(L5)*2+2))/2</f>
        <v>5.9200051428571433E-5</v>
      </c>
      <c r="P8" s="89">
        <f t="shared" si="3"/>
        <v>6.052054E-5</v>
      </c>
      <c r="R8" s="11">
        <f t="shared" si="1"/>
        <v>2.2867261052631578E-5</v>
      </c>
    </row>
    <row r="9" spans="1:18" x14ac:dyDescent="0.25">
      <c r="A9">
        <v>156</v>
      </c>
      <c r="B9" s="3">
        <v>3.7329999999999999E-7</v>
      </c>
      <c r="C9" s="3">
        <v>3.1930000000000002E-6</v>
      </c>
      <c r="D9" s="3">
        <v>3.7329999999999999E-7</v>
      </c>
      <c r="E9" s="3">
        <v>-2.444E-5</v>
      </c>
      <c r="F9" s="3">
        <v>-2.444E-5</v>
      </c>
      <c r="G9" s="3">
        <v>-2.444E-5</v>
      </c>
      <c r="H9" s="3">
        <v>-7.0206212999999999E-6</v>
      </c>
      <c r="I9" s="3">
        <v>-1.9594163000000001E-6</v>
      </c>
      <c r="J9" s="3">
        <v>-7.0206212999999999E-6</v>
      </c>
      <c r="L9" s="48">
        <f t="shared" si="0"/>
        <v>4.0117836000000003E-5</v>
      </c>
      <c r="M9" s="48"/>
      <c r="N9" s="10">
        <f>(INDEX(A:A,ROW(A6)*2+1)+INDEX(A:A,ROW(A6)*2+2))/2</f>
        <v>180.5</v>
      </c>
      <c r="O9" s="89">
        <f t="shared" si="4"/>
        <v>5.9157857142857142E-5</v>
      </c>
      <c r="P9" s="89">
        <f t="shared" si="3"/>
        <v>6.0679988421052626E-5</v>
      </c>
      <c r="R9" s="11">
        <f t="shared" si="1"/>
        <v>4.1250869473684213E-5</v>
      </c>
    </row>
    <row r="10" spans="1:18" x14ac:dyDescent="0.25">
      <c r="A10">
        <v>157</v>
      </c>
      <c r="B10" s="3">
        <v>-3.967E-7</v>
      </c>
      <c r="C10" s="3">
        <v>-3.4979999999999998E-6</v>
      </c>
      <c r="D10" s="3">
        <v>-3.967E-7</v>
      </c>
      <c r="E10" s="3">
        <v>2.5809999999999999E-5</v>
      </c>
      <c r="F10" s="3">
        <v>2.5809999999999999E-5</v>
      </c>
      <c r="G10" s="3">
        <v>2.5809999999999999E-5</v>
      </c>
      <c r="H10" s="3">
        <v>7.3715904999999997E-6</v>
      </c>
      <c r="I10" s="3">
        <v>2.0559465000000002E-6</v>
      </c>
      <c r="J10" s="3">
        <v>7.3715904999999997E-6</v>
      </c>
      <c r="L10" s="48">
        <f t="shared" si="0"/>
        <v>4.2123374285714289E-5</v>
      </c>
      <c r="M10" s="49"/>
      <c r="N10" s="10"/>
      <c r="O10" s="3"/>
      <c r="R10" s="11">
        <f t="shared" si="1"/>
        <v>4.3283084210526321E-5</v>
      </c>
    </row>
    <row r="11" spans="1:18" x14ac:dyDescent="0.25">
      <c r="A11">
        <v>161</v>
      </c>
      <c r="B11" s="3">
        <v>5.7840000000000004E-7</v>
      </c>
      <c r="C11" s="3">
        <v>6.117E-6</v>
      </c>
      <c r="D11" s="3">
        <v>5.7840000000000004E-7</v>
      </c>
      <c r="E11" s="3">
        <v>-3.7499999999999997E-5</v>
      </c>
      <c r="F11" s="3">
        <v>-3.7499999999999997E-5</v>
      </c>
      <c r="G11" s="3">
        <v>-3.7499999999999997E-5</v>
      </c>
      <c r="H11" s="3">
        <v>-1.0360211E-5</v>
      </c>
      <c r="I11" s="3">
        <v>-2.8745259000000001E-6</v>
      </c>
      <c r="J11" s="3">
        <v>-1.0360211E-5</v>
      </c>
      <c r="L11" s="48">
        <f t="shared" si="0"/>
        <v>5.9201205714285719E-5</v>
      </c>
      <c r="M11" s="48"/>
      <c r="N11" s="10"/>
      <c r="O11" s="3"/>
      <c r="R11" s="11">
        <f t="shared" si="1"/>
        <v>6.0516334736842108E-5</v>
      </c>
    </row>
    <row r="12" spans="1:18" x14ac:dyDescent="0.25">
      <c r="A12">
        <v>162</v>
      </c>
      <c r="B12" s="3">
        <v>-5.7950000000000002E-7</v>
      </c>
      <c r="C12" s="3">
        <v>-6.1129999999999997E-6</v>
      </c>
      <c r="D12" s="3">
        <v>-5.7950000000000002E-7</v>
      </c>
      <c r="E12" s="3">
        <v>3.7499999999999997E-5</v>
      </c>
      <c r="F12" s="3">
        <v>3.7499999999999997E-5</v>
      </c>
      <c r="G12" s="3">
        <v>3.7499999999999997E-5</v>
      </c>
      <c r="H12" s="3">
        <v>1.0359806999999999E-5</v>
      </c>
      <c r="I12" s="3">
        <v>2.8749254E-6</v>
      </c>
      <c r="J12" s="3">
        <v>1.0359806999999999E-5</v>
      </c>
      <c r="L12" s="48">
        <f t="shared" si="0"/>
        <v>5.9198897142857147E-5</v>
      </c>
      <c r="M12" s="49"/>
      <c r="N12" s="10"/>
      <c r="O12" s="3"/>
      <c r="R12" s="11">
        <f t="shared" si="1"/>
        <v>6.0524745263157893E-5</v>
      </c>
    </row>
    <row r="13" spans="1:18" x14ac:dyDescent="0.25">
      <c r="A13">
        <v>180</v>
      </c>
      <c r="B13" s="3">
        <v>6.0019999999999999E-7</v>
      </c>
      <c r="C13" s="3">
        <v>6.0449999999999997E-6</v>
      </c>
      <c r="D13" s="3">
        <v>6.0019999999999999E-7</v>
      </c>
      <c r="E13" s="3">
        <v>-3.7499999999999997E-5</v>
      </c>
      <c r="F13" s="3">
        <v>-3.7499999999999997E-5</v>
      </c>
      <c r="G13" s="3">
        <v>-3.7499999999999997E-5</v>
      </c>
      <c r="H13" s="3">
        <v>-1.035282E-5</v>
      </c>
      <c r="I13" s="3">
        <v>-2.8820989000000001E-6</v>
      </c>
      <c r="J13" s="3">
        <v>-1.035282E-5</v>
      </c>
      <c r="L13" s="48">
        <f t="shared" si="0"/>
        <v>5.9158971428571432E-5</v>
      </c>
      <c r="M13" s="48"/>
      <c r="N13" s="10"/>
      <c r="O13" s="3"/>
      <c r="R13" s="11">
        <f t="shared" si="1"/>
        <v>6.0675766315789475E-5</v>
      </c>
    </row>
    <row r="14" spans="1:18" x14ac:dyDescent="0.25">
      <c r="A14" s="11">
        <v>181</v>
      </c>
      <c r="B14" s="3">
        <v>-6.0129999999999996E-7</v>
      </c>
      <c r="C14" s="3">
        <v>-6.0410000000000003E-6</v>
      </c>
      <c r="D14" s="3">
        <v>-6.0129999999999996E-7</v>
      </c>
      <c r="E14" s="3">
        <v>3.7499999999999997E-5</v>
      </c>
      <c r="F14" s="3">
        <v>3.7499999999999997E-5</v>
      </c>
      <c r="G14" s="3">
        <v>3.7499999999999997E-5</v>
      </c>
      <c r="H14" s="3">
        <v>1.035243E-5</v>
      </c>
      <c r="I14" s="3">
        <v>2.8824999999999999E-6</v>
      </c>
      <c r="J14" s="3">
        <v>1.035243E-5</v>
      </c>
      <c r="L14" s="48">
        <f t="shared" si="0"/>
        <v>5.9156742857142859E-5</v>
      </c>
      <c r="M14" s="49"/>
      <c r="N14" s="10"/>
      <c r="O14" s="3"/>
      <c r="R14" s="11">
        <f t="shared" si="1"/>
        <v>6.0684210526315785E-5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27691.328000000001</v>
      </c>
    </row>
    <row r="3" spans="2:4" x14ac:dyDescent="0.25">
      <c r="B3" t="s">
        <v>119</v>
      </c>
      <c r="C3" s="3">
        <v>0.35195679000000002</v>
      </c>
    </row>
    <row r="4" spans="2:4" x14ac:dyDescent="0.25">
      <c r="B4" t="s">
        <v>120</v>
      </c>
      <c r="C4" s="3">
        <v>27960.883999999998</v>
      </c>
    </row>
    <row r="5" spans="2:4" x14ac:dyDescent="0.25">
      <c r="B5" t="s">
        <v>121</v>
      </c>
      <c r="C5" s="3">
        <v>0.35541003999999998</v>
      </c>
    </row>
    <row r="6" spans="2:4" x14ac:dyDescent="0.25">
      <c r="B6" t="s">
        <v>122</v>
      </c>
      <c r="C6" s="3">
        <v>27691.328000000001</v>
      </c>
    </row>
    <row r="7" spans="2:4" x14ac:dyDescent="0.25">
      <c r="B7" t="s">
        <v>123</v>
      </c>
      <c r="C7" s="3">
        <v>0.35911014000000002</v>
      </c>
    </row>
    <row r="8" spans="2:4" x14ac:dyDescent="0.25">
      <c r="B8" t="s">
        <v>124</v>
      </c>
      <c r="C8" t="s">
        <v>125</v>
      </c>
      <c r="D8" s="3">
        <v>10187.300999999999</v>
      </c>
    </row>
    <row r="9" spans="2:4" x14ac:dyDescent="0.25">
      <c r="B9" t="s">
        <v>126</v>
      </c>
      <c r="C9" t="s">
        <v>125</v>
      </c>
      <c r="D9" s="3">
        <v>10360.254000000001</v>
      </c>
    </row>
    <row r="10" spans="2:4" x14ac:dyDescent="0.25">
      <c r="B10" t="s">
        <v>127</v>
      </c>
      <c r="C10" t="s">
        <v>125</v>
      </c>
      <c r="D10" s="3">
        <v>10360.254000000001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-3.5999508571428571E-4</v>
      </c>
      <c r="C3" s="2">
        <f>IF('Modell einstellen'!$B$2="Ja",creep_res0!O3,creep_res0!C3)</f>
        <v>-3.6499157142857151E-4</v>
      </c>
      <c r="D3" s="2">
        <f>IF('Modell einstellen'!$B$2="Ja",creep_res25!O3,creep_res25!C3)</f>
        <v>-3.7633954285714287E-4</v>
      </c>
      <c r="E3" s="2">
        <f>IF('Modell einstellen'!$B$2="Ja",creep_res50!O3,creep_res50!C3)</f>
        <v>-3.8382265714285714E-4</v>
      </c>
      <c r="F3" s="2">
        <f>IF('Modell einstellen'!$B$2="Ja",creep_res80!O3,creep_res80!C3)</f>
        <v>-3.9366482857142865E-4</v>
      </c>
      <c r="G3" s="2">
        <f>IF('Modell einstellen'!$B$2="Ja",creep_res125!O3,creep_res125!C3)</f>
        <v>-4.2099691428571434E-4</v>
      </c>
      <c r="H3" s="2">
        <f>IF('Modell einstellen'!$B$2="Ja",creep_res160!O3,creep_res160!C3)</f>
        <v>-4.5570065714285718E-4</v>
      </c>
      <c r="M3" s="9">
        <v>-10</v>
      </c>
      <c r="N3" s="2">
        <f t="shared" ref="N3:N33" si="4">A3</f>
        <v>1.0000000000000001E-15</v>
      </c>
      <c r="O3" s="2">
        <f t="shared" ref="O3:O33" si="5">$M$3/B3</f>
        <v>27778.156971666598</v>
      </c>
      <c r="P3" s="2">
        <f t="shared" ref="P3:P33" si="6">$M$3/C3</f>
        <v>27397.892945473101</v>
      </c>
      <c r="Q3" s="2">
        <f t="shared" ref="Q3:Q33" si="7">$M$3/D3</f>
        <v>26571.749341248375</v>
      </c>
      <c r="R3" s="2">
        <f t="shared" ref="R3:R33" si="8">$M$3/E3</f>
        <v>26053.699055806504</v>
      </c>
      <c r="S3" s="2">
        <f t="shared" ref="S3:S33" si="9">$M$3/F3</f>
        <v>25402.320131795943</v>
      </c>
      <c r="T3" s="2">
        <f t="shared" ref="T3:T33" si="10">$M$3/G3</f>
        <v>23753.143219509173</v>
      </c>
      <c r="U3" s="2">
        <f t="shared" ref="U3:U33" si="11">$M$3/H3</f>
        <v>21944.22993088884</v>
      </c>
      <c r="Z3" s="2">
        <v>1.0000000000000001E-15</v>
      </c>
      <c r="AA3" s="3">
        <f>IF('Modell einstellen'!$B$2="Ja",'creep_res-40'!P3,'creep_res-40'!L3)</f>
        <v>0.35918667302442542</v>
      </c>
      <c r="AB3" s="2">
        <f>IF('Modell einstellen'!$B$2="Ja",creep_res0!P3,creep_res0!L3)</f>
        <v>0.36097437866471271</v>
      </c>
      <c r="AC3" s="2">
        <f>IF('Modell einstellen'!$B$2="Ja",creep_res25!P3,creep_res25!L3)</f>
        <v>0.36545239845719868</v>
      </c>
      <c r="AD3" s="2">
        <f>IF('Modell einstellen'!$B$2="Ja",creep_res50!P3,creep_res50!L3)</f>
        <v>0.36817847349590693</v>
      </c>
      <c r="AE3" s="2">
        <f>IF('Modell einstellen'!$B$2="Ja",creep_res80!P3,creep_res80!L3)</f>
        <v>0.3716299195494005</v>
      </c>
      <c r="AF3" s="2">
        <f>IF('Modell einstellen'!$B$2="Ja",creep_res125!P3,creep_res125!L3)</f>
        <v>0.38085536018859178</v>
      </c>
      <c r="AG3" s="2">
        <f>IF('Modell einstellen'!$B$2="Ja",creep_res160!P3,creep_res160!L3)</f>
        <v>0.39151321954894824</v>
      </c>
      <c r="AL3" s="2">
        <f t="shared" ref="AL3:AL33" si="12">Z3</f>
        <v>1.0000000000000001E-15</v>
      </c>
      <c r="AM3" s="2">
        <f t="shared" ref="AM3:AM33" si="13">O3/(2*(1+AA3))</f>
        <v>10218.668827091791</v>
      </c>
      <c r="AN3" s="2">
        <f t="shared" ref="AN3:AN33" si="14">P3/(2*(1+AB3))</f>
        <v>10065.543251576082</v>
      </c>
      <c r="AO3" s="2">
        <f t="shared" ref="AO3:AO33" si="15">Q3/(2*(1+AC3))</f>
        <v>9730.0167223959397</v>
      </c>
      <c r="AP3" s="2">
        <f t="shared" ref="AP3:AP33" si="16">R3/(2*(1+AD3))</f>
        <v>9521.3086452220268</v>
      </c>
      <c r="AQ3" s="2">
        <f t="shared" ref="AQ3:AQ33" si="17">S3/(2*(1+AE3))</f>
        <v>9259.9030429946288</v>
      </c>
      <c r="AR3" s="2">
        <f t="shared" ref="AR3:AR33" si="18">T3/(2*(1+AF3))</f>
        <v>8600.88026028485</v>
      </c>
      <c r="AS3" s="2">
        <f t="shared" ref="AS3:AS33" si="19">U3/(2*(1+AG3))</f>
        <v>7885.0238799750496</v>
      </c>
      <c r="AX3" s="2">
        <f>AL3</f>
        <v>1.0000000000000001E-15</v>
      </c>
      <c r="AY3" s="37">
        <f t="shared" ref="AY3:AY33" si="20">O3/(3*(1-(2*AA3)))</f>
        <v>32878.229128228493</v>
      </c>
      <c r="AZ3" s="37">
        <f t="shared" ref="AZ3:AZ33" si="21">P3/(3*(1-(2*AB3)))</f>
        <v>32845.136364466423</v>
      </c>
      <c r="BA3" s="37">
        <f t="shared" ref="BA3:BA33" si="22">Q3/(3*(1-(2*AC3)))</f>
        <v>32914.930027937065</v>
      </c>
      <c r="BB3" s="37">
        <f t="shared" ref="BB3:BB33" si="23">R3/(3*(1-(2*AD3)))</f>
        <v>32940.622758096513</v>
      </c>
      <c r="BC3" s="37">
        <f t="shared" ref="BC3:BC33" si="24">S3/(3*(1-(2*AE3)))</f>
        <v>32980.582446509005</v>
      </c>
      <c r="BD3" s="37">
        <f t="shared" ref="BD3:BD33" si="25">T3/(3*(1-(2*AF3)))</f>
        <v>33227.321090717371</v>
      </c>
      <c r="BE3" s="37">
        <f t="shared" ref="BE3:BE33" si="26">U3/(3*(1-(2*AG3)))</f>
        <v>33712.602032634866</v>
      </c>
    </row>
    <row r="4" spans="1:308" x14ac:dyDescent="0.25">
      <c r="A4" s="2">
        <f>'creep_res-40'!A4</f>
        <v>1E-14</v>
      </c>
      <c r="B4" s="3">
        <f>'creep_res-40'!O4</f>
        <v>-3.6278599999999998E-4</v>
      </c>
      <c r="C4" s="2">
        <f>IF('Modell einstellen'!$B$2="Ja",creep_res0!O4,creep_res0!C4)</f>
        <v>-3.7702474285714288E-4</v>
      </c>
      <c r="D4" s="2">
        <f>IF('Modell einstellen'!$B$2="Ja",creep_res25!O4,creep_res25!C4)</f>
        <v>-3.8540391428571434E-4</v>
      </c>
      <c r="E4" s="2">
        <f>IF('Modell einstellen'!$B$2="Ja",creep_res50!O4,creep_res50!C4)</f>
        <v>-3.9338445714285714E-4</v>
      </c>
      <c r="F4" s="2">
        <f>IF('Modell einstellen'!$B$2="Ja",creep_res80!O4,creep_res80!C4)</f>
        <v>-4.0491805714285717E-4</v>
      </c>
      <c r="G4" s="2">
        <f>IF('Modell einstellen'!$B$2="Ja",creep_res125!O4,creep_res125!C4)</f>
        <v>-4.3679314285714293E-4</v>
      </c>
      <c r="H4" s="2">
        <f>IF('Modell einstellen'!$B$2="Ja",creep_res160!O4,creep_res160!C4)</f>
        <v>-4.7502377142857145E-4</v>
      </c>
      <c r="M4" s="9">
        <f t="shared" ref="M4:M31" si="27">M3</f>
        <v>-10</v>
      </c>
      <c r="N4" s="2">
        <f t="shared" si="4"/>
        <v>1E-14</v>
      </c>
      <c r="O4" s="2">
        <f t="shared" si="5"/>
        <v>27564.45948851389</v>
      </c>
      <c r="P4" s="2">
        <f t="shared" si="6"/>
        <v>26523.458180008798</v>
      </c>
      <c r="Q4" s="2">
        <f t="shared" si="7"/>
        <v>25946.804454577039</v>
      </c>
      <c r="R4" s="2">
        <f t="shared" si="8"/>
        <v>25420.424773845374</v>
      </c>
      <c r="S4" s="2">
        <f t="shared" si="9"/>
        <v>24696.354789808618</v>
      </c>
      <c r="T4" s="2">
        <f t="shared" si="10"/>
        <v>22894.132299303492</v>
      </c>
      <c r="U4" s="2">
        <f t="shared" si="11"/>
        <v>21051.578050349599</v>
      </c>
      <c r="Z4" s="2">
        <v>1E-14</v>
      </c>
      <c r="AA4" s="3">
        <f>IF('Modell einstellen'!$B$2="Ja",'creep_res-40'!P4,'creep_res-40'!L4)</f>
        <v>0.36043716445192803</v>
      </c>
      <c r="AB4" s="2">
        <f>IF('Modell einstellen'!$B$2="Ja",creep_res0!P4,creep_res0!L4)</f>
        <v>0.3659566109567951</v>
      </c>
      <c r="AC4" s="2">
        <f>IF('Modell einstellen'!$B$2="Ja",creep_res25!P4,creep_res25!L4)</f>
        <v>0.36905797605880936</v>
      </c>
      <c r="AD4" s="2">
        <f>IF('Modell einstellen'!$B$2="Ja",creep_res50!P4,creep_res50!L4)</f>
        <v>0.37185876179580335</v>
      </c>
      <c r="AE4" s="2">
        <f>IF('Modell einstellen'!$B$2="Ja",creep_res80!P4,creep_res80!L4)</f>
        <v>0.37577445651790431</v>
      </c>
      <c r="AF4" s="2">
        <f>IF('Modell einstellen'!$B$2="Ja",creep_res125!P4,creep_res125!L4)</f>
        <v>0.38609265844047785</v>
      </c>
      <c r="AG4" s="2">
        <f>IF('Modell einstellen'!$B$2="Ja",creep_res160!P4,creep_res160!L4)</f>
        <v>0.39725240216549768</v>
      </c>
      <c r="AL4" s="2">
        <f t="shared" si="12"/>
        <v>1E-14</v>
      </c>
      <c r="AM4" s="2">
        <f t="shared" si="13"/>
        <v>10130.735990154546</v>
      </c>
      <c r="AN4" s="2">
        <f t="shared" si="14"/>
        <v>9708.7484211633309</v>
      </c>
      <c r="AO4" s="2">
        <f t="shared" si="15"/>
        <v>9476.1525473419642</v>
      </c>
      <c r="AP4" s="2">
        <f t="shared" si="16"/>
        <v>9264.9569626866305</v>
      </c>
      <c r="AQ4" s="2">
        <f t="shared" si="17"/>
        <v>8975.4373156175916</v>
      </c>
      <c r="AR4" s="2">
        <f t="shared" si="18"/>
        <v>8258.5143784911779</v>
      </c>
      <c r="AS4" s="2">
        <f t="shared" si="19"/>
        <v>7533.2051738552464</v>
      </c>
      <c r="AX4" s="2">
        <f t="shared" ref="AX4:AX32" si="28">AL4</f>
        <v>1E-14</v>
      </c>
      <c r="AY4" s="37">
        <f t="shared" si="20"/>
        <v>32917.621395250077</v>
      </c>
      <c r="AZ4" s="37">
        <f t="shared" si="21"/>
        <v>32978.697382158534</v>
      </c>
      <c r="BA4" s="37">
        <f t="shared" si="22"/>
        <v>33025.817678199324</v>
      </c>
      <c r="BB4" s="37">
        <f t="shared" si="23"/>
        <v>33063.028902188402</v>
      </c>
      <c r="BC4" s="37">
        <f t="shared" si="24"/>
        <v>33133.758293663705</v>
      </c>
      <c r="BD4" s="37">
        <f t="shared" si="25"/>
        <v>33498.180752086977</v>
      </c>
      <c r="BE4" s="37">
        <f t="shared" si="26"/>
        <v>34147.721364506273</v>
      </c>
      <c r="BF4" s="5"/>
      <c r="BG4" s="5"/>
    </row>
    <row r="5" spans="1:308" x14ac:dyDescent="0.25">
      <c r="A5" s="2">
        <f>'creep_res-40'!A5</f>
        <v>1E-13</v>
      </c>
      <c r="B5" s="3">
        <f>'creep_res-40'!O5</f>
        <v>-3.7324014285714294E-4</v>
      </c>
      <c r="C5" s="2">
        <f>IF('Modell einstellen'!$B$2="Ja",creep_res0!O5,creep_res0!C5)</f>
        <v>-3.8432448571428576E-4</v>
      </c>
      <c r="D5" s="2">
        <f>IF('Modell einstellen'!$B$2="Ja",creep_res25!O5,creep_res25!C5)</f>
        <v>-3.9335028571428572E-4</v>
      </c>
      <c r="E5" s="2">
        <f>IF('Modell einstellen'!$B$2="Ja",creep_res50!O5,creep_res50!C5)</f>
        <v>-4.0219902857142859E-4</v>
      </c>
      <c r="F5" s="2">
        <f>IF('Modell einstellen'!$B$2="Ja",creep_res80!O5,creep_res80!C5)</f>
        <v>-4.1571082857142861E-4</v>
      </c>
      <c r="G5" s="2">
        <f>IF('Modell einstellen'!$B$2="Ja",creep_res125!O5,creep_res125!C5)</f>
        <v>-4.5152640000000003E-4</v>
      </c>
      <c r="H5" s="2">
        <f>IF('Modell einstellen'!$B$2="Ja",creep_res160!O5,creep_res160!C5)</f>
        <v>-4.9555025714285712E-4</v>
      </c>
      <c r="M5" s="9">
        <f t="shared" si="27"/>
        <v>-10</v>
      </c>
      <c r="N5" s="2">
        <f t="shared" si="4"/>
        <v>1E-13</v>
      </c>
      <c r="O5" s="2">
        <f t="shared" si="5"/>
        <v>26792.4021340531</v>
      </c>
      <c r="P5" s="2">
        <f t="shared" si="6"/>
        <v>26019.67965016466</v>
      </c>
      <c r="Q5" s="2">
        <f t="shared" si="7"/>
        <v>25422.633116538804</v>
      </c>
      <c r="R5" s="2">
        <f t="shared" si="8"/>
        <v>24863.312165419735</v>
      </c>
      <c r="S5" s="2">
        <f t="shared" si="9"/>
        <v>24055.182864407325</v>
      </c>
      <c r="T5" s="2">
        <f t="shared" si="10"/>
        <v>22147.099261527121</v>
      </c>
      <c r="U5" s="2">
        <f t="shared" si="11"/>
        <v>20179.587954723233</v>
      </c>
      <c r="Z5" s="2">
        <v>1E-13</v>
      </c>
      <c r="AA5" s="3">
        <f>IF('Modell einstellen'!$B$2="Ja",'creep_res-40'!P5,'creep_res-40'!L5)</f>
        <v>0.36479927706444065</v>
      </c>
      <c r="AB5" s="2">
        <f>IF('Modell einstellen'!$B$2="Ja",creep_res0!P5,creep_res0!L5)</f>
        <v>0.36886885092708488</v>
      </c>
      <c r="AC5" s="2">
        <f>IF('Modell einstellen'!$B$2="Ja",creep_res25!P5,creep_res25!L5)</f>
        <v>0.37211216320458834</v>
      </c>
      <c r="AD5" s="2">
        <f>IF('Modell einstellen'!$B$2="Ja",creep_res50!P5,creep_res50!L5)</f>
        <v>0.3751344998631097</v>
      </c>
      <c r="AE5" s="2">
        <f>IF('Modell einstellen'!$B$2="Ja",creep_res80!P5,creep_res80!L5)</f>
        <v>0.37959892999797451</v>
      </c>
      <c r="AF5" s="2">
        <f>IF('Modell einstellen'!$B$2="Ja",creep_res125!P5,creep_res125!L5)</f>
        <v>0.39077334759859633</v>
      </c>
      <c r="AG5" s="2">
        <f>IF('Modell einstellen'!$B$2="Ja",creep_res160!P5,creep_res160!L5)</f>
        <v>0.40306722818195923</v>
      </c>
      <c r="AL5" s="2">
        <f t="shared" si="12"/>
        <v>1E-13</v>
      </c>
      <c r="AM5" s="2">
        <f t="shared" si="13"/>
        <v>9815.5100842671618</v>
      </c>
      <c r="AN5" s="2">
        <f t="shared" si="14"/>
        <v>9504.080552546171</v>
      </c>
      <c r="AO5" s="2">
        <f t="shared" si="15"/>
        <v>9264.0506360514537</v>
      </c>
      <c r="AP5" s="2">
        <f t="shared" si="16"/>
        <v>9040.3201170121174</v>
      </c>
      <c r="AQ5" s="2">
        <f t="shared" si="17"/>
        <v>8718.1797337443004</v>
      </c>
      <c r="AR5" s="2">
        <f t="shared" si="18"/>
        <v>7962.1526037178537</v>
      </c>
      <c r="AS5" s="2">
        <f t="shared" si="19"/>
        <v>7191.2405725815324</v>
      </c>
      <c r="AX5" s="2">
        <f t="shared" si="28"/>
        <v>1E-13</v>
      </c>
      <c r="AY5" s="37">
        <f t="shared" si="20"/>
        <v>33027.932534087544</v>
      </c>
      <c r="AZ5" s="37">
        <f t="shared" si="21"/>
        <v>33070.809686995737</v>
      </c>
      <c r="BA5" s="37">
        <f t="shared" si="22"/>
        <v>33131.419105957953</v>
      </c>
      <c r="BB5" s="37">
        <f t="shared" si="23"/>
        <v>33186.791838901372</v>
      </c>
      <c r="BC5" s="37">
        <f t="shared" si="24"/>
        <v>33298.683674492604</v>
      </c>
      <c r="BD5" s="37">
        <f t="shared" si="25"/>
        <v>33793.796011339487</v>
      </c>
      <c r="BE5" s="37">
        <f t="shared" si="26"/>
        <v>34696.879043487541</v>
      </c>
    </row>
    <row r="6" spans="1:308" x14ac:dyDescent="0.25">
      <c r="A6" s="2">
        <f>'creep_res-40'!A6</f>
        <v>9.9999999999999998E-13</v>
      </c>
      <c r="B6" s="3">
        <f>'creep_res-40'!O6</f>
        <v>-3.806628857142857E-4</v>
      </c>
      <c r="C6" s="2">
        <f>IF('Modell einstellen'!$B$2="Ja",creep_res0!O6,creep_res0!C6)</f>
        <v>-3.9200328571428571E-4</v>
      </c>
      <c r="D6" s="2">
        <f>IF('Modell einstellen'!$B$2="Ja",creep_res25!O6,creep_res25!C6)</f>
        <v>-4.0201937142857143E-4</v>
      </c>
      <c r="E6" s="2">
        <f>IF('Modell einstellen'!$B$2="Ja",creep_res50!O6,creep_res50!C6)</f>
        <v>-4.1229211428571433E-4</v>
      </c>
      <c r="F6" s="2">
        <f>IF('Modell einstellen'!$B$2="Ja",creep_res80!O6,creep_res80!C6)</f>
        <v>-4.2745811428571433E-4</v>
      </c>
      <c r="G6" s="2">
        <f>IF('Modell einstellen'!$B$2="Ja",creep_res125!O6,creep_res125!C6)</f>
        <v>-4.6579128571428574E-4</v>
      </c>
      <c r="H6" s="2">
        <f>IF('Modell einstellen'!$B$2="Ja",creep_res160!O6,creep_res160!C6)</f>
        <v>-5.2058842857142867E-4</v>
      </c>
      <c r="M6" s="9">
        <f t="shared" si="27"/>
        <v>-10</v>
      </c>
      <c r="N6" s="2">
        <f t="shared" si="4"/>
        <v>9.9999999999999998E-13</v>
      </c>
      <c r="O6" s="2">
        <f t="shared" si="5"/>
        <v>26269.963201786119</v>
      </c>
      <c r="P6" s="2">
        <f t="shared" si="6"/>
        <v>25509.990258828006</v>
      </c>
      <c r="Q6" s="2">
        <f t="shared" si="7"/>
        <v>24874.423250962038</v>
      </c>
      <c r="R6" s="2">
        <f t="shared" si="8"/>
        <v>24254.64774489987</v>
      </c>
      <c r="S6" s="2">
        <f t="shared" si="9"/>
        <v>23394.104979642449</v>
      </c>
      <c r="T6" s="2">
        <f t="shared" si="10"/>
        <v>21468.84303484792</v>
      </c>
      <c r="U6" s="2">
        <f t="shared" si="11"/>
        <v>19209.032416339858</v>
      </c>
      <c r="Z6" s="2">
        <v>9.9999999999999998E-13</v>
      </c>
      <c r="AA6" s="3">
        <f>IF('Modell einstellen'!$B$2="Ja",'creep_res-40'!P6,'creep_res-40'!L6)</f>
        <v>0.36782979555738898</v>
      </c>
      <c r="AB6" s="2">
        <f>IF('Modell einstellen'!$B$2="Ja",creep_res0!P6,creep_res0!L6)</f>
        <v>0.37185836999179678</v>
      </c>
      <c r="AC6" s="2">
        <f>IF('Modell einstellen'!$B$2="Ja",creep_res25!P6,creep_res25!L6)</f>
        <v>0.37536169188151419</v>
      </c>
      <c r="AD6" s="2">
        <f>IF('Modell einstellen'!$B$2="Ja",creep_res50!P6,creep_res50!L6)</f>
        <v>0.37878089764926726</v>
      </c>
      <c r="AE6" s="2">
        <f>IF('Modell einstellen'!$B$2="Ja",creep_res80!P6,creep_res80!L6)</f>
        <v>0.38363343736803218</v>
      </c>
      <c r="AF6" s="2">
        <f>IF('Modell einstellen'!$B$2="Ja",creep_res125!P6,creep_res125!L6)</f>
        <v>0.39514674107563202</v>
      </c>
      <c r="AG6" s="2">
        <f>IF('Modell einstellen'!$B$2="Ja",creep_res160!P6,creep_res160!L6)</f>
        <v>0.4098448760866481</v>
      </c>
      <c r="AL6" s="2">
        <f t="shared" si="12"/>
        <v>9.9999999999999998E-13</v>
      </c>
      <c r="AM6" s="2">
        <f t="shared" si="13"/>
        <v>9602.7895017015398</v>
      </c>
      <c r="AN6" s="2">
        <f t="shared" si="14"/>
        <v>9297.6034614201999</v>
      </c>
      <c r="AO6" s="2">
        <f t="shared" si="15"/>
        <v>9042.8661048910981</v>
      </c>
      <c r="AP6" s="2">
        <f t="shared" si="16"/>
        <v>8795.6860246078559</v>
      </c>
      <c r="AQ6" s="2">
        <f t="shared" si="17"/>
        <v>8453.8665906134283</v>
      </c>
      <c r="AR6" s="2">
        <f t="shared" si="18"/>
        <v>7694.1164691736458</v>
      </c>
      <c r="AS6" s="2">
        <f t="shared" si="19"/>
        <v>6812.4631092957497</v>
      </c>
      <c r="AX6" s="2">
        <f t="shared" si="28"/>
        <v>9.9999999999999998E-13</v>
      </c>
      <c r="AY6" s="37">
        <f t="shared" si="20"/>
        <v>33126.431322112228</v>
      </c>
      <c r="AZ6" s="37">
        <f t="shared" si="21"/>
        <v>33179.420636882976</v>
      </c>
      <c r="BA6" s="37">
        <f t="shared" si="22"/>
        <v>33262.142844177419</v>
      </c>
      <c r="BB6" s="37">
        <f t="shared" si="23"/>
        <v>33348.219978731839</v>
      </c>
      <c r="BC6" s="37">
        <f t="shared" si="24"/>
        <v>33506.339006837261</v>
      </c>
      <c r="BD6" s="37">
        <f t="shared" si="25"/>
        <v>34125.219783478031</v>
      </c>
      <c r="BE6" s="37">
        <f t="shared" si="26"/>
        <v>35511.075397115274</v>
      </c>
    </row>
    <row r="7" spans="1:308" x14ac:dyDescent="0.25">
      <c r="A7" s="2">
        <f>'creep_res-40'!A7</f>
        <v>9.9999999999999994E-12</v>
      </c>
      <c r="B7" s="3">
        <f>'creep_res-40'!O7</f>
        <v>-3.878932285714286E-4</v>
      </c>
      <c r="C7" s="2">
        <f>IF('Modell einstellen'!$B$2="Ja",creep_res0!O7,creep_res0!C7)</f>
        <v>-4.0057774285714288E-4</v>
      </c>
      <c r="D7" s="2">
        <f>IF('Modell einstellen'!$B$2="Ja",creep_res25!O7,creep_res25!C7)</f>
        <v>-4.1216908571428576E-4</v>
      </c>
      <c r="E7" s="2">
        <f>IF('Modell einstellen'!$B$2="Ja",creep_res50!O7,creep_res50!C7)</f>
        <v>-4.237640857142858E-4</v>
      </c>
      <c r="F7" s="2">
        <f>IF('Modell einstellen'!$B$2="Ja",creep_res80!O7,creep_res80!C7)</f>
        <v>-4.4150500000000002E-4</v>
      </c>
      <c r="G7" s="2">
        <f>IF('Modell einstellen'!$B$2="Ja",creep_res125!O7,creep_res125!C7)</f>
        <v>-4.8305622857142865E-4</v>
      </c>
      <c r="H7" s="2">
        <f>IF('Modell einstellen'!$B$2="Ja",creep_res160!O7,creep_res160!C7)</f>
        <v>-5.4701862857142855E-4</v>
      </c>
      <c r="M7" s="9">
        <f t="shared" si="27"/>
        <v>-10</v>
      </c>
      <c r="N7" s="2">
        <f t="shared" si="4"/>
        <v>9.9999999999999994E-12</v>
      </c>
      <c r="O7" s="2">
        <f t="shared" si="5"/>
        <v>25780.290202097585</v>
      </c>
      <c r="P7" s="2">
        <f t="shared" si="6"/>
        <v>24963.943150396844</v>
      </c>
      <c r="Q7" s="2">
        <f t="shared" si="7"/>
        <v>24261.887527712272</v>
      </c>
      <c r="R7" s="2">
        <f t="shared" si="8"/>
        <v>23598.035645574491</v>
      </c>
      <c r="S7" s="2">
        <f t="shared" si="9"/>
        <v>22649.800115513979</v>
      </c>
      <c r="T7" s="2">
        <f t="shared" si="10"/>
        <v>20701.523774103076</v>
      </c>
      <c r="U7" s="2">
        <f t="shared" si="11"/>
        <v>18280.913076243109</v>
      </c>
      <c r="Z7" s="2">
        <v>9.9999999999999994E-12</v>
      </c>
      <c r="AA7" s="3">
        <f>IF('Modell einstellen'!$B$2="Ja",'creep_res-40'!P7,'creep_res-40'!L7)</f>
        <v>0.37070936236282398</v>
      </c>
      <c r="AB7" s="2">
        <f>IF('Modell einstellen'!$B$2="Ja",creep_res0!P7,creep_res0!L7)</f>
        <v>0.37511400854522908</v>
      </c>
      <c r="AC7" s="2">
        <f>IF('Modell einstellen'!$B$2="Ja",creep_res25!P7,creep_res25!L7)</f>
        <v>0.37905983522157827</v>
      </c>
      <c r="AD7" s="2">
        <f>IF('Modell einstellen'!$B$2="Ja",creep_res50!P7,creep_res50!L7)</f>
        <v>0.38280144821818979</v>
      </c>
      <c r="AE7" s="2">
        <f>IF('Modell einstellen'!$B$2="Ja",creep_res80!P7,creep_res80!L7)</f>
        <v>0.38828927677570391</v>
      </c>
      <c r="AF7" s="2">
        <f>IF('Modell einstellen'!$B$2="Ja",creep_res125!P7,creep_res125!L7)</f>
        <v>0.40024421883332356</v>
      </c>
      <c r="AG7" s="2">
        <f>IF('Modell einstellen'!$B$2="Ja",creep_res160!P7,creep_res160!L7)</f>
        <v>0.41669179508746956</v>
      </c>
      <c r="AL7" s="2">
        <f t="shared" si="12"/>
        <v>9.9999999999999994E-12</v>
      </c>
      <c r="AM7" s="2">
        <f t="shared" si="13"/>
        <v>9403.9958104822508</v>
      </c>
      <c r="AN7" s="2">
        <f t="shared" si="14"/>
        <v>9077.0448832845814</v>
      </c>
      <c r="AO7" s="2">
        <f t="shared" si="15"/>
        <v>8796.5318501985184</v>
      </c>
      <c r="AP7" s="2">
        <f t="shared" si="16"/>
        <v>8532.6912536798991</v>
      </c>
      <c r="AQ7" s="2">
        <f t="shared" si="17"/>
        <v>8157.4497816903277</v>
      </c>
      <c r="AR7" s="2">
        <f t="shared" si="18"/>
        <v>7392.1118529421537</v>
      </c>
      <c r="AS7" s="2">
        <f t="shared" si="19"/>
        <v>6451.9725248759578</v>
      </c>
      <c r="AX7" s="2">
        <f t="shared" si="28"/>
        <v>9.9999999999999994E-12</v>
      </c>
      <c r="AY7" s="37">
        <f t="shared" si="20"/>
        <v>33232.994377679985</v>
      </c>
      <c r="AZ7" s="37">
        <f t="shared" si="21"/>
        <v>33315.643678415632</v>
      </c>
      <c r="BA7" s="37">
        <f t="shared" si="22"/>
        <v>33435.111723998991</v>
      </c>
      <c r="BB7" s="37">
        <f t="shared" si="23"/>
        <v>33558.485844186886</v>
      </c>
      <c r="BC7" s="37">
        <f t="shared" si="24"/>
        <v>33792.339508352357</v>
      </c>
      <c r="BD7" s="37">
        <f t="shared" si="25"/>
        <v>34587.007609971733</v>
      </c>
      <c r="BE7" s="37">
        <f t="shared" si="26"/>
        <v>36572.854369380897</v>
      </c>
    </row>
    <row r="8" spans="1:308" x14ac:dyDescent="0.25">
      <c r="A8" s="2">
        <f>'creep_res-40'!A8</f>
        <v>1E-10</v>
      </c>
      <c r="B8" s="3">
        <f>'creep_res-40'!O8</f>
        <v>-3.9618314285714287E-4</v>
      </c>
      <c r="C8" s="2">
        <f>IF('Modell einstellen'!$B$2="Ja",creep_res0!O8,creep_res0!C8)</f>
        <v>-4.1050514285714286E-4</v>
      </c>
      <c r="D8" s="2">
        <f>IF('Modell einstellen'!$B$2="Ja",creep_res25!O8,creep_res25!C8)</f>
        <v>-4.2365497142857146E-4</v>
      </c>
      <c r="E8" s="2">
        <f>IF('Modell einstellen'!$B$2="Ja",creep_res50!O8,creep_res50!C8)</f>
        <v>-4.3715760000000002E-4</v>
      </c>
      <c r="F8" s="2">
        <f>IF('Modell einstellen'!$B$2="Ja",creep_res80!O8,creep_res80!C8)</f>
        <v>-4.554939428571429E-4</v>
      </c>
      <c r="G8" s="2">
        <f>IF('Modell einstellen'!$B$2="Ja",creep_res125!O8,creep_res125!C8)</f>
        <v>-5.0552008571428568E-4</v>
      </c>
      <c r="H8" s="2">
        <f>IF('Modell einstellen'!$B$2="Ja",creep_res160!O8,creep_res160!C8)</f>
        <v>-5.7006357142857145E-4</v>
      </c>
      <c r="M8" s="9">
        <f t="shared" si="27"/>
        <v>-10</v>
      </c>
      <c r="N8" s="2">
        <f t="shared" si="4"/>
        <v>1E-10</v>
      </c>
      <c r="O8" s="2">
        <f t="shared" si="5"/>
        <v>25240.85181384367</v>
      </c>
      <c r="P8" s="2">
        <f t="shared" si="6"/>
        <v>24360.23074010557</v>
      </c>
      <c r="Q8" s="2">
        <f t="shared" si="7"/>
        <v>23604.113428150831</v>
      </c>
      <c r="R8" s="2">
        <f t="shared" si="8"/>
        <v>22875.045521340588</v>
      </c>
      <c r="S8" s="2">
        <f t="shared" si="9"/>
        <v>21954.188758853183</v>
      </c>
      <c r="T8" s="2">
        <f t="shared" si="10"/>
        <v>19781.607660297574</v>
      </c>
      <c r="U8" s="2">
        <f t="shared" si="11"/>
        <v>17541.903221319928</v>
      </c>
      <c r="Z8" s="2">
        <v>1E-10</v>
      </c>
      <c r="AA8" s="3">
        <f>IF('Modell einstellen'!$B$2="Ja",'creep_res-40'!P8,'creep_res-40'!L8)</f>
        <v>0.37393080112300153</v>
      </c>
      <c r="AB8" s="2">
        <f>IF('Modell einstellen'!$B$2="Ja",creep_res0!P8,creep_res0!L8)</f>
        <v>0.37877846666963633</v>
      </c>
      <c r="AC8" s="2">
        <f>IF('Modell einstellen'!$B$2="Ja",creep_res25!P8,creep_res25!L8)</f>
        <v>0.38311924852056162</v>
      </c>
      <c r="AD8" s="2">
        <f>IF('Modell einstellen'!$B$2="Ja",creep_res50!P8,creep_res50!L8)</f>
        <v>0.38733544019038313</v>
      </c>
      <c r="AE8" s="2">
        <f>IF('Modell einstellen'!$B$2="Ja",creep_res80!P8,creep_res80!L8)</f>
        <v>0.39277062991209288</v>
      </c>
      <c r="AF8" s="2">
        <f>IF('Modell einstellen'!$B$2="Ja",creep_res125!P8,creep_res125!L8)</f>
        <v>0.40660009383264306</v>
      </c>
      <c r="AG8" s="2">
        <f>IF('Modell einstellen'!$B$2="Ja",creep_res160!P8,creep_res160!L8)</f>
        <v>0.42244610312884906</v>
      </c>
      <c r="AL8" s="2">
        <f t="shared" si="12"/>
        <v>1E-10</v>
      </c>
      <c r="AM8" s="2">
        <f t="shared" si="13"/>
        <v>9185.6343104080297</v>
      </c>
      <c r="AN8" s="2">
        <f t="shared" si="14"/>
        <v>8833.9901329277236</v>
      </c>
      <c r="AO8" s="2">
        <f t="shared" si="15"/>
        <v>8532.9278199977016</v>
      </c>
      <c r="AP8" s="2">
        <f t="shared" si="16"/>
        <v>8244.2374276121209</v>
      </c>
      <c r="AQ8" s="2">
        <f t="shared" si="17"/>
        <v>7881.4803699008435</v>
      </c>
      <c r="AR8" s="2">
        <f t="shared" si="18"/>
        <v>7031.7099177768096</v>
      </c>
      <c r="AS8" s="2">
        <f t="shared" si="19"/>
        <v>6166.1047060884439</v>
      </c>
      <c r="AX8" s="2">
        <f t="shared" si="28"/>
        <v>1E-10</v>
      </c>
      <c r="AY8" s="37">
        <f t="shared" si="20"/>
        <v>33369.04393074676</v>
      </c>
      <c r="AZ8" s="37">
        <f t="shared" si="21"/>
        <v>33492.716559024913</v>
      </c>
      <c r="BA8" s="37">
        <f t="shared" si="22"/>
        <v>33658.398452236819</v>
      </c>
      <c r="BB8" s="37">
        <f t="shared" si="23"/>
        <v>33839.457530678323</v>
      </c>
      <c r="BC8" s="37">
        <f t="shared" si="24"/>
        <v>34123.407204660194</v>
      </c>
      <c r="BD8" s="37">
        <f t="shared" si="25"/>
        <v>35299.121223334449</v>
      </c>
      <c r="BE8" s="37">
        <f t="shared" si="26"/>
        <v>37698.306014771195</v>
      </c>
    </row>
    <row r="9" spans="1:308" x14ac:dyDescent="0.25">
      <c r="A9" s="2">
        <f>'creep_res-40'!A9</f>
        <v>1.0000000000000001E-9</v>
      </c>
      <c r="B9" s="3">
        <f>'creep_res-40'!O9</f>
        <v>-4.0530537142857145E-4</v>
      </c>
      <c r="C9" s="2">
        <f>IF('Modell einstellen'!$B$2="Ja",creep_res0!O9,creep_res0!C9)</f>
        <v>-4.2189285714285712E-4</v>
      </c>
      <c r="D9" s="2">
        <f>IF('Modell einstellen'!$B$2="Ja",creep_res25!O9,creep_res25!C9)</f>
        <v>-4.3714400000000004E-4</v>
      </c>
      <c r="E9" s="2">
        <f>IF('Modell einstellen'!$B$2="Ja",creep_res50!O9,creep_res50!C9)</f>
        <v>-4.5135482857142859E-4</v>
      </c>
      <c r="F9" s="2">
        <f>IF('Modell einstellen'!$B$2="Ja",creep_res80!O9,creep_res80!C9)</f>
        <v>-4.7038757142857146E-4</v>
      </c>
      <c r="G9" s="2">
        <f>IF('Modell einstellen'!$B$2="Ja",creep_res125!O9,creep_res125!C9)</f>
        <v>-5.3161102857142862E-4</v>
      </c>
      <c r="H9" s="2">
        <f>IF('Modell einstellen'!$B$2="Ja",creep_res160!O9,creep_res160!C9)</f>
        <v>-5.9517077142857142E-4</v>
      </c>
      <c r="M9" s="9">
        <f t="shared" si="27"/>
        <v>-10</v>
      </c>
      <c r="N9" s="2">
        <f t="shared" si="4"/>
        <v>1.0000000000000001E-9</v>
      </c>
      <c r="O9" s="2">
        <f t="shared" si="5"/>
        <v>24672.754680633043</v>
      </c>
      <c r="P9" s="2">
        <f t="shared" si="6"/>
        <v>23702.700414797258</v>
      </c>
      <c r="Q9" s="2">
        <f t="shared" si="7"/>
        <v>22875.757187562907</v>
      </c>
      <c r="R9" s="2">
        <f t="shared" si="8"/>
        <v>22155.517936189448</v>
      </c>
      <c r="S9" s="2">
        <f t="shared" si="9"/>
        <v>21259.065093131409</v>
      </c>
      <c r="T9" s="2">
        <f t="shared" si="10"/>
        <v>18810.745944967493</v>
      </c>
      <c r="U9" s="2">
        <f t="shared" si="11"/>
        <v>16801.90036213856</v>
      </c>
      <c r="Z9" s="2">
        <v>1.0000000000000001E-9</v>
      </c>
      <c r="AA9" s="3">
        <f>IF('Modell einstellen'!$B$2="Ja",'creep_res-40'!P9,'creep_res-40'!L9)</f>
        <v>0.37738349384252629</v>
      </c>
      <c r="AB9" s="2">
        <f>IF('Modell einstellen'!$B$2="Ja",creep_res0!P9,creep_res0!L9)</f>
        <v>0.38285604672818085</v>
      </c>
      <c r="AC9" s="2">
        <f>IF('Modell einstellen'!$B$2="Ja",creep_res25!P9,creep_res25!L9)</f>
        <v>0.38772336542910996</v>
      </c>
      <c r="AD9" s="2">
        <f>IF('Modell einstellen'!$B$2="Ja",creep_res50!P9,creep_res50!L9)</f>
        <v>0.39197927838718466</v>
      </c>
      <c r="AE9" s="2">
        <f>IF('Modell einstellen'!$B$2="Ja",creep_res80!P9,creep_res80!L9)</f>
        <v>0.39737282903186527</v>
      </c>
      <c r="AF9" s="2">
        <f>IF('Modell einstellen'!$B$2="Ja",creep_res125!P9,creep_res125!L9)</f>
        <v>0.41365429589604341</v>
      </c>
      <c r="AG9" s="2">
        <f>IF('Modell einstellen'!$B$2="Ja",creep_res160!P9,creep_res160!L9)</f>
        <v>0.42847665762388393</v>
      </c>
      <c r="AL9" s="2">
        <f t="shared" si="12"/>
        <v>1.0000000000000001E-9</v>
      </c>
      <c r="AM9" s="2">
        <f t="shared" si="13"/>
        <v>8956.3853461764484</v>
      </c>
      <c r="AN9" s="2">
        <f t="shared" si="14"/>
        <v>8570.1980588932365</v>
      </c>
      <c r="AO9" s="2">
        <f t="shared" si="15"/>
        <v>8242.1892422663423</v>
      </c>
      <c r="AP9" s="2">
        <f t="shared" si="16"/>
        <v>7958.2786468847135</v>
      </c>
      <c r="AQ9" s="2">
        <f t="shared" si="17"/>
        <v>7606.797789198542</v>
      </c>
      <c r="AR9" s="2">
        <f t="shared" si="18"/>
        <v>6653.2341038317008</v>
      </c>
      <c r="AS9" s="2">
        <f t="shared" si="19"/>
        <v>5881.0552739751101</v>
      </c>
      <c r="AX9" s="2">
        <f t="shared" si="28"/>
        <v>1.0000000000000001E-9</v>
      </c>
      <c r="AY9" s="37">
        <f t="shared" si="20"/>
        <v>33536.478154290198</v>
      </c>
      <c r="AZ9" s="37">
        <f t="shared" si="21"/>
        <v>33723.038695529671</v>
      </c>
      <c r="BA9" s="37">
        <f t="shared" si="22"/>
        <v>33957.432127339969</v>
      </c>
      <c r="BB9" s="37">
        <f t="shared" si="23"/>
        <v>34184.055314255194</v>
      </c>
      <c r="BC9" s="37">
        <f t="shared" si="24"/>
        <v>34524.750922170912</v>
      </c>
      <c r="BD9" s="37">
        <f t="shared" si="25"/>
        <v>36308.978619094836</v>
      </c>
      <c r="BE9" s="37">
        <f t="shared" si="26"/>
        <v>39152.486922342272</v>
      </c>
    </row>
    <row r="10" spans="1:308" x14ac:dyDescent="0.25">
      <c r="A10" s="2">
        <f>'creep_res-40'!A10</f>
        <v>1E-8</v>
      </c>
      <c r="B10" s="3">
        <f>'creep_res-40'!O10</f>
        <v>-4.1631285714285719E-4</v>
      </c>
      <c r="C10" s="2">
        <f>IF('Modell einstellen'!$B$2="Ja",creep_res0!O10,creep_res0!C10)</f>
        <v>-4.350891142857143E-4</v>
      </c>
      <c r="D10" s="2">
        <f>IF('Modell einstellen'!$B$2="Ja",creep_res25!O10,creep_res25!C10)</f>
        <v>-4.5126900000000002E-4</v>
      </c>
      <c r="E10" s="2">
        <f>IF('Modell einstellen'!$B$2="Ja",creep_res50!O10,creep_res50!C10)</f>
        <v>-4.6574105714285716E-4</v>
      </c>
      <c r="F10" s="2">
        <f>IF('Modell einstellen'!$B$2="Ja",creep_res80!O10,creep_res80!C10)</f>
        <v>-4.8958205714285719E-4</v>
      </c>
      <c r="G10" s="2">
        <f>IF('Modell einstellen'!$B$2="Ja",creep_res125!O10,creep_res125!C10)</f>
        <v>-5.5661174285714281E-4</v>
      </c>
      <c r="H10" s="2">
        <f>IF('Modell einstellen'!$B$2="Ja",creep_res160!O10,creep_res160!C10)</f>
        <v>-6.2135062857142864E-4</v>
      </c>
      <c r="M10" s="9">
        <f t="shared" si="27"/>
        <v>-10</v>
      </c>
      <c r="N10" s="2">
        <f t="shared" si="4"/>
        <v>1E-8</v>
      </c>
      <c r="O10" s="2">
        <f t="shared" si="5"/>
        <v>24020.396748324576</v>
      </c>
      <c r="P10" s="2">
        <f t="shared" si="6"/>
        <v>22983.797276603891</v>
      </c>
      <c r="Q10" s="2">
        <f t="shared" si="7"/>
        <v>22159.731778606551</v>
      </c>
      <c r="R10" s="2">
        <f t="shared" si="8"/>
        <v>21471.158375742449</v>
      </c>
      <c r="S10" s="2">
        <f t="shared" si="9"/>
        <v>20425.585157999485</v>
      </c>
      <c r="T10" s="2">
        <f t="shared" si="10"/>
        <v>17965.844465783306</v>
      </c>
      <c r="U10" s="2">
        <f t="shared" si="11"/>
        <v>16093.972614128335</v>
      </c>
      <c r="Z10" s="2">
        <v>1E-8</v>
      </c>
      <c r="AA10" s="3">
        <f>IF('Modell einstellen'!$B$2="Ja",'creep_res-40'!P10,'creep_res-40'!L10)</f>
        <v>0.38142777238272035</v>
      </c>
      <c r="AB10" s="2">
        <f>IF('Modell einstellen'!$B$2="Ja",creep_res0!P10,creep_res0!L10)</f>
        <v>0.38742078388013651</v>
      </c>
      <c r="AC10" s="2">
        <f>IF('Modell einstellen'!$B$2="Ja",creep_res25!P10,creep_res25!L10)</f>
        <v>0.39238278847301405</v>
      </c>
      <c r="AD10" s="2">
        <f>IF('Modell einstellen'!$B$2="Ja",creep_res50!P10,creep_res50!L10)</f>
        <v>0.39652056197751084</v>
      </c>
      <c r="AE10" s="2">
        <f>IF('Modell einstellen'!$B$2="Ja",creep_res80!P10,creep_res80!L10)</f>
        <v>0.40307057821680203</v>
      </c>
      <c r="AF10" s="2">
        <f>IF('Modell einstellen'!$B$2="Ja",creep_res125!P10,creep_res125!L10)</f>
        <v>0.42014317648757582</v>
      </c>
      <c r="AG10" s="2">
        <f>IF('Modell einstellen'!$B$2="Ja",creep_res160!P10,creep_res160!L10)</f>
        <v>0.43456650103056604</v>
      </c>
      <c r="AL10" s="2">
        <f t="shared" si="12"/>
        <v>1E-8</v>
      </c>
      <c r="AM10" s="2">
        <f t="shared" si="13"/>
        <v>8694.0472851843733</v>
      </c>
      <c r="AN10" s="2">
        <f t="shared" si="14"/>
        <v>8282.9223634397895</v>
      </c>
      <c r="AO10" s="2">
        <f t="shared" si="15"/>
        <v>7957.4855284258747</v>
      </c>
      <c r="AP10" s="2">
        <f t="shared" si="16"/>
        <v>7687.376383967704</v>
      </c>
      <c r="AQ10" s="2">
        <f t="shared" si="17"/>
        <v>7278.8872759198184</v>
      </c>
      <c r="AR10" s="2">
        <f t="shared" si="18"/>
        <v>6325.3637954371716</v>
      </c>
      <c r="AS10" s="2">
        <f t="shared" si="19"/>
        <v>5609.3504910949478</v>
      </c>
      <c r="AX10" s="2">
        <f t="shared" si="28"/>
        <v>1E-8</v>
      </c>
      <c r="AY10" s="37">
        <f t="shared" si="20"/>
        <v>33763.382357764502</v>
      </c>
      <c r="AZ10" s="37">
        <f t="shared" si="21"/>
        <v>34026.110781900396</v>
      </c>
      <c r="BA10" s="37">
        <f t="shared" si="22"/>
        <v>34318.754197061076</v>
      </c>
      <c r="BB10" s="37">
        <f t="shared" si="23"/>
        <v>34582.004544510135</v>
      </c>
      <c r="BC10" s="37">
        <f t="shared" si="24"/>
        <v>35121.061596903281</v>
      </c>
      <c r="BD10" s="37">
        <f t="shared" si="25"/>
        <v>37495.949366155641</v>
      </c>
      <c r="BE10" s="37">
        <f t="shared" si="26"/>
        <v>40993.203959250131</v>
      </c>
    </row>
    <row r="11" spans="1:308" x14ac:dyDescent="0.25">
      <c r="A11" s="2">
        <f>'creep_res-40'!A11</f>
        <v>9.9999999999999995E-8</v>
      </c>
      <c r="B11" s="3">
        <f>'creep_res-40'!O11</f>
        <v>-4.2841082857142859E-4</v>
      </c>
      <c r="C11" s="2">
        <f>IF('Modell einstellen'!$B$2="Ja",creep_res0!O11,creep_res0!C11)</f>
        <v>-4.4929674285714289E-4</v>
      </c>
      <c r="D11" s="2">
        <f>IF('Modell einstellen'!$B$2="Ja",creep_res25!O11,creep_res25!C11)</f>
        <v>-4.6570742857142861E-4</v>
      </c>
      <c r="E11" s="2">
        <f>IF('Modell einstellen'!$B$2="Ja",creep_res50!O11,creep_res50!C11)</f>
        <v>-4.8362802857142864E-4</v>
      </c>
      <c r="F11" s="2">
        <f>IF('Modell einstellen'!$B$2="Ja",creep_res80!O11,creep_res80!C11)</f>
        <v>-5.1373637142857148E-4</v>
      </c>
      <c r="G11" s="2">
        <f>IF('Modell einstellen'!$B$2="Ja",creep_res125!O11,creep_res125!C11)</f>
        <v>-5.7996000000000002E-4</v>
      </c>
      <c r="H11" s="2">
        <f>IF('Modell einstellen'!$B$2="Ja",creep_res160!O11,creep_res160!C11)</f>
        <v>-6.5162028571428578E-4</v>
      </c>
      <c r="M11" s="9">
        <f t="shared" si="27"/>
        <v>-10</v>
      </c>
      <c r="N11" s="2">
        <f t="shared" si="4"/>
        <v>9.9999999999999995E-8</v>
      </c>
      <c r="O11" s="2">
        <f t="shared" si="5"/>
        <v>23342.080388924409</v>
      </c>
      <c r="P11" s="2">
        <f t="shared" si="6"/>
        <v>22257.005328835807</v>
      </c>
      <c r="Q11" s="2">
        <f t="shared" si="7"/>
        <v>21472.708800620374</v>
      </c>
      <c r="R11" s="2">
        <f t="shared" si="8"/>
        <v>20677.048080812518</v>
      </c>
      <c r="S11" s="2">
        <f t="shared" si="9"/>
        <v>19465.236561298003</v>
      </c>
      <c r="T11" s="2">
        <f t="shared" si="10"/>
        <v>17242.568452996758</v>
      </c>
      <c r="U11" s="2">
        <f t="shared" si="11"/>
        <v>15346.360785926596</v>
      </c>
      <c r="Z11" s="2">
        <v>9.9999999999999995E-8</v>
      </c>
      <c r="AA11" s="3">
        <f>IF('Modell einstellen'!$B$2="Ja",'creep_res-40'!P11,'creep_res-40'!L11)</f>
        <v>0.38573236010641054</v>
      </c>
      <c r="AB11" s="2">
        <f>IF('Modell einstellen'!$B$2="Ja",creep_res0!P11,creep_res0!L11)</f>
        <v>0.39216940684317697</v>
      </c>
      <c r="AC11" s="2">
        <f>IF('Modell einstellen'!$B$2="Ja",creep_res25!P11,creep_res25!L11)</f>
        <v>0.39697961196974679</v>
      </c>
      <c r="AD11" s="2">
        <f>IF('Modell einstellen'!$B$2="Ja",creep_res50!P11,creep_res50!L11)</f>
        <v>0.40195329574718602</v>
      </c>
      <c r="AE11" s="2">
        <f>IF('Modell einstellen'!$B$2="Ja",creep_res80!P11,creep_res80!L11)</f>
        <v>0.40992917823944497</v>
      </c>
      <c r="AF11" s="2">
        <f>IF('Modell einstellen'!$B$2="Ja",creep_res125!P11,creep_res125!L11)</f>
        <v>0.42597248578719715</v>
      </c>
      <c r="AG11" s="2">
        <f>IF('Modell einstellen'!$B$2="Ja",creep_res160!P11,creep_res160!L11)</f>
        <v>0.44137137710787738</v>
      </c>
      <c r="AL11" s="2">
        <f t="shared" si="12"/>
        <v>9.9999999999999995E-8</v>
      </c>
      <c r="AM11" s="2">
        <f t="shared" si="13"/>
        <v>8422.2902852365987</v>
      </c>
      <c r="AN11" s="2">
        <f t="shared" si="14"/>
        <v>7993.641154385381</v>
      </c>
      <c r="AO11" s="2">
        <f t="shared" si="15"/>
        <v>7685.4052187432317</v>
      </c>
      <c r="AP11" s="2">
        <f t="shared" si="16"/>
        <v>7374.3712231841728</v>
      </c>
      <c r="AQ11" s="2">
        <f t="shared" si="17"/>
        <v>6902.9128773701668</v>
      </c>
      <c r="AR11" s="2">
        <f t="shared" si="18"/>
        <v>6045.8980186697399</v>
      </c>
      <c r="AS11" s="2">
        <f t="shared" si="19"/>
        <v>5323.5276590267758</v>
      </c>
      <c r="AX11" s="2">
        <f t="shared" si="28"/>
        <v>9.9999999999999995E-8</v>
      </c>
      <c r="AY11" s="37">
        <f t="shared" si="20"/>
        <v>34045.918294192881</v>
      </c>
      <c r="AZ11" s="37">
        <f t="shared" si="21"/>
        <v>34401.191531464567</v>
      </c>
      <c r="BA11" s="37">
        <f t="shared" si="22"/>
        <v>34738.607265315688</v>
      </c>
      <c r="BB11" s="37">
        <f t="shared" si="23"/>
        <v>35148.296991701412</v>
      </c>
      <c r="BC11" s="37">
        <f t="shared" si="24"/>
        <v>36018.391196364231</v>
      </c>
      <c r="BD11" s="37">
        <f t="shared" si="25"/>
        <v>38820.179758727929</v>
      </c>
      <c r="BE11" s="37">
        <f t="shared" si="26"/>
        <v>43625.906110069838</v>
      </c>
    </row>
    <row r="12" spans="1:308" x14ac:dyDescent="0.25">
      <c r="A12" s="2">
        <f>'creep_res-40'!A12</f>
        <v>9.9999999999999995E-7</v>
      </c>
      <c r="B12" s="3">
        <f>'creep_res-40'!O12</f>
        <v>-4.4282602857142865E-4</v>
      </c>
      <c r="C12" s="2">
        <f>IF('Modell einstellen'!$B$2="Ja",creep_res0!O12,creep_res0!C12)</f>
        <v>-4.6354088571428579E-4</v>
      </c>
      <c r="D12" s="2">
        <f>IF('Modell einstellen'!$B$2="Ja",creep_res25!O12,creep_res25!C12)</f>
        <v>-4.8378871428571426E-4</v>
      </c>
      <c r="E12" s="2">
        <f>IF('Modell einstellen'!$B$2="Ja",creep_res50!O12,creep_res50!C12)</f>
        <v>-5.0662740000000008E-4</v>
      </c>
      <c r="F12" s="2">
        <f>IF('Modell einstellen'!$B$2="Ja",creep_res80!O12,creep_res80!C12)</f>
        <v>-5.4002100000000001E-4</v>
      </c>
      <c r="G12" s="2">
        <f>IF('Modell einstellen'!$B$2="Ja",creep_res125!O12,creep_res125!C12)</f>
        <v>-6.0558114285714289E-4</v>
      </c>
      <c r="H12" s="2">
        <f>IF('Modell einstellen'!$B$2="Ja",creep_res160!O12,creep_res160!C12)</f>
        <v>-6.8221957142857142E-4</v>
      </c>
      <c r="M12" s="9">
        <f t="shared" si="27"/>
        <v>-10</v>
      </c>
      <c r="N12" s="2">
        <f t="shared" si="4"/>
        <v>9.9999999999999995E-7</v>
      </c>
      <c r="O12" s="2">
        <f t="shared" si="5"/>
        <v>22582.231745185189</v>
      </c>
      <c r="P12" s="2">
        <f t="shared" si="6"/>
        <v>21573.070053120908</v>
      </c>
      <c r="Q12" s="2">
        <f t="shared" si="7"/>
        <v>20670.180400475889</v>
      </c>
      <c r="R12" s="2">
        <f t="shared" si="8"/>
        <v>19738.371829079908</v>
      </c>
      <c r="S12" s="2">
        <f t="shared" si="9"/>
        <v>18517.798381914778</v>
      </c>
      <c r="T12" s="2">
        <f t="shared" si="10"/>
        <v>16513.063720610284</v>
      </c>
      <c r="U12" s="2">
        <f t="shared" si="11"/>
        <v>14658.037410243078</v>
      </c>
      <c r="Z12" s="2">
        <v>9.9999999999999995E-7</v>
      </c>
      <c r="AA12" s="3">
        <f>IF('Modell einstellen'!$B$2="Ja",'creep_res-40'!P12,'creep_res-40'!L12)</f>
        <v>0.39068337123814695</v>
      </c>
      <c r="AB12" s="2">
        <f>IF('Modell einstellen'!$B$2="Ja",creep_res0!P12,creep_res0!L12)</f>
        <v>0.39676538934984368</v>
      </c>
      <c r="AC12" s="2">
        <f>IF('Modell einstellen'!$B$2="Ja",creep_res25!P12,creep_res25!L12)</f>
        <v>0.40251787010917695</v>
      </c>
      <c r="AD12" s="2">
        <f>IF('Modell einstellen'!$B$2="Ja",creep_res50!P12,creep_res50!L12)</f>
        <v>0.40864505157044401</v>
      </c>
      <c r="AE12" s="2">
        <f>IF('Modell einstellen'!$B$2="Ja",creep_res80!P12,creep_res80!L12)</f>
        <v>0.41707084936114919</v>
      </c>
      <c r="AF12" s="2">
        <f>IF('Modell einstellen'!$B$2="Ja",creep_res125!P12,creep_res125!L12)</f>
        <v>0.43215616262820034</v>
      </c>
      <c r="AG12" s="2">
        <f>IF('Modell einstellen'!$B$2="Ja",creep_res160!P12,creep_res160!L12)</f>
        <v>0.4480558312080925</v>
      </c>
      <c r="AL12" s="2">
        <f t="shared" si="12"/>
        <v>9.9999999999999995E-7</v>
      </c>
      <c r="AM12" s="2">
        <f t="shared" si="13"/>
        <v>8119.1133122846923</v>
      </c>
      <c r="AN12" s="2">
        <f t="shared" si="14"/>
        <v>7722.5102431706819</v>
      </c>
      <c r="AO12" s="2">
        <f t="shared" si="15"/>
        <v>7368.9543787655439</v>
      </c>
      <c r="AP12" s="2">
        <f t="shared" si="16"/>
        <v>7006.1552436770207</v>
      </c>
      <c r="AQ12" s="2">
        <f t="shared" si="17"/>
        <v>6533.8294095397778</v>
      </c>
      <c r="AR12" s="2">
        <f t="shared" si="18"/>
        <v>5765.1058423358591</v>
      </c>
      <c r="AS12" s="2">
        <f t="shared" si="19"/>
        <v>5061.2818561056738</v>
      </c>
      <c r="AX12" s="2">
        <f t="shared" si="28"/>
        <v>9.9999999999999995E-7</v>
      </c>
      <c r="AY12" s="37">
        <f t="shared" si="20"/>
        <v>34429.394077487086</v>
      </c>
      <c r="AZ12" s="37">
        <f t="shared" si="21"/>
        <v>34828.548806220606</v>
      </c>
      <c r="BA12" s="37">
        <f t="shared" si="22"/>
        <v>35340.11895928318</v>
      </c>
      <c r="BB12" s="37">
        <f t="shared" si="23"/>
        <v>36010.404414126533</v>
      </c>
      <c r="BC12" s="37">
        <f t="shared" si="24"/>
        <v>37216.102016523655</v>
      </c>
      <c r="BD12" s="37">
        <f t="shared" si="25"/>
        <v>40566.356405900551</v>
      </c>
      <c r="BE12" s="37">
        <f t="shared" si="26"/>
        <v>47031.385656153085</v>
      </c>
    </row>
    <row r="13" spans="1:308" x14ac:dyDescent="0.25">
      <c r="A13" s="2">
        <f>'creep_res-40'!A13</f>
        <v>1.0000000000000001E-5</v>
      </c>
      <c r="B13" s="3">
        <f>'creep_res-40'!O13</f>
        <v>-4.5658385714285717E-4</v>
      </c>
      <c r="C13" s="2">
        <f>IF('Modell einstellen'!$B$2="Ja",creep_res0!O13,creep_res0!C13)</f>
        <v>-4.8108748571428574E-4</v>
      </c>
      <c r="D13" s="2">
        <f>IF('Modell einstellen'!$B$2="Ja",creep_res25!O13,creep_res25!C13)</f>
        <v>-5.0694940000000006E-4</v>
      </c>
      <c r="E13" s="2">
        <f>IF('Modell einstellen'!$B$2="Ja",creep_res50!O13,creep_res50!C13)</f>
        <v>-5.3271571428571435E-4</v>
      </c>
      <c r="F13" s="2">
        <f>IF('Modell einstellen'!$B$2="Ja",creep_res80!O13,creep_res80!C13)</f>
        <v>-5.6337371428571439E-4</v>
      </c>
      <c r="G13" s="2">
        <f>IF('Modell einstellen'!$B$2="Ja",creep_res125!O13,creep_res125!C13)</f>
        <v>-6.3340537142857146E-4</v>
      </c>
      <c r="H13" s="2">
        <f>IF('Modell einstellen'!$B$2="Ja",creep_res160!O13,creep_res160!C13)</f>
        <v>-7.24981542857143E-4</v>
      </c>
      <c r="M13" s="9">
        <f t="shared" si="27"/>
        <v>-10</v>
      </c>
      <c r="N13" s="2">
        <f t="shared" si="4"/>
        <v>1.0000000000000001E-5</v>
      </c>
      <c r="O13" s="2">
        <f t="shared" si="5"/>
        <v>21901.781772523715</v>
      </c>
      <c r="P13" s="2">
        <f t="shared" si="6"/>
        <v>20786.240126684414</v>
      </c>
      <c r="Q13" s="2">
        <f t="shared" si="7"/>
        <v>19725.834570471921</v>
      </c>
      <c r="R13" s="2">
        <f t="shared" si="8"/>
        <v>18771.738343420904</v>
      </c>
      <c r="S13" s="2">
        <f t="shared" si="9"/>
        <v>17750.206916697767</v>
      </c>
      <c r="T13" s="2">
        <f t="shared" si="10"/>
        <v>15787.67792487483</v>
      </c>
      <c r="U13" s="2">
        <f t="shared" si="11"/>
        <v>13793.454603809812</v>
      </c>
      <c r="Z13" s="2">
        <v>1.0000000000000001E-5</v>
      </c>
      <c r="AA13" s="3">
        <f>IF('Modell einstellen'!$B$2="Ja",'creep_res-40'!P13,'creep_res-40'!L13)</f>
        <v>0.39525261358655128</v>
      </c>
      <c r="AB13" s="2">
        <f>IF('Modell einstellen'!$B$2="Ja",creep_res0!P13,creep_res0!L13)</f>
        <v>0.40221594385387111</v>
      </c>
      <c r="AC13" s="2">
        <f>IF('Modell einstellen'!$B$2="Ja",creep_res25!P13,creep_res25!L13)</f>
        <v>0.4093140825720053</v>
      </c>
      <c r="AD13" s="2">
        <f>IF('Modell einstellen'!$B$2="Ja",creep_res50!P13,creep_res50!L13)</f>
        <v>0.41590602867785276</v>
      </c>
      <c r="AE13" s="2">
        <f>IF('Modell einstellen'!$B$2="Ja",creep_res80!P13,creep_res80!L13)</f>
        <v>0.42318615199857185</v>
      </c>
      <c r="AF13" s="2">
        <f>IF('Modell einstellen'!$B$2="Ja",creep_res125!P13,creep_res125!L13)</f>
        <v>0.43864868663660572</v>
      </c>
      <c r="AG13" s="2">
        <f>IF('Modell einstellen'!$B$2="Ja",creep_res160!P13,creep_res160!L13)</f>
        <v>0.45703185192419077</v>
      </c>
      <c r="AL13" s="2">
        <f t="shared" si="12"/>
        <v>1.0000000000000001E-5</v>
      </c>
      <c r="AM13" s="2">
        <f t="shared" si="13"/>
        <v>7848.6797155048253</v>
      </c>
      <c r="AN13" s="2">
        <f t="shared" si="14"/>
        <v>7411.9254661857585</v>
      </c>
      <c r="AO13" s="2">
        <f t="shared" si="15"/>
        <v>6998.3812744112274</v>
      </c>
      <c r="AP13" s="2">
        <f t="shared" si="16"/>
        <v>6628.8785990090082</v>
      </c>
      <c r="AQ13" s="2">
        <f t="shared" si="17"/>
        <v>6236.0805337275306</v>
      </c>
      <c r="AR13" s="2">
        <f t="shared" si="18"/>
        <v>5486.9816625574504</v>
      </c>
      <c r="AS13" s="2">
        <f t="shared" si="19"/>
        <v>4733.4087396901623</v>
      </c>
      <c r="AX13" s="2">
        <f t="shared" si="28"/>
        <v>1.0000000000000001E-5</v>
      </c>
      <c r="AY13" s="37">
        <f t="shared" si="20"/>
        <v>34848.57319188078</v>
      </c>
      <c r="AZ13" s="37">
        <f t="shared" si="21"/>
        <v>35428.816220000408</v>
      </c>
      <c r="BA13" s="37">
        <f t="shared" si="22"/>
        <v>36253.02790468061</v>
      </c>
      <c r="BB13" s="37">
        <f t="shared" si="23"/>
        <v>37203.892360508056</v>
      </c>
      <c r="BC13" s="37">
        <f t="shared" si="24"/>
        <v>38513.469855000949</v>
      </c>
      <c r="BD13" s="37">
        <f t="shared" si="25"/>
        <v>42888.725764683921</v>
      </c>
      <c r="BE13" s="37">
        <f t="shared" si="26"/>
        <v>53502.634011104579</v>
      </c>
    </row>
    <row r="14" spans="1:308" x14ac:dyDescent="0.25">
      <c r="A14" s="2">
        <f>'creep_res-40'!A14</f>
        <v>1E-4</v>
      </c>
      <c r="B14" s="3">
        <f>'creep_res-40'!O14</f>
        <v>-4.7222405714285716E-4</v>
      </c>
      <c r="C14" s="2">
        <f>IF('Modell einstellen'!$B$2="Ja",creep_res0!O14,creep_res0!C14)</f>
        <v>-5.0375437142857141E-4</v>
      </c>
      <c r="D14" s="2">
        <f>IF('Modell einstellen'!$B$2="Ja",creep_res25!O14,creep_res25!C14)</f>
        <v>-5.3302717142857147E-4</v>
      </c>
      <c r="E14" s="2">
        <f>IF('Modell einstellen'!$B$2="Ja",creep_res50!O14,creep_res50!C14)</f>
        <v>-5.569610571428572E-4</v>
      </c>
      <c r="F14" s="2">
        <f>IF('Modell einstellen'!$B$2="Ja",creep_res80!O14,creep_res80!C14)</f>
        <v>-5.8787177142857142E-4</v>
      </c>
      <c r="G14" s="2">
        <f>IF('Modell einstellen'!$B$2="Ja",creep_res125!O14,creep_res125!C14)</f>
        <v>-6.6375940000000001E-4</v>
      </c>
      <c r="H14" s="2">
        <f>IF('Modell einstellen'!$B$2="Ja",creep_res160!O14,creep_res160!C14)</f>
        <v>-7.7555411428571427E-4</v>
      </c>
      <c r="M14" s="9">
        <f t="shared" si="27"/>
        <v>-10</v>
      </c>
      <c r="N14" s="2">
        <f t="shared" si="4"/>
        <v>1E-4</v>
      </c>
      <c r="O14" s="2">
        <f t="shared" si="5"/>
        <v>21176.388302840744</v>
      </c>
      <c r="P14" s="2">
        <f t="shared" si="6"/>
        <v>19850.944363304498</v>
      </c>
      <c r="Q14" s="2">
        <f t="shared" si="7"/>
        <v>18760.769686841479</v>
      </c>
      <c r="R14" s="2">
        <f t="shared" si="8"/>
        <v>17954.576665195927</v>
      </c>
      <c r="S14" s="2">
        <f t="shared" si="9"/>
        <v>17010.512302196905</v>
      </c>
      <c r="T14" s="2">
        <f t="shared" si="10"/>
        <v>15065.700011178749</v>
      </c>
      <c r="U14" s="2">
        <f t="shared" si="11"/>
        <v>12894.006769869315</v>
      </c>
      <c r="Z14" s="2">
        <v>1E-4</v>
      </c>
      <c r="AA14" s="3">
        <f>IF('Modell einstellen'!$B$2="Ja",'creep_res-40'!P14,'creep_res-40'!L14)</f>
        <v>0.40026364603437042</v>
      </c>
      <c r="AB14" s="2">
        <f>IF('Modell einstellen'!$B$2="Ja",creep_res0!P14,creep_res0!L14)</f>
        <v>0.40896594559151084</v>
      </c>
      <c r="AC14" s="2">
        <f>IF('Modell einstellen'!$B$2="Ja",creep_res25!P14,creep_res25!L14)</f>
        <v>0.41663750617698336</v>
      </c>
      <c r="AD14" s="2">
        <f>IF('Modell einstellen'!$B$2="Ja",creep_res50!P14,creep_res50!L14)</f>
        <v>0.42239884737773664</v>
      </c>
      <c r="AE14" s="2">
        <f>IF('Modell einstellen'!$B$2="Ja",creep_res80!P14,creep_res80!L14)</f>
        <v>0.42935574580112512</v>
      </c>
      <c r="AF14" s="2">
        <f>IF('Modell einstellen'!$B$2="Ja",creep_res125!P14,creep_res125!L14)</f>
        <v>0.44552335422400691</v>
      </c>
      <c r="AG14" s="2">
        <f>IF('Modell einstellen'!$B$2="Ja",creep_res160!P14,creep_res160!L14)</f>
        <v>0.46730146195195965</v>
      </c>
      <c r="AL14" s="2">
        <f t="shared" si="12"/>
        <v>1E-4</v>
      </c>
      <c r="AM14" s="2">
        <f t="shared" si="13"/>
        <v>7561.5718378512247</v>
      </c>
      <c r="AN14" s="2">
        <f t="shared" si="14"/>
        <v>7044.5082173262499</v>
      </c>
      <c r="AO14" s="2">
        <f t="shared" si="15"/>
        <v>6621.5844226341051</v>
      </c>
      <c r="AP14" s="2">
        <f t="shared" si="16"/>
        <v>6311.3720523241727</v>
      </c>
      <c r="AQ14" s="2">
        <f t="shared" si="17"/>
        <v>5950.4123980915811</v>
      </c>
      <c r="AR14" s="2">
        <f t="shared" si="18"/>
        <v>5211.1575946368548</v>
      </c>
      <c r="AS14" s="2">
        <f t="shared" si="19"/>
        <v>4393.7824312927287</v>
      </c>
      <c r="AX14" s="2">
        <f t="shared" si="28"/>
        <v>1E-4</v>
      </c>
      <c r="AY14" s="37">
        <f t="shared" si="20"/>
        <v>35387.277658954059</v>
      </c>
      <c r="AZ14" s="37">
        <f t="shared" si="21"/>
        <v>36343.440361027038</v>
      </c>
      <c r="BA14" s="37">
        <f t="shared" si="22"/>
        <v>37508.414208976021</v>
      </c>
      <c r="BB14" s="37">
        <f t="shared" si="23"/>
        <v>38561.662334649511</v>
      </c>
      <c r="BC14" s="37">
        <f t="shared" si="24"/>
        <v>40131.860911409232</v>
      </c>
      <c r="BD14" s="37">
        <f t="shared" si="25"/>
        <v>46092.228442039224</v>
      </c>
      <c r="BE14" s="37">
        <f t="shared" si="26"/>
        <v>65721.627222423907</v>
      </c>
    </row>
    <row r="15" spans="1:308" x14ac:dyDescent="0.25">
      <c r="A15" s="2">
        <f>'creep_res-40'!A15</f>
        <v>1E-3</v>
      </c>
      <c r="B15" s="3">
        <f>'creep_res-40'!O15</f>
        <v>-4.9287082857142855E-4</v>
      </c>
      <c r="C15" s="2">
        <f>IF('Modell einstellen'!$B$2="Ja",creep_res0!O15,creep_res0!C15)</f>
        <v>-5.2969905714285719E-4</v>
      </c>
      <c r="D15" s="2">
        <f>IF('Modell einstellen'!$B$2="Ja",creep_res25!O15,creep_res25!C15)</f>
        <v>-5.5704579999999999E-4</v>
      </c>
      <c r="E15" s="2">
        <f>IF('Modell einstellen'!$B$2="Ja",creep_res50!O15,creep_res50!C15)</f>
        <v>-5.8063117142857139E-4</v>
      </c>
      <c r="F15" s="2">
        <f>IF('Modell einstellen'!$B$2="Ja",creep_res80!O15,creep_res80!C15)</f>
        <v>-6.1364405714285717E-4</v>
      </c>
      <c r="G15" s="2">
        <f>IF('Modell einstellen'!$B$2="Ja",creep_res125!O15,creep_res125!C15)</f>
        <v>-6.9877779999999998E-4</v>
      </c>
      <c r="H15" s="2">
        <f>IF('Modell einstellen'!$B$2="Ja",creep_res160!O15,creep_res160!C15)</f>
        <v>-8.4309208571428575E-4</v>
      </c>
      <c r="M15" s="9">
        <f t="shared" si="27"/>
        <v>-10</v>
      </c>
      <c r="N15" s="2">
        <f t="shared" si="4"/>
        <v>1E-3</v>
      </c>
      <c r="O15" s="2">
        <f t="shared" si="5"/>
        <v>20289.291677060097</v>
      </c>
      <c r="P15" s="2">
        <f t="shared" si="6"/>
        <v>18878.644137935571</v>
      </c>
      <c r="Q15" s="2">
        <f t="shared" si="7"/>
        <v>17951.845252221632</v>
      </c>
      <c r="R15" s="2">
        <f t="shared" si="8"/>
        <v>17222.637178428147</v>
      </c>
      <c r="S15" s="2">
        <f t="shared" si="9"/>
        <v>16296.091982965276</v>
      </c>
      <c r="T15" s="2">
        <f t="shared" si="10"/>
        <v>14310.70076925741</v>
      </c>
      <c r="U15" s="2">
        <f t="shared" si="11"/>
        <v>11861.100548142122</v>
      </c>
      <c r="Z15" s="2">
        <v>1E-3</v>
      </c>
      <c r="AA15" s="3">
        <f>IF('Modell einstellen'!$B$2="Ja",'creep_res-40'!P15,'creep_res-40'!L15)</f>
        <v>0.40661691191299681</v>
      </c>
      <c r="AB15" s="2">
        <f>IF('Modell einstellen'!$B$2="Ja",creep_res0!P15,creep_res0!L15)</f>
        <v>0.41636047034146129</v>
      </c>
      <c r="AC15" s="2">
        <f>IF('Modell einstellen'!$B$2="Ja",creep_res25!P15,creep_res25!L15)</f>
        <v>0.42313240927150236</v>
      </c>
      <c r="AD15" s="2">
        <f>IF('Modell einstellen'!$B$2="Ja",creep_res50!P15,creep_res50!L15)</f>
        <v>0.42849750549783489</v>
      </c>
      <c r="AE15" s="2">
        <f>IF('Modell einstellen'!$B$2="Ja",creep_res80!P15,creep_res80!L15)</f>
        <v>0.43564310571479736</v>
      </c>
      <c r="AF15" s="2">
        <f>IF('Modell einstellen'!$B$2="Ja",creep_res125!P15,creep_res125!L15)</f>
        <v>0.4531691925939425</v>
      </c>
      <c r="AG15" s="2">
        <f>IF('Modell einstellen'!$B$2="Ja",creep_res160!P15,creep_res160!L15)</f>
        <v>0.48037016664812376</v>
      </c>
      <c r="AL15" s="2">
        <f t="shared" si="12"/>
        <v>1E-3</v>
      </c>
      <c r="AM15" s="2">
        <f t="shared" si="13"/>
        <v>7212.0886309644511</v>
      </c>
      <c r="AN15" s="2">
        <f t="shared" si="14"/>
        <v>6664.4913259208079</v>
      </c>
      <c r="AO15" s="2">
        <f t="shared" si="15"/>
        <v>6307.1591705971805</v>
      </c>
      <c r="AP15" s="2">
        <f t="shared" si="16"/>
        <v>6028.2349504089671</v>
      </c>
      <c r="AQ15" s="2">
        <f t="shared" si="17"/>
        <v>5675.5372968728034</v>
      </c>
      <c r="AR15" s="2">
        <f t="shared" si="18"/>
        <v>4923.9623445747775</v>
      </c>
      <c r="AS15" s="2">
        <f t="shared" si="19"/>
        <v>4006.1265808261332</v>
      </c>
      <c r="AX15" s="2">
        <f t="shared" si="28"/>
        <v>1E-3</v>
      </c>
      <c r="AY15" s="37">
        <f t="shared" si="20"/>
        <v>36211.574088156383</v>
      </c>
      <c r="AZ15" s="37">
        <f t="shared" si="21"/>
        <v>37619.06245170653</v>
      </c>
      <c r="BA15" s="37">
        <f t="shared" si="22"/>
        <v>38923.741206765451</v>
      </c>
      <c r="BB15" s="37">
        <f t="shared" si="23"/>
        <v>40144.606838172716</v>
      </c>
      <c r="BC15" s="37">
        <f t="shared" si="24"/>
        <v>42202.398991753347</v>
      </c>
      <c r="BD15" s="37">
        <f t="shared" si="25"/>
        <v>50930.507650562598</v>
      </c>
      <c r="BE15" s="37">
        <f t="shared" si="26"/>
        <v>100706.41232255145</v>
      </c>
    </row>
    <row r="16" spans="1:308" x14ac:dyDescent="0.25">
      <c r="A16" s="2">
        <f>'creep_res-40'!A16</f>
        <v>0.01</v>
      </c>
      <c r="B16" s="3">
        <f>'creep_res-40'!O16</f>
        <v>-5.1801585714285716E-4</v>
      </c>
      <c r="C16" s="2">
        <f>IF('Modell einstellen'!$B$2="Ja",creep_res0!O16,creep_res0!C16)</f>
        <v>-5.5408702857142863E-4</v>
      </c>
      <c r="D16" s="2">
        <f>IF('Modell einstellen'!$B$2="Ja",creep_res25!O16,creep_res25!C16)</f>
        <v>-5.8081520000000011E-4</v>
      </c>
      <c r="E16" s="2">
        <f>IF('Modell einstellen'!$B$2="Ja",creep_res50!O16,creep_res50!C16)</f>
        <v>-6.0616185714285715E-4</v>
      </c>
      <c r="F16" s="2">
        <f>IF('Modell einstellen'!$B$2="Ja",creep_res80!O16,creep_res80!C16)</f>
        <v>-6.4314922857142858E-4</v>
      </c>
      <c r="G16" s="2">
        <f>IF('Modell einstellen'!$B$2="Ja",creep_res125!O16,creep_res125!C16)</f>
        <v>-7.4557468571428585E-4</v>
      </c>
      <c r="H16" s="2">
        <f>IF('Modell einstellen'!$B$2="Ja",creep_res160!O16,creep_res160!C16)</f>
        <v>-9.3429554285714294E-4</v>
      </c>
      <c r="M16" s="9">
        <f t="shared" si="27"/>
        <v>-10</v>
      </c>
      <c r="N16" s="2">
        <f t="shared" si="4"/>
        <v>0.01</v>
      </c>
      <c r="O16" s="2">
        <f t="shared" si="5"/>
        <v>19304.428353130945</v>
      </c>
      <c r="P16" s="2">
        <f t="shared" si="6"/>
        <v>18047.706378874158</v>
      </c>
      <c r="Q16" s="2">
        <f t="shared" si="7"/>
        <v>17217.180266632138</v>
      </c>
      <c r="R16" s="2">
        <f t="shared" si="8"/>
        <v>16497.243899731639</v>
      </c>
      <c r="S16" s="2">
        <f t="shared" si="9"/>
        <v>15548.491012283619</v>
      </c>
      <c r="T16" s="2">
        <f t="shared" si="10"/>
        <v>13412.472541794603</v>
      </c>
      <c r="U16" s="2">
        <f t="shared" si="11"/>
        <v>10703.251317478494</v>
      </c>
      <c r="Z16" s="2">
        <v>0.01</v>
      </c>
      <c r="AA16" s="3">
        <f>IF('Modell einstellen'!$B$2="Ja",'creep_res-40'!P16,'creep_res-40'!L16)</f>
        <v>0.41402304562656794</v>
      </c>
      <c r="AB16" s="2">
        <f>IF('Modell einstellen'!$B$2="Ja",creep_res0!P16,creep_res0!L16)</f>
        <v>0.42304896301488693</v>
      </c>
      <c r="AC16" s="2">
        <f>IF('Modell einstellen'!$B$2="Ja",creep_res25!P16,creep_res25!L16)</f>
        <v>0.4293171833558862</v>
      </c>
      <c r="AD16" s="2">
        <f>IF('Modell einstellen'!$B$2="Ja",creep_res50!P16,creep_res50!L16)</f>
        <v>0.43486516213373472</v>
      </c>
      <c r="AE16" s="2">
        <f>IF('Modell einstellen'!$B$2="Ja",creep_res80!P16,creep_res80!L16)</f>
        <v>0.44259302540005935</v>
      </c>
      <c r="AF16" s="2">
        <f>IF('Modell einstellen'!$B$2="Ja",creep_res125!P16,creep_res125!L16)</f>
        <v>0.46296053736343123</v>
      </c>
      <c r="AG16" s="2">
        <f>IF('Modell einstellen'!$B$2="Ja",creep_res160!P16,creep_res160!L16)</f>
        <v>0.49644199461632577</v>
      </c>
      <c r="AL16" s="2">
        <f t="shared" si="12"/>
        <v>0.01</v>
      </c>
      <c r="AM16" s="2">
        <f t="shared" si="13"/>
        <v>6826.065675816817</v>
      </c>
      <c r="AN16" s="2">
        <f t="shared" si="14"/>
        <v>6341.2106146502829</v>
      </c>
      <c r="AO16" s="2">
        <f t="shared" si="15"/>
        <v>6022.8689849680577</v>
      </c>
      <c r="AP16" s="2">
        <f t="shared" si="16"/>
        <v>5748.7087759518809</v>
      </c>
      <c r="AQ16" s="2">
        <f t="shared" si="17"/>
        <v>5389.077424650558</v>
      </c>
      <c r="AR16" s="2">
        <f t="shared" si="18"/>
        <v>4584.0172032140918</v>
      </c>
      <c r="AS16" s="2">
        <f t="shared" si="19"/>
        <v>3576.233277328839</v>
      </c>
      <c r="AX16" s="2">
        <f t="shared" si="28"/>
        <v>0.01</v>
      </c>
      <c r="AY16" s="37">
        <f t="shared" si="20"/>
        <v>37421.710840644082</v>
      </c>
      <c r="AZ16" s="37">
        <f t="shared" si="21"/>
        <v>39089.155663069367</v>
      </c>
      <c r="BA16" s="37">
        <f t="shared" si="22"/>
        <v>40597.279235301292</v>
      </c>
      <c r="BB16" s="37">
        <f t="shared" si="23"/>
        <v>42213.057405633284</v>
      </c>
      <c r="BC16" s="37">
        <f t="shared" si="24"/>
        <v>45141.120687391449</v>
      </c>
      <c r="BD16" s="37">
        <f t="shared" si="25"/>
        <v>60352.173902547278</v>
      </c>
      <c r="BE16" s="37">
        <f t="shared" si="26"/>
        <v>501369.45485383167</v>
      </c>
    </row>
    <row r="17" spans="1:57" x14ac:dyDescent="0.25">
      <c r="A17" s="2">
        <f>'creep_res-40'!A17</f>
        <v>0.1</v>
      </c>
      <c r="B17" s="3">
        <f>'creep_res-40'!O17</f>
        <v>-5.4382945714285722E-4</v>
      </c>
      <c r="C17" s="2">
        <f>IF('Modell einstellen'!$B$2="Ja",creep_res0!O17,creep_res0!C17)</f>
        <v>-5.774936857142857E-4</v>
      </c>
      <c r="D17" s="2">
        <f>IF('Modell einstellen'!$B$2="Ja",creep_res25!O17,creep_res25!C17)</f>
        <v>-6.0632237142857145E-4</v>
      </c>
      <c r="E17" s="2">
        <f>IF('Modell einstellen'!$B$2="Ja",creep_res50!O17,creep_res50!C17)</f>
        <v>-6.3452037142857146E-4</v>
      </c>
      <c r="F17" s="2">
        <f>IF('Modell einstellen'!$B$2="Ja",creep_res80!O17,creep_res80!C17)</f>
        <v>-6.7329702857142854E-4</v>
      </c>
      <c r="G17" s="2">
        <f>IF('Modell einstellen'!$B$2="Ja",creep_res125!O17,creep_res125!C17)</f>
        <v>-8.0384180000000007E-4</v>
      </c>
      <c r="H17" s="2">
        <f>IF('Modell einstellen'!$B$2="Ja",creep_res160!O17,creep_res160!C17)</f>
        <v>-1.0801062E-3</v>
      </c>
      <c r="M17" s="9">
        <f t="shared" si="27"/>
        <v>-10</v>
      </c>
      <c r="N17" s="2">
        <f t="shared" si="4"/>
        <v>0.1</v>
      </c>
      <c r="O17" s="2">
        <f t="shared" si="5"/>
        <v>18388.117577406487</v>
      </c>
      <c r="P17" s="2">
        <f t="shared" si="6"/>
        <v>17316.206648443753</v>
      </c>
      <c r="Q17" s="2">
        <f t="shared" si="7"/>
        <v>16492.876514582083</v>
      </c>
      <c r="R17" s="2">
        <f t="shared" si="8"/>
        <v>15759.935299611905</v>
      </c>
      <c r="S17" s="2">
        <f t="shared" si="9"/>
        <v>14852.2859535227</v>
      </c>
      <c r="T17" s="2">
        <f t="shared" si="10"/>
        <v>12440.258767334566</v>
      </c>
      <c r="U17" s="2">
        <f t="shared" si="11"/>
        <v>9258.3488549551894</v>
      </c>
      <c r="Z17" s="2">
        <v>0.1</v>
      </c>
      <c r="AA17" s="3">
        <f>IF('Modell einstellen'!$B$2="Ja",'creep_res-40'!P17,'creep_res-40'!L17)</f>
        <v>0.4213196458490584</v>
      </c>
      <c r="AB17" s="2">
        <f>IF('Modell einstellen'!$B$2="Ja",creep_res0!P17,creep_res0!L17)</f>
        <v>0.42922859416298381</v>
      </c>
      <c r="AC17" s="2">
        <f>IF('Modell einstellen'!$B$2="Ja",creep_res25!P17,creep_res25!L17)</f>
        <v>0.43574343266615878</v>
      </c>
      <c r="AD17" s="2">
        <f>IF('Modell einstellen'!$B$2="Ja",creep_res50!P17,creep_res50!L17)</f>
        <v>0.44169083752934107</v>
      </c>
      <c r="AE17" s="2">
        <f>IF('Modell einstellen'!$B$2="Ja",creep_res80!P17,creep_res80!L17)</f>
        <v>0.4494153631027461</v>
      </c>
      <c r="AF17" s="2">
        <f>IF('Modell einstellen'!$B$2="Ja",creep_res125!P17,creep_res125!L17)</f>
        <v>0.47355017936542809</v>
      </c>
      <c r="AG17" s="2">
        <f>IF('Modell einstellen'!$B$2="Ja",creep_res160!P17,creep_res160!L17)</f>
        <v>0.51303529227033418</v>
      </c>
      <c r="AL17" s="2">
        <f t="shared" si="12"/>
        <v>0.1</v>
      </c>
      <c r="AM17" s="2">
        <f t="shared" si="13"/>
        <v>6468.6777640443843</v>
      </c>
      <c r="AN17" s="2">
        <f t="shared" si="14"/>
        <v>6057.8856031721252</v>
      </c>
      <c r="AO17" s="2">
        <f t="shared" si="15"/>
        <v>5743.6712365645317</v>
      </c>
      <c r="AP17" s="2">
        <f t="shared" si="16"/>
        <v>5465.7818754747968</v>
      </c>
      <c r="AQ17" s="2">
        <f t="shared" si="17"/>
        <v>5123.5437168709832</v>
      </c>
      <c r="AR17" s="2">
        <f t="shared" si="18"/>
        <v>4221.1859974432145</v>
      </c>
      <c r="AS17" s="2">
        <f t="shared" si="19"/>
        <v>3059.5283871610445</v>
      </c>
      <c r="AX17" s="2">
        <f t="shared" si="28"/>
        <v>0.1</v>
      </c>
      <c r="AY17" s="37">
        <f t="shared" si="20"/>
        <v>38951.098987451682</v>
      </c>
      <c r="AZ17" s="37">
        <f t="shared" si="21"/>
        <v>40779.668105699609</v>
      </c>
      <c r="BA17" s="37">
        <f t="shared" si="22"/>
        <v>42778.705220106953</v>
      </c>
      <c r="BB17" s="37">
        <f t="shared" si="23"/>
        <v>45047.052160805426</v>
      </c>
      <c r="BC17" s="37">
        <f t="shared" si="24"/>
        <v>48935.430677929115</v>
      </c>
      <c r="BD17" s="37">
        <f t="shared" si="25"/>
        <v>78389.055633608659</v>
      </c>
      <c r="BE17" s="37">
        <f t="shared" si="26"/>
        <v>-118375.41579364783</v>
      </c>
    </row>
    <row r="18" spans="1:57" x14ac:dyDescent="0.25">
      <c r="A18" s="2">
        <f>'creep_res-40'!A18</f>
        <v>1</v>
      </c>
      <c r="B18" s="3">
        <f>'creep_res-40'!O18</f>
        <v>-5.6631957142857148E-4</v>
      </c>
      <c r="C18" s="2">
        <f>IF('Modell einstellen'!$B$2="Ja",creep_res0!O18,creep_res0!C18)</f>
        <v>-6.0290725714285721E-4</v>
      </c>
      <c r="D18" s="2">
        <f>IF('Modell einstellen'!$B$2="Ja",creep_res25!O18,creep_res25!C18)</f>
        <v>-6.3484974285714293E-4</v>
      </c>
      <c r="E18" s="2">
        <f>IF('Modell einstellen'!$B$2="Ja",creep_res50!O18,creep_res50!C18)</f>
        <v>-6.6471354285714285E-4</v>
      </c>
      <c r="F18" s="2">
        <f>IF('Modell einstellen'!$B$2="Ja",creep_res80!O18,creep_res80!C18)</f>
        <v>-7.1481365714285718E-4</v>
      </c>
      <c r="G18" s="2">
        <f>IF('Modell einstellen'!$B$2="Ja",creep_res125!O18,creep_res125!C18)</f>
        <v>-8.9073805714285725E-4</v>
      </c>
      <c r="H18" s="2">
        <f>IF('Modell einstellen'!$B$2="Ja",creep_res160!O18,creep_res160!C18)</f>
        <v>-1.3319143428571429E-3</v>
      </c>
      <c r="M18" s="9">
        <f t="shared" si="27"/>
        <v>-10</v>
      </c>
      <c r="N18" s="2">
        <f t="shared" si="4"/>
        <v>1</v>
      </c>
      <c r="O18" s="2">
        <f t="shared" si="5"/>
        <v>17657.874642711824</v>
      </c>
      <c r="P18" s="2">
        <f t="shared" si="6"/>
        <v>16586.298939889071</v>
      </c>
      <c r="Q18" s="2">
        <f t="shared" si="7"/>
        <v>15751.758762624639</v>
      </c>
      <c r="R18" s="2">
        <f t="shared" si="8"/>
        <v>15044.074409883286</v>
      </c>
      <c r="S18" s="2">
        <f t="shared" si="9"/>
        <v>13989.659962528494</v>
      </c>
      <c r="T18" s="2">
        <f t="shared" si="10"/>
        <v>11226.645049922003</v>
      </c>
      <c r="U18" s="2">
        <f t="shared" si="11"/>
        <v>7507.9903250749585</v>
      </c>
      <c r="Z18" s="2">
        <v>1</v>
      </c>
      <c r="AA18" s="3">
        <f>IF('Modell einstellen'!$B$2="Ja",'creep_res-40'!P18,'creep_res-40'!L18)</f>
        <v>0.42745693055183126</v>
      </c>
      <c r="AB18" s="2">
        <f>IF('Modell einstellen'!$B$2="Ja",creep_res0!P18,creep_res0!L18)</f>
        <v>0.43572199258886246</v>
      </c>
      <c r="AC18" s="2">
        <f>IF('Modell einstellen'!$B$2="Ja",creep_res25!P18,creep_res25!L18)</f>
        <v>0.44266577184675554</v>
      </c>
      <c r="AD18" s="2">
        <f>IF('Modell einstellen'!$B$2="Ja",creep_res50!P18,creep_res50!L18)</f>
        <v>0.44859117401119813</v>
      </c>
      <c r="AE18" s="2">
        <f>IF('Modell einstellen'!$B$2="Ja",creep_res80!P18,creep_res80!L18)</f>
        <v>0.45747459138001917</v>
      </c>
      <c r="AF18" s="2">
        <f>IF('Modell einstellen'!$B$2="Ja",creep_res125!P18,creep_res125!L18)</f>
        <v>0.48111219613962503</v>
      </c>
      <c r="AG18" s="2">
        <f>IF('Modell einstellen'!$B$2="Ja",creep_res160!P18,creep_res160!L18)</f>
        <v>0.52011225432300434</v>
      </c>
      <c r="AL18" s="2">
        <f t="shared" si="12"/>
        <v>1</v>
      </c>
      <c r="AM18" s="2">
        <f t="shared" si="13"/>
        <v>6185.0814076350389</v>
      </c>
      <c r="AN18" s="2">
        <f t="shared" si="14"/>
        <v>5776.2920069159836</v>
      </c>
      <c r="AO18" s="2">
        <f t="shared" si="15"/>
        <v>5459.2543435964462</v>
      </c>
      <c r="AP18" s="2">
        <f t="shared" si="16"/>
        <v>5192.657072535425</v>
      </c>
      <c r="AQ18" s="2">
        <f t="shared" si="17"/>
        <v>4799.280908658001</v>
      </c>
      <c r="AR18" s="2">
        <f t="shared" si="18"/>
        <v>3789.937412973562</v>
      </c>
      <c r="AS18" s="2">
        <f t="shared" si="19"/>
        <v>2469.5512794279489</v>
      </c>
      <c r="AX18" s="2">
        <f t="shared" si="28"/>
        <v>1</v>
      </c>
      <c r="AY18" s="37">
        <f t="shared" si="20"/>
        <v>40568.71496485774</v>
      </c>
      <c r="AZ18" s="37">
        <f t="shared" si="21"/>
        <v>43006.671612679616</v>
      </c>
      <c r="BA18" s="37">
        <f t="shared" si="22"/>
        <v>45789.281754821095</v>
      </c>
      <c r="BB18" s="37">
        <f t="shared" si="23"/>
        <v>48772.670582415376</v>
      </c>
      <c r="BC18" s="37">
        <f t="shared" si="24"/>
        <v>54828.632326397623</v>
      </c>
      <c r="BD18" s="37">
        <f t="shared" si="25"/>
        <v>99064.323314250432</v>
      </c>
      <c r="BE18" s="37">
        <f t="shared" si="26"/>
        <v>-62217.37756242256</v>
      </c>
    </row>
    <row r="19" spans="1:57" x14ac:dyDescent="0.25">
      <c r="A19" s="2">
        <f>'creep_res-40'!A19</f>
        <v>10</v>
      </c>
      <c r="B19" s="3">
        <f>'creep_res-40'!O19</f>
        <v>-5.9135617142857145E-4</v>
      </c>
      <c r="C19" s="2">
        <f>IF('Modell einstellen'!$B$2="Ja",creep_res0!O19,creep_res0!C19)</f>
        <v>-6.3093077142857145E-4</v>
      </c>
      <c r="D19" s="2">
        <f>IF('Modell einstellen'!$B$2="Ja",creep_res25!O19,creep_res25!C19)</f>
        <v>-6.6514245714285717E-4</v>
      </c>
      <c r="E19" s="2">
        <f>IF('Modell einstellen'!$B$2="Ja",creep_res50!O19,creep_res50!C19)</f>
        <v>-7.0354954285714285E-4</v>
      </c>
      <c r="F19" s="2">
        <f>IF('Modell einstellen'!$B$2="Ja",creep_res80!O19,creep_res80!C19)</f>
        <v>-7.7185057142857148E-4</v>
      </c>
      <c r="G19" s="2">
        <f>IF('Modell einstellen'!$B$2="Ja",creep_res125!O19,creep_res125!C19)</f>
        <v>-1.0281325428571429E-3</v>
      </c>
      <c r="H19" s="2">
        <f>IF('Modell einstellen'!$B$2="Ja",creep_res160!O19,creep_res160!C19)</f>
        <v>-1.7799718571428571E-3</v>
      </c>
      <c r="M19" s="9">
        <f t="shared" si="27"/>
        <v>-10</v>
      </c>
      <c r="N19" s="2">
        <f t="shared" si="4"/>
        <v>10</v>
      </c>
      <c r="O19" s="2">
        <f t="shared" si="5"/>
        <v>16910.282640396654</v>
      </c>
      <c r="P19" s="2">
        <f t="shared" si="6"/>
        <v>15849.59943760187</v>
      </c>
      <c r="Q19" s="2">
        <f t="shared" si="7"/>
        <v>15034.373302458171</v>
      </c>
      <c r="R19" s="2">
        <f t="shared" si="8"/>
        <v>14213.640107546087</v>
      </c>
      <c r="S19" s="2">
        <f t="shared" si="9"/>
        <v>12955.875619152041</v>
      </c>
      <c r="T19" s="2">
        <f t="shared" si="10"/>
        <v>9726.3724112947184</v>
      </c>
      <c r="U19" s="2">
        <f t="shared" si="11"/>
        <v>5618.0663530555021</v>
      </c>
      <c r="Z19" s="2">
        <v>10</v>
      </c>
      <c r="AA19" s="3">
        <f>IF('Modell einstellen'!$B$2="Ja",'creep_res-40'!P19,'creep_res-40'!L19)</f>
        <v>0.43404531260010282</v>
      </c>
      <c r="AB19" s="2">
        <f>IF('Modell einstellen'!$B$2="Ja",creep_res0!P19,creep_res0!L19)</f>
        <v>0.44260824721679903</v>
      </c>
      <c r="AC19" s="2">
        <f>IF('Modell einstellen'!$B$2="Ja",creep_res25!P19,creep_res25!L19)</f>
        <v>0.44948016721315892</v>
      </c>
      <c r="AD19" s="2">
        <f>IF('Modell einstellen'!$B$2="Ja",creep_res50!P19,creep_res50!L19)</f>
        <v>0.45544880705730789</v>
      </c>
      <c r="AE19" s="2">
        <f>IF('Modell einstellen'!$B$2="Ja",creep_res80!P19,creep_res80!L19)</f>
        <v>0.4620685647147838</v>
      </c>
      <c r="AF19" s="2">
        <f>IF('Modell einstellen'!$B$2="Ja",creep_res125!P19,creep_res125!L19)</f>
        <v>0.48093212773372551</v>
      </c>
      <c r="AG19" s="2">
        <f>IF('Modell einstellen'!$B$2="Ja",creep_res160!P19,creep_res160!L19)</f>
        <v>0.52432910857418857</v>
      </c>
      <c r="AL19" s="2">
        <f t="shared" si="12"/>
        <v>10</v>
      </c>
      <c r="AM19" s="2">
        <f t="shared" si="13"/>
        <v>5896.0070828362468</v>
      </c>
      <c r="AN19" s="2">
        <f t="shared" si="14"/>
        <v>5493.3830678495879</v>
      </c>
      <c r="AO19" s="2">
        <f t="shared" si="15"/>
        <v>5186.1259100095131</v>
      </c>
      <c r="AP19" s="2">
        <f t="shared" si="16"/>
        <v>4882.9062343607484</v>
      </c>
      <c r="AQ19" s="2">
        <f t="shared" si="17"/>
        <v>4430.6662258617935</v>
      </c>
      <c r="AR19" s="2">
        <f t="shared" si="18"/>
        <v>3283.8683924627298</v>
      </c>
      <c r="AS19" s="2">
        <f t="shared" si="19"/>
        <v>1842.799668868907</v>
      </c>
      <c r="AX19" s="2">
        <f t="shared" si="28"/>
        <v>10</v>
      </c>
      <c r="AY19" s="37">
        <f t="shared" si="20"/>
        <v>42732.071838619653</v>
      </c>
      <c r="AZ19" s="37">
        <f t="shared" si="21"/>
        <v>46027.517511892336</v>
      </c>
      <c r="BA19" s="37">
        <f t="shared" si="22"/>
        <v>49598.914832427879</v>
      </c>
      <c r="BB19" s="37">
        <f t="shared" si="23"/>
        <v>53173.436252798107</v>
      </c>
      <c r="BC19" s="37">
        <f t="shared" si="24"/>
        <v>56926.730743394786</v>
      </c>
      <c r="BD19" s="37">
        <f t="shared" si="25"/>
        <v>85015.362275963344</v>
      </c>
      <c r="BE19" s="37">
        <f t="shared" si="26"/>
        <v>-38486.588578477997</v>
      </c>
    </row>
    <row r="20" spans="1:57" x14ac:dyDescent="0.25">
      <c r="A20" s="2">
        <f>'creep_res-40'!A20</f>
        <v>100</v>
      </c>
      <c r="B20" s="3">
        <f>'creep_res-40'!O20</f>
        <v>-6.1750360000000003E-4</v>
      </c>
      <c r="C20" s="2">
        <f>IF('Modell einstellen'!$B$2="Ja",creep_res0!O20,creep_res0!C20)</f>
        <v>-6.6142368571428577E-4</v>
      </c>
      <c r="D20" s="2">
        <f>IF('Modell einstellen'!$B$2="Ja",creep_res25!O20,creep_res25!C20)</f>
        <v>-7.0607157142857152E-4</v>
      </c>
      <c r="E20" s="2">
        <f>IF('Modell einstellen'!$B$2="Ja",creep_res50!O20,creep_res50!C20)</f>
        <v>-7.6183774285714279E-4</v>
      </c>
      <c r="F20" s="2">
        <f>IF('Modell einstellen'!$B$2="Ja",creep_res80!O20,creep_res80!C20)</f>
        <v>-8.5811151428571433E-4</v>
      </c>
      <c r="G20" s="2">
        <f>IF('Modell einstellen'!$B$2="Ja",creep_res125!O20,creep_res125!C20)</f>
        <v>-1.2448388857142858E-3</v>
      </c>
      <c r="H20" s="2">
        <f>IF('Modell einstellen'!$B$2="Ja",creep_res160!O20,creep_res160!C20)</f>
        <v>-2.461023085714286E-3</v>
      </c>
      <c r="M20" s="9">
        <f t="shared" si="27"/>
        <v>-10</v>
      </c>
      <c r="N20" s="2">
        <f t="shared" si="4"/>
        <v>100</v>
      </c>
      <c r="O20" s="2">
        <f t="shared" si="5"/>
        <v>16194.23757205626</v>
      </c>
      <c r="P20" s="2">
        <f t="shared" si="6"/>
        <v>15118.902174180206</v>
      </c>
      <c r="Q20" s="2">
        <f t="shared" si="7"/>
        <v>14162.870174431931</v>
      </c>
      <c r="R20" s="2">
        <f t="shared" si="8"/>
        <v>13126.154609374827</v>
      </c>
      <c r="S20" s="2">
        <f t="shared" si="9"/>
        <v>11653.497049650856</v>
      </c>
      <c r="T20" s="2">
        <f t="shared" si="10"/>
        <v>8033.1680788249332</v>
      </c>
      <c r="U20" s="2">
        <f t="shared" si="11"/>
        <v>4063.3507495512199</v>
      </c>
      <c r="Z20" s="2">
        <v>100</v>
      </c>
      <c r="AA20" s="3">
        <f>IF('Modell einstellen'!$B$2="Ja",'creep_res-40'!P20,'creep_res-40'!L20)</f>
        <v>0.44070882455468396</v>
      </c>
      <c r="AB20" s="2">
        <f>IF('Modell einstellen'!$B$2="Ja",creep_res0!P20,creep_res0!L20)</f>
        <v>0.44941105180517749</v>
      </c>
      <c r="AC20" s="2">
        <f>IF('Modell einstellen'!$B$2="Ja",creep_res25!P20,creep_res25!L20)</f>
        <v>0.45543505201111745</v>
      </c>
      <c r="AD20" s="2">
        <f>IF('Modell einstellen'!$B$2="Ja",creep_res50!P20,creep_res50!L20)</f>
        <v>0.45796272104585001</v>
      </c>
      <c r="AE20" s="2">
        <f>IF('Modell einstellen'!$B$2="Ja",creep_res80!P20,creep_res80!L20)</f>
        <v>0.460190438785129</v>
      </c>
      <c r="AF20" s="2">
        <f>IF('Modell einstellen'!$B$2="Ja",creep_res125!P20,creep_res125!L20)</f>
        <v>0.47956292037425102</v>
      </c>
      <c r="AG20" s="2">
        <f>IF('Modell einstellen'!$B$2="Ja",creep_res160!P20,creep_res160!L20)</f>
        <v>0.52898518116878868</v>
      </c>
      <c r="AL20" s="2">
        <f t="shared" si="12"/>
        <v>100</v>
      </c>
      <c r="AM20" s="2">
        <f t="shared" si="13"/>
        <v>5620.2326577203476</v>
      </c>
      <c r="AN20" s="2">
        <f t="shared" si="14"/>
        <v>5215.5329419319251</v>
      </c>
      <c r="AO20" s="2">
        <f t="shared" si="15"/>
        <v>4865.5108844814831</v>
      </c>
      <c r="AP20" s="2">
        <f t="shared" si="16"/>
        <v>4501.5398610325774</v>
      </c>
      <c r="AQ20" s="2">
        <f t="shared" si="17"/>
        <v>3990.4031488339651</v>
      </c>
      <c r="AR20" s="2">
        <f t="shared" si="18"/>
        <v>2714.7098539050189</v>
      </c>
      <c r="AS20" s="2">
        <f t="shared" si="19"/>
        <v>1328.7737512423464</v>
      </c>
      <c r="AX20" s="2">
        <f t="shared" si="28"/>
        <v>100</v>
      </c>
      <c r="AY20" s="37">
        <f t="shared" si="20"/>
        <v>45521.775796670132</v>
      </c>
      <c r="AZ20" s="37">
        <f t="shared" si="21"/>
        <v>49809.634691869775</v>
      </c>
      <c r="BA20" s="37">
        <f t="shared" si="22"/>
        <v>52967.151739842295</v>
      </c>
      <c r="BB20" s="37">
        <f t="shared" si="23"/>
        <v>52041.72318769533</v>
      </c>
      <c r="BC20" s="37">
        <f t="shared" si="24"/>
        <v>48788.518361001385</v>
      </c>
      <c r="BD20" s="37">
        <f t="shared" si="25"/>
        <v>65511.382789934971</v>
      </c>
      <c r="BE20" s="37">
        <f t="shared" si="26"/>
        <v>-23364.529653326481</v>
      </c>
    </row>
    <row r="21" spans="1:57" x14ac:dyDescent="0.25">
      <c r="A21" s="2">
        <f>'creep_res-40'!A21</f>
        <v>1000</v>
      </c>
      <c r="B21" s="3">
        <f>'creep_res-40'!O21</f>
        <v>-6.4772062857142859E-4</v>
      </c>
      <c r="C21" s="2">
        <f>IF('Modell einstellen'!$B$2="Ja",creep_res0!O21,creep_res0!C21)</f>
        <v>-7.0192851428571438E-4</v>
      </c>
      <c r="D21" s="2">
        <f>IF('Modell einstellen'!$B$2="Ja",creep_res25!O21,creep_res25!C21)</f>
        <v>-7.6816097142857142E-4</v>
      </c>
      <c r="E21" s="2">
        <f>IF('Modell einstellen'!$B$2="Ja",creep_res50!O21,creep_res50!C21)</f>
        <v>-8.4521674285714286E-4</v>
      </c>
      <c r="F21" s="2">
        <f>IF('Modell einstellen'!$B$2="Ja",creep_res80!O21,creep_res80!C21)</f>
        <v>-9.7714334285714283E-4</v>
      </c>
      <c r="G21" s="2">
        <f>IF('Modell einstellen'!$B$2="Ja",creep_res125!O21,creep_res125!C21)</f>
        <v>-1.5896212285714288E-3</v>
      </c>
      <c r="H21" s="2">
        <f>IF('Modell einstellen'!$B$2="Ja",creep_res160!O21,creep_res160!C21)</f>
        <v>-3.4348485714285715E-3</v>
      </c>
      <c r="M21" s="9">
        <f t="shared" si="27"/>
        <v>-10</v>
      </c>
      <c r="N21" s="2">
        <f t="shared" si="4"/>
        <v>1000</v>
      </c>
      <c r="O21" s="2">
        <f t="shared" si="5"/>
        <v>15438.754856480893</v>
      </c>
      <c r="P21" s="2">
        <f t="shared" si="6"/>
        <v>14246.464983939348</v>
      </c>
      <c r="Q21" s="2">
        <f t="shared" si="7"/>
        <v>13018.104761821871</v>
      </c>
      <c r="R21" s="2">
        <f t="shared" si="8"/>
        <v>11831.284797076225</v>
      </c>
      <c r="S21" s="2">
        <f t="shared" si="9"/>
        <v>10233.913041622172</v>
      </c>
      <c r="T21" s="2">
        <f t="shared" si="10"/>
        <v>6290.8067785348248</v>
      </c>
      <c r="U21" s="2">
        <f t="shared" si="11"/>
        <v>2911.3364947674963</v>
      </c>
      <c r="Z21" s="2">
        <v>1000</v>
      </c>
      <c r="AA21" s="3">
        <f>IF('Modell einstellen'!$B$2="Ja",'creep_res-40'!P21,'creep_res-40'!L21)</f>
        <v>0.44807624733449902</v>
      </c>
      <c r="AB21" s="2">
        <f>IF('Modell einstellen'!$B$2="Ja",creep_res0!P21,creep_res0!L21)</f>
        <v>0.45440146163846229</v>
      </c>
      <c r="AC21" s="2">
        <f>IF('Modell einstellen'!$B$2="Ja",creep_res25!P21,creep_res25!L21)</f>
        <v>0.4557357286050982</v>
      </c>
      <c r="AD21" s="2">
        <f>IF('Modell einstellen'!$B$2="Ja",creep_res50!P21,creep_res50!L21)</f>
        <v>0.45468628063821065</v>
      </c>
      <c r="AE21" s="2">
        <f>IF('Modell einstellen'!$B$2="Ja",creep_res80!P21,creep_res80!L21)</f>
        <v>0.45673608875691496</v>
      </c>
      <c r="AF21" s="2">
        <f>IF('Modell einstellen'!$B$2="Ja",creep_res125!P21,creep_res125!L21)</f>
        <v>0.48344366599604865</v>
      </c>
      <c r="AG21" s="2">
        <f>IF('Modell einstellen'!$B$2="Ja",creep_res160!P21,creep_res160!L21)</f>
        <v>0.53416238769519475</v>
      </c>
      <c r="AL21" s="2">
        <f t="shared" si="12"/>
        <v>1000</v>
      </c>
      <c r="AM21" s="2">
        <f t="shared" si="13"/>
        <v>5330.7810569019748</v>
      </c>
      <c r="AN21" s="2">
        <f t="shared" si="14"/>
        <v>4897.7071873573095</v>
      </c>
      <c r="AO21" s="2">
        <f t="shared" si="15"/>
        <v>4471.3145751722259</v>
      </c>
      <c r="AP21" s="2">
        <f t="shared" si="16"/>
        <v>4066.6104281555185</v>
      </c>
      <c r="AQ21" s="2">
        <f t="shared" si="17"/>
        <v>3512.6173919241392</v>
      </c>
      <c r="AR21" s="2">
        <f t="shared" si="18"/>
        <v>2120.3389527808267</v>
      </c>
      <c r="AS21" s="2">
        <f t="shared" si="19"/>
        <v>948.83583319405307</v>
      </c>
      <c r="AX21" s="2">
        <f t="shared" si="28"/>
        <v>1000</v>
      </c>
      <c r="AY21" s="37">
        <f t="shared" si="20"/>
        <v>49555.852135531619</v>
      </c>
      <c r="AZ21" s="37">
        <f t="shared" si="21"/>
        <v>52072.08204417731</v>
      </c>
      <c r="BA21" s="37">
        <f t="shared" si="22"/>
        <v>49016.600942407204</v>
      </c>
      <c r="BB21" s="37">
        <f t="shared" si="23"/>
        <v>43516.198345340119</v>
      </c>
      <c r="BC21" s="37">
        <f t="shared" si="24"/>
        <v>39424.36373864171</v>
      </c>
      <c r="BD21" s="37">
        <f t="shared" si="25"/>
        <v>63327.291909685009</v>
      </c>
      <c r="BE21" s="37">
        <f t="shared" si="26"/>
        <v>-14203.42024852575</v>
      </c>
    </row>
    <row r="22" spans="1:57" x14ac:dyDescent="0.25">
      <c r="A22" s="2">
        <f>'creep_res-40'!A22</f>
        <v>10000</v>
      </c>
      <c r="B22" s="3">
        <f>'creep_res-40'!O22</f>
        <v>-6.7977485714285719E-4</v>
      </c>
      <c r="C22" s="2">
        <f>IF('Modell einstellen'!$B$2="Ja",creep_res0!O22,creep_res0!C22)</f>
        <v>-7.6508594285714293E-4</v>
      </c>
      <c r="D22" s="2">
        <f>IF('Modell einstellen'!$B$2="Ja",creep_res25!O22,creep_res25!C22)</f>
        <v>-8.5432602857142862E-4</v>
      </c>
      <c r="E22" s="2">
        <f>IF('Modell einstellen'!$B$2="Ja",creep_res50!O22,creep_res50!C22)</f>
        <v>-9.5746677142857144E-4</v>
      </c>
      <c r="F22" s="2">
        <f>IF('Modell einstellen'!$B$2="Ja",creep_res80!O22,creep_res80!C22)</f>
        <v>-1.1450628000000001E-3</v>
      </c>
      <c r="G22" s="2">
        <f>IF('Modell einstellen'!$B$2="Ja",creep_res125!O22,creep_res125!C22)</f>
        <v>-2.1613843714285716E-3</v>
      </c>
      <c r="H22" s="2">
        <f>IF('Modell einstellen'!$B$2="Ja",creep_res160!O22,creep_res160!C22)</f>
        <v>-4.4121640000000005E-3</v>
      </c>
      <c r="M22" s="9">
        <f t="shared" si="27"/>
        <v>-10</v>
      </c>
      <c r="N22" s="2">
        <f t="shared" si="4"/>
        <v>10000</v>
      </c>
      <c r="O22" s="2">
        <f t="shared" si="5"/>
        <v>14710.752971992406</v>
      </c>
      <c r="P22" s="2">
        <f t="shared" si="6"/>
        <v>13070.427045955023</v>
      </c>
      <c r="Q22" s="2">
        <f t="shared" si="7"/>
        <v>11705.13324605317</v>
      </c>
      <c r="R22" s="2">
        <f t="shared" si="8"/>
        <v>10444.226680660338</v>
      </c>
      <c r="S22" s="2">
        <f t="shared" si="9"/>
        <v>8733.14546590807</v>
      </c>
      <c r="T22" s="2">
        <f t="shared" si="10"/>
        <v>4626.6643417017394</v>
      </c>
      <c r="U22" s="2">
        <f t="shared" si="11"/>
        <v>2266.4615367878437</v>
      </c>
      <c r="Z22" s="2">
        <v>10000</v>
      </c>
      <c r="AA22" s="3">
        <f>IF('Modell einstellen'!$B$2="Ja",'creep_res-40'!P22,'creep_res-40'!L22)</f>
        <v>0.45464973276866461</v>
      </c>
      <c r="AB22" s="2">
        <f>IF('Modell einstellen'!$B$2="Ja",creep_res0!P22,creep_res0!L22)</f>
        <v>0.45365170553388434</v>
      </c>
      <c r="AC22" s="2">
        <f>IF('Modell einstellen'!$B$2="Ja",creep_res25!P22,creep_res25!L22)</f>
        <v>0.45179784325227995</v>
      </c>
      <c r="AD22" s="2">
        <f>IF('Modell einstellen'!$B$2="Ja",creep_res50!P22,creep_res50!L22)</f>
        <v>0.45156742030316488</v>
      </c>
      <c r="AE22" s="2">
        <f>IF('Modell einstellen'!$B$2="Ja",creep_res80!P22,creep_res80!L22)</f>
        <v>0.45691949322405223</v>
      </c>
      <c r="AF22" s="2">
        <f>IF('Modell einstellen'!$B$2="Ja",creep_res125!P22,creep_res125!L22)</f>
        <v>0.49321881043621607</v>
      </c>
      <c r="AG22" s="2">
        <f>IF('Modell einstellen'!$B$2="Ja",creep_res160!P22,creep_res160!L22)</f>
        <v>0.53264624796358429</v>
      </c>
      <c r="AL22" s="2">
        <f t="shared" si="12"/>
        <v>10000</v>
      </c>
      <c r="AM22" s="2">
        <f t="shared" si="13"/>
        <v>5056.458830124393</v>
      </c>
      <c r="AN22" s="2">
        <f t="shared" si="14"/>
        <v>4495.7217042422935</v>
      </c>
      <c r="AO22" s="2">
        <f t="shared" si="15"/>
        <v>4031.2545236434685</v>
      </c>
      <c r="AP22" s="2">
        <f t="shared" si="16"/>
        <v>3597.5685781370817</v>
      </c>
      <c r="AQ22" s="2">
        <f t="shared" si="17"/>
        <v>2997.1269883218743</v>
      </c>
      <c r="AR22" s="2">
        <f t="shared" si="18"/>
        <v>1549.2251736201158</v>
      </c>
      <c r="AS22" s="2">
        <f t="shared" si="19"/>
        <v>739.39486681916139</v>
      </c>
      <c r="AX22" s="2">
        <f t="shared" si="28"/>
        <v>10000</v>
      </c>
      <c r="AY22" s="37">
        <f t="shared" si="20"/>
        <v>54063.455668120841</v>
      </c>
      <c r="AZ22" s="37">
        <f t="shared" si="21"/>
        <v>47000.747983332156</v>
      </c>
      <c r="BA22" s="37">
        <f t="shared" si="22"/>
        <v>40472.370380006629</v>
      </c>
      <c r="BB22" s="37">
        <f t="shared" si="23"/>
        <v>35940.774942666772</v>
      </c>
      <c r="BC22" s="37">
        <f t="shared" si="24"/>
        <v>33786.14490047373</v>
      </c>
      <c r="BD22" s="37">
        <f t="shared" si="25"/>
        <v>113713.19388197045</v>
      </c>
      <c r="BE22" s="37">
        <f t="shared" si="26"/>
        <v>-11570.811747984026</v>
      </c>
    </row>
    <row r="23" spans="1:57" x14ac:dyDescent="0.25">
      <c r="A23" s="2">
        <f>'creep_res-40'!A23</f>
        <v>100000</v>
      </c>
      <c r="B23" s="3">
        <f>'creep_res-40'!O23</f>
        <v>-7.3137274285714287E-4</v>
      </c>
      <c r="C23" s="2">
        <f>IF('Modell einstellen'!$B$2="Ja",creep_res0!O23,creep_res0!C23)</f>
        <v>-8.4982022857142865E-4</v>
      </c>
      <c r="D23" s="2">
        <f>IF('Modell einstellen'!$B$2="Ja",creep_res25!O23,creep_res25!C23)</f>
        <v>-9.6764748571428582E-4</v>
      </c>
      <c r="E23" s="2">
        <f>IF('Modell einstellen'!$B$2="Ja",creep_res50!O23,creep_res50!C23)</f>
        <v>-1.1098411428571431E-3</v>
      </c>
      <c r="F23" s="2">
        <f>IF('Modell einstellen'!$B$2="Ja",creep_res80!O23,creep_res80!C23)</f>
        <v>-1.3958689142857146E-3</v>
      </c>
      <c r="G23" s="2">
        <f>IF('Modell einstellen'!$B$2="Ja",creep_res125!O23,creep_res125!C23)</f>
        <v>-2.981823142857143E-3</v>
      </c>
      <c r="H23" s="2">
        <f>IF('Modell einstellen'!$B$2="Ja",creep_res160!O23,creep_res160!C23)</f>
        <v>-5.2413105714285719E-3</v>
      </c>
      <c r="M23" s="9">
        <f t="shared" si="27"/>
        <v>-10</v>
      </c>
      <c r="N23" s="2">
        <f t="shared" si="4"/>
        <v>100000</v>
      </c>
      <c r="O23" s="2">
        <f t="shared" si="5"/>
        <v>13672.918628242171</v>
      </c>
      <c r="P23" s="2">
        <f t="shared" si="6"/>
        <v>11767.194594567696</v>
      </c>
      <c r="Q23" s="2">
        <f t="shared" si="7"/>
        <v>10334.341945422744</v>
      </c>
      <c r="R23" s="2">
        <f t="shared" si="8"/>
        <v>9010.2985137641299</v>
      </c>
      <c r="S23" s="2">
        <f t="shared" si="9"/>
        <v>7163.9964882498571</v>
      </c>
      <c r="T23" s="2">
        <f t="shared" si="10"/>
        <v>3353.6529569014392</v>
      </c>
      <c r="U23" s="2">
        <f t="shared" si="11"/>
        <v>1907.9197585642019</v>
      </c>
      <c r="Z23" s="2">
        <v>100000</v>
      </c>
      <c r="AA23" s="3">
        <f>IF('Modell einstellen'!$B$2="Ja",'creep_res-40'!P23,'creep_res-40'!L23)</f>
        <v>0.45902632568126489</v>
      </c>
      <c r="AB23" s="2">
        <f>IF('Modell einstellen'!$B$2="Ja",creep_res0!P23,creep_res0!L23)</f>
        <v>0.44944914063841662</v>
      </c>
      <c r="AC23" s="2">
        <f>IF('Modell einstellen'!$B$2="Ja",creep_res25!P23,creep_res25!L23)</f>
        <v>0.44927597895597277</v>
      </c>
      <c r="AD23" s="2">
        <f>IF('Modell einstellen'!$B$2="Ja",creep_res50!P23,creep_res50!L23)</f>
        <v>0.45211613296523251</v>
      </c>
      <c r="AE23" s="2">
        <f>IF('Modell einstellen'!$B$2="Ja",creep_res80!P23,creep_res80!L23)</f>
        <v>0.46174184346250108</v>
      </c>
      <c r="AF23" s="2">
        <f>IF('Modell einstellen'!$B$2="Ja",creep_res125!P23,creep_res125!L23)</f>
        <v>0.50380438391430893</v>
      </c>
      <c r="AG23" s="2">
        <f>IF('Modell einstellen'!$B$2="Ja",creep_res160!P23,creep_res160!L23)</f>
        <v>0.52841957684847307</v>
      </c>
      <c r="AL23" s="2">
        <f t="shared" si="12"/>
        <v>100000</v>
      </c>
      <c r="AM23" s="2">
        <f t="shared" si="13"/>
        <v>4685.6312280238881</v>
      </c>
      <c r="AN23" s="2">
        <f t="shared" si="14"/>
        <v>4059.1954090175182</v>
      </c>
      <c r="AO23" s="2">
        <f t="shared" si="15"/>
        <v>3565.3464541885878</v>
      </c>
      <c r="AP23" s="2">
        <f t="shared" si="16"/>
        <v>3102.4717339118838</v>
      </c>
      <c r="AQ23" s="2">
        <f t="shared" si="17"/>
        <v>2450.4999019800034</v>
      </c>
      <c r="AR23" s="2">
        <f t="shared" si="18"/>
        <v>1115.0562509241029</v>
      </c>
      <c r="AS23" s="2">
        <f t="shared" si="19"/>
        <v>624.14790659062351</v>
      </c>
      <c r="AX23" s="2">
        <f t="shared" si="28"/>
        <v>100000</v>
      </c>
      <c r="AY23" s="37">
        <f t="shared" si="20"/>
        <v>55616.680936317942</v>
      </c>
      <c r="AZ23" s="37">
        <f t="shared" si="21"/>
        <v>38796.5530925286</v>
      </c>
      <c r="BA23" s="37">
        <f t="shared" si="22"/>
        <v>33956.107753013719</v>
      </c>
      <c r="BB23" s="37">
        <f t="shared" si="23"/>
        <v>31361.636224374335</v>
      </c>
      <c r="BC23" s="37">
        <f t="shared" si="24"/>
        <v>31209.015874510449</v>
      </c>
      <c r="BD23" s="37">
        <f t="shared" si="25"/>
        <v>-146920.54536906688</v>
      </c>
      <c r="BE23" s="37">
        <f t="shared" si="26"/>
        <v>-11188.999333902882</v>
      </c>
    </row>
    <row r="24" spans="1:57" x14ac:dyDescent="0.25">
      <c r="A24" s="2">
        <f>'creep_res-40'!A24</f>
        <v>1000000</v>
      </c>
      <c r="B24" s="3">
        <f>'creep_res-40'!O24</f>
        <v>-8.0382091428571442E-4</v>
      </c>
      <c r="C24" s="2">
        <f>IF('Modell einstellen'!$B$2="Ja",creep_res0!O24,creep_res0!C24)</f>
        <v>-9.6031400000000009E-4</v>
      </c>
      <c r="D24" s="2">
        <f>IF('Modell einstellen'!$B$2="Ja",creep_res25!O24,creep_res25!C24)</f>
        <v>-1.1218572857142858E-3</v>
      </c>
      <c r="E24" s="2">
        <f>IF('Modell einstellen'!$B$2="Ja",creep_res50!O24,creep_res50!C24)</f>
        <v>-1.3359454857142859E-3</v>
      </c>
      <c r="F24" s="2">
        <f>IF('Modell einstellen'!$B$2="Ja",creep_res80!O24,creep_res80!C24)</f>
        <v>-1.8148498000000002E-3</v>
      </c>
      <c r="G24" s="2">
        <f>IF('Modell einstellen'!$B$2="Ja",creep_res125!O24,creep_res125!C24)</f>
        <v>-4.0335100000000006E-3</v>
      </c>
      <c r="H24" s="2">
        <f>IF('Modell einstellen'!$B$2="Ja",creep_res160!O24,creep_res160!C24)</f>
        <v>-5.7147317142857146E-3</v>
      </c>
      <c r="M24" s="9">
        <f t="shared" si="27"/>
        <v>-10</v>
      </c>
      <c r="N24" s="2">
        <f t="shared" si="4"/>
        <v>1000000</v>
      </c>
      <c r="O24" s="2">
        <f t="shared" si="5"/>
        <v>12440.582003127063</v>
      </c>
      <c r="P24" s="2">
        <f t="shared" si="6"/>
        <v>10413.260662658255</v>
      </c>
      <c r="Q24" s="2">
        <f t="shared" si="7"/>
        <v>8913.7897728524422</v>
      </c>
      <c r="R24" s="2">
        <f t="shared" si="8"/>
        <v>7485.3353725382967</v>
      </c>
      <c r="S24" s="2">
        <f t="shared" si="9"/>
        <v>5510.0978604400207</v>
      </c>
      <c r="T24" s="2">
        <f t="shared" si="10"/>
        <v>2479.2302485924165</v>
      </c>
      <c r="U24" s="2">
        <f t="shared" si="11"/>
        <v>1749.8634231598223</v>
      </c>
      <c r="Z24" s="2">
        <v>1000000</v>
      </c>
      <c r="AA24" s="3">
        <f>IF('Modell einstellen'!$B$2="Ja",'creep_res-40'!P24,'creep_res-40'!L24)</f>
        <v>0.45611858391200993</v>
      </c>
      <c r="AB24" s="2">
        <f>IF('Modell einstellen'!$B$2="Ja",creep_res0!P24,creep_res0!L24)</f>
        <v>0.44725885789142183</v>
      </c>
      <c r="AC24" s="2">
        <f>IF('Modell einstellen'!$B$2="Ja",creep_res25!P24,creep_res25!L24)</f>
        <v>0.45067991204890967</v>
      </c>
      <c r="AD24" s="2">
        <f>IF('Modell einstellen'!$B$2="Ja",creep_res50!P24,creep_res50!L24)</f>
        <v>0.45707301315887733</v>
      </c>
      <c r="AE24" s="2">
        <f>IF('Modell einstellen'!$B$2="Ja",creep_res80!P24,creep_res80!L24)</f>
        <v>0.47159269835206985</v>
      </c>
      <c r="AF24" s="2">
        <f>IF('Modell einstellen'!$B$2="Ja",creep_res125!P24,creep_res125!L24)</f>
        <v>0.51251415551928003</v>
      </c>
      <c r="AG24" s="2">
        <f>IF('Modell einstellen'!$B$2="Ja",creep_res160!P24,creep_res160!L24)</f>
        <v>0.52202235615510217</v>
      </c>
      <c r="AL24" s="2">
        <f t="shared" si="12"/>
        <v>1000000</v>
      </c>
      <c r="AM24" s="2">
        <f t="shared" si="13"/>
        <v>4271.8299665210579</v>
      </c>
      <c r="AN24" s="2">
        <f t="shared" si="14"/>
        <v>3597.5805592338243</v>
      </c>
      <c r="AO24" s="2">
        <f t="shared" si="15"/>
        <v>3072.2800042990852</v>
      </c>
      <c r="AP24" s="2">
        <f t="shared" si="16"/>
        <v>2568.6205512482802</v>
      </c>
      <c r="AQ24" s="2">
        <f t="shared" si="17"/>
        <v>1872.1545257089074</v>
      </c>
      <c r="AR24" s="2">
        <f t="shared" si="18"/>
        <v>819.57257707159806</v>
      </c>
      <c r="AS24" s="2">
        <f t="shared" si="19"/>
        <v>574.84813415628378</v>
      </c>
      <c r="AX24" s="2">
        <f t="shared" si="28"/>
        <v>1000000</v>
      </c>
      <c r="AY24" s="37">
        <f t="shared" si="20"/>
        <v>47250.76168227828</v>
      </c>
      <c r="AZ24" s="37">
        <f t="shared" si="21"/>
        <v>32906.823295623995</v>
      </c>
      <c r="BA24" s="37">
        <f t="shared" si="22"/>
        <v>30122.242082820478</v>
      </c>
      <c r="BB24" s="37">
        <f t="shared" si="23"/>
        <v>29062.27497495657</v>
      </c>
      <c r="BC24" s="37">
        <f t="shared" si="24"/>
        <v>32327.943526223095</v>
      </c>
      <c r="BD24" s="37">
        <f t="shared" si="25"/>
        <v>-33019.011214577105</v>
      </c>
      <c r="BE24" s="37">
        <f t="shared" si="26"/>
        <v>-13243.083610397513</v>
      </c>
    </row>
    <row r="25" spans="1:57" x14ac:dyDescent="0.25">
      <c r="A25" s="2">
        <f>'creep_res-40'!A25</f>
        <v>10000000</v>
      </c>
      <c r="B25" s="3">
        <f>'creep_res-40'!O25</f>
        <v>-9.0442820000000005E-4</v>
      </c>
      <c r="C25" s="2">
        <f>IF('Modell einstellen'!$B$2="Ja",creep_res0!O25,creep_res0!C25)</f>
        <v>-1.1084513428571429E-3</v>
      </c>
      <c r="D25" s="2">
        <f>IF('Modell einstellen'!$B$2="Ja",creep_res25!O25,creep_res25!C25)</f>
        <v>-1.3513724571428572E-3</v>
      </c>
      <c r="E25" s="2">
        <f>IF('Modell einstellen'!$B$2="Ja",creep_res50!O25,creep_res50!C25)</f>
        <v>-1.7043230571428571E-3</v>
      </c>
      <c r="F25" s="2">
        <f>IF('Modell einstellen'!$B$2="Ja",creep_res80!O25,creep_res80!C25)</f>
        <v>-2.464179485714286E-3</v>
      </c>
      <c r="G25" s="2">
        <f>IF('Modell einstellen'!$B$2="Ja",creep_res125!O25,creep_res125!C25)</f>
        <v>-4.9064134285714284E-3</v>
      </c>
      <c r="H25" s="2">
        <f>IF('Modell einstellen'!$B$2="Ja",creep_res160!O25,creep_res160!C25)</f>
        <v>-6.0956394285714291E-3</v>
      </c>
      <c r="M25" s="9">
        <f t="shared" si="27"/>
        <v>-10</v>
      </c>
      <c r="N25" s="2">
        <f t="shared" si="4"/>
        <v>10000000</v>
      </c>
      <c r="O25" s="2">
        <f t="shared" si="5"/>
        <v>11056.709642622818</v>
      </c>
      <c r="P25" s="2">
        <f t="shared" si="6"/>
        <v>9021.5958187429424</v>
      </c>
      <c r="Q25" s="2">
        <f t="shared" si="7"/>
        <v>7399.8844264907739</v>
      </c>
      <c r="R25" s="2">
        <f t="shared" si="8"/>
        <v>5867.432208987475</v>
      </c>
      <c r="S25" s="2">
        <f t="shared" si="9"/>
        <v>4058.1459499900525</v>
      </c>
      <c r="T25" s="2">
        <f t="shared" si="10"/>
        <v>2038.148669202473</v>
      </c>
      <c r="U25" s="2">
        <f t="shared" si="11"/>
        <v>1640.5169822099524</v>
      </c>
      <c r="Z25" s="2">
        <v>10000000</v>
      </c>
      <c r="AA25" s="3">
        <f>IF('Modell einstellen'!$B$2="Ja",'creep_res-40'!P25,'creep_res-40'!L25)</f>
        <v>0.45197586086514591</v>
      </c>
      <c r="AB25" s="2">
        <f>IF('Modell einstellen'!$B$2="Ja",creep_res0!P25,creep_res0!L25)</f>
        <v>0.4488808671722867</v>
      </c>
      <c r="AC25" s="2">
        <f>IF('Modell einstellen'!$B$2="Ja",creep_res25!P25,creep_res25!L25)</f>
        <v>0.45622970475983404</v>
      </c>
      <c r="AD25" s="2">
        <f>IF('Modell einstellen'!$B$2="Ja",creep_res50!P25,creep_res50!L25)</f>
        <v>0.46632160130204697</v>
      </c>
      <c r="AE25" s="2">
        <f>IF('Modell einstellen'!$B$2="Ja",creep_res80!P25,creep_res80!L25)</f>
        <v>0.48383582494605387</v>
      </c>
      <c r="AF25" s="2">
        <f>IF('Modell einstellen'!$B$2="Ja",creep_res125!P25,creep_res125!L25)</f>
        <v>0.5148750029625947</v>
      </c>
      <c r="AG25" s="2">
        <f>IF('Modell einstellen'!$B$2="Ja",creep_res160!P25,creep_res160!L25)</f>
        <v>0.51894258087444056</v>
      </c>
      <c r="AL25" s="2">
        <f t="shared" si="12"/>
        <v>10000000</v>
      </c>
      <c r="AM25" s="2">
        <f t="shared" si="13"/>
        <v>3807.4701999642007</v>
      </c>
      <c r="AN25" s="2">
        <f t="shared" si="14"/>
        <v>3113.2980023229825</v>
      </c>
      <c r="AO25" s="2">
        <f t="shared" si="15"/>
        <v>2540.7682600840731</v>
      </c>
      <c r="AP25" s="2">
        <f t="shared" si="16"/>
        <v>2000.7316961631682</v>
      </c>
      <c r="AQ25" s="2">
        <f t="shared" si="17"/>
        <v>1367.4511296212941</v>
      </c>
      <c r="AR25" s="2">
        <f t="shared" si="18"/>
        <v>672.71182943032534</v>
      </c>
      <c r="AS25" s="2">
        <f t="shared" si="19"/>
        <v>540.01941971549797</v>
      </c>
      <c r="AX25" s="2">
        <f t="shared" si="28"/>
        <v>10000000</v>
      </c>
      <c r="AY25" s="37">
        <f t="shared" si="20"/>
        <v>38372.055671055496</v>
      </c>
      <c r="AZ25" s="37">
        <f t="shared" si="21"/>
        <v>29413.630864815354</v>
      </c>
      <c r="BA25" s="37">
        <f t="shared" si="22"/>
        <v>28176.964864290905</v>
      </c>
      <c r="BB25" s="37">
        <f t="shared" si="23"/>
        <v>29036.575549063033</v>
      </c>
      <c r="BC25" s="37">
        <f t="shared" si="24"/>
        <v>41843.0050450708</v>
      </c>
      <c r="BD25" s="37">
        <f t="shared" si="25"/>
        <v>-22836.395106695516</v>
      </c>
      <c r="BE25" s="37">
        <f t="shared" si="26"/>
        <v>-14434.120611511818</v>
      </c>
    </row>
    <row r="26" spans="1:57" x14ac:dyDescent="0.25">
      <c r="A26" s="2">
        <f>'creep_res-40'!A26</f>
        <v>100000000</v>
      </c>
      <c r="B26" s="3">
        <f>'creep_res-40'!O26</f>
        <v>-1.0340307714285716E-3</v>
      </c>
      <c r="C26" s="2">
        <f>IF('Modell einstellen'!$B$2="Ja",creep_res0!O26,creep_res0!C26)</f>
        <v>-1.3287063714285715E-3</v>
      </c>
      <c r="D26" s="2">
        <f>IF('Modell einstellen'!$B$2="Ja",creep_res25!O26,creep_res25!C26)</f>
        <v>-1.7279395999999999E-3</v>
      </c>
      <c r="E26" s="2">
        <f>IF('Modell einstellen'!$B$2="Ja",creep_res50!O26,creep_res50!C26)</f>
        <v>-2.3040462857142857E-3</v>
      </c>
      <c r="F26" s="2">
        <f>IF('Modell einstellen'!$B$2="Ja",creep_res80!O26,creep_res80!C26)</f>
        <v>-3.3960300000000004E-3</v>
      </c>
      <c r="G26" s="2">
        <f>IF('Modell einstellen'!$B$2="Ja",creep_res125!O26,creep_res125!C26)</f>
        <v>-5.5716142857142863E-3</v>
      </c>
      <c r="H26" s="2">
        <f>IF('Modell einstellen'!$B$2="Ja",creep_res160!O26,creep_res160!C26)</f>
        <v>-6.2988837142857138E-3</v>
      </c>
      <c r="M26" s="9">
        <f t="shared" si="27"/>
        <v>-10</v>
      </c>
      <c r="N26" s="2">
        <f t="shared" si="4"/>
        <v>100000000</v>
      </c>
      <c r="O26" s="2">
        <f t="shared" si="5"/>
        <v>9670.892082045526</v>
      </c>
      <c r="P26" s="2">
        <f t="shared" si="6"/>
        <v>7526.1172935058657</v>
      </c>
      <c r="Q26" s="2">
        <f t="shared" si="7"/>
        <v>5787.2393224855778</v>
      </c>
      <c r="R26" s="2">
        <f t="shared" si="8"/>
        <v>4340.1905864490318</v>
      </c>
      <c r="S26" s="2">
        <f t="shared" si="9"/>
        <v>2944.6147413303179</v>
      </c>
      <c r="T26" s="2">
        <f t="shared" si="10"/>
        <v>1794.8119678062012</v>
      </c>
      <c r="U26" s="2">
        <f t="shared" si="11"/>
        <v>1587.5828882695905</v>
      </c>
      <c r="Z26" s="2">
        <v>100000000</v>
      </c>
      <c r="AA26" s="3">
        <f>IF('Modell einstellen'!$B$2="Ja",'creep_res-40'!P26,'creep_res-40'!L26)</f>
        <v>0.45058299867671792</v>
      </c>
      <c r="AB26" s="2">
        <f>IF('Modell einstellen'!$B$2="Ja",creep_res0!P26,creep_res0!L26)</f>
        <v>0.45450968496253596</v>
      </c>
      <c r="AC26" s="2">
        <f>IF('Modell einstellen'!$B$2="Ja",creep_res25!P26,creep_res25!L26)</f>
        <v>0.46582306134179358</v>
      </c>
      <c r="AD26" s="2">
        <f>IF('Modell einstellen'!$B$2="Ja",creep_res50!P26,creep_res50!L26)</f>
        <v>0.47876596477104505</v>
      </c>
      <c r="AE26" s="2">
        <f>IF('Modell einstellen'!$B$2="Ja",creep_res80!P26,creep_res80!L26)</f>
        <v>0.49653332189140181</v>
      </c>
      <c r="AF26" s="2">
        <f>IF('Modell einstellen'!$B$2="Ja",creep_res125!P26,creep_res125!L26)</f>
        <v>0.51520544186988637</v>
      </c>
      <c r="AG26" s="2">
        <f>IF('Modell einstellen'!$B$2="Ja",creep_res160!P26,creep_res160!L26)</f>
        <v>0.51801437107246184</v>
      </c>
      <c r="AL26" s="2">
        <f t="shared" si="12"/>
        <v>100000000</v>
      </c>
      <c r="AM26" s="2">
        <f t="shared" si="13"/>
        <v>3333.4500993282409</v>
      </c>
      <c r="AN26" s="2">
        <f t="shared" si="14"/>
        <v>2587.1664421745386</v>
      </c>
      <c r="AO26" s="2">
        <f t="shared" si="15"/>
        <v>1974.0579457073152</v>
      </c>
      <c r="AP26" s="2">
        <f t="shared" si="16"/>
        <v>1467.5042196825975</v>
      </c>
      <c r="AQ26" s="2">
        <f t="shared" si="17"/>
        <v>983.81195335121254</v>
      </c>
      <c r="AR26" s="2">
        <f t="shared" si="18"/>
        <v>592.26686963031818</v>
      </c>
      <c r="AS26" s="2">
        <f t="shared" si="19"/>
        <v>522.91431442377564</v>
      </c>
      <c r="AX26" s="2">
        <f t="shared" si="28"/>
        <v>100000000</v>
      </c>
      <c r="AY26" s="37">
        <f t="shared" si="20"/>
        <v>32616.615817362534</v>
      </c>
      <c r="AZ26" s="37">
        <f t="shared" si="21"/>
        <v>27574.064528195548</v>
      </c>
      <c r="BA26" s="37">
        <f t="shared" si="22"/>
        <v>28221.950968956324</v>
      </c>
      <c r="BB26" s="37">
        <f t="shared" si="23"/>
        <v>34066.30392866247</v>
      </c>
      <c r="BC26" s="37">
        <f t="shared" si="24"/>
        <v>141567.54915832213</v>
      </c>
      <c r="BD26" s="37">
        <f t="shared" si="25"/>
        <v>-19672.912535355055</v>
      </c>
      <c r="BE26" s="37">
        <f t="shared" si="26"/>
        <v>-14688.114671370091</v>
      </c>
    </row>
    <row r="27" spans="1:57" x14ac:dyDescent="0.25">
      <c r="A27" s="2">
        <f>'creep_res-40'!A27</f>
        <v>1000000000</v>
      </c>
      <c r="B27" s="3">
        <f>'creep_res-40'!O27</f>
        <v>-1.2221332857142858E-3</v>
      </c>
      <c r="C27" s="2">
        <f>IF('Modell einstellen'!$B$2="Ja",creep_res0!O27,creep_res0!C27)</f>
        <v>-1.6862730571428571E-3</v>
      </c>
      <c r="D27" s="2">
        <f>IF('Modell einstellen'!$B$2="Ja",creep_res25!O27,creep_res25!C27)</f>
        <v>-2.3361168857142858E-3</v>
      </c>
      <c r="E27" s="2">
        <f>IF('Modell einstellen'!$B$2="Ja",creep_res50!O27,creep_res50!C27)</f>
        <v>-3.1656362857142859E-3</v>
      </c>
      <c r="F27" s="2">
        <f>IF('Modell einstellen'!$B$2="Ja",creep_res80!O27,creep_res80!C27)</f>
        <v>-4.3980477142857143E-3</v>
      </c>
      <c r="G27" s="2">
        <f>IF('Modell einstellen'!$B$2="Ja",creep_res125!O27,creep_res125!C27)</f>
        <v>-5.9386188571428581E-3</v>
      </c>
      <c r="H27" s="2">
        <f>IF('Modell einstellen'!$B$2="Ja",creep_res160!O27,creep_res160!C27)</f>
        <v>-6.4397999999999999E-3</v>
      </c>
      <c r="M27" s="9">
        <f t="shared" si="27"/>
        <v>-10</v>
      </c>
      <c r="N27" s="2">
        <f t="shared" si="4"/>
        <v>1000000000</v>
      </c>
      <c r="O27" s="2">
        <f t="shared" si="5"/>
        <v>8182.4135852378968</v>
      </c>
      <c r="P27" s="2">
        <f t="shared" si="6"/>
        <v>5930.2376668127145</v>
      </c>
      <c r="Q27" s="2">
        <f t="shared" si="7"/>
        <v>4280.6077303543925</v>
      </c>
      <c r="R27" s="2">
        <f t="shared" si="8"/>
        <v>3158.9225980026404</v>
      </c>
      <c r="S27" s="2">
        <f t="shared" si="9"/>
        <v>2273.7361324021235</v>
      </c>
      <c r="T27" s="2">
        <f t="shared" si="10"/>
        <v>1683.8932149976572</v>
      </c>
      <c r="U27" s="2">
        <f t="shared" si="11"/>
        <v>1552.8432560017393</v>
      </c>
      <c r="Z27" s="2">
        <v>1000000000</v>
      </c>
      <c r="AA27" s="3">
        <f>IF('Modell einstellen'!$B$2="Ja",'creep_res-40'!P27,'creep_res-40'!L27)</f>
        <v>0.45391004231126064</v>
      </c>
      <c r="AB27" s="2">
        <f>IF('Modell einstellen'!$B$2="Ja",creep_res0!P27,creep_res0!L27)</f>
        <v>0.46385924245415805</v>
      </c>
      <c r="AC27" s="2">
        <f>IF('Modell einstellen'!$B$2="Ja",creep_res25!P27,creep_res25!L27)</f>
        <v>0.47834590370484276</v>
      </c>
      <c r="AD27" s="2">
        <f>IF('Modell einstellen'!$B$2="Ja",creep_res50!P27,creep_res50!L27)</f>
        <v>0.49171466047854784</v>
      </c>
      <c r="AE27" s="2">
        <f>IF('Modell einstellen'!$B$2="Ja",creep_res80!P27,creep_res80!L27)</f>
        <v>0.50529837687072454</v>
      </c>
      <c r="AF27" s="2">
        <f>IF('Modell einstellen'!$B$2="Ja",creep_res125!P27,creep_res125!L27)</f>
        <v>0.5139557220760228</v>
      </c>
      <c r="AG27" s="2">
        <f>IF('Modell einstellen'!$B$2="Ja",creep_res160!P27,creep_res160!L27)</f>
        <v>0.51561295160009402</v>
      </c>
      <c r="AL27" s="2">
        <f t="shared" si="12"/>
        <v>1000000000</v>
      </c>
      <c r="AM27" s="2">
        <f t="shared" si="13"/>
        <v>2813.9339254547094</v>
      </c>
      <c r="AN27" s="2">
        <f t="shared" si="14"/>
        <v>2025.5491425769458</v>
      </c>
      <c r="AO27" s="2">
        <f t="shared" si="15"/>
        <v>1447.7693345065175</v>
      </c>
      <c r="AP27" s="2">
        <f t="shared" si="16"/>
        <v>1058.8226695409851</v>
      </c>
      <c r="AQ27" s="2">
        <f t="shared" si="17"/>
        <v>755.24433140254177</v>
      </c>
      <c r="AR27" s="2">
        <f t="shared" si="18"/>
        <v>556.12366677692739</v>
      </c>
      <c r="AS27" s="2">
        <f t="shared" si="19"/>
        <v>512.28225991416207</v>
      </c>
      <c r="AX27" s="2">
        <f t="shared" si="28"/>
        <v>1000000000</v>
      </c>
      <c r="AY27" s="37">
        <f t="shared" si="20"/>
        <v>29588.562583402756</v>
      </c>
      <c r="AZ27" s="37">
        <f t="shared" si="21"/>
        <v>27347.875683433191</v>
      </c>
      <c r="BA27" s="37">
        <f t="shared" si="22"/>
        <v>32946.866588253128</v>
      </c>
      <c r="BB27" s="37">
        <f t="shared" si="23"/>
        <v>63544.420636467767</v>
      </c>
      <c r="BC27" s="37">
        <f t="shared" si="24"/>
        <v>-71523.040227827194</v>
      </c>
      <c r="BD27" s="37">
        <f t="shared" si="25"/>
        <v>-20109.949713634411</v>
      </c>
      <c r="BE27" s="37">
        <f t="shared" si="26"/>
        <v>-16576.443453015301</v>
      </c>
    </row>
    <row r="28" spans="1:57" x14ac:dyDescent="0.25">
      <c r="A28" s="2">
        <f>'creep_res-40'!A28</f>
        <v>10000000000</v>
      </c>
      <c r="B28" s="3">
        <f>'creep_res-40'!O28</f>
        <v>-1.5110083142857143E-3</v>
      </c>
      <c r="C28" s="2">
        <f>IF('Modell einstellen'!$B$2="Ja",creep_res0!O28,creep_res0!C28)</f>
        <v>-2.2753457428571428E-3</v>
      </c>
      <c r="D28" s="2">
        <f>IF('Modell einstellen'!$B$2="Ja",creep_res25!O28,creep_res25!C28)</f>
        <v>-3.210096E-3</v>
      </c>
      <c r="E28" s="2">
        <f>IF('Modell einstellen'!$B$2="Ja",creep_res50!O28,creep_res50!C28)</f>
        <v>-4.2048082857142864E-3</v>
      </c>
      <c r="F28" s="2">
        <f>IF('Modell einstellen'!$B$2="Ja",creep_res80!O28,creep_res80!C28)</f>
        <v>-5.2293177142857146E-3</v>
      </c>
      <c r="G28" s="2">
        <f>IF('Modell einstellen'!$B$2="Ja",creep_res125!O28,creep_res125!C28)</f>
        <v>-6.2464694285714285E-3</v>
      </c>
      <c r="H28" s="2">
        <f>IF('Modell einstellen'!$B$2="Ja",creep_res160!O28,creep_res160!C28)</f>
        <v>-6.7772074285714287E-3</v>
      </c>
      <c r="M28" s="9">
        <f t="shared" si="27"/>
        <v>-10</v>
      </c>
      <c r="N28" s="2">
        <f t="shared" si="4"/>
        <v>10000000000</v>
      </c>
      <c r="O28" s="2">
        <f t="shared" si="5"/>
        <v>6618.0972701842556</v>
      </c>
      <c r="P28" s="2">
        <f t="shared" si="6"/>
        <v>4394.9364756509658</v>
      </c>
      <c r="Q28" s="2">
        <f t="shared" si="7"/>
        <v>3115.1716334963194</v>
      </c>
      <c r="R28" s="2">
        <f t="shared" si="8"/>
        <v>2378.2297123925264</v>
      </c>
      <c r="S28" s="2">
        <f t="shared" si="9"/>
        <v>1912.2953598098456</v>
      </c>
      <c r="T28" s="2">
        <f t="shared" si="10"/>
        <v>1600.9043371380121</v>
      </c>
      <c r="U28" s="2">
        <f t="shared" si="11"/>
        <v>1475.5340020790695</v>
      </c>
      <c r="Z28" s="2">
        <v>10000000000</v>
      </c>
      <c r="AA28" s="3">
        <f>IF('Modell einstellen'!$B$2="Ja",'creep_res-40'!P28,'creep_res-40'!L28)</f>
        <v>0.46122257321038468</v>
      </c>
      <c r="AB28" s="2">
        <f>IF('Modell einstellen'!$B$2="Ja",creep_res0!P28,creep_res0!L28)</f>
        <v>0.47640147021424106</v>
      </c>
      <c r="AC28" s="2">
        <f>IF('Modell einstellen'!$B$2="Ja",creep_res25!P28,creep_res25!L28)</f>
        <v>0.49143015393576134</v>
      </c>
      <c r="AD28" s="2">
        <f>IF('Modell einstellen'!$B$2="Ja",creep_res50!P28,creep_res50!L28)</f>
        <v>0.50240444459876499</v>
      </c>
      <c r="AE28" s="2">
        <f>IF('Modell einstellen'!$B$2="Ja",creep_res80!P28,creep_res80!L28)</f>
        <v>0.50981945637048953</v>
      </c>
      <c r="AF28" s="2">
        <f>IF('Modell einstellen'!$B$2="Ja",creep_res125!P28,creep_res125!L28)</f>
        <v>0.5138482570474211</v>
      </c>
      <c r="AG28" s="2">
        <f>IF('Modell einstellen'!$B$2="Ja",creep_res160!P28,creep_res160!L28)</f>
        <v>0.51708301598812767</v>
      </c>
      <c r="AL28" s="2">
        <f t="shared" si="12"/>
        <v>10000000000</v>
      </c>
      <c r="AM28" s="2">
        <f t="shared" si="13"/>
        <v>2264.5753602217969</v>
      </c>
      <c r="AN28" s="2">
        <f t="shared" si="14"/>
        <v>1488.3947775442189</v>
      </c>
      <c r="AO28" s="2">
        <f t="shared" si="15"/>
        <v>1044.3571981147218</v>
      </c>
      <c r="AP28" s="2">
        <f t="shared" si="16"/>
        <v>791.47453302018846</v>
      </c>
      <c r="AQ28" s="2">
        <f t="shared" si="17"/>
        <v>633.28610309701617</v>
      </c>
      <c r="AR28" s="2">
        <f t="shared" si="18"/>
        <v>528.75323853804991</v>
      </c>
      <c r="AS28" s="2">
        <f t="shared" si="19"/>
        <v>486.30628203230003</v>
      </c>
      <c r="AX28" s="2">
        <f t="shared" si="28"/>
        <v>10000000000</v>
      </c>
      <c r="AY28" s="37">
        <f t="shared" si="20"/>
        <v>28444.801602791398</v>
      </c>
      <c r="AZ28" s="37">
        <f t="shared" si="21"/>
        <v>31039.620656814455</v>
      </c>
      <c r="BA28" s="37">
        <f t="shared" si="22"/>
        <v>60583.96712817868</v>
      </c>
      <c r="BB28" s="37">
        <f t="shared" si="23"/>
        <v>-164849.55358741846</v>
      </c>
      <c r="BC28" s="37">
        <f t="shared" si="24"/>
        <v>-32457.590448640276</v>
      </c>
      <c r="BD28" s="37">
        <f t="shared" si="25"/>
        <v>-19267.218149499204</v>
      </c>
      <c r="BE28" s="37">
        <f t="shared" si="26"/>
        <v>-14395.721098121998</v>
      </c>
    </row>
    <row r="29" spans="1:57" x14ac:dyDescent="0.25">
      <c r="A29" s="2">
        <f>'creep_res-40'!A29</f>
        <v>100000000000</v>
      </c>
      <c r="B29" s="3">
        <f>'creep_res-40'!O29</f>
        <v>-2.0067045714285713E-3</v>
      </c>
      <c r="C29" s="2">
        <f>IF('Modell einstellen'!$B$2="Ja",creep_res0!O29,creep_res0!C29)</f>
        <v>-3.1217257142857145E-3</v>
      </c>
      <c r="D29" s="2">
        <f>IF('Modell einstellen'!$B$2="Ja",creep_res25!O29,creep_res25!C29)</f>
        <v>-4.2436945714285712E-3</v>
      </c>
      <c r="E29" s="2">
        <f>IF('Modell einstellen'!$B$2="Ja",creep_res50!O29,creep_res50!C29)</f>
        <v>-5.0564605714285716E-3</v>
      </c>
      <c r="F29" s="2">
        <f>IF('Modell einstellen'!$B$2="Ja",creep_res80!O29,creep_res80!C29)</f>
        <v>-5.7320725714285724E-3</v>
      </c>
      <c r="G29" s="2">
        <f>IF('Modell einstellen'!$B$2="Ja",creep_res125!O29,creep_res125!C29)</f>
        <v>-6.358090857142857E-3</v>
      </c>
      <c r="H29" s="2">
        <f>IF('Modell einstellen'!$B$2="Ja",creep_res160!O29,creep_res160!C29)</f>
        <v>-6.9143051428571436E-3</v>
      </c>
      <c r="M29" s="9">
        <f t="shared" si="27"/>
        <v>-10</v>
      </c>
      <c r="N29" s="2">
        <f t="shared" si="4"/>
        <v>100000000000</v>
      </c>
      <c r="O29" s="2">
        <f t="shared" si="5"/>
        <v>4983.2945727935466</v>
      </c>
      <c r="P29" s="2">
        <f t="shared" si="6"/>
        <v>3203.3563852960447</v>
      </c>
      <c r="Q29" s="2">
        <f t="shared" si="7"/>
        <v>2356.4372580738441</v>
      </c>
      <c r="R29" s="2">
        <f t="shared" si="8"/>
        <v>1977.667947517439</v>
      </c>
      <c r="S29" s="2">
        <f t="shared" si="9"/>
        <v>1744.5696779634031</v>
      </c>
      <c r="T29" s="2">
        <f t="shared" si="10"/>
        <v>1572.7991663984669</v>
      </c>
      <c r="U29" s="2">
        <f t="shared" si="11"/>
        <v>1446.2769278168969</v>
      </c>
      <c r="Z29" s="2">
        <v>100000000000</v>
      </c>
      <c r="AA29" s="3">
        <f>IF('Modell einstellen'!$B$2="Ja",'creep_res-40'!P29,'creep_res-40'!L29)</f>
        <v>0.47286559086354235</v>
      </c>
      <c r="AB29" s="2">
        <f>IF('Modell einstellen'!$B$2="Ja",creep_res0!P29,creep_res0!L29)</f>
        <v>0.48953970514477341</v>
      </c>
      <c r="AC29" s="2">
        <f>IF('Modell einstellen'!$B$2="Ja",creep_res25!P29,creep_res25!L29)</f>
        <v>0.50204461328205197</v>
      </c>
      <c r="AD29" s="2">
        <f>IF('Modell einstellen'!$B$2="Ja",creep_res50!P29,creep_res50!L29)</f>
        <v>0.50782834429865453</v>
      </c>
      <c r="AE29" s="2">
        <f>IF('Modell einstellen'!$B$2="Ja",creep_res80!P29,creep_res80!L29)</f>
        <v>0.51110657855293817</v>
      </c>
      <c r="AF29" s="2">
        <f>IF('Modell einstellen'!$B$2="Ja",creep_res125!P29,creep_res125!L29)</f>
        <v>0.51946392892960958</v>
      </c>
      <c r="AG29" s="2">
        <f>IF('Modell einstellen'!$B$2="Ja",creep_res160!P29,creep_res160!L29)</f>
        <v>0.51549446059407766</v>
      </c>
      <c r="AL29" s="2">
        <f t="shared" si="12"/>
        <v>100000000000</v>
      </c>
      <c r="AM29" s="2">
        <f t="shared" si="13"/>
        <v>1691.7003845109305</v>
      </c>
      <c r="AN29" s="2">
        <f t="shared" si="14"/>
        <v>1075.2839868020503</v>
      </c>
      <c r="AO29" s="2">
        <f t="shared" si="15"/>
        <v>784.40987612375113</v>
      </c>
      <c r="AP29" s="2">
        <f t="shared" si="16"/>
        <v>655.80009654126911</v>
      </c>
      <c r="AQ29" s="2">
        <f t="shared" si="17"/>
        <v>577.24905136540178</v>
      </c>
      <c r="AR29" s="2">
        <f t="shared" si="18"/>
        <v>517.55067575260887</v>
      </c>
      <c r="AS29" s="2">
        <f t="shared" si="19"/>
        <v>477.16338311456207</v>
      </c>
      <c r="AX29" s="2">
        <f t="shared" si="28"/>
        <v>100000000000</v>
      </c>
      <c r="AY29" s="37">
        <f t="shared" si="20"/>
        <v>30608.703926029837</v>
      </c>
      <c r="AZ29" s="37">
        <f t="shared" si="21"/>
        <v>51039.931309002168</v>
      </c>
      <c r="BA29" s="37">
        <f t="shared" si="22"/>
        <v>-192085.0003567205</v>
      </c>
      <c r="BB29" s="37">
        <f t="shared" si="23"/>
        <v>-42104.857938209301</v>
      </c>
      <c r="BC29" s="37">
        <f t="shared" si="24"/>
        <v>-26179.224466654621</v>
      </c>
      <c r="BD29" s="37">
        <f t="shared" si="25"/>
        <v>-13467.640338584128</v>
      </c>
      <c r="BE29" s="37">
        <f t="shared" si="26"/>
        <v>-15556.924564917272</v>
      </c>
    </row>
    <row r="30" spans="1:57" x14ac:dyDescent="0.25">
      <c r="A30" s="2">
        <f>'creep_res-40'!A30</f>
        <v>1000000000000</v>
      </c>
      <c r="B30" s="3">
        <f>'creep_res-40'!O30</f>
        <v>-2.7355667999999999E-3</v>
      </c>
      <c r="C30" s="2">
        <f>IF('Modell einstellen'!$B$2="Ja",creep_res0!O30,creep_res0!C30)</f>
        <v>-4.1663445714285718E-3</v>
      </c>
      <c r="D30" s="2">
        <f>IF('Modell einstellen'!$B$2="Ja",creep_res25!O30,creep_res25!C30)</f>
        <v>-5.0913620000000003E-3</v>
      </c>
      <c r="E30" s="2">
        <f>IF('Modell einstellen'!$B$2="Ja",creep_res50!O30,creep_res50!C30)</f>
        <v>-5.6548028571428571E-3</v>
      </c>
      <c r="F30" s="2">
        <f>IF('Modell einstellen'!$B$2="Ja",creep_res80!O30,creep_res80!C30)</f>
        <v>-6.0948040000000005E-3</v>
      </c>
      <c r="G30" s="2">
        <f>IF('Modell einstellen'!$B$2="Ja",creep_res125!O30,creep_res125!C30)</f>
        <v>-6.6076685714285726E-3</v>
      </c>
      <c r="H30" s="2">
        <f>IF('Modell einstellen'!$B$2="Ja",creep_res160!O30,creep_res160!C30)</f>
        <v>-6.9280194285714298E-3</v>
      </c>
      <c r="M30" s="9">
        <f t="shared" si="27"/>
        <v>-10</v>
      </c>
      <c r="N30" s="2">
        <f t="shared" si="4"/>
        <v>1000000000000</v>
      </c>
      <c r="O30" s="2">
        <f t="shared" si="5"/>
        <v>3655.5495555802186</v>
      </c>
      <c r="P30" s="2">
        <f t="shared" si="6"/>
        <v>2400.1855412000077</v>
      </c>
      <c r="Q30" s="2">
        <f t="shared" si="7"/>
        <v>1964.1109785554434</v>
      </c>
      <c r="R30" s="2">
        <f t="shared" si="8"/>
        <v>1768.4082456329159</v>
      </c>
      <c r="S30" s="2">
        <f t="shared" si="9"/>
        <v>1640.7418515837423</v>
      </c>
      <c r="T30" s="2">
        <f t="shared" si="10"/>
        <v>1513.3930965060508</v>
      </c>
      <c r="U30" s="2">
        <f t="shared" si="11"/>
        <v>1443.4139660116425</v>
      </c>
      <c r="Z30" s="2">
        <v>1000000000000</v>
      </c>
      <c r="AA30" s="3">
        <f>IF('Modell einstellen'!$B$2="Ja",'creep_res-40'!P30,'creep_res-40'!L30)</f>
        <v>0.48557251723586398</v>
      </c>
      <c r="AB30" s="2">
        <f>IF('Modell einstellen'!$B$2="Ja",creep_res0!P30,creep_res0!L30)</f>
        <v>0.50085273791907747</v>
      </c>
      <c r="AC30" s="2">
        <f>IF('Modell einstellen'!$B$2="Ja",creep_res25!P30,creep_res25!L30)</f>
        <v>0.5075886570234055</v>
      </c>
      <c r="AD30" s="2">
        <f>IF('Modell einstellen'!$B$2="Ja",creep_res50!P30,creep_res50!L30)</f>
        <v>0.51034443034770449</v>
      </c>
      <c r="AE30" s="2">
        <f>IF('Modell einstellen'!$B$2="Ja",creep_res80!P30,creep_res80!L30)</f>
        <v>0.51202354380176018</v>
      </c>
      <c r="AF30" s="2">
        <f>IF('Modell einstellen'!$B$2="Ja",creep_res125!P30,creep_res125!L30)</f>
        <v>0.5141155471305201</v>
      </c>
      <c r="AG30" s="2">
        <f>IF('Modell einstellen'!$B$2="Ja",creep_res160!P30,creep_res160!L30)</f>
        <v>0.51547183058048163</v>
      </c>
      <c r="AL30" s="2">
        <f t="shared" si="12"/>
        <v>1000000000000</v>
      </c>
      <c r="AM30" s="2">
        <f t="shared" si="13"/>
        <v>1230.3504248927311</v>
      </c>
      <c r="AN30" s="2">
        <f t="shared" si="14"/>
        <v>799.60727676982128</v>
      </c>
      <c r="AO30" s="2">
        <f t="shared" si="15"/>
        <v>651.40811766035665</v>
      </c>
      <c r="AP30" s="2">
        <f t="shared" si="16"/>
        <v>585.43210743850034</v>
      </c>
      <c r="AQ30" s="2">
        <f t="shared" si="17"/>
        <v>542.56491517927657</v>
      </c>
      <c r="AR30" s="2">
        <f t="shared" si="18"/>
        <v>499.76142817308812</v>
      </c>
      <c r="AS30" s="2">
        <f t="shared" si="19"/>
        <v>476.22593072507385</v>
      </c>
      <c r="AX30" s="2">
        <f t="shared" si="28"/>
        <v>1000000000000</v>
      </c>
      <c r="AY30" s="37">
        <f t="shared" si="20"/>
        <v>42229.006211524982</v>
      </c>
      <c r="AZ30" s="37">
        <f t="shared" si="21"/>
        <v>-469113.5630113699</v>
      </c>
      <c r="BA30" s="37">
        <f t="shared" si="22"/>
        <v>-43136.991005074786</v>
      </c>
      <c r="BB30" s="37">
        <f t="shared" si="23"/>
        <v>-28492.115824520955</v>
      </c>
      <c r="BC30" s="37">
        <f t="shared" si="24"/>
        <v>-22743.458981196909</v>
      </c>
      <c r="BD30" s="37">
        <f t="shared" si="25"/>
        <v>-17869.104216700292</v>
      </c>
      <c r="BE30" s="37">
        <f t="shared" si="26"/>
        <v>-15548.838457342066</v>
      </c>
    </row>
    <row r="31" spans="1:57" x14ac:dyDescent="0.25">
      <c r="A31" s="2">
        <f>'creep_res-40'!A31</f>
        <v>10000000000000</v>
      </c>
      <c r="B31" s="3">
        <f>'creep_res-40'!O31</f>
        <v>-3.7568405714285716E-3</v>
      </c>
      <c r="C31" s="2">
        <f>IF('Modell einstellen'!$B$2="Ja",creep_res0!O31,creep_res0!C31)</f>
        <v>-5.0214025714285723E-3</v>
      </c>
      <c r="D31" s="2">
        <f>IF('Modell einstellen'!$B$2="Ja",creep_res25!O31,creep_res25!C31)</f>
        <v>-5.6714805714285716E-3</v>
      </c>
      <c r="E31" s="2">
        <f>IF('Modell einstellen'!$B$2="Ja",creep_res50!O31,creep_res50!C31)</f>
        <v>-6.0127154285714293E-3</v>
      </c>
      <c r="F31" s="2">
        <f>IF('Modell einstellen'!$B$2="Ja",creep_res80!O31,creep_res80!C31)</f>
        <v>-6.3178514285714285E-3</v>
      </c>
      <c r="G31" s="2">
        <f>IF('Modell einstellen'!$B$2="Ja",creep_res125!O31,creep_res125!C31)</f>
        <v>-6.8895494285714292E-3</v>
      </c>
      <c r="H31" s="2">
        <f>IF('Modell einstellen'!$B$2="Ja",creep_res160!O31,creep_res160!C31)</f>
        <v>-6.9320440000000001E-3</v>
      </c>
      <c r="M31" s="9">
        <f t="shared" si="27"/>
        <v>-10</v>
      </c>
      <c r="N31" s="2">
        <f t="shared" si="4"/>
        <v>10000000000000</v>
      </c>
      <c r="O31" s="2">
        <f t="shared" si="5"/>
        <v>2661.8111175788895</v>
      </c>
      <c r="P31" s="2">
        <f t="shared" si="6"/>
        <v>1991.4754608402236</v>
      </c>
      <c r="Q31" s="2">
        <f t="shared" si="7"/>
        <v>1763.2080149189565</v>
      </c>
      <c r="R31" s="2">
        <f t="shared" si="8"/>
        <v>1663.1420726285587</v>
      </c>
      <c r="S31" s="2">
        <f t="shared" si="9"/>
        <v>1582.8165814056135</v>
      </c>
      <c r="T31" s="2">
        <f t="shared" si="10"/>
        <v>1451.473728968301</v>
      </c>
      <c r="U31" s="2">
        <f t="shared" si="11"/>
        <v>1442.5759559518087</v>
      </c>
      <c r="Z31" s="2">
        <v>10000000000000</v>
      </c>
      <c r="AA31" s="3">
        <f>IF('Modell einstellen'!$B$2="Ja",'creep_res-40'!P31,'creep_res-40'!L31)</f>
        <v>0.49833434507506391</v>
      </c>
      <c r="AB31" s="2">
        <f>IF('Modell einstellen'!$B$2="Ja",creep_res0!P31,creep_res0!L31)</f>
        <v>0.50676640203371748</v>
      </c>
      <c r="AC31" s="2">
        <f>IF('Modell einstellen'!$B$2="Ja",creep_res25!P31,creep_res25!L31)</f>
        <v>0.51010993249331416</v>
      </c>
      <c r="AD31" s="2">
        <f>IF('Modell einstellen'!$B$2="Ja",creep_res50!P31,creep_res50!L31)</f>
        <v>0.5113163988089241</v>
      </c>
      <c r="AE31" s="2">
        <f>IF('Modell einstellen'!$B$2="Ja",creep_res80!P31,creep_res80!L31)</f>
        <v>0.51307827073218382</v>
      </c>
      <c r="AF31" s="2">
        <f>IF('Modell einstellen'!$B$2="Ja",creep_res125!P31,creep_res125!L31)</f>
        <v>0.51521146541492668</v>
      </c>
      <c r="AG31" s="2">
        <f>IF('Modell einstellen'!$B$2="Ja",creep_res160!P31,creep_res160!L31)</f>
        <v>0.51537303736510776</v>
      </c>
      <c r="AL31" s="2">
        <f t="shared" si="12"/>
        <v>10000000000000</v>
      </c>
      <c r="AM31" s="2">
        <f t="shared" si="13"/>
        <v>888.25672531905332</v>
      </c>
      <c r="AN31" s="2">
        <f t="shared" si="14"/>
        <v>660.84412890819806</v>
      </c>
      <c r="AO31" s="2">
        <f t="shared" si="15"/>
        <v>583.80121108393644</v>
      </c>
      <c r="AP31" s="2">
        <f t="shared" si="16"/>
        <v>550.22961238933465</v>
      </c>
      <c r="AQ31" s="2">
        <f t="shared" si="17"/>
        <v>523.04517618896307</v>
      </c>
      <c r="AR31" s="2">
        <f t="shared" si="18"/>
        <v>478.96737917397832</v>
      </c>
      <c r="AS31" s="2">
        <f t="shared" si="19"/>
        <v>475.98047490013522</v>
      </c>
      <c r="AX31" s="2">
        <f t="shared" si="28"/>
        <v>10000000000000</v>
      </c>
      <c r="AY31" s="37">
        <f t="shared" si="20"/>
        <v>266342.79382938251</v>
      </c>
      <c r="AZ31" s="37">
        <f t="shared" si="21"/>
        <v>-49053.038106922882</v>
      </c>
      <c r="BA31" s="37">
        <f t="shared" si="22"/>
        <v>-29067.25664892737</v>
      </c>
      <c r="BB31" s="37">
        <f t="shared" si="23"/>
        <v>-24494.572002844325</v>
      </c>
      <c r="BC31" s="37">
        <f t="shared" si="24"/>
        <v>-20171.073758124621</v>
      </c>
      <c r="BD31" s="37">
        <f t="shared" si="25"/>
        <v>-15903.286209624497</v>
      </c>
      <c r="BE31" s="37">
        <f t="shared" si="26"/>
        <v>-15639.676160397003</v>
      </c>
    </row>
    <row r="32" spans="1:57" x14ac:dyDescent="0.25">
      <c r="A32" s="2">
        <f>'creep_res-40'!A32</f>
        <v>100000000000000</v>
      </c>
      <c r="B32" s="3">
        <f>'creep_res-40'!O32</f>
        <v>-4.6848757142857146E-3</v>
      </c>
      <c r="C32" s="2">
        <f>IF('Modell einstellen'!$B$2="Ja",creep_res0!O32,creep_res0!C32)</f>
        <v>-5.6401380000000003E-3</v>
      </c>
      <c r="D32" s="2">
        <f>IF('Modell einstellen'!$B$2="Ja",creep_res25!O32,creep_res25!C32)</f>
        <v>-6.0295740000000002E-3</v>
      </c>
      <c r="E32" s="2">
        <f>IF('Modell einstellen'!$B$2="Ja",creep_res50!O32,creep_res50!C32)</f>
        <v>-6.2865677142857146E-3</v>
      </c>
      <c r="F32" s="2">
        <f>IF('Modell einstellen'!$B$2="Ja",creep_res80!O32,creep_res80!C32)</f>
        <v>-6.4428497142857144E-3</v>
      </c>
      <c r="G32" s="2">
        <f>IF('Modell einstellen'!$B$2="Ja",creep_res125!O32,creep_res125!C32)</f>
        <v>-6.9306028571428577E-3</v>
      </c>
      <c r="H32" s="2">
        <f>IF('Modell einstellen'!$B$2="Ja",creep_res160!O32,creep_res160!C32)</f>
        <v>-6.9347925714285724E-3</v>
      </c>
      <c r="M32" s="9">
        <v>-1</v>
      </c>
      <c r="N32" s="2">
        <f t="shared" si="4"/>
        <v>100000000000000</v>
      </c>
      <c r="O32" s="2">
        <f t="shared" si="5"/>
        <v>2134.5283439444802</v>
      </c>
      <c r="P32" s="2">
        <f t="shared" si="6"/>
        <v>1773.0062633219256</v>
      </c>
      <c r="Q32" s="2">
        <f t="shared" si="7"/>
        <v>1658.491959796828</v>
      </c>
      <c r="R32" s="2">
        <f t="shared" si="8"/>
        <v>1590.6931181661835</v>
      </c>
      <c r="S32" s="2">
        <f t="shared" si="9"/>
        <v>1552.1082197256635</v>
      </c>
      <c r="T32" s="2">
        <f t="shared" si="10"/>
        <v>1442.8759238013101</v>
      </c>
      <c r="U32" s="2">
        <f t="shared" si="11"/>
        <v>1442.004197962621</v>
      </c>
      <c r="Z32" s="2">
        <v>100000000000000</v>
      </c>
      <c r="AA32" s="3">
        <f>IF('Modell einstellen'!$B$2="Ja",'creep_res-40'!P32,'creep_res-40'!L32)</f>
        <v>0.50559271430588337</v>
      </c>
      <c r="AB32" s="2">
        <f>IF('Modell einstellen'!$B$2="Ja",creep_res0!P32,creep_res0!L32)</f>
        <v>0.50979522638833097</v>
      </c>
      <c r="AC32" s="2">
        <f>IF('Modell einstellen'!$B$2="Ja",creep_res25!P32,creep_res25!L32)</f>
        <v>0.51124057141397672</v>
      </c>
      <c r="AD32" s="2">
        <f>IF('Modell einstellen'!$B$2="Ja",creep_res50!P32,creep_res50!L32)</f>
        <v>0.51220909233823575</v>
      </c>
      <c r="AE32" s="2">
        <f>IF('Modell einstellen'!$B$2="Ja",creep_res80!P32,creep_res80!L32)</f>
        <v>0.51270569092452178</v>
      </c>
      <c r="AF32" s="2">
        <f>IF('Modell einstellen'!$B$2="Ja",creep_res125!P32,creep_res125!L32)</f>
        <v>0.51667832647829848</v>
      </c>
      <c r="AG32" s="2">
        <f>IF('Modell einstellen'!$B$2="Ja",creep_res160!P32,creep_res160!L32)</f>
        <v>0.51545132218188916</v>
      </c>
      <c r="AL32" s="2">
        <f t="shared" si="12"/>
        <v>100000000000000</v>
      </c>
      <c r="AM32" s="2">
        <f t="shared" si="13"/>
        <v>708.86645626754114</v>
      </c>
      <c r="AN32" s="2">
        <f t="shared" si="14"/>
        <v>587.16779346403064</v>
      </c>
      <c r="AO32" s="2">
        <f t="shared" si="15"/>
        <v>548.71871201984641</v>
      </c>
      <c r="AP32" s="2">
        <f t="shared" si="16"/>
        <v>525.95012363885235</v>
      </c>
      <c r="AQ32" s="2">
        <f t="shared" si="17"/>
        <v>513.02385818918287</v>
      </c>
      <c r="AR32" s="2">
        <f t="shared" si="18"/>
        <v>475.66972462501121</v>
      </c>
      <c r="AS32" s="2">
        <f t="shared" si="19"/>
        <v>475.76724400704541</v>
      </c>
      <c r="AX32" s="2">
        <f t="shared" si="28"/>
        <v>100000000000000</v>
      </c>
      <c r="AY32" s="37">
        <f t="shared" si="20"/>
        <v>-63610.38746722733</v>
      </c>
      <c r="AZ32" s="37">
        <f t="shared" si="21"/>
        <v>-30167.862606934468</v>
      </c>
      <c r="BA32" s="37">
        <f t="shared" si="22"/>
        <v>-24590.860771464442</v>
      </c>
      <c r="BB32" s="37">
        <f t="shared" si="23"/>
        <v>-21714.596986386121</v>
      </c>
      <c r="BC32" s="37">
        <f t="shared" si="24"/>
        <v>-20359.75098279411</v>
      </c>
      <c r="BD32" s="37">
        <f t="shared" si="25"/>
        <v>-14418.672097974508</v>
      </c>
      <c r="BE32" s="37">
        <f t="shared" si="26"/>
        <v>-15554.269735924026</v>
      </c>
    </row>
    <row r="33" spans="1:60" x14ac:dyDescent="0.25">
      <c r="A33" s="2">
        <f>'creep_res-40'!A33</f>
        <v>1000000000000000</v>
      </c>
      <c r="B33" s="3">
        <f>'creep_res-40'!O33</f>
        <v>-5.4542020000000009E-3</v>
      </c>
      <c r="C33" s="2">
        <f>IF('Modell einstellen'!$B$2="Ja",creep_res0!O33,creep_res0!C33)</f>
        <v>-5.9958525714285723E-3</v>
      </c>
      <c r="D33" s="2">
        <f>IF('Modell einstellen'!$B$2="Ja",creep_res25!O33,creep_res25!C33)</f>
        <v>-6.2946374285714288E-3</v>
      </c>
      <c r="E33" s="2">
        <f>IF('Modell einstellen'!$B$2="Ja",creep_res50!O33,creep_res50!C33)</f>
        <v>-6.4140320000000009E-3</v>
      </c>
      <c r="F33" s="2">
        <f>IF('Modell einstellen'!$B$2="Ja",creep_res80!O33,creep_res80!C33)</f>
        <v>-6.7568782857142864E-3</v>
      </c>
      <c r="G33" s="2">
        <f>IF('Modell einstellen'!$B$2="Ja",creep_res125!O33,creep_res125!C33)</f>
        <v>-6.9356111428571432E-3</v>
      </c>
      <c r="H33" s="2">
        <f>IF('Modell einstellen'!$B$2="Ja",creep_res160!O33,creep_res160!C33)</f>
        <v>-6.9376311428571442E-3</v>
      </c>
      <c r="M33" s="9">
        <f>M31</f>
        <v>-10</v>
      </c>
      <c r="N33" s="2">
        <f t="shared" si="4"/>
        <v>1000000000000000</v>
      </c>
      <c r="O33" s="2">
        <f t="shared" si="5"/>
        <v>1833.4487794914817</v>
      </c>
      <c r="P33" s="2">
        <f t="shared" si="6"/>
        <v>1667.8195270597521</v>
      </c>
      <c r="Q33" s="2">
        <f t="shared" si="7"/>
        <v>1588.6538523426129</v>
      </c>
      <c r="R33" s="2">
        <f t="shared" si="8"/>
        <v>1559.0817133434941</v>
      </c>
      <c r="S33" s="2">
        <f t="shared" si="9"/>
        <v>1479.9733807759237</v>
      </c>
      <c r="T33" s="2">
        <f t="shared" si="10"/>
        <v>1441.8340062647276</v>
      </c>
      <c r="U33" s="2">
        <f t="shared" si="11"/>
        <v>1441.4141937044049</v>
      </c>
      <c r="Z33" s="2">
        <v>1000000000000000</v>
      </c>
      <c r="AA33" s="3">
        <f>IF('Modell einstellen'!$B$2="Ja",'creep_res-40'!P33,'creep_res-40'!L33)</f>
        <v>0.50983684034542798</v>
      </c>
      <c r="AB33" s="2">
        <f>IF('Modell einstellen'!$B$2="Ja",creep_res0!P33,creep_res0!L33)</f>
        <v>0.51094623311999854</v>
      </c>
      <c r="AC33" s="2">
        <f>IF('Modell einstellen'!$B$2="Ja",creep_res25!P33,creep_res25!L33)</f>
        <v>0.51214101472586804</v>
      </c>
      <c r="AD33" s="2">
        <f>IF('Modell einstellen'!$B$2="Ja",creep_res50!P33,creep_res50!L33)</f>
        <v>0.51264241543273503</v>
      </c>
      <c r="AE33" s="2">
        <f>IF('Modell einstellen'!$B$2="Ja",creep_res80!P33,creep_res80!L33)</f>
        <v>0.51418250033806812</v>
      </c>
      <c r="AF33" s="2">
        <f>IF('Modell einstellen'!$B$2="Ja",creep_res125!P33,creep_res125!L33)</f>
        <v>0.5162885429521733</v>
      </c>
      <c r="AG33" s="2">
        <f>IF('Modell einstellen'!$B$2="Ja",creep_res160!P33,creep_res160!L33)</f>
        <v>0.51551013151504277</v>
      </c>
      <c r="AL33" s="2">
        <f t="shared" si="12"/>
        <v>1000000000000000</v>
      </c>
      <c r="AM33" s="2">
        <f t="shared" si="13"/>
        <v>607.16785102157667</v>
      </c>
      <c r="AN33" s="2">
        <f t="shared" si="14"/>
        <v>551.91226878266252</v>
      </c>
      <c r="AO33" s="2">
        <f t="shared" si="15"/>
        <v>525.29950476563715</v>
      </c>
      <c r="AP33" s="2">
        <f t="shared" si="16"/>
        <v>515.3503886433972</v>
      </c>
      <c r="AQ33" s="2">
        <f t="shared" si="17"/>
        <v>488.70376604058401</v>
      </c>
      <c r="AR33" s="2">
        <f t="shared" si="18"/>
        <v>475.44842733478526</v>
      </c>
      <c r="AS33" s="2">
        <f t="shared" si="19"/>
        <v>475.55412653805064</v>
      </c>
      <c r="AX33" s="2">
        <f>AL33</f>
        <v>1000000000000000</v>
      </c>
      <c r="AY33" s="37">
        <f t="shared" si="20"/>
        <v>-31064.324097111163</v>
      </c>
      <c r="AZ33" s="37">
        <f t="shared" si="21"/>
        <v>-25394.116691045081</v>
      </c>
      <c r="BA33" s="37">
        <f t="shared" si="22"/>
        <v>-21808.361824400279</v>
      </c>
      <c r="BB33" s="37">
        <f t="shared" si="23"/>
        <v>-20553.584368940563</v>
      </c>
      <c r="BC33" s="37">
        <f t="shared" si="24"/>
        <v>-17392.012991336898</v>
      </c>
      <c r="BD33" s="37">
        <f t="shared" si="25"/>
        <v>-14753.048717517431</v>
      </c>
      <c r="BE33" s="37">
        <f t="shared" si="26"/>
        <v>-15488.953057408791</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55" zoomScale="120" zoomScaleNormal="120" zoomScaleSheetLayoutView="110" workbookViewId="0">
      <selection activeCell="E83" sqref="E8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8600.88026028485</v>
      </c>
      <c r="G16" s="26">
        <f>INDEX(Comparison!$AM$3:$AS$33,G14,$B$3)</f>
        <v>8258.5143784911779</v>
      </c>
      <c r="H16" s="26">
        <f>INDEX(Comparison!$AM$3:$AS$33,H14,$B$3)</f>
        <v>7962.1526037178537</v>
      </c>
      <c r="I16" s="26">
        <f>INDEX(Comparison!$AM$3:$AS$33,I14,$B$3)</f>
        <v>7694.1164691736458</v>
      </c>
      <c r="J16" s="26">
        <f>INDEX(Comparison!$AM$3:$AS$33,J14,$B$3)</f>
        <v>7392.1118529421537</v>
      </c>
      <c r="K16" s="26">
        <f>INDEX(Comparison!$AM$3:$AS$33,K14,$B$3)</f>
        <v>7031.7099177768096</v>
      </c>
      <c r="L16" s="26">
        <f>INDEX(Comparison!$AM$3:$AS$33,L14,$B$3)</f>
        <v>6653.2341038317008</v>
      </c>
      <c r="M16" s="26">
        <f>INDEX(Comparison!$AM$3:$AS$33,M14,$B$3)</f>
        <v>6325.3637954371716</v>
      </c>
      <c r="N16" s="26">
        <f>INDEX(Comparison!$AM$3:$AS$33,N14,$B$3)</f>
        <v>6045.8980186697399</v>
      </c>
      <c r="O16" s="26">
        <f>INDEX(Comparison!$AM$3:$AS$33,O14,$B$3)</f>
        <v>5765.1058423358591</v>
      </c>
      <c r="P16" s="26">
        <f>INDEX(Comparison!$AM$3:$AS$33,P14,$B$3)</f>
        <v>5486.9816625574504</v>
      </c>
      <c r="Q16" s="26">
        <f>INDEX(Comparison!$AM$3:$AS$33,Q14,$B$3)</f>
        <v>5211.1575946368548</v>
      </c>
      <c r="R16" s="26">
        <f>INDEX(Comparison!$AM$3:$AS$33,R14,$B$3)</f>
        <v>4923.9623445747775</v>
      </c>
      <c r="S16" s="26">
        <f>INDEX(Comparison!$AM$3:$AS$33,S14,$B$3)</f>
        <v>4584.0172032140918</v>
      </c>
      <c r="T16" s="26">
        <f>INDEX(Comparison!$AM$3:$AS$33,T14,$B$3)</f>
        <v>4221.1859974432145</v>
      </c>
      <c r="U16" s="26">
        <f>INDEX(Comparison!$AM$3:$AS$33,U14,$B$3)</f>
        <v>3789.937412973562</v>
      </c>
      <c r="V16" s="26">
        <f>INDEX(Comparison!$AM$3:$AS$33,V14,$B$3)</f>
        <v>3283.8683924627298</v>
      </c>
      <c r="W16" s="26">
        <f>INDEX(Comparison!$AM$3:$AS$33,W14,$B$3)</f>
        <v>2714.7098539050189</v>
      </c>
      <c r="X16" s="26">
        <f>INDEX(Comparison!$AM$3:$AS$33,X14,$B$3)</f>
        <v>2120.3389527808267</v>
      </c>
      <c r="Y16" s="26">
        <f>INDEX(Comparison!$AM$3:$AS$33,Y14,$B$3)</f>
        <v>1549.2251736201158</v>
      </c>
      <c r="Z16" s="26">
        <f>INDEX(Comparison!$AM$3:$AS$33,Z14,$B$3)</f>
        <v>1115.0562509241029</v>
      </c>
      <c r="AA16" s="26">
        <f>INDEX(Comparison!$AM$3:$AS$33,AA14,$B$3)</f>
        <v>819.57257707159806</v>
      </c>
      <c r="AB16" s="26">
        <f>INDEX(Comparison!$AM$3:$AS$33,AB14,$B$3)</f>
        <v>672.71182943032534</v>
      </c>
      <c r="AC16" s="26">
        <f>INDEX(Comparison!$AM$3:$AS$33,AC14,$B$3)</f>
        <v>592.26686963031818</v>
      </c>
      <c r="AD16" s="26">
        <f>INDEX(Comparison!$AM$3:$AS$33,AD14,$B$3)</f>
        <v>556.12366677692739</v>
      </c>
      <c r="AE16" s="26">
        <f>INDEX(Comparison!$AM$3:$AS$33,AE14,$B$3)</f>
        <v>528.75323853804991</v>
      </c>
      <c r="AF16" s="26">
        <f>INDEX(Comparison!$AM$3:$AS$33,AF14,$B$3)</f>
        <v>517.55067575260887</v>
      </c>
      <c r="AG16" s="26">
        <f>INDEX(Comparison!$AM$3:$AS$33,AG14,$B$3)</f>
        <v>499.76142817308812</v>
      </c>
      <c r="AH16" s="26">
        <f>INDEX(Comparison!$AM$3:$AS$33,AH14,$B$3)</f>
        <v>478.96737917397832</v>
      </c>
      <c r="AI16" s="26">
        <f>INDEX(Comparison!$AM$3:$AS$33,AI14,$B$3)</f>
        <v>475.66972462501121</v>
      </c>
      <c r="AJ16" s="26">
        <f>INDEX(Comparison!$AM$3:$AS$33,AJ14,$B$3)</f>
        <v>475.44842733478526</v>
      </c>
    </row>
    <row r="17" spans="1:36" x14ac:dyDescent="0.25">
      <c r="A17" s="14" t="s">
        <v>20</v>
      </c>
      <c r="B17" s="105">
        <v>3.1714322082272789E-2</v>
      </c>
      <c r="C17" s="18">
        <f t="shared" ref="C17:C48" si="3">ABS(B17/$B$49)</f>
        <v>4.0171549189937449E-2</v>
      </c>
      <c r="D17" s="66"/>
      <c r="E17" s="65" t="s">
        <v>22</v>
      </c>
      <c r="F17" s="27">
        <f>($C$17+SUM(F18:F48))*$B$51</f>
        <v>8505.4055188309922</v>
      </c>
      <c r="G17" s="27">
        <f t="shared" ref="G17:M17" si="4">($C$17+SUM(G18:G48))*$B$51</f>
        <v>8382.0226107786984</v>
      </c>
      <c r="H17" s="27">
        <f t="shared" si="4"/>
        <v>7929.4666757274645</v>
      </c>
      <c r="I17" s="27">
        <f t="shared" si="4"/>
        <v>7699.4766714132929</v>
      </c>
      <c r="J17" s="27">
        <f t="shared" si="4"/>
        <v>7391.3780439715129</v>
      </c>
      <c r="K17" s="27">
        <f t="shared" si="4"/>
        <v>7031.8363166652543</v>
      </c>
      <c r="L17" s="27">
        <f t="shared" si="4"/>
        <v>6653.1771372946841</v>
      </c>
      <c r="M17" s="27">
        <f t="shared" si="4"/>
        <v>6325.5905096738506</v>
      </c>
      <c r="N17" s="27">
        <f t="shared" ref="N17" si="5">($C$17+SUM(N18:N48))*$B$51</f>
        <v>6045.4496914792717</v>
      </c>
      <c r="O17" s="27">
        <f t="shared" ref="O17" si="6">($C$17+SUM(O18:O48))*$B$51</f>
        <v>5766.1128081789284</v>
      </c>
      <c r="P17" s="27">
        <f t="shared" ref="P17" si="7">($C$17+SUM(P18:P48))*$B$51</f>
        <v>5485.3418775199243</v>
      </c>
      <c r="Q17" s="27">
        <f t="shared" ref="Q17" si="8">($C$17+SUM(Q18:Q48))*$B$51</f>
        <v>5213.5980726309772</v>
      </c>
      <c r="R17" s="27">
        <f t="shared" ref="R17" si="9">($C$17+SUM(R18:R48))*$B$51</f>
        <v>4921.0310639329673</v>
      </c>
      <c r="S17" s="27">
        <f t="shared" ref="S17:T17" si="10">($C$17+SUM(S18:S48))*$B$51</f>
        <v>4587.1779443488995</v>
      </c>
      <c r="T17" s="27">
        <f t="shared" si="10"/>
        <v>4218.4186503698384</v>
      </c>
      <c r="U17" s="27">
        <f t="shared" ref="U17" si="11">($C$17+SUM(U18:U48))*$B$51</f>
        <v>3792.1338767970592</v>
      </c>
      <c r="V17" s="27">
        <f t="shared" ref="V17" si="12">($C$17+SUM(V18:V48))*$B$51</f>
        <v>3282.4619348568226</v>
      </c>
      <c r="W17" s="27">
        <f t="shared" ref="W17" si="13">($C$17+SUM(W18:W48))*$B$51</f>
        <v>2715.5744153646046</v>
      </c>
      <c r="X17" s="27">
        <f t="shared" ref="X17" si="14">($C$17+SUM(X18:X48))*$B$51</f>
        <v>2119.9768169658341</v>
      </c>
      <c r="Y17" s="27">
        <f t="shared" ref="Y17" si="15">($C$17+SUM(Y18:Y48))*$B$51</f>
        <v>1549.4342159896732</v>
      </c>
      <c r="Z17" s="27">
        <f t="shared" ref="Z17:AA17" si="16">($C$17+SUM(Z18:Z48))*$B$51</f>
        <v>1115.0235937695147</v>
      </c>
      <c r="AA17" s="27">
        <f t="shared" si="16"/>
        <v>819.63884701229028</v>
      </c>
      <c r="AB17" s="27">
        <f t="shared" ref="AB17" si="17">($C$17+SUM(AB18:AB48))*$B$51</f>
        <v>672.73350000323262</v>
      </c>
      <c r="AC17" s="27">
        <f t="shared" ref="AC17" si="18">($C$17+SUM(AC18:AC48))*$B$51</f>
        <v>592.27718141525918</v>
      </c>
      <c r="AD17" s="27">
        <f t="shared" ref="AD17" si="19">($C$17+SUM(AD18:AD48))*$B$51</f>
        <v>556.22631230494824</v>
      </c>
      <c r="AE17" s="27">
        <f t="shared" ref="AE17" si="20">($C$17+SUM(AE18:AE48))*$B$51</f>
        <v>528.65312481256296</v>
      </c>
      <c r="AF17" s="27">
        <f t="shared" ref="AF17" si="21">($C$17+SUM(AF18:AF48))*$B$51</f>
        <v>518.18522876425141</v>
      </c>
      <c r="AG17" s="27">
        <f t="shared" ref="AG17:AH17" si="22">($C$17+SUM(AG18:AG48))*$B$51</f>
        <v>497.92338145131907</v>
      </c>
      <c r="AH17" s="27">
        <f t="shared" si="22"/>
        <v>481.31657333485026</v>
      </c>
      <c r="AI17" s="27">
        <f t="shared" ref="AI17" si="23">($C$17+SUM(AI18:AI48))*$B$51</f>
        <v>477.99995001294695</v>
      </c>
      <c r="AJ17" s="27">
        <f t="shared" ref="AJ17" si="24">($C$17+SUM(AJ18:AJ48))*$B$51</f>
        <v>472.08152980478735</v>
      </c>
    </row>
    <row r="18" spans="1:36" x14ac:dyDescent="0.25">
      <c r="A18" s="3">
        <f>0.000000000000001/10^5</f>
        <v>1.0000000000000001E-20</v>
      </c>
      <c r="B18" s="106">
        <v>0.12913936133474144</v>
      </c>
      <c r="C18" s="18">
        <f t="shared" si="3"/>
        <v>0.16357682793148628</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4.5985332236337412E-2</v>
      </c>
      <c r="C19" s="18">
        <f t="shared" si="3"/>
        <v>5.824819559930694E-2</v>
      </c>
      <c r="D19" s="17"/>
      <c r="F19" s="3">
        <f t="shared" si="25"/>
        <v>5.6775089807207059E-2</v>
      </c>
      <c r="G19" s="3">
        <f t="shared" si="25"/>
        <v>4.5085408691573223E-2</v>
      </c>
      <c r="H19" s="3">
        <f t="shared" si="25"/>
        <v>4.4959121915908364E-3</v>
      </c>
      <c r="I19" s="3">
        <f t="shared" si="25"/>
        <v>4.3715547085125816E-13</v>
      </c>
      <c r="J19" s="3">
        <f t="shared" si="25"/>
        <v>3.3023027809444357E-113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1.3622311537351451E-2</v>
      </c>
      <c r="C20" s="18">
        <f t="shared" si="3"/>
        <v>1.72549599699389E-2</v>
      </c>
      <c r="D20" s="17"/>
      <c r="F20" s="3">
        <f t="shared" si="25"/>
        <v>1.7215134511256464E-2</v>
      </c>
      <c r="G20" s="3">
        <f t="shared" si="25"/>
        <v>1.6860816404142883E-2</v>
      </c>
      <c r="H20" s="3">
        <f t="shared" si="25"/>
        <v>1.3694948055522776E-2</v>
      </c>
      <c r="I20" s="3">
        <f t="shared" si="25"/>
        <v>1.7115054577126921E-3</v>
      </c>
      <c r="J20" s="3">
        <f t="shared" si="25"/>
        <v>1.5905864513009618E-12</v>
      </c>
      <c r="K20" s="3">
        <f t="shared" si="25"/>
        <v>7.6444665205240239E-103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2.5482929930858253E-2</v>
      </c>
      <c r="C21" s="18">
        <f t="shared" si="3"/>
        <v>3.2278437816377237E-2</v>
      </c>
      <c r="D21" s="17"/>
      <c r="F21" s="3">
        <f t="shared" si="25"/>
        <v>3.2271710182674322E-2</v>
      </c>
      <c r="G21" s="3">
        <f t="shared" si="25"/>
        <v>3.2211224543610549E-2</v>
      </c>
      <c r="H21" s="3">
        <f t="shared" si="25"/>
        <v>3.1612568351579516E-2</v>
      </c>
      <c r="I21" s="3">
        <f t="shared" si="25"/>
        <v>2.6205065050210731E-2</v>
      </c>
      <c r="J21" s="3">
        <f t="shared" si="25"/>
        <v>4.0145775305141171E-3</v>
      </c>
      <c r="K21" s="3">
        <f t="shared" si="25"/>
        <v>2.8588141549005822E-11</v>
      </c>
      <c r="L21" s="3">
        <f t="shared" si="25"/>
        <v>9.5862039839113263E-93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2.932455523735851E-2</v>
      </c>
      <c r="C22" s="18">
        <f t="shared" si="3"/>
        <v>3.7144505568638776E-2</v>
      </c>
      <c r="D22" s="17"/>
      <c r="F22" s="3">
        <f t="shared" si="25"/>
        <v>3.7143807123688054E-2</v>
      </c>
      <c r="G22" s="3">
        <f t="shared" si="25"/>
        <v>3.7137521710094865E-2</v>
      </c>
      <c r="H22" s="3">
        <f t="shared" si="25"/>
        <v>3.707472604287701E-2</v>
      </c>
      <c r="I22" s="3">
        <f t="shared" si="25"/>
        <v>3.6452579796416688E-2</v>
      </c>
      <c r="J22" s="3">
        <f t="shared" si="25"/>
        <v>3.0777366549455603E-2</v>
      </c>
      <c r="K22" s="3">
        <f t="shared" si="25"/>
        <v>5.6658272978194609E-3</v>
      </c>
      <c r="L22" s="3">
        <f t="shared" si="25"/>
        <v>2.5326903088651502E-10</v>
      </c>
      <c r="M22" s="3">
        <f t="shared" si="25"/>
        <v>8.068069848104219E-84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3.2208738955806449E-2</v>
      </c>
      <c r="C23" s="18">
        <f t="shared" si="3"/>
        <v>4.0797811725329765E-2</v>
      </c>
      <c r="D23" s="17"/>
      <c r="F23" s="3">
        <f t="shared" si="25"/>
        <v>4.0797742522353096E-2</v>
      </c>
      <c r="G23" s="3">
        <f t="shared" si="25"/>
        <v>4.0797119700845409E-2</v>
      </c>
      <c r="H23" s="3">
        <f t="shared" si="25"/>
        <v>4.0790892008686852E-2</v>
      </c>
      <c r="I23" s="3">
        <f t="shared" si="25"/>
        <v>4.0728667349409838E-2</v>
      </c>
      <c r="J23" s="3">
        <f t="shared" si="25"/>
        <v>4.0111617587336779E-2</v>
      </c>
      <c r="K23" s="3">
        <f t="shared" si="25"/>
        <v>3.4432609480830906E-2</v>
      </c>
      <c r="L23" s="3">
        <f t="shared" si="25"/>
        <v>7.4811359223124216E-3</v>
      </c>
      <c r="M23" s="3">
        <f t="shared" si="25"/>
        <v>1.7536528637320772E-9</v>
      </c>
      <c r="N23" s="3">
        <f t="shared" si="25"/>
        <v>8.7842454596209778E-76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2.6038574766943743E-2</v>
      </c>
      <c r="C24" s="18">
        <f t="shared" si="3"/>
        <v>3.2982255914933402E-2</v>
      </c>
      <c r="D24" s="17"/>
      <c r="F24" s="3">
        <f t="shared" si="25"/>
        <v>3.2982250868143922E-2</v>
      </c>
      <c r="G24" s="3">
        <f t="shared" si="25"/>
        <v>3.2982205447073351E-2</v>
      </c>
      <c r="H24" s="3">
        <f t="shared" si="25"/>
        <v>3.2981751239807913E-2</v>
      </c>
      <c r="I24" s="3">
        <f t="shared" si="25"/>
        <v>3.2977209511165284E-2</v>
      </c>
      <c r="J24" s="3">
        <f t="shared" si="25"/>
        <v>3.2931826608386235E-2</v>
      </c>
      <c r="K24" s="3">
        <f t="shared" si="25"/>
        <v>3.2481418489795535E-2</v>
      </c>
      <c r="L24" s="3">
        <f t="shared" si="25"/>
        <v>2.8302620988388576E-2</v>
      </c>
      <c r="M24" s="3">
        <f t="shared" si="25"/>
        <v>7.140741997377833E-3</v>
      </c>
      <c r="N24" s="3">
        <f t="shared" si="25"/>
        <v>7.4629443679343593E-9</v>
      </c>
      <c r="O24" s="3">
        <f t="shared" si="25"/>
        <v>1.160322805010378E-68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2.160962162412965E-2</v>
      </c>
      <c r="C25" s="18">
        <f t="shared" si="3"/>
        <v>2.7372238189347697E-2</v>
      </c>
      <c r="D25" s="17"/>
      <c r="F25" s="3">
        <f t="shared" si="25"/>
        <v>2.7372237811521764E-2</v>
      </c>
      <c r="G25" s="3">
        <f t="shared" si="25"/>
        <v>2.7372234411088599E-2</v>
      </c>
      <c r="H25" s="3">
        <f t="shared" si="25"/>
        <v>2.7372200406780196E-2</v>
      </c>
      <c r="I25" s="3">
        <f t="shared" si="25"/>
        <v>2.7371860366019508E-2</v>
      </c>
      <c r="J25" s="3">
        <f t="shared" si="25"/>
        <v>2.7368460190739154E-2</v>
      </c>
      <c r="K25" s="3">
        <f t="shared" si="25"/>
        <v>2.733448165991037E-2</v>
      </c>
      <c r="L25" s="3">
        <f t="shared" si="25"/>
        <v>2.699700791053436E-2</v>
      </c>
      <c r="M25" s="3">
        <f t="shared" si="25"/>
        <v>2.3843145186781434E-2</v>
      </c>
      <c r="N25" s="3">
        <f t="shared" si="25"/>
        <v>6.8840281658060238E-3</v>
      </c>
      <c r="O25" s="3">
        <f t="shared" si="25"/>
        <v>2.770981275035092E-8</v>
      </c>
      <c r="P25" s="3">
        <f t="shared" si="25"/>
        <v>3.0941624817736757E-62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2.3226868575752794E-2</v>
      </c>
      <c r="C26" s="18">
        <f t="shared" si="3"/>
        <v>2.94207547964777E-2</v>
      </c>
      <c r="D26" s="17"/>
      <c r="F26" s="3">
        <f t="shared" si="25"/>
        <v>2.942075475984391E-2</v>
      </c>
      <c r="G26" s="3">
        <f t="shared" si="25"/>
        <v>2.9420754430139796E-2</v>
      </c>
      <c r="H26" s="3">
        <f t="shared" si="25"/>
        <v>2.9420751133098878E-2</v>
      </c>
      <c r="I26" s="3">
        <f t="shared" si="25"/>
        <v>2.942071816271E-2</v>
      </c>
      <c r="J26" s="3">
        <f t="shared" si="25"/>
        <v>2.9420388460853372E-2</v>
      </c>
      <c r="K26" s="3">
        <f t="shared" si="25"/>
        <v>2.9417091645493616E-2</v>
      </c>
      <c r="L26" s="3">
        <f t="shared" si="25"/>
        <v>2.9384143804123204E-2</v>
      </c>
      <c r="M26" s="3">
        <f t="shared" si="25"/>
        <v>2.9056688216040901E-2</v>
      </c>
      <c r="N26" s="3">
        <f t="shared" si="25"/>
        <v>2.59762729679055E-2</v>
      </c>
      <c r="O26" s="3">
        <f t="shared" si="25"/>
        <v>8.4700134400334959E-3</v>
      </c>
      <c r="P26" s="3">
        <f t="shared" si="25"/>
        <v>1.1506856587968716E-7</v>
      </c>
      <c r="Q26" s="3">
        <f t="shared" si="25"/>
        <v>2.4642383395318948E-56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2.2902083842712466E-2</v>
      </c>
      <c r="C27" s="18">
        <f t="shared" si="3"/>
        <v>2.9009360037806093E-2</v>
      </c>
      <c r="D27" s="17"/>
      <c r="F27" s="3">
        <f t="shared" si="25"/>
        <v>2.900936003454763E-2</v>
      </c>
      <c r="G27" s="3">
        <f t="shared" si="25"/>
        <v>2.9009360005221464E-2</v>
      </c>
      <c r="H27" s="3">
        <f t="shared" si="25"/>
        <v>2.9009359711959802E-2</v>
      </c>
      <c r="I27" s="3">
        <f t="shared" si="25"/>
        <v>2.9009356779343336E-2</v>
      </c>
      <c r="J27" s="3">
        <f t="shared" si="25"/>
        <v>2.9009327453194976E-2</v>
      </c>
      <c r="K27" s="3">
        <f t="shared" si="25"/>
        <v>2.9009034193341943E-2</v>
      </c>
      <c r="L27" s="3">
        <f t="shared" si="25"/>
        <v>2.9006101757860211E-2</v>
      </c>
      <c r="M27" s="3">
        <f t="shared" si="25"/>
        <v>2.8976793701806211E-2</v>
      </c>
      <c r="N27" s="3">
        <f t="shared" si="25"/>
        <v>2.8685336937647091E-2</v>
      </c>
      <c r="O27" s="3">
        <f t="shared" si="25"/>
        <v>2.5927236036559258E-2</v>
      </c>
      <c r="P27" s="3">
        <f t="shared" si="25"/>
        <v>9.4344998325326668E-3</v>
      </c>
      <c r="Q27" s="3">
        <f t="shared" si="25"/>
        <v>3.840126030147069E-7</v>
      </c>
      <c r="R27" s="3">
        <f t="shared" si="25"/>
        <v>4.7930443228881152E-51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2.1138118793273018E-2</v>
      </c>
      <c r="C28" s="18">
        <f t="shared" si="3"/>
        <v>2.6775000161878105E-2</v>
      </c>
      <c r="D28" s="17"/>
      <c r="F28" s="3">
        <f t="shared" si="25"/>
        <v>2.6775000161606805E-2</v>
      </c>
      <c r="G28" s="3">
        <f t="shared" si="25"/>
        <v>2.6775000159165098E-2</v>
      </c>
      <c r="H28" s="3">
        <f t="shared" si="25"/>
        <v>2.6775000134748046E-2</v>
      </c>
      <c r="I28" s="3">
        <f t="shared" si="25"/>
        <v>2.6774999890577533E-2</v>
      </c>
      <c r="J28" s="3">
        <f t="shared" si="25"/>
        <v>2.677499744887251E-2</v>
      </c>
      <c r="K28" s="3">
        <f t="shared" si="25"/>
        <v>2.6774973031834546E-2</v>
      </c>
      <c r="L28" s="3">
        <f t="shared" si="25"/>
        <v>2.6774728862679554E-2</v>
      </c>
      <c r="M28" s="3">
        <f t="shared" si="25"/>
        <v>2.6772287293592188E-2</v>
      </c>
      <c r="N28" s="3">
        <f t="shared" si="25"/>
        <v>2.6747883844844368E-2</v>
      </c>
      <c r="O28" s="3">
        <f t="shared" si="25"/>
        <v>2.6505069449320816E-2</v>
      </c>
      <c r="P28" s="3">
        <f t="shared" si="25"/>
        <v>2.4194916407580737E-2</v>
      </c>
      <c r="Q28" s="3">
        <f t="shared" si="25"/>
        <v>9.7202161075836159E-3</v>
      </c>
      <c r="R28" s="3">
        <f t="shared" si="25"/>
        <v>1.0646181526124939E-6</v>
      </c>
      <c r="S28" s="3">
        <f t="shared" si="25"/>
        <v>2.6446812158123441E-46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2.4935410577483892E-2</v>
      </c>
      <c r="C29" s="18">
        <f t="shared" si="3"/>
        <v>3.1584912015022802E-2</v>
      </c>
      <c r="D29" s="17"/>
      <c r="F29" s="3">
        <f t="shared" si="25"/>
        <v>3.1584912014993929E-2</v>
      </c>
      <c r="G29" s="3">
        <f t="shared" si="25"/>
        <v>3.1584912014734103E-2</v>
      </c>
      <c r="H29" s="3">
        <f t="shared" si="25"/>
        <v>3.1584912012135799E-2</v>
      </c>
      <c r="I29" s="3">
        <f t="shared" si="25"/>
        <v>3.1584911986152757E-2</v>
      </c>
      <c r="J29" s="3">
        <f t="shared" si="25"/>
        <v>3.1584911726322336E-2</v>
      </c>
      <c r="K29" s="3">
        <f t="shared" si="25"/>
        <v>3.1584909128018236E-2</v>
      </c>
      <c r="L29" s="3">
        <f t="shared" si="25"/>
        <v>3.1584883144988973E-2</v>
      </c>
      <c r="M29" s="3">
        <f t="shared" si="25"/>
        <v>3.158462331587196E-2</v>
      </c>
      <c r="N29" s="3">
        <f t="shared" si="25"/>
        <v>3.1582025142258795E-2</v>
      </c>
      <c r="O29" s="3">
        <f t="shared" si="25"/>
        <v>3.1556055158245382E-2</v>
      </c>
      <c r="P29" s="3">
        <f t="shared" si="25"/>
        <v>3.1297526960714805E-2</v>
      </c>
      <c r="Q29" s="3">
        <f t="shared" si="25"/>
        <v>2.8825920151494443E-2</v>
      </c>
      <c r="R29" s="3">
        <f t="shared" si="25"/>
        <v>1.2662362721765958E-2</v>
      </c>
      <c r="S29" s="3">
        <f t="shared" si="25"/>
        <v>3.3871190174898175E-6</v>
      </c>
      <c r="T29" s="3">
        <f t="shared" si="25"/>
        <v>6.3531268938438169E-42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2.8363173064293937E-2</v>
      </c>
      <c r="C30" s="18">
        <f t="shared" si="3"/>
        <v>3.592675255612271E-2</v>
      </c>
      <c r="D30" s="17"/>
      <c r="F30" s="3">
        <f t="shared" si="25"/>
        <v>3.5926752556119747E-2</v>
      </c>
      <c r="G30" s="3">
        <f t="shared" si="25"/>
        <v>3.5926752556093088E-2</v>
      </c>
      <c r="H30" s="3">
        <f t="shared" si="25"/>
        <v>3.5926752555826481E-2</v>
      </c>
      <c r="I30" s="3">
        <f t="shared" si="25"/>
        <v>3.5926752553160385E-2</v>
      </c>
      <c r="J30" s="3">
        <f t="shared" si="25"/>
        <v>3.5926752526499482E-2</v>
      </c>
      <c r="K30" s="3">
        <f t="shared" si="25"/>
        <v>3.5926752259890435E-2</v>
      </c>
      <c r="L30" s="3">
        <f t="shared" si="25"/>
        <v>3.5926749593800086E-2</v>
      </c>
      <c r="M30" s="3">
        <f t="shared" si="25"/>
        <v>3.592672293290744E-2</v>
      </c>
      <c r="N30" s="3">
        <f t="shared" si="25"/>
        <v>3.5926456325069168E-2</v>
      </c>
      <c r="O30" s="3">
        <f t="shared" si="25"/>
        <v>3.5923790355499599E-2</v>
      </c>
      <c r="P30" s="3">
        <f t="shared" si="25"/>
        <v>3.5897141538128251E-2</v>
      </c>
      <c r="Q30" s="3">
        <f t="shared" si="25"/>
        <v>3.5631738215872871E-2</v>
      </c>
      <c r="R30" s="3">
        <f t="shared" si="25"/>
        <v>3.3083269629799572E-2</v>
      </c>
      <c r="S30" s="3">
        <f t="shared" si="25"/>
        <v>1.5751524004711998E-2</v>
      </c>
      <c r="T30" s="3">
        <f t="shared" si="25"/>
        <v>9.4289672789755854E-6</v>
      </c>
      <c r="U30" s="3">
        <f t="shared" si="25"/>
        <v>5.5703132798916443E-38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3.0171130588885337E-2</v>
      </c>
      <c r="C31" s="18">
        <f t="shared" si="3"/>
        <v>3.8216836337325075E-2</v>
      </c>
      <c r="D31" s="17"/>
      <c r="F31" s="3">
        <f t="shared" si="25"/>
        <v>3.821683633732479E-2</v>
      </c>
      <c r="G31" s="3">
        <f t="shared" si="25"/>
        <v>3.821683633732223E-2</v>
      </c>
      <c r="H31" s="3">
        <f t="shared" si="25"/>
        <v>3.8216836337296646E-2</v>
      </c>
      <c r="I31" s="3">
        <f t="shared" si="25"/>
        <v>3.8216836337040816E-2</v>
      </c>
      <c r="J31" s="3">
        <f t="shared" si="25"/>
        <v>3.8216836334482474E-2</v>
      </c>
      <c r="K31" s="3">
        <f t="shared" si="25"/>
        <v>3.8216836308899077E-2</v>
      </c>
      <c r="L31" s="3">
        <f t="shared" si="25"/>
        <v>3.8216836053065084E-2</v>
      </c>
      <c r="M31" s="3">
        <f t="shared" si="25"/>
        <v>3.8216833494725294E-2</v>
      </c>
      <c r="N31" s="3">
        <f t="shared" si="25"/>
        <v>3.8216807911336789E-2</v>
      </c>
      <c r="O31" s="3">
        <f t="shared" si="25"/>
        <v>3.8216552078393695E-2</v>
      </c>
      <c r="P31" s="3">
        <f t="shared" si="25"/>
        <v>3.8213993843154388E-2</v>
      </c>
      <c r="Q31" s="3">
        <f t="shared" si="25"/>
        <v>3.8188420907595631E-2</v>
      </c>
      <c r="R31" s="3">
        <f t="shared" si="25"/>
        <v>3.7933630907170481E-2</v>
      </c>
      <c r="S31" s="3">
        <f t="shared" si="25"/>
        <v>3.5477380823272814E-2</v>
      </c>
      <c r="T31" s="3">
        <f t="shared" si="25"/>
        <v>1.816447733459365E-2</v>
      </c>
      <c r="U31" s="3">
        <f t="shared" si="25"/>
        <v>2.2487256174065196E-5</v>
      </c>
      <c r="V31" s="3">
        <f t="shared" si="26"/>
        <v>1.9013938355719655E-34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3.7984573071517563E-2</v>
      </c>
      <c r="C32" s="18">
        <f t="shared" si="3"/>
        <v>4.8113881849429982E-2</v>
      </c>
      <c r="D32" s="17"/>
      <c r="F32" s="3">
        <f t="shared" si="25"/>
        <v>4.8113881849429947E-2</v>
      </c>
      <c r="G32" s="3">
        <f t="shared" si="25"/>
        <v>4.8113881849429663E-2</v>
      </c>
      <c r="H32" s="3">
        <f t="shared" si="25"/>
        <v>4.8113881849426755E-2</v>
      </c>
      <c r="I32" s="3">
        <f t="shared" si="25"/>
        <v>4.8113881849397695E-2</v>
      </c>
      <c r="J32" s="3">
        <f t="shared" si="25"/>
        <v>4.811388184910715E-2</v>
      </c>
      <c r="K32" s="3">
        <f t="shared" si="25"/>
        <v>4.8113881846201655E-2</v>
      </c>
      <c r="L32" s="3">
        <f t="shared" si="25"/>
        <v>4.8113881817146674E-2</v>
      </c>
      <c r="M32" s="3">
        <f t="shared" si="25"/>
        <v>4.8113881526596937E-2</v>
      </c>
      <c r="N32" s="3">
        <f t="shared" si="25"/>
        <v>4.8113878621099587E-2</v>
      </c>
      <c r="O32" s="3">
        <f t="shared" si="25"/>
        <v>4.811384956613575E-2</v>
      </c>
      <c r="P32" s="3">
        <f t="shared" si="25"/>
        <v>4.81135590174624E-2</v>
      </c>
      <c r="Q32" s="3">
        <f t="shared" si="25"/>
        <v>4.8110653627227863E-2</v>
      </c>
      <c r="R32" s="3">
        <f t="shared" si="25"/>
        <v>4.8081609372619946E-2</v>
      </c>
      <c r="S32" s="3">
        <f t="shared" si="25"/>
        <v>4.7792129448120724E-2</v>
      </c>
      <c r="T32" s="3">
        <f t="shared" si="25"/>
        <v>4.4991475825371267E-2</v>
      </c>
      <c r="U32" s="3">
        <f t="shared" si="25"/>
        <v>2.4596245332616073E-2</v>
      </c>
      <c r="V32" s="3">
        <f t="shared" si="26"/>
        <v>5.8648186248354729E-5</v>
      </c>
      <c r="W32" s="3">
        <f t="shared" si="26"/>
        <v>3.484273840829539E-31</v>
      </c>
      <c r="X32" s="3">
        <f t="shared" si="26"/>
        <v>1.9084870919758977E-293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4.4576005875785175E-2</v>
      </c>
      <c r="C33" s="18">
        <f t="shared" si="3"/>
        <v>5.6463045562969084E-2</v>
      </c>
      <c r="D33" s="17"/>
      <c r="F33" s="3">
        <f t="shared" si="25"/>
        <v>5.6463045562969078E-2</v>
      </c>
      <c r="G33" s="3">
        <f t="shared" si="25"/>
        <v>5.646304556296905E-2</v>
      </c>
      <c r="H33" s="3">
        <f t="shared" si="25"/>
        <v>5.6463045562968738E-2</v>
      </c>
      <c r="I33" s="3">
        <f t="shared" si="25"/>
        <v>5.6463045562965671E-2</v>
      </c>
      <c r="J33" s="3">
        <f t="shared" si="25"/>
        <v>5.646304556293491E-2</v>
      </c>
      <c r="K33" s="3">
        <f t="shared" si="25"/>
        <v>5.6463045562627323E-2</v>
      </c>
      <c r="L33" s="3">
        <f t="shared" si="25"/>
        <v>5.6463045559551506E-2</v>
      </c>
      <c r="M33" s="3">
        <f t="shared" si="25"/>
        <v>5.6463045528793297E-2</v>
      </c>
      <c r="N33" s="3">
        <f t="shared" si="25"/>
        <v>5.6463045221211247E-2</v>
      </c>
      <c r="O33" s="3">
        <f t="shared" si="25"/>
        <v>5.6463042145390809E-2</v>
      </c>
      <c r="P33" s="3">
        <f t="shared" si="25"/>
        <v>5.6463011387195644E-2</v>
      </c>
      <c r="Q33" s="3">
        <f t="shared" si="25"/>
        <v>5.6462703806165498E-2</v>
      </c>
      <c r="R33" s="3">
        <f t="shared" si="25"/>
        <v>5.6459628088017348E-2</v>
      </c>
      <c r="S33" s="3">
        <f t="shared" si="25"/>
        <v>5.6428880120003577E-2</v>
      </c>
      <c r="T33" s="3">
        <f t="shared" si="25"/>
        <v>5.6122319932298478E-2</v>
      </c>
      <c r="U33" s="3">
        <f t="shared" ref="P33:AE48" si="27">$C33*EXP(-U$15/$A33)</f>
        <v>5.3146840690166799E-2</v>
      </c>
      <c r="V33" s="3">
        <f t="shared" si="27"/>
        <v>3.0824485143898493E-2</v>
      </c>
      <c r="W33" s="3">
        <f t="shared" si="27"/>
        <v>1.3276378182605302E-4</v>
      </c>
      <c r="X33" s="3">
        <f t="shared" si="27"/>
        <v>2.9168725313572609E-28</v>
      </c>
      <c r="Y33" s="3">
        <f t="shared" si="27"/>
        <v>7.6435622673537464E-265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4.7028232597017036E-2</v>
      </c>
      <c r="C34" s="18">
        <f t="shared" si="3"/>
        <v>5.9569205174430817E-2</v>
      </c>
      <c r="D34" s="17"/>
      <c r="F34" s="3">
        <f t="shared" ref="F34:O48" si="28">$C34*EXP(-F$15/$A34)</f>
        <v>5.9569205174430817E-2</v>
      </c>
      <c r="G34" s="3">
        <f t="shared" si="28"/>
        <v>5.9569205174430817E-2</v>
      </c>
      <c r="H34" s="3">
        <f t="shared" si="28"/>
        <v>5.9569205174430782E-2</v>
      </c>
      <c r="I34" s="3">
        <f t="shared" si="28"/>
        <v>5.9569205174430491E-2</v>
      </c>
      <c r="J34" s="3">
        <f t="shared" si="28"/>
        <v>5.9569205174427563E-2</v>
      </c>
      <c r="K34" s="3">
        <f t="shared" si="28"/>
        <v>5.9569205174398294E-2</v>
      </c>
      <c r="L34" s="3">
        <f t="shared" si="28"/>
        <v>5.9569205174105563E-2</v>
      </c>
      <c r="M34" s="3">
        <f t="shared" si="28"/>
        <v>5.956920517117828E-2</v>
      </c>
      <c r="N34" s="3">
        <f t="shared" si="28"/>
        <v>5.9569205141905418E-2</v>
      </c>
      <c r="O34" s="3">
        <f t="shared" si="28"/>
        <v>5.9569204849176868E-2</v>
      </c>
      <c r="P34" s="3">
        <f t="shared" si="27"/>
        <v>5.9569201921891406E-2</v>
      </c>
      <c r="Q34" s="3">
        <f t="shared" si="27"/>
        <v>5.9569172649044662E-2</v>
      </c>
      <c r="R34" s="3">
        <f t="shared" si="27"/>
        <v>5.9568879921368466E-2</v>
      </c>
      <c r="S34" s="3">
        <f t="shared" si="27"/>
        <v>5.9565952723722074E-2</v>
      </c>
      <c r="T34" s="3">
        <f t="shared" si="27"/>
        <v>5.9536688657382889E-2</v>
      </c>
      <c r="U34" s="3">
        <f t="shared" si="27"/>
        <v>5.9244837570116282E-2</v>
      </c>
      <c r="V34" s="3">
        <f t="shared" si="27"/>
        <v>5.6403867366756955E-2</v>
      </c>
      <c r="W34" s="3">
        <f t="shared" si="27"/>
        <v>3.4505837938606836E-2</v>
      </c>
      <c r="X34" s="3">
        <f t="shared" si="27"/>
        <v>2.5335503180242558E-4</v>
      </c>
      <c r="Y34" s="3">
        <f t="shared" si="27"/>
        <v>1.1537164698002071E-25</v>
      </c>
      <c r="Z34" s="3">
        <f t="shared" si="27"/>
        <v>4.4237917628147024E-239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5.1050307400140688E-2</v>
      </c>
      <c r="C35" s="18">
        <f t="shared" si="3"/>
        <v>6.4663842713273356E-2</v>
      </c>
      <c r="D35" s="17"/>
      <c r="F35" s="3">
        <f t="shared" si="28"/>
        <v>6.4663842713273356E-2</v>
      </c>
      <c r="G35" s="3">
        <f t="shared" si="28"/>
        <v>6.4663842713273356E-2</v>
      </c>
      <c r="H35" s="3">
        <f t="shared" si="28"/>
        <v>6.4663842713273356E-2</v>
      </c>
      <c r="I35" s="3">
        <f t="shared" si="28"/>
        <v>6.4663842713273328E-2</v>
      </c>
      <c r="J35" s="3">
        <f t="shared" si="28"/>
        <v>6.4663842713273037E-2</v>
      </c>
      <c r="K35" s="3">
        <f t="shared" si="28"/>
        <v>6.4663842713270164E-2</v>
      </c>
      <c r="L35" s="3">
        <f t="shared" si="28"/>
        <v>6.4663842713241507E-2</v>
      </c>
      <c r="M35" s="3">
        <f t="shared" si="28"/>
        <v>6.4663842712954861E-2</v>
      </c>
      <c r="N35" s="3">
        <f t="shared" si="28"/>
        <v>6.4663842710088362E-2</v>
      </c>
      <c r="O35" s="3">
        <f t="shared" si="28"/>
        <v>6.4663842681423389E-2</v>
      </c>
      <c r="P35" s="3">
        <f t="shared" si="27"/>
        <v>6.4663842394773768E-2</v>
      </c>
      <c r="Q35" s="3">
        <f t="shared" si="27"/>
        <v>6.4663839528277547E-2</v>
      </c>
      <c r="R35" s="3">
        <f t="shared" si="27"/>
        <v>6.4663810863322402E-2</v>
      </c>
      <c r="S35" s="3">
        <f t="shared" si="27"/>
        <v>6.4663524214469748E-2</v>
      </c>
      <c r="T35" s="3">
        <f t="shared" si="27"/>
        <v>6.4660657795830134E-2</v>
      </c>
      <c r="U35" s="3">
        <f t="shared" si="27"/>
        <v>6.4632000596981945E-2</v>
      </c>
      <c r="V35" s="3">
        <f t="shared" si="27"/>
        <v>6.4346126218574412E-2</v>
      </c>
      <c r="W35" s="3">
        <f t="shared" si="27"/>
        <v>6.155601267624794E-2</v>
      </c>
      <c r="X35" s="3">
        <f t="shared" si="27"/>
        <v>3.951402036134042E-2</v>
      </c>
      <c r="Y35" s="3">
        <f t="shared" si="27"/>
        <v>4.6941677801033357E-4</v>
      </c>
      <c r="Z35" s="3">
        <f t="shared" si="27"/>
        <v>2.6280431834624511E-23</v>
      </c>
      <c r="AA35" s="3">
        <f t="shared" si="27"/>
        <v>7.9500779519566491E-216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3.8327301502717126E-2</v>
      </c>
      <c r="C36" s="18">
        <f t="shared" si="3"/>
        <v>4.8548005334617741E-2</v>
      </c>
      <c r="D36" s="17"/>
      <c r="F36" s="3">
        <f t="shared" si="28"/>
        <v>4.8548005334617741E-2</v>
      </c>
      <c r="G36" s="3">
        <f t="shared" si="28"/>
        <v>4.8548005334617741E-2</v>
      </c>
      <c r="H36" s="3">
        <f t="shared" si="28"/>
        <v>4.8548005334617741E-2</v>
      </c>
      <c r="I36" s="3">
        <f t="shared" si="28"/>
        <v>4.8548005334617741E-2</v>
      </c>
      <c r="J36" s="3">
        <f t="shared" si="28"/>
        <v>4.8548005334617721E-2</v>
      </c>
      <c r="K36" s="3">
        <f t="shared" si="28"/>
        <v>4.8548005334617526E-2</v>
      </c>
      <c r="L36" s="3">
        <f t="shared" si="28"/>
        <v>4.8548005334615583E-2</v>
      </c>
      <c r="M36" s="3">
        <f t="shared" si="28"/>
        <v>4.8548005334596168E-2</v>
      </c>
      <c r="N36" s="3">
        <f t="shared" si="28"/>
        <v>4.8548005334402032E-2</v>
      </c>
      <c r="O36" s="3">
        <f t="shared" si="28"/>
        <v>4.8548005332460668E-2</v>
      </c>
      <c r="P36" s="3">
        <f t="shared" si="27"/>
        <v>4.8548005313046989E-2</v>
      </c>
      <c r="Q36" s="3">
        <f t="shared" si="27"/>
        <v>4.8548005118910192E-2</v>
      </c>
      <c r="R36" s="3">
        <f t="shared" si="27"/>
        <v>4.8548003177542286E-2</v>
      </c>
      <c r="S36" s="3">
        <f t="shared" si="27"/>
        <v>4.8547983763867479E-2</v>
      </c>
      <c r="T36" s="3">
        <f t="shared" si="27"/>
        <v>4.8547789627546356E-2</v>
      </c>
      <c r="U36" s="3">
        <f t="shared" si="27"/>
        <v>4.8545848307032388E-2</v>
      </c>
      <c r="V36" s="3">
        <f t="shared" si="27"/>
        <v>4.852643937098574E-2</v>
      </c>
      <c r="W36" s="3">
        <f t="shared" si="27"/>
        <v>4.8332776288849758E-2</v>
      </c>
      <c r="X36" s="3">
        <f t="shared" si="27"/>
        <v>4.6438149277523613E-2</v>
      </c>
      <c r="Y36" s="3">
        <f t="shared" si="27"/>
        <v>3.1131963577437659E-2</v>
      </c>
      <c r="Z36" s="3">
        <f t="shared" si="27"/>
        <v>5.708508050590262E-4</v>
      </c>
      <c r="AA36" s="3">
        <f t="shared" si="27"/>
        <v>2.4529215559658634E-21</v>
      </c>
      <c r="AB36" s="3">
        <f t="shared" si="27"/>
        <v>5.2637357499090849E-195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3.0520597026525296E-2</v>
      </c>
      <c r="C37" s="18">
        <f t="shared" si="3"/>
        <v>3.8659494646510029E-2</v>
      </c>
      <c r="D37" s="17"/>
      <c r="F37" s="3">
        <f t="shared" si="28"/>
        <v>3.8659494646510029E-2</v>
      </c>
      <c r="G37" s="3">
        <f t="shared" si="28"/>
        <v>3.8659494646510029E-2</v>
      </c>
      <c r="H37" s="3">
        <f t="shared" si="28"/>
        <v>3.8659494646510029E-2</v>
      </c>
      <c r="I37" s="3">
        <f t="shared" si="28"/>
        <v>3.8659494646510029E-2</v>
      </c>
      <c r="J37" s="3">
        <f t="shared" si="28"/>
        <v>3.8659494646510029E-2</v>
      </c>
      <c r="K37" s="3">
        <f t="shared" si="28"/>
        <v>3.8659494646510015E-2</v>
      </c>
      <c r="L37" s="3">
        <f t="shared" si="28"/>
        <v>3.8659494646509876E-2</v>
      </c>
      <c r="M37" s="3">
        <f t="shared" si="28"/>
        <v>3.8659494646508481E-2</v>
      </c>
      <c r="N37" s="3">
        <f t="shared" si="28"/>
        <v>3.8659494646494534E-2</v>
      </c>
      <c r="O37" s="3">
        <f t="shared" si="28"/>
        <v>3.8659494646355076E-2</v>
      </c>
      <c r="P37" s="3">
        <f t="shared" si="27"/>
        <v>3.8659494644960511E-2</v>
      </c>
      <c r="Q37" s="3">
        <f t="shared" si="27"/>
        <v>3.8659494631014847E-2</v>
      </c>
      <c r="R37" s="3">
        <f t="shared" si="27"/>
        <v>3.86594944915582E-2</v>
      </c>
      <c r="S37" s="3">
        <f t="shared" si="27"/>
        <v>3.8659493096991723E-2</v>
      </c>
      <c r="T37" s="3">
        <f t="shared" si="27"/>
        <v>3.8659479151329765E-2</v>
      </c>
      <c r="U37" s="3">
        <f t="shared" si="27"/>
        <v>3.8659339694986888E-2</v>
      </c>
      <c r="V37" s="3">
        <f t="shared" si="27"/>
        <v>3.8657945159226145E-2</v>
      </c>
      <c r="W37" s="3">
        <f t="shared" si="27"/>
        <v>3.8644002568054378E-2</v>
      </c>
      <c r="X37" s="3">
        <f t="shared" si="27"/>
        <v>3.8504852931019851E-2</v>
      </c>
      <c r="Y37" s="3">
        <f t="shared" si="27"/>
        <v>3.7140618815202829E-2</v>
      </c>
      <c r="Z37" s="3">
        <f t="shared" si="27"/>
        <v>2.5893204433135641E-2</v>
      </c>
      <c r="AA37" s="3">
        <f t="shared" si="27"/>
        <v>7.0234815837988374E-4</v>
      </c>
      <c r="AB37" s="3">
        <f t="shared" si="27"/>
        <v>1.5143244204320749E-19</v>
      </c>
      <c r="AC37" s="3">
        <f t="shared" si="27"/>
        <v>3.2876358351338093E-176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5.2187080180053679E-3</v>
      </c>
      <c r="C38" s="18">
        <f t="shared" si="3"/>
        <v>6.6103757573429938E-3</v>
      </c>
      <c r="D38" s="17"/>
      <c r="F38" s="3">
        <f t="shared" si="28"/>
        <v>6.6103757573429938E-3</v>
      </c>
      <c r="G38" s="3">
        <f t="shared" si="28"/>
        <v>6.6103757573429938E-3</v>
      </c>
      <c r="H38" s="3">
        <f t="shared" si="28"/>
        <v>6.6103757573429938E-3</v>
      </c>
      <c r="I38" s="3">
        <f t="shared" si="28"/>
        <v>6.6103757573429938E-3</v>
      </c>
      <c r="J38" s="3">
        <f t="shared" si="28"/>
        <v>6.6103757573429938E-3</v>
      </c>
      <c r="K38" s="3">
        <f t="shared" si="28"/>
        <v>6.6103757573429938E-3</v>
      </c>
      <c r="L38" s="3">
        <f t="shared" si="28"/>
        <v>6.6103757573429912E-3</v>
      </c>
      <c r="M38" s="3">
        <f t="shared" si="28"/>
        <v>6.6103757573429695E-3</v>
      </c>
      <c r="N38" s="3">
        <f t="shared" si="28"/>
        <v>6.6103757573427544E-3</v>
      </c>
      <c r="O38" s="3">
        <f t="shared" si="28"/>
        <v>6.6103757573406034E-3</v>
      </c>
      <c r="P38" s="3">
        <f t="shared" si="27"/>
        <v>6.6103757573190928E-3</v>
      </c>
      <c r="Q38" s="3">
        <f t="shared" si="27"/>
        <v>6.6103757571039853E-3</v>
      </c>
      <c r="R38" s="3">
        <f t="shared" si="27"/>
        <v>6.6103757549529091E-3</v>
      </c>
      <c r="S38" s="3">
        <f t="shared" si="27"/>
        <v>6.6103757334421472E-3</v>
      </c>
      <c r="T38" s="3">
        <f t="shared" si="27"/>
        <v>6.6103755183345315E-3</v>
      </c>
      <c r="U38" s="3">
        <f t="shared" si="27"/>
        <v>6.6103733672587617E-3</v>
      </c>
      <c r="V38" s="3">
        <f t="shared" si="27"/>
        <v>6.6103518565395611E-3</v>
      </c>
      <c r="W38" s="3">
        <f t="shared" si="27"/>
        <v>6.6101367531973907E-3</v>
      </c>
      <c r="X38" s="3">
        <f t="shared" si="27"/>
        <v>6.6079861047130184E-3</v>
      </c>
      <c r="Y38" s="3">
        <f t="shared" si="27"/>
        <v>6.5865180672959982E-3</v>
      </c>
      <c r="Z38" s="3">
        <f t="shared" si="27"/>
        <v>6.3756365447401294E-3</v>
      </c>
      <c r="AA38" s="3">
        <f t="shared" si="27"/>
        <v>4.6046877962796053E-3</v>
      </c>
      <c r="AB38" s="3">
        <f t="shared" si="27"/>
        <v>1.7781425510829307E-4</v>
      </c>
      <c r="AC38" s="3">
        <f t="shared" si="27"/>
        <v>1.3110837194177666E-18</v>
      </c>
      <c r="AD38" s="3">
        <f t="shared" si="27"/>
        <v>6.2268574227635305E-160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1.3344759333857779E-2</v>
      </c>
      <c r="C39" s="18">
        <f t="shared" si="3"/>
        <v>1.6903393193058183E-2</v>
      </c>
      <c r="D39" s="17"/>
      <c r="F39" s="3">
        <f t="shared" si="28"/>
        <v>1.6903393193058183E-2</v>
      </c>
      <c r="G39" s="3">
        <f t="shared" si="28"/>
        <v>1.6903393193058183E-2</v>
      </c>
      <c r="H39" s="3">
        <f t="shared" si="28"/>
        <v>1.6903393193058183E-2</v>
      </c>
      <c r="I39" s="3">
        <f t="shared" si="28"/>
        <v>1.6903393193058183E-2</v>
      </c>
      <c r="J39" s="3">
        <f t="shared" si="28"/>
        <v>1.6903393193058183E-2</v>
      </c>
      <c r="K39" s="3">
        <f t="shared" si="28"/>
        <v>1.6903393193058183E-2</v>
      </c>
      <c r="L39" s="3">
        <f t="shared" si="28"/>
        <v>1.690339319305818E-2</v>
      </c>
      <c r="M39" s="3">
        <f t="shared" si="28"/>
        <v>1.6903393193058166E-2</v>
      </c>
      <c r="N39" s="3">
        <f t="shared" si="28"/>
        <v>1.6903393193058013E-2</v>
      </c>
      <c r="O39" s="3">
        <f t="shared" si="28"/>
        <v>1.6903393193056494E-2</v>
      </c>
      <c r="P39" s="3">
        <f t="shared" si="27"/>
        <v>1.690339319304128E-2</v>
      </c>
      <c r="Q39" s="3">
        <f t="shared" si="27"/>
        <v>1.6903393192889148E-2</v>
      </c>
      <c r="R39" s="3">
        <f t="shared" si="27"/>
        <v>1.6903393191367844E-2</v>
      </c>
      <c r="S39" s="3">
        <f t="shared" si="27"/>
        <v>1.6903393176154791E-2</v>
      </c>
      <c r="T39" s="3">
        <f t="shared" si="27"/>
        <v>1.6903393024024254E-2</v>
      </c>
      <c r="U39" s="3">
        <f t="shared" si="27"/>
        <v>1.690339150271895E-2</v>
      </c>
      <c r="V39" s="3">
        <f t="shared" si="27"/>
        <v>1.6903376289673443E-2</v>
      </c>
      <c r="W39" s="3">
        <f t="shared" si="27"/>
        <v>1.6903224159971419E-2</v>
      </c>
      <c r="X39" s="3">
        <f t="shared" si="27"/>
        <v>1.6901702938253025E-2</v>
      </c>
      <c r="Y39" s="3">
        <f t="shared" si="27"/>
        <v>1.6886498248745194E-2</v>
      </c>
      <c r="Z39" s="3">
        <f t="shared" si="27"/>
        <v>1.6735201620584075E-2</v>
      </c>
      <c r="AA39" s="3">
        <f t="shared" si="27"/>
        <v>1.529482265285338E-2</v>
      </c>
      <c r="AB39" s="3">
        <f t="shared" si="27"/>
        <v>6.218410841763407E-3</v>
      </c>
      <c r="AC39" s="3">
        <f t="shared" si="27"/>
        <v>7.6741286371250614E-7</v>
      </c>
      <c r="AD39" s="3">
        <f t="shared" si="27"/>
        <v>6.2881906930729876E-46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1.5639568018508375E-3</v>
      </c>
      <c r="C40" s="18">
        <f t="shared" si="3"/>
        <v>1.9810156254800116E-3</v>
      </c>
      <c r="D40" s="17"/>
      <c r="F40" s="3">
        <f t="shared" si="28"/>
        <v>1.9810156254800116E-3</v>
      </c>
      <c r="G40" s="3">
        <f t="shared" si="28"/>
        <v>1.9810156254800116E-3</v>
      </c>
      <c r="H40" s="3">
        <f t="shared" si="28"/>
        <v>1.9810156254800116E-3</v>
      </c>
      <c r="I40" s="3">
        <f t="shared" si="28"/>
        <v>1.9810156254800116E-3</v>
      </c>
      <c r="J40" s="3">
        <f t="shared" si="28"/>
        <v>1.9810156254800116E-3</v>
      </c>
      <c r="K40" s="3">
        <f t="shared" si="28"/>
        <v>1.9810156254800116E-3</v>
      </c>
      <c r="L40" s="3">
        <f t="shared" si="28"/>
        <v>1.9810156254800116E-3</v>
      </c>
      <c r="M40" s="3">
        <f t="shared" si="28"/>
        <v>1.9810156254800111E-3</v>
      </c>
      <c r="N40" s="3">
        <f t="shared" si="28"/>
        <v>1.9810156254800094E-3</v>
      </c>
      <c r="O40" s="3">
        <f t="shared" si="28"/>
        <v>1.9810156254799916E-3</v>
      </c>
      <c r="P40" s="3">
        <f t="shared" si="27"/>
        <v>1.9810156254798134E-3</v>
      </c>
      <c r="Q40" s="3">
        <f t="shared" si="27"/>
        <v>1.9810156254780305E-3</v>
      </c>
      <c r="R40" s="3">
        <f t="shared" si="27"/>
        <v>1.9810156254602015E-3</v>
      </c>
      <c r="S40" s="3">
        <f t="shared" si="27"/>
        <v>1.98101562528191E-3</v>
      </c>
      <c r="T40" s="3">
        <f t="shared" si="27"/>
        <v>1.981015623498996E-3</v>
      </c>
      <c r="U40" s="3">
        <f t="shared" si="27"/>
        <v>1.9810156056698554E-3</v>
      </c>
      <c r="V40" s="3">
        <f t="shared" si="27"/>
        <v>1.981015427378459E-3</v>
      </c>
      <c r="W40" s="3">
        <f t="shared" si="27"/>
        <v>1.9810136444653767E-3</v>
      </c>
      <c r="X40" s="3">
        <f t="shared" si="27"/>
        <v>1.9809958154228071E-3</v>
      </c>
      <c r="Y40" s="3">
        <f t="shared" si="27"/>
        <v>1.9808175338222114E-3</v>
      </c>
      <c r="Z40" s="3">
        <f t="shared" si="27"/>
        <v>1.9790356000322575E-3</v>
      </c>
      <c r="AA40" s="3">
        <f t="shared" si="27"/>
        <v>1.9613041906609897E-3</v>
      </c>
      <c r="AB40" s="3">
        <f t="shared" si="27"/>
        <v>1.792497063648225E-3</v>
      </c>
      <c r="AC40" s="3">
        <f t="shared" si="27"/>
        <v>7.2877492125348199E-4</v>
      </c>
      <c r="AD40" s="3">
        <f t="shared" si="27"/>
        <v>8.9937970255177521E-8</v>
      </c>
      <c r="AE40" s="3">
        <f t="shared" si="27"/>
        <v>7.3695286364700816E-47</v>
      </c>
      <c r="AF40" s="3">
        <f t="shared" si="29"/>
        <v>0</v>
      </c>
      <c r="AG40" s="3">
        <f t="shared" si="29"/>
        <v>0</v>
      </c>
      <c r="AH40" s="3">
        <f t="shared" si="29"/>
        <v>0</v>
      </c>
      <c r="AI40" s="3">
        <f t="shared" si="29"/>
        <v>0</v>
      </c>
      <c r="AJ40" s="3">
        <f t="shared" si="29"/>
        <v>0</v>
      </c>
    </row>
    <row r="41" spans="1:36" x14ac:dyDescent="0.25">
      <c r="A41" s="3">
        <f t="shared" si="30"/>
        <v>1000000000</v>
      </c>
      <c r="B41" s="106">
        <v>3.9311886493848249E-3</v>
      </c>
      <c r="C41" s="18">
        <f t="shared" si="3"/>
        <v>4.9795148637895425E-3</v>
      </c>
      <c r="D41" s="17"/>
      <c r="F41" s="3">
        <f t="shared" si="28"/>
        <v>4.9795148637895425E-3</v>
      </c>
      <c r="G41" s="3">
        <f t="shared" si="28"/>
        <v>4.9795148637895425E-3</v>
      </c>
      <c r="H41" s="3">
        <f t="shared" si="28"/>
        <v>4.9795148637895425E-3</v>
      </c>
      <c r="I41" s="3">
        <f t="shared" si="28"/>
        <v>4.9795148637895425E-3</v>
      </c>
      <c r="J41" s="3">
        <f t="shared" si="28"/>
        <v>4.9795148637895425E-3</v>
      </c>
      <c r="K41" s="3">
        <f t="shared" si="28"/>
        <v>4.9795148637895425E-3</v>
      </c>
      <c r="L41" s="3">
        <f t="shared" si="28"/>
        <v>4.9795148637895425E-3</v>
      </c>
      <c r="M41" s="3">
        <f t="shared" si="28"/>
        <v>4.9795148637895425E-3</v>
      </c>
      <c r="N41" s="3">
        <f t="shared" si="28"/>
        <v>4.9795148637895416E-3</v>
      </c>
      <c r="O41" s="3">
        <f t="shared" si="28"/>
        <v>4.9795148637895373E-3</v>
      </c>
      <c r="P41" s="3">
        <f t="shared" si="27"/>
        <v>4.979514863789493E-3</v>
      </c>
      <c r="Q41" s="3">
        <f t="shared" si="27"/>
        <v>4.9795148637890446E-3</v>
      </c>
      <c r="R41" s="3">
        <f t="shared" si="27"/>
        <v>4.979514863784563E-3</v>
      </c>
      <c r="S41" s="3">
        <f t="shared" si="27"/>
        <v>4.9795148637397472E-3</v>
      </c>
      <c r="T41" s="3">
        <f t="shared" si="27"/>
        <v>4.979514863291591E-3</v>
      </c>
      <c r="U41" s="3">
        <f t="shared" si="27"/>
        <v>4.9795148588100274E-3</v>
      </c>
      <c r="V41" s="3">
        <f t="shared" si="27"/>
        <v>4.9795148139943944E-3</v>
      </c>
      <c r="W41" s="3">
        <f t="shared" si="27"/>
        <v>4.9795143658380812E-3</v>
      </c>
      <c r="X41" s="3">
        <f t="shared" si="27"/>
        <v>4.9795098842771689E-3</v>
      </c>
      <c r="Y41" s="3">
        <f t="shared" si="27"/>
        <v>4.9794650688898797E-3</v>
      </c>
      <c r="Z41" s="3">
        <f t="shared" si="27"/>
        <v>4.9790169371999081E-3</v>
      </c>
      <c r="AA41" s="3">
        <f t="shared" si="27"/>
        <v>4.9745378378534735E-3</v>
      </c>
      <c r="AB41" s="3">
        <f t="shared" si="27"/>
        <v>4.9299678630463483E-3</v>
      </c>
      <c r="AC41" s="3">
        <f t="shared" si="27"/>
        <v>4.505651372423012E-3</v>
      </c>
      <c r="AD41" s="3">
        <f t="shared" si="27"/>
        <v>1.8318611453957876E-3</v>
      </c>
      <c r="AE41" s="3">
        <f t="shared" si="27"/>
        <v>2.2606962506729457E-7</v>
      </c>
      <c r="AF41" s="3">
        <f t="shared" si="29"/>
        <v>1.8524173617022144E-46</v>
      </c>
      <c r="AG41" s="3">
        <f t="shared" si="29"/>
        <v>0</v>
      </c>
      <c r="AH41" s="3">
        <f t="shared" si="29"/>
        <v>0</v>
      </c>
      <c r="AI41" s="3">
        <f t="shared" si="29"/>
        <v>0</v>
      </c>
      <c r="AJ41" s="3">
        <f t="shared" si="29"/>
        <v>0</v>
      </c>
    </row>
    <row r="42" spans="1:36" x14ac:dyDescent="0.25">
      <c r="A42" s="3">
        <f t="shared" si="30"/>
        <v>10000000000</v>
      </c>
      <c r="B42" s="106">
        <v>1.2003054635560061E-3</v>
      </c>
      <c r="C42" s="18">
        <f t="shared" si="3"/>
        <v>1.5203897421204233E-3</v>
      </c>
      <c r="D42" s="17"/>
      <c r="F42" s="3">
        <f t="shared" si="28"/>
        <v>1.5203897421204233E-3</v>
      </c>
      <c r="G42" s="3">
        <f t="shared" si="28"/>
        <v>1.5203897421204233E-3</v>
      </c>
      <c r="H42" s="3">
        <f t="shared" si="28"/>
        <v>1.5203897421204233E-3</v>
      </c>
      <c r="I42" s="3">
        <f t="shared" si="28"/>
        <v>1.5203897421204233E-3</v>
      </c>
      <c r="J42" s="3">
        <f t="shared" si="28"/>
        <v>1.5203897421204233E-3</v>
      </c>
      <c r="K42" s="3">
        <f t="shared" si="28"/>
        <v>1.5203897421204233E-3</v>
      </c>
      <c r="L42" s="3">
        <f t="shared" si="28"/>
        <v>1.5203897421204233E-3</v>
      </c>
      <c r="M42" s="3">
        <f t="shared" si="28"/>
        <v>1.5203897421204233E-3</v>
      </c>
      <c r="N42" s="3">
        <f t="shared" si="28"/>
        <v>1.5203897421204233E-3</v>
      </c>
      <c r="O42" s="3">
        <f t="shared" si="28"/>
        <v>1.5203897421204231E-3</v>
      </c>
      <c r="P42" s="3">
        <f t="shared" si="27"/>
        <v>1.5203897421204218E-3</v>
      </c>
      <c r="Q42" s="3">
        <f t="shared" si="27"/>
        <v>1.5203897421204081E-3</v>
      </c>
      <c r="R42" s="3">
        <f t="shared" si="27"/>
        <v>1.5203897421202713E-3</v>
      </c>
      <c r="S42" s="3">
        <f t="shared" si="27"/>
        <v>1.520389742118903E-3</v>
      </c>
      <c r="T42" s="3">
        <f t="shared" si="27"/>
        <v>1.5203897421052193E-3</v>
      </c>
      <c r="U42" s="3">
        <f t="shared" si="27"/>
        <v>1.5203897419683843E-3</v>
      </c>
      <c r="V42" s="3">
        <f t="shared" si="27"/>
        <v>1.5203897406000336E-3</v>
      </c>
      <c r="W42" s="3">
        <f t="shared" si="27"/>
        <v>1.5203897269165259E-3</v>
      </c>
      <c r="X42" s="3">
        <f t="shared" si="27"/>
        <v>1.5203895900814568E-3</v>
      </c>
      <c r="Y42" s="3">
        <f t="shared" si="27"/>
        <v>1.5203882217314415E-3</v>
      </c>
      <c r="Z42" s="3">
        <f t="shared" si="27"/>
        <v>1.5203745382990214E-3</v>
      </c>
      <c r="AA42" s="3">
        <f t="shared" si="27"/>
        <v>1.5202377107479065E-3</v>
      </c>
      <c r="AB42" s="3">
        <f t="shared" si="27"/>
        <v>1.518870112319839E-3</v>
      </c>
      <c r="AC42" s="3">
        <f t="shared" si="27"/>
        <v>1.5052616114202657E-3</v>
      </c>
      <c r="AD42" s="3">
        <f t="shared" si="27"/>
        <v>1.3757055286686022E-3</v>
      </c>
      <c r="AE42" s="3">
        <f t="shared" si="27"/>
        <v>5.5932012869405463E-4</v>
      </c>
      <c r="AF42" s="3">
        <f t="shared" si="29"/>
        <v>6.9025587503869681E-8</v>
      </c>
      <c r="AG42" s="3">
        <f t="shared" si="29"/>
        <v>5.6559653538507009E-47</v>
      </c>
      <c r="AH42" s="3">
        <f t="shared" si="29"/>
        <v>0</v>
      </c>
      <c r="AI42" s="3">
        <f t="shared" si="29"/>
        <v>0</v>
      </c>
      <c r="AJ42" s="3">
        <f t="shared" si="29"/>
        <v>0</v>
      </c>
    </row>
    <row r="43" spans="1:36" x14ac:dyDescent="0.25">
      <c r="A43" s="3">
        <f t="shared" si="30"/>
        <v>100000000000</v>
      </c>
      <c r="B43" s="106">
        <v>2.5695237302058709E-4</v>
      </c>
      <c r="C43" s="18">
        <f t="shared" si="3"/>
        <v>3.2547360985645695E-4</v>
      </c>
      <c r="D43" s="17"/>
      <c r="F43" s="3">
        <f t="shared" si="28"/>
        <v>3.2547360985645695E-4</v>
      </c>
      <c r="G43" s="3">
        <f t="shared" si="28"/>
        <v>3.2547360985645695E-4</v>
      </c>
      <c r="H43" s="3">
        <f t="shared" si="28"/>
        <v>3.2547360985645695E-4</v>
      </c>
      <c r="I43" s="3">
        <f t="shared" si="28"/>
        <v>3.2547360985645695E-4</v>
      </c>
      <c r="J43" s="3">
        <f t="shared" si="28"/>
        <v>3.2547360985645695E-4</v>
      </c>
      <c r="K43" s="3">
        <f t="shared" si="28"/>
        <v>3.2547360985645695E-4</v>
      </c>
      <c r="L43" s="3">
        <f t="shared" si="28"/>
        <v>3.2547360985645695E-4</v>
      </c>
      <c r="M43" s="3">
        <f t="shared" si="28"/>
        <v>3.2547360985645695E-4</v>
      </c>
      <c r="N43" s="3">
        <f t="shared" si="28"/>
        <v>3.2547360985645695E-4</v>
      </c>
      <c r="O43" s="3">
        <f t="shared" si="28"/>
        <v>3.2547360985645695E-4</v>
      </c>
      <c r="P43" s="3">
        <f t="shared" si="27"/>
        <v>3.254736098564569E-4</v>
      </c>
      <c r="Q43" s="3">
        <f t="shared" si="27"/>
        <v>3.2547360985645663E-4</v>
      </c>
      <c r="R43" s="3">
        <f t="shared" si="27"/>
        <v>3.254736098564537E-4</v>
      </c>
      <c r="S43" s="3">
        <f t="shared" si="27"/>
        <v>3.2547360985642437E-4</v>
      </c>
      <c r="T43" s="3">
        <f t="shared" si="27"/>
        <v>3.2547360985613148E-4</v>
      </c>
      <c r="U43" s="3">
        <f t="shared" si="27"/>
        <v>3.2547360985320223E-4</v>
      </c>
      <c r="V43" s="3">
        <f t="shared" si="27"/>
        <v>3.2547360982390958E-4</v>
      </c>
      <c r="W43" s="3">
        <f t="shared" si="27"/>
        <v>3.2547360953098336E-4</v>
      </c>
      <c r="X43" s="3">
        <f t="shared" si="27"/>
        <v>3.254736066017209E-4</v>
      </c>
      <c r="Y43" s="3">
        <f t="shared" si="27"/>
        <v>3.2547357730909761E-4</v>
      </c>
      <c r="Z43" s="3">
        <f t="shared" si="27"/>
        <v>3.2547328438300982E-4</v>
      </c>
      <c r="AA43" s="3">
        <f t="shared" si="27"/>
        <v>3.2547035513663203E-4</v>
      </c>
      <c r="AB43" s="3">
        <f t="shared" si="27"/>
        <v>3.2544106412278509E-4</v>
      </c>
      <c r="AC43" s="3">
        <f t="shared" si="27"/>
        <v>3.2514829892917339E-4</v>
      </c>
      <c r="AD43" s="3">
        <f t="shared" si="27"/>
        <v>3.2223509332812678E-4</v>
      </c>
      <c r="AE43" s="3">
        <f t="shared" si="27"/>
        <v>2.9450070078135976E-4</v>
      </c>
      <c r="AF43" s="3">
        <f t="shared" si="29"/>
        <v>1.1973504971004542E-4</v>
      </c>
      <c r="AG43" s="3">
        <f t="shared" si="29"/>
        <v>1.4776479027025544E-8</v>
      </c>
      <c r="AH43" s="3">
        <f t="shared" si="29"/>
        <v>1.2107865568557839E-47</v>
      </c>
      <c r="AI43" s="3">
        <f t="shared" si="29"/>
        <v>0</v>
      </c>
      <c r="AJ43" s="3">
        <f t="shared" si="29"/>
        <v>0</v>
      </c>
    </row>
    <row r="44" spans="1:36" x14ac:dyDescent="0.25">
      <c r="A44" s="3">
        <f t="shared" si="30"/>
        <v>1000000000000</v>
      </c>
      <c r="B44" s="106">
        <v>2.6571864371130521E-3</v>
      </c>
      <c r="C44" s="18">
        <f t="shared" si="3"/>
        <v>3.3657757333866336E-3</v>
      </c>
      <c r="D44" s="17"/>
      <c r="F44" s="3">
        <f t="shared" si="28"/>
        <v>3.3657757333866336E-3</v>
      </c>
      <c r="G44" s="3">
        <f t="shared" si="28"/>
        <v>3.3657757333866336E-3</v>
      </c>
      <c r="H44" s="3">
        <f t="shared" si="28"/>
        <v>3.3657757333866336E-3</v>
      </c>
      <c r="I44" s="3">
        <f t="shared" si="28"/>
        <v>3.3657757333866336E-3</v>
      </c>
      <c r="J44" s="3">
        <f t="shared" si="28"/>
        <v>3.3657757333866336E-3</v>
      </c>
      <c r="K44" s="3">
        <f t="shared" si="28"/>
        <v>3.3657757333866336E-3</v>
      </c>
      <c r="L44" s="3">
        <f t="shared" si="28"/>
        <v>3.3657757333866336E-3</v>
      </c>
      <c r="M44" s="3">
        <f t="shared" si="28"/>
        <v>3.3657757333866336E-3</v>
      </c>
      <c r="N44" s="3">
        <f t="shared" si="28"/>
        <v>3.3657757333866336E-3</v>
      </c>
      <c r="O44" s="3">
        <f t="shared" si="28"/>
        <v>3.3657757333866336E-3</v>
      </c>
      <c r="P44" s="3">
        <f t="shared" si="27"/>
        <v>3.3657757333866336E-3</v>
      </c>
      <c r="Q44" s="3">
        <f t="shared" si="27"/>
        <v>3.3657757333866332E-3</v>
      </c>
      <c r="R44" s="3">
        <f t="shared" si="27"/>
        <v>3.3657757333866302E-3</v>
      </c>
      <c r="S44" s="3">
        <f t="shared" si="27"/>
        <v>3.3657757333865998E-3</v>
      </c>
      <c r="T44" s="3">
        <f t="shared" si="27"/>
        <v>3.3657757333862971E-3</v>
      </c>
      <c r="U44" s="3">
        <f t="shared" si="27"/>
        <v>3.3657757333832678E-3</v>
      </c>
      <c r="V44" s="3">
        <f t="shared" si="27"/>
        <v>3.3657757333529757E-3</v>
      </c>
      <c r="W44" s="3">
        <f t="shared" si="27"/>
        <v>3.3657757330500561E-3</v>
      </c>
      <c r="X44" s="3">
        <f t="shared" si="27"/>
        <v>3.3657757300208581E-3</v>
      </c>
      <c r="Y44" s="3">
        <f t="shared" si="27"/>
        <v>3.3657756997288765E-3</v>
      </c>
      <c r="Z44" s="3">
        <f t="shared" si="27"/>
        <v>3.3657753968090775E-3</v>
      </c>
      <c r="AA44" s="3">
        <f t="shared" si="27"/>
        <v>3.3657723676125831E-3</v>
      </c>
      <c r="AB44" s="3">
        <f t="shared" si="27"/>
        <v>3.365742075797588E-3</v>
      </c>
      <c r="AC44" s="3">
        <f t="shared" si="27"/>
        <v>3.3654391726416128E-3</v>
      </c>
      <c r="AD44" s="3">
        <f t="shared" si="27"/>
        <v>3.3624116399802915E-3</v>
      </c>
      <c r="AE44" s="3">
        <f t="shared" si="27"/>
        <v>3.332285705276421E-3</v>
      </c>
      <c r="AF44" s="3">
        <f t="shared" si="29"/>
        <v>3.0454798242856495E-3</v>
      </c>
      <c r="AG44" s="3">
        <f t="shared" si="29"/>
        <v>1.2381996959066762E-3</v>
      </c>
      <c r="AH44" s="3">
        <f t="shared" si="29"/>
        <v>1.5280598189202912E-7</v>
      </c>
      <c r="AI44" s="3">
        <f t="shared" si="29"/>
        <v>1.2520941446445526E-46</v>
      </c>
      <c r="AJ44" s="3">
        <f t="shared" si="29"/>
        <v>0</v>
      </c>
    </row>
    <row r="45" spans="1:36" x14ac:dyDescent="0.25">
      <c r="A45" s="3">
        <f t="shared" si="30"/>
        <v>10000000000000</v>
      </c>
      <c r="B45" s="106">
        <v>5.6745590193350609E-4</v>
      </c>
      <c r="C45" s="18">
        <f t="shared" si="3"/>
        <v>7.1877880972849508E-4</v>
      </c>
      <c r="D45" s="17"/>
      <c r="F45" s="3">
        <f t="shared" si="28"/>
        <v>7.1877880972849508E-4</v>
      </c>
      <c r="G45" s="3">
        <f t="shared" si="28"/>
        <v>7.1877880972849508E-4</v>
      </c>
      <c r="H45" s="3">
        <f t="shared" si="28"/>
        <v>7.1877880972849508E-4</v>
      </c>
      <c r="I45" s="3">
        <f t="shared" si="28"/>
        <v>7.1877880972849508E-4</v>
      </c>
      <c r="J45" s="3">
        <f t="shared" si="28"/>
        <v>7.1877880972849508E-4</v>
      </c>
      <c r="K45" s="3">
        <f t="shared" si="28"/>
        <v>7.1877880972849508E-4</v>
      </c>
      <c r="L45" s="3">
        <f t="shared" si="28"/>
        <v>7.1877880972849508E-4</v>
      </c>
      <c r="M45" s="3">
        <f t="shared" si="28"/>
        <v>7.1877880972849508E-4</v>
      </c>
      <c r="N45" s="3">
        <f t="shared" si="28"/>
        <v>7.1877880972849508E-4</v>
      </c>
      <c r="O45" s="3">
        <f t="shared" si="28"/>
        <v>7.1877880972849508E-4</v>
      </c>
      <c r="P45" s="3">
        <f t="shared" si="27"/>
        <v>7.1877880972849508E-4</v>
      </c>
      <c r="Q45" s="3">
        <f t="shared" si="27"/>
        <v>7.1877880972849508E-4</v>
      </c>
      <c r="R45" s="3">
        <f t="shared" si="27"/>
        <v>7.1877880972849497E-4</v>
      </c>
      <c r="S45" s="3">
        <f t="shared" si="27"/>
        <v>7.1877880972849432E-4</v>
      </c>
      <c r="T45" s="3">
        <f t="shared" si="27"/>
        <v>7.1877880972848792E-4</v>
      </c>
      <c r="U45" s="3">
        <f t="shared" si="27"/>
        <v>7.187788097284232E-4</v>
      </c>
      <c r="V45" s="3">
        <f t="shared" si="27"/>
        <v>7.1877880972777636E-4</v>
      </c>
      <c r="W45" s="3">
        <f t="shared" si="27"/>
        <v>7.1877880972130725E-4</v>
      </c>
      <c r="X45" s="3">
        <f t="shared" si="27"/>
        <v>7.1877880965661725E-4</v>
      </c>
      <c r="Y45" s="3">
        <f t="shared" si="27"/>
        <v>7.1877880900971631E-4</v>
      </c>
      <c r="Z45" s="3">
        <f t="shared" si="27"/>
        <v>7.1877880254070706E-4</v>
      </c>
      <c r="AA45" s="3">
        <f t="shared" si="27"/>
        <v>7.1877873785061773E-4</v>
      </c>
      <c r="AB45" s="3">
        <f t="shared" si="27"/>
        <v>7.187780909500448E-4</v>
      </c>
      <c r="AC45" s="3">
        <f t="shared" si="27"/>
        <v>7.1877162197633664E-4</v>
      </c>
      <c r="AD45" s="3">
        <f t="shared" si="27"/>
        <v>7.1870693544129653E-4</v>
      </c>
      <c r="AE45" s="3">
        <f t="shared" si="27"/>
        <v>7.1806039018840499E-4</v>
      </c>
      <c r="AF45" s="3">
        <f t="shared" si="29"/>
        <v>7.1162684107412152E-4</v>
      </c>
      <c r="AG45" s="3">
        <f t="shared" si="29"/>
        <v>6.5037796233369174E-4</v>
      </c>
      <c r="AH45" s="3">
        <f t="shared" si="29"/>
        <v>2.6442394684879323E-4</v>
      </c>
      <c r="AI45" s="3">
        <f t="shared" si="29"/>
        <v>3.2632507476436144E-8</v>
      </c>
      <c r="AJ45" s="3">
        <f t="shared" si="29"/>
        <v>2.673911782143826E-47</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5.3821554647239594E-3</v>
      </c>
      <c r="C48" s="18">
        <f t="shared" si="3"/>
        <v>6.8174095740770341E-3</v>
      </c>
      <c r="D48" s="17"/>
      <c r="F48" s="3">
        <f t="shared" si="28"/>
        <v>6.8174095740770341E-3</v>
      </c>
      <c r="G48" s="3">
        <f t="shared" si="28"/>
        <v>6.8174095740770341E-3</v>
      </c>
      <c r="H48" s="3">
        <f t="shared" si="28"/>
        <v>6.8174095740770341E-3</v>
      </c>
      <c r="I48" s="3">
        <f t="shared" si="28"/>
        <v>6.8174095740770341E-3</v>
      </c>
      <c r="J48" s="3">
        <f t="shared" si="28"/>
        <v>6.8174095740770341E-3</v>
      </c>
      <c r="K48" s="3">
        <f t="shared" si="28"/>
        <v>6.8174095740770341E-3</v>
      </c>
      <c r="L48" s="3">
        <f t="shared" si="28"/>
        <v>6.8174095740770341E-3</v>
      </c>
      <c r="M48" s="3">
        <f t="shared" si="28"/>
        <v>6.8174095740770341E-3</v>
      </c>
      <c r="N48" s="3">
        <f t="shared" si="28"/>
        <v>6.8174095740770341E-3</v>
      </c>
      <c r="O48" s="3">
        <f t="shared" si="28"/>
        <v>6.8174095740770341E-3</v>
      </c>
      <c r="P48" s="3">
        <f t="shared" si="27"/>
        <v>6.8174095740770341E-3</v>
      </c>
      <c r="Q48" s="3">
        <f t="shared" si="27"/>
        <v>6.8174095740770341E-3</v>
      </c>
      <c r="R48" s="3">
        <f t="shared" si="27"/>
        <v>6.8174095740770341E-3</v>
      </c>
      <c r="S48" s="3">
        <f t="shared" si="27"/>
        <v>6.8174095740770341E-3</v>
      </c>
      <c r="T48" s="3">
        <f t="shared" si="27"/>
        <v>6.8174095740770341E-3</v>
      </c>
      <c r="U48" s="3">
        <f t="shared" si="27"/>
        <v>6.8174095740770333E-3</v>
      </c>
      <c r="V48" s="3">
        <f t="shared" si="27"/>
        <v>6.8174095740770272E-3</v>
      </c>
      <c r="W48" s="3">
        <f t="shared" si="27"/>
        <v>6.8174095740769656E-3</v>
      </c>
      <c r="X48" s="3">
        <f t="shared" si="27"/>
        <v>6.8174095740763524E-3</v>
      </c>
      <c r="Y48" s="3">
        <f t="shared" si="27"/>
        <v>6.8174095740702167E-3</v>
      </c>
      <c r="Z48" s="3">
        <f t="shared" si="27"/>
        <v>6.8174095740088604E-3</v>
      </c>
      <c r="AA48" s="3">
        <f t="shared" si="27"/>
        <v>6.817409573395293E-3</v>
      </c>
      <c r="AB48" s="3">
        <f t="shared" si="27"/>
        <v>6.8174095672596247E-3</v>
      </c>
      <c r="AC48" s="3">
        <f t="shared" si="27"/>
        <v>6.8174095059029384E-3</v>
      </c>
      <c r="AD48" s="3">
        <f t="shared" si="27"/>
        <v>6.8174088923361109E-3</v>
      </c>
      <c r="AE48" s="3">
        <f t="shared" si="27"/>
        <v>6.8174027566708685E-3</v>
      </c>
      <c r="AF48" s="3">
        <f t="shared" si="29"/>
        <v>6.8173414003221628E-3</v>
      </c>
      <c r="AG48" s="3">
        <f t="shared" si="29"/>
        <v>6.8167278672055381E-3</v>
      </c>
      <c r="AH48" s="3">
        <f t="shared" si="29"/>
        <v>6.8105955720717936E-3</v>
      </c>
      <c r="AI48" s="3">
        <f t="shared" si="29"/>
        <v>6.7495752154149548E-3</v>
      </c>
      <c r="AJ48" s="3">
        <f t="shared" si="29"/>
        <v>6.1686472767014944E-3</v>
      </c>
    </row>
    <row r="49" spans="1:36" x14ac:dyDescent="0.25">
      <c r="B49" s="16">
        <f>SUM(B17:B48)</f>
        <v>0.78947221906535014</v>
      </c>
      <c r="C49" s="18">
        <f>SUM(C17:C48)</f>
        <v>0.99999999999999989</v>
      </c>
      <c r="F49" s="3">
        <f t="shared" ref="F49:AJ49" si="31">F16-F17</f>
        <v>95.47474145385786</v>
      </c>
      <c r="G49" s="3">
        <f t="shared" si="31"/>
        <v>-123.50823228752051</v>
      </c>
      <c r="H49" s="3">
        <f t="shared" si="31"/>
        <v>32.685927990389246</v>
      </c>
      <c r="I49" s="3">
        <f t="shared" si="31"/>
        <v>-5.3602022396471511</v>
      </c>
      <c r="J49" s="3">
        <f t="shared" si="31"/>
        <v>0.73380897064089368</v>
      </c>
      <c r="K49" s="3">
        <f t="shared" si="31"/>
        <v>-0.12639888844478264</v>
      </c>
      <c r="L49" s="3">
        <f t="shared" si="31"/>
        <v>5.6966537016705843E-2</v>
      </c>
      <c r="M49" s="3">
        <f t="shared" si="31"/>
        <v>-0.2267142366790722</v>
      </c>
      <c r="N49" s="3">
        <f t="shared" si="31"/>
        <v>0.44832719046826242</v>
      </c>
      <c r="O49" s="3">
        <f t="shared" si="31"/>
        <v>-1.006965843069338</v>
      </c>
      <c r="P49" s="3">
        <f t="shared" si="31"/>
        <v>1.6397850375260532</v>
      </c>
      <c r="Q49" s="3">
        <f t="shared" si="31"/>
        <v>-2.4404779941223751</v>
      </c>
      <c r="R49" s="3">
        <f t="shared" si="31"/>
        <v>2.93128064181019</v>
      </c>
      <c r="S49" s="3">
        <f t="shared" si="31"/>
        <v>-3.1607411348077221</v>
      </c>
      <c r="T49" s="3">
        <f t="shared" si="31"/>
        <v>2.767347073376186</v>
      </c>
      <c r="U49" s="3">
        <f t="shared" si="31"/>
        <v>-2.1964638234971972</v>
      </c>
      <c r="V49" s="3">
        <f t="shared" si="31"/>
        <v>1.4064576059072351</v>
      </c>
      <c r="W49" s="3">
        <f t="shared" si="31"/>
        <v>-0.86456145958572961</v>
      </c>
      <c r="X49" s="3">
        <f t="shared" si="31"/>
        <v>0.36213581499259817</v>
      </c>
      <c r="Y49" s="3">
        <f t="shared" si="31"/>
        <v>-0.20904236955743727</v>
      </c>
      <c r="Z49" s="3">
        <f t="shared" si="31"/>
        <v>3.2657154588150661E-2</v>
      </c>
      <c r="AA49" s="3">
        <f t="shared" si="31"/>
        <v>-6.6269940692222917E-2</v>
      </c>
      <c r="AB49" s="3">
        <f t="shared" si="31"/>
        <v>-2.1670572907282803E-2</v>
      </c>
      <c r="AC49" s="3">
        <f t="shared" si="31"/>
        <v>-1.0311784940995494E-2</v>
      </c>
      <c r="AD49" s="3">
        <f t="shared" si="31"/>
        <v>-0.10264552802084381</v>
      </c>
      <c r="AE49" s="3">
        <f t="shared" si="31"/>
        <v>0.10011372548694908</v>
      </c>
      <c r="AF49" s="3">
        <f t="shared" si="31"/>
        <v>-0.63455301164253797</v>
      </c>
      <c r="AG49" s="3">
        <f t="shared" si="31"/>
        <v>1.8380467217690466</v>
      </c>
      <c r="AH49" s="3">
        <f t="shared" si="31"/>
        <v>-2.3491941608719458</v>
      </c>
      <c r="AI49" s="3">
        <f t="shared" si="31"/>
        <v>-2.3302253879357409</v>
      </c>
      <c r="AJ49" s="3">
        <f t="shared" si="31"/>
        <v>3.3668975299979138</v>
      </c>
    </row>
    <row r="50" spans="1:36" x14ac:dyDescent="0.25">
      <c r="F50" s="57">
        <f t="shared" ref="F50:AJ50" si="32">F49/F17</f>
        <v>1.1225183942432434E-2</v>
      </c>
      <c r="G50" s="57">
        <f t="shared" si="32"/>
        <v>-1.4734896101174615E-2</v>
      </c>
      <c r="H50" s="57">
        <f t="shared" si="32"/>
        <v>4.1220840350389108E-3</v>
      </c>
      <c r="I50" s="57">
        <f t="shared" si="32"/>
        <v>-6.961774765223425E-4</v>
      </c>
      <c r="J50" s="57">
        <f t="shared" si="32"/>
        <v>9.9279047327229615E-5</v>
      </c>
      <c r="K50" s="57">
        <f t="shared" si="32"/>
        <v>-1.7975231895717032E-5</v>
      </c>
      <c r="L50" s="57">
        <f t="shared" si="32"/>
        <v>8.562305773789991E-6</v>
      </c>
      <c r="M50" s="57">
        <f t="shared" si="32"/>
        <v>-3.5840801950798685E-5</v>
      </c>
      <c r="N50" s="57">
        <f t="shared" si="32"/>
        <v>7.4159444433084091E-5</v>
      </c>
      <c r="O50" s="57">
        <f t="shared" si="32"/>
        <v>-1.7463512708960701E-4</v>
      </c>
      <c r="P50" s="57">
        <f t="shared" si="32"/>
        <v>2.9893944154077878E-4</v>
      </c>
      <c r="Q50" s="57">
        <f t="shared" si="32"/>
        <v>-4.6809860678247839E-4</v>
      </c>
      <c r="R50" s="57">
        <f t="shared" si="32"/>
        <v>5.9566391752615018E-4</v>
      </c>
      <c r="S50" s="57">
        <f t="shared" si="32"/>
        <v>-6.8903826560762628E-4</v>
      </c>
      <c r="T50" s="57">
        <f t="shared" si="32"/>
        <v>6.5601527556625192E-4</v>
      </c>
      <c r="U50" s="57">
        <f t="shared" si="32"/>
        <v>-5.7921579112401775E-4</v>
      </c>
      <c r="V50" s="57">
        <f t="shared" si="32"/>
        <v>4.2847644049483343E-4</v>
      </c>
      <c r="W50" s="57">
        <f t="shared" si="32"/>
        <v>-3.1837148512450168E-4</v>
      </c>
      <c r="X50" s="57">
        <f t="shared" si="32"/>
        <v>1.7082064864789245E-4</v>
      </c>
      <c r="Y50" s="57">
        <f t="shared" si="32"/>
        <v>-1.34915291917647E-4</v>
      </c>
      <c r="Z50" s="57">
        <f t="shared" si="32"/>
        <v>2.9288308131443166E-5</v>
      </c>
      <c r="AA50" s="57">
        <f t="shared" si="32"/>
        <v>-8.0852610797776416E-5</v>
      </c>
      <c r="AB50" s="57">
        <f t="shared" si="32"/>
        <v>-3.2212715595668526E-5</v>
      </c>
      <c r="AC50" s="57">
        <f t="shared" si="32"/>
        <v>-1.7410403886158944E-5</v>
      </c>
      <c r="AD50" s="57">
        <f t="shared" si="32"/>
        <v>-1.8453914485902444E-4</v>
      </c>
      <c r="AE50" s="57">
        <f t="shared" si="32"/>
        <v>1.8937507561776919E-4</v>
      </c>
      <c r="AF50" s="57">
        <f t="shared" si="32"/>
        <v>-1.2245679274876207E-3</v>
      </c>
      <c r="AG50" s="57">
        <f t="shared" si="32"/>
        <v>3.6914248059844294E-3</v>
      </c>
      <c r="AH50" s="57">
        <f t="shared" si="32"/>
        <v>-4.8807672351594252E-3</v>
      </c>
      <c r="AI50" s="57">
        <f t="shared" si="32"/>
        <v>-4.8749490201256823E-3</v>
      </c>
      <c r="AJ50" s="57">
        <f t="shared" si="32"/>
        <v>7.1320255452276974E-3</v>
      </c>
    </row>
    <row r="51" spans="1:36" x14ac:dyDescent="0.25">
      <c r="A51" s="13" t="s">
        <v>21</v>
      </c>
      <c r="B51" s="3">
        <f>STUTT!D8</f>
        <v>10187.300999999999</v>
      </c>
      <c r="E51" s="11" t="s">
        <v>24</v>
      </c>
      <c r="F51" s="20">
        <f t="shared" ref="F51:AJ51" si="33">(F16-F17)^2</f>
        <v>9115.4262556810045</v>
      </c>
      <c r="G51" s="20">
        <f t="shared" si="33"/>
        <v>15254.283442788124</v>
      </c>
      <c r="H51" s="20">
        <f t="shared" si="33"/>
        <v>1068.3698885929111</v>
      </c>
      <c r="I51" s="20">
        <f t="shared" si="33"/>
        <v>28.731768049918337</v>
      </c>
      <c r="J51" s="20">
        <f t="shared" si="33"/>
        <v>0.53847560539304795</v>
      </c>
      <c r="K51" s="20">
        <f t="shared" si="33"/>
        <v>1.5976679000076606E-2</v>
      </c>
      <c r="L51" s="20">
        <f t="shared" si="33"/>
        <v>3.245186339675717E-3</v>
      </c>
      <c r="M51" s="20">
        <f t="shared" si="33"/>
        <v>5.1399345112974365E-2</v>
      </c>
      <c r="N51" s="20">
        <f t="shared" si="33"/>
        <v>0.20099726971316564</v>
      </c>
      <c r="O51" s="20">
        <f t="shared" si="33"/>
        <v>1.0139802091083427</v>
      </c>
      <c r="P51" s="20">
        <f t="shared" si="33"/>
        <v>2.6888949692943198</v>
      </c>
      <c r="Q51" s="20">
        <f t="shared" si="33"/>
        <v>5.9559328397955715</v>
      </c>
      <c r="R51" s="20">
        <f t="shared" si="33"/>
        <v>8.5924062010511602</v>
      </c>
      <c r="S51" s="20">
        <f t="shared" si="33"/>
        <v>9.9902845212656075</v>
      </c>
      <c r="T51" s="20">
        <f t="shared" si="33"/>
        <v>7.658209824523742</v>
      </c>
      <c r="U51" s="20">
        <f t="shared" si="33"/>
        <v>4.8244533279319262</v>
      </c>
      <c r="V51" s="20">
        <f t="shared" si="33"/>
        <v>1.9781229972143115</v>
      </c>
      <c r="W51" s="20">
        <f t="shared" si="33"/>
        <v>0.74746651740100722</v>
      </c>
      <c r="X51" s="20">
        <f t="shared" si="33"/>
        <v>0.13114234850035328</v>
      </c>
      <c r="Y51" s="20">
        <f t="shared" si="33"/>
        <v>4.3698712270188178E-2</v>
      </c>
      <c r="Z51" s="20">
        <f t="shared" si="33"/>
        <v>1.0664897457943697E-3</v>
      </c>
      <c r="AA51" s="20">
        <f t="shared" si="33"/>
        <v>4.3917050393507432E-3</v>
      </c>
      <c r="AB51" s="20">
        <f t="shared" si="33"/>
        <v>4.6961373012985948E-4</v>
      </c>
      <c r="AC51" s="20">
        <f t="shared" si="33"/>
        <v>1.0633290866934146E-4</v>
      </c>
      <c r="AD51" s="20">
        <f t="shared" si="33"/>
        <v>1.0536104422677833E-2</v>
      </c>
      <c r="AE51" s="20">
        <f t="shared" si="33"/>
        <v>1.0022758030876197E-2</v>
      </c>
      <c r="AF51" s="20">
        <f t="shared" si="33"/>
        <v>0.4026575245846149</v>
      </c>
      <c r="AG51" s="20">
        <f t="shared" si="33"/>
        <v>3.3784157514059392</v>
      </c>
      <c r="AH51" s="20">
        <f t="shared" si="33"/>
        <v>5.5187132054748451</v>
      </c>
      <c r="AI51" s="20">
        <f t="shared" si="33"/>
        <v>5.4299503585802738</v>
      </c>
      <c r="AJ51" s="20">
        <f t="shared" si="33"/>
        <v>11.335998977506053</v>
      </c>
    </row>
    <row r="52" spans="1:36" x14ac:dyDescent="0.25">
      <c r="A52" s="13"/>
    </row>
    <row r="53" spans="1:36" x14ac:dyDescent="0.25">
      <c r="E53" s="119" t="s">
        <v>25</v>
      </c>
      <c r="F53" s="119"/>
      <c r="G53" s="104">
        <f>SUM(F51:AJ51)</f>
        <v>25537.338370487298</v>
      </c>
      <c r="I53" s="3">
        <f>G53+C123</f>
        <v>25537.338370487298</v>
      </c>
      <c r="K53" s="3">
        <f>SUM(Z51:AJ51)</f>
        <v>26.092328821429227</v>
      </c>
    </row>
    <row r="55" spans="1:36" x14ac:dyDescent="0.25">
      <c r="E55" s="30" t="s">
        <v>30</v>
      </c>
      <c r="F55" s="31">
        <f t="shared" ref="F55:AJ55" si="34">ABS(F17-F16)/F16</f>
        <v>1.1100577913486249E-2</v>
      </c>
      <c r="G55" s="31">
        <f t="shared" si="34"/>
        <v>1.4955260307978701E-2</v>
      </c>
      <c r="H55" s="31">
        <f t="shared" si="34"/>
        <v>4.1051622114259469E-3</v>
      </c>
      <c r="I55" s="31">
        <f t="shared" si="34"/>
        <v>6.9666247724774059E-4</v>
      </c>
      <c r="J55" s="31">
        <f t="shared" si="34"/>
        <v>9.9269191976421252E-5</v>
      </c>
      <c r="K55" s="31">
        <f t="shared" si="34"/>
        <v>1.7975555010486798E-5</v>
      </c>
      <c r="L55" s="31">
        <f t="shared" si="34"/>
        <v>8.5622324613375518E-6</v>
      </c>
      <c r="M55" s="31">
        <f t="shared" si="34"/>
        <v>3.5842086559924586E-5</v>
      </c>
      <c r="N55" s="31">
        <f t="shared" si="34"/>
        <v>7.415394521770423E-5</v>
      </c>
      <c r="O55" s="31">
        <f t="shared" si="34"/>
        <v>1.7466562984407304E-4</v>
      </c>
      <c r="P55" s="31">
        <f t="shared" si="34"/>
        <v>2.9885010345774674E-4</v>
      </c>
      <c r="Q55" s="31">
        <f t="shared" si="34"/>
        <v>4.6831782570422195E-4</v>
      </c>
      <c r="R55" s="31">
        <f t="shared" si="34"/>
        <v>5.9530931324848079E-4</v>
      </c>
      <c r="S55" s="31">
        <f t="shared" si="34"/>
        <v>6.8951336670193184E-4</v>
      </c>
      <c r="T55" s="31">
        <f t="shared" si="34"/>
        <v>6.5558520165952814E-4</v>
      </c>
      <c r="U55" s="31">
        <f t="shared" si="34"/>
        <v>5.7955147649097058E-4</v>
      </c>
      <c r="V55" s="31">
        <f t="shared" si="34"/>
        <v>4.2829292706595508E-4</v>
      </c>
      <c r="W55" s="31">
        <f t="shared" si="34"/>
        <v>3.1847287780758116E-4</v>
      </c>
      <c r="X55" s="31">
        <f t="shared" si="34"/>
        <v>1.7079147393753093E-4</v>
      </c>
      <c r="Y55" s="31">
        <f t="shared" si="34"/>
        <v>1.3493349650971808E-4</v>
      </c>
      <c r="Z55" s="31">
        <f t="shared" si="34"/>
        <v>2.9287450351572887E-5</v>
      </c>
      <c r="AA55" s="31">
        <f t="shared" si="34"/>
        <v>8.0859148471037188E-5</v>
      </c>
      <c r="AB55" s="31">
        <f t="shared" si="34"/>
        <v>3.2213753288141464E-5</v>
      </c>
      <c r="AC55" s="31">
        <f t="shared" si="34"/>
        <v>1.7410707013599993E-5</v>
      </c>
      <c r="AD55" s="31">
        <f t="shared" si="34"/>
        <v>1.8457320584059416E-4</v>
      </c>
      <c r="AE55" s="31">
        <f t="shared" si="34"/>
        <v>1.8933921948876108E-4</v>
      </c>
      <c r="AF55" s="31">
        <f t="shared" si="34"/>
        <v>1.2260693326692836E-3</v>
      </c>
      <c r="AG55" s="31">
        <f t="shared" si="34"/>
        <v>3.6778483055167968E-3</v>
      </c>
      <c r="AH55" s="31">
        <f t="shared" si="34"/>
        <v>4.9047059633233045E-3</v>
      </c>
      <c r="AI55" s="31">
        <f t="shared" si="34"/>
        <v>4.8988305694097883E-3</v>
      </c>
      <c r="AJ55" s="31">
        <f t="shared" si="34"/>
        <v>7.0815199639457961E-3</v>
      </c>
    </row>
    <row r="56" spans="1:36" x14ac:dyDescent="0.25">
      <c r="E56" s="13" t="s">
        <v>31</v>
      </c>
      <c r="F56" s="32">
        <f>AVERAGE(F55:AJ55)</f>
        <v>1.8687228139713204E-3</v>
      </c>
    </row>
    <row r="57" spans="1:36" x14ac:dyDescent="0.25">
      <c r="A57" s="42"/>
      <c r="B57" s="15"/>
      <c r="C57" s="15"/>
      <c r="D57" s="15"/>
      <c r="F57" s="60">
        <f>AVERAGE(S55:X55)</f>
        <v>4.737012206105829E-4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-17.1505695637697</v>
      </c>
    </row>
    <row r="119" spans="1:14" x14ac:dyDescent="0.25">
      <c r="L119" s="11">
        <f>L118+1</f>
        <v>2</v>
      </c>
      <c r="M119" s="11">
        <f t="shared" ref="M119:M124" si="35">INDEX($B$125:$K$126,1,L119)</f>
        <v>0</v>
      </c>
      <c r="N119" s="11">
        <f t="shared" ref="N119:N124" si="36">IF(L119=$B$3,0,INDEX($B$125:$K$126,2,L119))</f>
        <v>-13.683361470714468</v>
      </c>
    </row>
    <row r="120" spans="1:14" x14ac:dyDescent="0.25">
      <c r="L120" s="11">
        <f t="shared" ref="L120:L124" si="37">L119+1</f>
        <v>3</v>
      </c>
      <c r="M120" s="11">
        <f t="shared" si="35"/>
        <v>25</v>
      </c>
      <c r="N120" s="11">
        <f t="shared" si="36"/>
        <v>-10.991713763275115</v>
      </c>
    </row>
    <row r="121" spans="1:14" x14ac:dyDescent="0.25">
      <c r="A121" s="103">
        <f>(A165+A204+A243+A282+A321+A360+A399)*10^9</f>
        <v>2044619857255493.7</v>
      </c>
      <c r="L121" s="11">
        <f t="shared" si="37"/>
        <v>4</v>
      </c>
      <c r="M121" s="11">
        <f t="shared" si="35"/>
        <v>50</v>
      </c>
      <c r="N121" s="11">
        <f t="shared" si="36"/>
        <v>-8.7424584874974141</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-5.9128741218641254</v>
      </c>
    </row>
    <row r="123" spans="1:14" x14ac:dyDescent="0.25">
      <c r="A123" s="119"/>
      <c r="B123" s="11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5.6123079345528986</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-17.1505695637697</v>
      </c>
      <c r="C126" s="107">
        <v>-13.683361470714468</v>
      </c>
      <c r="D126" s="107">
        <v>-10.991713763275115</v>
      </c>
      <c r="E126" s="107">
        <v>-8.7424584874974141</v>
      </c>
      <c r="F126" s="107">
        <v>-5.9128741218641254</v>
      </c>
      <c r="G126" s="107">
        <v>-6.5757520081919209E-5</v>
      </c>
      <c r="H126" s="107">
        <v>5.6123079345528986</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10218.668827091791</v>
      </c>
      <c r="C130" s="26">
        <f>INDEX(Comparison!$AM$3:$AS$33,G14,$B$122)</f>
        <v>10130.735990154546</v>
      </c>
      <c r="D130" s="26">
        <f>INDEX(Comparison!$AM$3:$AS$33,H14,$B$122)</f>
        <v>9815.5100842671618</v>
      </c>
      <c r="E130" s="26">
        <f>INDEX(Comparison!$AM$3:$AS$33,I14,$B$122)</f>
        <v>9602.7895017015398</v>
      </c>
      <c r="F130" s="26">
        <f>INDEX(Comparison!$AM$3:$AS$33,J14,$B$122)</f>
        <v>9403.9958104822508</v>
      </c>
      <c r="G130" s="26">
        <f>INDEX(Comparison!$AM$3:$AS$33,K14,$B$122)</f>
        <v>9185.6343104080297</v>
      </c>
      <c r="H130" s="26">
        <f>INDEX(Comparison!$AM$3:$AS$33,L14,$B$122)</f>
        <v>8956.3853461764484</v>
      </c>
      <c r="I130" s="26">
        <f>INDEX(Comparison!$AM$3:$AS$33,M14,$B$122)</f>
        <v>8694.0472851843733</v>
      </c>
      <c r="J130" s="26">
        <f>INDEX(Comparison!$AM$3:$AS$33,N14,$B$122)</f>
        <v>8422.2902852365987</v>
      </c>
      <c r="K130" s="26">
        <f>INDEX(Comparison!$AM$3:$AS$33,O14,$B$122)</f>
        <v>8119.1133122846923</v>
      </c>
      <c r="L130" s="26">
        <f>INDEX(Comparison!$AM$3:$AS$33,P14,$B$122)</f>
        <v>7848.6797155048253</v>
      </c>
      <c r="M130" s="26">
        <f>INDEX(Comparison!$AM$3:$AS$33,Q14,$B$122)</f>
        <v>7561.5718378512247</v>
      </c>
      <c r="N130" s="26">
        <f>INDEX(Comparison!$AM$3:$AS$33,R14,$B$122)</f>
        <v>7212.0886309644511</v>
      </c>
      <c r="O130" s="26">
        <f>INDEX(Comparison!$AM$3:$AS$33,S14,$B$122)</f>
        <v>6826.065675816817</v>
      </c>
      <c r="P130" s="26">
        <f>INDEX(Comparison!$AM$3:$AS$33,T14,$B$122)</f>
        <v>6468.6777640443843</v>
      </c>
      <c r="Q130" s="26">
        <f>INDEX(Comparison!$AM$3:$AS$33,U14,$B$122)</f>
        <v>6185.0814076350389</v>
      </c>
      <c r="R130" s="26">
        <f>INDEX(Comparison!$AM$3:$AS$33,V14,$B$122)</f>
        <v>5896.0070828362468</v>
      </c>
      <c r="S130" s="26">
        <f>INDEX(Comparison!$AM$3:$AS$33,W14,$B$122)</f>
        <v>5620.2326577203476</v>
      </c>
      <c r="T130" s="26">
        <f>INDEX(Comparison!$AM$3:$AS$33,X14,$B$122)</f>
        <v>5330.7810569019748</v>
      </c>
      <c r="U130" s="26">
        <f>INDEX(Comparison!$AM$3:$AS$33,Y14,$B$122)</f>
        <v>5056.458830124393</v>
      </c>
      <c r="V130" s="26">
        <f>INDEX(Comparison!$AM$3:$AS$33,Z14,$B$122)</f>
        <v>4685.6312280238881</v>
      </c>
      <c r="W130" s="26">
        <f>INDEX(Comparison!$AM$3:$AS$33,AA14,$B$122)</f>
        <v>4271.8299665210579</v>
      </c>
      <c r="X130" s="26">
        <f>INDEX(Comparison!$AM$3:$AS$33,AB14,$B$122)</f>
        <v>3807.4701999642007</v>
      </c>
      <c r="Y130" s="26">
        <f>INDEX(Comparison!$AM$3:$AS$33,AC14,$B$122)</f>
        <v>3333.4500993282409</v>
      </c>
      <c r="Z130" s="26">
        <f>INDEX(Comparison!$AM$3:$AS$33,AD14,$B$122)</f>
        <v>2813.9339254547094</v>
      </c>
      <c r="AA130" s="26">
        <f>INDEX(Comparison!$AM$3:$AS$33,AE14,$B$122)</f>
        <v>2264.5753602217969</v>
      </c>
      <c r="AB130" s="26">
        <f>INDEX(Comparison!$AM$3:$AS$33,AF14,$B$122)</f>
        <v>1691.7003845109305</v>
      </c>
      <c r="AC130" s="26">
        <f>INDEX(Comparison!$AM$3:$AS$33,AG14,$B$122)</f>
        <v>1230.3504248927311</v>
      </c>
      <c r="AD130" s="26">
        <f>INDEX(Comparison!$AM$3:$AS$33,AH14,$B$122)</f>
        <v>888.25672531905332</v>
      </c>
      <c r="AE130" s="26">
        <f>INDEX(Comparison!$AM$3:$AS$33,AI14,$B$122)</f>
        <v>708.86645626754114</v>
      </c>
      <c r="AF130" s="26">
        <f>INDEX(Comparison!$AM$3:$AS$33,AJ14,$B$122)</f>
        <v>607.16785102157667</v>
      </c>
    </row>
    <row r="131" spans="1:33" x14ac:dyDescent="0.25">
      <c r="A131" s="68" t="s">
        <v>22</v>
      </c>
      <c r="B131" s="27">
        <f>($C$17+SUM(B132:B162))*$B$51</f>
        <v>10181.377066801728</v>
      </c>
      <c r="C131" s="27">
        <f t="shared" ref="C131:AF131" si="40">($C$17+SUM(C132:C162))*$B$51</f>
        <v>10129.00039848115</v>
      </c>
      <c r="D131" s="27">
        <f t="shared" si="40"/>
        <v>9688.0208841441636</v>
      </c>
      <c r="E131" s="27">
        <f t="shared" si="40"/>
        <v>8568.2255683876847</v>
      </c>
      <c r="F131" s="27">
        <f t="shared" si="40"/>
        <v>8520.8890322978641</v>
      </c>
      <c r="G131" s="27">
        <f t="shared" si="40"/>
        <v>8520.8387700754174</v>
      </c>
      <c r="H131" s="27">
        <f t="shared" si="40"/>
        <v>8520.3363683025291</v>
      </c>
      <c r="I131" s="27">
        <f t="shared" si="40"/>
        <v>8515.3343290564244</v>
      </c>
      <c r="J131" s="27">
        <f t="shared" si="40"/>
        <v>8467.4466067068097</v>
      </c>
      <c r="K131" s="27">
        <f t="shared" si="40"/>
        <v>8149.2269909125444</v>
      </c>
      <c r="L131" s="27">
        <f t="shared" si="40"/>
        <v>7802.6586752821167</v>
      </c>
      <c r="M131" s="27">
        <f t="shared" si="40"/>
        <v>7552.2512249965066</v>
      </c>
      <c r="N131" s="27">
        <f t="shared" si="40"/>
        <v>7212.0449793704929</v>
      </c>
      <c r="O131" s="27">
        <f t="shared" si="40"/>
        <v>6837.1732896982376</v>
      </c>
      <c r="P131" s="27">
        <f t="shared" si="40"/>
        <v>6473.8683989642732</v>
      </c>
      <c r="Q131" s="27">
        <f t="shared" si="40"/>
        <v>6171.7371347298285</v>
      </c>
      <c r="R131" s="27">
        <f t="shared" si="40"/>
        <v>5896.0259456958756</v>
      </c>
      <c r="S131" s="27">
        <f t="shared" si="40"/>
        <v>5609.5928364619149</v>
      </c>
      <c r="T131" s="27">
        <f t="shared" si="40"/>
        <v>5330.0674876407902</v>
      </c>
      <c r="U131" s="27">
        <f t="shared" si="40"/>
        <v>5052.2475947989069</v>
      </c>
      <c r="V131" s="27">
        <f t="shared" si="40"/>
        <v>4732.042591339823</v>
      </c>
      <c r="W131" s="27">
        <f t="shared" si="40"/>
        <v>4374.1243752120745</v>
      </c>
      <c r="X131" s="27">
        <f t="shared" si="40"/>
        <v>3978.709703737567</v>
      </c>
      <c r="Y131" s="27">
        <f t="shared" si="40"/>
        <v>3499.2449881107368</v>
      </c>
      <c r="Z131" s="27">
        <f t="shared" si="40"/>
        <v>2950.6662898586346</v>
      </c>
      <c r="AA131" s="27">
        <f t="shared" si="40"/>
        <v>2369.2084282824617</v>
      </c>
      <c r="AB131" s="27">
        <f t="shared" si="40"/>
        <v>1773.8621626720005</v>
      </c>
      <c r="AC131" s="27">
        <f t="shared" si="40"/>
        <v>1291.154678769972</v>
      </c>
      <c r="AD131" s="27">
        <f t="shared" si="40"/>
        <v>929.80024917961191</v>
      </c>
      <c r="AE131" s="27">
        <f t="shared" si="40"/>
        <v>748.31036669474156</v>
      </c>
      <c r="AF131" s="27">
        <f t="shared" si="40"/>
        <v>607.02703366632306</v>
      </c>
    </row>
    <row r="132" spans="1:33" x14ac:dyDescent="0.25">
      <c r="B132" s="3">
        <f t="shared" ref="B132:Z133" si="41">$C18*EXP(-B$129/$A18/EXP(-$B$126))</f>
        <v>0.16299532625211358</v>
      </c>
      <c r="C132" s="3">
        <f t="shared" ref="C132:AF132" si="42">$C18*EXP(-C$129/$A18/EXP(-$B$126))</f>
        <v>0.15785395825934395</v>
      </c>
      <c r="D132" s="3">
        <f t="shared" si="42"/>
        <v>0.11456678493715433</v>
      </c>
      <c r="E132" s="3">
        <f t="shared" si="42"/>
        <v>4.6461285130437804E-3</v>
      </c>
      <c r="F132" s="3">
        <f t="shared" si="42"/>
        <v>5.5900558125172333E-17</v>
      </c>
      <c r="G132" s="3">
        <f t="shared" si="42"/>
        <v>3.5535743049003681E-156</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5.8248195546171208E-2</v>
      </c>
      <c r="C133" s="3">
        <f t="shared" si="41"/>
        <v>5.8248195067949621E-2</v>
      </c>
      <c r="D133" s="3">
        <f t="shared" si="41"/>
        <v>5.8248190285734025E-2</v>
      </c>
      <c r="E133" s="3">
        <f t="shared" si="41"/>
        <v>5.8248142463599648E-2</v>
      </c>
      <c r="F133" s="3">
        <f t="shared" si="41"/>
        <v>5.8247664244415236E-2</v>
      </c>
      <c r="G133" s="3">
        <f t="shared" si="41"/>
        <v>5.824288226850656E-2</v>
      </c>
      <c r="H133" s="3">
        <f t="shared" si="41"/>
        <v>5.8195084096404469E-2</v>
      </c>
      <c r="I133" s="3">
        <f t="shared" si="41"/>
        <v>5.7719254530698053E-2</v>
      </c>
      <c r="J133" s="3">
        <f t="shared" si="41"/>
        <v>5.3169777848225484E-2</v>
      </c>
      <c r="K133" s="3">
        <f t="shared" si="41"/>
        <v>2.3394090728251223E-2</v>
      </c>
      <c r="L133" s="3">
        <f t="shared" si="41"/>
        <v>6.3609123461884412E-6</v>
      </c>
      <c r="M133" s="3">
        <f t="shared" si="41"/>
        <v>1.4049207352567426E-41</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1.7254959968518977E-2</v>
      </c>
      <c r="C134" s="3">
        <f t="shared" si="44"/>
        <v>1.7254959955739672E-2</v>
      </c>
      <c r="D134" s="3">
        <f t="shared" si="44"/>
        <v>1.7254959827946621E-2</v>
      </c>
      <c r="E134" s="3">
        <f t="shared" si="44"/>
        <v>1.7254958550016155E-2</v>
      </c>
      <c r="F134" s="3">
        <f t="shared" si="44"/>
        <v>1.7254945770716686E-2</v>
      </c>
      <c r="G134" s="3">
        <f t="shared" si="44"/>
        <v>1.7254817978242548E-2</v>
      </c>
      <c r="H134" s="3">
        <f t="shared" si="44"/>
        <v>1.7253540105554709E-2</v>
      </c>
      <c r="I134" s="3">
        <f t="shared" si="44"/>
        <v>1.7240766582600923E-2</v>
      </c>
      <c r="J134" s="3">
        <f t="shared" si="44"/>
        <v>1.7113550322324016E-2</v>
      </c>
      <c r="K134" s="3">
        <f t="shared" si="44"/>
        <v>1.5891890258894037E-2</v>
      </c>
      <c r="L134" s="3">
        <f t="shared" si="44"/>
        <v>7.5775702081308438E-3</v>
      </c>
      <c r="M134" s="3">
        <f t="shared" si="44"/>
        <v>4.6033509318748671E-6</v>
      </c>
      <c r="N134" s="3">
        <f t="shared" si="44"/>
        <v>3.1514849444537348E-38</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3.2278437816137623E-2</v>
      </c>
      <c r="C135" s="3">
        <f t="shared" si="47"/>
        <v>3.2278437813981112E-2</v>
      </c>
      <c r="D135" s="3">
        <f t="shared" si="47"/>
        <v>3.2278437792415966E-2</v>
      </c>
      <c r="E135" s="3">
        <f t="shared" si="47"/>
        <v>3.2278437576764511E-2</v>
      </c>
      <c r="F135" s="3">
        <f t="shared" si="47"/>
        <v>3.2278435420250079E-2</v>
      </c>
      <c r="G135" s="3">
        <f t="shared" si="47"/>
        <v>3.2278413855113673E-2</v>
      </c>
      <c r="H135" s="3">
        <f t="shared" si="47"/>
        <v>3.2278198204542058E-2</v>
      </c>
      <c r="I135" s="3">
        <f t="shared" si="47"/>
        <v>3.2276041778065617E-2</v>
      </c>
      <c r="J135" s="3">
        <f t="shared" si="47"/>
        <v>3.2254485435316463E-2</v>
      </c>
      <c r="K135" s="3">
        <f t="shared" si="47"/>
        <v>3.2039712254558421E-2</v>
      </c>
      <c r="L135" s="3">
        <f t="shared" si="47"/>
        <v>2.9969086080523562E-2</v>
      </c>
      <c r="M135" s="3">
        <f t="shared" si="47"/>
        <v>1.5364641097180732E-2</v>
      </c>
      <c r="N135" s="3">
        <f t="shared" si="47"/>
        <v>1.9275765251091662E-5</v>
      </c>
      <c r="O135" s="3">
        <f t="shared" si="47"/>
        <v>1.8616743482172467E-34</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3.71445055686139E-2</v>
      </c>
      <c r="C136" s="3">
        <f t="shared" si="49"/>
        <v>3.7144505568390038E-2</v>
      </c>
      <c r="D136" s="3">
        <f t="shared" si="49"/>
        <v>3.7144505566151419E-2</v>
      </c>
      <c r="E136" s="3">
        <f t="shared" si="49"/>
        <v>3.714450554376518E-2</v>
      </c>
      <c r="F136" s="3">
        <f t="shared" si="49"/>
        <v>3.7144505319902835E-2</v>
      </c>
      <c r="G136" s="3">
        <f t="shared" si="49"/>
        <v>3.7144503081279451E-2</v>
      </c>
      <c r="H136" s="3">
        <f t="shared" si="49"/>
        <v>3.7144480695053057E-2</v>
      </c>
      <c r="I136" s="3">
        <f t="shared" si="49"/>
        <v>3.7144256833531085E-2</v>
      </c>
      <c r="J136" s="3">
        <f t="shared" si="49"/>
        <v>3.7142018292514088E-2</v>
      </c>
      <c r="K136" s="3">
        <f t="shared" si="49"/>
        <v>3.7119640300955319E-2</v>
      </c>
      <c r="L136" s="3">
        <f t="shared" si="49"/>
        <v>3.6896600594865145E-2</v>
      </c>
      <c r="M136" s="3">
        <f t="shared" si="49"/>
        <v>3.4738600151572215E-2</v>
      </c>
      <c r="N136" s="3">
        <f t="shared" si="49"/>
        <v>1.9013930504174503E-2</v>
      </c>
      <c r="O136" s="3">
        <f t="shared" si="49"/>
        <v>4.5884688311965167E-5</v>
      </c>
      <c r="P136" s="3">
        <f t="shared" si="49"/>
        <v>3.0734533323656328E-31</v>
      </c>
      <c r="Q136" s="3">
        <f t="shared" si="49"/>
        <v>5.5874673061762976E-293</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4.0797811725327301E-2</v>
      </c>
      <c r="C137" s="3">
        <f t="shared" si="51"/>
        <v>4.0797811725305118E-2</v>
      </c>
      <c r="D137" s="3">
        <f t="shared" si="51"/>
        <v>4.0797811725083316E-2</v>
      </c>
      <c r="E137" s="3">
        <f t="shared" si="51"/>
        <v>4.0797811722865271E-2</v>
      </c>
      <c r="F137" s="3">
        <f t="shared" si="51"/>
        <v>4.0797811700684847E-2</v>
      </c>
      <c r="G137" s="3">
        <f t="shared" si="51"/>
        <v>4.0797811478880557E-2</v>
      </c>
      <c r="H137" s="3">
        <f t="shared" si="51"/>
        <v>4.0797809260837793E-2</v>
      </c>
      <c r="I137" s="3">
        <f t="shared" si="51"/>
        <v>4.0797787080416759E-2</v>
      </c>
      <c r="J137" s="3">
        <f t="shared" si="51"/>
        <v>4.0797565276869605E-2</v>
      </c>
      <c r="K137" s="3">
        <f t="shared" si="51"/>
        <v>4.0795347307719887E-2</v>
      </c>
      <c r="L137" s="3">
        <f t="shared" si="51"/>
        <v>4.0773174247063684E-2</v>
      </c>
      <c r="M137" s="3">
        <f t="shared" si="51"/>
        <v>4.0552105392703347E-2</v>
      </c>
      <c r="N137" s="3">
        <f t="shared" si="51"/>
        <v>3.8406280046102026E-2</v>
      </c>
      <c r="O137" s="3">
        <f t="shared" si="51"/>
        <v>2.2299268579319749E-2</v>
      </c>
      <c r="P137" s="3">
        <f t="shared" si="51"/>
        <v>9.7089968100835681E-5</v>
      </c>
      <c r="Q137" s="3">
        <f t="shared" si="51"/>
        <v>2.376904643443811E-28</v>
      </c>
      <c r="R137" s="3">
        <f t="shared" si="51"/>
        <v>1.8381703889708495E-264</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3.2982255914933221E-2</v>
      </c>
      <c r="C138" s="3">
        <f t="shared" si="53"/>
        <v>3.2982255914931605E-2</v>
      </c>
      <c r="D138" s="3">
        <f t="shared" si="53"/>
        <v>3.298225591491543E-2</v>
      </c>
      <c r="E138" s="3">
        <f t="shared" si="53"/>
        <v>3.2982255914753671E-2</v>
      </c>
      <c r="F138" s="3">
        <f t="shared" si="53"/>
        <v>3.2982255913136117E-2</v>
      </c>
      <c r="G138" s="3">
        <f t="shared" si="53"/>
        <v>3.2982255896960529E-2</v>
      </c>
      <c r="H138" s="3">
        <f t="shared" si="53"/>
        <v>3.2982255735204677E-2</v>
      </c>
      <c r="I138" s="3">
        <f t="shared" si="53"/>
        <v>3.2982254117646173E-2</v>
      </c>
      <c r="J138" s="3">
        <f t="shared" si="53"/>
        <v>3.2982237942065555E-2</v>
      </c>
      <c r="K138" s="3">
        <f t="shared" si="53"/>
        <v>3.2982076186695658E-2</v>
      </c>
      <c r="L138" s="3">
        <f t="shared" si="53"/>
        <v>3.2980458676627508E-2</v>
      </c>
      <c r="M138" s="3">
        <f t="shared" si="53"/>
        <v>3.2964287938238634E-2</v>
      </c>
      <c r="N138" s="3">
        <f t="shared" si="53"/>
        <v>3.2803015993061908E-2</v>
      </c>
      <c r="O138" s="3">
        <f t="shared" si="53"/>
        <v>3.1233060522956022E-2</v>
      </c>
      <c r="P138" s="3">
        <f t="shared" si="53"/>
        <v>1.9125914655918765E-2</v>
      </c>
      <c r="Q138" s="3">
        <f t="shared" si="53"/>
        <v>1.4180740871521253E-4</v>
      </c>
      <c r="R138" s="3">
        <f t="shared" si="53"/>
        <v>7.1197705373382371E-26</v>
      </c>
      <c r="S138" s="3">
        <f t="shared" si="53"/>
        <v>7.2466411526814758E-239</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2.7372238189347683E-2</v>
      </c>
      <c r="C139" s="3">
        <f t="shared" si="55"/>
        <v>2.7372238189347562E-2</v>
      </c>
      <c r="D139" s="3">
        <f t="shared" si="55"/>
        <v>2.7372238189346351E-2</v>
      </c>
      <c r="E139" s="3">
        <f t="shared" si="55"/>
        <v>2.7372238189334239E-2</v>
      </c>
      <c r="F139" s="3">
        <f t="shared" si="55"/>
        <v>2.7372238189213142E-2</v>
      </c>
      <c r="G139" s="3">
        <f t="shared" si="55"/>
        <v>2.7372238188002166E-2</v>
      </c>
      <c r="H139" s="3">
        <f t="shared" si="55"/>
        <v>2.7372238175892377E-2</v>
      </c>
      <c r="I139" s="3">
        <f t="shared" si="55"/>
        <v>2.7372238054794495E-2</v>
      </c>
      <c r="J139" s="3">
        <f t="shared" si="55"/>
        <v>2.7372236843815689E-2</v>
      </c>
      <c r="K139" s="3">
        <f t="shared" si="55"/>
        <v>2.7372224734030608E-2</v>
      </c>
      <c r="L139" s="3">
        <f t="shared" si="55"/>
        <v>2.7372103636474431E-2</v>
      </c>
      <c r="M139" s="3">
        <f t="shared" si="55"/>
        <v>2.7370892690378425E-2</v>
      </c>
      <c r="N139" s="3">
        <f t="shared" si="55"/>
        <v>2.7358786175511688E-2</v>
      </c>
      <c r="O139" s="3">
        <f t="shared" si="55"/>
        <v>2.7238015154493197E-2</v>
      </c>
      <c r="P139" s="3">
        <f t="shared" si="55"/>
        <v>2.6059241889678109E-2</v>
      </c>
      <c r="Q139" s="3">
        <f t="shared" si="55"/>
        <v>1.6742680007776789E-2</v>
      </c>
      <c r="R139" s="3">
        <f t="shared" si="55"/>
        <v>2.0065822888577431E-4</v>
      </c>
      <c r="S139" s="3">
        <f t="shared" si="55"/>
        <v>1.2268089950130239E-23</v>
      </c>
      <c r="T139" s="3">
        <f t="shared" si="55"/>
        <v>8.9531677417683597E-216</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2.94207547964777E-2</v>
      </c>
      <c r="C140" s="3">
        <f t="shared" si="57"/>
        <v>2.9420754796477686E-2</v>
      </c>
      <c r="D140" s="3">
        <f t="shared" si="57"/>
        <v>2.9420754796477568E-2</v>
      </c>
      <c r="E140" s="3">
        <f t="shared" si="57"/>
        <v>2.9420754796476396E-2</v>
      </c>
      <c r="F140" s="3">
        <f t="shared" si="57"/>
        <v>2.9420754796464655E-2</v>
      </c>
      <c r="G140" s="3">
        <f t="shared" si="57"/>
        <v>2.9420754796347239E-2</v>
      </c>
      <c r="H140" s="3">
        <f t="shared" si="57"/>
        <v>2.9420754795173081E-2</v>
      </c>
      <c r="I140" s="3">
        <f t="shared" si="57"/>
        <v>2.9420754783431497E-2</v>
      </c>
      <c r="J140" s="3">
        <f t="shared" si="57"/>
        <v>2.942075466601567E-2</v>
      </c>
      <c r="K140" s="3">
        <f t="shared" si="57"/>
        <v>2.942075349185742E-2</v>
      </c>
      <c r="L140" s="3">
        <f t="shared" si="57"/>
        <v>2.9420741750277514E-2</v>
      </c>
      <c r="M140" s="3">
        <f t="shared" si="57"/>
        <v>2.9420624334736172E-2</v>
      </c>
      <c r="N140" s="3">
        <f t="shared" si="57"/>
        <v>2.9419450205095163E-2</v>
      </c>
      <c r="O140" s="3">
        <f t="shared" si="57"/>
        <v>2.94077114855456E-2</v>
      </c>
      <c r="P140" s="3">
        <f t="shared" si="57"/>
        <v>2.9290581595999666E-2</v>
      </c>
      <c r="Q140" s="3">
        <f t="shared" si="57"/>
        <v>2.8144637369204296E-2</v>
      </c>
      <c r="R140" s="3">
        <f t="shared" si="57"/>
        <v>1.8883055921929563E-2</v>
      </c>
      <c r="S140" s="3">
        <f t="shared" si="57"/>
        <v>3.4901050471732796E-4</v>
      </c>
      <c r="T140" s="3">
        <f t="shared" si="57"/>
        <v>1.6236809444560582E-21</v>
      </c>
      <c r="U140" s="3">
        <f t="shared" si="57"/>
        <v>7.71121201731138E-195</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2.9009360037806093E-2</v>
      </c>
      <c r="C141" s="3">
        <f t="shared" si="59"/>
        <v>2.9009360037806093E-2</v>
      </c>
      <c r="D141" s="3">
        <f t="shared" si="59"/>
        <v>2.9009360037806079E-2</v>
      </c>
      <c r="E141" s="3">
        <f t="shared" si="59"/>
        <v>2.9009360037805978E-2</v>
      </c>
      <c r="F141" s="3">
        <f t="shared" si="59"/>
        <v>2.9009360037804934E-2</v>
      </c>
      <c r="G141" s="3">
        <f t="shared" si="59"/>
        <v>2.9009360037794488E-2</v>
      </c>
      <c r="H141" s="3">
        <f t="shared" si="59"/>
        <v>2.900936003769005E-2</v>
      </c>
      <c r="I141" s="3">
        <f t="shared" si="59"/>
        <v>2.9009360036645674E-2</v>
      </c>
      <c r="J141" s="3">
        <f t="shared" si="59"/>
        <v>2.9009360026201896E-2</v>
      </c>
      <c r="K141" s="3">
        <f t="shared" si="59"/>
        <v>2.9009359921764132E-2</v>
      </c>
      <c r="L141" s="3">
        <f t="shared" si="59"/>
        <v>2.9009358877386496E-2</v>
      </c>
      <c r="M141" s="3">
        <f t="shared" si="59"/>
        <v>2.9009348433612213E-2</v>
      </c>
      <c r="N141" s="3">
        <f t="shared" si="59"/>
        <v>2.9009243996076184E-2</v>
      </c>
      <c r="O141" s="3">
        <f t="shared" si="59"/>
        <v>2.9008199641395057E-2</v>
      </c>
      <c r="P141" s="3">
        <f t="shared" si="59"/>
        <v>2.8997758162226103E-2</v>
      </c>
      <c r="Q141" s="3">
        <f t="shared" si="59"/>
        <v>2.8893549859611716E-2</v>
      </c>
      <c r="R141" s="3">
        <f t="shared" si="59"/>
        <v>2.7871843315457612E-2</v>
      </c>
      <c r="S141" s="3">
        <f t="shared" si="59"/>
        <v>1.9445252449625482E-2</v>
      </c>
      <c r="T141" s="3">
        <f t="shared" si="59"/>
        <v>5.3124214870846885E-4</v>
      </c>
      <c r="U141" s="3">
        <f t="shared" si="59"/>
        <v>1.2305008355050034E-19</v>
      </c>
      <c r="V141" s="3">
        <f t="shared" si="59"/>
        <v>5.4698547757486372E-176</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2.6775000161878105E-2</v>
      </c>
      <c r="C142" s="3">
        <f t="shared" si="61"/>
        <v>2.6775000161878105E-2</v>
      </c>
      <c r="D142" s="3">
        <f t="shared" si="61"/>
        <v>2.6775000161878105E-2</v>
      </c>
      <c r="E142" s="3">
        <f t="shared" si="61"/>
        <v>2.6775000161878094E-2</v>
      </c>
      <c r="F142" s="3">
        <f t="shared" si="61"/>
        <v>2.6775000161878008E-2</v>
      </c>
      <c r="G142" s="3">
        <f t="shared" si="61"/>
        <v>2.677500016187714E-2</v>
      </c>
      <c r="H142" s="3">
        <f t="shared" si="61"/>
        <v>2.6775000161868442E-2</v>
      </c>
      <c r="I142" s="3">
        <f t="shared" si="61"/>
        <v>2.6775000161781488E-2</v>
      </c>
      <c r="J142" s="3">
        <f t="shared" si="61"/>
        <v>2.6775000160911937E-2</v>
      </c>
      <c r="K142" s="3">
        <f t="shared" si="61"/>
        <v>2.6775000152216417E-2</v>
      </c>
      <c r="L142" s="3">
        <f t="shared" si="61"/>
        <v>2.6775000065261227E-2</v>
      </c>
      <c r="M142" s="3">
        <f t="shared" si="61"/>
        <v>2.6774999195709366E-2</v>
      </c>
      <c r="N142" s="3">
        <f t="shared" si="61"/>
        <v>2.6774990500192313E-2</v>
      </c>
      <c r="O142" s="3">
        <f t="shared" si="61"/>
        <v>2.6774903545177073E-2</v>
      </c>
      <c r="P142" s="3">
        <f t="shared" si="61"/>
        <v>2.6774034010556343E-2</v>
      </c>
      <c r="Q142" s="3">
        <f t="shared" si="61"/>
        <v>2.6765340217330343E-2</v>
      </c>
      <c r="R142" s="3">
        <f t="shared" si="61"/>
        <v>2.6678557396750322E-2</v>
      </c>
      <c r="S142" s="3">
        <f t="shared" si="61"/>
        <v>2.5826055581441403E-2</v>
      </c>
      <c r="T142" s="3">
        <f t="shared" si="61"/>
        <v>1.8664461932086315E-2</v>
      </c>
      <c r="U142" s="3">
        <f t="shared" si="61"/>
        <v>7.2541979920681253E-4</v>
      </c>
      <c r="V142" s="3">
        <f t="shared" si="61"/>
        <v>5.7059598159972291E-18</v>
      </c>
      <c r="W142" s="3">
        <f t="shared" si="61"/>
        <v>5.1727530937973747E-159</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3.1584912015022802E-2</v>
      </c>
      <c r="C143" s="3">
        <f t="shared" si="63"/>
        <v>3.1584912015022802E-2</v>
      </c>
      <c r="D143" s="3">
        <f t="shared" si="63"/>
        <v>3.1584912015022802E-2</v>
      </c>
      <c r="E143" s="3">
        <f t="shared" si="63"/>
        <v>3.1584912015022802E-2</v>
      </c>
      <c r="F143" s="3">
        <f t="shared" si="63"/>
        <v>3.1584912015022788E-2</v>
      </c>
      <c r="G143" s="3">
        <f t="shared" si="63"/>
        <v>3.1584912015022698E-2</v>
      </c>
      <c r="H143" s="3">
        <f t="shared" si="63"/>
        <v>3.1584912015021775E-2</v>
      </c>
      <c r="I143" s="3">
        <f t="shared" si="63"/>
        <v>3.1584912015012519E-2</v>
      </c>
      <c r="J143" s="3">
        <f t="shared" si="63"/>
        <v>3.1584912014919989E-2</v>
      </c>
      <c r="K143" s="3">
        <f t="shared" si="63"/>
        <v>3.1584912013994666E-2</v>
      </c>
      <c r="L143" s="3">
        <f t="shared" si="63"/>
        <v>3.1584912004741464E-2</v>
      </c>
      <c r="M143" s="3">
        <f t="shared" si="63"/>
        <v>3.1584911912209392E-2</v>
      </c>
      <c r="N143" s="3">
        <f t="shared" si="63"/>
        <v>3.158491098688871E-2</v>
      </c>
      <c r="O143" s="3">
        <f t="shared" si="63"/>
        <v>3.1584901733683363E-2</v>
      </c>
      <c r="P143" s="3">
        <f t="shared" si="63"/>
        <v>3.1584809201779029E-2</v>
      </c>
      <c r="Q143" s="3">
        <f t="shared" si="63"/>
        <v>3.1583883897645153E-2</v>
      </c>
      <c r="R143" s="3">
        <f t="shared" si="63"/>
        <v>3.1574632347092235E-2</v>
      </c>
      <c r="S143" s="3">
        <f t="shared" si="63"/>
        <v>3.1482265758681155E-2</v>
      </c>
      <c r="T143" s="3">
        <f t="shared" si="63"/>
        <v>3.0573331422916898E-2</v>
      </c>
      <c r="U143" s="3">
        <f t="shared" si="63"/>
        <v>2.2809228666618671E-2</v>
      </c>
      <c r="V143" s="3">
        <f t="shared" si="63"/>
        <v>1.218397356852297E-3</v>
      </c>
      <c r="W143" s="3">
        <f t="shared" si="63"/>
        <v>2.3044773236132224E-16</v>
      </c>
      <c r="X143" s="3">
        <f t="shared" si="63"/>
        <v>1.3502287365365447E-143</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3.592675255612271E-2</v>
      </c>
      <c r="C144" s="3">
        <f t="shared" si="65"/>
        <v>3.592675255612271E-2</v>
      </c>
      <c r="D144" s="3">
        <f t="shared" si="65"/>
        <v>3.592675255612271E-2</v>
      </c>
      <c r="E144" s="3">
        <f t="shared" si="65"/>
        <v>3.592675255612271E-2</v>
      </c>
      <c r="F144" s="3">
        <f t="shared" si="65"/>
        <v>3.592675255612271E-2</v>
      </c>
      <c r="G144" s="3">
        <f t="shared" si="65"/>
        <v>3.5926752556122696E-2</v>
      </c>
      <c r="H144" s="3">
        <f t="shared" si="65"/>
        <v>3.5926752556122606E-2</v>
      </c>
      <c r="I144" s="3">
        <f t="shared" si="65"/>
        <v>3.5926752556121655E-2</v>
      </c>
      <c r="J144" s="3">
        <f t="shared" si="65"/>
        <v>3.5926752556112163E-2</v>
      </c>
      <c r="K144" s="3">
        <f t="shared" si="65"/>
        <v>3.5926752556017211E-2</v>
      </c>
      <c r="L144" s="3">
        <f t="shared" si="65"/>
        <v>3.5926752555067755E-2</v>
      </c>
      <c r="M144" s="3">
        <f t="shared" si="65"/>
        <v>3.5926752545573142E-2</v>
      </c>
      <c r="N144" s="3">
        <f t="shared" si="65"/>
        <v>3.5926752450627035E-2</v>
      </c>
      <c r="O144" s="3">
        <f t="shared" si="65"/>
        <v>3.5926751501165984E-2</v>
      </c>
      <c r="P144" s="3">
        <f t="shared" si="65"/>
        <v>3.5926742006556871E-2</v>
      </c>
      <c r="Q144" s="3">
        <f t="shared" si="65"/>
        <v>3.5926647060603736E-2</v>
      </c>
      <c r="R144" s="3">
        <f t="shared" si="65"/>
        <v>3.5925697614872881E-2</v>
      </c>
      <c r="S144" s="3">
        <f t="shared" si="65"/>
        <v>3.5916204537477812E-2</v>
      </c>
      <c r="T144" s="3">
        <f t="shared" si="65"/>
        <v>3.5821411620040884E-2</v>
      </c>
      <c r="U144" s="3">
        <f t="shared" si="65"/>
        <v>3.4887134245171265E-2</v>
      </c>
      <c r="V144" s="3">
        <f t="shared" si="65"/>
        <v>2.6784978295563481E-2</v>
      </c>
      <c r="W144" s="3">
        <f t="shared" si="65"/>
        <v>1.9061247597605096E-3</v>
      </c>
      <c r="X144" s="3">
        <f t="shared" si="65"/>
        <v>6.349675945519316E-15</v>
      </c>
      <c r="Y144" s="3">
        <f t="shared" si="65"/>
        <v>1.0684493815369821E-129</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3.8216836337325075E-2</v>
      </c>
      <c r="C145" s="3">
        <f t="shared" si="68"/>
        <v>3.8216836337325075E-2</v>
      </c>
      <c r="D145" s="3">
        <f t="shared" si="68"/>
        <v>3.8216836337325075E-2</v>
      </c>
      <c r="E145" s="3">
        <f t="shared" si="68"/>
        <v>3.8216836337325075E-2</v>
      </c>
      <c r="F145" s="3">
        <f t="shared" si="68"/>
        <v>3.8216836337325075E-2</v>
      </c>
      <c r="G145" s="3">
        <f t="shared" si="68"/>
        <v>3.8216836337325075E-2</v>
      </c>
      <c r="H145" s="3">
        <f t="shared" si="68"/>
        <v>3.8216836337325068E-2</v>
      </c>
      <c r="I145" s="3">
        <f t="shared" si="68"/>
        <v>3.8216836337324971E-2</v>
      </c>
      <c r="J145" s="3">
        <f t="shared" si="68"/>
        <v>3.8216836337324062E-2</v>
      </c>
      <c r="K145" s="3">
        <f t="shared" si="68"/>
        <v>3.8216836337314951E-2</v>
      </c>
      <c r="L145" s="3">
        <f t="shared" si="68"/>
        <v>3.8216836337223843E-2</v>
      </c>
      <c r="M145" s="3">
        <f t="shared" si="68"/>
        <v>3.8216836336312759E-2</v>
      </c>
      <c r="N145" s="3">
        <f t="shared" si="68"/>
        <v>3.8216836327201874E-2</v>
      </c>
      <c r="O145" s="3">
        <f t="shared" si="68"/>
        <v>3.8216836236093031E-2</v>
      </c>
      <c r="P145" s="3">
        <f t="shared" si="68"/>
        <v>3.8216835325004632E-2</v>
      </c>
      <c r="Q145" s="3">
        <f t="shared" si="68"/>
        <v>3.8216826214121896E-2</v>
      </c>
      <c r="R145" s="3">
        <f t="shared" si="68"/>
        <v>3.8216735105413915E-2</v>
      </c>
      <c r="S145" s="3">
        <f t="shared" si="68"/>
        <v>3.8215824030280232E-2</v>
      </c>
      <c r="T145" s="3">
        <f t="shared" si="68"/>
        <v>3.8206714473444162E-2</v>
      </c>
      <c r="U145" s="3">
        <f t="shared" si="68"/>
        <v>3.8115738249863279E-2</v>
      </c>
      <c r="V145" s="3">
        <f t="shared" si="68"/>
        <v>3.7217805888439245E-2</v>
      </c>
      <c r="W145" s="3">
        <f t="shared" si="68"/>
        <v>2.9323450486284208E-2</v>
      </c>
      <c r="X145" s="3">
        <f t="shared" si="68"/>
        <v>2.7030752194657638E-3</v>
      </c>
      <c r="Y145" s="3">
        <f t="shared" si="68"/>
        <v>1.1975363891751252E-13</v>
      </c>
      <c r="Z145" s="3">
        <f t="shared" si="68"/>
        <v>3.4881455486304319E-117</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4.8113881849429982E-2</v>
      </c>
      <c r="C146" s="3">
        <f t="shared" si="70"/>
        <v>4.8113881849429982E-2</v>
      </c>
      <c r="D146" s="3">
        <f t="shared" si="70"/>
        <v>4.8113881849429982E-2</v>
      </c>
      <c r="E146" s="3">
        <f t="shared" si="70"/>
        <v>4.8113881849429982E-2</v>
      </c>
      <c r="F146" s="3">
        <f t="shared" si="70"/>
        <v>4.8113881849429982E-2</v>
      </c>
      <c r="G146" s="3">
        <f t="shared" si="70"/>
        <v>4.8113881849429982E-2</v>
      </c>
      <c r="H146" s="3">
        <f t="shared" si="70"/>
        <v>4.8113881849429982E-2</v>
      </c>
      <c r="I146" s="3">
        <f t="shared" si="70"/>
        <v>4.8113881849429968E-2</v>
      </c>
      <c r="J146" s="3">
        <f t="shared" si="70"/>
        <v>4.8113881849429864E-2</v>
      </c>
      <c r="K146" s="3">
        <f t="shared" si="70"/>
        <v>4.811388184942883E-2</v>
      </c>
      <c r="L146" s="3">
        <f t="shared" si="70"/>
        <v>4.8113881849418484E-2</v>
      </c>
      <c r="M146" s="3">
        <f t="shared" si="70"/>
        <v>4.8113881849315011E-2</v>
      </c>
      <c r="N146" s="3">
        <f t="shared" si="70"/>
        <v>4.8113881848280297E-2</v>
      </c>
      <c r="O146" s="3">
        <f t="shared" si="70"/>
        <v>4.8113881837933095E-2</v>
      </c>
      <c r="P146" s="3">
        <f t="shared" si="70"/>
        <v>4.8113881734461114E-2</v>
      </c>
      <c r="Q146" s="3">
        <f t="shared" si="70"/>
        <v>4.811388069974129E-2</v>
      </c>
      <c r="R146" s="3">
        <f t="shared" si="70"/>
        <v>4.8113870352544247E-2</v>
      </c>
      <c r="S146" s="3">
        <f t="shared" si="70"/>
        <v>4.8113766880696227E-2</v>
      </c>
      <c r="T146" s="3">
        <f t="shared" si="70"/>
        <v>4.8112732174454761E-2</v>
      </c>
      <c r="U146" s="3">
        <f t="shared" si="70"/>
        <v>4.8102386335809107E-2</v>
      </c>
      <c r="V146" s="3">
        <f t="shared" si="70"/>
        <v>4.7999050228932465E-2</v>
      </c>
      <c r="W146" s="3">
        <f t="shared" si="70"/>
        <v>4.6977820376411683E-2</v>
      </c>
      <c r="X146" s="3">
        <f t="shared" si="70"/>
        <v>3.7887421850684118E-2</v>
      </c>
      <c r="Y146" s="3">
        <f t="shared" si="70"/>
        <v>4.4107958694356306E-3</v>
      </c>
      <c r="Z146" s="3">
        <f t="shared" si="70"/>
        <v>2.0171398790132145E-12</v>
      </c>
      <c r="AA146" s="3">
        <f t="shared" ref="AA146" si="71">$C32*EXP(-AA$129/$A32/EXP(-$B$126))</f>
        <v>8.0709857132264339E-106</v>
      </c>
      <c r="AB146" s="3">
        <f t="shared" si="67"/>
        <v>0</v>
      </c>
      <c r="AC146" s="3">
        <f t="shared" si="67"/>
        <v>0</v>
      </c>
      <c r="AD146" s="3">
        <f t="shared" si="67"/>
        <v>0</v>
      </c>
      <c r="AE146" s="3">
        <f t="shared" si="67"/>
        <v>0</v>
      </c>
      <c r="AF146" s="3">
        <f t="shared" si="67"/>
        <v>0</v>
      </c>
    </row>
    <row r="147" spans="1:32" x14ac:dyDescent="0.25">
      <c r="B147" s="3">
        <f t="shared" ref="B147:Z147" si="72">$C33*EXP(-B$129/$A33/EXP(-$B$126))</f>
        <v>5.6463045562969084E-2</v>
      </c>
      <c r="C147" s="3">
        <f t="shared" si="72"/>
        <v>5.6463045562969084E-2</v>
      </c>
      <c r="D147" s="3">
        <f t="shared" si="72"/>
        <v>5.6463045562969084E-2</v>
      </c>
      <c r="E147" s="3">
        <f t="shared" si="72"/>
        <v>5.6463045562969084E-2</v>
      </c>
      <c r="F147" s="3">
        <f t="shared" si="72"/>
        <v>5.6463045562969084E-2</v>
      </c>
      <c r="G147" s="3">
        <f t="shared" si="72"/>
        <v>5.6463045562969084E-2</v>
      </c>
      <c r="H147" s="3">
        <f t="shared" si="72"/>
        <v>5.6463045562969084E-2</v>
      </c>
      <c r="I147" s="3">
        <f t="shared" si="72"/>
        <v>5.6463045562969084E-2</v>
      </c>
      <c r="J147" s="3">
        <f t="shared" si="72"/>
        <v>5.6463045562969071E-2</v>
      </c>
      <c r="K147" s="3">
        <f t="shared" si="72"/>
        <v>5.6463045562968966E-2</v>
      </c>
      <c r="L147" s="3">
        <f t="shared" si="72"/>
        <v>5.646304556296787E-2</v>
      </c>
      <c r="M147" s="3">
        <f t="shared" si="72"/>
        <v>5.6463045562956914E-2</v>
      </c>
      <c r="N147" s="3">
        <f t="shared" si="72"/>
        <v>5.6463045562847376E-2</v>
      </c>
      <c r="O147" s="3">
        <f t="shared" si="72"/>
        <v>5.6463045561752002E-2</v>
      </c>
      <c r="P147" s="3">
        <f t="shared" si="72"/>
        <v>5.6463045550798237E-2</v>
      </c>
      <c r="Q147" s="3">
        <f t="shared" si="72"/>
        <v>5.6463045441260629E-2</v>
      </c>
      <c r="R147" s="3">
        <f t="shared" si="72"/>
        <v>5.6463044345884519E-2</v>
      </c>
      <c r="S147" s="3">
        <f t="shared" si="72"/>
        <v>5.6463033392124586E-2</v>
      </c>
      <c r="T147" s="3">
        <f t="shared" si="72"/>
        <v>5.6462923854642168E-2</v>
      </c>
      <c r="U147" s="3">
        <f t="shared" si="72"/>
        <v>5.6461828491505515E-2</v>
      </c>
      <c r="V147" s="3">
        <f t="shared" si="72"/>
        <v>5.6450876028804636E-2</v>
      </c>
      <c r="W147" s="3">
        <f t="shared" si="72"/>
        <v>5.6341468184521661E-2</v>
      </c>
      <c r="X147" s="3">
        <f t="shared" si="72"/>
        <v>5.5258984621384899E-2</v>
      </c>
      <c r="Y147" s="3">
        <f t="shared" si="72"/>
        <v>4.551455557867063E-2</v>
      </c>
      <c r="Z147" s="3">
        <f t="shared" si="72"/>
        <v>6.5407020467668341E-3</v>
      </c>
      <c r="AA147" s="3">
        <f t="shared" ref="AA147" si="73">$C33*EXP(-AA$129/$A33/EXP(-$B$126))</f>
        <v>2.4567725992927568E-11</v>
      </c>
      <c r="AB147" s="3">
        <f t="shared" si="67"/>
        <v>1.3733173231471176E-95</v>
      </c>
      <c r="AC147" s="3">
        <f t="shared" si="67"/>
        <v>0</v>
      </c>
      <c r="AD147" s="3">
        <f t="shared" si="67"/>
        <v>0</v>
      </c>
      <c r="AE147" s="3">
        <f t="shared" si="67"/>
        <v>0</v>
      </c>
      <c r="AF147" s="3">
        <f t="shared" si="67"/>
        <v>0</v>
      </c>
    </row>
    <row r="148" spans="1:32" x14ac:dyDescent="0.25">
      <c r="B148" s="3">
        <f t="shared" ref="B148:Z148" si="74">$C34*EXP(-B$129/$A34/EXP(-$B$126))</f>
        <v>5.9569205174430817E-2</v>
      </c>
      <c r="C148" s="3">
        <f t="shared" si="74"/>
        <v>5.9569205174430817E-2</v>
      </c>
      <c r="D148" s="3">
        <f t="shared" si="74"/>
        <v>5.9569205174430817E-2</v>
      </c>
      <c r="E148" s="3">
        <f t="shared" si="74"/>
        <v>5.9569205174430817E-2</v>
      </c>
      <c r="F148" s="3">
        <f t="shared" si="74"/>
        <v>5.9569205174430817E-2</v>
      </c>
      <c r="G148" s="3">
        <f t="shared" si="74"/>
        <v>5.9569205174430817E-2</v>
      </c>
      <c r="H148" s="3">
        <f t="shared" si="74"/>
        <v>5.9569205174430817E-2</v>
      </c>
      <c r="I148" s="3">
        <f t="shared" si="74"/>
        <v>5.9569205174430817E-2</v>
      </c>
      <c r="J148" s="3">
        <f t="shared" si="74"/>
        <v>5.9569205174430817E-2</v>
      </c>
      <c r="K148" s="3">
        <f t="shared" si="74"/>
        <v>5.9569205174430803E-2</v>
      </c>
      <c r="L148" s="3">
        <f t="shared" si="74"/>
        <v>5.9569205174430699E-2</v>
      </c>
      <c r="M148" s="3">
        <f t="shared" si="74"/>
        <v>5.9569205174429658E-2</v>
      </c>
      <c r="N148" s="3">
        <f t="shared" si="74"/>
        <v>5.9569205174419236E-2</v>
      </c>
      <c r="O148" s="3">
        <f t="shared" si="74"/>
        <v>5.9569205174314986E-2</v>
      </c>
      <c r="P148" s="3">
        <f t="shared" si="74"/>
        <v>5.9569205173272508E-2</v>
      </c>
      <c r="Q148" s="3">
        <f t="shared" si="74"/>
        <v>5.9569205162847715E-2</v>
      </c>
      <c r="R148" s="3">
        <f t="shared" si="74"/>
        <v>5.9569205058599806E-2</v>
      </c>
      <c r="S148" s="3">
        <f t="shared" si="74"/>
        <v>5.9569204016120696E-2</v>
      </c>
      <c r="T148" s="3">
        <f t="shared" si="74"/>
        <v>5.9569193591330581E-2</v>
      </c>
      <c r="U148" s="3">
        <f t="shared" si="74"/>
        <v>5.9569089343529794E-2</v>
      </c>
      <c r="V148" s="3">
        <f t="shared" si="74"/>
        <v>5.9568046875555933E-2</v>
      </c>
      <c r="W148" s="3">
        <f t="shared" si="74"/>
        <v>5.9557623199148597E-2</v>
      </c>
      <c r="X148" s="3">
        <f t="shared" si="74"/>
        <v>5.945348670327133E-2</v>
      </c>
      <c r="Y148" s="3">
        <f t="shared" si="74"/>
        <v>5.8422083942126897E-2</v>
      </c>
      <c r="Z148" s="3">
        <f t="shared" si="74"/>
        <v>4.9042680076077524E-2</v>
      </c>
      <c r="AA148" s="3">
        <f>$C34*EXP(-AA$129/$A34/EXP(-$B$126))</f>
        <v>8.5220819387212127E-3</v>
      </c>
      <c r="AB148" s="3">
        <f t="shared" si="67"/>
        <v>2.1392463869621623E-10</v>
      </c>
      <c r="AC148" s="3">
        <f t="shared" si="67"/>
        <v>2.1252588001599957E-86</v>
      </c>
      <c r="AD148" s="3">
        <f t="shared" si="67"/>
        <v>0</v>
      </c>
      <c r="AE148" s="3">
        <f t="shared" si="67"/>
        <v>0</v>
      </c>
      <c r="AF148" s="3">
        <f t="shared" si="67"/>
        <v>0</v>
      </c>
    </row>
    <row r="149" spans="1:32" x14ac:dyDescent="0.25">
      <c r="B149" s="3">
        <f t="shared" ref="B149:Z149" si="75">$C35*EXP(-B$129/$A35/EXP(-$B$126))</f>
        <v>6.4663842713273356E-2</v>
      </c>
      <c r="C149" s="3">
        <f t="shared" si="75"/>
        <v>6.4663842713273356E-2</v>
      </c>
      <c r="D149" s="3">
        <f t="shared" si="75"/>
        <v>6.4663842713273356E-2</v>
      </c>
      <c r="E149" s="3">
        <f t="shared" si="75"/>
        <v>6.4663842713273356E-2</v>
      </c>
      <c r="F149" s="3">
        <f t="shared" si="75"/>
        <v>6.4663842713273356E-2</v>
      </c>
      <c r="G149" s="3">
        <f t="shared" si="75"/>
        <v>6.4663842713273356E-2</v>
      </c>
      <c r="H149" s="3">
        <f t="shared" si="75"/>
        <v>6.4663842713273356E-2</v>
      </c>
      <c r="I149" s="3">
        <f t="shared" si="75"/>
        <v>6.4663842713273356E-2</v>
      </c>
      <c r="J149" s="3">
        <f t="shared" si="75"/>
        <v>6.4663842713273356E-2</v>
      </c>
      <c r="K149" s="3">
        <f t="shared" si="75"/>
        <v>6.4663842713273356E-2</v>
      </c>
      <c r="L149" s="3">
        <f t="shared" si="75"/>
        <v>6.4663842713273342E-2</v>
      </c>
      <c r="M149" s="3">
        <f t="shared" si="75"/>
        <v>6.4663842713273245E-2</v>
      </c>
      <c r="N149" s="3">
        <f t="shared" si="75"/>
        <v>6.4663842713272218E-2</v>
      </c>
      <c r="O149" s="3">
        <f t="shared" si="75"/>
        <v>6.4663842713262018E-2</v>
      </c>
      <c r="P149" s="3">
        <f t="shared" si="75"/>
        <v>6.4663842713159933E-2</v>
      </c>
      <c r="Q149" s="3">
        <f t="shared" si="75"/>
        <v>6.4663842712139097E-2</v>
      </c>
      <c r="R149" s="3">
        <f t="shared" si="75"/>
        <v>6.466384270193079E-2</v>
      </c>
      <c r="S149" s="3">
        <f t="shared" si="75"/>
        <v>6.466384259984774E-2</v>
      </c>
      <c r="T149" s="3">
        <f t="shared" si="75"/>
        <v>6.4663841579017195E-2</v>
      </c>
      <c r="U149" s="3">
        <f t="shared" si="75"/>
        <v>6.4663831370712618E-2</v>
      </c>
      <c r="V149" s="3">
        <f t="shared" si="75"/>
        <v>6.4663729287755461E-2</v>
      </c>
      <c r="W149" s="3">
        <f t="shared" si="75"/>
        <v>6.4662708467047386E-2</v>
      </c>
      <c r="X149" s="3">
        <f t="shared" si="75"/>
        <v>6.4652501146265792E-2</v>
      </c>
      <c r="Y149" s="3">
        <f t="shared" si="75"/>
        <v>6.4550516516613934E-2</v>
      </c>
      <c r="Z149" s="3">
        <f t="shared" si="75"/>
        <v>6.3539476514959337E-2</v>
      </c>
      <c r="AA149" s="3">
        <f t="shared" ref="AA149" si="76">$C35*EXP(-AA$129/$A35/EXP(-$B$126))</f>
        <v>5.4260368622952415E-2</v>
      </c>
      <c r="AB149" s="3">
        <f t="shared" si="67"/>
        <v>1.1191126728898234E-2</v>
      </c>
      <c r="AC149" s="3">
        <f t="shared" si="67"/>
        <v>1.5587790225365887E-9</v>
      </c>
      <c r="AD149" s="3">
        <f t="shared" si="67"/>
        <v>4.2844190439820281E-78</v>
      </c>
      <c r="AE149" s="3">
        <f t="shared" si="67"/>
        <v>0</v>
      </c>
      <c r="AF149" s="3">
        <f t="shared" si="67"/>
        <v>0</v>
      </c>
    </row>
    <row r="150" spans="1:32" x14ac:dyDescent="0.25">
      <c r="B150" s="3">
        <f t="shared" ref="B150:Z150" si="77">$C36*EXP(-B$129/$A36/EXP(-$B$126))</f>
        <v>4.8548005334617741E-2</v>
      </c>
      <c r="C150" s="3">
        <f t="shared" si="77"/>
        <v>4.8548005334617741E-2</v>
      </c>
      <c r="D150" s="3">
        <f t="shared" si="77"/>
        <v>4.8548005334617741E-2</v>
      </c>
      <c r="E150" s="3">
        <f t="shared" si="77"/>
        <v>4.8548005334617741E-2</v>
      </c>
      <c r="F150" s="3">
        <f t="shared" si="77"/>
        <v>4.8548005334617741E-2</v>
      </c>
      <c r="G150" s="3">
        <f t="shared" si="77"/>
        <v>4.8548005334617741E-2</v>
      </c>
      <c r="H150" s="3">
        <f t="shared" si="77"/>
        <v>4.8548005334617741E-2</v>
      </c>
      <c r="I150" s="3">
        <f t="shared" si="77"/>
        <v>4.8548005334617741E-2</v>
      </c>
      <c r="J150" s="3">
        <f t="shared" si="77"/>
        <v>4.8548005334617741E-2</v>
      </c>
      <c r="K150" s="3">
        <f t="shared" si="77"/>
        <v>4.8548005334617741E-2</v>
      </c>
      <c r="L150" s="3">
        <f t="shared" si="77"/>
        <v>4.8548005334617741E-2</v>
      </c>
      <c r="M150" s="3">
        <f t="shared" si="77"/>
        <v>4.8548005334617735E-2</v>
      </c>
      <c r="N150" s="3">
        <f t="shared" si="77"/>
        <v>4.8548005334617665E-2</v>
      </c>
      <c r="O150" s="3">
        <f t="shared" si="77"/>
        <v>4.8548005334616971E-2</v>
      </c>
      <c r="P150" s="3">
        <f t="shared" si="77"/>
        <v>4.854800533461006E-2</v>
      </c>
      <c r="Q150" s="3">
        <f t="shared" si="77"/>
        <v>4.8548005334540928E-2</v>
      </c>
      <c r="R150" s="3">
        <f t="shared" si="77"/>
        <v>4.8548005333849557E-2</v>
      </c>
      <c r="S150" s="3">
        <f t="shared" si="77"/>
        <v>4.8548005326935859E-2</v>
      </c>
      <c r="T150" s="3">
        <f t="shared" si="77"/>
        <v>4.8548005257798926E-2</v>
      </c>
      <c r="U150" s="3">
        <f t="shared" si="77"/>
        <v>4.8548004566429562E-2</v>
      </c>
      <c r="V150" s="3">
        <f t="shared" si="77"/>
        <v>4.8547997652736478E-2</v>
      </c>
      <c r="W150" s="3">
        <f t="shared" si="77"/>
        <v>4.8547928515859838E-2</v>
      </c>
      <c r="X150" s="3">
        <f t="shared" si="77"/>
        <v>4.8547237152508499E-2</v>
      </c>
      <c r="Y150" s="3">
        <f t="shared" si="77"/>
        <v>4.8540324060479756E-2</v>
      </c>
      <c r="Z150" s="3">
        <f t="shared" si="77"/>
        <v>4.8471247260135408E-2</v>
      </c>
      <c r="AA150" s="3">
        <f t="shared" ref="AA150" si="78">$C36*EXP(-AA$129/$A36/EXP(-$B$126))</f>
        <v>4.7785862842693795E-2</v>
      </c>
      <c r="AB150" s="3">
        <f t="shared" si="67"/>
        <v>4.1443058929414869E-2</v>
      </c>
      <c r="AC150" s="3">
        <f t="shared" si="67"/>
        <v>9.9764381594053542E-3</v>
      </c>
      <c r="AD150" s="3">
        <f t="shared" si="67"/>
        <v>6.5194750798169341E-9</v>
      </c>
      <c r="AE150" s="3">
        <f t="shared" si="67"/>
        <v>9.2594198589579479E-71</v>
      </c>
      <c r="AF150" s="3">
        <f t="shared" si="67"/>
        <v>0</v>
      </c>
    </row>
    <row r="151" spans="1:32" x14ac:dyDescent="0.25">
      <c r="B151" s="3">
        <f t="shared" ref="B151:Z151" si="79">$C37*EXP(-B$129/$A37/EXP(-$B$126))</f>
        <v>3.8659494646510029E-2</v>
      </c>
      <c r="C151" s="3">
        <f t="shared" si="79"/>
        <v>3.8659494646510029E-2</v>
      </c>
      <c r="D151" s="3">
        <f t="shared" si="79"/>
        <v>3.8659494646510029E-2</v>
      </c>
      <c r="E151" s="3">
        <f t="shared" si="79"/>
        <v>3.8659494646510029E-2</v>
      </c>
      <c r="F151" s="3">
        <f t="shared" si="79"/>
        <v>3.8659494646510029E-2</v>
      </c>
      <c r="G151" s="3">
        <f t="shared" si="79"/>
        <v>3.8659494646510029E-2</v>
      </c>
      <c r="H151" s="3">
        <f t="shared" si="79"/>
        <v>3.8659494646510029E-2</v>
      </c>
      <c r="I151" s="3">
        <f t="shared" si="79"/>
        <v>3.8659494646510029E-2</v>
      </c>
      <c r="J151" s="3">
        <f t="shared" si="79"/>
        <v>3.8659494646510029E-2</v>
      </c>
      <c r="K151" s="3">
        <f t="shared" si="79"/>
        <v>3.8659494646510029E-2</v>
      </c>
      <c r="L151" s="3">
        <f t="shared" si="79"/>
        <v>3.8659494646510029E-2</v>
      </c>
      <c r="M151" s="3">
        <f t="shared" si="79"/>
        <v>3.8659494646510029E-2</v>
      </c>
      <c r="N151" s="3">
        <f t="shared" si="79"/>
        <v>3.8659494646510022E-2</v>
      </c>
      <c r="O151" s="3">
        <f t="shared" si="79"/>
        <v>3.8659494646509973E-2</v>
      </c>
      <c r="P151" s="3">
        <f t="shared" si="79"/>
        <v>3.8659494646509474E-2</v>
      </c>
      <c r="Q151" s="3">
        <f t="shared" si="79"/>
        <v>3.8659494646504512E-2</v>
      </c>
      <c r="R151" s="3">
        <f t="shared" si="79"/>
        <v>3.8659494646454844E-2</v>
      </c>
      <c r="S151" s="3">
        <f t="shared" si="79"/>
        <v>3.8659494645958206E-2</v>
      </c>
      <c r="T151" s="3">
        <f t="shared" si="79"/>
        <v>3.8659494640991811E-2</v>
      </c>
      <c r="U151" s="3">
        <f t="shared" si="79"/>
        <v>3.865949459132783E-2</v>
      </c>
      <c r="V151" s="3">
        <f t="shared" si="79"/>
        <v>3.8659494094688052E-2</v>
      </c>
      <c r="W151" s="3">
        <f t="shared" si="79"/>
        <v>3.8659489128290599E-2</v>
      </c>
      <c r="X151" s="3">
        <f t="shared" si="79"/>
        <v>3.8659439464351193E-2</v>
      </c>
      <c r="Y151" s="3">
        <f t="shared" si="79"/>
        <v>3.8658942828466103E-2</v>
      </c>
      <c r="Z151" s="3">
        <f t="shared" si="79"/>
        <v>3.8653976820501687E-2</v>
      </c>
      <c r="AA151" s="3">
        <f t="shared" ref="AA151" si="80">$C37*EXP(-AA$129/$A37/EXP(-$B$126))</f>
        <v>3.8604351812829521E-2</v>
      </c>
      <c r="AB151" s="3">
        <f t="shared" si="67"/>
        <v>3.8111592319991228E-2</v>
      </c>
      <c r="AC151" s="3">
        <f t="shared" si="67"/>
        <v>3.3517019166069861E-2</v>
      </c>
      <c r="AD151" s="3">
        <f t="shared" si="67"/>
        <v>9.2757347969203083E-3</v>
      </c>
      <c r="AE151" s="3">
        <f t="shared" si="67"/>
        <v>2.4444304104199387E-8</v>
      </c>
      <c r="AF151" s="3">
        <f t="shared" si="67"/>
        <v>3.9488553554388333E-64</v>
      </c>
    </row>
    <row r="152" spans="1:32" x14ac:dyDescent="0.25">
      <c r="B152" s="3">
        <f t="shared" ref="B152:Z152" si="81">$C38*EXP(-B$129/$A38/EXP(-$B$126))</f>
        <v>6.6103757573429938E-3</v>
      </c>
      <c r="C152" s="3">
        <f t="shared" si="81"/>
        <v>6.6103757573429938E-3</v>
      </c>
      <c r="D152" s="3">
        <f t="shared" si="81"/>
        <v>6.6103757573429938E-3</v>
      </c>
      <c r="E152" s="3">
        <f t="shared" si="81"/>
        <v>6.6103757573429938E-3</v>
      </c>
      <c r="F152" s="3">
        <f t="shared" si="81"/>
        <v>6.6103757573429938E-3</v>
      </c>
      <c r="G152" s="3">
        <f t="shared" si="81"/>
        <v>6.6103757573429938E-3</v>
      </c>
      <c r="H152" s="3">
        <f t="shared" si="81"/>
        <v>6.6103757573429938E-3</v>
      </c>
      <c r="I152" s="3">
        <f t="shared" si="81"/>
        <v>6.6103757573429938E-3</v>
      </c>
      <c r="J152" s="3">
        <f t="shared" si="81"/>
        <v>6.6103757573429938E-3</v>
      </c>
      <c r="K152" s="3">
        <f t="shared" si="81"/>
        <v>6.6103757573429938E-3</v>
      </c>
      <c r="L152" s="3">
        <f t="shared" si="81"/>
        <v>6.6103757573429938E-3</v>
      </c>
      <c r="M152" s="3">
        <f t="shared" si="81"/>
        <v>6.6103757573429938E-3</v>
      </c>
      <c r="N152" s="3">
        <f t="shared" si="81"/>
        <v>6.6103757573429938E-3</v>
      </c>
      <c r="O152" s="3">
        <f t="shared" si="81"/>
        <v>6.6103757573429929E-3</v>
      </c>
      <c r="P152" s="3">
        <f t="shared" si="81"/>
        <v>6.6103757573429851E-3</v>
      </c>
      <c r="Q152" s="3">
        <f t="shared" si="81"/>
        <v>6.6103757573429088E-3</v>
      </c>
      <c r="R152" s="3">
        <f t="shared" si="81"/>
        <v>6.6103757573421421E-3</v>
      </c>
      <c r="S152" s="3">
        <f t="shared" si="81"/>
        <v>6.6103757573344824E-3</v>
      </c>
      <c r="T152" s="3">
        <f t="shared" si="81"/>
        <v>6.610375757257877E-3</v>
      </c>
      <c r="U152" s="3">
        <f t="shared" si="81"/>
        <v>6.6103757564918248E-3</v>
      </c>
      <c r="V152" s="3">
        <f t="shared" si="81"/>
        <v>6.6103757488313085E-3</v>
      </c>
      <c r="W152" s="3">
        <f t="shared" si="81"/>
        <v>6.6103756722261401E-3</v>
      </c>
      <c r="X152" s="3">
        <f t="shared" si="81"/>
        <v>6.6103749061745109E-3</v>
      </c>
      <c r="Y152" s="3">
        <f t="shared" si="81"/>
        <v>6.6103672456630956E-3</v>
      </c>
      <c r="Z152" s="3">
        <f t="shared" si="81"/>
        <v>6.6102906410371977E-3</v>
      </c>
      <c r="AA152" s="3">
        <f t="shared" ref="AA152" si="82">$C38*EXP(-AA$129/$A38/EXP(-$B$126))</f>
        <v>6.6095246436020712E-3</v>
      </c>
      <c r="AB152" s="3">
        <f t="shared" si="67"/>
        <v>6.6018695495426872E-3</v>
      </c>
      <c r="AC152" s="3">
        <f t="shared" si="67"/>
        <v>6.5258045520399021E-3</v>
      </c>
      <c r="AD152" s="3">
        <f t="shared" si="67"/>
        <v>5.8117282888988228E-3</v>
      </c>
      <c r="AE152" s="3">
        <f t="shared" si="67"/>
        <v>1.8239700189794747E-3</v>
      </c>
      <c r="AF152" s="3">
        <f t="shared" si="67"/>
        <v>1.690992304564235E-8</v>
      </c>
    </row>
    <row r="153" spans="1:32" x14ac:dyDescent="0.25">
      <c r="B153" s="3">
        <f t="shared" ref="B153:Z153" si="83">$C39*EXP(-B$129/$A39/EXP(-$B$126))</f>
        <v>1.6903393193058183E-2</v>
      </c>
      <c r="C153" s="3">
        <f t="shared" si="83"/>
        <v>1.6903393193058183E-2</v>
      </c>
      <c r="D153" s="3">
        <f t="shared" si="83"/>
        <v>1.6903393193058183E-2</v>
      </c>
      <c r="E153" s="3">
        <f t="shared" si="83"/>
        <v>1.6903393193058183E-2</v>
      </c>
      <c r="F153" s="3">
        <f t="shared" si="83"/>
        <v>1.6903393193058183E-2</v>
      </c>
      <c r="G153" s="3">
        <f t="shared" si="83"/>
        <v>1.6903393193058183E-2</v>
      </c>
      <c r="H153" s="3">
        <f t="shared" si="83"/>
        <v>1.6903393193058183E-2</v>
      </c>
      <c r="I153" s="3">
        <f t="shared" si="83"/>
        <v>1.6903393193058183E-2</v>
      </c>
      <c r="J153" s="3">
        <f t="shared" si="83"/>
        <v>1.6903393193058183E-2</v>
      </c>
      <c r="K153" s="3">
        <f t="shared" si="83"/>
        <v>1.6903393193058183E-2</v>
      </c>
      <c r="L153" s="3">
        <f t="shared" si="83"/>
        <v>1.6903393193058183E-2</v>
      </c>
      <c r="M153" s="3">
        <f t="shared" si="83"/>
        <v>1.6903393193058183E-2</v>
      </c>
      <c r="N153" s="3">
        <f t="shared" si="83"/>
        <v>1.6903393193058183E-2</v>
      </c>
      <c r="O153" s="3">
        <f t="shared" si="83"/>
        <v>1.6903393193058183E-2</v>
      </c>
      <c r="P153" s="3">
        <f t="shared" si="83"/>
        <v>1.6903393193058176E-2</v>
      </c>
      <c r="Q153" s="3">
        <f t="shared" si="83"/>
        <v>1.6903393193058124E-2</v>
      </c>
      <c r="R153" s="3">
        <f t="shared" si="83"/>
        <v>1.690339319305758E-2</v>
      </c>
      <c r="S153" s="3">
        <f t="shared" si="83"/>
        <v>1.6903393193052164E-2</v>
      </c>
      <c r="T153" s="3">
        <f t="shared" si="83"/>
        <v>1.6903393192997985E-2</v>
      </c>
      <c r="U153" s="3">
        <f t="shared" si="83"/>
        <v>1.690339319245621E-2</v>
      </c>
      <c r="V153" s="3">
        <f t="shared" si="83"/>
        <v>1.6903393187038467E-2</v>
      </c>
      <c r="W153" s="3">
        <f t="shared" si="83"/>
        <v>1.6903393132860999E-2</v>
      </c>
      <c r="X153" s="3">
        <f t="shared" si="83"/>
        <v>1.690339259108636E-2</v>
      </c>
      <c r="Y153" s="3">
        <f t="shared" si="83"/>
        <v>1.6903387173340924E-2</v>
      </c>
      <c r="Z153" s="3">
        <f t="shared" si="83"/>
        <v>1.6903332995982043E-2</v>
      </c>
      <c r="AA153" s="3">
        <f t="shared" ref="AA153" si="84">$C39*EXP(-AA$129/$A39/EXP(-$B$126))</f>
        <v>1.6902791231943656E-2</v>
      </c>
      <c r="AB153" s="3">
        <f t="shared" si="67"/>
        <v>1.6897374546484011E-2</v>
      </c>
      <c r="AC153" s="3">
        <f t="shared" si="67"/>
        <v>1.6843303071167708E-2</v>
      </c>
      <c r="AD153" s="3">
        <f t="shared" si="67"/>
        <v>1.6312014099306788E-2</v>
      </c>
      <c r="AE153" s="3">
        <f t="shared" si="67"/>
        <v>1.1838885966589238E-2</v>
      </c>
      <c r="AF153" s="3">
        <f t="shared" si="67"/>
        <v>4.8011285017919569E-4</v>
      </c>
    </row>
    <row r="154" spans="1:32" x14ac:dyDescent="0.25">
      <c r="B154" s="3">
        <f t="shared" ref="B154:Z154" si="85">$C40*EXP(-B$129/$A40/EXP(-$B$126))</f>
        <v>1.9810156254800116E-3</v>
      </c>
      <c r="C154" s="3">
        <f t="shared" si="85"/>
        <v>1.9810156254800116E-3</v>
      </c>
      <c r="D154" s="3">
        <f t="shared" si="85"/>
        <v>1.9810156254800116E-3</v>
      </c>
      <c r="E154" s="3">
        <f t="shared" si="85"/>
        <v>1.9810156254800116E-3</v>
      </c>
      <c r="F154" s="3">
        <f t="shared" si="85"/>
        <v>1.9810156254800116E-3</v>
      </c>
      <c r="G154" s="3">
        <f t="shared" si="85"/>
        <v>1.9810156254800116E-3</v>
      </c>
      <c r="H154" s="3">
        <f t="shared" si="85"/>
        <v>1.9810156254800116E-3</v>
      </c>
      <c r="I154" s="3">
        <f t="shared" si="85"/>
        <v>1.9810156254800116E-3</v>
      </c>
      <c r="J154" s="3">
        <f t="shared" si="85"/>
        <v>1.9810156254800116E-3</v>
      </c>
      <c r="K154" s="3">
        <f t="shared" si="85"/>
        <v>1.9810156254800116E-3</v>
      </c>
      <c r="L154" s="3">
        <f t="shared" si="85"/>
        <v>1.9810156254800116E-3</v>
      </c>
      <c r="M154" s="3">
        <f t="shared" si="85"/>
        <v>1.9810156254800116E-3</v>
      </c>
      <c r="N154" s="3">
        <f t="shared" si="85"/>
        <v>1.9810156254800116E-3</v>
      </c>
      <c r="O154" s="3">
        <f t="shared" si="85"/>
        <v>1.9810156254800116E-3</v>
      </c>
      <c r="P154" s="3">
        <f t="shared" si="85"/>
        <v>1.9810156254800116E-3</v>
      </c>
      <c r="Q154" s="3">
        <f t="shared" si="85"/>
        <v>1.9810156254800107E-3</v>
      </c>
      <c r="R154" s="3">
        <f t="shared" si="85"/>
        <v>1.9810156254800046E-3</v>
      </c>
      <c r="S154" s="3">
        <f t="shared" si="85"/>
        <v>1.9810156254799409E-3</v>
      </c>
      <c r="T154" s="3">
        <f t="shared" si="85"/>
        <v>1.981015625479306E-3</v>
      </c>
      <c r="U154" s="3">
        <f t="shared" si="85"/>
        <v>1.9810156254729564E-3</v>
      </c>
      <c r="V154" s="3">
        <f t="shared" si="85"/>
        <v>1.9810156254094625E-3</v>
      </c>
      <c r="W154" s="3">
        <f t="shared" si="85"/>
        <v>1.9810156247745229E-3</v>
      </c>
      <c r="X154" s="3">
        <f t="shared" si="85"/>
        <v>1.9810156184251228E-3</v>
      </c>
      <c r="Y154" s="3">
        <f t="shared" si="85"/>
        <v>1.9810155549311241E-3</v>
      </c>
      <c r="Z154" s="3">
        <f t="shared" si="85"/>
        <v>1.9810149199912487E-3</v>
      </c>
      <c r="AA154" s="3">
        <f t="shared" ref="AA154:AF154" si="86">$C40*EXP(-AA$129/$A40/EXP(-$B$126))</f>
        <v>1.9810085706036874E-3</v>
      </c>
      <c r="AB154" s="3">
        <f t="shared" si="86"/>
        <v>1.9809450778473445E-3</v>
      </c>
      <c r="AC154" s="3">
        <f t="shared" si="86"/>
        <v>1.9803102621975331E-3</v>
      </c>
      <c r="AD154" s="3">
        <f t="shared" si="86"/>
        <v>1.9739732838008912E-3</v>
      </c>
      <c r="AE154" s="3">
        <f t="shared" si="86"/>
        <v>1.9117081667985889E-3</v>
      </c>
      <c r="AF154" s="3">
        <f t="shared" si="86"/>
        <v>1.3874739716591873E-3</v>
      </c>
    </row>
    <row r="155" spans="1:32" x14ac:dyDescent="0.25">
      <c r="B155" s="3">
        <f t="shared" ref="B155:Z155" si="87">$C41*EXP(-B$129/$A41/EXP(-$B$126))</f>
        <v>4.9795148637895425E-3</v>
      </c>
      <c r="C155" s="3">
        <f t="shared" si="87"/>
        <v>4.9795148637895425E-3</v>
      </c>
      <c r="D155" s="3">
        <f t="shared" si="87"/>
        <v>4.9795148637895425E-3</v>
      </c>
      <c r="E155" s="3">
        <f t="shared" si="87"/>
        <v>4.9795148637895425E-3</v>
      </c>
      <c r="F155" s="3">
        <f t="shared" si="87"/>
        <v>4.9795148637895425E-3</v>
      </c>
      <c r="G155" s="3">
        <f t="shared" si="87"/>
        <v>4.9795148637895425E-3</v>
      </c>
      <c r="H155" s="3">
        <f t="shared" si="87"/>
        <v>4.9795148637895425E-3</v>
      </c>
      <c r="I155" s="3">
        <f t="shared" si="87"/>
        <v>4.9795148637895425E-3</v>
      </c>
      <c r="J155" s="3">
        <f t="shared" si="87"/>
        <v>4.9795148637895425E-3</v>
      </c>
      <c r="K155" s="3">
        <f t="shared" si="87"/>
        <v>4.9795148637895425E-3</v>
      </c>
      <c r="L155" s="3">
        <f t="shared" si="87"/>
        <v>4.9795148637895425E-3</v>
      </c>
      <c r="M155" s="3">
        <f t="shared" si="87"/>
        <v>4.9795148637895425E-3</v>
      </c>
      <c r="N155" s="3">
        <f t="shared" si="87"/>
        <v>4.9795148637895425E-3</v>
      </c>
      <c r="O155" s="3">
        <f t="shared" si="87"/>
        <v>4.9795148637895425E-3</v>
      </c>
      <c r="P155" s="3">
        <f t="shared" si="87"/>
        <v>4.9795148637895425E-3</v>
      </c>
      <c r="Q155" s="3">
        <f t="shared" si="87"/>
        <v>4.9795148637895425E-3</v>
      </c>
      <c r="R155" s="3">
        <f t="shared" si="87"/>
        <v>4.9795148637895408E-3</v>
      </c>
      <c r="S155" s="3">
        <f t="shared" si="87"/>
        <v>4.9795148637895251E-3</v>
      </c>
      <c r="T155" s="3">
        <f t="shared" si="87"/>
        <v>4.9795148637893647E-3</v>
      </c>
      <c r="U155" s="3">
        <f t="shared" si="87"/>
        <v>4.9795148637877687E-3</v>
      </c>
      <c r="V155" s="3">
        <f t="shared" si="87"/>
        <v>4.9795148637718093E-3</v>
      </c>
      <c r="W155" s="3">
        <f t="shared" si="87"/>
        <v>4.9795148636122095E-3</v>
      </c>
      <c r="X155" s="3">
        <f t="shared" si="87"/>
        <v>4.9795148620162136E-3</v>
      </c>
      <c r="Y155" s="3">
        <f t="shared" si="87"/>
        <v>4.9795148460562528E-3</v>
      </c>
      <c r="Z155" s="3">
        <f t="shared" si="87"/>
        <v>4.9795146864566485E-3</v>
      </c>
      <c r="AA155" s="3">
        <f t="shared" ref="AA155:AF155" si="88">$C41*EXP(-AA$129/$A41/EXP(-$B$126))</f>
        <v>4.9795130904608841E-3</v>
      </c>
      <c r="AB155" s="3">
        <f t="shared" si="88"/>
        <v>4.9794971305313759E-3</v>
      </c>
      <c r="AC155" s="3">
        <f t="shared" si="88"/>
        <v>4.9793375340497093E-3</v>
      </c>
      <c r="AD155" s="3">
        <f t="shared" si="88"/>
        <v>4.9777418505410368E-3</v>
      </c>
      <c r="AE155" s="3">
        <f t="shared" si="88"/>
        <v>4.961813112921945E-3</v>
      </c>
      <c r="AF155" s="3">
        <f t="shared" si="88"/>
        <v>4.8053024465644139E-3</v>
      </c>
    </row>
    <row r="156" spans="1:32" x14ac:dyDescent="0.25">
      <c r="B156" s="3">
        <f t="shared" ref="B156:Z156" si="89">$C42*EXP(-B$129/$A42/EXP(-$B$126))</f>
        <v>1.5203897421204233E-3</v>
      </c>
      <c r="C156" s="3">
        <f t="shared" si="89"/>
        <v>1.5203897421204233E-3</v>
      </c>
      <c r="D156" s="3">
        <f t="shared" si="89"/>
        <v>1.5203897421204233E-3</v>
      </c>
      <c r="E156" s="3">
        <f t="shared" si="89"/>
        <v>1.5203897421204233E-3</v>
      </c>
      <c r="F156" s="3">
        <f t="shared" si="89"/>
        <v>1.5203897421204233E-3</v>
      </c>
      <c r="G156" s="3">
        <f t="shared" si="89"/>
        <v>1.5203897421204233E-3</v>
      </c>
      <c r="H156" s="3">
        <f t="shared" si="89"/>
        <v>1.5203897421204233E-3</v>
      </c>
      <c r="I156" s="3">
        <f t="shared" si="89"/>
        <v>1.5203897421204233E-3</v>
      </c>
      <c r="J156" s="3">
        <f t="shared" si="89"/>
        <v>1.5203897421204233E-3</v>
      </c>
      <c r="K156" s="3">
        <f t="shared" si="89"/>
        <v>1.5203897421204233E-3</v>
      </c>
      <c r="L156" s="3">
        <f t="shared" si="89"/>
        <v>1.5203897421204233E-3</v>
      </c>
      <c r="M156" s="3">
        <f t="shared" si="89"/>
        <v>1.5203897421204233E-3</v>
      </c>
      <c r="N156" s="3">
        <f t="shared" si="89"/>
        <v>1.5203897421204233E-3</v>
      </c>
      <c r="O156" s="3">
        <f t="shared" si="89"/>
        <v>1.5203897421204233E-3</v>
      </c>
      <c r="P156" s="3">
        <f t="shared" si="89"/>
        <v>1.5203897421204233E-3</v>
      </c>
      <c r="Q156" s="3">
        <f t="shared" si="89"/>
        <v>1.5203897421204233E-3</v>
      </c>
      <c r="R156" s="3">
        <f t="shared" si="89"/>
        <v>1.5203897421204233E-3</v>
      </c>
      <c r="S156" s="3">
        <f t="shared" si="89"/>
        <v>1.5203897421204229E-3</v>
      </c>
      <c r="T156" s="3">
        <f t="shared" si="89"/>
        <v>1.5203897421204179E-3</v>
      </c>
      <c r="U156" s="3">
        <f t="shared" si="89"/>
        <v>1.5203897421203691E-3</v>
      </c>
      <c r="V156" s="3">
        <f t="shared" si="89"/>
        <v>1.5203897421198819E-3</v>
      </c>
      <c r="W156" s="3">
        <f t="shared" si="89"/>
        <v>1.5203897421150088E-3</v>
      </c>
      <c r="X156" s="3">
        <f t="shared" si="89"/>
        <v>1.5203897420662785E-3</v>
      </c>
      <c r="Y156" s="3">
        <f t="shared" si="89"/>
        <v>1.5203897415789749E-3</v>
      </c>
      <c r="Z156" s="3">
        <f t="shared" si="89"/>
        <v>1.5203897367059376E-3</v>
      </c>
      <c r="AA156" s="3">
        <f t="shared" ref="AA156:AF156" si="90">$C42*EXP(-AA$129/$A42/EXP(-$B$126))</f>
        <v>1.5203896879755676E-3</v>
      </c>
      <c r="AB156" s="3">
        <f t="shared" si="90"/>
        <v>1.5203892006719537E-3</v>
      </c>
      <c r="AC156" s="3">
        <f t="shared" si="90"/>
        <v>1.5203843276444054E-3</v>
      </c>
      <c r="AD156" s="3">
        <f t="shared" si="90"/>
        <v>1.5203355982279377E-3</v>
      </c>
      <c r="AE156" s="3">
        <f t="shared" si="90"/>
        <v>1.5198483899547185E-3</v>
      </c>
      <c r="AF156" s="3">
        <f t="shared" si="90"/>
        <v>1.5149848861911082E-3</v>
      </c>
    </row>
    <row r="157" spans="1:32" x14ac:dyDescent="0.25">
      <c r="B157" s="3">
        <f t="shared" ref="B157:Z157" si="91">$C43*EXP(-B$129/$A43/EXP(-$B$126))</f>
        <v>3.2547360985645695E-4</v>
      </c>
      <c r="C157" s="3">
        <f t="shared" si="91"/>
        <v>3.2547360985645695E-4</v>
      </c>
      <c r="D157" s="3">
        <f t="shared" si="91"/>
        <v>3.2547360985645695E-4</v>
      </c>
      <c r="E157" s="3">
        <f t="shared" si="91"/>
        <v>3.2547360985645695E-4</v>
      </c>
      <c r="F157" s="3">
        <f t="shared" si="91"/>
        <v>3.2547360985645695E-4</v>
      </c>
      <c r="G157" s="3">
        <f t="shared" si="91"/>
        <v>3.2547360985645695E-4</v>
      </c>
      <c r="H157" s="3">
        <f t="shared" si="91"/>
        <v>3.2547360985645695E-4</v>
      </c>
      <c r="I157" s="3">
        <f t="shared" si="91"/>
        <v>3.2547360985645695E-4</v>
      </c>
      <c r="J157" s="3">
        <f t="shared" si="91"/>
        <v>3.2547360985645695E-4</v>
      </c>
      <c r="K157" s="3">
        <f t="shared" si="91"/>
        <v>3.2547360985645695E-4</v>
      </c>
      <c r="L157" s="3">
        <f t="shared" si="91"/>
        <v>3.2547360985645695E-4</v>
      </c>
      <c r="M157" s="3">
        <f t="shared" si="91"/>
        <v>3.2547360985645695E-4</v>
      </c>
      <c r="N157" s="3">
        <f t="shared" si="91"/>
        <v>3.2547360985645695E-4</v>
      </c>
      <c r="O157" s="3">
        <f t="shared" si="91"/>
        <v>3.2547360985645695E-4</v>
      </c>
      <c r="P157" s="3">
        <f t="shared" si="91"/>
        <v>3.2547360985645695E-4</v>
      </c>
      <c r="Q157" s="3">
        <f t="shared" si="91"/>
        <v>3.2547360985645695E-4</v>
      </c>
      <c r="R157" s="3">
        <f t="shared" si="91"/>
        <v>3.2547360985645695E-4</v>
      </c>
      <c r="S157" s="3">
        <f t="shared" si="91"/>
        <v>3.2547360985645695E-4</v>
      </c>
      <c r="T157" s="3">
        <f t="shared" si="91"/>
        <v>3.2547360985645684E-4</v>
      </c>
      <c r="U157" s="3">
        <f t="shared" si="91"/>
        <v>3.2547360985645581E-4</v>
      </c>
      <c r="V157" s="3">
        <f t="shared" si="91"/>
        <v>3.2547360985644535E-4</v>
      </c>
      <c r="W157" s="3">
        <f t="shared" si="91"/>
        <v>3.2547360985634105E-4</v>
      </c>
      <c r="X157" s="3">
        <f t="shared" si="91"/>
        <v>3.2547360985529783E-4</v>
      </c>
      <c r="Y157" s="3">
        <f t="shared" si="91"/>
        <v>3.2547360984486602E-4</v>
      </c>
      <c r="Z157" s="3">
        <f t="shared" si="91"/>
        <v>3.2547360974054772E-4</v>
      </c>
      <c r="AA157" s="3">
        <f t="shared" ref="AA157:AF157" si="92">$C43*EXP(-AA$129/$A43/EXP(-$B$126))</f>
        <v>3.2547360869736455E-4</v>
      </c>
      <c r="AB157" s="3">
        <f t="shared" si="92"/>
        <v>3.2547359826553315E-4</v>
      </c>
      <c r="AC157" s="3">
        <f t="shared" si="92"/>
        <v>3.2547349394723772E-4</v>
      </c>
      <c r="AD157" s="3">
        <f t="shared" si="92"/>
        <v>3.2547245076612228E-4</v>
      </c>
      <c r="AE157" s="3">
        <f t="shared" si="92"/>
        <v>3.2546201913885955E-4</v>
      </c>
      <c r="AF157" s="3">
        <f t="shared" si="92"/>
        <v>3.2535772125322958E-4</v>
      </c>
    </row>
    <row r="158" spans="1:32" x14ac:dyDescent="0.25">
      <c r="B158" s="3">
        <f t="shared" ref="B158:Z158" si="93">$C44*EXP(-B$129/$A44/EXP(-$B$126))</f>
        <v>3.3657757333866336E-3</v>
      </c>
      <c r="C158" s="3">
        <f t="shared" si="93"/>
        <v>3.3657757333866336E-3</v>
      </c>
      <c r="D158" s="3">
        <f t="shared" si="93"/>
        <v>3.3657757333866336E-3</v>
      </c>
      <c r="E158" s="3">
        <f t="shared" si="93"/>
        <v>3.3657757333866336E-3</v>
      </c>
      <c r="F158" s="3">
        <f t="shared" si="93"/>
        <v>3.3657757333866336E-3</v>
      </c>
      <c r="G158" s="3">
        <f t="shared" si="93"/>
        <v>3.3657757333866336E-3</v>
      </c>
      <c r="H158" s="3">
        <f t="shared" si="93"/>
        <v>3.3657757333866336E-3</v>
      </c>
      <c r="I158" s="3">
        <f t="shared" si="93"/>
        <v>3.3657757333866336E-3</v>
      </c>
      <c r="J158" s="3">
        <f t="shared" si="93"/>
        <v>3.3657757333866336E-3</v>
      </c>
      <c r="K158" s="3">
        <f t="shared" si="93"/>
        <v>3.3657757333866336E-3</v>
      </c>
      <c r="L158" s="3">
        <f t="shared" si="93"/>
        <v>3.3657757333866336E-3</v>
      </c>
      <c r="M158" s="3">
        <f t="shared" si="93"/>
        <v>3.3657757333866336E-3</v>
      </c>
      <c r="N158" s="3">
        <f t="shared" si="93"/>
        <v>3.3657757333866336E-3</v>
      </c>
      <c r="O158" s="3">
        <f t="shared" si="93"/>
        <v>3.3657757333866336E-3</v>
      </c>
      <c r="P158" s="3">
        <f t="shared" si="93"/>
        <v>3.3657757333866336E-3</v>
      </c>
      <c r="Q158" s="3">
        <f t="shared" si="93"/>
        <v>3.3657757333866336E-3</v>
      </c>
      <c r="R158" s="3">
        <f t="shared" si="93"/>
        <v>3.3657757333866336E-3</v>
      </c>
      <c r="S158" s="3">
        <f t="shared" si="93"/>
        <v>3.3657757333866336E-3</v>
      </c>
      <c r="T158" s="3">
        <f t="shared" si="93"/>
        <v>3.3657757333866336E-3</v>
      </c>
      <c r="U158" s="3">
        <f t="shared" si="93"/>
        <v>3.3657757333866323E-3</v>
      </c>
      <c r="V158" s="3">
        <f t="shared" si="93"/>
        <v>3.3657757333866215E-3</v>
      </c>
      <c r="W158" s="3">
        <f t="shared" si="93"/>
        <v>3.3657757333865135E-3</v>
      </c>
      <c r="X158" s="3">
        <f t="shared" si="93"/>
        <v>3.365775733385435E-3</v>
      </c>
      <c r="Y158" s="3">
        <f t="shared" si="93"/>
        <v>3.3657757333746471E-3</v>
      </c>
      <c r="Z158" s="3">
        <f t="shared" si="93"/>
        <v>3.3657757332667699E-3</v>
      </c>
      <c r="AA158" s="3">
        <f t="shared" ref="AA158:AF158" si="94">$C44*EXP(-AA$129/$A44/EXP(-$B$126))</f>
        <v>3.3657757321879974E-3</v>
      </c>
      <c r="AB158" s="3">
        <f t="shared" si="94"/>
        <v>3.3657757214002699E-3</v>
      </c>
      <c r="AC158" s="3">
        <f t="shared" si="94"/>
        <v>3.3657756135229986E-3</v>
      </c>
      <c r="AD158" s="3">
        <f t="shared" si="94"/>
        <v>3.3657745347504754E-3</v>
      </c>
      <c r="AE158" s="3">
        <f t="shared" si="94"/>
        <v>3.3657637470442601E-3</v>
      </c>
      <c r="AF158" s="3">
        <f t="shared" si="94"/>
        <v>3.3656558718837635E-3</v>
      </c>
    </row>
    <row r="159" spans="1:32" x14ac:dyDescent="0.25">
      <c r="A159" s="11" t="s">
        <v>75</v>
      </c>
      <c r="B159" s="3">
        <f t="shared" ref="B159:Z159" si="95">$C45*EXP(-B$129/$A45/EXP(-$B$126))</f>
        <v>7.1877880972849508E-4</v>
      </c>
      <c r="C159" s="3">
        <f t="shared" si="95"/>
        <v>7.1877880972849508E-4</v>
      </c>
      <c r="D159" s="3">
        <f t="shared" si="95"/>
        <v>7.1877880972849508E-4</v>
      </c>
      <c r="E159" s="3">
        <f t="shared" si="95"/>
        <v>7.1877880972849508E-4</v>
      </c>
      <c r="F159" s="3">
        <f t="shared" si="95"/>
        <v>7.1877880972849508E-4</v>
      </c>
      <c r="G159" s="3">
        <f t="shared" si="95"/>
        <v>7.1877880972849508E-4</v>
      </c>
      <c r="H159" s="3">
        <f t="shared" si="95"/>
        <v>7.1877880972849508E-4</v>
      </c>
      <c r="I159" s="3">
        <f t="shared" si="95"/>
        <v>7.1877880972849508E-4</v>
      </c>
      <c r="J159" s="3">
        <f t="shared" si="95"/>
        <v>7.1877880972849508E-4</v>
      </c>
      <c r="K159" s="3">
        <f t="shared" si="95"/>
        <v>7.1877880972849508E-4</v>
      </c>
      <c r="L159" s="3">
        <f t="shared" si="95"/>
        <v>7.1877880972849508E-4</v>
      </c>
      <c r="M159" s="3">
        <f t="shared" si="95"/>
        <v>7.1877880972849508E-4</v>
      </c>
      <c r="N159" s="3">
        <f t="shared" si="95"/>
        <v>7.1877880972849508E-4</v>
      </c>
      <c r="O159" s="3">
        <f t="shared" si="95"/>
        <v>7.1877880972849508E-4</v>
      </c>
      <c r="P159" s="3">
        <f t="shared" si="95"/>
        <v>7.1877880972849508E-4</v>
      </c>
      <c r="Q159" s="3">
        <f t="shared" si="95"/>
        <v>7.1877880972849508E-4</v>
      </c>
      <c r="R159" s="3">
        <f t="shared" si="95"/>
        <v>7.1877880972849508E-4</v>
      </c>
      <c r="S159" s="3">
        <f t="shared" si="95"/>
        <v>7.1877880972849508E-4</v>
      </c>
      <c r="T159" s="3">
        <f t="shared" si="95"/>
        <v>7.1877880972849508E-4</v>
      </c>
      <c r="U159" s="3">
        <f t="shared" si="95"/>
        <v>7.1877880972849508E-4</v>
      </c>
      <c r="V159" s="3">
        <f t="shared" si="95"/>
        <v>7.1877880972849486E-4</v>
      </c>
      <c r="W159" s="3">
        <f t="shared" si="95"/>
        <v>7.1877880972849248E-4</v>
      </c>
      <c r="X159" s="3">
        <f t="shared" si="95"/>
        <v>7.1877880972846949E-4</v>
      </c>
      <c r="Y159" s="3">
        <f t="shared" si="95"/>
        <v>7.187788097282391E-4</v>
      </c>
      <c r="Z159" s="3">
        <f t="shared" si="95"/>
        <v>7.1877880972593528E-4</v>
      </c>
      <c r="AA159" s="3">
        <f t="shared" ref="AA159:AF159" si="96">$C45*EXP(-AA$129/$A45/EXP(-$B$126))</f>
        <v>7.1877880970289761E-4</v>
      </c>
      <c r="AB159" s="3">
        <f t="shared" si="96"/>
        <v>7.1877880947252015E-4</v>
      </c>
      <c r="AC159" s="3">
        <f t="shared" si="96"/>
        <v>7.1877880716874514E-4</v>
      </c>
      <c r="AD159" s="3">
        <f t="shared" si="96"/>
        <v>7.1877878413099613E-4</v>
      </c>
      <c r="AE159" s="3">
        <f t="shared" si="96"/>
        <v>7.1877855375354627E-4</v>
      </c>
      <c r="AF159" s="3">
        <f t="shared" si="96"/>
        <v>7.1877624998310894E-4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6.8174095740770341E-3</v>
      </c>
      <c r="C162" s="3">
        <f t="shared" si="101"/>
        <v>6.8174095740770341E-3</v>
      </c>
      <c r="D162" s="3">
        <f t="shared" si="101"/>
        <v>6.8174095740770341E-3</v>
      </c>
      <c r="E162" s="3">
        <f t="shared" si="101"/>
        <v>6.8174095740770341E-3</v>
      </c>
      <c r="F162" s="3">
        <f t="shared" si="101"/>
        <v>6.8174095740770341E-3</v>
      </c>
      <c r="G162" s="3">
        <f t="shared" si="101"/>
        <v>6.8174095740770341E-3</v>
      </c>
      <c r="H162" s="3">
        <f t="shared" si="101"/>
        <v>6.8174095740770341E-3</v>
      </c>
      <c r="I162" s="3">
        <f t="shared" si="101"/>
        <v>6.8174095740770341E-3</v>
      </c>
      <c r="J162" s="3">
        <f t="shared" si="101"/>
        <v>6.8174095740770341E-3</v>
      </c>
      <c r="K162" s="3">
        <f t="shared" si="101"/>
        <v>6.8174095740770341E-3</v>
      </c>
      <c r="L162" s="3">
        <f t="shared" si="101"/>
        <v>6.8174095740770341E-3</v>
      </c>
      <c r="M162" s="3">
        <f t="shared" si="101"/>
        <v>6.8174095740770341E-3</v>
      </c>
      <c r="N162" s="3">
        <f t="shared" si="101"/>
        <v>6.8174095740770341E-3</v>
      </c>
      <c r="O162" s="3">
        <f t="shared" si="101"/>
        <v>6.8174095740770341E-3</v>
      </c>
      <c r="P162" s="3">
        <f t="shared" si="101"/>
        <v>6.8174095740770341E-3</v>
      </c>
      <c r="Q162" s="3">
        <f t="shared" si="101"/>
        <v>6.8174095740770341E-3</v>
      </c>
      <c r="R162" s="3">
        <f t="shared" si="101"/>
        <v>6.8174095740770341E-3</v>
      </c>
      <c r="S162" s="3">
        <f t="shared" si="101"/>
        <v>6.8174095740770341E-3</v>
      </c>
      <c r="T162" s="3">
        <f t="shared" si="101"/>
        <v>6.8174095740770341E-3</v>
      </c>
      <c r="U162" s="3">
        <f t="shared" si="101"/>
        <v>6.8174095740770341E-3</v>
      </c>
      <c r="V162" s="3">
        <f t="shared" si="101"/>
        <v>6.8174095740770341E-3</v>
      </c>
      <c r="W162" s="3">
        <f t="shared" si="101"/>
        <v>6.8174095740770341E-3</v>
      </c>
      <c r="X162" s="3">
        <f t="shared" si="101"/>
        <v>6.8174095740770341E-3</v>
      </c>
      <c r="Y162" s="3">
        <f t="shared" si="101"/>
        <v>6.8174095740770315E-3</v>
      </c>
      <c r="Z162" s="3">
        <f t="shared" si="101"/>
        <v>6.8174095740770099E-3</v>
      </c>
      <c r="AA162" s="3">
        <f t="shared" ref="AA162:AF162" si="102">$C48*EXP(-AA$129/$A48/EXP(-$B$126))</f>
        <v>6.8174095740767913E-3</v>
      </c>
      <c r="AB162" s="3">
        <f t="shared" si="102"/>
        <v>6.8174095740746064E-3</v>
      </c>
      <c r="AC162" s="3">
        <f t="shared" si="102"/>
        <v>6.8174095740527558E-3</v>
      </c>
      <c r="AD162" s="3">
        <f t="shared" si="102"/>
        <v>6.8174095738342492E-3</v>
      </c>
      <c r="AE162" s="3">
        <f t="shared" si="102"/>
        <v>6.8174095716491854E-3</v>
      </c>
      <c r="AF162" s="3">
        <f t="shared" si="102"/>
        <v>6.8174095497985443E-3</v>
      </c>
    </row>
    <row r="163" spans="1:34" x14ac:dyDescent="0.25">
      <c r="A163" s="79">
        <f>AVERAGE(B163:AF163)</f>
        <v>7.889497916599256E-4</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5.8635390780178423E-3</v>
      </c>
      <c r="M163" s="80">
        <f t="shared" si="103"/>
        <v>1.2326290161076795E-3</v>
      </c>
      <c r="N163" s="80">
        <f t="shared" si="103"/>
        <v>6.0525592781525322E-6</v>
      </c>
      <c r="O163" s="80">
        <f t="shared" si="103"/>
        <v>1.6272351320574417E-3</v>
      </c>
      <c r="P163" s="80">
        <f t="shared" si="103"/>
        <v>8.0242595306580689E-4</v>
      </c>
      <c r="Q163" s="80">
        <f t="shared" si="103"/>
        <v>2.1574934953544505E-3</v>
      </c>
      <c r="R163" s="80">
        <f t="shared" si="103"/>
        <v>3.1992600015248793E-6</v>
      </c>
      <c r="S163" s="80">
        <f t="shared" si="103"/>
        <v>1.8931282575672499E-3</v>
      </c>
      <c r="T163" s="80">
        <f t="shared" si="103"/>
        <v>1.338582946040742E-4</v>
      </c>
      <c r="U163" s="80">
        <f t="shared" si="103"/>
        <v>8.3284279907456236E-4</v>
      </c>
      <c r="V163" s="80">
        <f t="shared" si="103"/>
        <v>9.9050396963289069E-3</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1390.675385531549</v>
      </c>
      <c r="C164" s="21">
        <f t="shared" ref="C164:AF164" si="104">(C131-C130)^2</f>
        <v>3.0122784567611873</v>
      </c>
      <c r="D164" s="21">
        <f t="shared" si="104"/>
        <v>16253.496148001892</v>
      </c>
      <c r="E164" s="21">
        <f t="shared" si="104"/>
        <v>1070322.532113835</v>
      </c>
      <c r="F164" s="21">
        <f t="shared" si="104"/>
        <v>779877.58167520759</v>
      </c>
      <c r="G164" s="21">
        <f t="shared" si="104"/>
        <v>441953.11044612993</v>
      </c>
      <c r="H164" s="21">
        <f t="shared" si="104"/>
        <v>190138.71110488975</v>
      </c>
      <c r="I164" s="21">
        <f t="shared" si="104"/>
        <v>31938.320687990199</v>
      </c>
      <c r="J164" s="21">
        <f t="shared" si="104"/>
        <v>2039.0933687210361</v>
      </c>
      <c r="K164" s="21">
        <f t="shared" si="104"/>
        <v>906.83364050155603</v>
      </c>
      <c r="L164" s="21">
        <f t="shared" si="104"/>
        <v>2117.9361431801544</v>
      </c>
      <c r="M164" s="21">
        <f t="shared" si="104"/>
        <v>86.873823987536142</v>
      </c>
      <c r="N164" s="21">
        <f t="shared" si="104"/>
        <v>1.9054616550917621E-3</v>
      </c>
      <c r="O164" s="21">
        <f t="shared" si="104"/>
        <v>123.37908613872645</v>
      </c>
      <c r="P164" s="21">
        <f t="shared" si="104"/>
        <v>26.942690871570125</v>
      </c>
      <c r="Q164" s="21">
        <f t="shared" si="104"/>
        <v>178.06961936873097</v>
      </c>
      <c r="R164" s="21">
        <f t="shared" si="104"/>
        <v>3.5580747337677076E-4</v>
      </c>
      <c r="S164" s="21">
        <f t="shared" si="104"/>
        <v>113.20579641139588</v>
      </c>
      <c r="T164" s="21">
        <f t="shared" si="104"/>
        <v>0.50918109050753946</v>
      </c>
      <c r="U164" s="21">
        <f t="shared" si="104"/>
        <v>17.734502966621903</v>
      </c>
      <c r="V164" s="21">
        <f t="shared" si="104"/>
        <v>2154.0146448437149</v>
      </c>
      <c r="W164" s="21">
        <f t="shared" si="104"/>
        <v>10464.14604944472</v>
      </c>
      <c r="X164" s="21">
        <f t="shared" si="104"/>
        <v>29322.967652548738</v>
      </c>
      <c r="Y164" s="21">
        <f t="shared" si="104"/>
        <v>27487.945146400201</v>
      </c>
      <c r="Z164" s="21">
        <f t="shared" si="104"/>
        <v>18695.739475487793</v>
      </c>
      <c r="AA164" s="21">
        <f t="shared" si="104"/>
        <v>10948.078931787702</v>
      </c>
      <c r="AB164" s="21">
        <f t="shared" si="104"/>
        <v>6750.5577905888895</v>
      </c>
      <c r="AC164" s="21">
        <f t="shared" si="104"/>
        <v>3697.1572895679592</v>
      </c>
      <c r="AD164" s="21">
        <f t="shared" si="104"/>
        <v>1725.8643747528013</v>
      </c>
      <c r="AE164" s="21">
        <f t="shared" si="104"/>
        <v>1555.8220697890101</v>
      </c>
      <c r="AF164" s="21">
        <f t="shared" si="104"/>
        <v>1.9829527540619354E-2</v>
      </c>
    </row>
    <row r="165" spans="1:34" x14ac:dyDescent="0.25">
      <c r="A165" s="71">
        <f>SUM(B165:AF165)</f>
        <v>4818.6677501280865</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2117.9361431801544</v>
      </c>
      <c r="M165" s="60">
        <f t="shared" si="105"/>
        <v>86.873823987536142</v>
      </c>
      <c r="N165" s="60">
        <f t="shared" si="105"/>
        <v>1.9054616550917621E-3</v>
      </c>
      <c r="O165" s="60">
        <f t="shared" si="105"/>
        <v>123.37908613872645</v>
      </c>
      <c r="P165" s="60">
        <f t="shared" si="105"/>
        <v>26.942690871570125</v>
      </c>
      <c r="Q165" s="60">
        <f t="shared" si="105"/>
        <v>178.06961936873097</v>
      </c>
      <c r="R165" s="60">
        <f t="shared" si="105"/>
        <v>3.5580747337677076E-4</v>
      </c>
      <c r="S165" s="60">
        <f t="shared" si="105"/>
        <v>113.20579641139588</v>
      </c>
      <c r="T165" s="60">
        <f t="shared" si="105"/>
        <v>0.50918109050753946</v>
      </c>
      <c r="U165" s="60">
        <f t="shared" si="105"/>
        <v>17.734502966621903</v>
      </c>
      <c r="V165" s="60">
        <f t="shared" si="105"/>
        <v>2154.0146448437149</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10065.543251576082</v>
      </c>
      <c r="C169" s="26">
        <f>INDEX(Comparison!$AM$3:$AS$33,G$14,$C$122)</f>
        <v>9708.7484211633309</v>
      </c>
      <c r="D169" s="26">
        <f>INDEX(Comparison!$AM$3:$AS$33,H$14,$C$122)</f>
        <v>9504.080552546171</v>
      </c>
      <c r="E169" s="26">
        <f>INDEX(Comparison!$AM$3:$AS$33,I$14,$C$122)</f>
        <v>9297.6034614201999</v>
      </c>
      <c r="F169" s="26">
        <f>INDEX(Comparison!$AM$3:$AS$33,J$14,$C$122)</f>
        <v>9077.0448832845814</v>
      </c>
      <c r="G169" s="26">
        <f>INDEX(Comparison!$AM$3:$AS$33,K$14,$C$122)</f>
        <v>8833.9901329277236</v>
      </c>
      <c r="H169" s="26">
        <f>INDEX(Comparison!$AM$3:$AS$33,L$14,$C$122)</f>
        <v>8570.1980588932365</v>
      </c>
      <c r="I169" s="26">
        <f>INDEX(Comparison!$AM$3:$AS$33,M$14,$C$122)</f>
        <v>8282.9223634397895</v>
      </c>
      <c r="J169" s="26">
        <f>INDEX(Comparison!$AM$3:$AS$33,N$14,$C$122)</f>
        <v>7993.641154385381</v>
      </c>
      <c r="K169" s="26">
        <f>INDEX(Comparison!$AM$3:$AS$33,O$14,$C$122)</f>
        <v>7722.5102431706819</v>
      </c>
      <c r="L169" s="26">
        <f>INDEX(Comparison!$AM$3:$AS$33,P$14,$C$122)</f>
        <v>7411.9254661857585</v>
      </c>
      <c r="M169" s="26">
        <f>INDEX(Comparison!$AM$3:$AS$33,Q$14,$C$122)</f>
        <v>7044.5082173262499</v>
      </c>
      <c r="N169" s="26">
        <f>INDEX(Comparison!$AM$3:$AS$33,R$14,$C$122)</f>
        <v>6664.4913259208079</v>
      </c>
      <c r="O169" s="26">
        <f>INDEX(Comparison!$AM$3:$AS$33,S$14,$C$122)</f>
        <v>6341.2106146502829</v>
      </c>
      <c r="P169" s="26">
        <f>INDEX(Comparison!$AM$3:$AS$33,T$14,$C$122)</f>
        <v>6057.8856031721252</v>
      </c>
      <c r="Q169" s="26">
        <f>INDEX(Comparison!$AM$3:$AS$33,U$14,$C$122)</f>
        <v>5776.2920069159836</v>
      </c>
      <c r="R169" s="26">
        <f>INDEX(Comparison!$AM$3:$AS$33,V$14,$C$122)</f>
        <v>5493.3830678495879</v>
      </c>
      <c r="S169" s="26">
        <f>INDEX(Comparison!$AM$3:$AS$33,W$14,$C$122)</f>
        <v>5215.5329419319251</v>
      </c>
      <c r="T169" s="26">
        <f>INDEX(Comparison!$AM$3:$AS$33,X$14,$C$122)</f>
        <v>4897.7071873573095</v>
      </c>
      <c r="U169" s="26">
        <f>INDEX(Comparison!$AM$3:$AS$33,Y$14,$C$122)</f>
        <v>4495.7217042422935</v>
      </c>
      <c r="V169" s="26">
        <f>INDEX(Comparison!$AM$3:$AS$33,Z$14,$C$122)</f>
        <v>4059.1954090175182</v>
      </c>
      <c r="W169" s="26">
        <f>INDEX(Comparison!$AM$3:$AS$33,AA$14,$C$122)</f>
        <v>3597.5805592338243</v>
      </c>
      <c r="X169" s="26">
        <f>INDEX(Comparison!$AM$3:$AS$33,AB$14,$C$122)</f>
        <v>3113.2980023229825</v>
      </c>
      <c r="Y169" s="26">
        <f>INDEX(Comparison!$AM$3:$AS$33,AC$14,$C$122)</f>
        <v>2587.1664421745386</v>
      </c>
      <c r="Z169" s="26">
        <f>INDEX(Comparison!$AM$3:$AS$33,AD$14,$C$122)</f>
        <v>2025.5491425769458</v>
      </c>
      <c r="AA169" s="26">
        <f>INDEX(Comparison!$AM$3:$AS$33,AE$14,$C$122)</f>
        <v>1488.3947775442189</v>
      </c>
      <c r="AB169" s="26">
        <f>INDEX(Comparison!$AM$3:$AS$33,AF$14,$C$122)</f>
        <v>1075.2839868020503</v>
      </c>
      <c r="AC169" s="26">
        <f>INDEX(Comparison!$AM$3:$AS$33,AG$14,$C$122)</f>
        <v>799.60727676982128</v>
      </c>
      <c r="AD169" s="26">
        <f>INDEX(Comparison!$AM$3:$AS$33,AH$14,$C$122)</f>
        <v>660.84412890819806</v>
      </c>
      <c r="AE169" s="26">
        <f>INDEX(Comparison!$AM$3:$AS$33,AI$14,$C$122)</f>
        <v>587.16779346403064</v>
      </c>
      <c r="AF169" s="26">
        <f>INDEX(Comparison!$AM$3:$AS$33,AJ$14,$C$122)</f>
        <v>551.91226878266252</v>
      </c>
      <c r="AG169" s="26"/>
      <c r="AH169" s="26"/>
    </row>
    <row r="170" spans="1:34" x14ac:dyDescent="0.25">
      <c r="A170" s="70" t="s">
        <v>22</v>
      </c>
      <c r="B170" s="27">
        <f>($C$17+SUM(B171:B201))*$B$51</f>
        <v>10007.568875080755</v>
      </c>
      <c r="C170" s="27">
        <f t="shared" ref="C170:AF170" si="106">($C$17+SUM(C171:C201))*$B$51</f>
        <v>9053.1619813898378</v>
      </c>
      <c r="D170" s="27">
        <f t="shared" si="106"/>
        <v>8520.9112466516817</v>
      </c>
      <c r="E170" s="27">
        <f t="shared" si="106"/>
        <v>8520.8767192771284</v>
      </c>
      <c r="F170" s="27">
        <f t="shared" si="106"/>
        <v>8520.7156605153777</v>
      </c>
      <c r="G170" s="27">
        <f t="shared" si="106"/>
        <v>8519.107335298193</v>
      </c>
      <c r="H170" s="27">
        <f t="shared" si="106"/>
        <v>8503.2481409843622</v>
      </c>
      <c r="I170" s="27">
        <f t="shared" si="106"/>
        <v>8365.0305961104186</v>
      </c>
      <c r="J170" s="27">
        <f t="shared" si="106"/>
        <v>7910.0204525548615</v>
      </c>
      <c r="K170" s="27">
        <f t="shared" si="106"/>
        <v>7685.7808946623245</v>
      </c>
      <c r="L170" s="27">
        <f t="shared" si="106"/>
        <v>7371.6692525038607</v>
      </c>
      <c r="M170" s="27">
        <f t="shared" si="106"/>
        <v>7009.2897871555897</v>
      </c>
      <c r="N170" s="27">
        <f t="shared" si="106"/>
        <v>6630.1772250171789</v>
      </c>
      <c r="O170" s="27">
        <f t="shared" si="106"/>
        <v>6306.1859825000283</v>
      </c>
      <c r="P170" s="27">
        <f t="shared" si="106"/>
        <v>6027.9029784692239</v>
      </c>
      <c r="Q170" s="27">
        <f t="shared" si="106"/>
        <v>5747.6027088137425</v>
      </c>
      <c r="R170" s="27">
        <f t="shared" si="106"/>
        <v>5467.2755098164916</v>
      </c>
      <c r="S170" s="27">
        <f t="shared" si="106"/>
        <v>5196.1510940175031</v>
      </c>
      <c r="T170" s="27">
        <f t="shared" si="106"/>
        <v>4901.0346904142971</v>
      </c>
      <c r="U170" s="27">
        <f t="shared" si="106"/>
        <v>4565.2142208112291</v>
      </c>
      <c r="V170" s="27">
        <f t="shared" si="106"/>
        <v>4195.0292024504297</v>
      </c>
      <c r="W170" s="27">
        <f t="shared" si="106"/>
        <v>3764.1986858951109</v>
      </c>
      <c r="X170" s="27">
        <f t="shared" si="106"/>
        <v>3251.4548461274012</v>
      </c>
      <c r="Y170" s="27">
        <f t="shared" si="106"/>
        <v>2684.0199440954566</v>
      </c>
      <c r="Z170" s="27">
        <f t="shared" si="106"/>
        <v>2088.3419371946525</v>
      </c>
      <c r="AA170" s="27">
        <f t="shared" si="106"/>
        <v>1525.5449103880508</v>
      </c>
      <c r="AB170" s="27">
        <f t="shared" si="106"/>
        <v>1097.2153641152104</v>
      </c>
      <c r="AC170" s="27">
        <f t="shared" si="106"/>
        <v>811.98788116289575</v>
      </c>
      <c r="AD170" s="27">
        <f t="shared" si="106"/>
        <v>663.33321099066973</v>
      </c>
      <c r="AE170" s="27">
        <f t="shared" si="106"/>
        <v>590.62657681835105</v>
      </c>
      <c r="AF170" s="27">
        <f t="shared" si="106"/>
        <v>553.5607072211817</v>
      </c>
      <c r="AG170" s="27"/>
      <c r="AH170" s="27"/>
    </row>
    <row r="171" spans="1:34" x14ac:dyDescent="0.25">
      <c r="B171" s="3">
        <f t="shared" ref="B171:AF171" si="107">$C18*EXP(-B$168/$A18/EXP(-$C$126))</f>
        <v>0.14593406788925023</v>
      </c>
      <c r="C171" s="3">
        <f t="shared" si="107"/>
        <v>5.2248141400279668E-2</v>
      </c>
      <c r="D171" s="3">
        <f t="shared" si="107"/>
        <v>1.8080582656955166E-6</v>
      </c>
      <c r="E171" s="3">
        <f t="shared" si="107"/>
        <v>4.4527486258416934E-51</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5.8248193896458481E-2</v>
      </c>
      <c r="C172" s="3">
        <f t="shared" si="108"/>
        <v>5.8248178570824614E-2</v>
      </c>
      <c r="D172" s="3">
        <f t="shared" si="108"/>
        <v>5.8248025314707699E-2</v>
      </c>
      <c r="E172" s="3">
        <f t="shared" si="108"/>
        <v>5.8246492775716072E-2</v>
      </c>
      <c r="F172" s="3">
        <f t="shared" si="108"/>
        <v>5.8231169603333674E-2</v>
      </c>
      <c r="G172" s="3">
        <f t="shared" si="108"/>
        <v>5.8078159417174542E-2</v>
      </c>
      <c r="H172" s="3">
        <f t="shared" si="108"/>
        <v>5.6569997163670026E-2</v>
      </c>
      <c r="I172" s="3">
        <f t="shared" si="108"/>
        <v>4.3482978209927199E-2</v>
      </c>
      <c r="J172" s="3">
        <f t="shared" si="108"/>
        <v>3.1307654387826619E-3</v>
      </c>
      <c r="K172" s="3">
        <f t="shared" si="108"/>
        <v>1.1720955611287023E-14</v>
      </c>
      <c r="L172" s="3">
        <f t="shared" si="108"/>
        <v>6.3399805336042595E-129</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1.7254959924434429E-2</v>
      </c>
      <c r="C173" s="3">
        <f t="shared" si="109"/>
        <v>1.725495951489419E-2</v>
      </c>
      <c r="D173" s="3">
        <f t="shared" si="109"/>
        <v>1.7254955419492325E-2</v>
      </c>
      <c r="E173" s="3">
        <f t="shared" si="109"/>
        <v>1.7254914465527165E-2</v>
      </c>
      <c r="F173" s="3">
        <f t="shared" si="109"/>
        <v>1.7254504931221645E-2</v>
      </c>
      <c r="G173" s="3">
        <f t="shared" si="109"/>
        <v>1.725041012273024E-2</v>
      </c>
      <c r="H173" s="3">
        <f t="shared" si="109"/>
        <v>1.7209515447279711E-2</v>
      </c>
      <c r="I173" s="3">
        <f t="shared" si="109"/>
        <v>1.6805863032202443E-2</v>
      </c>
      <c r="J173" s="3">
        <f t="shared" si="109"/>
        <v>1.3255087296590718E-2</v>
      </c>
      <c r="K173" s="3">
        <f t="shared" si="109"/>
        <v>1.2348105121265903E-3</v>
      </c>
      <c r="L173" s="3">
        <f t="shared" si="109"/>
        <v>6.0782362383905178E-14</v>
      </c>
      <c r="M173" s="3">
        <f t="shared" si="109"/>
        <v>5.0763335428754855E-117</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3.2278437808698331E-2</v>
      </c>
      <c r="C174" s="3">
        <f t="shared" si="110"/>
        <v>3.2278437739588196E-2</v>
      </c>
      <c r="D174" s="3">
        <f t="shared" si="110"/>
        <v>3.2278437048486874E-2</v>
      </c>
      <c r="E174" s="3">
        <f t="shared" si="110"/>
        <v>3.2278430137474473E-2</v>
      </c>
      <c r="F174" s="3">
        <f t="shared" si="110"/>
        <v>3.2278361027431826E-2</v>
      </c>
      <c r="G174" s="3">
        <f t="shared" si="110"/>
        <v>3.2277669935143562E-2</v>
      </c>
      <c r="H174" s="3">
        <f t="shared" si="110"/>
        <v>3.2270759826019187E-2</v>
      </c>
      <c r="I174" s="3">
        <f t="shared" si="110"/>
        <v>3.220174004617362E-2</v>
      </c>
      <c r="J174" s="3">
        <f t="shared" si="110"/>
        <v>3.151960934046897E-2</v>
      </c>
      <c r="K174" s="3">
        <f t="shared" si="110"/>
        <v>2.5444603617312805E-2</v>
      </c>
      <c r="L174" s="3">
        <f t="shared" si="110"/>
        <v>2.9905035721038112E-3</v>
      </c>
      <c r="M174" s="3">
        <f t="shared" si="110"/>
        <v>1.5039405995694485E-12</v>
      </c>
      <c r="N174" s="3">
        <f t="shared" si="110"/>
        <v>1.5563033888220964E-105</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3.714450556784165E-2</v>
      </c>
      <c r="C175" s="3">
        <f t="shared" si="111"/>
        <v>3.71445055606675E-2</v>
      </c>
      <c r="D175" s="3">
        <f t="shared" si="111"/>
        <v>3.7144505488926012E-2</v>
      </c>
      <c r="E175" s="3">
        <f t="shared" si="111"/>
        <v>3.7144504771511114E-2</v>
      </c>
      <c r="F175" s="3">
        <f t="shared" si="111"/>
        <v>3.7144497597362935E-2</v>
      </c>
      <c r="G175" s="3">
        <f t="shared" si="111"/>
        <v>3.7144425855957328E-2</v>
      </c>
      <c r="H175" s="3">
        <f t="shared" si="111"/>
        <v>3.7143708449522153E-2</v>
      </c>
      <c r="I175" s="3">
        <f t="shared" si="111"/>
        <v>3.7136535147204497E-2</v>
      </c>
      <c r="J175" s="3">
        <f t="shared" si="111"/>
        <v>3.7064878273010381E-2</v>
      </c>
      <c r="K175" s="3">
        <f t="shared" si="111"/>
        <v>3.6355870291426333E-2</v>
      </c>
      <c r="L175" s="3">
        <f t="shared" si="111"/>
        <v>2.9970515752088301E-2</v>
      </c>
      <c r="M175" s="3">
        <f t="shared" si="111"/>
        <v>4.3440111362914105E-3</v>
      </c>
      <c r="N175" s="3">
        <f t="shared" si="111"/>
        <v>1.7776983241513086E-11</v>
      </c>
      <c r="O175" s="3">
        <f t="shared" si="111"/>
        <v>2.3416899587559105E-95</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4.0797811725250786E-2</v>
      </c>
      <c r="C176" s="3">
        <f t="shared" si="112"/>
        <v>4.0797811724539966E-2</v>
      </c>
      <c r="D176" s="3">
        <f t="shared" si="112"/>
        <v>4.079781171743177E-2</v>
      </c>
      <c r="E176" s="3">
        <f t="shared" si="112"/>
        <v>4.0797811646349831E-2</v>
      </c>
      <c r="F176" s="3">
        <f t="shared" si="112"/>
        <v>4.0797810935530435E-2</v>
      </c>
      <c r="G176" s="3">
        <f t="shared" si="112"/>
        <v>4.0797803827337192E-2</v>
      </c>
      <c r="H176" s="3">
        <f t="shared" si="112"/>
        <v>4.0797732745472826E-2</v>
      </c>
      <c r="I176" s="3">
        <f t="shared" si="112"/>
        <v>4.0797021933640633E-2</v>
      </c>
      <c r="J176" s="3">
        <f t="shared" si="112"/>
        <v>4.0789914496422448E-2</v>
      </c>
      <c r="K176" s="3">
        <f t="shared" si="112"/>
        <v>4.0718908190726585E-2</v>
      </c>
      <c r="L176" s="3">
        <f t="shared" si="112"/>
        <v>4.0015608107039045E-2</v>
      </c>
      <c r="M176" s="3">
        <f t="shared" si="112"/>
        <v>3.3617265686594677E-2</v>
      </c>
      <c r="N176" s="3">
        <f t="shared" si="112"/>
        <v>5.8869729489521095E-3</v>
      </c>
      <c r="O176" s="3">
        <f t="shared" si="112"/>
        <v>1.5965722521409648E-10</v>
      </c>
      <c r="P176" s="3">
        <f t="shared" si="112"/>
        <v>3.4367975196199409E-86</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3.2982255914927643E-2</v>
      </c>
      <c r="C177" s="3">
        <f t="shared" si="113"/>
        <v>3.2982255914875802E-2</v>
      </c>
      <c r="D177" s="3">
        <f t="shared" si="113"/>
        <v>3.2982255914357425E-2</v>
      </c>
      <c r="E177" s="3">
        <f t="shared" si="113"/>
        <v>3.2982255909173606E-2</v>
      </c>
      <c r="F177" s="3">
        <f t="shared" si="113"/>
        <v>3.2982255857335475E-2</v>
      </c>
      <c r="G177" s="3">
        <f t="shared" si="113"/>
        <v>3.2982255338954151E-2</v>
      </c>
      <c r="H177" s="3">
        <f t="shared" si="113"/>
        <v>3.2982250155141356E-2</v>
      </c>
      <c r="I177" s="3">
        <f t="shared" si="113"/>
        <v>3.2982198317058196E-2</v>
      </c>
      <c r="J177" s="3">
        <f t="shared" si="113"/>
        <v>3.2981679940707637E-2</v>
      </c>
      <c r="K177" s="3">
        <f t="shared" si="113"/>
        <v>3.2976496625279413E-2</v>
      </c>
      <c r="L177" s="3">
        <f t="shared" si="113"/>
        <v>3.2924708252684322E-2</v>
      </c>
      <c r="M177" s="3">
        <f t="shared" si="113"/>
        <v>3.2411276762760684E-2</v>
      </c>
      <c r="N177" s="3">
        <f t="shared" si="113"/>
        <v>2.7697347459082419E-2</v>
      </c>
      <c r="O177" s="3">
        <f t="shared" si="113"/>
        <v>5.7525258367968346E-3</v>
      </c>
      <c r="P177" s="3">
        <f t="shared" si="113"/>
        <v>8.5913728123549989E-10</v>
      </c>
      <c r="Q177" s="3">
        <f t="shared" si="113"/>
        <v>4.7435385808516001E-78</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2.7372238189347267E-2</v>
      </c>
      <c r="C178" s="3">
        <f t="shared" si="114"/>
        <v>2.7372238189343385E-2</v>
      </c>
      <c r="D178" s="3">
        <f t="shared" si="114"/>
        <v>2.7372238189304579E-2</v>
      </c>
      <c r="E178" s="3">
        <f t="shared" si="114"/>
        <v>2.737223818891649E-2</v>
      </c>
      <c r="F178" s="3">
        <f t="shared" si="114"/>
        <v>2.737223818503565E-2</v>
      </c>
      <c r="G178" s="3">
        <f t="shared" si="114"/>
        <v>2.7372238146227239E-2</v>
      </c>
      <c r="H178" s="3">
        <f t="shared" si="114"/>
        <v>2.7372237758143101E-2</v>
      </c>
      <c r="I178" s="3">
        <f t="shared" si="114"/>
        <v>2.7372233877302025E-2</v>
      </c>
      <c r="J178" s="3">
        <f t="shared" si="114"/>
        <v>2.7372195068921575E-2</v>
      </c>
      <c r="K178" s="3">
        <f t="shared" si="114"/>
        <v>2.7371806988143257E-2</v>
      </c>
      <c r="L178" s="3">
        <f t="shared" si="114"/>
        <v>2.7367926482967025E-2</v>
      </c>
      <c r="M178" s="3">
        <f t="shared" si="114"/>
        <v>2.732915167602841E-2</v>
      </c>
      <c r="N178" s="3">
        <f t="shared" si="114"/>
        <v>2.6944412282974721E-2</v>
      </c>
      <c r="O178" s="3">
        <f t="shared" si="114"/>
        <v>2.3382683786775875E-2</v>
      </c>
      <c r="P178" s="3">
        <f t="shared" si="114"/>
        <v>5.6643590060274779E-3</v>
      </c>
      <c r="Q178" s="3">
        <f t="shared" si="114"/>
        <v>3.9419845336158192E-9</v>
      </c>
      <c r="R178" s="3">
        <f t="shared" si="114"/>
        <v>1.0504039961843282E-70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2.9420754796477658E-2</v>
      </c>
      <c r="C179" s="3">
        <f t="shared" si="115"/>
        <v>2.942075479647728E-2</v>
      </c>
      <c r="D179" s="3">
        <f t="shared" si="115"/>
        <v>2.9420754796473519E-2</v>
      </c>
      <c r="E179" s="3">
        <f t="shared" si="115"/>
        <v>2.942075479643589E-2</v>
      </c>
      <c r="F179" s="3">
        <f t="shared" si="115"/>
        <v>2.9420754796059607E-2</v>
      </c>
      <c r="G179" s="3">
        <f t="shared" si="115"/>
        <v>2.9420754792296767E-2</v>
      </c>
      <c r="H179" s="3">
        <f t="shared" si="115"/>
        <v>2.9420754754668346E-2</v>
      </c>
      <c r="I179" s="3">
        <f t="shared" si="115"/>
        <v>2.9420754378384144E-2</v>
      </c>
      <c r="J179" s="3">
        <f t="shared" si="115"/>
        <v>2.9420750615542408E-2</v>
      </c>
      <c r="K179" s="3">
        <f t="shared" si="115"/>
        <v>2.9420712987151515E-2</v>
      </c>
      <c r="L179" s="3">
        <f t="shared" si="115"/>
        <v>2.9420336705889494E-2</v>
      </c>
      <c r="M179" s="3">
        <f t="shared" si="115"/>
        <v>2.9416574157947396E-2</v>
      </c>
      <c r="N179" s="3">
        <f t="shared" si="115"/>
        <v>2.9378975133816081E-2</v>
      </c>
      <c r="O179" s="3">
        <f t="shared" si="115"/>
        <v>2.9005617944989459E-2</v>
      </c>
      <c r="P179" s="3">
        <f t="shared" si="115"/>
        <v>2.5523306062526247E-2</v>
      </c>
      <c r="Q179" s="3">
        <f t="shared" si="115"/>
        <v>7.1037061672272958E-3</v>
      </c>
      <c r="R179" s="3">
        <f t="shared" si="115"/>
        <v>1.9813700714533302E-8</v>
      </c>
      <c r="S179" s="3">
        <f t="shared" si="115"/>
        <v>5.646400673507847E-64</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2.900936003780609E-2</v>
      </c>
      <c r="C180" s="3">
        <f t="shared" si="116"/>
        <v>2.9009360037806055E-2</v>
      </c>
      <c r="D180" s="3">
        <f t="shared" si="116"/>
        <v>2.9009360037805722E-2</v>
      </c>
      <c r="E180" s="3">
        <f t="shared" si="116"/>
        <v>2.9009360037802374E-2</v>
      </c>
      <c r="F180" s="3">
        <f t="shared" si="116"/>
        <v>2.9009360037768904E-2</v>
      </c>
      <c r="G180" s="3">
        <f t="shared" si="116"/>
        <v>2.900936003743421E-2</v>
      </c>
      <c r="H180" s="3">
        <f t="shared" si="116"/>
        <v>2.900936003408728E-2</v>
      </c>
      <c r="I180" s="3">
        <f t="shared" si="116"/>
        <v>2.9009360000617955E-2</v>
      </c>
      <c r="J180" s="3">
        <f t="shared" si="116"/>
        <v>2.9009359665924741E-2</v>
      </c>
      <c r="K180" s="3">
        <f t="shared" si="116"/>
        <v>2.9009356318992773E-2</v>
      </c>
      <c r="L180" s="3">
        <f t="shared" si="116"/>
        <v>2.9009322849694357E-2</v>
      </c>
      <c r="M180" s="3">
        <f t="shared" si="116"/>
        <v>2.9008988158834008E-2</v>
      </c>
      <c r="N180" s="3">
        <f t="shared" si="116"/>
        <v>2.900564146260275E-2</v>
      </c>
      <c r="O180" s="3">
        <f t="shared" si="116"/>
        <v>2.8972195728452343E-2</v>
      </c>
      <c r="P180" s="3">
        <f t="shared" si="116"/>
        <v>2.8639852169086089E-2</v>
      </c>
      <c r="Q180" s="3">
        <f t="shared" si="116"/>
        <v>2.5519043141967231E-2</v>
      </c>
      <c r="R180" s="3">
        <f t="shared" si="116"/>
        <v>8.0500861468958788E-3</v>
      </c>
      <c r="S180" s="3">
        <f t="shared" si="116"/>
        <v>7.855284994442601E-8</v>
      </c>
      <c r="T180" s="3">
        <f t="shared" si="116"/>
        <v>6.1485984042647118E-58</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2.6775000161878105E-2</v>
      </c>
      <c r="C181" s="3">
        <f t="shared" si="117"/>
        <v>2.6775000161878101E-2</v>
      </c>
      <c r="D181" s="3">
        <f t="shared" si="117"/>
        <v>2.6775000161878074E-2</v>
      </c>
      <c r="E181" s="3">
        <f t="shared" si="117"/>
        <v>2.6775000161877796E-2</v>
      </c>
      <c r="F181" s="3">
        <f t="shared" si="117"/>
        <v>2.6775000161875007E-2</v>
      </c>
      <c r="G181" s="3">
        <f t="shared" si="117"/>
        <v>2.6775000161847144E-2</v>
      </c>
      <c r="H181" s="3">
        <f t="shared" si="117"/>
        <v>2.6775000161568478E-2</v>
      </c>
      <c r="I181" s="3">
        <f t="shared" si="117"/>
        <v>2.6775000158781811E-2</v>
      </c>
      <c r="J181" s="3">
        <f t="shared" si="117"/>
        <v>2.6775000130915154E-2</v>
      </c>
      <c r="K181" s="3">
        <f t="shared" si="117"/>
        <v>2.6774999852248609E-2</v>
      </c>
      <c r="L181" s="3">
        <f t="shared" si="117"/>
        <v>2.6774997065583291E-2</v>
      </c>
      <c r="M181" s="3">
        <f t="shared" si="117"/>
        <v>2.6774969198946078E-2</v>
      </c>
      <c r="N181" s="3">
        <f t="shared" si="117"/>
        <v>2.6774690534169109E-2</v>
      </c>
      <c r="O181" s="3">
        <f t="shared" si="117"/>
        <v>2.6771904045908082E-2</v>
      </c>
      <c r="P181" s="3">
        <f t="shared" si="117"/>
        <v>2.6744055108024467E-2</v>
      </c>
      <c r="Q181" s="3">
        <f t="shared" si="117"/>
        <v>2.6467154078830279E-2</v>
      </c>
      <c r="R181" s="3">
        <f t="shared" si="117"/>
        <v>2.3851028819836896E-2</v>
      </c>
      <c r="S181" s="3">
        <f t="shared" si="117"/>
        <v>8.423757045165044E-3</v>
      </c>
      <c r="T181" s="3">
        <f t="shared" si="117"/>
        <v>2.5438587135092373E-7</v>
      </c>
      <c r="U181" s="3">
        <f t="shared" si="117"/>
        <v>1.6045916546932081E-52</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3.1584912015022802E-2</v>
      </c>
      <c r="C182" s="3">
        <f t="shared" si="118"/>
        <v>3.1584912015022802E-2</v>
      </c>
      <c r="D182" s="3">
        <f t="shared" si="118"/>
        <v>3.1584912015022795E-2</v>
      </c>
      <c r="E182" s="3">
        <f t="shared" si="118"/>
        <v>3.1584912015022767E-2</v>
      </c>
      <c r="F182" s="3">
        <f t="shared" si="118"/>
        <v>3.1584912015022469E-2</v>
      </c>
      <c r="G182" s="3">
        <f t="shared" si="118"/>
        <v>3.1584912015019506E-2</v>
      </c>
      <c r="H182" s="3">
        <f t="shared" si="118"/>
        <v>3.1584912014989856E-2</v>
      </c>
      <c r="I182" s="3">
        <f t="shared" si="118"/>
        <v>3.1584912014693316E-2</v>
      </c>
      <c r="J182" s="3">
        <f t="shared" si="118"/>
        <v>3.1584912011727924E-2</v>
      </c>
      <c r="K182" s="3">
        <f t="shared" si="118"/>
        <v>3.158491198207404E-2</v>
      </c>
      <c r="L182" s="3">
        <f t="shared" si="118"/>
        <v>3.1584911685535177E-2</v>
      </c>
      <c r="M182" s="3">
        <f t="shared" si="118"/>
        <v>3.1584908720146701E-2</v>
      </c>
      <c r="N182" s="3">
        <f t="shared" si="118"/>
        <v>3.1584879066277272E-2</v>
      </c>
      <c r="O182" s="3">
        <f t="shared" si="118"/>
        <v>3.1584582529114232E-2</v>
      </c>
      <c r="P182" s="3">
        <f t="shared" si="118"/>
        <v>3.1581617310602945E-2</v>
      </c>
      <c r="Q182" s="3">
        <f t="shared" si="118"/>
        <v>3.155198043208688E-2</v>
      </c>
      <c r="R182" s="3">
        <f t="shared" si="118"/>
        <v>3.1257137002742415E-2</v>
      </c>
      <c r="S182" s="3">
        <f t="shared" si="118"/>
        <v>2.8456069975978267E-2</v>
      </c>
      <c r="T182" s="3">
        <f t="shared" si="118"/>
        <v>1.1128385419859348E-2</v>
      </c>
      <c r="U182" s="3">
        <f t="shared" si="118"/>
        <v>9.3111761517715781E-7</v>
      </c>
      <c r="V182" s="3">
        <f t="shared" si="118"/>
        <v>1.5657715062831846E-47</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3.592675255612271E-2</v>
      </c>
      <c r="C183" s="3">
        <f t="shared" si="119"/>
        <v>3.592675255612271E-2</v>
      </c>
      <c r="D183" s="3">
        <f t="shared" si="119"/>
        <v>3.592675255612271E-2</v>
      </c>
      <c r="E183" s="3">
        <f t="shared" si="119"/>
        <v>3.5926752556122703E-2</v>
      </c>
      <c r="F183" s="3">
        <f t="shared" si="119"/>
        <v>3.5926752556122675E-2</v>
      </c>
      <c r="G183" s="3">
        <f t="shared" si="119"/>
        <v>3.592675255612237E-2</v>
      </c>
      <c r="H183" s="3">
        <f t="shared" si="119"/>
        <v>3.592675255611933E-2</v>
      </c>
      <c r="I183" s="3">
        <f t="shared" si="119"/>
        <v>3.5926752556088903E-2</v>
      </c>
      <c r="J183" s="3">
        <f t="shared" si="119"/>
        <v>3.5926752555784626E-2</v>
      </c>
      <c r="K183" s="3">
        <f t="shared" si="119"/>
        <v>3.5926752552741879E-2</v>
      </c>
      <c r="L183" s="3">
        <f t="shared" si="119"/>
        <v>3.5926752522314358E-2</v>
      </c>
      <c r="M183" s="3">
        <f t="shared" si="119"/>
        <v>3.5926752218039197E-2</v>
      </c>
      <c r="N183" s="3">
        <f t="shared" si="119"/>
        <v>3.5926749175287737E-2</v>
      </c>
      <c r="O183" s="3">
        <f t="shared" si="119"/>
        <v>3.5926718747787273E-2</v>
      </c>
      <c r="P183" s="3">
        <f t="shared" si="119"/>
        <v>3.592641447420003E-2</v>
      </c>
      <c r="Q183" s="3">
        <f t="shared" si="119"/>
        <v>3.5923371880057869E-2</v>
      </c>
      <c r="R183" s="3">
        <f t="shared" si="119"/>
        <v>3.5892960107222781E-2</v>
      </c>
      <c r="S183" s="3">
        <f t="shared" si="119"/>
        <v>3.5590254807629701E-2</v>
      </c>
      <c r="T183" s="3">
        <f t="shared" si="119"/>
        <v>3.2700117120056459E-2</v>
      </c>
      <c r="U183" s="3">
        <f t="shared" si="119"/>
        <v>1.4019464210558819E-2</v>
      </c>
      <c r="V183" s="3">
        <f t="shared" si="119"/>
        <v>2.9413892278997166E-6</v>
      </c>
      <c r="W183" s="3">
        <f t="shared" si="119"/>
        <v>4.8614218733387331E-43</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3.8216836337325075E-2</v>
      </c>
      <c r="C184" s="3">
        <f t="shared" si="120"/>
        <v>3.8216836337325075E-2</v>
      </c>
      <c r="D184" s="3">
        <f t="shared" si="120"/>
        <v>3.8216836337325075E-2</v>
      </c>
      <c r="E184" s="3">
        <f t="shared" si="120"/>
        <v>3.8216836337325075E-2</v>
      </c>
      <c r="F184" s="3">
        <f t="shared" si="120"/>
        <v>3.8216836337325068E-2</v>
      </c>
      <c r="G184" s="3">
        <f t="shared" si="120"/>
        <v>3.821683633732504E-2</v>
      </c>
      <c r="H184" s="3">
        <f t="shared" si="120"/>
        <v>3.8216836337324755E-2</v>
      </c>
      <c r="I184" s="3">
        <f t="shared" si="120"/>
        <v>3.8216836337321827E-2</v>
      </c>
      <c r="J184" s="3">
        <f t="shared" si="120"/>
        <v>3.8216836337292635E-2</v>
      </c>
      <c r="K184" s="3">
        <f t="shared" si="120"/>
        <v>3.8216836337000654E-2</v>
      </c>
      <c r="L184" s="3">
        <f t="shared" si="120"/>
        <v>3.8216836334080878E-2</v>
      </c>
      <c r="M184" s="3">
        <f t="shared" si="120"/>
        <v>3.8216836304883095E-2</v>
      </c>
      <c r="N184" s="3">
        <f t="shared" si="120"/>
        <v>3.8216836012905278E-2</v>
      </c>
      <c r="O184" s="3">
        <f t="shared" si="120"/>
        <v>3.8216833093127199E-2</v>
      </c>
      <c r="P184" s="3">
        <f t="shared" si="120"/>
        <v>3.8216803895358746E-2</v>
      </c>
      <c r="Q184" s="3">
        <f t="shared" si="120"/>
        <v>3.8216511918901033E-2</v>
      </c>
      <c r="R184" s="3">
        <f t="shared" si="120"/>
        <v>3.8213592277009691E-2</v>
      </c>
      <c r="S184" s="3">
        <f t="shared" si="120"/>
        <v>3.8184408123201591E-2</v>
      </c>
      <c r="T184" s="3">
        <f t="shared" si="120"/>
        <v>3.7893789635616779E-2</v>
      </c>
      <c r="U184" s="3">
        <f t="shared" si="120"/>
        <v>3.5106521996682544E-2</v>
      </c>
      <c r="V184" s="3">
        <f t="shared" si="120"/>
        <v>1.6352549335672782E-2</v>
      </c>
      <c r="W184" s="3">
        <f t="shared" si="120"/>
        <v>7.8625258880316811E-6</v>
      </c>
      <c r="X184" s="3">
        <f t="shared" si="120"/>
        <v>5.1919235834898562E-39</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4.8113881849429982E-2</v>
      </c>
      <c r="C185" s="3">
        <f t="shared" si="121"/>
        <v>4.8113881849429982E-2</v>
      </c>
      <c r="D185" s="3">
        <f t="shared" si="121"/>
        <v>4.8113881849429982E-2</v>
      </c>
      <c r="E185" s="3">
        <f t="shared" si="121"/>
        <v>4.8113881849429982E-2</v>
      </c>
      <c r="F185" s="3">
        <f t="shared" si="121"/>
        <v>4.8113881849429982E-2</v>
      </c>
      <c r="G185" s="3">
        <f t="shared" si="121"/>
        <v>4.8113881849429975E-2</v>
      </c>
      <c r="H185" s="3">
        <f t="shared" si="121"/>
        <v>4.8113881849429947E-2</v>
      </c>
      <c r="I185" s="3">
        <f t="shared" si="121"/>
        <v>4.8113881849429614E-2</v>
      </c>
      <c r="J185" s="3">
        <f t="shared" si="121"/>
        <v>4.8113881849426297E-2</v>
      </c>
      <c r="K185" s="3">
        <f t="shared" si="121"/>
        <v>4.8113881849393143E-2</v>
      </c>
      <c r="L185" s="3">
        <f t="shared" si="121"/>
        <v>4.8113881849061541E-2</v>
      </c>
      <c r="M185" s="3">
        <f t="shared" si="121"/>
        <v>4.8113881845745554E-2</v>
      </c>
      <c r="N185" s="3">
        <f t="shared" si="121"/>
        <v>4.8113881812585739E-2</v>
      </c>
      <c r="O185" s="3">
        <f t="shared" si="121"/>
        <v>4.8113881480987573E-2</v>
      </c>
      <c r="P185" s="3">
        <f t="shared" si="121"/>
        <v>4.8113878165006063E-2</v>
      </c>
      <c r="Q185" s="3">
        <f t="shared" si="121"/>
        <v>4.8113845005203507E-2</v>
      </c>
      <c r="R185" s="3">
        <f t="shared" si="121"/>
        <v>4.8113513408434894E-2</v>
      </c>
      <c r="S185" s="3">
        <f t="shared" si="121"/>
        <v>4.8110197566439757E-2</v>
      </c>
      <c r="T185" s="3">
        <f t="shared" si="121"/>
        <v>4.8077051712385084E-2</v>
      </c>
      <c r="U185" s="3">
        <f t="shared" si="121"/>
        <v>4.7746846563079301E-2</v>
      </c>
      <c r="V185" s="3">
        <f t="shared" si="121"/>
        <v>4.4566996090211267E-2</v>
      </c>
      <c r="W185" s="3">
        <f t="shared" si="121"/>
        <v>2.2371754792686469E-2</v>
      </c>
      <c r="X185" s="3">
        <f t="shared" si="121"/>
        <v>2.2728298742428537E-5</v>
      </c>
      <c r="Y185" s="3">
        <f t="shared" si="121"/>
        <v>2.6621695706101546E-35</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5.6463045562969084E-2</v>
      </c>
      <c r="C186" s="3">
        <f t="shared" si="122"/>
        <v>5.6463045562969084E-2</v>
      </c>
      <c r="D186" s="3">
        <f t="shared" si="122"/>
        <v>5.6463045562969084E-2</v>
      </c>
      <c r="E186" s="3">
        <f t="shared" si="122"/>
        <v>5.6463045562969084E-2</v>
      </c>
      <c r="F186" s="3">
        <f t="shared" si="122"/>
        <v>5.6463045562969084E-2</v>
      </c>
      <c r="G186" s="3">
        <f t="shared" si="122"/>
        <v>5.6463045562969084E-2</v>
      </c>
      <c r="H186" s="3">
        <f t="shared" si="122"/>
        <v>5.6463045562969078E-2</v>
      </c>
      <c r="I186" s="3">
        <f t="shared" si="122"/>
        <v>5.646304556296905E-2</v>
      </c>
      <c r="J186" s="3">
        <f t="shared" si="122"/>
        <v>5.6463045562968696E-2</v>
      </c>
      <c r="K186" s="3">
        <f t="shared" si="122"/>
        <v>5.6463045562965185E-2</v>
      </c>
      <c r="L186" s="3">
        <f t="shared" si="122"/>
        <v>5.6463045562930081E-2</v>
      </c>
      <c r="M186" s="3">
        <f t="shared" si="122"/>
        <v>5.6463045562579042E-2</v>
      </c>
      <c r="N186" s="3">
        <f t="shared" si="122"/>
        <v>5.6463045559068677E-2</v>
      </c>
      <c r="O186" s="3">
        <f t="shared" si="122"/>
        <v>5.6463045523965E-2</v>
      </c>
      <c r="P186" s="3">
        <f t="shared" si="122"/>
        <v>5.6463045172928231E-2</v>
      </c>
      <c r="Q186" s="3">
        <f t="shared" si="122"/>
        <v>5.6463041662560644E-2</v>
      </c>
      <c r="R186" s="3">
        <f t="shared" si="122"/>
        <v>5.6463006558896786E-2</v>
      </c>
      <c r="S186" s="3">
        <f t="shared" si="122"/>
        <v>5.6462655523458506E-2</v>
      </c>
      <c r="T186" s="3">
        <f t="shared" si="122"/>
        <v>5.6459145289106512E-2</v>
      </c>
      <c r="U186" s="3">
        <f t="shared" si="122"/>
        <v>5.6424054945900776E-2</v>
      </c>
      <c r="V186" s="3">
        <f t="shared" si="122"/>
        <v>5.6074348789380418E-2</v>
      </c>
      <c r="W186" s="3">
        <f t="shared" si="122"/>
        <v>5.2694305851538427E-2</v>
      </c>
      <c r="X186" s="3">
        <f t="shared" si="122"/>
        <v>2.8298158831004842E-2</v>
      </c>
      <c r="Y186" s="3">
        <f t="shared" si="122"/>
        <v>5.6455089422891591E-5</v>
      </c>
      <c r="Z186" s="3">
        <f t="shared" si="122"/>
        <v>5.6383534592299033E-32</v>
      </c>
      <c r="AA186" s="3">
        <f t="shared" si="122"/>
        <v>5.5672955494583318E-302</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5.9569205174430817E-2</v>
      </c>
      <c r="C187" s="3">
        <f t="shared" si="123"/>
        <v>5.9569205174430817E-2</v>
      </c>
      <c r="D187" s="3">
        <f t="shared" si="123"/>
        <v>5.9569205174430817E-2</v>
      </c>
      <c r="E187" s="3">
        <f t="shared" si="123"/>
        <v>5.9569205174430817E-2</v>
      </c>
      <c r="F187" s="3">
        <f t="shared" si="123"/>
        <v>5.9569205174430817E-2</v>
      </c>
      <c r="G187" s="3">
        <f t="shared" si="123"/>
        <v>5.9569205174430817E-2</v>
      </c>
      <c r="H187" s="3">
        <f t="shared" si="123"/>
        <v>5.9569205174430817E-2</v>
      </c>
      <c r="I187" s="3">
        <f t="shared" si="123"/>
        <v>5.956920517443081E-2</v>
      </c>
      <c r="J187" s="3">
        <f t="shared" si="123"/>
        <v>5.9569205174430775E-2</v>
      </c>
      <c r="K187" s="3">
        <f t="shared" si="123"/>
        <v>5.9569205174430449E-2</v>
      </c>
      <c r="L187" s="3">
        <f t="shared" si="123"/>
        <v>5.9569205174427105E-2</v>
      </c>
      <c r="M187" s="3">
        <f t="shared" si="123"/>
        <v>5.9569205174393694E-2</v>
      </c>
      <c r="N187" s="3">
        <f t="shared" si="123"/>
        <v>5.9569205174059614E-2</v>
      </c>
      <c r="O187" s="3">
        <f t="shared" si="123"/>
        <v>5.9569205170718766E-2</v>
      </c>
      <c r="P187" s="3">
        <f t="shared" si="123"/>
        <v>5.9569205137310281E-2</v>
      </c>
      <c r="Q187" s="3">
        <f t="shared" si="123"/>
        <v>5.9569204803225494E-2</v>
      </c>
      <c r="R187" s="3">
        <f t="shared" si="123"/>
        <v>5.9569201462377666E-2</v>
      </c>
      <c r="S187" s="3">
        <f t="shared" si="123"/>
        <v>5.9569168053909743E-2</v>
      </c>
      <c r="T187" s="3">
        <f t="shared" si="123"/>
        <v>5.9568833970260963E-2</v>
      </c>
      <c r="U187" s="3">
        <f t="shared" si="123"/>
        <v>5.9565493236822351E-2</v>
      </c>
      <c r="V187" s="3">
        <f t="shared" si="123"/>
        <v>5.9532096205210168E-2</v>
      </c>
      <c r="W187" s="3">
        <f t="shared" si="123"/>
        <v>5.9199154031773192E-2</v>
      </c>
      <c r="X187" s="3">
        <f t="shared" si="123"/>
        <v>5.5970444706548626E-2</v>
      </c>
      <c r="Y187" s="3">
        <f t="shared" si="123"/>
        <v>3.1944149302803045E-2</v>
      </c>
      <c r="Z187" s="3">
        <f t="shared" si="123"/>
        <v>1.1714318334803731E-4</v>
      </c>
      <c r="AA187" s="3">
        <f t="shared" si="123"/>
        <v>5.1519776325005665E-29</v>
      </c>
      <c r="AB187" s="3">
        <f t="shared" si="123"/>
        <v>1.3949011745835902E-272</v>
      </c>
      <c r="AC187" s="3">
        <f t="shared" si="123"/>
        <v>0</v>
      </c>
      <c r="AD187" s="3">
        <f t="shared" si="123"/>
        <v>0</v>
      </c>
      <c r="AE187" s="3">
        <f t="shared" si="123"/>
        <v>0</v>
      </c>
      <c r="AF187" s="3">
        <f t="shared" si="123"/>
        <v>0</v>
      </c>
      <c r="AG187" s="3"/>
      <c r="AH187" s="3"/>
    </row>
    <row r="188" spans="2:34" x14ac:dyDescent="0.25">
      <c r="B188" s="3">
        <f t="shared" ref="B188:AF188" si="124">$C35*EXP(-B$168/$A35/EXP(-$C$126))</f>
        <v>6.4663842713273356E-2</v>
      </c>
      <c r="C188" s="3">
        <f t="shared" si="124"/>
        <v>6.4663842713273356E-2</v>
      </c>
      <c r="D188" s="3">
        <f t="shared" si="124"/>
        <v>6.4663842713273356E-2</v>
      </c>
      <c r="E188" s="3">
        <f t="shared" si="124"/>
        <v>6.4663842713273356E-2</v>
      </c>
      <c r="F188" s="3">
        <f t="shared" si="124"/>
        <v>6.4663842713273356E-2</v>
      </c>
      <c r="G188" s="3">
        <f t="shared" si="124"/>
        <v>6.4663842713273356E-2</v>
      </c>
      <c r="H188" s="3">
        <f t="shared" si="124"/>
        <v>6.4663842713273356E-2</v>
      </c>
      <c r="I188" s="3">
        <f t="shared" si="124"/>
        <v>6.4663842713273356E-2</v>
      </c>
      <c r="J188" s="3">
        <f t="shared" si="124"/>
        <v>6.4663842713273342E-2</v>
      </c>
      <c r="K188" s="3">
        <f t="shared" si="124"/>
        <v>6.4663842713273315E-2</v>
      </c>
      <c r="L188" s="3">
        <f t="shared" si="124"/>
        <v>6.4663842713272995E-2</v>
      </c>
      <c r="M188" s="3">
        <f t="shared" si="124"/>
        <v>6.466384271326972E-2</v>
      </c>
      <c r="N188" s="3">
        <f t="shared" si="124"/>
        <v>6.466384271323701E-2</v>
      </c>
      <c r="O188" s="3">
        <f t="shared" si="124"/>
        <v>6.4663842712909869E-2</v>
      </c>
      <c r="P188" s="3">
        <f t="shared" si="124"/>
        <v>6.4663842709638389E-2</v>
      </c>
      <c r="Q188" s="3">
        <f t="shared" si="124"/>
        <v>6.4663842676923683E-2</v>
      </c>
      <c r="R188" s="3">
        <f t="shared" si="124"/>
        <v>6.4663842349776637E-2</v>
      </c>
      <c r="S188" s="3">
        <f t="shared" si="124"/>
        <v>6.4663839078306279E-2</v>
      </c>
      <c r="T188" s="3">
        <f t="shared" si="124"/>
        <v>6.4663806363611756E-2</v>
      </c>
      <c r="U188" s="3">
        <f t="shared" si="124"/>
        <v>6.46634792175768E-2</v>
      </c>
      <c r="V188" s="3">
        <f t="shared" si="124"/>
        <v>6.4660207848255921E-2</v>
      </c>
      <c r="W188" s="3">
        <f t="shared" si="124"/>
        <v>6.462750325620957E-2</v>
      </c>
      <c r="X188" s="3">
        <f t="shared" si="124"/>
        <v>6.4301365750636968E-2</v>
      </c>
      <c r="Y188" s="3">
        <f t="shared" si="124"/>
        <v>6.1129154486497798E-2</v>
      </c>
      <c r="Z188" s="3">
        <f t="shared" si="124"/>
        <v>3.6857875917856234E-2</v>
      </c>
      <c r="AA188" s="3">
        <f t="shared" si="124"/>
        <v>2.340719923311628E-4</v>
      </c>
      <c r="AB188" s="3">
        <f t="shared" si="124"/>
        <v>2.4977037861274314E-26</v>
      </c>
      <c r="AC188" s="3">
        <f t="shared" si="124"/>
        <v>4.7803064292054111E-246</v>
      </c>
      <c r="AD188" s="3">
        <f t="shared" si="124"/>
        <v>0</v>
      </c>
      <c r="AE188" s="3">
        <f t="shared" si="124"/>
        <v>0</v>
      </c>
      <c r="AF188" s="3">
        <f t="shared" si="124"/>
        <v>0</v>
      </c>
      <c r="AG188" s="3"/>
      <c r="AH188" s="3"/>
    </row>
    <row r="189" spans="2:34" x14ac:dyDescent="0.25">
      <c r="B189" s="3">
        <f t="shared" ref="B189:AF189" si="125">$C36*EXP(-B$168/$A36/EXP(-$C$126))</f>
        <v>4.8548005334617741E-2</v>
      </c>
      <c r="C189" s="3">
        <f t="shared" si="125"/>
        <v>4.8548005334617741E-2</v>
      </c>
      <c r="D189" s="3">
        <f t="shared" si="125"/>
        <v>4.8548005334617741E-2</v>
      </c>
      <c r="E189" s="3">
        <f t="shared" si="125"/>
        <v>4.8548005334617741E-2</v>
      </c>
      <c r="F189" s="3">
        <f t="shared" si="125"/>
        <v>4.8548005334617741E-2</v>
      </c>
      <c r="G189" s="3">
        <f t="shared" si="125"/>
        <v>4.8548005334617741E-2</v>
      </c>
      <c r="H189" s="3">
        <f t="shared" si="125"/>
        <v>4.8548005334617741E-2</v>
      </c>
      <c r="I189" s="3">
        <f t="shared" si="125"/>
        <v>4.8548005334617741E-2</v>
      </c>
      <c r="J189" s="3">
        <f t="shared" si="125"/>
        <v>4.8548005334617741E-2</v>
      </c>
      <c r="K189" s="3">
        <f t="shared" si="125"/>
        <v>4.8548005334617741E-2</v>
      </c>
      <c r="L189" s="3">
        <f t="shared" si="125"/>
        <v>4.8548005334617714E-2</v>
      </c>
      <c r="M189" s="3">
        <f t="shared" si="125"/>
        <v>4.8548005334617492E-2</v>
      </c>
      <c r="N189" s="3">
        <f t="shared" si="125"/>
        <v>4.8548005334615278E-2</v>
      </c>
      <c r="O189" s="3">
        <f t="shared" si="125"/>
        <v>4.8548005334593122E-2</v>
      </c>
      <c r="P189" s="3">
        <f t="shared" si="125"/>
        <v>4.8548005334371556E-2</v>
      </c>
      <c r="Q189" s="3">
        <f t="shared" si="125"/>
        <v>4.8548005332155919E-2</v>
      </c>
      <c r="R189" s="3">
        <f t="shared" si="125"/>
        <v>4.8548005309999503E-2</v>
      </c>
      <c r="S189" s="3">
        <f t="shared" si="125"/>
        <v>4.8548005088435361E-2</v>
      </c>
      <c r="T189" s="3">
        <f t="shared" si="125"/>
        <v>4.8548002872794004E-2</v>
      </c>
      <c r="U189" s="3">
        <f t="shared" si="125"/>
        <v>4.8547980716385941E-2</v>
      </c>
      <c r="V189" s="3">
        <f t="shared" si="125"/>
        <v>4.8547759152861483E-2</v>
      </c>
      <c r="W189" s="3">
        <f t="shared" si="125"/>
        <v>4.8545543573230682E-2</v>
      </c>
      <c r="X189" s="3">
        <f t="shared" si="125"/>
        <v>4.8523393337357647E-2</v>
      </c>
      <c r="Y189" s="3">
        <f t="shared" si="125"/>
        <v>4.8302446084332762E-2</v>
      </c>
      <c r="Z189" s="3">
        <f t="shared" si="125"/>
        <v>4.614755809944375E-2</v>
      </c>
      <c r="AA189" s="3">
        <f t="shared" si="125"/>
        <v>2.9237802869457034E-2</v>
      </c>
      <c r="AB189" s="3">
        <f t="shared" si="125"/>
        <v>3.0472270672198248E-4</v>
      </c>
      <c r="AC189" s="3">
        <f t="shared" si="125"/>
        <v>4.607927679622136E-24</v>
      </c>
      <c r="AD189" s="3">
        <f t="shared" si="125"/>
        <v>2.8808060752863839E-222</v>
      </c>
      <c r="AE189" s="3">
        <f t="shared" si="125"/>
        <v>0</v>
      </c>
      <c r="AF189" s="3">
        <f t="shared" si="125"/>
        <v>0</v>
      </c>
      <c r="AG189" s="3"/>
      <c r="AH189" s="3"/>
    </row>
    <row r="190" spans="2:34" x14ac:dyDescent="0.25">
      <c r="B190" s="3">
        <f t="shared" ref="B190:AF190" si="126">$C37*EXP(-B$168/$A37/EXP(-$C$126))</f>
        <v>3.8659494646510029E-2</v>
      </c>
      <c r="C190" s="3">
        <f t="shared" si="126"/>
        <v>3.8659494646510029E-2</v>
      </c>
      <c r="D190" s="3">
        <f t="shared" si="126"/>
        <v>3.8659494646510029E-2</v>
      </c>
      <c r="E190" s="3">
        <f t="shared" si="126"/>
        <v>3.8659494646510029E-2</v>
      </c>
      <c r="F190" s="3">
        <f t="shared" si="126"/>
        <v>3.8659494646510029E-2</v>
      </c>
      <c r="G190" s="3">
        <f t="shared" si="126"/>
        <v>3.8659494646510029E-2</v>
      </c>
      <c r="H190" s="3">
        <f t="shared" si="126"/>
        <v>3.8659494646510029E-2</v>
      </c>
      <c r="I190" s="3">
        <f t="shared" si="126"/>
        <v>3.8659494646510029E-2</v>
      </c>
      <c r="J190" s="3">
        <f t="shared" si="126"/>
        <v>3.8659494646510029E-2</v>
      </c>
      <c r="K190" s="3">
        <f t="shared" si="126"/>
        <v>3.8659494646510029E-2</v>
      </c>
      <c r="L190" s="3">
        <f t="shared" si="126"/>
        <v>3.8659494646510029E-2</v>
      </c>
      <c r="M190" s="3">
        <f t="shared" si="126"/>
        <v>3.8659494646510015E-2</v>
      </c>
      <c r="N190" s="3">
        <f t="shared" si="126"/>
        <v>3.8659494646509855E-2</v>
      </c>
      <c r="O190" s="3">
        <f t="shared" si="126"/>
        <v>3.8659494646508259E-2</v>
      </c>
      <c r="P190" s="3">
        <f t="shared" si="126"/>
        <v>3.8659494646492348E-2</v>
      </c>
      <c r="Q190" s="3">
        <f t="shared" si="126"/>
        <v>3.8659494646333184E-2</v>
      </c>
      <c r="R190" s="3">
        <f t="shared" si="126"/>
        <v>3.8659494644741596E-2</v>
      </c>
      <c r="S190" s="3">
        <f t="shared" si="126"/>
        <v>3.8659494628825709E-2</v>
      </c>
      <c r="T190" s="3">
        <f t="shared" si="126"/>
        <v>3.8659494469666843E-2</v>
      </c>
      <c r="U190" s="3">
        <f t="shared" si="126"/>
        <v>3.8659492878078176E-2</v>
      </c>
      <c r="V190" s="3">
        <f t="shared" si="126"/>
        <v>3.8659476962195113E-2</v>
      </c>
      <c r="W190" s="3">
        <f t="shared" si="126"/>
        <v>3.8659317803724912E-2</v>
      </c>
      <c r="X190" s="3">
        <f t="shared" si="126"/>
        <v>3.8657726255060906E-2</v>
      </c>
      <c r="Y190" s="3">
        <f t="shared" si="126"/>
        <v>3.8641814371673452E-2</v>
      </c>
      <c r="Z190" s="3">
        <f t="shared" si="126"/>
        <v>3.8483055314793173E-2</v>
      </c>
      <c r="AA190" s="3">
        <f t="shared" si="126"/>
        <v>3.6930900391281558E-2</v>
      </c>
      <c r="AB190" s="3">
        <f t="shared" si="126"/>
        <v>2.4467714630455835E-2</v>
      </c>
      <c r="AC190" s="3">
        <f t="shared" si="126"/>
        <v>3.9868372955744754E-4</v>
      </c>
      <c r="AD190" s="3">
        <f t="shared" si="126"/>
        <v>5.2599252082055268E-22</v>
      </c>
      <c r="AE190" s="3">
        <f t="shared" si="126"/>
        <v>8.4040791672614729E-201</v>
      </c>
      <c r="AF190" s="3">
        <f t="shared" si="126"/>
        <v>0</v>
      </c>
      <c r="AG190" s="3"/>
      <c r="AH190" s="3"/>
    </row>
    <row r="191" spans="2:34" x14ac:dyDescent="0.25">
      <c r="B191" s="3">
        <f t="shared" ref="B191:AF191" si="127">$C38*EXP(-B$168/$A38/EXP(-$C$126))</f>
        <v>6.6103757573429938E-3</v>
      </c>
      <c r="C191" s="3">
        <f t="shared" si="127"/>
        <v>6.6103757573429938E-3</v>
      </c>
      <c r="D191" s="3">
        <f t="shared" si="127"/>
        <v>6.6103757573429938E-3</v>
      </c>
      <c r="E191" s="3">
        <f t="shared" si="127"/>
        <v>6.6103757573429938E-3</v>
      </c>
      <c r="F191" s="3">
        <f t="shared" si="127"/>
        <v>6.6103757573429938E-3</v>
      </c>
      <c r="G191" s="3">
        <f t="shared" si="127"/>
        <v>6.6103757573429938E-3</v>
      </c>
      <c r="H191" s="3">
        <f t="shared" si="127"/>
        <v>6.6103757573429938E-3</v>
      </c>
      <c r="I191" s="3">
        <f t="shared" si="127"/>
        <v>6.6103757573429938E-3</v>
      </c>
      <c r="J191" s="3">
        <f t="shared" si="127"/>
        <v>6.6103757573429938E-3</v>
      </c>
      <c r="K191" s="3">
        <f t="shared" si="127"/>
        <v>6.6103757573429938E-3</v>
      </c>
      <c r="L191" s="3">
        <f t="shared" si="127"/>
        <v>6.6103757573429938E-3</v>
      </c>
      <c r="M191" s="3">
        <f t="shared" si="127"/>
        <v>6.6103757573429938E-3</v>
      </c>
      <c r="N191" s="3">
        <f t="shared" si="127"/>
        <v>6.6103757573429912E-3</v>
      </c>
      <c r="O191" s="3">
        <f t="shared" si="127"/>
        <v>6.6103757573429669E-3</v>
      </c>
      <c r="P191" s="3">
        <f t="shared" si="127"/>
        <v>6.6103757573427206E-3</v>
      </c>
      <c r="Q191" s="3">
        <f t="shared" si="127"/>
        <v>6.610375757340266E-3</v>
      </c>
      <c r="R191" s="3">
        <f t="shared" si="127"/>
        <v>6.6103757573157161E-3</v>
      </c>
      <c r="S191" s="3">
        <f t="shared" si="127"/>
        <v>6.6103757570702189E-3</v>
      </c>
      <c r="T191" s="3">
        <f t="shared" si="127"/>
        <v>6.6103757546152418E-3</v>
      </c>
      <c r="U191" s="3">
        <f t="shared" si="127"/>
        <v>6.6103757300654724E-3</v>
      </c>
      <c r="V191" s="3">
        <f t="shared" si="127"/>
        <v>6.6103754845677851E-3</v>
      </c>
      <c r="W191" s="3">
        <f t="shared" si="127"/>
        <v>6.6103730295914197E-3</v>
      </c>
      <c r="X191" s="3">
        <f t="shared" si="127"/>
        <v>6.6103484798779059E-3</v>
      </c>
      <c r="Y191" s="3">
        <f t="shared" si="127"/>
        <v>6.6101029877572359E-3</v>
      </c>
      <c r="Z191" s="3">
        <f t="shared" si="127"/>
        <v>6.6076485679282936E-3</v>
      </c>
      <c r="AA191" s="3">
        <f t="shared" si="127"/>
        <v>6.5831544385880746E-3</v>
      </c>
      <c r="AB191" s="3">
        <f t="shared" si="127"/>
        <v>6.3431519177389768E-3</v>
      </c>
      <c r="AC191" s="3">
        <f t="shared" si="127"/>
        <v>4.375380278271849E-3</v>
      </c>
      <c r="AD191" s="3">
        <f t="shared" si="127"/>
        <v>1.066897569770031E-4</v>
      </c>
      <c r="AE191" s="3">
        <f t="shared" si="127"/>
        <v>7.9285165197166296E-21</v>
      </c>
      <c r="AF191" s="3">
        <f t="shared" si="127"/>
        <v>4.0727151004990486E-182</v>
      </c>
      <c r="AG191" s="3"/>
      <c r="AH191" s="3"/>
    </row>
    <row r="192" spans="2:34" x14ac:dyDescent="0.25">
      <c r="B192" s="3">
        <f t="shared" ref="B192:AF192" si="128">$C39*EXP(-B$168/$A39/EXP(-$C$126))</f>
        <v>1.6903393193058183E-2</v>
      </c>
      <c r="C192" s="3">
        <f t="shared" si="128"/>
        <v>1.6903393193058183E-2</v>
      </c>
      <c r="D192" s="3">
        <f t="shared" si="128"/>
        <v>1.6903393193058183E-2</v>
      </c>
      <c r="E192" s="3">
        <f t="shared" si="128"/>
        <v>1.6903393193058183E-2</v>
      </c>
      <c r="F192" s="3">
        <f t="shared" si="128"/>
        <v>1.6903393193058183E-2</v>
      </c>
      <c r="G192" s="3">
        <f t="shared" si="128"/>
        <v>1.6903393193058183E-2</v>
      </c>
      <c r="H192" s="3">
        <f t="shared" si="128"/>
        <v>1.6903393193058183E-2</v>
      </c>
      <c r="I192" s="3">
        <f t="shared" si="128"/>
        <v>1.6903393193058183E-2</v>
      </c>
      <c r="J192" s="3">
        <f t="shared" si="128"/>
        <v>1.6903393193058183E-2</v>
      </c>
      <c r="K192" s="3">
        <f t="shared" si="128"/>
        <v>1.6903393193058183E-2</v>
      </c>
      <c r="L192" s="3">
        <f t="shared" si="128"/>
        <v>1.6903393193058183E-2</v>
      </c>
      <c r="M192" s="3">
        <f t="shared" si="128"/>
        <v>1.6903393193058183E-2</v>
      </c>
      <c r="N192" s="3">
        <f t="shared" si="128"/>
        <v>1.690339319305818E-2</v>
      </c>
      <c r="O192" s="3">
        <f t="shared" si="128"/>
        <v>1.6903393193058166E-2</v>
      </c>
      <c r="P192" s="3">
        <f t="shared" si="128"/>
        <v>1.6903393193057989E-2</v>
      </c>
      <c r="Q192" s="3">
        <f t="shared" si="128"/>
        <v>1.6903393193056254E-2</v>
      </c>
      <c r="R192" s="3">
        <f t="shared" si="128"/>
        <v>1.690339319303889E-2</v>
      </c>
      <c r="S192" s="3">
        <f t="shared" si="128"/>
        <v>1.6903393192865268E-2</v>
      </c>
      <c r="T192" s="3">
        <f t="shared" si="128"/>
        <v>1.6903393191129035E-2</v>
      </c>
      <c r="U192" s="3">
        <f t="shared" si="128"/>
        <v>1.6903393173766705E-2</v>
      </c>
      <c r="V192" s="3">
        <f t="shared" si="128"/>
        <v>1.6903393000143398E-2</v>
      </c>
      <c r="W192" s="3">
        <f t="shared" si="128"/>
        <v>1.6903391263910442E-2</v>
      </c>
      <c r="X192" s="3">
        <f t="shared" si="128"/>
        <v>1.6903373901590697E-2</v>
      </c>
      <c r="Y192" s="3">
        <f t="shared" si="128"/>
        <v>1.6903200279374073E-2</v>
      </c>
      <c r="Z192" s="3">
        <f t="shared" si="128"/>
        <v>1.6901464155289186E-2</v>
      </c>
      <c r="AA192" s="3">
        <f t="shared" si="128"/>
        <v>1.6884112718850337E-2</v>
      </c>
      <c r="AB192" s="3">
        <f t="shared" si="128"/>
        <v>1.6711575079553207E-2</v>
      </c>
      <c r="AC192" s="3">
        <f t="shared" si="128"/>
        <v>1.5080258988929948E-2</v>
      </c>
      <c r="AD192" s="3">
        <f t="shared" si="128"/>
        <v>5.3991197216841889E-3</v>
      </c>
      <c r="AE192" s="3">
        <f t="shared" si="128"/>
        <v>1.8683770902936891E-7</v>
      </c>
      <c r="AF192" s="3">
        <f t="shared" si="128"/>
        <v>4.6012972475523681E-52</v>
      </c>
      <c r="AG192" s="3"/>
      <c r="AH192" s="3"/>
    </row>
    <row r="193" spans="1:34" x14ac:dyDescent="0.25">
      <c r="B193" s="3">
        <f t="shared" ref="B193:AF193" si="129">$C40*EXP(-B$168/$A40/EXP(-$C$126))</f>
        <v>1.9810156254800116E-3</v>
      </c>
      <c r="C193" s="3">
        <f t="shared" si="129"/>
        <v>1.9810156254800116E-3</v>
      </c>
      <c r="D193" s="3">
        <f t="shared" si="129"/>
        <v>1.9810156254800116E-3</v>
      </c>
      <c r="E193" s="3">
        <f t="shared" si="129"/>
        <v>1.9810156254800116E-3</v>
      </c>
      <c r="F193" s="3">
        <f t="shared" si="129"/>
        <v>1.9810156254800116E-3</v>
      </c>
      <c r="G193" s="3">
        <f t="shared" si="129"/>
        <v>1.9810156254800116E-3</v>
      </c>
      <c r="H193" s="3">
        <f t="shared" si="129"/>
        <v>1.9810156254800116E-3</v>
      </c>
      <c r="I193" s="3">
        <f t="shared" si="129"/>
        <v>1.9810156254800116E-3</v>
      </c>
      <c r="J193" s="3">
        <f t="shared" si="129"/>
        <v>1.9810156254800116E-3</v>
      </c>
      <c r="K193" s="3">
        <f t="shared" si="129"/>
        <v>1.9810156254800116E-3</v>
      </c>
      <c r="L193" s="3">
        <f t="shared" si="129"/>
        <v>1.9810156254800116E-3</v>
      </c>
      <c r="M193" s="3">
        <f t="shared" si="129"/>
        <v>1.9810156254800116E-3</v>
      </c>
      <c r="N193" s="3">
        <f t="shared" si="129"/>
        <v>1.9810156254800116E-3</v>
      </c>
      <c r="O193" s="3">
        <f t="shared" si="129"/>
        <v>1.9810156254800111E-3</v>
      </c>
      <c r="P193" s="3">
        <f t="shared" si="129"/>
        <v>1.9810156254800094E-3</v>
      </c>
      <c r="Q193" s="3">
        <f t="shared" si="129"/>
        <v>1.981015625479989E-3</v>
      </c>
      <c r="R193" s="3">
        <f t="shared" si="129"/>
        <v>1.9810156254797856E-3</v>
      </c>
      <c r="S193" s="3">
        <f t="shared" si="129"/>
        <v>1.9810156254777508E-3</v>
      </c>
      <c r="T193" s="3">
        <f t="shared" si="129"/>
        <v>1.9810156254574029E-3</v>
      </c>
      <c r="U193" s="3">
        <f t="shared" si="129"/>
        <v>1.9810156252539225E-3</v>
      </c>
      <c r="V193" s="3">
        <f t="shared" si="129"/>
        <v>1.9810156232191213E-3</v>
      </c>
      <c r="W193" s="3">
        <f t="shared" si="129"/>
        <v>1.9810156028711072E-3</v>
      </c>
      <c r="X193" s="3">
        <f t="shared" si="129"/>
        <v>1.9810153993909787E-3</v>
      </c>
      <c r="Y193" s="3">
        <f t="shared" si="129"/>
        <v>1.981013364590846E-3</v>
      </c>
      <c r="Z193" s="3">
        <f t="shared" si="129"/>
        <v>1.9809930167044697E-3</v>
      </c>
      <c r="AA193" s="3">
        <f t="shared" si="129"/>
        <v>1.9807895493354839E-3</v>
      </c>
      <c r="AB193" s="3">
        <f t="shared" si="129"/>
        <v>1.9787560246864802E-3</v>
      </c>
      <c r="AC193" s="3">
        <f t="shared" si="129"/>
        <v>1.9585352467913404E-3</v>
      </c>
      <c r="AD193" s="3">
        <f t="shared" si="129"/>
        <v>1.7673509899553334E-3</v>
      </c>
      <c r="AE193" s="3">
        <f t="shared" si="129"/>
        <v>6.3275700981067827E-4</v>
      </c>
      <c r="AF193" s="3">
        <f t="shared" si="129"/>
        <v>2.1896693568488395E-8</v>
      </c>
      <c r="AG193" s="3"/>
      <c r="AH193" s="3"/>
    </row>
    <row r="194" spans="1:34" x14ac:dyDescent="0.25">
      <c r="B194" s="3">
        <f t="shared" ref="B194:AF194" si="130">$C41*EXP(-B$168/$A41/EXP(-$C$126))</f>
        <v>4.9795148637895425E-3</v>
      </c>
      <c r="C194" s="3">
        <f t="shared" si="130"/>
        <v>4.9795148637895425E-3</v>
      </c>
      <c r="D194" s="3">
        <f t="shared" si="130"/>
        <v>4.9795148637895425E-3</v>
      </c>
      <c r="E194" s="3">
        <f t="shared" si="130"/>
        <v>4.9795148637895425E-3</v>
      </c>
      <c r="F194" s="3">
        <f t="shared" si="130"/>
        <v>4.9795148637895425E-3</v>
      </c>
      <c r="G194" s="3">
        <f t="shared" si="130"/>
        <v>4.9795148637895425E-3</v>
      </c>
      <c r="H194" s="3">
        <f t="shared" si="130"/>
        <v>4.9795148637895425E-3</v>
      </c>
      <c r="I194" s="3">
        <f t="shared" si="130"/>
        <v>4.9795148637895425E-3</v>
      </c>
      <c r="J194" s="3">
        <f t="shared" si="130"/>
        <v>4.9795148637895425E-3</v>
      </c>
      <c r="K194" s="3">
        <f t="shared" si="130"/>
        <v>4.9795148637895425E-3</v>
      </c>
      <c r="L194" s="3">
        <f t="shared" si="130"/>
        <v>4.9795148637895425E-3</v>
      </c>
      <c r="M194" s="3">
        <f t="shared" si="130"/>
        <v>4.9795148637895425E-3</v>
      </c>
      <c r="N194" s="3">
        <f t="shared" si="130"/>
        <v>4.9795148637895425E-3</v>
      </c>
      <c r="O194" s="3">
        <f t="shared" si="130"/>
        <v>4.9795148637895425E-3</v>
      </c>
      <c r="P194" s="3">
        <f t="shared" si="130"/>
        <v>4.9795148637895416E-3</v>
      </c>
      <c r="Q194" s="3">
        <f t="shared" si="130"/>
        <v>4.9795148637895373E-3</v>
      </c>
      <c r="R194" s="3">
        <f t="shared" si="130"/>
        <v>4.9795148637894852E-3</v>
      </c>
      <c r="S194" s="3">
        <f t="shared" si="130"/>
        <v>4.9795148637889744E-3</v>
      </c>
      <c r="T194" s="3">
        <f t="shared" si="130"/>
        <v>4.9795148637838595E-3</v>
      </c>
      <c r="U194" s="3">
        <f t="shared" si="130"/>
        <v>4.9795148637327121E-3</v>
      </c>
      <c r="V194" s="3">
        <f t="shared" si="130"/>
        <v>4.979514863221241E-3</v>
      </c>
      <c r="W194" s="3">
        <f t="shared" si="130"/>
        <v>4.9795148581065294E-3</v>
      </c>
      <c r="X194" s="3">
        <f t="shared" si="130"/>
        <v>4.9795148069594125E-3</v>
      </c>
      <c r="Y194" s="3">
        <f t="shared" si="130"/>
        <v>4.979514295488271E-3</v>
      </c>
      <c r="Z194" s="3">
        <f t="shared" si="130"/>
        <v>4.9795091807797471E-3</v>
      </c>
      <c r="AA194" s="3">
        <f t="shared" si="130"/>
        <v>4.9794580339834497E-3</v>
      </c>
      <c r="AB194" s="3">
        <f t="shared" si="130"/>
        <v>4.9789465949139494E-3</v>
      </c>
      <c r="AC194" s="3">
        <f t="shared" si="130"/>
        <v>4.9738350924677516E-3</v>
      </c>
      <c r="AD194" s="3">
        <f t="shared" si="130"/>
        <v>4.9230077982298087E-3</v>
      </c>
      <c r="AE194" s="3">
        <f t="shared" si="130"/>
        <v>4.4424437701662857E-3</v>
      </c>
      <c r="AF194" s="3">
        <f t="shared" si="130"/>
        <v>1.5905088758478799E-3</v>
      </c>
      <c r="AG194" s="3"/>
      <c r="AH194" s="3"/>
    </row>
    <row r="195" spans="1:34" x14ac:dyDescent="0.25">
      <c r="B195" s="3">
        <f t="shared" ref="B195:AF195" si="131">$C42*EXP(-B$168/$A42/EXP(-$C$126))</f>
        <v>1.5203897421204233E-3</v>
      </c>
      <c r="C195" s="3">
        <f t="shared" si="131"/>
        <v>1.5203897421204233E-3</v>
      </c>
      <c r="D195" s="3">
        <f t="shared" si="131"/>
        <v>1.5203897421204233E-3</v>
      </c>
      <c r="E195" s="3">
        <f t="shared" si="131"/>
        <v>1.5203897421204233E-3</v>
      </c>
      <c r="F195" s="3">
        <f t="shared" si="131"/>
        <v>1.5203897421204233E-3</v>
      </c>
      <c r="G195" s="3">
        <f t="shared" si="131"/>
        <v>1.5203897421204233E-3</v>
      </c>
      <c r="H195" s="3">
        <f t="shared" si="131"/>
        <v>1.5203897421204233E-3</v>
      </c>
      <c r="I195" s="3">
        <f t="shared" si="131"/>
        <v>1.5203897421204233E-3</v>
      </c>
      <c r="J195" s="3">
        <f t="shared" si="131"/>
        <v>1.5203897421204233E-3</v>
      </c>
      <c r="K195" s="3">
        <f t="shared" si="131"/>
        <v>1.5203897421204233E-3</v>
      </c>
      <c r="L195" s="3">
        <f t="shared" si="131"/>
        <v>1.5203897421204233E-3</v>
      </c>
      <c r="M195" s="3">
        <f t="shared" si="131"/>
        <v>1.5203897421204233E-3</v>
      </c>
      <c r="N195" s="3">
        <f t="shared" si="131"/>
        <v>1.5203897421204233E-3</v>
      </c>
      <c r="O195" s="3">
        <f t="shared" si="131"/>
        <v>1.5203897421204233E-3</v>
      </c>
      <c r="P195" s="3">
        <f t="shared" si="131"/>
        <v>1.5203897421204233E-3</v>
      </c>
      <c r="Q195" s="3">
        <f t="shared" si="131"/>
        <v>1.5203897421204231E-3</v>
      </c>
      <c r="R195" s="3">
        <f t="shared" si="131"/>
        <v>1.5203897421204216E-3</v>
      </c>
      <c r="S195" s="3">
        <f t="shared" si="131"/>
        <v>1.520389742120406E-3</v>
      </c>
      <c r="T195" s="3">
        <f t="shared" si="131"/>
        <v>1.5203897421202498E-3</v>
      </c>
      <c r="U195" s="3">
        <f t="shared" si="131"/>
        <v>1.5203897421186881E-3</v>
      </c>
      <c r="V195" s="3">
        <f t="shared" si="131"/>
        <v>1.5203897421030715E-3</v>
      </c>
      <c r="W195" s="3">
        <f t="shared" si="131"/>
        <v>1.5203897419469046E-3</v>
      </c>
      <c r="X195" s="3">
        <f t="shared" si="131"/>
        <v>1.5203897403852354E-3</v>
      </c>
      <c r="Y195" s="3">
        <f t="shared" si="131"/>
        <v>1.5203897247685427E-3</v>
      </c>
      <c r="Z195" s="3">
        <f t="shared" si="131"/>
        <v>1.5203895686016274E-3</v>
      </c>
      <c r="AA195" s="3">
        <f t="shared" si="131"/>
        <v>1.5203880069333551E-3</v>
      </c>
      <c r="AB195" s="3">
        <f t="shared" si="131"/>
        <v>1.5203723903388555E-3</v>
      </c>
      <c r="AC195" s="3">
        <f t="shared" si="131"/>
        <v>1.5202162332158709E-3</v>
      </c>
      <c r="AD195" s="3">
        <f t="shared" si="131"/>
        <v>1.5186555438518256E-3</v>
      </c>
      <c r="AE195" s="3">
        <f t="shared" si="131"/>
        <v>1.5031365025610652E-3</v>
      </c>
      <c r="AF195" s="3">
        <f t="shared" si="131"/>
        <v>1.3564064216825011E-3</v>
      </c>
      <c r="AG195" s="3"/>
      <c r="AH195" s="3"/>
    </row>
    <row r="196" spans="1:34" x14ac:dyDescent="0.25">
      <c r="B196" s="3">
        <f t="shared" ref="B196:AF196" si="132">$C43*EXP(-B$168/$A43/EXP(-$C$126))</f>
        <v>3.2547360985645695E-4</v>
      </c>
      <c r="C196" s="3">
        <f t="shared" si="132"/>
        <v>3.2547360985645695E-4</v>
      </c>
      <c r="D196" s="3">
        <f t="shared" si="132"/>
        <v>3.2547360985645695E-4</v>
      </c>
      <c r="E196" s="3">
        <f t="shared" si="132"/>
        <v>3.2547360985645695E-4</v>
      </c>
      <c r="F196" s="3">
        <f t="shared" si="132"/>
        <v>3.2547360985645695E-4</v>
      </c>
      <c r="G196" s="3">
        <f t="shared" si="132"/>
        <v>3.2547360985645695E-4</v>
      </c>
      <c r="H196" s="3">
        <f t="shared" si="132"/>
        <v>3.2547360985645695E-4</v>
      </c>
      <c r="I196" s="3">
        <f t="shared" si="132"/>
        <v>3.2547360985645695E-4</v>
      </c>
      <c r="J196" s="3">
        <f t="shared" si="132"/>
        <v>3.2547360985645695E-4</v>
      </c>
      <c r="K196" s="3">
        <f t="shared" si="132"/>
        <v>3.2547360985645695E-4</v>
      </c>
      <c r="L196" s="3">
        <f t="shared" si="132"/>
        <v>3.2547360985645695E-4</v>
      </c>
      <c r="M196" s="3">
        <f t="shared" si="132"/>
        <v>3.2547360985645695E-4</v>
      </c>
      <c r="N196" s="3">
        <f t="shared" si="132"/>
        <v>3.2547360985645695E-4</v>
      </c>
      <c r="O196" s="3">
        <f t="shared" si="132"/>
        <v>3.2547360985645695E-4</v>
      </c>
      <c r="P196" s="3">
        <f t="shared" si="132"/>
        <v>3.2547360985645695E-4</v>
      </c>
      <c r="Q196" s="3">
        <f t="shared" si="132"/>
        <v>3.2547360985645695E-4</v>
      </c>
      <c r="R196" s="3">
        <f t="shared" si="132"/>
        <v>3.254736098564569E-4</v>
      </c>
      <c r="S196" s="3">
        <f t="shared" si="132"/>
        <v>3.2547360985645657E-4</v>
      </c>
      <c r="T196" s="3">
        <f t="shared" si="132"/>
        <v>3.2547360985645321E-4</v>
      </c>
      <c r="U196" s="3">
        <f t="shared" si="132"/>
        <v>3.2547360985641982E-4</v>
      </c>
      <c r="V196" s="3">
        <f t="shared" si="132"/>
        <v>3.2547360985608551E-4</v>
      </c>
      <c r="W196" s="3">
        <f t="shared" si="132"/>
        <v>3.2547360985274242E-4</v>
      </c>
      <c r="X196" s="3">
        <f t="shared" si="132"/>
        <v>3.2547360981931137E-4</v>
      </c>
      <c r="Y196" s="3">
        <f t="shared" si="132"/>
        <v>3.2547360948500094E-4</v>
      </c>
      <c r="Z196" s="3">
        <f t="shared" si="132"/>
        <v>3.2547360614189677E-4</v>
      </c>
      <c r="AA196" s="3">
        <f t="shared" si="132"/>
        <v>3.2547357271085715E-4</v>
      </c>
      <c r="AB196" s="3">
        <f t="shared" si="132"/>
        <v>3.2547323840064981E-4</v>
      </c>
      <c r="AC196" s="3">
        <f t="shared" si="132"/>
        <v>3.2546989531746226E-4</v>
      </c>
      <c r="AD196" s="3">
        <f t="shared" si="132"/>
        <v>3.2543646637413632E-4</v>
      </c>
      <c r="AE196" s="3">
        <f t="shared" si="132"/>
        <v>3.2510236572408065E-4</v>
      </c>
      <c r="AF196" s="3">
        <f t="shared" si="132"/>
        <v>3.2178016599431223E-4</v>
      </c>
      <c r="AG196" s="3"/>
      <c r="AH196" s="3"/>
    </row>
    <row r="197" spans="1:34" x14ac:dyDescent="0.25">
      <c r="B197" s="3">
        <f t="shared" ref="B197:AF197" si="133">$C44*EXP(-B$168/$A44/EXP(-$C$126))</f>
        <v>3.3657757333866336E-3</v>
      </c>
      <c r="C197" s="3">
        <f t="shared" si="133"/>
        <v>3.3657757333866336E-3</v>
      </c>
      <c r="D197" s="3">
        <f t="shared" si="133"/>
        <v>3.3657757333866336E-3</v>
      </c>
      <c r="E197" s="3">
        <f t="shared" si="133"/>
        <v>3.3657757333866336E-3</v>
      </c>
      <c r="F197" s="3">
        <f t="shared" si="133"/>
        <v>3.3657757333866336E-3</v>
      </c>
      <c r="G197" s="3">
        <f t="shared" si="133"/>
        <v>3.3657757333866336E-3</v>
      </c>
      <c r="H197" s="3">
        <f t="shared" si="133"/>
        <v>3.3657757333866336E-3</v>
      </c>
      <c r="I197" s="3">
        <f t="shared" si="133"/>
        <v>3.3657757333866336E-3</v>
      </c>
      <c r="J197" s="3">
        <f t="shared" si="133"/>
        <v>3.3657757333866336E-3</v>
      </c>
      <c r="K197" s="3">
        <f t="shared" si="133"/>
        <v>3.3657757333866336E-3</v>
      </c>
      <c r="L197" s="3">
        <f t="shared" si="133"/>
        <v>3.3657757333866336E-3</v>
      </c>
      <c r="M197" s="3">
        <f t="shared" si="133"/>
        <v>3.3657757333866336E-3</v>
      </c>
      <c r="N197" s="3">
        <f t="shared" si="133"/>
        <v>3.3657757333866336E-3</v>
      </c>
      <c r="O197" s="3">
        <f t="shared" si="133"/>
        <v>3.3657757333866336E-3</v>
      </c>
      <c r="P197" s="3">
        <f t="shared" si="133"/>
        <v>3.3657757333866336E-3</v>
      </c>
      <c r="Q197" s="3">
        <f t="shared" si="133"/>
        <v>3.3657757333866336E-3</v>
      </c>
      <c r="R197" s="3">
        <f t="shared" si="133"/>
        <v>3.3657757333866336E-3</v>
      </c>
      <c r="S197" s="3">
        <f t="shared" si="133"/>
        <v>3.3657757333866332E-3</v>
      </c>
      <c r="T197" s="3">
        <f t="shared" si="133"/>
        <v>3.3657757333866297E-3</v>
      </c>
      <c r="U197" s="3">
        <f t="shared" si="133"/>
        <v>3.365775733386595E-3</v>
      </c>
      <c r="V197" s="3">
        <f t="shared" si="133"/>
        <v>3.3657757333862494E-3</v>
      </c>
      <c r="W197" s="3">
        <f t="shared" si="133"/>
        <v>3.3657757333827921E-3</v>
      </c>
      <c r="X197" s="3">
        <f t="shared" si="133"/>
        <v>3.3657757333482208E-3</v>
      </c>
      <c r="Y197" s="3">
        <f t="shared" si="133"/>
        <v>3.3657757330025052E-3</v>
      </c>
      <c r="Z197" s="3">
        <f t="shared" si="133"/>
        <v>3.3657757295453465E-3</v>
      </c>
      <c r="AA197" s="3">
        <f t="shared" si="133"/>
        <v>3.3657756949737605E-3</v>
      </c>
      <c r="AB197" s="3">
        <f t="shared" si="133"/>
        <v>3.3657753492579222E-3</v>
      </c>
      <c r="AC197" s="3">
        <f t="shared" si="133"/>
        <v>3.3657718921014912E-3</v>
      </c>
      <c r="AD197" s="3">
        <f t="shared" si="133"/>
        <v>3.3657373207324872E-3</v>
      </c>
      <c r="AE197" s="3">
        <f t="shared" si="133"/>
        <v>3.3653916265722491E-3</v>
      </c>
      <c r="AF197" s="3">
        <f t="shared" si="133"/>
        <v>3.3619366372077903E-3</v>
      </c>
      <c r="AG197" s="3"/>
      <c r="AH197" s="3"/>
    </row>
    <row r="198" spans="1:34" x14ac:dyDescent="0.25">
      <c r="B198" s="3">
        <f t="shared" ref="B198:AF198" si="134">$C45*EXP(-B$168/$A45/EXP(-$C$126))</f>
        <v>7.1877880972849508E-4</v>
      </c>
      <c r="C198" s="3">
        <f t="shared" si="134"/>
        <v>7.1877880972849508E-4</v>
      </c>
      <c r="D198" s="3">
        <f t="shared" si="134"/>
        <v>7.1877880972849508E-4</v>
      </c>
      <c r="E198" s="3">
        <f t="shared" si="134"/>
        <v>7.1877880972849508E-4</v>
      </c>
      <c r="F198" s="3">
        <f t="shared" si="134"/>
        <v>7.1877880972849508E-4</v>
      </c>
      <c r="G198" s="3">
        <f t="shared" si="134"/>
        <v>7.1877880972849508E-4</v>
      </c>
      <c r="H198" s="3">
        <f t="shared" si="134"/>
        <v>7.1877880972849508E-4</v>
      </c>
      <c r="I198" s="3">
        <f t="shared" si="134"/>
        <v>7.1877880972849508E-4</v>
      </c>
      <c r="J198" s="3">
        <f t="shared" si="134"/>
        <v>7.1877880972849508E-4</v>
      </c>
      <c r="K198" s="3">
        <f t="shared" si="134"/>
        <v>7.1877880972849508E-4</v>
      </c>
      <c r="L198" s="3">
        <f t="shared" si="134"/>
        <v>7.1877880972849508E-4</v>
      </c>
      <c r="M198" s="3">
        <f t="shared" si="134"/>
        <v>7.1877880972849508E-4</v>
      </c>
      <c r="N198" s="3">
        <f t="shared" si="134"/>
        <v>7.1877880972849508E-4</v>
      </c>
      <c r="O198" s="3">
        <f t="shared" si="134"/>
        <v>7.1877880972849508E-4</v>
      </c>
      <c r="P198" s="3">
        <f t="shared" si="134"/>
        <v>7.1877880972849508E-4</v>
      </c>
      <c r="Q198" s="3">
        <f t="shared" si="134"/>
        <v>7.1877880972849508E-4</v>
      </c>
      <c r="R198" s="3">
        <f t="shared" si="134"/>
        <v>7.1877880972849508E-4</v>
      </c>
      <c r="S198" s="3">
        <f t="shared" si="134"/>
        <v>7.1877880972849508E-4</v>
      </c>
      <c r="T198" s="3">
        <f t="shared" si="134"/>
        <v>7.1877880972849497E-4</v>
      </c>
      <c r="U198" s="3">
        <f t="shared" si="134"/>
        <v>7.1877880972849432E-4</v>
      </c>
      <c r="V198" s="3">
        <f t="shared" si="134"/>
        <v>7.1877880972848684E-4</v>
      </c>
      <c r="W198" s="3">
        <f t="shared" si="134"/>
        <v>7.18778809728413E-4</v>
      </c>
      <c r="X198" s="3">
        <f t="shared" si="134"/>
        <v>7.1877880972767477E-4</v>
      </c>
      <c r="Y198" s="3">
        <f t="shared" si="134"/>
        <v>7.1877880972029179E-4</v>
      </c>
      <c r="Z198" s="3">
        <f t="shared" si="134"/>
        <v>7.1877880964646239E-4</v>
      </c>
      <c r="AA198" s="3">
        <f t="shared" si="134"/>
        <v>7.1877880890816831E-4</v>
      </c>
      <c r="AB198" s="3">
        <f t="shared" si="134"/>
        <v>7.1877880152522737E-4</v>
      </c>
      <c r="AC198" s="3">
        <f t="shared" si="134"/>
        <v>7.1877872769582265E-4</v>
      </c>
      <c r="AD198" s="3">
        <f t="shared" si="134"/>
        <v>7.1877798940219253E-4</v>
      </c>
      <c r="AE198" s="3">
        <f t="shared" si="134"/>
        <v>7.1877060650759955E-4</v>
      </c>
      <c r="AF198" s="3">
        <f t="shared" si="134"/>
        <v>7.1869678173235941E-4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6.8174095740770341E-3</v>
      </c>
      <c r="C201" s="3">
        <f t="shared" si="137"/>
        <v>6.8174095740770341E-3</v>
      </c>
      <c r="D201" s="3">
        <f t="shared" si="137"/>
        <v>6.8174095740770341E-3</v>
      </c>
      <c r="E201" s="3">
        <f t="shared" si="137"/>
        <v>6.8174095740770341E-3</v>
      </c>
      <c r="F201" s="3">
        <f t="shared" si="137"/>
        <v>6.8174095740770341E-3</v>
      </c>
      <c r="G201" s="3">
        <f t="shared" si="137"/>
        <v>6.8174095740770341E-3</v>
      </c>
      <c r="H201" s="3">
        <f t="shared" si="137"/>
        <v>6.8174095740770341E-3</v>
      </c>
      <c r="I201" s="3">
        <f t="shared" si="137"/>
        <v>6.8174095740770341E-3</v>
      </c>
      <c r="J201" s="3">
        <f t="shared" si="137"/>
        <v>6.8174095740770341E-3</v>
      </c>
      <c r="K201" s="3">
        <f t="shared" si="137"/>
        <v>6.8174095740770341E-3</v>
      </c>
      <c r="L201" s="3">
        <f t="shared" si="137"/>
        <v>6.8174095740770341E-3</v>
      </c>
      <c r="M201" s="3">
        <f t="shared" si="137"/>
        <v>6.8174095740770341E-3</v>
      </c>
      <c r="N201" s="3">
        <f t="shared" si="137"/>
        <v>6.8174095740770341E-3</v>
      </c>
      <c r="O201" s="3">
        <f t="shared" si="137"/>
        <v>6.8174095740770341E-3</v>
      </c>
      <c r="P201" s="3">
        <f t="shared" si="137"/>
        <v>6.8174095740770341E-3</v>
      </c>
      <c r="Q201" s="3">
        <f t="shared" si="137"/>
        <v>6.8174095740770341E-3</v>
      </c>
      <c r="R201" s="3">
        <f t="shared" si="137"/>
        <v>6.8174095740770341E-3</v>
      </c>
      <c r="S201" s="3">
        <f t="shared" si="137"/>
        <v>6.8174095740770341E-3</v>
      </c>
      <c r="T201" s="3">
        <f t="shared" si="137"/>
        <v>6.8174095740770341E-3</v>
      </c>
      <c r="U201" s="3">
        <f t="shared" si="137"/>
        <v>6.8174095740770341E-3</v>
      </c>
      <c r="V201" s="3">
        <f t="shared" si="137"/>
        <v>6.8174095740770341E-3</v>
      </c>
      <c r="W201" s="3">
        <f t="shared" si="137"/>
        <v>6.8174095740770333E-3</v>
      </c>
      <c r="X201" s="3">
        <f t="shared" si="137"/>
        <v>6.8174095740770263E-3</v>
      </c>
      <c r="Y201" s="3">
        <f t="shared" si="137"/>
        <v>6.8174095740769561E-3</v>
      </c>
      <c r="Z201" s="3">
        <f t="shared" si="137"/>
        <v>6.8174095740762561E-3</v>
      </c>
      <c r="AA201" s="3">
        <f t="shared" si="137"/>
        <v>6.817409574069253E-3</v>
      </c>
      <c r="AB201" s="3">
        <f t="shared" si="137"/>
        <v>6.8174095739992283E-3</v>
      </c>
      <c r="AC201" s="3">
        <f t="shared" si="137"/>
        <v>6.8174095732989777E-3</v>
      </c>
      <c r="AD201" s="3">
        <f t="shared" si="137"/>
        <v>6.8174095662964715E-3</v>
      </c>
      <c r="AE201" s="3">
        <f t="shared" si="137"/>
        <v>6.8174094962714076E-3</v>
      </c>
      <c r="AF201" s="3">
        <f t="shared" si="137"/>
        <v>6.8174087960208105E-3</v>
      </c>
      <c r="AG201" s="3"/>
      <c r="AH201" s="3"/>
    </row>
    <row r="202" spans="1:34" x14ac:dyDescent="0.25">
      <c r="A202" s="79">
        <f>AVERAGE(B202:AF202)</f>
        <v>2.8737981647964845E-3</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5.4312761057234513E-3</v>
      </c>
      <c r="M202" s="80">
        <f t="shared" si="138"/>
        <v>4.9994164367697198E-3</v>
      </c>
      <c r="N202" s="80">
        <f t="shared" si="138"/>
        <v>5.1487951931407034E-3</v>
      </c>
      <c r="O202" s="80">
        <f t="shared" si="138"/>
        <v>5.5233352554693773E-3</v>
      </c>
      <c r="P202" s="80">
        <f t="shared" si="138"/>
        <v>4.9493547199374981E-3</v>
      </c>
      <c r="Q202" s="80">
        <f t="shared" si="138"/>
        <v>4.966732649230898E-3</v>
      </c>
      <c r="R202" s="80">
        <f t="shared" si="138"/>
        <v>4.7525464200544355E-3</v>
      </c>
      <c r="S202" s="80">
        <f t="shared" si="138"/>
        <v>3.7161778345977852E-3</v>
      </c>
      <c r="T202" s="80">
        <f t="shared" si="138"/>
        <v>6.7940016209564315E-4</v>
      </c>
      <c r="U202" s="80">
        <f t="shared" si="138"/>
        <v>1.5457477384189599E-2</v>
      </c>
      <c r="V202" s="80">
        <f t="shared" si="138"/>
        <v>3.3463230947481916E-2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3361.0283300219594</v>
      </c>
      <c r="C203" s="21">
        <f t="shared" ref="C203:AF203" si="139">(C170-C169)^2</f>
        <v>429793.58001488389</v>
      </c>
      <c r="D203" s="21">
        <f t="shared" si="139"/>
        <v>966621.88405305182</v>
      </c>
      <c r="E203" s="21">
        <f t="shared" si="139"/>
        <v>603304.43196018948</v>
      </c>
      <c r="F203" s="21">
        <f t="shared" si="139"/>
        <v>309502.20410698617</v>
      </c>
      <c r="G203" s="21">
        <f t="shared" si="139"/>
        <v>99151.176242999936</v>
      </c>
      <c r="H203" s="21">
        <f t="shared" si="139"/>
        <v>4482.2915080050134</v>
      </c>
      <c r="I203" s="21">
        <f t="shared" si="139"/>
        <v>6741.7618722941725</v>
      </c>
      <c r="J203" s="21">
        <f t="shared" si="139"/>
        <v>6992.4217746286413</v>
      </c>
      <c r="K203" s="21">
        <f t="shared" si="139"/>
        <v>1349.0450418483731</v>
      </c>
      <c r="L203" s="21">
        <f t="shared" si="139"/>
        <v>1620.5627400026206</v>
      </c>
      <c r="M203" s="21">
        <f t="shared" si="139"/>
        <v>1240.3378236856695</v>
      </c>
      <c r="N203" s="21">
        <f t="shared" si="139"/>
        <v>1177.4575208244305</v>
      </c>
      <c r="O203" s="21">
        <f t="shared" si="139"/>
        <v>1226.7248572606445</v>
      </c>
      <c r="P203" s="21">
        <f t="shared" si="139"/>
        <v>898.95778407503178</v>
      </c>
      <c r="Q203" s="21">
        <f t="shared" si="139"/>
        <v>823.07582559925379</v>
      </c>
      <c r="R203" s="21">
        <f t="shared" si="139"/>
        <v>681.60458645148651</v>
      </c>
      <c r="S203" s="21">
        <f t="shared" si="139"/>
        <v>375.6560285777843</v>
      </c>
      <c r="T203" s="21">
        <f t="shared" si="139"/>
        <v>11.072276594261508</v>
      </c>
      <c r="U203" s="21">
        <f t="shared" si="139"/>
        <v>4829.209859083785</v>
      </c>
      <c r="V203" s="21">
        <f t="shared" si="139"/>
        <v>18450.819438374881</v>
      </c>
      <c r="W203" s="21">
        <f t="shared" si="139"/>
        <v>27761.600132116553</v>
      </c>
      <c r="X203" s="21">
        <f t="shared" si="139"/>
        <v>19087.313489998549</v>
      </c>
      <c r="Y203" s="21">
        <f t="shared" si="139"/>
        <v>9380.6008343452686</v>
      </c>
      <c r="Z203" s="21">
        <f t="shared" si="139"/>
        <v>3942.9350559014961</v>
      </c>
      <c r="AA203" s="21">
        <f t="shared" si="139"/>
        <v>1380.1323703143576</v>
      </c>
      <c r="AB203" s="21">
        <f t="shared" si="139"/>
        <v>480.98531085219156</v>
      </c>
      <c r="AC203" s="21">
        <f t="shared" si="139"/>
        <v>153.27936513781469</v>
      </c>
      <c r="AD203" s="21">
        <f t="shared" si="139"/>
        <v>6.1955296132814972</v>
      </c>
      <c r="AE203" s="21">
        <f t="shared" si="139"/>
        <v>11.963182292123994</v>
      </c>
      <c r="AF203" s="21">
        <f t="shared" si="139"/>
        <v>2.7173492855875483</v>
      </c>
      <c r="AG203" s="3"/>
      <c r="AH203" s="3"/>
    </row>
    <row r="204" spans="1:34" x14ac:dyDescent="0.25">
      <c r="A204" s="71">
        <f>SUM(B204:AF204)</f>
        <v>31335.478740529848</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1620.5627400026206</v>
      </c>
      <c r="M204" s="60">
        <f t="shared" ref="M204" si="150">IF($A$64&lt;=M168,IF($B$64&gt;=M168,ABS(M203),0),0)</f>
        <v>1240.3378236856695</v>
      </c>
      <c r="N204" s="60">
        <f t="shared" ref="N204" si="151">IF($A$64&lt;=N168,IF($B$64&gt;=N168,ABS(N203),0),0)</f>
        <v>1177.4575208244305</v>
      </c>
      <c r="O204" s="60">
        <f t="shared" ref="O204" si="152">IF($A$64&lt;=O168,IF($B$64&gt;=O168,ABS(O203),0),0)</f>
        <v>1226.7248572606445</v>
      </c>
      <c r="P204" s="60">
        <f t="shared" ref="P204" si="153">IF($A$64&lt;=P168,IF($B$64&gt;=P168,ABS(P203),0),0)</f>
        <v>898.95778407503178</v>
      </c>
      <c r="Q204" s="60">
        <f t="shared" ref="Q204" si="154">IF($A$64&lt;=Q168,IF($B$64&gt;=Q168,ABS(Q203),0),0)</f>
        <v>823.07582559925379</v>
      </c>
      <c r="R204" s="60">
        <f t="shared" ref="R204" si="155">IF($A$64&lt;=R168,IF($B$64&gt;=R168,ABS(R203),0),0)</f>
        <v>681.60458645148651</v>
      </c>
      <c r="S204" s="60">
        <f t="shared" ref="S204" si="156">IF($A$64&lt;=S168,IF($B$64&gt;=S168,ABS(S203),0),0)</f>
        <v>375.6560285777843</v>
      </c>
      <c r="T204" s="60">
        <f t="shared" ref="T204" si="157">IF($A$64&lt;=T168,IF($B$64&gt;=T168,ABS(T203),0),0)</f>
        <v>11.072276594261508</v>
      </c>
      <c r="U204" s="60">
        <f t="shared" ref="U204" si="158">IF($A$64&lt;=U168,IF($B$64&gt;=U168,ABS(U203),0),0)</f>
        <v>4829.209859083785</v>
      </c>
      <c r="V204" s="60">
        <f t="shared" ref="V204" si="159">IF($A$64&lt;=V168,IF($B$64&gt;=V168,ABS(V203),0),0)</f>
        <v>18450.819438374881</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9730.0167223959397</v>
      </c>
      <c r="C208" s="26">
        <f>INDEX(Comparison!$AM$3:$AS$33,G$14,$D$122)</f>
        <v>9476.1525473419642</v>
      </c>
      <c r="D208" s="26">
        <f>INDEX(Comparison!$AM$3:$AS$33,H$14,$D$122)</f>
        <v>9264.0506360514537</v>
      </c>
      <c r="E208" s="26">
        <f>INDEX(Comparison!$AM$3:$AS$33,I$14,$D$122)</f>
        <v>9042.8661048910981</v>
      </c>
      <c r="F208" s="26">
        <f>INDEX(Comparison!$AM$3:$AS$33,J$14,$D$122)</f>
        <v>8796.5318501985184</v>
      </c>
      <c r="G208" s="26">
        <f>INDEX(Comparison!$AM$3:$AS$33,K$14,$D$122)</f>
        <v>8532.9278199977016</v>
      </c>
      <c r="H208" s="26">
        <f>INDEX(Comparison!$AM$3:$AS$33,L$14,$D$122)</f>
        <v>8242.1892422663423</v>
      </c>
      <c r="I208" s="26">
        <f>INDEX(Comparison!$AM$3:$AS$33,M$14,$D$122)</f>
        <v>7957.4855284258747</v>
      </c>
      <c r="J208" s="26">
        <f>INDEX(Comparison!$AM$3:$AS$33,N$14,$D$122)</f>
        <v>7685.4052187432317</v>
      </c>
      <c r="K208" s="26">
        <f>INDEX(Comparison!$AM$3:$AS$33,O$14,$D$122)</f>
        <v>7368.9543787655439</v>
      </c>
      <c r="L208" s="26">
        <f>INDEX(Comparison!$AM$3:$AS$33,P$14,$D$122)</f>
        <v>6998.3812744112274</v>
      </c>
      <c r="M208" s="26">
        <f>INDEX(Comparison!$AM$3:$AS$33,Q$14,$D$122)</f>
        <v>6621.5844226341051</v>
      </c>
      <c r="N208" s="26">
        <f>INDEX(Comparison!$AM$3:$AS$33,R$14,$D$122)</f>
        <v>6307.1591705971805</v>
      </c>
      <c r="O208" s="26">
        <f>INDEX(Comparison!$AM$3:$AS$33,S$14,$D$122)</f>
        <v>6022.8689849680577</v>
      </c>
      <c r="P208" s="26">
        <f>INDEX(Comparison!$AM$3:$AS$33,T$14,$D$122)</f>
        <v>5743.6712365645317</v>
      </c>
      <c r="Q208" s="26">
        <f>INDEX(Comparison!$AM$3:$AS$33,U$14,$D$122)</f>
        <v>5459.2543435964462</v>
      </c>
      <c r="R208" s="26">
        <f>INDEX(Comparison!$AM$3:$AS$33,V$14,$D$122)</f>
        <v>5186.1259100095131</v>
      </c>
      <c r="S208" s="26">
        <f>INDEX(Comparison!$AM$3:$AS$33,W$14,$D$122)</f>
        <v>4865.5108844814831</v>
      </c>
      <c r="T208" s="26">
        <f>INDEX(Comparison!$AM$3:$AS$33,X$14,$D$122)</f>
        <v>4471.3145751722259</v>
      </c>
      <c r="U208" s="26">
        <f>INDEX(Comparison!$AM$3:$AS$33,Y$14,$D$122)</f>
        <v>4031.2545236434685</v>
      </c>
      <c r="V208" s="26">
        <f>INDEX(Comparison!$AM$3:$AS$33,Z$14,$D$122)</f>
        <v>3565.3464541885878</v>
      </c>
      <c r="W208" s="26">
        <f>INDEX(Comparison!$AM$3:$AS$33,AA$14,$D$122)</f>
        <v>3072.2800042990852</v>
      </c>
      <c r="X208" s="26">
        <f>INDEX(Comparison!$AM$3:$AS$33,AB$14,$D$122)</f>
        <v>2540.7682600840731</v>
      </c>
      <c r="Y208" s="26">
        <f>INDEX(Comparison!$AM$3:$AS$33,AC$14,$D$122)</f>
        <v>1974.0579457073152</v>
      </c>
      <c r="Z208" s="26">
        <f>INDEX(Comparison!$AM$3:$AS$33,AD$14,$D$122)</f>
        <v>1447.7693345065175</v>
      </c>
      <c r="AA208" s="26">
        <f>INDEX(Comparison!$AM$3:$AS$33,AE$14,$D$122)</f>
        <v>1044.3571981147218</v>
      </c>
      <c r="AB208" s="26">
        <f>INDEX(Comparison!$AM$3:$AS$33,AF$14,$D$122)</f>
        <v>784.40987612375113</v>
      </c>
      <c r="AC208" s="26">
        <f>INDEX(Comparison!$AM$3:$AS$33,AG$14,$D$122)</f>
        <v>651.40811766035665</v>
      </c>
      <c r="AD208" s="26">
        <f>INDEX(Comparison!$AM$3:$AS$33,AH$14,$D$122)</f>
        <v>583.80121108393644</v>
      </c>
      <c r="AE208" s="26">
        <f>INDEX(Comparison!$AM$3:$AS$33,AI$14,$D$122)</f>
        <v>548.71871201984641</v>
      </c>
      <c r="AF208" s="26">
        <f>INDEX(Comparison!$AM$3:$AS$33,AJ$14,$D$122)</f>
        <v>525.29950476563715</v>
      </c>
      <c r="AG208" s="26"/>
      <c r="AH208" s="26"/>
    </row>
    <row r="209" spans="1:34" x14ac:dyDescent="0.25">
      <c r="A209" s="70" t="s">
        <v>22</v>
      </c>
      <c r="B209" s="27">
        <f>($C$17+SUM(B210:B240))*$B$51</f>
        <v>8830.2085935608702</v>
      </c>
      <c r="C209" s="27">
        <f t="shared" ref="C209:AF209" si="170">($C$17+SUM(C210:C240))*$B$51</f>
        <v>8520.8920570914834</v>
      </c>
      <c r="D209" s="27">
        <f t="shared" si="170"/>
        <v>8520.8682072406518</v>
      </c>
      <c r="E209" s="27">
        <f t="shared" si="170"/>
        <v>8520.6305670804941</v>
      </c>
      <c r="F209" s="27">
        <f t="shared" si="170"/>
        <v>8518.259089071822</v>
      </c>
      <c r="G209" s="27">
        <f t="shared" si="170"/>
        <v>8495.0296839633429</v>
      </c>
      <c r="H209" s="27">
        <f t="shared" si="170"/>
        <v>8304.9828148350625</v>
      </c>
      <c r="I209" s="27">
        <f t="shared" si="170"/>
        <v>7866.1111067635948</v>
      </c>
      <c r="J209" s="27">
        <f t="shared" si="170"/>
        <v>7644.8878710543513</v>
      </c>
      <c r="K209" s="27">
        <f t="shared" si="170"/>
        <v>7317.3692228982163</v>
      </c>
      <c r="L209" s="27">
        <f t="shared" si="170"/>
        <v>6947.898600513945</v>
      </c>
      <c r="M209" s="27">
        <f t="shared" si="170"/>
        <v>6569.3293628761367</v>
      </c>
      <c r="N209" s="27">
        <f t="shared" si="170"/>
        <v>6253.7410295497693</v>
      </c>
      <c r="O209" s="27">
        <f t="shared" si="170"/>
        <v>5978.5436118502967</v>
      </c>
      <c r="P209" s="27">
        <f t="shared" si="170"/>
        <v>5695.0167981430868</v>
      </c>
      <c r="Q209" s="27">
        <f t="shared" si="170"/>
        <v>5415.0803557293111</v>
      </c>
      <c r="R209" s="27">
        <f t="shared" si="170"/>
        <v>5144.0192664486922</v>
      </c>
      <c r="S209" s="27">
        <f t="shared" si="170"/>
        <v>4840.3564894822284</v>
      </c>
      <c r="T209" s="27">
        <f t="shared" si="170"/>
        <v>4497.5452983325076</v>
      </c>
      <c r="U209" s="27">
        <f t="shared" si="170"/>
        <v>4121.3528821344134</v>
      </c>
      <c r="V209" s="27">
        <f t="shared" si="170"/>
        <v>3675.2286409992889</v>
      </c>
      <c r="W209" s="27">
        <f t="shared" si="170"/>
        <v>3151.9759893218784</v>
      </c>
      <c r="X209" s="27">
        <f t="shared" si="170"/>
        <v>2582.2978507246767</v>
      </c>
      <c r="Y209" s="27">
        <f t="shared" si="170"/>
        <v>1987.0474021834293</v>
      </c>
      <c r="Z209" s="27">
        <f t="shared" si="170"/>
        <v>1451.1741151771887</v>
      </c>
      <c r="AA209" s="27">
        <f t="shared" si="170"/>
        <v>1043.4635397380412</v>
      </c>
      <c r="AB209" s="27">
        <f t="shared" si="170"/>
        <v>792.19191860310366</v>
      </c>
      <c r="AC209" s="27">
        <f t="shared" si="170"/>
        <v>638.12844694956686</v>
      </c>
      <c r="AD209" s="27">
        <f t="shared" si="170"/>
        <v>585.44699659927767</v>
      </c>
      <c r="AE209" s="27">
        <f t="shared" si="170"/>
        <v>546.00669405321685</v>
      </c>
      <c r="AF209" s="27">
        <f t="shared" si="170"/>
        <v>525.39298319107024</v>
      </c>
      <c r="AG209" s="27"/>
      <c r="AH209" s="27"/>
    </row>
    <row r="210" spans="1:34" x14ac:dyDescent="0.25">
      <c r="B210" s="3">
        <f t="shared" ref="B210:AF210" si="171">$C18*EXP(-B$207/$A18/EXP(-$D$126))</f>
        <v>3.0362727127584619E-2</v>
      </c>
      <c r="C210" s="3">
        <f t="shared" si="171"/>
        <v>7.9416679786739017E-9</v>
      </c>
      <c r="D210" s="3">
        <f t="shared" si="171"/>
        <v>1.190203503115247E-74</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5.8248170472132238E-2</v>
      </c>
      <c r="C211" s="3">
        <f t="shared" si="172"/>
        <v>5.8247944328047696E-2</v>
      </c>
      <c r="D211" s="3">
        <f t="shared" si="172"/>
        <v>5.8245682935490983E-2</v>
      </c>
      <c r="E211" s="3">
        <f t="shared" si="172"/>
        <v>5.8223073838103517E-2</v>
      </c>
      <c r="F211" s="3">
        <f t="shared" si="172"/>
        <v>5.7997464989346305E-2</v>
      </c>
      <c r="G211" s="3">
        <f t="shared" si="172"/>
        <v>5.5788903574467849E-2</v>
      </c>
      <c r="H211" s="3">
        <f t="shared" si="172"/>
        <v>3.783867974902895E-2</v>
      </c>
      <c r="I211" s="3">
        <f t="shared" si="172"/>
        <v>7.7950240595377944E-4</v>
      </c>
      <c r="J211" s="3">
        <f t="shared" si="172"/>
        <v>1.0730805225888379E-20</v>
      </c>
      <c r="K211" s="3">
        <f t="shared" si="172"/>
        <v>2.6228945645749361E-189</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1.725495929847632E-2</v>
      </c>
      <c r="C212" s="3">
        <f t="shared" si="173"/>
        <v>1.7254953255314273E-2</v>
      </c>
      <c r="D212" s="3">
        <f t="shared" si="173"/>
        <v>1.7254892823810198E-2</v>
      </c>
      <c r="E212" s="3">
        <f t="shared" si="173"/>
        <v>1.725428852040994E-2</v>
      </c>
      <c r="F212" s="3">
        <f t="shared" si="173"/>
        <v>1.7248246650305235E-2</v>
      </c>
      <c r="G212" s="3">
        <f t="shared" si="173"/>
        <v>1.7187944188362756E-2</v>
      </c>
      <c r="H212" s="3">
        <f t="shared" si="173"/>
        <v>1.6596394252542515E-2</v>
      </c>
      <c r="I212" s="3">
        <f t="shared" si="173"/>
        <v>1.1692619735475224E-2</v>
      </c>
      <c r="J212" s="3">
        <f t="shared" si="173"/>
        <v>3.5228378513782579E-4</v>
      </c>
      <c r="K212" s="3">
        <f t="shared" si="173"/>
        <v>2.1712055233392145E-19</v>
      </c>
      <c r="L212" s="3">
        <f t="shared" si="173"/>
        <v>1.7170531803819674E-171</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3.227843770306757E-2</v>
      </c>
      <c r="C213" s="3">
        <f t="shared" si="174"/>
        <v>3.2278436683280579E-2</v>
      </c>
      <c r="D213" s="3">
        <f t="shared" si="174"/>
        <v>3.2278426485412445E-2</v>
      </c>
      <c r="E213" s="3">
        <f t="shared" si="174"/>
        <v>3.2278324506908297E-2</v>
      </c>
      <c r="F213" s="3">
        <f t="shared" si="174"/>
        <v>3.2277304739586857E-2</v>
      </c>
      <c r="G213" s="3">
        <f t="shared" si="174"/>
        <v>3.226710883816436E-2</v>
      </c>
      <c r="H213" s="3">
        <f t="shared" si="174"/>
        <v>3.2165326796195312E-2</v>
      </c>
      <c r="I213" s="3">
        <f t="shared" si="174"/>
        <v>3.1164998465672035E-2</v>
      </c>
      <c r="J213" s="3">
        <f t="shared" si="174"/>
        <v>2.2722626343172719E-2</v>
      </c>
      <c r="K213" s="3">
        <f t="shared" si="174"/>
        <v>9.6465650498249347E-4</v>
      </c>
      <c r="L213" s="3">
        <f t="shared" si="174"/>
        <v>1.8344859957113022E-17</v>
      </c>
      <c r="M213" s="3">
        <f t="shared" si="174"/>
        <v>1.1348316401980845E-154</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3.7144505556876387E-2</v>
      </c>
      <c r="C214" s="3">
        <f t="shared" si="175"/>
        <v>3.7144505451014859E-2</v>
      </c>
      <c r="D214" s="3">
        <f t="shared" si="175"/>
        <v>3.7144504392399642E-2</v>
      </c>
      <c r="E214" s="3">
        <f t="shared" si="175"/>
        <v>3.7144493806249117E-2</v>
      </c>
      <c r="F214" s="3">
        <f t="shared" si="175"/>
        <v>3.7144387944909804E-2</v>
      </c>
      <c r="G214" s="3">
        <f t="shared" si="175"/>
        <v>3.7143329348110252E-2</v>
      </c>
      <c r="H214" s="3">
        <f t="shared" si="175"/>
        <v>3.7132745039294666E-2</v>
      </c>
      <c r="I214" s="3">
        <f t="shared" si="175"/>
        <v>3.7027067694312632E-2</v>
      </c>
      <c r="J214" s="3">
        <f t="shared" si="175"/>
        <v>3.5986695110589259E-2</v>
      </c>
      <c r="K214" s="3">
        <f t="shared" si="175"/>
        <v>2.7062530798286192E-2</v>
      </c>
      <c r="L214" s="3">
        <f t="shared" si="175"/>
        <v>1.5654270826486372E-3</v>
      </c>
      <c r="M214" s="3">
        <f t="shared" si="175"/>
        <v>6.5656419333178746E-16</v>
      </c>
      <c r="N214" s="3">
        <f t="shared" si="175"/>
        <v>1.105912343226636E-139</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4.0797811724164336E-2</v>
      </c>
      <c r="C215" s="3">
        <f t="shared" si="176"/>
        <v>4.0797811713675511E-2</v>
      </c>
      <c r="D215" s="3">
        <f t="shared" si="176"/>
        <v>4.0797811608787218E-2</v>
      </c>
      <c r="E215" s="3">
        <f t="shared" si="176"/>
        <v>4.07978105599043E-2</v>
      </c>
      <c r="F215" s="3">
        <f t="shared" si="176"/>
        <v>4.0797800071076612E-2</v>
      </c>
      <c r="G215" s="3">
        <f t="shared" si="176"/>
        <v>4.0797695182948027E-2</v>
      </c>
      <c r="H215" s="3">
        <f t="shared" si="176"/>
        <v>4.079664631649333E-2</v>
      </c>
      <c r="I215" s="3">
        <f t="shared" si="176"/>
        <v>4.0786159134921784E-2</v>
      </c>
      <c r="J215" s="3">
        <f t="shared" si="176"/>
        <v>4.0681435475779654E-2</v>
      </c>
      <c r="K215" s="3">
        <f t="shared" si="176"/>
        <v>3.964887457258609E-2</v>
      </c>
      <c r="L215" s="3">
        <f t="shared" si="176"/>
        <v>3.0660329620722068E-2</v>
      </c>
      <c r="M215" s="3">
        <f t="shared" si="176"/>
        <v>2.3444251427233763E-3</v>
      </c>
      <c r="N215" s="3">
        <f t="shared" si="176"/>
        <v>1.6018870048222984E-14</v>
      </c>
      <c r="O215" s="3">
        <f t="shared" si="176"/>
        <v>3.5529325049516346E-126</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3.2982255914848414E-2</v>
      </c>
      <c r="C216" s="3">
        <f t="shared" si="177"/>
        <v>3.2982255914083485E-2</v>
      </c>
      <c r="D216" s="3">
        <f t="shared" si="177"/>
        <v>3.298225590643427E-2</v>
      </c>
      <c r="E216" s="3">
        <f t="shared" si="177"/>
        <v>3.2982255829942075E-2</v>
      </c>
      <c r="F216" s="3">
        <f t="shared" si="177"/>
        <v>3.2982255065020186E-2</v>
      </c>
      <c r="G216" s="3">
        <f t="shared" si="177"/>
        <v>3.2982247415802225E-2</v>
      </c>
      <c r="H216" s="3">
        <f t="shared" si="177"/>
        <v>3.2982170923720168E-2</v>
      </c>
      <c r="I216" s="3">
        <f t="shared" si="177"/>
        <v>3.2981406012656547E-2</v>
      </c>
      <c r="J216" s="3">
        <f t="shared" si="177"/>
        <v>3.2973757877627824E-2</v>
      </c>
      <c r="K216" s="3">
        <f t="shared" si="177"/>
        <v>3.2897374004423434E-2</v>
      </c>
      <c r="L216" s="3">
        <f t="shared" si="177"/>
        <v>3.2143199851831145E-2</v>
      </c>
      <c r="M216" s="3">
        <f t="shared" si="177"/>
        <v>2.5489884717745413E-2</v>
      </c>
      <c r="N216" s="3">
        <f t="shared" si="177"/>
        <v>2.5070067247300893E-3</v>
      </c>
      <c r="O216" s="3">
        <f t="shared" si="177"/>
        <v>2.123399813398798E-13</v>
      </c>
      <c r="P216" s="3">
        <f t="shared" si="177"/>
        <v>4.0345447269390073E-114</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2.7372238189341334E-2</v>
      </c>
      <c r="C217" s="3">
        <f t="shared" si="178"/>
        <v>2.7372238189284068E-2</v>
      </c>
      <c r="D217" s="3">
        <f t="shared" si="178"/>
        <v>2.7372238188711411E-2</v>
      </c>
      <c r="E217" s="3">
        <f t="shared" si="178"/>
        <v>2.7372238182984857E-2</v>
      </c>
      <c r="F217" s="3">
        <f t="shared" si="178"/>
        <v>2.7372238125719279E-2</v>
      </c>
      <c r="G217" s="3">
        <f t="shared" si="178"/>
        <v>2.7372237553063516E-2</v>
      </c>
      <c r="H217" s="3">
        <f t="shared" si="178"/>
        <v>2.7372231826506534E-2</v>
      </c>
      <c r="I217" s="3">
        <f t="shared" si="178"/>
        <v>2.7372174561002601E-2</v>
      </c>
      <c r="J217" s="3">
        <f t="shared" si="178"/>
        <v>2.7371601912552553E-2</v>
      </c>
      <c r="K217" s="3">
        <f t="shared" si="178"/>
        <v>2.7365876086925991E-2</v>
      </c>
      <c r="L217" s="3">
        <f t="shared" si="178"/>
        <v>2.7308683667077838E-2</v>
      </c>
      <c r="M217" s="3">
        <f t="shared" si="178"/>
        <v>2.6743292431719846E-2</v>
      </c>
      <c r="N217" s="3">
        <f t="shared" si="178"/>
        <v>2.1694814350110999E-2</v>
      </c>
      <c r="O217" s="3">
        <f t="shared" si="178"/>
        <v>2.6777287787334769E-3</v>
      </c>
      <c r="P217" s="3">
        <f t="shared" si="178"/>
        <v>2.1972175898122643E-12</v>
      </c>
      <c r="Q217" s="3">
        <f t="shared" si="178"/>
        <v>3.0404500742001936E-103</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2.9420754796477083E-2</v>
      </c>
      <c r="C218" s="3">
        <f t="shared" si="179"/>
        <v>2.9420754796471531E-2</v>
      </c>
      <c r="D218" s="3">
        <f t="shared" si="179"/>
        <v>2.9420754796416006E-2</v>
      </c>
      <c r="E218" s="3">
        <f t="shared" si="179"/>
        <v>2.9420754795860763E-2</v>
      </c>
      <c r="F218" s="3">
        <f t="shared" si="179"/>
        <v>2.9420754790308323E-2</v>
      </c>
      <c r="G218" s="3">
        <f t="shared" si="179"/>
        <v>2.9420754734783942E-2</v>
      </c>
      <c r="H218" s="3">
        <f t="shared" si="179"/>
        <v>2.942075417954013E-2</v>
      </c>
      <c r="I218" s="3">
        <f t="shared" si="179"/>
        <v>2.9420748627102575E-2</v>
      </c>
      <c r="J218" s="3">
        <f t="shared" si="179"/>
        <v>2.9420693102784678E-2</v>
      </c>
      <c r="K218" s="3">
        <f t="shared" si="179"/>
        <v>2.9420137865369015E-2</v>
      </c>
      <c r="L218" s="3">
        <f t="shared" si="179"/>
        <v>2.9414586067504474E-2</v>
      </c>
      <c r="M218" s="3">
        <f t="shared" si="179"/>
        <v>2.9359125677845665E-2</v>
      </c>
      <c r="N218" s="3">
        <f t="shared" si="179"/>
        <v>2.8810240668690694E-2</v>
      </c>
      <c r="O218" s="3">
        <f t="shared" si="179"/>
        <v>2.3855282719023561E-2</v>
      </c>
      <c r="P218" s="3">
        <f t="shared" si="179"/>
        <v>3.6137772968819668E-3</v>
      </c>
      <c r="Q218" s="3">
        <f t="shared" si="179"/>
        <v>2.3000091165628648E-11</v>
      </c>
      <c r="R218" s="3">
        <f t="shared" si="179"/>
        <v>2.5084836818432462E-93</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2.9009360037806037E-2</v>
      </c>
      <c r="C219" s="3">
        <f t="shared" si="180"/>
        <v>2.9009360037805545E-2</v>
      </c>
      <c r="D219" s="3">
        <f t="shared" si="180"/>
        <v>2.9009360037800604E-2</v>
      </c>
      <c r="E219" s="3">
        <f t="shared" si="180"/>
        <v>2.900936003775122E-2</v>
      </c>
      <c r="F219" s="3">
        <f t="shared" si="180"/>
        <v>2.9009360037257344E-2</v>
      </c>
      <c r="G219" s="3">
        <f t="shared" si="180"/>
        <v>2.9009360032318625E-2</v>
      </c>
      <c r="H219" s="3">
        <f t="shared" si="180"/>
        <v>2.9009359982931394E-2</v>
      </c>
      <c r="I219" s="3">
        <f t="shared" si="180"/>
        <v>2.9009359489059108E-2</v>
      </c>
      <c r="J219" s="3">
        <f t="shared" si="180"/>
        <v>2.9009354550336701E-2</v>
      </c>
      <c r="K219" s="3">
        <f t="shared" si="180"/>
        <v>2.9009305163158864E-2</v>
      </c>
      <c r="L219" s="3">
        <f t="shared" si="180"/>
        <v>2.9008811296004841E-2</v>
      </c>
      <c r="M219" s="3">
        <f t="shared" si="180"/>
        <v>2.9003873086870614E-2</v>
      </c>
      <c r="N219" s="3">
        <f t="shared" si="180"/>
        <v>2.8954537207015088E-2</v>
      </c>
      <c r="O219" s="3">
        <f t="shared" si="180"/>
        <v>2.8465770580154596E-2</v>
      </c>
      <c r="P219" s="3">
        <f t="shared" si="180"/>
        <v>2.4009665808864839E-2</v>
      </c>
      <c r="Q219" s="3">
        <f t="shared" si="180"/>
        <v>4.3754005615156792E-3</v>
      </c>
      <c r="R219" s="3">
        <f t="shared" si="180"/>
        <v>1.7673999924087635E-10</v>
      </c>
      <c r="S219" s="3">
        <f t="shared" si="180"/>
        <v>2.0441141976760563E-84</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2.6775000161878098E-2</v>
      </c>
      <c r="C220" s="3">
        <f t="shared" si="181"/>
        <v>2.677500016187806E-2</v>
      </c>
      <c r="D220" s="3">
        <f t="shared" si="181"/>
        <v>2.6775000161877647E-2</v>
      </c>
      <c r="E220" s="3">
        <f t="shared" si="181"/>
        <v>2.6775000161873536E-2</v>
      </c>
      <c r="F220" s="3">
        <f t="shared" si="181"/>
        <v>2.6775000161832416E-2</v>
      </c>
      <c r="G220" s="3">
        <f t="shared" si="181"/>
        <v>2.6775000161421217E-2</v>
      </c>
      <c r="H220" s="3">
        <f t="shared" si="181"/>
        <v>2.6775000157309221E-2</v>
      </c>
      <c r="I220" s="3">
        <f t="shared" si="181"/>
        <v>2.677500011618927E-2</v>
      </c>
      <c r="J220" s="3">
        <f t="shared" si="181"/>
        <v>2.6774999704989765E-2</v>
      </c>
      <c r="K220" s="3">
        <f t="shared" si="181"/>
        <v>2.6774995592995069E-2</v>
      </c>
      <c r="L220" s="3">
        <f t="shared" si="181"/>
        <v>2.6774954473082854E-2</v>
      </c>
      <c r="M220" s="3">
        <f t="shared" si="181"/>
        <v>2.6774543277433914E-2</v>
      </c>
      <c r="N220" s="3">
        <f t="shared" si="181"/>
        <v>2.677043166824946E-2</v>
      </c>
      <c r="O220" s="3">
        <f t="shared" si="181"/>
        <v>2.6729350287172066E-2</v>
      </c>
      <c r="P220" s="3">
        <f t="shared" si="181"/>
        <v>2.6321987910148139E-2</v>
      </c>
      <c r="Q220" s="3">
        <f t="shared" si="181"/>
        <v>2.2574675381517369E-2</v>
      </c>
      <c r="R220" s="3">
        <f t="shared" si="181"/>
        <v>4.8601514258867235E-3</v>
      </c>
      <c r="S220" s="3">
        <f t="shared" si="181"/>
        <v>1.0397589492447688E-9</v>
      </c>
      <c r="T220" s="3">
        <f t="shared" si="181"/>
        <v>2.0881482629606552E-76</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3.1584912015022802E-2</v>
      </c>
      <c r="C221" s="3">
        <f t="shared" si="182"/>
        <v>3.1584912015022795E-2</v>
      </c>
      <c r="D221" s="3">
        <f t="shared" si="182"/>
        <v>3.1584912015022754E-2</v>
      </c>
      <c r="E221" s="3">
        <f t="shared" si="182"/>
        <v>3.1584912015022316E-2</v>
      </c>
      <c r="F221" s="3">
        <f t="shared" si="182"/>
        <v>3.1584912015017945E-2</v>
      </c>
      <c r="G221" s="3">
        <f t="shared" si="182"/>
        <v>3.1584912014974181E-2</v>
      </c>
      <c r="H221" s="3">
        <f t="shared" si="182"/>
        <v>3.1584912014536615E-2</v>
      </c>
      <c r="I221" s="3">
        <f t="shared" si="182"/>
        <v>3.1584912010160893E-2</v>
      </c>
      <c r="J221" s="3">
        <f t="shared" si="182"/>
        <v>3.1584911966403707E-2</v>
      </c>
      <c r="K221" s="3">
        <f t="shared" si="182"/>
        <v>3.1584911528831874E-2</v>
      </c>
      <c r="L221" s="3">
        <f t="shared" si="182"/>
        <v>3.1584907153113823E-2</v>
      </c>
      <c r="M221" s="3">
        <f t="shared" si="182"/>
        <v>3.1584863395966715E-2</v>
      </c>
      <c r="N221" s="3">
        <f t="shared" si="182"/>
        <v>3.1584425827829707E-2</v>
      </c>
      <c r="O221" s="3">
        <f t="shared" si="182"/>
        <v>3.1580050479853058E-2</v>
      </c>
      <c r="P221" s="3">
        <f t="shared" si="182"/>
        <v>3.1536330322344881E-2</v>
      </c>
      <c r="Q221" s="3">
        <f t="shared" si="182"/>
        <v>3.1102443955497598E-2</v>
      </c>
      <c r="R221" s="3">
        <f t="shared" si="182"/>
        <v>2.7078719214128532E-2</v>
      </c>
      <c r="S221" s="3">
        <f t="shared" si="182"/>
        <v>6.7758556722941109E-3</v>
      </c>
      <c r="T221" s="3">
        <f t="shared" si="182"/>
        <v>6.5211535334649584E-9</v>
      </c>
      <c r="U221" s="3">
        <f t="shared" si="182"/>
        <v>4.4455675151201485E-69</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3.592675255612271E-2</v>
      </c>
      <c r="C222" s="3">
        <f t="shared" si="183"/>
        <v>3.592675255612271E-2</v>
      </c>
      <c r="D222" s="3">
        <f t="shared" si="183"/>
        <v>3.5926752556122703E-2</v>
      </c>
      <c r="E222" s="3">
        <f t="shared" si="183"/>
        <v>3.5926752556122661E-2</v>
      </c>
      <c r="F222" s="3">
        <f t="shared" si="183"/>
        <v>3.592675255612221E-2</v>
      </c>
      <c r="G222" s="3">
        <f t="shared" si="183"/>
        <v>3.5926752556117721E-2</v>
      </c>
      <c r="H222" s="3">
        <f t="shared" si="183"/>
        <v>3.5926752556072826E-2</v>
      </c>
      <c r="I222" s="3">
        <f t="shared" si="183"/>
        <v>3.5926752555623838E-2</v>
      </c>
      <c r="J222" s="3">
        <f t="shared" si="183"/>
        <v>3.5926752551133957E-2</v>
      </c>
      <c r="K222" s="3">
        <f t="shared" si="183"/>
        <v>3.5926752506235213E-2</v>
      </c>
      <c r="L222" s="3">
        <f t="shared" si="183"/>
        <v>3.5926752057247713E-2</v>
      </c>
      <c r="M222" s="3">
        <f t="shared" si="183"/>
        <v>3.5926747567373067E-2</v>
      </c>
      <c r="N222" s="3">
        <f t="shared" si="183"/>
        <v>3.5926702668657488E-2</v>
      </c>
      <c r="O222" s="3">
        <f t="shared" si="183"/>
        <v>3.5926253684587781E-2</v>
      </c>
      <c r="P222" s="3">
        <f t="shared" si="183"/>
        <v>3.5921764152487108E-2</v>
      </c>
      <c r="Q222" s="3">
        <f t="shared" si="183"/>
        <v>3.5876899676859676E-2</v>
      </c>
      <c r="R222" s="3">
        <f t="shared" si="183"/>
        <v>3.5431325243157348E-2</v>
      </c>
      <c r="S222" s="3">
        <f t="shared" si="183"/>
        <v>3.1268878211752532E-2</v>
      </c>
      <c r="T222" s="3">
        <f t="shared" si="183"/>
        <v>8.9611004266134803E-3</v>
      </c>
      <c r="U222" s="3">
        <f t="shared" si="183"/>
        <v>3.348511381766493E-8</v>
      </c>
      <c r="V222" s="3">
        <f t="shared" si="183"/>
        <v>1.7772811282379704E-62</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3.8216836337325075E-2</v>
      </c>
      <c r="C223" s="3">
        <f t="shared" si="184"/>
        <v>3.8216836337325075E-2</v>
      </c>
      <c r="D223" s="3">
        <f t="shared" si="184"/>
        <v>3.8216836337325075E-2</v>
      </c>
      <c r="E223" s="3">
        <f t="shared" si="184"/>
        <v>3.8216836337325068E-2</v>
      </c>
      <c r="F223" s="3">
        <f t="shared" si="184"/>
        <v>3.8216836337325026E-2</v>
      </c>
      <c r="G223" s="3">
        <f t="shared" si="184"/>
        <v>3.8216836337324596E-2</v>
      </c>
      <c r="H223" s="3">
        <f t="shared" si="184"/>
        <v>3.8216836337320287E-2</v>
      </c>
      <c r="I223" s="3">
        <f t="shared" si="184"/>
        <v>3.8216836337277203E-2</v>
      </c>
      <c r="J223" s="3">
        <f t="shared" si="184"/>
        <v>3.821683633684636E-2</v>
      </c>
      <c r="K223" s="3">
        <f t="shared" si="184"/>
        <v>3.8216836332537946E-2</v>
      </c>
      <c r="L223" s="3">
        <f t="shared" si="184"/>
        <v>3.8216836289453784E-2</v>
      </c>
      <c r="M223" s="3">
        <f t="shared" si="184"/>
        <v>3.8216835858612214E-2</v>
      </c>
      <c r="N223" s="3">
        <f t="shared" si="184"/>
        <v>3.8216831550196714E-2</v>
      </c>
      <c r="O223" s="3">
        <f t="shared" si="184"/>
        <v>3.8216788466068422E-2</v>
      </c>
      <c r="P223" s="3">
        <f t="shared" si="184"/>
        <v>3.821635762745694E-2</v>
      </c>
      <c r="Q223" s="3">
        <f t="shared" si="184"/>
        <v>3.8212049508472373E-2</v>
      </c>
      <c r="R223" s="3">
        <f t="shared" si="184"/>
        <v>3.8168995020511041E-2</v>
      </c>
      <c r="S223" s="3">
        <f t="shared" si="184"/>
        <v>3.7741109224858606E-2</v>
      </c>
      <c r="T223" s="3">
        <f t="shared" si="184"/>
        <v>3.3717394598268939E-2</v>
      </c>
      <c r="U223" s="3">
        <f t="shared" si="184"/>
        <v>1.0920624975113402E-2</v>
      </c>
      <c r="V223" s="3">
        <f t="shared" si="184"/>
        <v>1.3873381862800042E-7</v>
      </c>
      <c r="W223" s="3">
        <f t="shared" si="184"/>
        <v>1.5189056968948072E-56</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4.8113881849429982E-2</v>
      </c>
      <c r="C224" s="3">
        <f t="shared" si="185"/>
        <v>4.8113881849429982E-2</v>
      </c>
      <c r="D224" s="3">
        <f t="shared" si="185"/>
        <v>4.8113881849429982E-2</v>
      </c>
      <c r="E224" s="3">
        <f t="shared" si="185"/>
        <v>4.8113881849429982E-2</v>
      </c>
      <c r="F224" s="3">
        <f t="shared" si="185"/>
        <v>4.8113881849429975E-2</v>
      </c>
      <c r="G224" s="3">
        <f t="shared" si="185"/>
        <v>4.8113881849429926E-2</v>
      </c>
      <c r="H224" s="3">
        <f t="shared" si="185"/>
        <v>4.8113881849429434E-2</v>
      </c>
      <c r="I224" s="3">
        <f t="shared" si="185"/>
        <v>4.8113881849424542E-2</v>
      </c>
      <c r="J224" s="3">
        <f t="shared" si="185"/>
        <v>4.8113881849375616E-2</v>
      </c>
      <c r="K224" s="3">
        <f t="shared" si="185"/>
        <v>4.8113881848886306E-2</v>
      </c>
      <c r="L224" s="3">
        <f t="shared" si="185"/>
        <v>4.8113881843993254E-2</v>
      </c>
      <c r="M224" s="3">
        <f t="shared" si="185"/>
        <v>4.8113881795062735E-2</v>
      </c>
      <c r="N224" s="3">
        <f t="shared" si="185"/>
        <v>4.81138813057575E-2</v>
      </c>
      <c r="O224" s="3">
        <f t="shared" si="185"/>
        <v>4.8113876412705411E-2</v>
      </c>
      <c r="P224" s="3">
        <f t="shared" si="185"/>
        <v>4.8113827482211963E-2</v>
      </c>
      <c r="Q224" s="3">
        <f t="shared" si="185"/>
        <v>4.8113338180014294E-2</v>
      </c>
      <c r="R224" s="3">
        <f t="shared" si="185"/>
        <v>4.8108445431711812E-2</v>
      </c>
      <c r="S224" s="3">
        <f t="shared" si="185"/>
        <v>4.8059545305812447E-2</v>
      </c>
      <c r="T224" s="3">
        <f t="shared" si="185"/>
        <v>4.7573269493373559E-2</v>
      </c>
      <c r="U224" s="3">
        <f t="shared" si="185"/>
        <v>4.2973073747979255E-2</v>
      </c>
      <c r="V224" s="3">
        <f t="shared" si="185"/>
        <v>1.5542848382708824E-2</v>
      </c>
      <c r="W224" s="3">
        <f t="shared" si="185"/>
        <v>5.9548733504128361E-7</v>
      </c>
      <c r="X224" s="3">
        <f t="shared" si="185"/>
        <v>4.0578100735074074E-51</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5.6463045562969084E-2</v>
      </c>
      <c r="C225" s="3">
        <f t="shared" si="186"/>
        <v>5.6463045562969084E-2</v>
      </c>
      <c r="D225" s="3">
        <f t="shared" si="186"/>
        <v>5.6463045562969084E-2</v>
      </c>
      <c r="E225" s="3">
        <f t="shared" si="186"/>
        <v>5.6463045562969084E-2</v>
      </c>
      <c r="F225" s="3">
        <f t="shared" si="186"/>
        <v>5.6463045562969084E-2</v>
      </c>
      <c r="G225" s="3">
        <f t="shared" si="186"/>
        <v>5.6463045562969078E-2</v>
      </c>
      <c r="H225" s="3">
        <f t="shared" si="186"/>
        <v>5.6463045562969029E-2</v>
      </c>
      <c r="I225" s="3">
        <f t="shared" si="186"/>
        <v>5.6463045562968509E-2</v>
      </c>
      <c r="J225" s="3">
        <f t="shared" si="186"/>
        <v>5.6463045562963332E-2</v>
      </c>
      <c r="K225" s="3">
        <f t="shared" si="186"/>
        <v>5.6463045562911533E-2</v>
      </c>
      <c r="L225" s="3">
        <f t="shared" si="186"/>
        <v>5.6463045562393538E-2</v>
      </c>
      <c r="M225" s="3">
        <f t="shared" si="186"/>
        <v>5.6463045557213654E-2</v>
      </c>
      <c r="N225" s="3">
        <f t="shared" si="186"/>
        <v>5.6463045505414776E-2</v>
      </c>
      <c r="O225" s="3">
        <f t="shared" si="186"/>
        <v>5.6463044987425992E-2</v>
      </c>
      <c r="P225" s="3">
        <f t="shared" si="186"/>
        <v>5.6463039807538411E-2</v>
      </c>
      <c r="Q225" s="3">
        <f t="shared" si="186"/>
        <v>5.6462988008688715E-2</v>
      </c>
      <c r="R225" s="3">
        <f t="shared" si="186"/>
        <v>5.6462470022805397E-2</v>
      </c>
      <c r="S225" s="3">
        <f t="shared" si="186"/>
        <v>5.6457290425322361E-2</v>
      </c>
      <c r="T225" s="3">
        <f t="shared" si="186"/>
        <v>5.6405520576636455E-2</v>
      </c>
      <c r="U225" s="3">
        <f t="shared" si="186"/>
        <v>5.5890425857792657E-2</v>
      </c>
      <c r="V225" s="3">
        <f t="shared" si="186"/>
        <v>5.0991230056969906E-2</v>
      </c>
      <c r="W225" s="3">
        <f t="shared" si="186"/>
        <v>2.0373994592236291E-2</v>
      </c>
      <c r="X225" s="3">
        <f t="shared" si="186"/>
        <v>2.1129205480857093E-6</v>
      </c>
      <c r="Y225" s="3">
        <f t="shared" si="186"/>
        <v>3.0405557265378272E-46</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5.9569205174430817E-2</v>
      </c>
      <c r="C226" s="3">
        <f t="shared" si="187"/>
        <v>5.9569205174430817E-2</v>
      </c>
      <c r="D226" s="3">
        <f t="shared" si="187"/>
        <v>5.9569205174430817E-2</v>
      </c>
      <c r="E226" s="3">
        <f t="shared" si="187"/>
        <v>5.9569205174430817E-2</v>
      </c>
      <c r="F226" s="3">
        <f t="shared" si="187"/>
        <v>5.9569205174430817E-2</v>
      </c>
      <c r="G226" s="3">
        <f t="shared" si="187"/>
        <v>5.9569205174430817E-2</v>
      </c>
      <c r="H226" s="3">
        <f t="shared" si="187"/>
        <v>5.956920517443081E-2</v>
      </c>
      <c r="I226" s="3">
        <f t="shared" si="187"/>
        <v>5.9569205174430762E-2</v>
      </c>
      <c r="J226" s="3">
        <f t="shared" si="187"/>
        <v>5.9569205174430269E-2</v>
      </c>
      <c r="K226" s="3">
        <f t="shared" si="187"/>
        <v>5.9569205174425342E-2</v>
      </c>
      <c r="L226" s="3">
        <f t="shared" si="187"/>
        <v>5.9569205174376041E-2</v>
      </c>
      <c r="M226" s="3">
        <f t="shared" si="187"/>
        <v>5.9569205173883068E-2</v>
      </c>
      <c r="N226" s="3">
        <f t="shared" si="187"/>
        <v>5.9569205168953324E-2</v>
      </c>
      <c r="O226" s="3">
        <f t="shared" si="187"/>
        <v>5.9569205119655876E-2</v>
      </c>
      <c r="P226" s="3">
        <f t="shared" si="187"/>
        <v>5.9569204626681374E-2</v>
      </c>
      <c r="Q226" s="3">
        <f t="shared" si="187"/>
        <v>5.9569199696936623E-2</v>
      </c>
      <c r="R226" s="3">
        <f t="shared" si="187"/>
        <v>5.9569150399511543E-2</v>
      </c>
      <c r="S226" s="3">
        <f t="shared" si="187"/>
        <v>5.9568657427504557E-2</v>
      </c>
      <c r="T226" s="3">
        <f t="shared" si="187"/>
        <v>5.9563727931809966E-2</v>
      </c>
      <c r="U226" s="3">
        <f t="shared" si="187"/>
        <v>5.9514455405523789E-2</v>
      </c>
      <c r="V226" s="3">
        <f t="shared" si="187"/>
        <v>5.902396635555901E-2</v>
      </c>
      <c r="W226" s="3">
        <f t="shared" si="187"/>
        <v>5.4335998815478834E-2</v>
      </c>
      <c r="X226" s="3">
        <f t="shared" si="187"/>
        <v>2.3750912466049923E-2</v>
      </c>
      <c r="Y226" s="3">
        <f t="shared" si="187"/>
        <v>6.0479298087654466E-6</v>
      </c>
      <c r="Z226" s="3">
        <f t="shared" si="187"/>
        <v>6.9322014241978512E-42</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6.4663842713273356E-2</v>
      </c>
      <c r="C227" s="3">
        <f t="shared" si="188"/>
        <v>6.4663842713273356E-2</v>
      </c>
      <c r="D227" s="3">
        <f t="shared" si="188"/>
        <v>6.4663842713273356E-2</v>
      </c>
      <c r="E227" s="3">
        <f t="shared" si="188"/>
        <v>6.4663842713273356E-2</v>
      </c>
      <c r="F227" s="3">
        <f t="shared" si="188"/>
        <v>6.4663842713273356E-2</v>
      </c>
      <c r="G227" s="3">
        <f t="shared" si="188"/>
        <v>6.4663842713273356E-2</v>
      </c>
      <c r="H227" s="3">
        <f t="shared" si="188"/>
        <v>6.4663842713273356E-2</v>
      </c>
      <c r="I227" s="3">
        <f t="shared" si="188"/>
        <v>6.4663842713273342E-2</v>
      </c>
      <c r="J227" s="3">
        <f t="shared" si="188"/>
        <v>6.4663842713273301E-2</v>
      </c>
      <c r="K227" s="3">
        <f t="shared" si="188"/>
        <v>6.4663842713272815E-2</v>
      </c>
      <c r="L227" s="3">
        <f t="shared" si="188"/>
        <v>6.4663842713267999E-2</v>
      </c>
      <c r="M227" s="3">
        <f t="shared" si="188"/>
        <v>6.4663842713219719E-2</v>
      </c>
      <c r="N227" s="3">
        <f t="shared" si="188"/>
        <v>6.466384271273698E-2</v>
      </c>
      <c r="O227" s="3">
        <f t="shared" si="188"/>
        <v>6.4663842707909605E-2</v>
      </c>
      <c r="P227" s="3">
        <f t="shared" si="188"/>
        <v>6.4663842659635887E-2</v>
      </c>
      <c r="Q227" s="3">
        <f t="shared" si="188"/>
        <v>6.4663842176898717E-2</v>
      </c>
      <c r="R227" s="3">
        <f t="shared" si="188"/>
        <v>6.4663837349527117E-2</v>
      </c>
      <c r="S227" s="3">
        <f t="shared" si="188"/>
        <v>6.4663789075831007E-2</v>
      </c>
      <c r="T227" s="3">
        <f t="shared" si="188"/>
        <v>6.4663306340852031E-2</v>
      </c>
      <c r="U227" s="3">
        <f t="shared" si="188"/>
        <v>6.4658479189264803E-2</v>
      </c>
      <c r="V227" s="3">
        <f t="shared" si="188"/>
        <v>6.4610227488179101E-2</v>
      </c>
      <c r="W227" s="3">
        <f t="shared" si="188"/>
        <v>6.4129686493706817E-2</v>
      </c>
      <c r="X227" s="3">
        <f t="shared" si="188"/>
        <v>5.9516527369473479E-2</v>
      </c>
      <c r="Y227" s="3">
        <f t="shared" si="188"/>
        <v>2.8211244748895224E-2</v>
      </c>
      <c r="Z227" s="3">
        <f t="shared" si="188"/>
        <v>1.6153584293155908E-5</v>
      </c>
      <c r="AA227" s="3">
        <f t="shared" si="188"/>
        <v>6.119774757060306E-38</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4.8548005334617741E-2</v>
      </c>
      <c r="C228" s="3">
        <f t="shared" si="189"/>
        <v>4.8548005334617741E-2</v>
      </c>
      <c r="D228" s="3">
        <f t="shared" si="189"/>
        <v>4.8548005334617741E-2</v>
      </c>
      <c r="E228" s="3">
        <f t="shared" si="189"/>
        <v>4.8548005334617741E-2</v>
      </c>
      <c r="F228" s="3">
        <f t="shared" si="189"/>
        <v>4.8548005334617741E-2</v>
      </c>
      <c r="G228" s="3">
        <f t="shared" si="189"/>
        <v>4.8548005334617741E-2</v>
      </c>
      <c r="H228" s="3">
        <f t="shared" si="189"/>
        <v>4.8548005334617741E-2</v>
      </c>
      <c r="I228" s="3">
        <f t="shared" si="189"/>
        <v>4.8548005334617741E-2</v>
      </c>
      <c r="J228" s="3">
        <f t="shared" si="189"/>
        <v>4.8548005334617735E-2</v>
      </c>
      <c r="K228" s="3">
        <f t="shared" si="189"/>
        <v>4.8548005334617707E-2</v>
      </c>
      <c r="L228" s="3">
        <f t="shared" si="189"/>
        <v>4.8548005334617381E-2</v>
      </c>
      <c r="M228" s="3">
        <f t="shared" si="189"/>
        <v>4.8548005334614105E-2</v>
      </c>
      <c r="N228" s="3">
        <f t="shared" si="189"/>
        <v>4.8548005334581416E-2</v>
      </c>
      <c r="O228" s="3">
        <f t="shared" si="189"/>
        <v>4.8548005334254477E-2</v>
      </c>
      <c r="P228" s="3">
        <f t="shared" si="189"/>
        <v>4.8548005330985085E-2</v>
      </c>
      <c r="Q228" s="3">
        <f t="shared" si="189"/>
        <v>4.8548005298291147E-2</v>
      </c>
      <c r="R228" s="3">
        <f t="shared" si="189"/>
        <v>4.8548004971351776E-2</v>
      </c>
      <c r="S228" s="3">
        <f t="shared" si="189"/>
        <v>4.85480017019582E-2</v>
      </c>
      <c r="T228" s="3">
        <f t="shared" si="189"/>
        <v>4.8547969008034556E-2</v>
      </c>
      <c r="U228" s="3">
        <f t="shared" si="189"/>
        <v>4.8547642070009049E-2</v>
      </c>
      <c r="V228" s="3">
        <f t="shared" si="189"/>
        <v>4.8544372810845476E-2</v>
      </c>
      <c r="W228" s="3">
        <f t="shared" si="189"/>
        <v>4.851169232534485E-2</v>
      </c>
      <c r="X228" s="3">
        <f t="shared" si="189"/>
        <v>4.8186095072766999E-2</v>
      </c>
      <c r="Y228" s="3">
        <f t="shared" si="189"/>
        <v>4.5047927229339306E-2</v>
      </c>
      <c r="Z228" s="3">
        <f t="shared" si="189"/>
        <v>2.2972359752005324E-2</v>
      </c>
      <c r="AA228" s="3">
        <f t="shared" si="189"/>
        <v>2.7322068079082912E-5</v>
      </c>
      <c r="AB228" s="3">
        <f t="shared" si="189"/>
        <v>1.5473664367142055E-34</v>
      </c>
      <c r="AC228" s="3">
        <f t="shared" si="189"/>
        <v>0</v>
      </c>
      <c r="AD228" s="3">
        <f t="shared" si="189"/>
        <v>0</v>
      </c>
      <c r="AE228" s="3">
        <f t="shared" si="189"/>
        <v>0</v>
      </c>
      <c r="AF228" s="3">
        <f t="shared" si="189"/>
        <v>0</v>
      </c>
      <c r="AG228" s="3"/>
      <c r="AH228" s="3"/>
    </row>
    <row r="229" spans="2:34" x14ac:dyDescent="0.25">
      <c r="B229" s="3">
        <f t="shared" ref="B229:AF229" si="190">$C37*EXP(-B$207/$A37/EXP(-$D$126))</f>
        <v>3.8659494646510029E-2</v>
      </c>
      <c r="C229" s="3">
        <f t="shared" si="190"/>
        <v>3.8659494646510029E-2</v>
      </c>
      <c r="D229" s="3">
        <f t="shared" si="190"/>
        <v>3.8659494646510029E-2</v>
      </c>
      <c r="E229" s="3">
        <f t="shared" si="190"/>
        <v>3.8659494646510029E-2</v>
      </c>
      <c r="F229" s="3">
        <f t="shared" si="190"/>
        <v>3.8659494646510029E-2</v>
      </c>
      <c r="G229" s="3">
        <f t="shared" si="190"/>
        <v>3.8659494646510029E-2</v>
      </c>
      <c r="H229" s="3">
        <f t="shared" si="190"/>
        <v>3.8659494646510029E-2</v>
      </c>
      <c r="I229" s="3">
        <f t="shared" si="190"/>
        <v>3.8659494646510029E-2</v>
      </c>
      <c r="J229" s="3">
        <f t="shared" si="190"/>
        <v>3.8659494646510029E-2</v>
      </c>
      <c r="K229" s="3">
        <f t="shared" si="190"/>
        <v>3.8659494646510022E-2</v>
      </c>
      <c r="L229" s="3">
        <f t="shared" si="190"/>
        <v>3.8659494646510001E-2</v>
      </c>
      <c r="M229" s="3">
        <f t="shared" si="190"/>
        <v>3.8659494646509765E-2</v>
      </c>
      <c r="N229" s="3">
        <f t="shared" si="190"/>
        <v>3.865949464650742E-2</v>
      </c>
      <c r="O229" s="3">
        <f t="shared" si="190"/>
        <v>3.8659494646483931E-2</v>
      </c>
      <c r="P229" s="3">
        <f t="shared" si="190"/>
        <v>3.8659494646249078E-2</v>
      </c>
      <c r="Q229" s="3">
        <f t="shared" si="190"/>
        <v>3.8659494643900533E-2</v>
      </c>
      <c r="R229" s="3">
        <f t="shared" si="190"/>
        <v>3.8659494620415104E-2</v>
      </c>
      <c r="S229" s="3">
        <f t="shared" si="190"/>
        <v>3.865949438556076E-2</v>
      </c>
      <c r="T229" s="3">
        <f t="shared" si="190"/>
        <v>3.8659492037017421E-2</v>
      </c>
      <c r="U229" s="3">
        <f t="shared" si="190"/>
        <v>3.8659468551591858E-2</v>
      </c>
      <c r="V229" s="3">
        <f t="shared" si="190"/>
        <v>3.865923369812093E-2</v>
      </c>
      <c r="W229" s="3">
        <f t="shared" si="190"/>
        <v>3.8656885241879699E-2</v>
      </c>
      <c r="X229" s="3">
        <f t="shared" si="190"/>
        <v>3.8633408524508986E-2</v>
      </c>
      <c r="Y229" s="3">
        <f t="shared" si="190"/>
        <v>3.8399424094465631E-2</v>
      </c>
      <c r="Z229" s="3">
        <f t="shared" si="190"/>
        <v>3.6136122988094176E-2</v>
      </c>
      <c r="AA229" s="3">
        <f t="shared" si="190"/>
        <v>1.9683847993993316E-2</v>
      </c>
      <c r="AB229" s="3">
        <f t="shared" si="190"/>
        <v>4.5268329864640473E-5</v>
      </c>
      <c r="AC229" s="3">
        <f t="shared" si="190"/>
        <v>1.8734373085314547E-31</v>
      </c>
      <c r="AD229" s="3">
        <f t="shared" si="190"/>
        <v>2.7611251592800137E-295</v>
      </c>
      <c r="AE229" s="3">
        <f t="shared" si="190"/>
        <v>0</v>
      </c>
      <c r="AF229" s="3">
        <f t="shared" si="190"/>
        <v>0</v>
      </c>
      <c r="AG229" s="3"/>
      <c r="AH229" s="3"/>
    </row>
    <row r="230" spans="2:34" x14ac:dyDescent="0.25">
      <c r="B230" s="3">
        <f t="shared" ref="B230:AF230" si="191">$C38*EXP(-B$207/$A38/EXP(-$D$126))</f>
        <v>6.6103757573429938E-3</v>
      </c>
      <c r="C230" s="3">
        <f t="shared" si="191"/>
        <v>6.6103757573429938E-3</v>
      </c>
      <c r="D230" s="3">
        <f t="shared" si="191"/>
        <v>6.6103757573429938E-3</v>
      </c>
      <c r="E230" s="3">
        <f t="shared" si="191"/>
        <v>6.6103757573429938E-3</v>
      </c>
      <c r="F230" s="3">
        <f t="shared" si="191"/>
        <v>6.6103757573429938E-3</v>
      </c>
      <c r="G230" s="3">
        <f t="shared" si="191"/>
        <v>6.6103757573429938E-3</v>
      </c>
      <c r="H230" s="3">
        <f t="shared" si="191"/>
        <v>6.6103757573429938E-3</v>
      </c>
      <c r="I230" s="3">
        <f t="shared" si="191"/>
        <v>6.6103757573429938E-3</v>
      </c>
      <c r="J230" s="3">
        <f t="shared" si="191"/>
        <v>6.6103757573429938E-3</v>
      </c>
      <c r="K230" s="3">
        <f t="shared" si="191"/>
        <v>6.6103757573429938E-3</v>
      </c>
      <c r="L230" s="3">
        <f t="shared" si="191"/>
        <v>6.6103757573429929E-3</v>
      </c>
      <c r="M230" s="3">
        <f t="shared" si="191"/>
        <v>6.6103757573429903E-3</v>
      </c>
      <c r="N230" s="3">
        <f t="shared" si="191"/>
        <v>6.610375757342953E-3</v>
      </c>
      <c r="O230" s="3">
        <f t="shared" si="191"/>
        <v>6.6103757573425913E-3</v>
      </c>
      <c r="P230" s="3">
        <f t="shared" si="191"/>
        <v>6.6103757573389692E-3</v>
      </c>
      <c r="Q230" s="3">
        <f t="shared" si="191"/>
        <v>6.610375757302743E-3</v>
      </c>
      <c r="R230" s="3">
        <f t="shared" si="191"/>
        <v>6.6103757569404877E-3</v>
      </c>
      <c r="S230" s="3">
        <f t="shared" si="191"/>
        <v>6.6103757533179314E-3</v>
      </c>
      <c r="T230" s="3">
        <f t="shared" si="191"/>
        <v>6.6103757170923672E-3</v>
      </c>
      <c r="U230" s="3">
        <f t="shared" si="191"/>
        <v>6.6103753548367354E-3</v>
      </c>
      <c r="V230" s="3">
        <f t="shared" si="191"/>
        <v>6.6103717322815074E-3</v>
      </c>
      <c r="W230" s="3">
        <f t="shared" si="191"/>
        <v>6.6103355068384178E-3</v>
      </c>
      <c r="X230" s="3">
        <f t="shared" si="191"/>
        <v>6.6099732633258775E-3</v>
      </c>
      <c r="Y230" s="3">
        <f t="shared" si="191"/>
        <v>6.6063519198142871E-3</v>
      </c>
      <c r="Z230" s="3">
        <f t="shared" si="191"/>
        <v>6.5702474250642707E-3</v>
      </c>
      <c r="AA230" s="3">
        <f t="shared" si="191"/>
        <v>6.2198788229552411E-3</v>
      </c>
      <c r="AB230" s="3">
        <f t="shared" si="191"/>
        <v>3.5957038426864718E-3</v>
      </c>
      <c r="AC230" s="3">
        <f t="shared" si="191"/>
        <v>1.4990075449880251E-5</v>
      </c>
      <c r="AD230" s="3">
        <f t="shared" si="191"/>
        <v>2.3768559646198108E-29</v>
      </c>
      <c r="AE230" s="3">
        <f t="shared" si="191"/>
        <v>2.3877745737962638E-267</v>
      </c>
      <c r="AF230" s="3">
        <f t="shared" si="191"/>
        <v>0</v>
      </c>
      <c r="AG230" s="3"/>
      <c r="AH230" s="3"/>
    </row>
    <row r="231" spans="2:34" x14ac:dyDescent="0.25">
      <c r="B231" s="3">
        <f t="shared" ref="B231:AF231" si="192">$C39*EXP(-B$207/$A39/EXP(-$D$126))</f>
        <v>1.6903393193058183E-2</v>
      </c>
      <c r="C231" s="3">
        <f t="shared" si="192"/>
        <v>1.6903393193058183E-2</v>
      </c>
      <c r="D231" s="3">
        <f t="shared" si="192"/>
        <v>1.6903393193058183E-2</v>
      </c>
      <c r="E231" s="3">
        <f t="shared" si="192"/>
        <v>1.6903393193058183E-2</v>
      </c>
      <c r="F231" s="3">
        <f t="shared" si="192"/>
        <v>1.6903393193058183E-2</v>
      </c>
      <c r="G231" s="3">
        <f t="shared" si="192"/>
        <v>1.6903393193058183E-2</v>
      </c>
      <c r="H231" s="3">
        <f t="shared" si="192"/>
        <v>1.6903393193058183E-2</v>
      </c>
      <c r="I231" s="3">
        <f t="shared" si="192"/>
        <v>1.6903393193058183E-2</v>
      </c>
      <c r="J231" s="3">
        <f t="shared" si="192"/>
        <v>1.6903393193058183E-2</v>
      </c>
      <c r="K231" s="3">
        <f t="shared" si="192"/>
        <v>1.6903393193058183E-2</v>
      </c>
      <c r="L231" s="3">
        <f t="shared" si="192"/>
        <v>1.6903393193058183E-2</v>
      </c>
      <c r="M231" s="3">
        <f t="shared" si="192"/>
        <v>1.690339319305818E-2</v>
      </c>
      <c r="N231" s="3">
        <f t="shared" si="192"/>
        <v>1.6903393193058155E-2</v>
      </c>
      <c r="O231" s="3">
        <f t="shared" si="192"/>
        <v>1.6903393193057899E-2</v>
      </c>
      <c r="P231" s="3">
        <f t="shared" si="192"/>
        <v>1.6903393193055335E-2</v>
      </c>
      <c r="Q231" s="3">
        <f t="shared" si="192"/>
        <v>1.6903393193029716E-2</v>
      </c>
      <c r="R231" s="3">
        <f t="shared" si="192"/>
        <v>1.6903393192773519E-2</v>
      </c>
      <c r="S231" s="3">
        <f t="shared" si="192"/>
        <v>1.6903393190211537E-2</v>
      </c>
      <c r="T231" s="3">
        <f t="shared" si="192"/>
        <v>1.6903393164591735E-2</v>
      </c>
      <c r="U231" s="3">
        <f t="shared" si="192"/>
        <v>1.6903392908393718E-2</v>
      </c>
      <c r="V231" s="3">
        <f t="shared" si="192"/>
        <v>1.6903390346413756E-2</v>
      </c>
      <c r="W231" s="3">
        <f t="shared" si="192"/>
        <v>1.6903364726635478E-2</v>
      </c>
      <c r="X231" s="3">
        <f t="shared" si="192"/>
        <v>1.6903108530988368E-2</v>
      </c>
      <c r="Y231" s="3">
        <f t="shared" si="192"/>
        <v>1.6900546788074039E-2</v>
      </c>
      <c r="Z231" s="3">
        <f t="shared" si="192"/>
        <v>1.6874950702632986E-2</v>
      </c>
      <c r="AA231" s="3">
        <f t="shared" si="192"/>
        <v>1.6621112297393211E-2</v>
      </c>
      <c r="AB231" s="3">
        <f t="shared" si="192"/>
        <v>1.4283537957536884E-2</v>
      </c>
      <c r="AC231" s="3">
        <f t="shared" si="192"/>
        <v>3.1375661304916804E-3</v>
      </c>
      <c r="AD231" s="3">
        <f t="shared" si="192"/>
        <v>8.2066108109439024E-10</v>
      </c>
      <c r="AE231" s="3">
        <f t="shared" si="192"/>
        <v>1.2299100090960832E-75</v>
      </c>
      <c r="AF231" s="3">
        <f t="shared" si="192"/>
        <v>0</v>
      </c>
      <c r="AG231" s="3"/>
      <c r="AH231" s="3"/>
    </row>
    <row r="232" spans="2:34" x14ac:dyDescent="0.25">
      <c r="B232" s="3">
        <f t="shared" ref="B232:AF232" si="193">$C40*EXP(-B$207/$A40/EXP(-$D$126))</f>
        <v>1.9810156254800116E-3</v>
      </c>
      <c r="C232" s="3">
        <f t="shared" si="193"/>
        <v>1.9810156254800116E-3</v>
      </c>
      <c r="D232" s="3">
        <f t="shared" si="193"/>
        <v>1.9810156254800116E-3</v>
      </c>
      <c r="E232" s="3">
        <f t="shared" si="193"/>
        <v>1.9810156254800116E-3</v>
      </c>
      <c r="F232" s="3">
        <f t="shared" si="193"/>
        <v>1.9810156254800116E-3</v>
      </c>
      <c r="G232" s="3">
        <f t="shared" si="193"/>
        <v>1.9810156254800116E-3</v>
      </c>
      <c r="H232" s="3">
        <f t="shared" si="193"/>
        <v>1.9810156254800116E-3</v>
      </c>
      <c r="I232" s="3">
        <f t="shared" si="193"/>
        <v>1.9810156254800116E-3</v>
      </c>
      <c r="J232" s="3">
        <f t="shared" si="193"/>
        <v>1.9810156254800116E-3</v>
      </c>
      <c r="K232" s="3">
        <f t="shared" si="193"/>
        <v>1.9810156254800116E-3</v>
      </c>
      <c r="L232" s="3">
        <f t="shared" si="193"/>
        <v>1.9810156254800116E-3</v>
      </c>
      <c r="M232" s="3">
        <f t="shared" si="193"/>
        <v>1.9810156254800116E-3</v>
      </c>
      <c r="N232" s="3">
        <f t="shared" si="193"/>
        <v>1.9810156254800111E-3</v>
      </c>
      <c r="O232" s="3">
        <f t="shared" si="193"/>
        <v>1.9810156254800081E-3</v>
      </c>
      <c r="P232" s="3">
        <f t="shared" si="193"/>
        <v>1.9810156254799782E-3</v>
      </c>
      <c r="Q232" s="3">
        <f t="shared" si="193"/>
        <v>1.9810156254796781E-3</v>
      </c>
      <c r="R232" s="3">
        <f t="shared" si="193"/>
        <v>1.9810156254766753E-3</v>
      </c>
      <c r="S232" s="3">
        <f t="shared" si="193"/>
        <v>1.9810156254466498E-3</v>
      </c>
      <c r="T232" s="3">
        <f t="shared" si="193"/>
        <v>1.9810156251463952E-3</v>
      </c>
      <c r="U232" s="3">
        <f t="shared" si="193"/>
        <v>1.9810156221438486E-3</v>
      </c>
      <c r="V232" s="3">
        <f t="shared" si="193"/>
        <v>1.9810155921183813E-3</v>
      </c>
      <c r="W232" s="3">
        <f t="shared" si="193"/>
        <v>1.9810152918637355E-3</v>
      </c>
      <c r="X232" s="3">
        <f t="shared" si="193"/>
        <v>1.9810122893197781E-3</v>
      </c>
      <c r="Y232" s="3">
        <f t="shared" si="193"/>
        <v>1.9809822641304979E-3</v>
      </c>
      <c r="Z232" s="3">
        <f t="shared" si="193"/>
        <v>1.9806820372657618E-3</v>
      </c>
      <c r="AA232" s="3">
        <f t="shared" si="193"/>
        <v>1.9776822700219476E-3</v>
      </c>
      <c r="AB232" s="3">
        <f t="shared" si="193"/>
        <v>1.9479333408345563E-3</v>
      </c>
      <c r="AC232" s="3">
        <f t="shared" si="193"/>
        <v>1.6739782100458898E-3</v>
      </c>
      <c r="AD232" s="3">
        <f t="shared" si="193"/>
        <v>3.6771123167349978E-4</v>
      </c>
      <c r="AE232" s="3">
        <f t="shared" si="193"/>
        <v>9.617846584429919E-11</v>
      </c>
      <c r="AF232" s="3">
        <f t="shared" si="193"/>
        <v>1.4414093774699649E-76</v>
      </c>
      <c r="AG232" s="3"/>
      <c r="AH232" s="3"/>
    </row>
    <row r="233" spans="2:34" x14ac:dyDescent="0.25">
      <c r="B233" s="3">
        <f t="shared" ref="B233:AF233" si="194">$C41*EXP(-B$207/$A41/EXP(-$D$126))</f>
        <v>4.9795148637895425E-3</v>
      </c>
      <c r="C233" s="3">
        <f t="shared" si="194"/>
        <v>4.9795148637895425E-3</v>
      </c>
      <c r="D233" s="3">
        <f t="shared" si="194"/>
        <v>4.9795148637895425E-3</v>
      </c>
      <c r="E233" s="3">
        <f t="shared" si="194"/>
        <v>4.9795148637895425E-3</v>
      </c>
      <c r="F233" s="3">
        <f t="shared" si="194"/>
        <v>4.9795148637895425E-3</v>
      </c>
      <c r="G233" s="3">
        <f t="shared" si="194"/>
        <v>4.9795148637895425E-3</v>
      </c>
      <c r="H233" s="3">
        <f t="shared" si="194"/>
        <v>4.9795148637895425E-3</v>
      </c>
      <c r="I233" s="3">
        <f t="shared" si="194"/>
        <v>4.9795148637895425E-3</v>
      </c>
      <c r="J233" s="3">
        <f t="shared" si="194"/>
        <v>4.9795148637895425E-3</v>
      </c>
      <c r="K233" s="3">
        <f t="shared" si="194"/>
        <v>4.9795148637895425E-3</v>
      </c>
      <c r="L233" s="3">
        <f t="shared" si="194"/>
        <v>4.9795148637895425E-3</v>
      </c>
      <c r="M233" s="3">
        <f t="shared" si="194"/>
        <v>4.9795148637895425E-3</v>
      </c>
      <c r="N233" s="3">
        <f t="shared" si="194"/>
        <v>4.9795148637895425E-3</v>
      </c>
      <c r="O233" s="3">
        <f t="shared" si="194"/>
        <v>4.9795148637895416E-3</v>
      </c>
      <c r="P233" s="3">
        <f t="shared" si="194"/>
        <v>4.9795148637895338E-3</v>
      </c>
      <c r="Q233" s="3">
        <f t="shared" si="194"/>
        <v>4.9795148637894584E-3</v>
      </c>
      <c r="R233" s="3">
        <f t="shared" si="194"/>
        <v>4.9795148637887037E-3</v>
      </c>
      <c r="S233" s="3">
        <f t="shared" si="194"/>
        <v>4.9795148637811568E-3</v>
      </c>
      <c r="T233" s="3">
        <f t="shared" si="194"/>
        <v>4.9795148637056842E-3</v>
      </c>
      <c r="U233" s="3">
        <f t="shared" si="194"/>
        <v>4.9795148629509589E-3</v>
      </c>
      <c r="V233" s="3">
        <f t="shared" si="194"/>
        <v>4.9795148554037062E-3</v>
      </c>
      <c r="W233" s="3">
        <f t="shared" si="194"/>
        <v>4.9795147799311769E-3</v>
      </c>
      <c r="X233" s="3">
        <f t="shared" si="194"/>
        <v>4.9795140252059467E-3</v>
      </c>
      <c r="Y233" s="3">
        <f t="shared" si="194"/>
        <v>4.9795064779599423E-3</v>
      </c>
      <c r="Z233" s="3">
        <f t="shared" si="194"/>
        <v>4.979431006129036E-3</v>
      </c>
      <c r="AA233" s="3">
        <f t="shared" si="194"/>
        <v>4.9786763507309491E-3</v>
      </c>
      <c r="AB233" s="3">
        <f t="shared" si="194"/>
        <v>4.9711360843209549E-3</v>
      </c>
      <c r="AC233" s="3">
        <f t="shared" si="194"/>
        <v>4.8963586655236934E-3</v>
      </c>
      <c r="AD233" s="3">
        <f t="shared" si="194"/>
        <v>4.2077403486222159E-3</v>
      </c>
      <c r="AE233" s="3">
        <f t="shared" si="194"/>
        <v>9.2428526062578859E-4</v>
      </c>
      <c r="AF233" s="3">
        <f t="shared" si="194"/>
        <v>2.4175584184608187E-10</v>
      </c>
      <c r="AG233" s="3"/>
      <c r="AH233" s="3"/>
    </row>
    <row r="234" spans="2:34" x14ac:dyDescent="0.25">
      <c r="B234" s="3">
        <f t="shared" ref="B234:AF234" si="195">$C42*EXP(-B$207/$A42/EXP(-$D$126))</f>
        <v>1.5203897421204233E-3</v>
      </c>
      <c r="C234" s="3">
        <f t="shared" si="195"/>
        <v>1.5203897421204233E-3</v>
      </c>
      <c r="D234" s="3">
        <f t="shared" si="195"/>
        <v>1.5203897421204233E-3</v>
      </c>
      <c r="E234" s="3">
        <f t="shared" si="195"/>
        <v>1.5203897421204233E-3</v>
      </c>
      <c r="F234" s="3">
        <f t="shared" si="195"/>
        <v>1.5203897421204233E-3</v>
      </c>
      <c r="G234" s="3">
        <f t="shared" si="195"/>
        <v>1.5203897421204233E-3</v>
      </c>
      <c r="H234" s="3">
        <f t="shared" si="195"/>
        <v>1.5203897421204233E-3</v>
      </c>
      <c r="I234" s="3">
        <f t="shared" si="195"/>
        <v>1.5203897421204233E-3</v>
      </c>
      <c r="J234" s="3">
        <f t="shared" si="195"/>
        <v>1.5203897421204233E-3</v>
      </c>
      <c r="K234" s="3">
        <f t="shared" si="195"/>
        <v>1.5203897421204233E-3</v>
      </c>
      <c r="L234" s="3">
        <f t="shared" si="195"/>
        <v>1.5203897421204233E-3</v>
      </c>
      <c r="M234" s="3">
        <f t="shared" si="195"/>
        <v>1.5203897421204233E-3</v>
      </c>
      <c r="N234" s="3">
        <f t="shared" si="195"/>
        <v>1.5203897421204233E-3</v>
      </c>
      <c r="O234" s="3">
        <f t="shared" si="195"/>
        <v>1.5203897421204233E-3</v>
      </c>
      <c r="P234" s="3">
        <f t="shared" si="195"/>
        <v>1.5203897421204229E-3</v>
      </c>
      <c r="Q234" s="3">
        <f t="shared" si="195"/>
        <v>1.5203897421204207E-3</v>
      </c>
      <c r="R234" s="3">
        <f t="shared" si="195"/>
        <v>1.5203897421203977E-3</v>
      </c>
      <c r="S234" s="3">
        <f t="shared" si="195"/>
        <v>1.5203897421201672E-3</v>
      </c>
      <c r="T234" s="3">
        <f t="shared" si="195"/>
        <v>1.5203897421178629E-3</v>
      </c>
      <c r="U234" s="3">
        <f t="shared" si="195"/>
        <v>1.520389742094819E-3</v>
      </c>
      <c r="V234" s="3">
        <f t="shared" si="195"/>
        <v>1.5203897418643794E-3</v>
      </c>
      <c r="W234" s="3">
        <f t="shared" si="195"/>
        <v>1.5203897395599851E-3</v>
      </c>
      <c r="X234" s="3">
        <f t="shared" si="195"/>
        <v>1.5203897165160416E-3</v>
      </c>
      <c r="Y234" s="3">
        <f t="shared" si="195"/>
        <v>1.5203894860766256E-3</v>
      </c>
      <c r="Z234" s="3">
        <f t="shared" si="195"/>
        <v>1.5203871816843863E-3</v>
      </c>
      <c r="AA234" s="3">
        <f t="shared" si="195"/>
        <v>1.5203641379540897E-3</v>
      </c>
      <c r="AB234" s="3">
        <f t="shared" si="195"/>
        <v>1.5201337198596627E-3</v>
      </c>
      <c r="AC234" s="3">
        <f t="shared" si="195"/>
        <v>1.5178314586924199E-3</v>
      </c>
      <c r="AD234" s="3">
        <f t="shared" si="195"/>
        <v>1.4949997524737386E-3</v>
      </c>
      <c r="AE234" s="3">
        <f t="shared" si="195"/>
        <v>1.2847446866907906E-3</v>
      </c>
      <c r="AF234" s="3">
        <f t="shared" si="195"/>
        <v>2.8221099193167192E-4</v>
      </c>
      <c r="AG234" s="3"/>
      <c r="AH234" s="3"/>
    </row>
    <row r="235" spans="2:34" x14ac:dyDescent="0.25">
      <c r="B235" s="3">
        <f t="shared" ref="B235:AF235" si="196">$C43*EXP(-B$207/$A43/EXP(-$D$126))</f>
        <v>3.2547360985645695E-4</v>
      </c>
      <c r="C235" s="3">
        <f t="shared" si="196"/>
        <v>3.2547360985645695E-4</v>
      </c>
      <c r="D235" s="3">
        <f t="shared" si="196"/>
        <v>3.2547360985645695E-4</v>
      </c>
      <c r="E235" s="3">
        <f t="shared" si="196"/>
        <v>3.2547360985645695E-4</v>
      </c>
      <c r="F235" s="3">
        <f t="shared" si="196"/>
        <v>3.2547360985645695E-4</v>
      </c>
      <c r="G235" s="3">
        <f t="shared" si="196"/>
        <v>3.2547360985645695E-4</v>
      </c>
      <c r="H235" s="3">
        <f t="shared" si="196"/>
        <v>3.2547360985645695E-4</v>
      </c>
      <c r="I235" s="3">
        <f t="shared" si="196"/>
        <v>3.2547360985645695E-4</v>
      </c>
      <c r="J235" s="3">
        <f t="shared" si="196"/>
        <v>3.2547360985645695E-4</v>
      </c>
      <c r="K235" s="3">
        <f t="shared" si="196"/>
        <v>3.2547360985645695E-4</v>
      </c>
      <c r="L235" s="3">
        <f t="shared" si="196"/>
        <v>3.2547360985645695E-4</v>
      </c>
      <c r="M235" s="3">
        <f t="shared" si="196"/>
        <v>3.2547360985645695E-4</v>
      </c>
      <c r="N235" s="3">
        <f t="shared" si="196"/>
        <v>3.2547360985645695E-4</v>
      </c>
      <c r="O235" s="3">
        <f t="shared" si="196"/>
        <v>3.2547360985645695E-4</v>
      </c>
      <c r="P235" s="3">
        <f t="shared" si="196"/>
        <v>3.2547360985645695E-4</v>
      </c>
      <c r="Q235" s="3">
        <f t="shared" si="196"/>
        <v>3.254736098564569E-4</v>
      </c>
      <c r="R235" s="3">
        <f t="shared" si="196"/>
        <v>3.2547360985645641E-4</v>
      </c>
      <c r="S235" s="3">
        <f t="shared" si="196"/>
        <v>3.2547360985645148E-4</v>
      </c>
      <c r="T235" s="3">
        <f t="shared" si="196"/>
        <v>3.2547360985640215E-4</v>
      </c>
      <c r="U235" s="3">
        <f t="shared" si="196"/>
        <v>3.2547360985590883E-4</v>
      </c>
      <c r="V235" s="3">
        <f t="shared" si="196"/>
        <v>3.2547360985097577E-4</v>
      </c>
      <c r="W235" s="3">
        <f t="shared" si="196"/>
        <v>3.25473609801645E-4</v>
      </c>
      <c r="X235" s="3">
        <f t="shared" si="196"/>
        <v>3.2547360930833757E-4</v>
      </c>
      <c r="Y235" s="3">
        <f t="shared" si="196"/>
        <v>3.2547360437526333E-4</v>
      </c>
      <c r="Z235" s="3">
        <f t="shared" si="196"/>
        <v>3.2547355504452494E-4</v>
      </c>
      <c r="AA235" s="3">
        <f t="shared" si="196"/>
        <v>3.2547306173755252E-4</v>
      </c>
      <c r="AB235" s="3">
        <f t="shared" si="196"/>
        <v>3.2546812870895043E-4</v>
      </c>
      <c r="AC235" s="3">
        <f t="shared" si="196"/>
        <v>3.2541880253494926E-4</v>
      </c>
      <c r="AD235" s="3">
        <f t="shared" si="196"/>
        <v>3.249259517663761E-4</v>
      </c>
      <c r="AE235" s="3">
        <f t="shared" si="196"/>
        <v>3.2003831168547656E-4</v>
      </c>
      <c r="AF235" s="3">
        <f t="shared" si="196"/>
        <v>2.750284873258732E-4</v>
      </c>
      <c r="AG235" s="3"/>
      <c r="AH235" s="3"/>
    </row>
    <row r="236" spans="2:34" x14ac:dyDescent="0.25">
      <c r="B236" s="3">
        <f t="shared" ref="B236:AF236" si="197">$C44*EXP(-B$207/$A44/EXP(-$D$126))</f>
        <v>3.3657757333866336E-3</v>
      </c>
      <c r="C236" s="3">
        <f t="shared" si="197"/>
        <v>3.3657757333866336E-3</v>
      </c>
      <c r="D236" s="3">
        <f t="shared" si="197"/>
        <v>3.3657757333866336E-3</v>
      </c>
      <c r="E236" s="3">
        <f t="shared" si="197"/>
        <v>3.3657757333866336E-3</v>
      </c>
      <c r="F236" s="3">
        <f t="shared" si="197"/>
        <v>3.3657757333866336E-3</v>
      </c>
      <c r="G236" s="3">
        <f t="shared" si="197"/>
        <v>3.3657757333866336E-3</v>
      </c>
      <c r="H236" s="3">
        <f t="shared" si="197"/>
        <v>3.3657757333866336E-3</v>
      </c>
      <c r="I236" s="3">
        <f t="shared" si="197"/>
        <v>3.3657757333866336E-3</v>
      </c>
      <c r="J236" s="3">
        <f t="shared" si="197"/>
        <v>3.3657757333866336E-3</v>
      </c>
      <c r="K236" s="3">
        <f t="shared" si="197"/>
        <v>3.3657757333866336E-3</v>
      </c>
      <c r="L236" s="3">
        <f t="shared" si="197"/>
        <v>3.3657757333866336E-3</v>
      </c>
      <c r="M236" s="3">
        <f t="shared" si="197"/>
        <v>3.3657757333866336E-3</v>
      </c>
      <c r="N236" s="3">
        <f t="shared" si="197"/>
        <v>3.3657757333866336E-3</v>
      </c>
      <c r="O236" s="3">
        <f t="shared" si="197"/>
        <v>3.3657757333866336E-3</v>
      </c>
      <c r="P236" s="3">
        <f t="shared" si="197"/>
        <v>3.3657757333866336E-3</v>
      </c>
      <c r="Q236" s="3">
        <f t="shared" si="197"/>
        <v>3.3657757333866336E-3</v>
      </c>
      <c r="R236" s="3">
        <f t="shared" si="197"/>
        <v>3.3657757333866328E-3</v>
      </c>
      <c r="S236" s="3">
        <f t="shared" si="197"/>
        <v>3.365775733386628E-3</v>
      </c>
      <c r="T236" s="3">
        <f t="shared" si="197"/>
        <v>3.3657757333865768E-3</v>
      </c>
      <c r="U236" s="3">
        <f t="shared" si="197"/>
        <v>3.3657757333860668E-3</v>
      </c>
      <c r="V236" s="3">
        <f t="shared" si="197"/>
        <v>3.3657757333809654E-3</v>
      </c>
      <c r="W236" s="3">
        <f t="shared" si="197"/>
        <v>3.365775733329952E-3</v>
      </c>
      <c r="X236" s="3">
        <f t="shared" si="197"/>
        <v>3.3657757328198145E-3</v>
      </c>
      <c r="Y236" s="3">
        <f t="shared" si="197"/>
        <v>3.3657757277184416E-3</v>
      </c>
      <c r="Z236" s="3">
        <f t="shared" si="197"/>
        <v>3.3657756767047158E-3</v>
      </c>
      <c r="AA236" s="3">
        <f t="shared" si="197"/>
        <v>3.3657751665674969E-3</v>
      </c>
      <c r="AB236" s="3">
        <f t="shared" si="197"/>
        <v>3.365770065199562E-3</v>
      </c>
      <c r="AC236" s="3">
        <f t="shared" si="197"/>
        <v>3.3657190519454667E-3</v>
      </c>
      <c r="AD236" s="3">
        <f t="shared" si="197"/>
        <v>3.3652089619275777E-3</v>
      </c>
      <c r="AE236" s="3">
        <f t="shared" si="197"/>
        <v>3.3601123116714293E-3</v>
      </c>
      <c r="AF236" s="3">
        <f t="shared" si="197"/>
        <v>3.3095684276831855E-3</v>
      </c>
      <c r="AG236" s="3"/>
      <c r="AH236" s="3"/>
    </row>
    <row r="237" spans="2:34" x14ac:dyDescent="0.25">
      <c r="B237" s="3">
        <f t="shared" ref="B237:AF237" si="198">$C45*EXP(-B$207/$A45/EXP(-$D$126))</f>
        <v>7.1877880972849508E-4</v>
      </c>
      <c r="C237" s="3">
        <f t="shared" si="198"/>
        <v>7.1877880972849508E-4</v>
      </c>
      <c r="D237" s="3">
        <f t="shared" si="198"/>
        <v>7.1877880972849508E-4</v>
      </c>
      <c r="E237" s="3">
        <f t="shared" si="198"/>
        <v>7.1877880972849508E-4</v>
      </c>
      <c r="F237" s="3">
        <f t="shared" si="198"/>
        <v>7.1877880972849508E-4</v>
      </c>
      <c r="G237" s="3">
        <f t="shared" si="198"/>
        <v>7.1877880972849508E-4</v>
      </c>
      <c r="H237" s="3">
        <f t="shared" si="198"/>
        <v>7.1877880972849508E-4</v>
      </c>
      <c r="I237" s="3">
        <f t="shared" si="198"/>
        <v>7.1877880972849508E-4</v>
      </c>
      <c r="J237" s="3">
        <f t="shared" si="198"/>
        <v>7.1877880972849508E-4</v>
      </c>
      <c r="K237" s="3">
        <f t="shared" si="198"/>
        <v>7.1877880972849508E-4</v>
      </c>
      <c r="L237" s="3">
        <f t="shared" si="198"/>
        <v>7.1877880972849508E-4</v>
      </c>
      <c r="M237" s="3">
        <f t="shared" si="198"/>
        <v>7.1877880972849508E-4</v>
      </c>
      <c r="N237" s="3">
        <f t="shared" si="198"/>
        <v>7.1877880972849508E-4</v>
      </c>
      <c r="O237" s="3">
        <f t="shared" si="198"/>
        <v>7.1877880972849508E-4</v>
      </c>
      <c r="P237" s="3">
        <f t="shared" si="198"/>
        <v>7.1877880972849508E-4</v>
      </c>
      <c r="Q237" s="3">
        <f t="shared" si="198"/>
        <v>7.1877880972849508E-4</v>
      </c>
      <c r="R237" s="3">
        <f t="shared" si="198"/>
        <v>7.1877880972849508E-4</v>
      </c>
      <c r="S237" s="3">
        <f t="shared" si="198"/>
        <v>7.1877880972849497E-4</v>
      </c>
      <c r="T237" s="3">
        <f t="shared" si="198"/>
        <v>7.1877880972849389E-4</v>
      </c>
      <c r="U237" s="3">
        <f t="shared" si="198"/>
        <v>7.1877880972848294E-4</v>
      </c>
      <c r="V237" s="3">
        <f t="shared" si="198"/>
        <v>7.1877880972837397E-4</v>
      </c>
      <c r="W237" s="3">
        <f t="shared" si="198"/>
        <v>7.1877880972728457E-4</v>
      </c>
      <c r="X237" s="3">
        <f t="shared" si="198"/>
        <v>7.187788097163904E-4</v>
      </c>
      <c r="Y237" s="3">
        <f t="shared" si="198"/>
        <v>7.1877880960744792E-4</v>
      </c>
      <c r="Z237" s="3">
        <f t="shared" si="198"/>
        <v>7.1877880851802336E-4</v>
      </c>
      <c r="AA237" s="3">
        <f t="shared" si="198"/>
        <v>7.1877879762377844E-4</v>
      </c>
      <c r="AB237" s="3">
        <f t="shared" si="198"/>
        <v>7.1877868868133786E-4</v>
      </c>
      <c r="AC237" s="3">
        <f t="shared" si="198"/>
        <v>7.1877759925784005E-4</v>
      </c>
      <c r="AD237" s="3">
        <f t="shared" si="198"/>
        <v>7.1876670511367732E-4</v>
      </c>
      <c r="AE237" s="3">
        <f t="shared" si="198"/>
        <v>7.1865777275307002E-4</v>
      </c>
      <c r="AF237" s="3">
        <f t="shared" si="198"/>
        <v>7.1756935673997137E-4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6.8174095740770341E-3</v>
      </c>
      <c r="C240" s="3">
        <f t="shared" si="201"/>
        <v>6.8174095740770341E-3</v>
      </c>
      <c r="D240" s="3">
        <f t="shared" si="201"/>
        <v>6.8174095740770341E-3</v>
      </c>
      <c r="E240" s="3">
        <f t="shared" si="201"/>
        <v>6.8174095740770341E-3</v>
      </c>
      <c r="F240" s="3">
        <f t="shared" si="201"/>
        <v>6.8174095740770341E-3</v>
      </c>
      <c r="G240" s="3">
        <f t="shared" si="201"/>
        <v>6.8174095740770341E-3</v>
      </c>
      <c r="H240" s="3">
        <f t="shared" si="201"/>
        <v>6.8174095740770341E-3</v>
      </c>
      <c r="I240" s="3">
        <f t="shared" si="201"/>
        <v>6.8174095740770341E-3</v>
      </c>
      <c r="J240" s="3">
        <f t="shared" si="201"/>
        <v>6.8174095740770341E-3</v>
      </c>
      <c r="K240" s="3">
        <f t="shared" si="201"/>
        <v>6.8174095740770341E-3</v>
      </c>
      <c r="L240" s="3">
        <f t="shared" si="201"/>
        <v>6.8174095740770341E-3</v>
      </c>
      <c r="M240" s="3">
        <f t="shared" si="201"/>
        <v>6.8174095740770341E-3</v>
      </c>
      <c r="N240" s="3">
        <f t="shared" si="201"/>
        <v>6.8174095740770341E-3</v>
      </c>
      <c r="O240" s="3">
        <f t="shared" si="201"/>
        <v>6.8174095740770341E-3</v>
      </c>
      <c r="P240" s="3">
        <f t="shared" si="201"/>
        <v>6.8174095740770341E-3</v>
      </c>
      <c r="Q240" s="3">
        <f t="shared" si="201"/>
        <v>6.8174095740770341E-3</v>
      </c>
      <c r="R240" s="3">
        <f t="shared" si="201"/>
        <v>6.8174095740770341E-3</v>
      </c>
      <c r="S240" s="3">
        <f t="shared" si="201"/>
        <v>6.8174095740770341E-3</v>
      </c>
      <c r="T240" s="3">
        <f t="shared" si="201"/>
        <v>6.8174095740770341E-3</v>
      </c>
      <c r="U240" s="3">
        <f t="shared" si="201"/>
        <v>6.8174095740770341E-3</v>
      </c>
      <c r="V240" s="3">
        <f t="shared" si="201"/>
        <v>6.8174095740770324E-3</v>
      </c>
      <c r="W240" s="3">
        <f t="shared" si="201"/>
        <v>6.8174095740770229E-3</v>
      </c>
      <c r="X240" s="3">
        <f t="shared" si="201"/>
        <v>6.8174095740769188E-3</v>
      </c>
      <c r="Y240" s="3">
        <f t="shared" si="201"/>
        <v>6.8174095740758858E-3</v>
      </c>
      <c r="Z240" s="3">
        <f t="shared" si="201"/>
        <v>6.8174095740655529E-3</v>
      </c>
      <c r="AA240" s="3">
        <f t="shared" si="201"/>
        <v>6.8174095739622249E-3</v>
      </c>
      <c r="AB240" s="3">
        <f t="shared" si="201"/>
        <v>6.8174095729289369E-3</v>
      </c>
      <c r="AC240" s="3">
        <f t="shared" si="201"/>
        <v>6.81740956259606E-3</v>
      </c>
      <c r="AD240" s="3">
        <f t="shared" si="201"/>
        <v>6.81740945926729E-3</v>
      </c>
      <c r="AE240" s="3">
        <f t="shared" si="201"/>
        <v>6.8174084259796808E-3</v>
      </c>
      <c r="AF240" s="3">
        <f t="shared" si="201"/>
        <v>6.8173980931122077E-3</v>
      </c>
      <c r="AG240" s="3"/>
      <c r="AH240" s="3"/>
    </row>
    <row r="241" spans="1:34" x14ac:dyDescent="0.25">
      <c r="A241" s="79">
        <f>AVERAGE(B241:AF241)</f>
        <v>3.8652108397295632E-3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7.2134786485364127E-3</v>
      </c>
      <c r="M241" s="80">
        <f t="shared" si="202"/>
        <v>7.8916247868634805E-3</v>
      </c>
      <c r="N241" s="80">
        <f t="shared" si="202"/>
        <v>8.4694455304753901E-3</v>
      </c>
      <c r="O241" s="80">
        <f t="shared" si="202"/>
        <v>7.359511426927731E-3</v>
      </c>
      <c r="P241" s="80">
        <f t="shared" si="202"/>
        <v>8.4709650705123915E-3</v>
      </c>
      <c r="Q241" s="80">
        <f t="shared" si="202"/>
        <v>8.09157901187549E-3</v>
      </c>
      <c r="R241" s="80">
        <f t="shared" si="202"/>
        <v>8.1190939617475748E-3</v>
      </c>
      <c r="S241" s="80">
        <f t="shared" si="202"/>
        <v>5.1699391074192186E-3</v>
      </c>
      <c r="T241" s="80">
        <f t="shared" si="202"/>
        <v>5.8664454757740656E-3</v>
      </c>
      <c r="U241" s="80">
        <f t="shared" si="202"/>
        <v>2.2349955320983706E-2</v>
      </c>
      <c r="V241" s="80">
        <f t="shared" si="202"/>
        <v>3.0819497690501001E-2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809654.66871766909</v>
      </c>
      <c r="C242" s="21">
        <f t="shared" ref="C242:AF242" si="203">(C209-C208)^2</f>
        <v>912522.60423358902</v>
      </c>
      <c r="D242" s="21">
        <f t="shared" si="203"/>
        <v>552320.12249312259</v>
      </c>
      <c r="E242" s="21">
        <f t="shared" si="203"/>
        <v>272729.95695233077</v>
      </c>
      <c r="F242" s="21">
        <f t="shared" si="203"/>
        <v>77435.729585075445</v>
      </c>
      <c r="G242" s="21">
        <f t="shared" si="203"/>
        <v>1436.2687148787563</v>
      </c>
      <c r="H242" s="21">
        <f t="shared" si="203"/>
        <v>3943.032755943138</v>
      </c>
      <c r="I242" s="21">
        <f t="shared" si="203"/>
        <v>8349.2849341161309</v>
      </c>
      <c r="J242" s="21">
        <f t="shared" si="203"/>
        <v>1641.6554637416189</v>
      </c>
      <c r="K242" s="21">
        <f t="shared" si="203"/>
        <v>2661.0283058564787</v>
      </c>
      <c r="L242" s="21">
        <f t="shared" si="203"/>
        <v>2548.5003638193616</v>
      </c>
      <c r="M242" s="21">
        <f t="shared" si="203"/>
        <v>2730.5912703088497</v>
      </c>
      <c r="N242" s="21">
        <f t="shared" si="203"/>
        <v>2853.4977929611123</v>
      </c>
      <c r="O242" s="21">
        <f t="shared" si="203"/>
        <v>1964.7387020287335</v>
      </c>
      <c r="P242" s="21">
        <f t="shared" si="203"/>
        <v>2367.2543781061704</v>
      </c>
      <c r="Q242" s="21">
        <f t="shared" si="203"/>
        <v>1951.3412040858</v>
      </c>
      <c r="R242" s="21">
        <f t="shared" si="203"/>
        <v>1772.969431958019</v>
      </c>
      <c r="S242" s="21">
        <f t="shared" si="203"/>
        <v>632.74358777852945</v>
      </c>
      <c r="T242" s="21">
        <f t="shared" si="203"/>
        <v>688.05083751134089</v>
      </c>
      <c r="U242" s="21">
        <f t="shared" si="203"/>
        <v>8117.7142027628361</v>
      </c>
      <c r="V242" s="21">
        <f t="shared" si="203"/>
        <v>12074.094978301819</v>
      </c>
      <c r="W242" s="21">
        <f t="shared" si="203"/>
        <v>6351.4500287532683</v>
      </c>
      <c r="X242" s="21">
        <f t="shared" si="203"/>
        <v>1724.7068987761102</v>
      </c>
      <c r="Y242" s="21">
        <f t="shared" si="203"/>
        <v>168.72597954486326</v>
      </c>
      <c r="Z242" s="21">
        <f t="shared" si="203"/>
        <v>11.592531415376524</v>
      </c>
      <c r="AA242" s="21">
        <f t="shared" si="203"/>
        <v>0.79862529421141448</v>
      </c>
      <c r="AB242" s="21">
        <f t="shared" si="203"/>
        <v>60.560185150447211</v>
      </c>
      <c r="AC242" s="21">
        <f t="shared" si="203"/>
        <v>176.34965418700813</v>
      </c>
      <c r="AD242" s="21">
        <f t="shared" si="203"/>
        <v>2.7086099625070017</v>
      </c>
      <c r="AE242" s="21">
        <f t="shared" si="203"/>
        <v>7.3550414513215321</v>
      </c>
      <c r="AF242" s="21">
        <f t="shared" si="203"/>
        <v>8.7382160214498992E-3</v>
      </c>
      <c r="AG242" s="3"/>
      <c r="AH242" s="3"/>
    </row>
    <row r="243" spans="1:34" x14ac:dyDescent="0.25">
      <c r="A243" s="71">
        <f>SUM(B243:AF243)</f>
        <v>37701.496749622573</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2548.5003638193616</v>
      </c>
      <c r="M243" s="60">
        <f t="shared" ref="M243" si="214">IF($A$64&lt;=M207,IF($B$64&gt;=M207,ABS(M242),0),0)</f>
        <v>2730.5912703088497</v>
      </c>
      <c r="N243" s="60">
        <f t="shared" ref="N243" si="215">IF($A$64&lt;=N207,IF($B$64&gt;=N207,ABS(N242),0),0)</f>
        <v>2853.4977929611123</v>
      </c>
      <c r="O243" s="60">
        <f t="shared" ref="O243" si="216">IF($A$64&lt;=O207,IF($B$64&gt;=O207,ABS(O242),0),0)</f>
        <v>1964.7387020287335</v>
      </c>
      <c r="P243" s="60">
        <f t="shared" ref="P243" si="217">IF($A$64&lt;=P207,IF($B$64&gt;=P207,ABS(P242),0),0)</f>
        <v>2367.2543781061704</v>
      </c>
      <c r="Q243" s="60">
        <f t="shared" ref="Q243" si="218">IF($A$64&lt;=Q207,IF($B$64&gt;=Q207,ABS(Q242),0),0)</f>
        <v>1951.3412040858</v>
      </c>
      <c r="R243" s="60">
        <f t="shared" ref="R243" si="219">IF($A$64&lt;=R207,IF($B$64&gt;=R207,ABS(R242),0),0)</f>
        <v>1772.969431958019</v>
      </c>
      <c r="S243" s="60">
        <f t="shared" ref="S243" si="220">IF($A$64&lt;=S207,IF($B$64&gt;=S207,ABS(S242),0),0)</f>
        <v>632.74358777852945</v>
      </c>
      <c r="T243" s="60">
        <f t="shared" ref="T243" si="221">IF($A$64&lt;=T207,IF($B$64&gt;=T207,ABS(T242),0),0)</f>
        <v>688.05083751134089</v>
      </c>
      <c r="U243" s="60">
        <f t="shared" ref="U243" si="222">IF($A$64&lt;=U207,IF($B$64&gt;=U207,ABS(U242),0),0)</f>
        <v>8117.7142027628361</v>
      </c>
      <c r="V243" s="60">
        <f t="shared" ref="V243" si="223">IF($A$64&lt;=V207,IF($B$64&gt;=V207,ABS(V242),0),0)</f>
        <v>12074.094978301819</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9521.3086452220268</v>
      </c>
      <c r="C247" s="26">
        <f>INDEX(Comparison!$AM$3:$AS$33,G$14,$E$122)</f>
        <v>9264.9569626866305</v>
      </c>
      <c r="D247" s="26">
        <f>INDEX(Comparison!$AM$3:$AS$33,H$14,$E$122)</f>
        <v>9040.3201170121174</v>
      </c>
      <c r="E247" s="26">
        <f>INDEX(Comparison!$AM$3:$AS$33,I$14,$E$122)</f>
        <v>8795.6860246078559</v>
      </c>
      <c r="F247" s="26">
        <f>INDEX(Comparison!$AM$3:$AS$33,J$14,$E$122)</f>
        <v>8532.6912536798991</v>
      </c>
      <c r="G247" s="26">
        <f>INDEX(Comparison!$AM$3:$AS$33,K$14,$E$122)</f>
        <v>8244.2374276121209</v>
      </c>
      <c r="H247" s="26">
        <f>INDEX(Comparison!$AM$3:$AS$33,L$14,$E$122)</f>
        <v>7958.2786468847135</v>
      </c>
      <c r="I247" s="26">
        <f>INDEX(Comparison!$AM$3:$AS$33,M$14,$E$122)</f>
        <v>7687.376383967704</v>
      </c>
      <c r="J247" s="26">
        <f>INDEX(Comparison!$AM$3:$AS$33,N$14,$E$122)</f>
        <v>7374.3712231841728</v>
      </c>
      <c r="K247" s="26">
        <f>INDEX(Comparison!$AM$3:$AS$33,O$14,$E$122)</f>
        <v>7006.1552436770207</v>
      </c>
      <c r="L247" s="26">
        <f>INDEX(Comparison!$AM$3:$AS$33,P$14,$E$122)</f>
        <v>6628.8785990090082</v>
      </c>
      <c r="M247" s="26">
        <f>INDEX(Comparison!$AM$3:$AS$33,Q$14,$E$122)</f>
        <v>6311.3720523241727</v>
      </c>
      <c r="N247" s="26">
        <f>INDEX(Comparison!$AM$3:$AS$33,R$14,$E$122)</f>
        <v>6028.2349504089671</v>
      </c>
      <c r="O247" s="26">
        <f>INDEX(Comparison!$AM$3:$AS$33,S$14,$E$122)</f>
        <v>5748.7087759518809</v>
      </c>
      <c r="P247" s="26">
        <f>INDEX(Comparison!$AM$3:$AS$33,T$14,$E$122)</f>
        <v>5465.7818754747968</v>
      </c>
      <c r="Q247" s="26">
        <f>INDEX(Comparison!$AM$3:$AS$33,U$14,$E$122)</f>
        <v>5192.657072535425</v>
      </c>
      <c r="R247" s="26">
        <f>INDEX(Comparison!$AM$3:$AS$33,V$14,$E$122)</f>
        <v>4882.9062343607484</v>
      </c>
      <c r="S247" s="26">
        <f>INDEX(Comparison!$AM$3:$AS$33,W$14,$E$122)</f>
        <v>4501.5398610325774</v>
      </c>
      <c r="T247" s="26">
        <f>INDEX(Comparison!$AM$3:$AS$33,X$14,$E$122)</f>
        <v>4066.6104281555185</v>
      </c>
      <c r="U247" s="26">
        <f>INDEX(Comparison!$AM$3:$AS$33,Y$14,$E$122)</f>
        <v>3597.5685781370817</v>
      </c>
      <c r="V247" s="26">
        <f>INDEX(Comparison!$AM$3:$AS$33,Z$14,$E$122)</f>
        <v>3102.4717339118838</v>
      </c>
      <c r="W247" s="26">
        <f>INDEX(Comparison!$AM$3:$AS$33,AA$14,$E$122)</f>
        <v>2568.6205512482802</v>
      </c>
      <c r="X247" s="26">
        <f>INDEX(Comparison!$AM$3:$AS$33,AB$14,$E$122)</f>
        <v>2000.7316961631682</v>
      </c>
      <c r="Y247" s="26">
        <f>INDEX(Comparison!$AM$3:$AS$33,AC$14,$E$122)</f>
        <v>1467.5042196825975</v>
      </c>
      <c r="Z247" s="26">
        <f>INDEX(Comparison!$AM$3:$AS$33,AD$14,$E$122)</f>
        <v>1058.8226695409851</v>
      </c>
      <c r="AA247" s="26">
        <f>INDEX(Comparison!$AM$3:$AS$33,AE$14,$E$122)</f>
        <v>791.47453302018846</v>
      </c>
      <c r="AB247" s="26">
        <f>INDEX(Comparison!$AM$3:$AS$33,AF$14,$E$122)</f>
        <v>655.80009654126911</v>
      </c>
      <c r="AC247" s="26">
        <f>INDEX(Comparison!$AM$3:$AS$33,AG$14,$E$122)</f>
        <v>585.43210743850034</v>
      </c>
      <c r="AD247" s="26">
        <f>INDEX(Comparison!$AM$3:$AS$33,AH$14,$E$122)</f>
        <v>550.22961238933465</v>
      </c>
      <c r="AE247" s="26">
        <f>INDEX(Comparison!$AM$3:$AS$33,AI$14,$E$122)</f>
        <v>525.95012363885235</v>
      </c>
      <c r="AF247" s="26">
        <f>INDEX(Comparison!$AM$3:$AS$33,AJ$14,$E$122)</f>
        <v>515.3503886433972</v>
      </c>
      <c r="AG247" s="26"/>
      <c r="AH247" s="26"/>
    </row>
    <row r="248" spans="1:34" x14ac:dyDescent="0.25">
      <c r="A248" s="70" t="s">
        <v>22</v>
      </c>
      <c r="B248" s="27">
        <f>($C$17+SUM(B249:B279))*$B$51</f>
        <v>8520.8923073418246</v>
      </c>
      <c r="C248" s="27">
        <f t="shared" ref="C248:AF248" si="234">($C$17+SUM(C249:C279))*$B$51</f>
        <v>8520.8695787565448</v>
      </c>
      <c r="D248" s="27">
        <f t="shared" si="234"/>
        <v>8520.6442772011378</v>
      </c>
      <c r="E248" s="27">
        <f t="shared" si="234"/>
        <v>8518.3956874935284</v>
      </c>
      <c r="F248" s="27">
        <f t="shared" si="234"/>
        <v>8496.3464196794703</v>
      </c>
      <c r="G248" s="27">
        <f t="shared" si="234"/>
        <v>8314.1246287306931</v>
      </c>
      <c r="H248" s="27">
        <f t="shared" si="234"/>
        <v>7871.1848867180288</v>
      </c>
      <c r="I248" s="27">
        <f t="shared" si="234"/>
        <v>7650.6200812519255</v>
      </c>
      <c r="J248" s="27">
        <f t="shared" si="234"/>
        <v>7324.5540550768774</v>
      </c>
      <c r="K248" s="27">
        <f t="shared" si="234"/>
        <v>6955.8930645821156</v>
      </c>
      <c r="L248" s="27">
        <f t="shared" si="234"/>
        <v>6577.0120288044282</v>
      </c>
      <c r="M248" s="27">
        <f t="shared" si="234"/>
        <v>6260.4338170800484</v>
      </c>
      <c r="N248" s="27">
        <f t="shared" si="234"/>
        <v>5985.0167306660705</v>
      </c>
      <c r="O248" s="27">
        <f t="shared" si="234"/>
        <v>5701.9333586801695</v>
      </c>
      <c r="P248" s="27">
        <f t="shared" si="234"/>
        <v>5422.0110769014855</v>
      </c>
      <c r="Q248" s="27">
        <f t="shared" si="234"/>
        <v>5151.1101611934791</v>
      </c>
      <c r="R248" s="27">
        <f t="shared" si="234"/>
        <v>4848.6889157970991</v>
      </c>
      <c r="S248" s="27">
        <f t="shared" si="234"/>
        <v>4506.931591046995</v>
      </c>
      <c r="T248" s="27">
        <f t="shared" si="234"/>
        <v>4131.7410187324958</v>
      </c>
      <c r="U248" s="27">
        <f t="shared" si="234"/>
        <v>3687.8745030526143</v>
      </c>
      <c r="V248" s="27">
        <f t="shared" si="234"/>
        <v>3166.2158619683755</v>
      </c>
      <c r="W248" s="27">
        <f t="shared" si="234"/>
        <v>2596.9698289669764</v>
      </c>
      <c r="X248" s="27">
        <f t="shared" si="234"/>
        <v>2001.6634772820189</v>
      </c>
      <c r="Y248" s="27">
        <f t="shared" si="234"/>
        <v>1461.8649603587289</v>
      </c>
      <c r="Z248" s="27">
        <f t="shared" si="234"/>
        <v>1051.1007060744294</v>
      </c>
      <c r="AA248" s="27">
        <f t="shared" si="234"/>
        <v>794.86249170567748</v>
      </c>
      <c r="AB248" s="27">
        <f t="shared" si="234"/>
        <v>641.30143993406512</v>
      </c>
      <c r="AC248" s="27">
        <f t="shared" si="234"/>
        <v>586.17983847626635</v>
      </c>
      <c r="AD248" s="27">
        <f t="shared" si="234"/>
        <v>546.98816277921253</v>
      </c>
      <c r="AE248" s="27">
        <f t="shared" si="234"/>
        <v>525.71050590892344</v>
      </c>
      <c r="AF248" s="27">
        <f t="shared" si="234"/>
        <v>515.79605721786584</v>
      </c>
      <c r="AG248" s="27"/>
      <c r="AH248" s="27"/>
    </row>
    <row r="249" spans="1:34" x14ac:dyDescent="0.25">
      <c r="B249" s="3">
        <f t="shared" ref="B249:AF249" si="235">$C18*EXP(-B$246/$A18/EXP(-$E$126))</f>
        <v>1.9043108181423143E-8</v>
      </c>
      <c r="C249" s="3">
        <f t="shared" si="235"/>
        <v>7.4796677488276314E-71</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5.8247957377222964E-2</v>
      </c>
      <c r="C250" s="3">
        <f t="shared" si="236"/>
        <v>5.8245813422309133E-2</v>
      </c>
      <c r="D250" s="3">
        <f t="shared" si="236"/>
        <v>5.8224378212926947E-2</v>
      </c>
      <c r="E250" s="3">
        <f t="shared" si="236"/>
        <v>5.8010459504274282E-2</v>
      </c>
      <c r="F250" s="3">
        <f t="shared" si="236"/>
        <v>5.5914026474247376E-2</v>
      </c>
      <c r="G250" s="3">
        <f t="shared" si="236"/>
        <v>3.8695938993430469E-2</v>
      </c>
      <c r="H250" s="3">
        <f t="shared" si="236"/>
        <v>9.7524023196249201E-4</v>
      </c>
      <c r="I250" s="3">
        <f t="shared" si="236"/>
        <v>1.0082629371294184E-19</v>
      </c>
      <c r="J250" s="3">
        <f t="shared" si="236"/>
        <v>1.4066813972989975E-179</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1.7254953604022984E-2</v>
      </c>
      <c r="C251" s="3">
        <f t="shared" si="237"/>
        <v>1.7254896310885403E-2</v>
      </c>
      <c r="D251" s="3">
        <f t="shared" si="237"/>
        <v>1.7254323389972459E-2</v>
      </c>
      <c r="E251" s="3">
        <f t="shared" si="237"/>
        <v>1.7248595226998953E-2</v>
      </c>
      <c r="F251" s="3">
        <f t="shared" si="237"/>
        <v>1.7191418084447317E-2</v>
      </c>
      <c r="G251" s="3">
        <f t="shared" si="237"/>
        <v>1.6629968142139427E-2</v>
      </c>
      <c r="H251" s="3">
        <f t="shared" si="237"/>
        <v>1.1931322028559226E-2</v>
      </c>
      <c r="I251" s="3">
        <f t="shared" si="237"/>
        <v>4.3118145192708066E-4</v>
      </c>
      <c r="J251" s="3">
        <f t="shared" si="237"/>
        <v>1.6382308538935656E-18</v>
      </c>
      <c r="K251" s="3">
        <f t="shared" si="237"/>
        <v>1.026893501210462E-162</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3.2278436742125383E-2</v>
      </c>
      <c r="C252" s="3">
        <f t="shared" si="238"/>
        <v>3.2278427073860257E-2</v>
      </c>
      <c r="D252" s="3">
        <f t="shared" si="238"/>
        <v>3.2278330391368334E-2</v>
      </c>
      <c r="E252" s="3">
        <f t="shared" si="238"/>
        <v>3.2277363582376435E-2</v>
      </c>
      <c r="F252" s="3">
        <f t="shared" si="238"/>
        <v>3.2267697085010615E-2</v>
      </c>
      <c r="G252" s="3">
        <f t="shared" si="238"/>
        <v>3.2171191190324931E-2</v>
      </c>
      <c r="H252" s="3">
        <f t="shared" si="238"/>
        <v>3.1221865244982765E-2</v>
      </c>
      <c r="I252" s="3">
        <f t="shared" si="238"/>
        <v>2.3140667278999202E-2</v>
      </c>
      <c r="J252" s="3">
        <f t="shared" si="238"/>
        <v>1.1575671896514631E-3</v>
      </c>
      <c r="K252" s="3">
        <f t="shared" si="238"/>
        <v>1.1356630972458819E-16</v>
      </c>
      <c r="L252" s="3">
        <f t="shared" si="238"/>
        <v>9.3817221549319672E-147</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3.7144505457123389E-2</v>
      </c>
      <c r="C253" s="3">
        <f t="shared" si="239"/>
        <v>3.7144504453484953E-2</v>
      </c>
      <c r="D253" s="3">
        <f t="shared" si="239"/>
        <v>3.7144494417102006E-2</v>
      </c>
      <c r="E253" s="3">
        <f t="shared" si="239"/>
        <v>3.7144394053421764E-2</v>
      </c>
      <c r="F253" s="3">
        <f t="shared" si="239"/>
        <v>3.7143390431534085E-2</v>
      </c>
      <c r="G253" s="3">
        <f t="shared" si="239"/>
        <v>3.7133355703989769E-2</v>
      </c>
      <c r="H253" s="3">
        <f t="shared" si="239"/>
        <v>3.7033157412802047E-2</v>
      </c>
      <c r="I253" s="3">
        <f t="shared" si="239"/>
        <v>3.6045925052212997E-2</v>
      </c>
      <c r="J253" s="3">
        <f t="shared" si="239"/>
        <v>2.7511262282952375E-2</v>
      </c>
      <c r="K253" s="3">
        <f t="shared" si="239"/>
        <v>1.8452445736337364E-3</v>
      </c>
      <c r="L253" s="3">
        <f t="shared" si="239"/>
        <v>3.4000721443556573E-15</v>
      </c>
      <c r="M253" s="3">
        <f t="shared" si="239"/>
        <v>1.5340166934267208E-132</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4.0797811714280749E-2</v>
      </c>
      <c r="C254" s="3">
        <f t="shared" si="240"/>
        <v>4.0797811614839592E-2</v>
      </c>
      <c r="D254" s="3">
        <f t="shared" si="240"/>
        <v>4.0797810620428025E-2</v>
      </c>
      <c r="E254" s="3">
        <f t="shared" si="240"/>
        <v>4.0797800676313688E-2</v>
      </c>
      <c r="F254" s="3">
        <f t="shared" si="240"/>
        <v>4.0797701235303643E-2</v>
      </c>
      <c r="G254" s="3">
        <f t="shared" si="240"/>
        <v>4.0796706838533883E-2</v>
      </c>
      <c r="H254" s="3">
        <f t="shared" si="240"/>
        <v>4.0786764203788781E-2</v>
      </c>
      <c r="I254" s="3">
        <f t="shared" si="240"/>
        <v>4.0687471031447493E-2</v>
      </c>
      <c r="J254" s="3">
        <f t="shared" si="240"/>
        <v>3.970773749496545E-2</v>
      </c>
      <c r="K254" s="3">
        <f t="shared" si="240"/>
        <v>3.1118567479627979E-2</v>
      </c>
      <c r="L254" s="3">
        <f t="shared" si="240"/>
        <v>2.7193439298490029E-3</v>
      </c>
      <c r="M254" s="3">
        <f t="shared" si="240"/>
        <v>7.0617048347379981E-14</v>
      </c>
      <c r="N254" s="3">
        <f t="shared" si="240"/>
        <v>9.8483570319311218E-120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3.298225591412763E-2</v>
      </c>
      <c r="C255" s="3">
        <f t="shared" si="241"/>
        <v>3.2982255906875653E-2</v>
      </c>
      <c r="D255" s="3">
        <f t="shared" si="241"/>
        <v>3.2982255834355913E-2</v>
      </c>
      <c r="E255" s="3">
        <f t="shared" si="241"/>
        <v>3.2982255109158497E-2</v>
      </c>
      <c r="F255" s="3">
        <f t="shared" si="241"/>
        <v>3.2982247857185239E-2</v>
      </c>
      <c r="G255" s="3">
        <f t="shared" si="241"/>
        <v>3.2982175337540338E-2</v>
      </c>
      <c r="H255" s="3">
        <f t="shared" si="241"/>
        <v>3.2981450149861168E-2</v>
      </c>
      <c r="I255" s="3">
        <f t="shared" si="241"/>
        <v>3.2974199149980565E-2</v>
      </c>
      <c r="J255" s="3">
        <f t="shared" si="241"/>
        <v>3.2901776770989183E-2</v>
      </c>
      <c r="K255" s="3">
        <f t="shared" si="241"/>
        <v>3.2186244097817666E-2</v>
      </c>
      <c r="L255" s="3">
        <f t="shared" si="241"/>
        <v>2.5833294324328071E-2</v>
      </c>
      <c r="M255" s="3">
        <f t="shared" si="241"/>
        <v>2.8659902311798423E-3</v>
      </c>
      <c r="N255" s="3">
        <f t="shared" si="241"/>
        <v>8.0951302969161372E-13</v>
      </c>
      <c r="O255" s="3">
        <f t="shared" si="241"/>
        <v>2.6164667500640113E-108</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2.7372238189287374E-2</v>
      </c>
      <c r="C256" s="3">
        <f t="shared" si="242"/>
        <v>2.7372238188744458E-2</v>
      </c>
      <c r="D256" s="3">
        <f t="shared" si="242"/>
        <v>2.7372238183315297E-2</v>
      </c>
      <c r="E256" s="3">
        <f t="shared" si="242"/>
        <v>2.7372238129023677E-2</v>
      </c>
      <c r="F256" s="3">
        <f t="shared" si="242"/>
        <v>2.737223758610749E-2</v>
      </c>
      <c r="G256" s="3">
        <f t="shared" si="242"/>
        <v>2.7372232156946195E-2</v>
      </c>
      <c r="H256" s="3">
        <f t="shared" si="242"/>
        <v>2.7372177865392502E-2</v>
      </c>
      <c r="I256" s="3">
        <f t="shared" si="242"/>
        <v>2.7371634955778178E-2</v>
      </c>
      <c r="J256" s="3">
        <f t="shared" si="242"/>
        <v>2.7366206451854232E-2</v>
      </c>
      <c r="K256" s="3">
        <f t="shared" si="242"/>
        <v>2.7311980591106583E-2</v>
      </c>
      <c r="L256" s="3">
        <f t="shared" si="242"/>
        <v>2.6775596632433851E-2</v>
      </c>
      <c r="M256" s="3">
        <f t="shared" si="242"/>
        <v>2.1958303024030301E-2</v>
      </c>
      <c r="N256" s="3">
        <f t="shared" si="242"/>
        <v>3.0213076185364143E-3</v>
      </c>
      <c r="O256" s="3">
        <f t="shared" si="242"/>
        <v>7.3477887786678043E-12</v>
      </c>
      <c r="P256" s="3">
        <f t="shared" si="242"/>
        <v>5.3183123485261743E-98</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2.9420754796471851E-2</v>
      </c>
      <c r="C257" s="3">
        <f t="shared" si="243"/>
        <v>2.9420754796419209E-2</v>
      </c>
      <c r="D257" s="3">
        <f t="shared" si="243"/>
        <v>2.9420754795892803E-2</v>
      </c>
      <c r="E257" s="3">
        <f t="shared" si="243"/>
        <v>2.9420754790628719E-2</v>
      </c>
      <c r="F257" s="3">
        <f t="shared" si="243"/>
        <v>2.9420754737987869E-2</v>
      </c>
      <c r="G257" s="3">
        <f t="shared" si="243"/>
        <v>2.9420754211579379E-2</v>
      </c>
      <c r="H257" s="3">
        <f t="shared" si="243"/>
        <v>2.9420748947495023E-2</v>
      </c>
      <c r="I257" s="3">
        <f t="shared" si="243"/>
        <v>2.9420696306703274E-2</v>
      </c>
      <c r="J257" s="3">
        <f t="shared" si="243"/>
        <v>2.9420169903966002E-2</v>
      </c>
      <c r="K257" s="3">
        <f t="shared" si="243"/>
        <v>2.9414906394584901E-2</v>
      </c>
      <c r="L257" s="3">
        <f t="shared" si="243"/>
        <v>2.936232306565726E-2</v>
      </c>
      <c r="M257" s="3">
        <f t="shared" si="243"/>
        <v>2.8841632158751532E-2</v>
      </c>
      <c r="N257" s="3">
        <f t="shared" si="243"/>
        <v>2.4116486825601077E-2</v>
      </c>
      <c r="O257" s="3">
        <f t="shared" si="243"/>
        <v>4.029546086010926E-3</v>
      </c>
      <c r="P257" s="3">
        <f t="shared" si="243"/>
        <v>6.8340315205292955E-11</v>
      </c>
      <c r="Q257" s="3">
        <f t="shared" si="243"/>
        <v>1.3455055125881755E-88</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2.9009360037805573E-2</v>
      </c>
      <c r="C258" s="3">
        <f t="shared" si="244"/>
        <v>2.9009360037800892E-2</v>
      </c>
      <c r="D258" s="3">
        <f t="shared" si="244"/>
        <v>2.9009360037754069E-2</v>
      </c>
      <c r="E258" s="3">
        <f t="shared" si="244"/>
        <v>2.9009360037285842E-2</v>
      </c>
      <c r="F258" s="3">
        <f t="shared" si="244"/>
        <v>2.9009360032603602E-2</v>
      </c>
      <c r="G258" s="3">
        <f t="shared" si="244"/>
        <v>2.9009359985781188E-2</v>
      </c>
      <c r="H258" s="3">
        <f t="shared" si="244"/>
        <v>2.9009359517557034E-2</v>
      </c>
      <c r="I258" s="3">
        <f t="shared" si="244"/>
        <v>2.9009354835315929E-2</v>
      </c>
      <c r="J258" s="3">
        <f t="shared" si="244"/>
        <v>2.9009308012946433E-2</v>
      </c>
      <c r="K258" s="3">
        <f t="shared" si="244"/>
        <v>2.9008839793408011E-2</v>
      </c>
      <c r="L258" s="3">
        <f t="shared" si="244"/>
        <v>2.9004158013650361E-2</v>
      </c>
      <c r="M258" s="3">
        <f t="shared" si="244"/>
        <v>2.8957381753925635E-2</v>
      </c>
      <c r="N258" s="3">
        <f t="shared" si="244"/>
        <v>2.8493748242318095E-2</v>
      </c>
      <c r="O258" s="3">
        <f t="shared" si="244"/>
        <v>2.424669192017084E-2</v>
      </c>
      <c r="P258" s="3">
        <f t="shared" si="244"/>
        <v>4.8270479176543155E-3</v>
      </c>
      <c r="Q258" s="3">
        <f t="shared" si="244"/>
        <v>4.7203344105767893E-10</v>
      </c>
      <c r="R258" s="3">
        <f t="shared" si="244"/>
        <v>3.77471649155196E-80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2.677500016187806E-2</v>
      </c>
      <c r="C259" s="3">
        <f t="shared" si="245"/>
        <v>2.6775000161877671E-2</v>
      </c>
      <c r="D259" s="3">
        <f t="shared" si="245"/>
        <v>2.6775000161873775E-2</v>
      </c>
      <c r="E259" s="3">
        <f t="shared" si="245"/>
        <v>2.6775000161834789E-2</v>
      </c>
      <c r="F259" s="3">
        <f t="shared" si="245"/>
        <v>2.6775000161444944E-2</v>
      </c>
      <c r="G259" s="3">
        <f t="shared" si="245"/>
        <v>2.6775000157546493E-2</v>
      </c>
      <c r="H259" s="3">
        <f t="shared" si="245"/>
        <v>2.6775000118562018E-2</v>
      </c>
      <c r="I259" s="3">
        <f t="shared" si="245"/>
        <v>2.6774999728717226E-2</v>
      </c>
      <c r="J259" s="3">
        <f t="shared" si="245"/>
        <v>2.6774995830269609E-2</v>
      </c>
      <c r="K259" s="3">
        <f t="shared" si="245"/>
        <v>2.6774956845824708E-2</v>
      </c>
      <c r="L259" s="3">
        <f t="shared" si="245"/>
        <v>2.6774567004497551E-2</v>
      </c>
      <c r="M259" s="3">
        <f t="shared" si="245"/>
        <v>2.677066890339564E-2</v>
      </c>
      <c r="N259" s="3">
        <f t="shared" si="245"/>
        <v>2.6731719092532018E-2</v>
      </c>
      <c r="O259" s="3">
        <f t="shared" si="245"/>
        <v>2.6345324256524905E-2</v>
      </c>
      <c r="P259" s="3">
        <f t="shared" si="245"/>
        <v>2.2775616576599121E-2</v>
      </c>
      <c r="Q259" s="3">
        <f t="shared" si="245"/>
        <v>5.3105082779067742E-3</v>
      </c>
      <c r="R259" s="3">
        <f t="shared" si="245"/>
        <v>2.5222931606919329E-9</v>
      </c>
      <c r="S259" s="3">
        <f t="shared" si="245"/>
        <v>1.473636207402879E-72</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3.1584912015022795E-2</v>
      </c>
      <c r="C260" s="3">
        <f t="shared" si="246"/>
        <v>3.1584912015022754E-2</v>
      </c>
      <c r="D260" s="3">
        <f t="shared" si="246"/>
        <v>3.1584912015022344E-2</v>
      </c>
      <c r="E260" s="3">
        <f t="shared" si="246"/>
        <v>3.1584912015018195E-2</v>
      </c>
      <c r="F260" s="3">
        <f t="shared" si="246"/>
        <v>3.1584912014976707E-2</v>
      </c>
      <c r="G260" s="3">
        <f t="shared" si="246"/>
        <v>3.1584912014561858E-2</v>
      </c>
      <c r="H260" s="3">
        <f t="shared" si="246"/>
        <v>3.1584912010413385E-2</v>
      </c>
      <c r="I260" s="3">
        <f t="shared" si="246"/>
        <v>3.1584911968928632E-2</v>
      </c>
      <c r="J260" s="3">
        <f t="shared" si="246"/>
        <v>3.1584911554081094E-2</v>
      </c>
      <c r="K260" s="3">
        <f t="shared" si="246"/>
        <v>3.1584907405606003E-2</v>
      </c>
      <c r="L260" s="3">
        <f t="shared" si="246"/>
        <v>3.1584865920885087E-2</v>
      </c>
      <c r="M260" s="3">
        <f t="shared" si="246"/>
        <v>3.1584451076672723E-2</v>
      </c>
      <c r="N260" s="3">
        <f t="shared" si="246"/>
        <v>3.1580302934214502E-2</v>
      </c>
      <c r="O260" s="3">
        <f t="shared" si="246"/>
        <v>3.1538851461615162E-2</v>
      </c>
      <c r="P260" s="3">
        <f t="shared" si="246"/>
        <v>3.1127317429104528E-2</v>
      </c>
      <c r="Q260" s="3">
        <f t="shared" si="246"/>
        <v>2.7296056124740575E-2</v>
      </c>
      <c r="R260" s="3">
        <f t="shared" si="246"/>
        <v>7.3397620686770143E-3</v>
      </c>
      <c r="S260" s="3">
        <f t="shared" si="246"/>
        <v>1.4504500399508987E-8</v>
      </c>
      <c r="T260" s="3">
        <f t="shared" si="246"/>
        <v>1.3173788915545113E-65</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3.592675255612271E-2</v>
      </c>
      <c r="C261" s="3">
        <f t="shared" si="247"/>
        <v>3.5926752556122703E-2</v>
      </c>
      <c r="D261" s="3">
        <f t="shared" si="247"/>
        <v>3.5926752556122661E-2</v>
      </c>
      <c r="E261" s="3">
        <f t="shared" si="247"/>
        <v>3.5926752556122238E-2</v>
      </c>
      <c r="F261" s="3">
        <f t="shared" si="247"/>
        <v>3.5926752556117977E-2</v>
      </c>
      <c r="G261" s="3">
        <f t="shared" si="247"/>
        <v>3.5926752556075414E-2</v>
      </c>
      <c r="H261" s="3">
        <f t="shared" si="247"/>
        <v>3.5926752555649741E-2</v>
      </c>
      <c r="I261" s="3">
        <f t="shared" si="247"/>
        <v>3.5926752551393042E-2</v>
      </c>
      <c r="J261" s="3">
        <f t="shared" si="247"/>
        <v>3.5926752508826001E-2</v>
      </c>
      <c r="K261" s="3">
        <f t="shared" si="247"/>
        <v>3.5926752083155655E-2</v>
      </c>
      <c r="L261" s="3">
        <f t="shared" si="247"/>
        <v>3.5926747826452436E-2</v>
      </c>
      <c r="M261" s="3">
        <f t="shared" si="247"/>
        <v>3.5926705259447946E-2</v>
      </c>
      <c r="N261" s="3">
        <f t="shared" si="247"/>
        <v>3.5926279592176973E-2</v>
      </c>
      <c r="O261" s="3">
        <f t="shared" si="247"/>
        <v>3.5922023196844198E-2</v>
      </c>
      <c r="P261" s="3">
        <f t="shared" si="247"/>
        <v>3.5879486969056254E-2</v>
      </c>
      <c r="Q261" s="3">
        <f t="shared" si="247"/>
        <v>3.5456885129075515E-2</v>
      </c>
      <c r="R261" s="3">
        <f t="shared" si="247"/>
        <v>3.1495183172441203E-2</v>
      </c>
      <c r="S261" s="3">
        <f t="shared" si="247"/>
        <v>9.6311848832784288E-3</v>
      </c>
      <c r="T261" s="3">
        <f t="shared" si="247"/>
        <v>6.8870864220965371E-8</v>
      </c>
      <c r="U261" s="3">
        <f t="shared" si="247"/>
        <v>2.4076517091731772E-59</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3.8216836337325075E-2</v>
      </c>
      <c r="C262" s="3">
        <f t="shared" si="248"/>
        <v>3.8216836337325075E-2</v>
      </c>
      <c r="D262" s="3">
        <f t="shared" si="248"/>
        <v>3.8216836337325068E-2</v>
      </c>
      <c r="E262" s="3">
        <f t="shared" si="248"/>
        <v>3.8216836337325026E-2</v>
      </c>
      <c r="F262" s="3">
        <f t="shared" si="248"/>
        <v>3.8216836337324624E-2</v>
      </c>
      <c r="G262" s="3">
        <f t="shared" si="248"/>
        <v>3.8216836337320537E-2</v>
      </c>
      <c r="H262" s="3">
        <f t="shared" si="248"/>
        <v>3.8216836337279687E-2</v>
      </c>
      <c r="I262" s="3">
        <f t="shared" si="248"/>
        <v>3.8216836336871222E-2</v>
      </c>
      <c r="J262" s="3">
        <f t="shared" si="248"/>
        <v>3.8216836332786552E-2</v>
      </c>
      <c r="K262" s="3">
        <f t="shared" si="248"/>
        <v>3.8216836291939872E-2</v>
      </c>
      <c r="L262" s="3">
        <f t="shared" si="248"/>
        <v>3.8216835883473077E-2</v>
      </c>
      <c r="M262" s="3">
        <f t="shared" si="248"/>
        <v>3.8216831798805334E-2</v>
      </c>
      <c r="N262" s="3">
        <f t="shared" si="248"/>
        <v>3.8216790952151893E-2</v>
      </c>
      <c r="O262" s="3">
        <f t="shared" si="248"/>
        <v>3.8216382488018688E-2</v>
      </c>
      <c r="P262" s="3">
        <f t="shared" si="248"/>
        <v>3.8212298086792329E-2</v>
      </c>
      <c r="Q262" s="3">
        <f t="shared" si="248"/>
        <v>3.8171478075602443E-2</v>
      </c>
      <c r="R262" s="3">
        <f t="shared" si="248"/>
        <v>3.7765668606662306E-2</v>
      </c>
      <c r="S262" s="3">
        <f t="shared" si="248"/>
        <v>3.3937448395666814E-2</v>
      </c>
      <c r="T262" s="3">
        <f t="shared" si="248"/>
        <v>1.1654651005375622E-2</v>
      </c>
      <c r="U262" s="3">
        <f t="shared" si="248"/>
        <v>2.6588885887969707E-7</v>
      </c>
      <c r="V262" s="3">
        <f t="shared" si="248"/>
        <v>1.0155675351723943E-53</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4.8113881849429982E-2</v>
      </c>
      <c r="C263" s="3">
        <f t="shared" si="249"/>
        <v>4.8113881849429982E-2</v>
      </c>
      <c r="D263" s="3">
        <f t="shared" si="249"/>
        <v>4.8113881849429982E-2</v>
      </c>
      <c r="E263" s="3">
        <f t="shared" si="249"/>
        <v>4.8113881849429975E-2</v>
      </c>
      <c r="F263" s="3">
        <f t="shared" si="249"/>
        <v>4.8113881849429926E-2</v>
      </c>
      <c r="G263" s="3">
        <f t="shared" si="249"/>
        <v>4.8113881849429468E-2</v>
      </c>
      <c r="H263" s="3">
        <f t="shared" si="249"/>
        <v>4.8113881849424826E-2</v>
      </c>
      <c r="I263" s="3">
        <f t="shared" si="249"/>
        <v>4.811388184937844E-2</v>
      </c>
      <c r="J263" s="3">
        <f t="shared" si="249"/>
        <v>4.8113881848914547E-2</v>
      </c>
      <c r="K263" s="3">
        <f t="shared" si="249"/>
        <v>4.8113881844275605E-2</v>
      </c>
      <c r="L263" s="3">
        <f t="shared" si="249"/>
        <v>4.8113881797886171E-2</v>
      </c>
      <c r="M263" s="3">
        <f t="shared" si="249"/>
        <v>4.8113881333991894E-2</v>
      </c>
      <c r="N263" s="3">
        <f t="shared" si="249"/>
        <v>4.8113876695049337E-2</v>
      </c>
      <c r="O263" s="3">
        <f t="shared" si="249"/>
        <v>4.8113830305648399E-2</v>
      </c>
      <c r="P263" s="3">
        <f t="shared" si="249"/>
        <v>4.8113366414098947E-2</v>
      </c>
      <c r="Q263" s="3">
        <f t="shared" si="249"/>
        <v>4.8108727744591968E-2</v>
      </c>
      <c r="R263" s="3">
        <f t="shared" si="249"/>
        <v>4.8062365639503668E-2</v>
      </c>
      <c r="S263" s="3">
        <f t="shared" si="249"/>
        <v>4.7601194837140585E-2</v>
      </c>
      <c r="T263" s="3">
        <f t="shared" si="249"/>
        <v>4.3225991556270667E-2</v>
      </c>
      <c r="U263" s="3">
        <f t="shared" si="249"/>
        <v>1.6482233653418509E-2</v>
      </c>
      <c r="V263" s="3">
        <f t="shared" si="249"/>
        <v>1.0708461704660123E-6</v>
      </c>
      <c r="W263" s="3">
        <f t="shared" si="249"/>
        <v>1.4349517642102989E-48</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5.6463045562969084E-2</v>
      </c>
      <c r="C264" s="3">
        <f t="shared" si="250"/>
        <v>5.6463045562969084E-2</v>
      </c>
      <c r="D264" s="3">
        <f t="shared" si="250"/>
        <v>5.6463045562969084E-2</v>
      </c>
      <c r="E264" s="3">
        <f t="shared" si="250"/>
        <v>5.6463045562969084E-2</v>
      </c>
      <c r="F264" s="3">
        <f t="shared" si="250"/>
        <v>5.6463045562969078E-2</v>
      </c>
      <c r="G264" s="3">
        <f t="shared" si="250"/>
        <v>5.6463045562969029E-2</v>
      </c>
      <c r="H264" s="3">
        <f t="shared" si="250"/>
        <v>5.6463045562968536E-2</v>
      </c>
      <c r="I264" s="3">
        <f t="shared" si="250"/>
        <v>5.646304556296363E-2</v>
      </c>
      <c r="J264" s="3">
        <f t="shared" si="250"/>
        <v>5.6463045562914524E-2</v>
      </c>
      <c r="K264" s="3">
        <f t="shared" si="250"/>
        <v>5.6463045562423431E-2</v>
      </c>
      <c r="L264" s="3">
        <f t="shared" si="250"/>
        <v>5.6463045557512553E-2</v>
      </c>
      <c r="M264" s="3">
        <f t="shared" si="250"/>
        <v>5.6463045508403725E-2</v>
      </c>
      <c r="N264" s="3">
        <f t="shared" si="250"/>
        <v>5.6463045017315514E-2</v>
      </c>
      <c r="O264" s="3">
        <f t="shared" si="250"/>
        <v>5.6463040106433604E-2</v>
      </c>
      <c r="P264" s="3">
        <f t="shared" si="250"/>
        <v>5.646299099763806E-2</v>
      </c>
      <c r="Q264" s="3">
        <f t="shared" si="250"/>
        <v>5.6462499912031748E-2</v>
      </c>
      <c r="R264" s="3">
        <f t="shared" si="250"/>
        <v>5.645758929087883E-2</v>
      </c>
      <c r="S264" s="3">
        <f t="shared" si="250"/>
        <v>5.6408506562812565E-2</v>
      </c>
      <c r="T264" s="3">
        <f t="shared" si="250"/>
        <v>5.5920020088819467E-2</v>
      </c>
      <c r="U264" s="3">
        <f t="shared" si="250"/>
        <v>5.1261875165089996E-2</v>
      </c>
      <c r="V264" s="3">
        <f t="shared" si="250"/>
        <v>2.1481578355985978E-2</v>
      </c>
      <c r="W264" s="3">
        <f t="shared" si="250"/>
        <v>3.5874278917887145E-6</v>
      </c>
      <c r="X264" s="3">
        <f t="shared" si="250"/>
        <v>6.0527551393358327E-44</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5.9569205174430817E-2</v>
      </c>
      <c r="C265" s="3">
        <f t="shared" si="251"/>
        <v>5.9569205174430817E-2</v>
      </c>
      <c r="D265" s="3">
        <f t="shared" si="251"/>
        <v>5.9569205174430817E-2</v>
      </c>
      <c r="E265" s="3">
        <f t="shared" si="251"/>
        <v>5.9569205174430817E-2</v>
      </c>
      <c r="F265" s="3">
        <f t="shared" si="251"/>
        <v>5.9569205174430817E-2</v>
      </c>
      <c r="G265" s="3">
        <f t="shared" si="251"/>
        <v>5.956920517443081E-2</v>
      </c>
      <c r="H265" s="3">
        <f t="shared" si="251"/>
        <v>5.9569205174430762E-2</v>
      </c>
      <c r="I265" s="3">
        <f t="shared" si="251"/>
        <v>5.9569205174430297E-2</v>
      </c>
      <c r="J265" s="3">
        <f t="shared" si="251"/>
        <v>5.9569205174425627E-2</v>
      </c>
      <c r="K265" s="3">
        <f t="shared" si="251"/>
        <v>5.9569205174378886E-2</v>
      </c>
      <c r="L265" s="3">
        <f t="shared" si="251"/>
        <v>5.956920517391151E-2</v>
      </c>
      <c r="M265" s="3">
        <f t="shared" si="251"/>
        <v>5.9569205169237784E-2</v>
      </c>
      <c r="N265" s="3">
        <f t="shared" si="251"/>
        <v>5.9569205122500482E-2</v>
      </c>
      <c r="O265" s="3">
        <f t="shared" si="251"/>
        <v>5.9569204655127501E-2</v>
      </c>
      <c r="P265" s="3">
        <f t="shared" si="251"/>
        <v>5.9569199981397827E-2</v>
      </c>
      <c r="Q265" s="3">
        <f t="shared" si="251"/>
        <v>5.9569153244121285E-2</v>
      </c>
      <c r="R265" s="3">
        <f t="shared" si="251"/>
        <v>5.9568685873372697E-2</v>
      </c>
      <c r="S265" s="3">
        <f t="shared" si="251"/>
        <v>5.9564012367562744E-2</v>
      </c>
      <c r="T265" s="3">
        <f t="shared" si="251"/>
        <v>5.95172974712041E-2</v>
      </c>
      <c r="U265" s="3">
        <f t="shared" si="251"/>
        <v>5.905215884106494E-2</v>
      </c>
      <c r="V265" s="3">
        <f t="shared" si="251"/>
        <v>5.4596090393134074E-2</v>
      </c>
      <c r="W265" s="3">
        <f t="shared" si="251"/>
        <v>2.4912607911098717E-2</v>
      </c>
      <c r="X265" s="3">
        <f t="shared" si="251"/>
        <v>9.7497994035126403E-6</v>
      </c>
      <c r="Y265" s="3">
        <f t="shared" si="251"/>
        <v>8.2178943908931649E-40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6.4663842713273356E-2</v>
      </c>
      <c r="C266" s="3">
        <f t="shared" si="252"/>
        <v>6.4663842713273356E-2</v>
      </c>
      <c r="D266" s="3">
        <f t="shared" si="252"/>
        <v>6.4663842713273356E-2</v>
      </c>
      <c r="E266" s="3">
        <f t="shared" si="252"/>
        <v>6.4663842713273356E-2</v>
      </c>
      <c r="F266" s="3">
        <f t="shared" si="252"/>
        <v>6.4663842713273356E-2</v>
      </c>
      <c r="G266" s="3">
        <f t="shared" si="252"/>
        <v>6.4663842713273356E-2</v>
      </c>
      <c r="H266" s="3">
        <f t="shared" si="252"/>
        <v>6.4663842713273342E-2</v>
      </c>
      <c r="I266" s="3">
        <f t="shared" si="252"/>
        <v>6.4663842713273301E-2</v>
      </c>
      <c r="J266" s="3">
        <f t="shared" si="252"/>
        <v>6.4663842713272843E-2</v>
      </c>
      <c r="K266" s="3">
        <f t="shared" si="252"/>
        <v>6.4663842713268277E-2</v>
      </c>
      <c r="L266" s="3">
        <f t="shared" si="252"/>
        <v>6.4663842713222508E-2</v>
      </c>
      <c r="M266" s="3">
        <f t="shared" si="252"/>
        <v>6.4663842712764832E-2</v>
      </c>
      <c r="N266" s="3">
        <f t="shared" si="252"/>
        <v>6.466384270818816E-2</v>
      </c>
      <c r="O266" s="3">
        <f t="shared" si="252"/>
        <v>6.4663842662421436E-2</v>
      </c>
      <c r="P266" s="3">
        <f t="shared" si="252"/>
        <v>6.4663842204754116E-2</v>
      </c>
      <c r="Q266" s="3">
        <f t="shared" si="252"/>
        <v>6.4663837628081089E-2</v>
      </c>
      <c r="R266" s="3">
        <f t="shared" si="252"/>
        <v>6.4663791861368627E-2</v>
      </c>
      <c r="S266" s="3">
        <f t="shared" si="252"/>
        <v>6.466333419602556E-2</v>
      </c>
      <c r="T266" s="3">
        <f t="shared" si="252"/>
        <v>6.465875772074603E-2</v>
      </c>
      <c r="U266" s="3">
        <f t="shared" si="252"/>
        <v>6.4613010778389907E-2</v>
      </c>
      <c r="V266" s="3">
        <f t="shared" si="252"/>
        <v>6.4157317743502987E-2</v>
      </c>
      <c r="W266" s="3">
        <f t="shared" si="252"/>
        <v>5.9773461144202462E-2</v>
      </c>
      <c r="X266" s="3">
        <f t="shared" si="252"/>
        <v>2.9453062315050717E-2</v>
      </c>
      <c r="Y266" s="3">
        <f t="shared" si="252"/>
        <v>2.4851406752439093E-5</v>
      </c>
      <c r="Z266" s="3">
        <f t="shared" si="252"/>
        <v>4.5452334271203027E-36</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4.8548005334617741E-2</v>
      </c>
      <c r="C267" s="3">
        <f t="shared" si="253"/>
        <v>4.8548005334617741E-2</v>
      </c>
      <c r="D267" s="3">
        <f t="shared" si="253"/>
        <v>4.8548005334617741E-2</v>
      </c>
      <c r="E267" s="3">
        <f t="shared" si="253"/>
        <v>4.8548005334617741E-2</v>
      </c>
      <c r="F267" s="3">
        <f t="shared" si="253"/>
        <v>4.8548005334617741E-2</v>
      </c>
      <c r="G267" s="3">
        <f t="shared" si="253"/>
        <v>4.8548005334617741E-2</v>
      </c>
      <c r="H267" s="3">
        <f t="shared" si="253"/>
        <v>4.8548005334617741E-2</v>
      </c>
      <c r="I267" s="3">
        <f t="shared" si="253"/>
        <v>4.8548005334617735E-2</v>
      </c>
      <c r="J267" s="3">
        <f t="shared" si="253"/>
        <v>4.8548005334617707E-2</v>
      </c>
      <c r="K267" s="3">
        <f t="shared" si="253"/>
        <v>4.8548005334617395E-2</v>
      </c>
      <c r="L267" s="3">
        <f t="shared" si="253"/>
        <v>4.85480053346143E-2</v>
      </c>
      <c r="M267" s="3">
        <f t="shared" si="253"/>
        <v>4.8548005334583297E-2</v>
      </c>
      <c r="N267" s="3">
        <f t="shared" si="253"/>
        <v>4.8548005334273343E-2</v>
      </c>
      <c r="O267" s="3">
        <f t="shared" si="253"/>
        <v>4.8548005331173733E-2</v>
      </c>
      <c r="P267" s="3">
        <f t="shared" si="253"/>
        <v>4.8548005300177687E-2</v>
      </c>
      <c r="Q267" s="3">
        <f t="shared" si="253"/>
        <v>4.8548004990217164E-2</v>
      </c>
      <c r="R267" s="3">
        <f t="shared" si="253"/>
        <v>4.8548001890612112E-2</v>
      </c>
      <c r="S267" s="3">
        <f t="shared" si="253"/>
        <v>4.8547970894572454E-2</v>
      </c>
      <c r="T267" s="3">
        <f t="shared" si="253"/>
        <v>4.8547660935264247E-2</v>
      </c>
      <c r="U267" s="3">
        <f t="shared" si="253"/>
        <v>4.854456145102324E-2</v>
      </c>
      <c r="V267" s="3">
        <f t="shared" si="253"/>
        <v>4.8513577490145753E-2</v>
      </c>
      <c r="W267" s="3">
        <f t="shared" si="253"/>
        <v>4.8204823468456288E-2</v>
      </c>
      <c r="X267" s="3">
        <f t="shared" si="253"/>
        <v>4.5223320676103844E-2</v>
      </c>
      <c r="Y267" s="3">
        <f t="shared" si="253"/>
        <v>2.3882619989663543E-2</v>
      </c>
      <c r="Z267" s="3">
        <f t="shared" si="253"/>
        <v>4.029741286512935E-5</v>
      </c>
      <c r="AA267" s="3">
        <f t="shared" si="253"/>
        <v>7.5375313241675041E-33</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3.8659494646510029E-2</v>
      </c>
      <c r="C268" s="3">
        <f t="shared" si="254"/>
        <v>3.8659494646510029E-2</v>
      </c>
      <c r="D268" s="3">
        <f t="shared" si="254"/>
        <v>3.8659494646510029E-2</v>
      </c>
      <c r="E268" s="3">
        <f t="shared" si="254"/>
        <v>3.8659494646510029E-2</v>
      </c>
      <c r="F268" s="3">
        <f t="shared" si="254"/>
        <v>3.8659494646510029E-2</v>
      </c>
      <c r="G268" s="3">
        <f t="shared" si="254"/>
        <v>3.8659494646510029E-2</v>
      </c>
      <c r="H268" s="3">
        <f t="shared" si="254"/>
        <v>3.8659494646510029E-2</v>
      </c>
      <c r="I268" s="3">
        <f t="shared" si="254"/>
        <v>3.8659494646510029E-2</v>
      </c>
      <c r="J268" s="3">
        <f t="shared" si="254"/>
        <v>3.8659494646510022E-2</v>
      </c>
      <c r="K268" s="3">
        <f t="shared" si="254"/>
        <v>3.8659494646510001E-2</v>
      </c>
      <c r="L268" s="3">
        <f t="shared" si="254"/>
        <v>3.8659494646509779E-2</v>
      </c>
      <c r="M268" s="3">
        <f t="shared" si="254"/>
        <v>3.8659494646507558E-2</v>
      </c>
      <c r="N268" s="3">
        <f t="shared" si="254"/>
        <v>3.8659494646485291E-2</v>
      </c>
      <c r="O268" s="3">
        <f t="shared" si="254"/>
        <v>3.8659494646262629E-2</v>
      </c>
      <c r="P268" s="3">
        <f t="shared" si="254"/>
        <v>3.8659494644036056E-2</v>
      </c>
      <c r="Q268" s="3">
        <f t="shared" si="254"/>
        <v>3.8659494621770284E-2</v>
      </c>
      <c r="R268" s="3">
        <f t="shared" si="254"/>
        <v>3.8659494399112565E-2</v>
      </c>
      <c r="S268" s="3">
        <f t="shared" si="254"/>
        <v>3.8659492172535483E-2</v>
      </c>
      <c r="T268" s="3">
        <f t="shared" si="254"/>
        <v>3.8659469906771708E-2</v>
      </c>
      <c r="U268" s="3">
        <f t="shared" si="254"/>
        <v>3.8659247249839275E-2</v>
      </c>
      <c r="V268" s="3">
        <f t="shared" si="254"/>
        <v>3.8657020751044623E-2</v>
      </c>
      <c r="W268" s="3">
        <f t="shared" si="254"/>
        <v>3.8634762814560381E-2</v>
      </c>
      <c r="X268" s="3">
        <f t="shared" si="254"/>
        <v>3.8412887095596891E-2</v>
      </c>
      <c r="Y268" s="3">
        <f t="shared" si="254"/>
        <v>3.6263017845405435E-2</v>
      </c>
      <c r="Z268" s="3">
        <f t="shared" si="254"/>
        <v>2.038608745171596E-2</v>
      </c>
      <c r="AA268" s="3">
        <f t="shared" si="254"/>
        <v>6.4273696101050065E-5</v>
      </c>
      <c r="AB268" s="3">
        <f t="shared" si="254"/>
        <v>6.2377389587010357E-30</v>
      </c>
      <c r="AC268" s="3">
        <f t="shared" si="254"/>
        <v>4.6234525765193232E-280</v>
      </c>
      <c r="AD268" s="3">
        <f t="shared" si="254"/>
        <v>0</v>
      </c>
      <c r="AE268" s="3">
        <f t="shared" si="254"/>
        <v>0</v>
      </c>
      <c r="AF268" s="3">
        <f t="shared" si="254"/>
        <v>0</v>
      </c>
      <c r="AG268" s="3"/>
      <c r="AH268" s="3"/>
    </row>
    <row r="269" spans="2:34" x14ac:dyDescent="0.25">
      <c r="B269" s="3">
        <f t="shared" ref="B269:AF269" si="255">$C38*EXP(-B$246/$A38/EXP(-$E$126))</f>
        <v>6.6103757573429938E-3</v>
      </c>
      <c r="C269" s="3">
        <f t="shared" si="255"/>
        <v>6.6103757573429938E-3</v>
      </c>
      <c r="D269" s="3">
        <f t="shared" si="255"/>
        <v>6.6103757573429938E-3</v>
      </c>
      <c r="E269" s="3">
        <f t="shared" si="255"/>
        <v>6.6103757573429938E-3</v>
      </c>
      <c r="F269" s="3">
        <f t="shared" si="255"/>
        <v>6.6103757573429938E-3</v>
      </c>
      <c r="G269" s="3">
        <f t="shared" si="255"/>
        <v>6.6103757573429938E-3</v>
      </c>
      <c r="H269" s="3">
        <f t="shared" si="255"/>
        <v>6.6103757573429938E-3</v>
      </c>
      <c r="I269" s="3">
        <f t="shared" si="255"/>
        <v>6.6103757573429938E-3</v>
      </c>
      <c r="J269" s="3">
        <f t="shared" si="255"/>
        <v>6.6103757573429938E-3</v>
      </c>
      <c r="K269" s="3">
        <f t="shared" si="255"/>
        <v>6.6103757573429929E-3</v>
      </c>
      <c r="L269" s="3">
        <f t="shared" si="255"/>
        <v>6.6103757573429903E-3</v>
      </c>
      <c r="M269" s="3">
        <f t="shared" si="255"/>
        <v>6.6103757573429556E-3</v>
      </c>
      <c r="N269" s="3">
        <f t="shared" si="255"/>
        <v>6.6103757573426122E-3</v>
      </c>
      <c r="O269" s="3">
        <f t="shared" si="255"/>
        <v>6.6103757573391774E-3</v>
      </c>
      <c r="P269" s="3">
        <f t="shared" si="255"/>
        <v>6.6103757573048334E-3</v>
      </c>
      <c r="Q269" s="3">
        <f t="shared" si="255"/>
        <v>6.6103757569613902E-3</v>
      </c>
      <c r="R269" s="3">
        <f t="shared" si="255"/>
        <v>6.6103757535269638E-3</v>
      </c>
      <c r="S269" s="3">
        <f t="shared" si="255"/>
        <v>6.6103757191826916E-3</v>
      </c>
      <c r="T269" s="3">
        <f t="shared" si="255"/>
        <v>6.6103753757399825E-3</v>
      </c>
      <c r="U269" s="3">
        <f t="shared" si="255"/>
        <v>6.61037194131387E-3</v>
      </c>
      <c r="V269" s="3">
        <f t="shared" si="255"/>
        <v>6.6103375971508904E-3</v>
      </c>
      <c r="W269" s="3">
        <f t="shared" si="255"/>
        <v>6.6099941653348622E-3</v>
      </c>
      <c r="X269" s="3">
        <f t="shared" si="255"/>
        <v>6.6065608283630015E-3</v>
      </c>
      <c r="Y269" s="3">
        <f t="shared" si="255"/>
        <v>6.5723253891306864E-3</v>
      </c>
      <c r="Z269" s="3">
        <f t="shared" si="255"/>
        <v>6.2395783774925051E-3</v>
      </c>
      <c r="AA269" s="3">
        <f t="shared" si="255"/>
        <v>3.7112235959237331E-3</v>
      </c>
      <c r="AB269" s="3">
        <f t="shared" si="255"/>
        <v>2.0565339541956465E-5</v>
      </c>
      <c r="AC269" s="3">
        <f t="shared" si="255"/>
        <v>5.6146607384159877E-28</v>
      </c>
      <c r="AD269" s="3">
        <f t="shared" si="255"/>
        <v>1.2918136566733233E-253</v>
      </c>
      <c r="AE269" s="3">
        <f t="shared" si="255"/>
        <v>0</v>
      </c>
      <c r="AF269" s="3">
        <f t="shared" si="255"/>
        <v>0</v>
      </c>
      <c r="AG269" s="3"/>
      <c r="AH269" s="3"/>
    </row>
    <row r="270" spans="2:34" x14ac:dyDescent="0.25">
      <c r="B270" s="3">
        <f t="shared" ref="B270:AF270" si="256">$C39*EXP(-B$246/$A39/EXP(-$E$126))</f>
        <v>1.6903393193058183E-2</v>
      </c>
      <c r="C270" s="3">
        <f t="shared" si="256"/>
        <v>1.6903393193058183E-2</v>
      </c>
      <c r="D270" s="3">
        <f t="shared" si="256"/>
        <v>1.6903393193058183E-2</v>
      </c>
      <c r="E270" s="3">
        <f t="shared" si="256"/>
        <v>1.6903393193058183E-2</v>
      </c>
      <c r="F270" s="3">
        <f t="shared" si="256"/>
        <v>1.6903393193058183E-2</v>
      </c>
      <c r="G270" s="3">
        <f t="shared" si="256"/>
        <v>1.6903393193058183E-2</v>
      </c>
      <c r="H270" s="3">
        <f t="shared" si="256"/>
        <v>1.6903393193058183E-2</v>
      </c>
      <c r="I270" s="3">
        <f t="shared" si="256"/>
        <v>1.6903393193058183E-2</v>
      </c>
      <c r="J270" s="3">
        <f t="shared" si="256"/>
        <v>1.6903393193058183E-2</v>
      </c>
      <c r="K270" s="3">
        <f t="shared" si="256"/>
        <v>1.6903393193058183E-2</v>
      </c>
      <c r="L270" s="3">
        <f t="shared" si="256"/>
        <v>1.690339319305818E-2</v>
      </c>
      <c r="M270" s="3">
        <f t="shared" si="256"/>
        <v>1.6903393193058155E-2</v>
      </c>
      <c r="N270" s="3">
        <f t="shared" si="256"/>
        <v>1.6903393193057913E-2</v>
      </c>
      <c r="O270" s="3">
        <f t="shared" si="256"/>
        <v>1.6903393193055484E-2</v>
      </c>
      <c r="P270" s="3">
        <f t="shared" si="256"/>
        <v>1.6903393193031194E-2</v>
      </c>
      <c r="Q270" s="3">
        <f t="shared" si="256"/>
        <v>1.6903393192788302E-2</v>
      </c>
      <c r="R270" s="3">
        <f t="shared" si="256"/>
        <v>1.6903393190359373E-2</v>
      </c>
      <c r="S270" s="3">
        <f t="shared" si="256"/>
        <v>1.6903393166070077E-2</v>
      </c>
      <c r="T270" s="3">
        <f t="shared" si="256"/>
        <v>1.6903392923177121E-2</v>
      </c>
      <c r="U270" s="3">
        <f t="shared" si="256"/>
        <v>1.6903390494247755E-2</v>
      </c>
      <c r="V270" s="3">
        <f t="shared" si="256"/>
        <v>1.6903366204973281E-2</v>
      </c>
      <c r="W270" s="3">
        <f t="shared" si="256"/>
        <v>1.6903123314148196E-2</v>
      </c>
      <c r="X270" s="3">
        <f t="shared" si="256"/>
        <v>1.6900694597849486E-2</v>
      </c>
      <c r="Y270" s="3">
        <f t="shared" si="256"/>
        <v>1.6876426619876067E-2</v>
      </c>
      <c r="Z270" s="3">
        <f t="shared" si="256"/>
        <v>1.6635655180488988E-2</v>
      </c>
      <c r="AA270" s="3">
        <f t="shared" si="256"/>
        <v>1.4409007065484356E-2</v>
      </c>
      <c r="AB270" s="3">
        <f t="shared" si="256"/>
        <v>3.4243291200219037E-3</v>
      </c>
      <c r="AC270" s="3">
        <f t="shared" si="256"/>
        <v>1.9678407344062367E-9</v>
      </c>
      <c r="AD270" s="3">
        <f t="shared" si="256"/>
        <v>7.7291977421656456E-72</v>
      </c>
      <c r="AE270" s="3">
        <f t="shared" si="256"/>
        <v>0</v>
      </c>
      <c r="AF270" s="3">
        <f t="shared" si="256"/>
        <v>0</v>
      </c>
      <c r="AG270" s="3"/>
      <c r="AH270" s="3"/>
    </row>
    <row r="271" spans="2:34" x14ac:dyDescent="0.25">
      <c r="B271" s="3">
        <f t="shared" ref="B271:AF271" si="257">$C40*EXP(-B$246/$A40/EXP(-$E$126))</f>
        <v>1.9810156254800116E-3</v>
      </c>
      <c r="C271" s="3">
        <f t="shared" si="257"/>
        <v>1.9810156254800116E-3</v>
      </c>
      <c r="D271" s="3">
        <f t="shared" si="257"/>
        <v>1.9810156254800116E-3</v>
      </c>
      <c r="E271" s="3">
        <f t="shared" si="257"/>
        <v>1.9810156254800116E-3</v>
      </c>
      <c r="F271" s="3">
        <f t="shared" si="257"/>
        <v>1.9810156254800116E-3</v>
      </c>
      <c r="G271" s="3">
        <f t="shared" si="257"/>
        <v>1.9810156254800116E-3</v>
      </c>
      <c r="H271" s="3">
        <f t="shared" si="257"/>
        <v>1.9810156254800116E-3</v>
      </c>
      <c r="I271" s="3">
        <f t="shared" si="257"/>
        <v>1.9810156254800116E-3</v>
      </c>
      <c r="J271" s="3">
        <f t="shared" si="257"/>
        <v>1.9810156254800116E-3</v>
      </c>
      <c r="K271" s="3">
        <f t="shared" si="257"/>
        <v>1.9810156254800116E-3</v>
      </c>
      <c r="L271" s="3">
        <f t="shared" si="257"/>
        <v>1.9810156254800116E-3</v>
      </c>
      <c r="M271" s="3">
        <f t="shared" si="257"/>
        <v>1.9810156254800111E-3</v>
      </c>
      <c r="N271" s="3">
        <f t="shared" si="257"/>
        <v>1.9810156254800085E-3</v>
      </c>
      <c r="O271" s="3">
        <f t="shared" si="257"/>
        <v>1.9810156254799799E-3</v>
      </c>
      <c r="P271" s="3">
        <f t="shared" si="257"/>
        <v>1.9810156254796954E-3</v>
      </c>
      <c r="Q271" s="3">
        <f t="shared" si="257"/>
        <v>1.9810156254768487E-3</v>
      </c>
      <c r="R271" s="3">
        <f t="shared" si="257"/>
        <v>1.9810156254483824E-3</v>
      </c>
      <c r="S271" s="3">
        <f t="shared" si="257"/>
        <v>1.9810156251637207E-3</v>
      </c>
      <c r="T271" s="3">
        <f t="shared" si="257"/>
        <v>1.9810156223171046E-3</v>
      </c>
      <c r="U271" s="3">
        <f t="shared" si="257"/>
        <v>1.981015593850942E-3</v>
      </c>
      <c r="V271" s="3">
        <f t="shared" si="257"/>
        <v>1.9810153091893374E-3</v>
      </c>
      <c r="W271" s="3">
        <f t="shared" si="257"/>
        <v>1.9810124625755416E-3</v>
      </c>
      <c r="X271" s="3">
        <f t="shared" si="257"/>
        <v>1.9809839966625567E-3</v>
      </c>
      <c r="Y271" s="3">
        <f t="shared" si="257"/>
        <v>1.9806993600287961E-3</v>
      </c>
      <c r="Z271" s="3">
        <f t="shared" si="257"/>
        <v>1.9778552421043614E-3</v>
      </c>
      <c r="AA271" s="3">
        <f t="shared" si="257"/>
        <v>1.9496377133426802E-3</v>
      </c>
      <c r="AB271" s="3">
        <f t="shared" si="257"/>
        <v>1.6886827288676526E-3</v>
      </c>
      <c r="AC271" s="3">
        <f t="shared" si="257"/>
        <v>4.0131880126503187E-4</v>
      </c>
      <c r="AD271" s="3">
        <f t="shared" si="257"/>
        <v>2.3062370961800521E-10</v>
      </c>
      <c r="AE271" s="3">
        <f t="shared" si="257"/>
        <v>9.0583359948954517E-73</v>
      </c>
      <c r="AF271" s="3">
        <f t="shared" si="257"/>
        <v>0</v>
      </c>
      <c r="AG271" s="3"/>
      <c r="AH271" s="3"/>
    </row>
    <row r="272" spans="2:34" x14ac:dyDescent="0.25">
      <c r="B272" s="3">
        <f t="shared" ref="B272:AF272" si="258">$C41*EXP(-B$246/$A41/EXP(-$E$126))</f>
        <v>4.9795148637895425E-3</v>
      </c>
      <c r="C272" s="3">
        <f t="shared" si="258"/>
        <v>4.9795148637895425E-3</v>
      </c>
      <c r="D272" s="3">
        <f t="shared" si="258"/>
        <v>4.9795148637895425E-3</v>
      </c>
      <c r="E272" s="3">
        <f t="shared" si="258"/>
        <v>4.9795148637895425E-3</v>
      </c>
      <c r="F272" s="3">
        <f t="shared" si="258"/>
        <v>4.9795148637895425E-3</v>
      </c>
      <c r="G272" s="3">
        <f t="shared" si="258"/>
        <v>4.9795148637895425E-3</v>
      </c>
      <c r="H272" s="3">
        <f t="shared" si="258"/>
        <v>4.9795148637895425E-3</v>
      </c>
      <c r="I272" s="3">
        <f t="shared" si="258"/>
        <v>4.9795148637895425E-3</v>
      </c>
      <c r="J272" s="3">
        <f t="shared" si="258"/>
        <v>4.9795148637895425E-3</v>
      </c>
      <c r="K272" s="3">
        <f t="shared" si="258"/>
        <v>4.9795148637895425E-3</v>
      </c>
      <c r="L272" s="3">
        <f t="shared" si="258"/>
        <v>4.9795148637895425E-3</v>
      </c>
      <c r="M272" s="3">
        <f t="shared" si="258"/>
        <v>4.9795148637895425E-3</v>
      </c>
      <c r="N272" s="3">
        <f t="shared" si="258"/>
        <v>4.9795148637895416E-3</v>
      </c>
      <c r="O272" s="3">
        <f t="shared" si="258"/>
        <v>4.9795148637895347E-3</v>
      </c>
      <c r="P272" s="3">
        <f t="shared" si="258"/>
        <v>4.9795148637894627E-3</v>
      </c>
      <c r="Q272" s="3">
        <f t="shared" si="258"/>
        <v>4.9795148637887471E-3</v>
      </c>
      <c r="R272" s="3">
        <f t="shared" si="258"/>
        <v>4.9795148637815922E-3</v>
      </c>
      <c r="S272" s="3">
        <f t="shared" si="258"/>
        <v>4.9795148637100392E-3</v>
      </c>
      <c r="T272" s="3">
        <f t="shared" si="258"/>
        <v>4.9795148629945092E-3</v>
      </c>
      <c r="U272" s="3">
        <f t="shared" si="258"/>
        <v>4.979514855839205E-3</v>
      </c>
      <c r="V272" s="3">
        <f t="shared" si="258"/>
        <v>4.9795147842861707E-3</v>
      </c>
      <c r="W272" s="3">
        <f t="shared" si="258"/>
        <v>4.9795140687558768E-3</v>
      </c>
      <c r="X272" s="3">
        <f t="shared" si="258"/>
        <v>4.9795069134586012E-3</v>
      </c>
      <c r="Y272" s="3">
        <f t="shared" si="258"/>
        <v>4.9794353610513433E-3</v>
      </c>
      <c r="Z272" s="3">
        <f t="shared" si="258"/>
        <v>4.9787198935253131E-3</v>
      </c>
      <c r="AA272" s="3">
        <f t="shared" si="258"/>
        <v>4.9715708699149307E-3</v>
      </c>
      <c r="AB272" s="3">
        <f t="shared" si="258"/>
        <v>4.9006428055014288E-3</v>
      </c>
      <c r="AC272" s="3">
        <f t="shared" si="258"/>
        <v>4.2447018794128169E-3</v>
      </c>
      <c r="AD272" s="3">
        <f t="shared" si="258"/>
        <v>1.0087618241442242E-3</v>
      </c>
      <c r="AE272" s="3">
        <f t="shared" si="258"/>
        <v>5.7969971322506732E-10</v>
      </c>
      <c r="AF272" s="3">
        <f t="shared" si="258"/>
        <v>2.2769188767429465E-72</v>
      </c>
      <c r="AG272" s="3"/>
      <c r="AH272" s="3"/>
    </row>
    <row r="273" spans="1:34" x14ac:dyDescent="0.25">
      <c r="B273" s="3">
        <f t="shared" ref="B273:AF273" si="259">$C42*EXP(-B$246/$A42/EXP(-$E$126))</f>
        <v>1.5203897421204233E-3</v>
      </c>
      <c r="C273" s="3">
        <f t="shared" si="259"/>
        <v>1.5203897421204233E-3</v>
      </c>
      <c r="D273" s="3">
        <f t="shared" si="259"/>
        <v>1.5203897421204233E-3</v>
      </c>
      <c r="E273" s="3">
        <f t="shared" si="259"/>
        <v>1.5203897421204233E-3</v>
      </c>
      <c r="F273" s="3">
        <f t="shared" si="259"/>
        <v>1.5203897421204233E-3</v>
      </c>
      <c r="G273" s="3">
        <f t="shared" si="259"/>
        <v>1.5203897421204233E-3</v>
      </c>
      <c r="H273" s="3">
        <f t="shared" si="259"/>
        <v>1.5203897421204233E-3</v>
      </c>
      <c r="I273" s="3">
        <f t="shared" si="259"/>
        <v>1.5203897421204233E-3</v>
      </c>
      <c r="J273" s="3">
        <f t="shared" si="259"/>
        <v>1.5203897421204233E-3</v>
      </c>
      <c r="K273" s="3">
        <f t="shared" si="259"/>
        <v>1.5203897421204233E-3</v>
      </c>
      <c r="L273" s="3">
        <f t="shared" si="259"/>
        <v>1.5203897421204233E-3</v>
      </c>
      <c r="M273" s="3">
        <f t="shared" si="259"/>
        <v>1.5203897421204233E-3</v>
      </c>
      <c r="N273" s="3">
        <f t="shared" si="259"/>
        <v>1.5203897421204233E-3</v>
      </c>
      <c r="O273" s="3">
        <f t="shared" si="259"/>
        <v>1.5203897421204231E-3</v>
      </c>
      <c r="P273" s="3">
        <f t="shared" si="259"/>
        <v>1.5203897421204209E-3</v>
      </c>
      <c r="Q273" s="3">
        <f t="shared" si="259"/>
        <v>1.520389742120399E-3</v>
      </c>
      <c r="R273" s="3">
        <f t="shared" si="259"/>
        <v>1.5203897421201807E-3</v>
      </c>
      <c r="S273" s="3">
        <f t="shared" si="259"/>
        <v>1.5203897421179958E-3</v>
      </c>
      <c r="T273" s="3">
        <f t="shared" si="259"/>
        <v>1.5203897420961487E-3</v>
      </c>
      <c r="U273" s="3">
        <f t="shared" si="259"/>
        <v>1.5203897418776765E-3</v>
      </c>
      <c r="V273" s="3">
        <f t="shared" si="259"/>
        <v>1.5203897396929556E-3</v>
      </c>
      <c r="W273" s="3">
        <f t="shared" si="259"/>
        <v>1.5203897178457471E-3</v>
      </c>
      <c r="X273" s="3">
        <f t="shared" si="259"/>
        <v>1.5203894993736774E-3</v>
      </c>
      <c r="Y273" s="3">
        <f t="shared" si="259"/>
        <v>1.5203873146547083E-3</v>
      </c>
      <c r="Z273" s="3">
        <f t="shared" si="259"/>
        <v>1.5203654676376806E-3</v>
      </c>
      <c r="AA273" s="3">
        <f t="shared" si="259"/>
        <v>1.5201470147326983E-3</v>
      </c>
      <c r="AB273" s="3">
        <f t="shared" si="259"/>
        <v>1.5179642112948689E-3</v>
      </c>
      <c r="AC273" s="3">
        <f t="shared" si="259"/>
        <v>1.496307824174322E-3</v>
      </c>
      <c r="AD273" s="3">
        <f t="shared" si="259"/>
        <v>1.2960301098302511E-3</v>
      </c>
      <c r="AE273" s="3">
        <f t="shared" si="259"/>
        <v>3.0800412723426838E-4</v>
      </c>
      <c r="AF273" s="3">
        <f t="shared" si="259"/>
        <v>1.7699906950911238E-10</v>
      </c>
      <c r="AG273" s="3"/>
      <c r="AH273" s="3"/>
    </row>
    <row r="274" spans="1:34" x14ac:dyDescent="0.25">
      <c r="B274" s="3">
        <f t="shared" ref="B274:AF274" si="260">$C43*EXP(-B$246/$A43/EXP(-$E$126))</f>
        <v>3.2547360985645695E-4</v>
      </c>
      <c r="C274" s="3">
        <f t="shared" si="260"/>
        <v>3.2547360985645695E-4</v>
      </c>
      <c r="D274" s="3">
        <f t="shared" si="260"/>
        <v>3.2547360985645695E-4</v>
      </c>
      <c r="E274" s="3">
        <f t="shared" si="260"/>
        <v>3.2547360985645695E-4</v>
      </c>
      <c r="F274" s="3">
        <f t="shared" si="260"/>
        <v>3.2547360985645695E-4</v>
      </c>
      <c r="G274" s="3">
        <f t="shared" si="260"/>
        <v>3.2547360985645695E-4</v>
      </c>
      <c r="H274" s="3">
        <f t="shared" si="260"/>
        <v>3.2547360985645695E-4</v>
      </c>
      <c r="I274" s="3">
        <f t="shared" si="260"/>
        <v>3.2547360985645695E-4</v>
      </c>
      <c r="J274" s="3">
        <f t="shared" si="260"/>
        <v>3.2547360985645695E-4</v>
      </c>
      <c r="K274" s="3">
        <f t="shared" si="260"/>
        <v>3.2547360985645695E-4</v>
      </c>
      <c r="L274" s="3">
        <f t="shared" si="260"/>
        <v>3.2547360985645695E-4</v>
      </c>
      <c r="M274" s="3">
        <f t="shared" si="260"/>
        <v>3.2547360985645695E-4</v>
      </c>
      <c r="N274" s="3">
        <f t="shared" si="260"/>
        <v>3.2547360985645695E-4</v>
      </c>
      <c r="O274" s="3">
        <f t="shared" si="260"/>
        <v>3.2547360985645695E-4</v>
      </c>
      <c r="P274" s="3">
        <f t="shared" si="260"/>
        <v>3.254736098564569E-4</v>
      </c>
      <c r="Q274" s="3">
        <f t="shared" si="260"/>
        <v>3.2547360985645646E-4</v>
      </c>
      <c r="R274" s="3">
        <f t="shared" si="260"/>
        <v>3.2547360985645175E-4</v>
      </c>
      <c r="S274" s="3">
        <f t="shared" si="260"/>
        <v>3.2547360985640497E-4</v>
      </c>
      <c r="T274" s="3">
        <f t="shared" si="260"/>
        <v>3.2547360985593729E-4</v>
      </c>
      <c r="U274" s="3">
        <f t="shared" si="260"/>
        <v>3.2547360985126043E-4</v>
      </c>
      <c r="V274" s="3">
        <f t="shared" si="260"/>
        <v>3.2547360980449158E-4</v>
      </c>
      <c r="W274" s="3">
        <f t="shared" si="260"/>
        <v>3.2547360933680292E-4</v>
      </c>
      <c r="X274" s="3">
        <f t="shared" si="260"/>
        <v>3.2547360465991671E-4</v>
      </c>
      <c r="Y274" s="3">
        <f t="shared" si="260"/>
        <v>3.254735578910579E-4</v>
      </c>
      <c r="Z274" s="3">
        <f t="shared" si="260"/>
        <v>3.2547309020283972E-4</v>
      </c>
      <c r="AA274" s="3">
        <f t="shared" si="260"/>
        <v>3.2546841335762063E-4</v>
      </c>
      <c r="AB274" s="3">
        <f t="shared" si="260"/>
        <v>3.2542164860145423E-4</v>
      </c>
      <c r="AC274" s="3">
        <f t="shared" si="260"/>
        <v>3.2495437044583695E-4</v>
      </c>
      <c r="AD274" s="3">
        <f t="shared" si="260"/>
        <v>3.2031833384462777E-4</v>
      </c>
      <c r="AE274" s="3">
        <f t="shared" si="260"/>
        <v>2.7744438589858724E-4</v>
      </c>
      <c r="AF274" s="3">
        <f t="shared" si="260"/>
        <v>6.5935208824688754E-5</v>
      </c>
      <c r="AG274" s="3"/>
      <c r="AH274" s="3"/>
    </row>
    <row r="275" spans="1:34" x14ac:dyDescent="0.25">
      <c r="B275" s="3">
        <f t="shared" ref="B275:AF275" si="261">$C44*EXP(-B$246/$A44/EXP(-$E$126))</f>
        <v>3.3657757333866336E-3</v>
      </c>
      <c r="C275" s="3">
        <f t="shared" si="261"/>
        <v>3.3657757333866336E-3</v>
      </c>
      <c r="D275" s="3">
        <f t="shared" si="261"/>
        <v>3.3657757333866336E-3</v>
      </c>
      <c r="E275" s="3">
        <f t="shared" si="261"/>
        <v>3.3657757333866336E-3</v>
      </c>
      <c r="F275" s="3">
        <f t="shared" si="261"/>
        <v>3.3657757333866336E-3</v>
      </c>
      <c r="G275" s="3">
        <f t="shared" si="261"/>
        <v>3.3657757333866336E-3</v>
      </c>
      <c r="H275" s="3">
        <f t="shared" si="261"/>
        <v>3.3657757333866336E-3</v>
      </c>
      <c r="I275" s="3">
        <f t="shared" si="261"/>
        <v>3.3657757333866336E-3</v>
      </c>
      <c r="J275" s="3">
        <f t="shared" si="261"/>
        <v>3.3657757333866336E-3</v>
      </c>
      <c r="K275" s="3">
        <f t="shared" si="261"/>
        <v>3.3657757333866336E-3</v>
      </c>
      <c r="L275" s="3">
        <f t="shared" si="261"/>
        <v>3.3657757333866336E-3</v>
      </c>
      <c r="M275" s="3">
        <f t="shared" si="261"/>
        <v>3.3657757333866336E-3</v>
      </c>
      <c r="N275" s="3">
        <f t="shared" si="261"/>
        <v>3.3657757333866336E-3</v>
      </c>
      <c r="O275" s="3">
        <f t="shared" si="261"/>
        <v>3.3657757333866336E-3</v>
      </c>
      <c r="P275" s="3">
        <f t="shared" si="261"/>
        <v>3.3657757333866336E-3</v>
      </c>
      <c r="Q275" s="3">
        <f t="shared" si="261"/>
        <v>3.3657757333866332E-3</v>
      </c>
      <c r="R275" s="3">
        <f t="shared" si="261"/>
        <v>3.3657757333866284E-3</v>
      </c>
      <c r="S275" s="3">
        <f t="shared" si="261"/>
        <v>3.3657757333865799E-3</v>
      </c>
      <c r="T275" s="3">
        <f t="shared" si="261"/>
        <v>3.3657757333860963E-3</v>
      </c>
      <c r="U275" s="3">
        <f t="shared" si="261"/>
        <v>3.3657757333812599E-3</v>
      </c>
      <c r="V275" s="3">
        <f t="shared" si="261"/>
        <v>3.3657757333328954E-3</v>
      </c>
      <c r="W275" s="3">
        <f t="shared" si="261"/>
        <v>3.365775732849251E-3</v>
      </c>
      <c r="X275" s="3">
        <f t="shared" si="261"/>
        <v>3.3657757280128064E-3</v>
      </c>
      <c r="Y275" s="3">
        <f t="shared" si="261"/>
        <v>3.3657756796483624E-3</v>
      </c>
      <c r="Z275" s="3">
        <f t="shared" si="261"/>
        <v>3.3657751960039588E-3</v>
      </c>
      <c r="AA275" s="3">
        <f t="shared" si="261"/>
        <v>3.3657703595637444E-3</v>
      </c>
      <c r="AB275" s="3">
        <f t="shared" si="261"/>
        <v>3.3657219955438343E-3</v>
      </c>
      <c r="AC275" s="3">
        <f t="shared" si="261"/>
        <v>3.3652383935659285E-3</v>
      </c>
      <c r="AD275" s="3">
        <f t="shared" si="261"/>
        <v>3.3604061938751094E-3</v>
      </c>
      <c r="AE275" s="3">
        <f t="shared" si="261"/>
        <v>3.3124641825448388E-3</v>
      </c>
      <c r="AF275" s="3">
        <f t="shared" si="261"/>
        <v>2.8690976876240767E-3</v>
      </c>
      <c r="AG275" s="3"/>
      <c r="AH275" s="3"/>
    </row>
    <row r="276" spans="1:34" x14ac:dyDescent="0.25">
      <c r="B276" s="3">
        <f t="shared" ref="B276:AF276" si="262">$C45*EXP(-B$246/$A45/EXP(-$E$126))</f>
        <v>7.1877880972849508E-4</v>
      </c>
      <c r="C276" s="3">
        <f t="shared" si="262"/>
        <v>7.1877880972849508E-4</v>
      </c>
      <c r="D276" s="3">
        <f t="shared" si="262"/>
        <v>7.1877880972849508E-4</v>
      </c>
      <c r="E276" s="3">
        <f t="shared" si="262"/>
        <v>7.1877880972849508E-4</v>
      </c>
      <c r="F276" s="3">
        <f t="shared" si="262"/>
        <v>7.1877880972849508E-4</v>
      </c>
      <c r="G276" s="3">
        <f t="shared" si="262"/>
        <v>7.1877880972849508E-4</v>
      </c>
      <c r="H276" s="3">
        <f t="shared" si="262"/>
        <v>7.1877880972849508E-4</v>
      </c>
      <c r="I276" s="3">
        <f t="shared" si="262"/>
        <v>7.1877880972849508E-4</v>
      </c>
      <c r="J276" s="3">
        <f t="shared" si="262"/>
        <v>7.1877880972849508E-4</v>
      </c>
      <c r="K276" s="3">
        <f t="shared" si="262"/>
        <v>7.1877880972849508E-4</v>
      </c>
      <c r="L276" s="3">
        <f t="shared" si="262"/>
        <v>7.1877880972849508E-4</v>
      </c>
      <c r="M276" s="3">
        <f t="shared" si="262"/>
        <v>7.1877880972849508E-4</v>
      </c>
      <c r="N276" s="3">
        <f t="shared" si="262"/>
        <v>7.1877880972849508E-4</v>
      </c>
      <c r="O276" s="3">
        <f t="shared" si="262"/>
        <v>7.1877880972849508E-4</v>
      </c>
      <c r="P276" s="3">
        <f t="shared" si="262"/>
        <v>7.1877880972849508E-4</v>
      </c>
      <c r="Q276" s="3">
        <f t="shared" si="262"/>
        <v>7.1877880972849508E-4</v>
      </c>
      <c r="R276" s="3">
        <f t="shared" si="262"/>
        <v>7.1877880972849497E-4</v>
      </c>
      <c r="S276" s="3">
        <f t="shared" si="262"/>
        <v>7.1877880972849399E-4</v>
      </c>
      <c r="T276" s="3">
        <f t="shared" si="262"/>
        <v>7.1877880972848359E-4</v>
      </c>
      <c r="U276" s="3">
        <f t="shared" si="262"/>
        <v>7.1877880972838037E-4</v>
      </c>
      <c r="V276" s="3">
        <f t="shared" si="262"/>
        <v>7.1877880972734745E-4</v>
      </c>
      <c r="W276" s="3">
        <f t="shared" si="262"/>
        <v>7.1877880971701902E-4</v>
      </c>
      <c r="X276" s="3">
        <f t="shared" si="262"/>
        <v>7.1877880961373423E-4</v>
      </c>
      <c r="Y276" s="3">
        <f t="shared" si="262"/>
        <v>7.1877880858088649E-4</v>
      </c>
      <c r="Z276" s="3">
        <f t="shared" si="262"/>
        <v>7.1877879825240937E-4</v>
      </c>
      <c r="AA276" s="3">
        <f t="shared" si="262"/>
        <v>7.1877869496764647E-4</v>
      </c>
      <c r="AB276" s="3">
        <f t="shared" si="262"/>
        <v>7.1877766212083308E-4</v>
      </c>
      <c r="AC276" s="3">
        <f t="shared" si="262"/>
        <v>7.1876733373432776E-4</v>
      </c>
      <c r="AD276" s="3">
        <f t="shared" si="262"/>
        <v>7.1866405803160832E-4</v>
      </c>
      <c r="AE276" s="3">
        <f t="shared" si="262"/>
        <v>7.1763211680400836E-4</v>
      </c>
      <c r="AF276" s="3">
        <f t="shared" si="262"/>
        <v>7.0739385241278918E-4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6.8174095740770341E-3</v>
      </c>
      <c r="C279" s="3">
        <f t="shared" si="265"/>
        <v>6.8174095740770341E-3</v>
      </c>
      <c r="D279" s="3">
        <f t="shared" si="265"/>
        <v>6.8174095740770341E-3</v>
      </c>
      <c r="E279" s="3">
        <f t="shared" si="265"/>
        <v>6.8174095740770341E-3</v>
      </c>
      <c r="F279" s="3">
        <f t="shared" si="265"/>
        <v>6.8174095740770341E-3</v>
      </c>
      <c r="G279" s="3">
        <f t="shared" si="265"/>
        <v>6.8174095740770341E-3</v>
      </c>
      <c r="H279" s="3">
        <f t="shared" si="265"/>
        <v>6.8174095740770341E-3</v>
      </c>
      <c r="I279" s="3">
        <f t="shared" si="265"/>
        <v>6.8174095740770341E-3</v>
      </c>
      <c r="J279" s="3">
        <f t="shared" si="265"/>
        <v>6.8174095740770341E-3</v>
      </c>
      <c r="K279" s="3">
        <f t="shared" si="265"/>
        <v>6.8174095740770341E-3</v>
      </c>
      <c r="L279" s="3">
        <f t="shared" si="265"/>
        <v>6.8174095740770341E-3</v>
      </c>
      <c r="M279" s="3">
        <f t="shared" si="265"/>
        <v>6.8174095740770341E-3</v>
      </c>
      <c r="N279" s="3">
        <f t="shared" si="265"/>
        <v>6.8174095740770341E-3</v>
      </c>
      <c r="O279" s="3">
        <f t="shared" si="265"/>
        <v>6.8174095740770341E-3</v>
      </c>
      <c r="P279" s="3">
        <f t="shared" si="265"/>
        <v>6.8174095740770341E-3</v>
      </c>
      <c r="Q279" s="3">
        <f t="shared" si="265"/>
        <v>6.8174095740770341E-3</v>
      </c>
      <c r="R279" s="3">
        <f t="shared" si="265"/>
        <v>6.8174095740770341E-3</v>
      </c>
      <c r="S279" s="3">
        <f t="shared" si="265"/>
        <v>6.8174095740770341E-3</v>
      </c>
      <c r="T279" s="3">
        <f t="shared" si="265"/>
        <v>6.8174095740770341E-3</v>
      </c>
      <c r="U279" s="3">
        <f t="shared" si="265"/>
        <v>6.8174095740770333E-3</v>
      </c>
      <c r="V279" s="3">
        <f t="shared" si="265"/>
        <v>6.8174095740770237E-3</v>
      </c>
      <c r="W279" s="3">
        <f t="shared" si="265"/>
        <v>6.8174095740769249E-3</v>
      </c>
      <c r="X279" s="3">
        <f t="shared" si="265"/>
        <v>6.8174095740759456E-3</v>
      </c>
      <c r="Y279" s="3">
        <f t="shared" si="265"/>
        <v>6.8174095740661496E-3</v>
      </c>
      <c r="Z279" s="3">
        <f t="shared" si="265"/>
        <v>6.8174095739681863E-3</v>
      </c>
      <c r="AA279" s="3">
        <f t="shared" si="265"/>
        <v>6.8174095729885611E-3</v>
      </c>
      <c r="AB279" s="3">
        <f t="shared" si="265"/>
        <v>6.8174095631922975E-3</v>
      </c>
      <c r="AC279" s="3">
        <f t="shared" si="265"/>
        <v>6.8174094652296733E-3</v>
      </c>
      <c r="AD279" s="3">
        <f t="shared" si="265"/>
        <v>6.8174084856035041E-3</v>
      </c>
      <c r="AE279" s="3">
        <f t="shared" si="265"/>
        <v>6.8173986893495546E-3</v>
      </c>
      <c r="AF279" s="3">
        <f t="shared" si="265"/>
        <v>6.8173007275842759E-3</v>
      </c>
      <c r="AG279" s="3"/>
      <c r="AH279" s="3"/>
    </row>
    <row r="280" spans="1:34" x14ac:dyDescent="0.25">
      <c r="A280" s="79">
        <f>AVERAGE(B280:AF280)</f>
        <v>1.4490631765471293E-2</v>
      </c>
      <c r="B280" s="80">
        <f>IF($D$61&lt;=B246,IF($E$61&gt;=B246,ABS((B248-B247)/B247),0),0)</f>
        <v>0.10507130638835346</v>
      </c>
      <c r="C280" s="80">
        <f t="shared" ref="C280:AF280" si="266">IF($D$61&lt;=C246,IF($E$61&gt;=C246,ABS((C248-C247)/C247),0),0)</f>
        <v>8.0312017306372566E-2</v>
      </c>
      <c r="D280" s="80">
        <f t="shared" si="266"/>
        <v>5.7484229881755083E-2</v>
      </c>
      <c r="E280" s="80">
        <f t="shared" si="266"/>
        <v>3.152572026088097E-2</v>
      </c>
      <c r="F280" s="80">
        <f t="shared" si="266"/>
        <v>4.259480733555707E-3</v>
      </c>
      <c r="G280" s="80">
        <f t="shared" si="266"/>
        <v>8.4770970914182509E-3</v>
      </c>
      <c r="H280" s="80">
        <f t="shared" si="266"/>
        <v>1.0943793756301523E-2</v>
      </c>
      <c r="I280" s="80">
        <f t="shared" si="266"/>
        <v>4.7813845556508782E-3</v>
      </c>
      <c r="J280" s="80">
        <f t="shared" si="266"/>
        <v>6.7554462068136695E-3</v>
      </c>
      <c r="K280" s="80">
        <f t="shared" si="266"/>
        <v>7.1740030511408129E-3</v>
      </c>
      <c r="L280" s="80">
        <f t="shared" si="266"/>
        <v>7.8243355086234211E-3</v>
      </c>
      <c r="M280" s="80">
        <f t="shared" si="266"/>
        <v>8.0708655458469267E-3</v>
      </c>
      <c r="N280" s="80">
        <f t="shared" si="266"/>
        <v>7.1692991561260397E-3</v>
      </c>
      <c r="O280" s="80">
        <f t="shared" si="266"/>
        <v>8.1366823568073728E-3</v>
      </c>
      <c r="P280" s="80">
        <f t="shared" si="266"/>
        <v>8.0081495329538972E-3</v>
      </c>
      <c r="Q280" s="80">
        <f t="shared" si="266"/>
        <v>8.0010889919329212E-3</v>
      </c>
      <c r="R280" s="80">
        <f t="shared" si="266"/>
        <v>7.0075723188915418E-3</v>
      </c>
      <c r="S280" s="80">
        <f t="shared" si="266"/>
        <v>1.1977523649386985E-3</v>
      </c>
      <c r="T280" s="80">
        <f t="shared" si="266"/>
        <v>1.6015940481055223E-2</v>
      </c>
      <c r="U280" s="80">
        <f t="shared" si="266"/>
        <v>2.5101932862193126E-2</v>
      </c>
      <c r="V280" s="80">
        <f t="shared" si="266"/>
        <v>2.0546239748046702E-2</v>
      </c>
      <c r="W280" s="80">
        <f t="shared" si="266"/>
        <v>1.1036771353759968E-2</v>
      </c>
      <c r="X280" s="80">
        <f t="shared" si="266"/>
        <v>4.6572017659219983E-4</v>
      </c>
      <c r="Y280" s="80">
        <f t="shared" si="266"/>
        <v>3.8427550995991685E-3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1000832.849097635</v>
      </c>
      <c r="C281" s="21">
        <f t="shared" ref="C281:AF281" si="267">(C248-C247)^2</f>
        <v>553666.03492391878</v>
      </c>
      <c r="D281" s="21">
        <f t="shared" si="267"/>
        <v>270062.97848324693</v>
      </c>
      <c r="E281" s="21">
        <f t="shared" si="267"/>
        <v>76889.931056977381</v>
      </c>
      <c r="F281" s="21">
        <f t="shared" si="267"/>
        <v>1320.9469585187267</v>
      </c>
      <c r="G281" s="21">
        <f t="shared" si="267"/>
        <v>4884.2208801877587</v>
      </c>
      <c r="H281" s="21">
        <f t="shared" si="267"/>
        <v>7585.3230599719873</v>
      </c>
      <c r="I281" s="21">
        <f t="shared" si="267"/>
        <v>1351.025789333944</v>
      </c>
      <c r="J281" s="21">
        <f t="shared" si="267"/>
        <v>2481.7502382305302</v>
      </c>
      <c r="K281" s="21">
        <f t="shared" si="267"/>
        <v>2526.2866473683202</v>
      </c>
      <c r="L281" s="21">
        <f t="shared" si="267"/>
        <v>2690.1411047866318</v>
      </c>
      <c r="M281" s="21">
        <f t="shared" si="267"/>
        <v>2594.7038097857544</v>
      </c>
      <c r="N281" s="21">
        <f t="shared" si="267"/>
        <v>1867.8145177452895</v>
      </c>
      <c r="O281" s="21">
        <f t="shared" si="267"/>
        <v>2187.9396609427149</v>
      </c>
      <c r="P281" s="21">
        <f t="shared" si="267"/>
        <v>1915.8828077453963</v>
      </c>
      <c r="Q281" s="21">
        <f t="shared" si="267"/>
        <v>1726.1458420555059</v>
      </c>
      <c r="R281" s="21">
        <f t="shared" si="267"/>
        <v>1170.8248896862599</v>
      </c>
      <c r="S281" s="21">
        <f t="shared" si="267"/>
        <v>29.070752548371502</v>
      </c>
      <c r="T281" s="21">
        <f t="shared" si="267"/>
        <v>4241.9938289058418</v>
      </c>
      <c r="U281" s="21">
        <f t="shared" si="267"/>
        <v>8155.160074849814</v>
      </c>
      <c r="V281" s="21">
        <f t="shared" si="267"/>
        <v>4063.3138616824144</v>
      </c>
      <c r="W281" s="21">
        <f t="shared" si="267"/>
        <v>803.68154717176242</v>
      </c>
      <c r="X281" s="21">
        <f t="shared" si="267"/>
        <v>0.8682160534467035</v>
      </c>
      <c r="Y281" s="21">
        <f t="shared" si="267"/>
        <v>31.801245721838946</v>
      </c>
      <c r="Z281" s="21">
        <f t="shared" si="267"/>
        <v>59.628719778821463</v>
      </c>
      <c r="AA281" s="21">
        <f t="shared" si="267"/>
        <v>11.478264054580521</v>
      </c>
      <c r="AB281" s="21">
        <f t="shared" si="267"/>
        <v>210.21104341362013</v>
      </c>
      <c r="AC281" s="21">
        <f t="shared" si="267"/>
        <v>0.5591017048386433</v>
      </c>
      <c r="AD281" s="21">
        <f t="shared" si="267"/>
        <v>10.506995574960827</v>
      </c>
      <c r="AE281" s="21">
        <f t="shared" si="267"/>
        <v>5.7416656496283705E-2</v>
      </c>
      <c r="AF281" s="21">
        <f t="shared" si="267"/>
        <v>0.19862047826891066</v>
      </c>
      <c r="AG281" s="3"/>
      <c r="AH281" s="3"/>
    </row>
    <row r="282" spans="1:34" s="3" customFormat="1" x14ac:dyDescent="0.25">
      <c r="A282" s="71">
        <f>SUM(B282:AF282)</f>
        <v>1953080.6892950695</v>
      </c>
      <c r="B282" s="21">
        <f>IF($D$61&lt;=B246,IF($E$61&gt;=B246,ABS(B281),0),0)</f>
        <v>1000832.849097635</v>
      </c>
      <c r="C282" s="21">
        <f t="shared" ref="C282:AF282" si="268">IF($D$61&lt;=C246,IF($E$61&gt;=C246,ABS(C281),0),0)</f>
        <v>553666.03492391878</v>
      </c>
      <c r="D282" s="21">
        <f t="shared" si="268"/>
        <v>270062.97848324693</v>
      </c>
      <c r="E282" s="21">
        <f t="shared" si="268"/>
        <v>76889.931056977381</v>
      </c>
      <c r="F282" s="21">
        <f t="shared" si="268"/>
        <v>1320.9469585187267</v>
      </c>
      <c r="G282" s="21">
        <f t="shared" si="268"/>
        <v>4884.2208801877587</v>
      </c>
      <c r="H282" s="21">
        <f t="shared" si="268"/>
        <v>7585.3230599719873</v>
      </c>
      <c r="I282" s="21">
        <f t="shared" si="268"/>
        <v>1351.025789333944</v>
      </c>
      <c r="J282" s="21">
        <f t="shared" si="268"/>
        <v>2481.7502382305302</v>
      </c>
      <c r="K282" s="21">
        <f t="shared" si="268"/>
        <v>2526.2866473683202</v>
      </c>
      <c r="L282" s="21">
        <f t="shared" si="268"/>
        <v>2690.1411047866318</v>
      </c>
      <c r="M282" s="21">
        <f t="shared" si="268"/>
        <v>2594.7038097857544</v>
      </c>
      <c r="N282" s="21">
        <f t="shared" si="268"/>
        <v>1867.8145177452895</v>
      </c>
      <c r="O282" s="21">
        <f t="shared" si="268"/>
        <v>2187.9396609427149</v>
      </c>
      <c r="P282" s="21">
        <f t="shared" si="268"/>
        <v>1915.8828077453963</v>
      </c>
      <c r="Q282" s="21">
        <f t="shared" si="268"/>
        <v>1726.1458420555059</v>
      </c>
      <c r="R282" s="21">
        <f t="shared" si="268"/>
        <v>1170.8248896862599</v>
      </c>
      <c r="S282" s="21">
        <f t="shared" si="268"/>
        <v>29.070752548371502</v>
      </c>
      <c r="T282" s="21">
        <f t="shared" si="268"/>
        <v>4241.9938289058418</v>
      </c>
      <c r="U282" s="21">
        <f t="shared" si="268"/>
        <v>8155.160074849814</v>
      </c>
      <c r="V282" s="21">
        <f t="shared" si="268"/>
        <v>4063.3138616824144</v>
      </c>
      <c r="W282" s="21">
        <f t="shared" si="268"/>
        <v>803.68154717176242</v>
      </c>
      <c r="X282" s="21">
        <f t="shared" si="268"/>
        <v>0.8682160534467035</v>
      </c>
      <c r="Y282" s="21">
        <f t="shared" si="268"/>
        <v>31.801245721838946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9259.9030429946288</v>
      </c>
      <c r="C286" s="26">
        <f>INDEX(Comparison!$AM$3:$AS$33,G$14,$F$122)</f>
        <v>8975.4373156175916</v>
      </c>
      <c r="D286" s="26">
        <f>INDEX(Comparison!$AM$3:$AS$33,H$14,$F$122)</f>
        <v>8718.1797337443004</v>
      </c>
      <c r="E286" s="26">
        <f>INDEX(Comparison!$AM$3:$AS$33,I$14,$F$122)</f>
        <v>8453.8665906134283</v>
      </c>
      <c r="F286" s="26">
        <f>INDEX(Comparison!$AM$3:$AS$33,J$14,$F$122)</f>
        <v>8157.4497816903277</v>
      </c>
      <c r="G286" s="26">
        <f>INDEX(Comparison!$AM$3:$AS$33,K$14,$F$122)</f>
        <v>7881.4803699008435</v>
      </c>
      <c r="H286" s="26">
        <f>INDEX(Comparison!$AM$3:$AS$33,L$14,$F$122)</f>
        <v>7606.797789198542</v>
      </c>
      <c r="I286" s="26">
        <f>INDEX(Comparison!$AM$3:$AS$33,M$14,$F$122)</f>
        <v>7278.8872759198184</v>
      </c>
      <c r="J286" s="26">
        <f>INDEX(Comparison!$AM$3:$AS$33,N$14,$F$122)</f>
        <v>6902.9128773701668</v>
      </c>
      <c r="K286" s="26">
        <f>INDEX(Comparison!$AM$3:$AS$33,O$14,$F$122)</f>
        <v>6533.8294095397778</v>
      </c>
      <c r="L286" s="26">
        <f>INDEX(Comparison!$AM$3:$AS$33,P$14,$F$122)</f>
        <v>6236.0805337275306</v>
      </c>
      <c r="M286" s="26">
        <f>INDEX(Comparison!$AM$3:$AS$33,Q$14,$F$122)</f>
        <v>5950.4123980915811</v>
      </c>
      <c r="N286" s="26">
        <f>INDEX(Comparison!$AM$3:$AS$33,R$14,$F$122)</f>
        <v>5675.5372968728034</v>
      </c>
      <c r="O286" s="26">
        <f>INDEX(Comparison!$AM$3:$AS$33,S$14,$F$122)</f>
        <v>5389.077424650558</v>
      </c>
      <c r="P286" s="26">
        <f>INDEX(Comparison!$AM$3:$AS$33,T$14,$F$122)</f>
        <v>5123.5437168709832</v>
      </c>
      <c r="Q286" s="26">
        <f>INDEX(Comparison!$AM$3:$AS$33,U$14,$F$122)</f>
        <v>4799.280908658001</v>
      </c>
      <c r="R286" s="26">
        <f>INDEX(Comparison!$AM$3:$AS$33,V$14,$F$122)</f>
        <v>4430.6662258617935</v>
      </c>
      <c r="S286" s="26">
        <f>INDEX(Comparison!$AM$3:$AS$33,W$14,$F$122)</f>
        <v>3990.4031488339651</v>
      </c>
      <c r="T286" s="26">
        <f>INDEX(Comparison!$AM$3:$AS$33,X$14,$F$122)</f>
        <v>3512.6173919241392</v>
      </c>
      <c r="U286" s="26">
        <f>INDEX(Comparison!$AM$3:$AS$33,Y$14,$F$122)</f>
        <v>2997.1269883218743</v>
      </c>
      <c r="V286" s="26">
        <f>INDEX(Comparison!$AM$3:$AS$33,Z$14,$F$122)</f>
        <v>2450.4999019800034</v>
      </c>
      <c r="W286" s="26">
        <f>INDEX(Comparison!$AM$3:$AS$33,AA$14,$F$122)</f>
        <v>1872.1545257089074</v>
      </c>
      <c r="X286" s="26">
        <f>INDEX(Comparison!$AM$3:$AS$33,AB$14,$F$122)</f>
        <v>1367.4511296212941</v>
      </c>
      <c r="Y286" s="26">
        <f>INDEX(Comparison!$AM$3:$AS$33,AC$14,$F$122)</f>
        <v>983.81195335121254</v>
      </c>
      <c r="Z286" s="26">
        <f>INDEX(Comparison!$AM$3:$AS$33,AD$14,$F$122)</f>
        <v>755.24433140254177</v>
      </c>
      <c r="AA286" s="26">
        <f>INDEX(Comparison!$AM$3:$AS$33,AE$14,$F$122)</f>
        <v>633.28610309701617</v>
      </c>
      <c r="AB286" s="26">
        <f>INDEX(Comparison!$AM$3:$AS$33,AF$14,$F$122)</f>
        <v>577.24905136540178</v>
      </c>
      <c r="AC286" s="26">
        <f>INDEX(Comparison!$AM$3:$AS$33,AG$14,$F$122)</f>
        <v>542.56491517927657</v>
      </c>
      <c r="AD286" s="26">
        <f>INDEX(Comparison!$AM$3:$AS$33,AH$14,$F$122)</f>
        <v>523.04517618896307</v>
      </c>
      <c r="AE286" s="26">
        <f>INDEX(Comparison!$AM$3:$AS$33,AI$14,$F$122)</f>
        <v>513.02385818918287</v>
      </c>
      <c r="AF286" s="26">
        <f>INDEX(Comparison!$AM$3:$AS$33,AJ$14,$F$122)</f>
        <v>488.70376604058401</v>
      </c>
      <c r="AG286" s="26"/>
      <c r="AH286" s="26"/>
    </row>
    <row r="287" spans="1:34" x14ac:dyDescent="0.25">
      <c r="A287" s="70" t="s">
        <v>22</v>
      </c>
      <c r="B287" s="27">
        <f>($C$17+SUM(B288:B318))*$B$51</f>
        <v>8520.8522065940851</v>
      </c>
      <c r="C287" s="27">
        <f t="shared" ref="C287:AF287" si="269">($C$17+SUM(C288:C318))*$B$51</f>
        <v>8520.4706392360276</v>
      </c>
      <c r="D287" s="27">
        <f t="shared" si="269"/>
        <v>8516.6676505677315</v>
      </c>
      <c r="E287" s="27">
        <f t="shared" si="269"/>
        <v>8479.87753872332</v>
      </c>
      <c r="F287" s="27">
        <f t="shared" si="269"/>
        <v>8211.6079986984969</v>
      </c>
      <c r="G287" s="27">
        <f t="shared" si="269"/>
        <v>7826.2510486372057</v>
      </c>
      <c r="H287" s="27">
        <f t="shared" si="269"/>
        <v>7589.5489126185512</v>
      </c>
      <c r="I287" s="27">
        <f t="shared" si="269"/>
        <v>7253.0866045477951</v>
      </c>
      <c r="J287" s="27">
        <f t="shared" si="269"/>
        <v>6879.1469451320263</v>
      </c>
      <c r="K287" s="27">
        <f t="shared" si="269"/>
        <v>6507.9144763978957</v>
      </c>
      <c r="L287" s="27">
        <f t="shared" si="269"/>
        <v>6200.4521103704183</v>
      </c>
      <c r="M287" s="27">
        <f t="shared" si="269"/>
        <v>5925.3213678189131</v>
      </c>
      <c r="N287" s="27">
        <f t="shared" si="269"/>
        <v>5638.9583368163139</v>
      </c>
      <c r="O287" s="27">
        <f t="shared" si="269"/>
        <v>5358.8052627060688</v>
      </c>
      <c r="P287" s="27">
        <f t="shared" si="269"/>
        <v>5084.1945847647658</v>
      </c>
      <c r="Q287" s="27">
        <f t="shared" si="269"/>
        <v>4769.5078006640315</v>
      </c>
      <c r="R287" s="27">
        <f t="shared" si="269"/>
        <v>4416.8120173667121</v>
      </c>
      <c r="S287" s="27">
        <f t="shared" si="269"/>
        <v>4029.3378707870752</v>
      </c>
      <c r="T287" s="27">
        <f t="shared" si="269"/>
        <v>3561.9291249944863</v>
      </c>
      <c r="U287" s="27">
        <f t="shared" si="269"/>
        <v>3022.8267761083798</v>
      </c>
      <c r="V287" s="27">
        <f t="shared" si="269"/>
        <v>2446.8229424359383</v>
      </c>
      <c r="W287" s="27">
        <f t="shared" si="269"/>
        <v>1851.4783405878729</v>
      </c>
      <c r="X287" s="27">
        <f t="shared" si="269"/>
        <v>1350.5306591874632</v>
      </c>
      <c r="Y287" s="27">
        <f t="shared" si="269"/>
        <v>971.83988250110474</v>
      </c>
      <c r="Z287" s="27">
        <f t="shared" si="269"/>
        <v>766.06790359610306</v>
      </c>
      <c r="AA287" s="27">
        <f t="shared" si="269"/>
        <v>615.36115584968911</v>
      </c>
      <c r="AB287" s="27">
        <f t="shared" si="269"/>
        <v>578.73178795594322</v>
      </c>
      <c r="AC287" s="27">
        <f t="shared" si="269"/>
        <v>538.6466183928585</v>
      </c>
      <c r="AD287" s="27">
        <f t="shared" si="269"/>
        <v>522.9327978523844</v>
      </c>
      <c r="AE287" s="27">
        <f t="shared" si="269"/>
        <v>512.20104899264004</v>
      </c>
      <c r="AF287" s="27">
        <f t="shared" si="269"/>
        <v>486.5534389770803</v>
      </c>
      <c r="AG287" s="27"/>
      <c r="AH287" s="27"/>
    </row>
    <row r="288" spans="1:34" x14ac:dyDescent="0.25">
      <c r="B288" s="3">
        <f t="shared" ref="B288:AF288" si="270">$C18*EXP(-B$285/$A18/EXP(-$F$126))</f>
        <v>5.794222199599274E-119</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5.8244160625303215E-2</v>
      </c>
      <c r="C289" s="3">
        <f t="shared" si="271"/>
        <v>5.8207858434944408E-2</v>
      </c>
      <c r="D289" s="3">
        <f t="shared" si="271"/>
        <v>5.7846078653074118E-2</v>
      </c>
      <c r="E289" s="3">
        <f t="shared" si="271"/>
        <v>5.4349674788667091E-2</v>
      </c>
      <c r="F289" s="3">
        <f t="shared" si="271"/>
        <v>2.9135817604704919E-2</v>
      </c>
      <c r="G289" s="3">
        <f t="shared" si="271"/>
        <v>5.7112320908500231E-5</v>
      </c>
      <c r="H289" s="3">
        <f t="shared" si="271"/>
        <v>4.7836104325463018E-32</v>
      </c>
      <c r="I289" s="3">
        <f t="shared" si="271"/>
        <v>8.1286000556589713E-303</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1.7254852141703685E-2</v>
      </c>
      <c r="C290" s="3">
        <f t="shared" si="272"/>
        <v>1.7253881717908651E-2</v>
      </c>
      <c r="D290" s="3">
        <f t="shared" si="272"/>
        <v>1.7244180481200536E-2</v>
      </c>
      <c r="E290" s="3">
        <f t="shared" si="272"/>
        <v>1.714746761473359E-2</v>
      </c>
      <c r="F290" s="3">
        <f t="shared" si="272"/>
        <v>1.6209675027275945E-2</v>
      </c>
      <c r="G290" s="3">
        <f t="shared" si="272"/>
        <v>9.236713578295851E-3</v>
      </c>
      <c r="H290" s="3">
        <f t="shared" si="272"/>
        <v>3.3338738516733416E-5</v>
      </c>
      <c r="I290" s="3">
        <f t="shared" si="272"/>
        <v>1.2510250997815155E-29</v>
      </c>
      <c r="J290" s="3">
        <f t="shared" si="272"/>
        <v>6.92523678163901E-274</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3.2278419620253782E-2</v>
      </c>
      <c r="C291" s="3">
        <f t="shared" si="273"/>
        <v>3.2278255855604294E-2</v>
      </c>
      <c r="D291" s="3">
        <f t="shared" si="273"/>
        <v>3.2276618254806037E-2</v>
      </c>
      <c r="E291" s="3">
        <f t="shared" si="273"/>
        <v>3.2260246815628391E-2</v>
      </c>
      <c r="F291" s="3">
        <f t="shared" si="273"/>
        <v>3.209698844784914E-2</v>
      </c>
      <c r="G291" s="3">
        <f t="shared" si="273"/>
        <v>3.0509162614439329E-2</v>
      </c>
      <c r="H291" s="3">
        <f t="shared" si="273"/>
        <v>1.8369202660393737E-2</v>
      </c>
      <c r="I291" s="3">
        <f t="shared" si="273"/>
        <v>1.1499805214926773E-4</v>
      </c>
      <c r="J291" s="3">
        <f t="shared" si="273"/>
        <v>1.0633892637610748E-26</v>
      </c>
      <c r="K291" s="3">
        <f t="shared" si="273"/>
        <v>4.8608267364803292E-247</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3.7144503679744499E-2</v>
      </c>
      <c r="C292" s="3">
        <f t="shared" si="274"/>
        <v>3.7144486679700328E-2</v>
      </c>
      <c r="D292" s="3">
        <f t="shared" si="274"/>
        <v>3.7144316679686519E-2</v>
      </c>
      <c r="E292" s="3">
        <f t="shared" si="274"/>
        <v>3.714261672234024E-2</v>
      </c>
      <c r="F292" s="3">
        <f t="shared" si="274"/>
        <v>3.7125621427330134E-2</v>
      </c>
      <c r="G292" s="3">
        <f t="shared" si="274"/>
        <v>3.6956095598879357E-2</v>
      </c>
      <c r="H292" s="3">
        <f t="shared" si="274"/>
        <v>3.5302834964476157E-2</v>
      </c>
      <c r="I292" s="3">
        <f t="shared" si="274"/>
        <v>2.2338015504468439E-2</v>
      </c>
      <c r="J292" s="3">
        <f t="shared" si="274"/>
        <v>2.2982361099690852E-4</v>
      </c>
      <c r="K292" s="3">
        <f t="shared" si="274"/>
        <v>3.0541840430151329E-24</v>
      </c>
      <c r="L292" s="3">
        <f t="shared" si="274"/>
        <v>5.2468760117331645E-223</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4.0797811538176874E-2</v>
      </c>
      <c r="C293" s="3">
        <f t="shared" si="275"/>
        <v>4.0797809853800895E-2</v>
      </c>
      <c r="D293" s="3">
        <f t="shared" si="275"/>
        <v>4.079779301004495E-2</v>
      </c>
      <c r="E293" s="3">
        <f t="shared" si="275"/>
        <v>4.0797624572867917E-2</v>
      </c>
      <c r="F293" s="3">
        <f t="shared" si="275"/>
        <v>4.0795940239344547E-2</v>
      </c>
      <c r="G293" s="3">
        <f t="shared" si="275"/>
        <v>4.0779100728219379E-2</v>
      </c>
      <c r="H293" s="3">
        <f t="shared" si="275"/>
        <v>4.0611087444301794E-2</v>
      </c>
      <c r="I293" s="3">
        <f t="shared" si="275"/>
        <v>3.8968560452084973E-2</v>
      </c>
      <c r="J293" s="3">
        <f t="shared" si="275"/>
        <v>2.5787652074102791E-2</v>
      </c>
      <c r="K293" s="3">
        <f t="shared" si="275"/>
        <v>4.1532320431879246E-4</v>
      </c>
      <c r="L293" s="3">
        <f t="shared" si="275"/>
        <v>4.8767459895532159E-22</v>
      </c>
      <c r="M293" s="3">
        <f t="shared" si="275"/>
        <v>2.4297944181148542E-201</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3.2982255901284847E-2</v>
      </c>
      <c r="C294" s="3">
        <f t="shared" si="276"/>
        <v>3.2982255778447871E-2</v>
      </c>
      <c r="D294" s="3">
        <f t="shared" si="276"/>
        <v>3.2982254550078104E-2</v>
      </c>
      <c r="E294" s="3">
        <f t="shared" si="276"/>
        <v>3.2982242266382959E-2</v>
      </c>
      <c r="F294" s="3">
        <f t="shared" si="276"/>
        <v>3.2982119429683127E-2</v>
      </c>
      <c r="G294" s="3">
        <f t="shared" si="276"/>
        <v>3.2980891087846159E-2</v>
      </c>
      <c r="H294" s="3">
        <f t="shared" si="276"/>
        <v>3.2968610185264806E-2</v>
      </c>
      <c r="I294" s="3">
        <f t="shared" si="276"/>
        <v>3.2846052391951257E-2</v>
      </c>
      <c r="J294" s="3">
        <f t="shared" si="276"/>
        <v>3.1645254931206533E-2</v>
      </c>
      <c r="K294" s="3">
        <f t="shared" si="276"/>
        <v>2.1805335463868942E-2</v>
      </c>
      <c r="L294" s="3">
        <f t="shared" si="276"/>
        <v>5.2614386461162955E-4</v>
      </c>
      <c r="M294" s="3">
        <f t="shared" si="276"/>
        <v>3.5198316346261211E-20</v>
      </c>
      <c r="N294" s="3">
        <f t="shared" si="276"/>
        <v>6.3196887284918359E-182</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2.7372238188325904E-2</v>
      </c>
      <c r="C295" s="3">
        <f t="shared" si="277"/>
        <v>2.737223817912976E-2</v>
      </c>
      <c r="D295" s="3">
        <f t="shared" si="277"/>
        <v>2.7372238087168342E-2</v>
      </c>
      <c r="E295" s="3">
        <f t="shared" si="277"/>
        <v>2.7372237167554152E-2</v>
      </c>
      <c r="F295" s="3">
        <f t="shared" si="277"/>
        <v>2.7372227971413952E-2</v>
      </c>
      <c r="G295" s="3">
        <f t="shared" si="277"/>
        <v>2.7372136010181892E-2</v>
      </c>
      <c r="H295" s="3">
        <f t="shared" si="277"/>
        <v>2.7371216414853822E-2</v>
      </c>
      <c r="I295" s="3">
        <f t="shared" si="277"/>
        <v>2.7362022160613644E-2</v>
      </c>
      <c r="J295" s="3">
        <f t="shared" si="277"/>
        <v>2.7270249311252201E-2</v>
      </c>
      <c r="K295" s="3">
        <f t="shared" si="277"/>
        <v>2.6369281062844026E-2</v>
      </c>
      <c r="L295" s="3">
        <f t="shared" si="277"/>
        <v>1.8844737751850141E-2</v>
      </c>
      <c r="M295" s="3">
        <f t="shared" si="277"/>
        <v>6.5479926939252333E-4</v>
      </c>
      <c r="N295" s="3">
        <f t="shared" si="277"/>
        <v>1.6799218046024903E-18</v>
      </c>
      <c r="O295" s="3">
        <f t="shared" si="277"/>
        <v>2.0753811894672599E-164</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2.9420754796378627E-2</v>
      </c>
      <c r="C296" s="3">
        <f t="shared" si="278"/>
        <v>2.9420754795486975E-2</v>
      </c>
      <c r="D296" s="3">
        <f t="shared" si="278"/>
        <v>2.9420754786570448E-2</v>
      </c>
      <c r="E296" s="3">
        <f t="shared" si="278"/>
        <v>2.9420754697405172E-2</v>
      </c>
      <c r="F296" s="3">
        <f t="shared" si="278"/>
        <v>2.9420753805752417E-2</v>
      </c>
      <c r="G296" s="3">
        <f t="shared" si="278"/>
        <v>2.9420744889226354E-2</v>
      </c>
      <c r="H296" s="3">
        <f t="shared" si="278"/>
        <v>2.9420655724114377E-2</v>
      </c>
      <c r="I296" s="3">
        <f t="shared" si="278"/>
        <v>2.9419764087857181E-2</v>
      </c>
      <c r="J296" s="3">
        <f t="shared" si="278"/>
        <v>2.9410849211379323E-2</v>
      </c>
      <c r="K296" s="3">
        <f t="shared" si="278"/>
        <v>2.9321848889497074E-2</v>
      </c>
      <c r="L296" s="3">
        <f t="shared" si="278"/>
        <v>2.8446524843712559E-2</v>
      </c>
      <c r="M296" s="3">
        <f t="shared" si="278"/>
        <v>2.1009121454375258E-2</v>
      </c>
      <c r="N296" s="3">
        <f t="shared" si="278"/>
        <v>1.0143658584276624E-3</v>
      </c>
      <c r="O296" s="3">
        <f t="shared" si="278"/>
        <v>6.9833199237111794E-17</v>
      </c>
      <c r="P296" s="3">
        <f t="shared" si="278"/>
        <v>1.6700716053463358E-148</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2.9009360037797281E-2</v>
      </c>
      <c r="C297" s="3">
        <f t="shared" si="279"/>
        <v>2.9009360037717973E-2</v>
      </c>
      <c r="D297" s="3">
        <f t="shared" si="279"/>
        <v>2.9009360036924874E-2</v>
      </c>
      <c r="E297" s="3">
        <f t="shared" si="279"/>
        <v>2.9009360028993895E-2</v>
      </c>
      <c r="F297" s="3">
        <f t="shared" si="279"/>
        <v>2.9009359949684125E-2</v>
      </c>
      <c r="G297" s="3">
        <f t="shared" si="279"/>
        <v>2.9009359156586437E-2</v>
      </c>
      <c r="H297" s="3">
        <f t="shared" si="279"/>
        <v>2.9009351225610727E-2</v>
      </c>
      <c r="I297" s="3">
        <f t="shared" si="279"/>
        <v>2.9009271915972891E-2</v>
      </c>
      <c r="J297" s="3">
        <f t="shared" si="279"/>
        <v>2.9008478831519947E-2</v>
      </c>
      <c r="K297" s="3">
        <f t="shared" si="279"/>
        <v>2.900054917941014E-2</v>
      </c>
      <c r="L297" s="3">
        <f t="shared" si="279"/>
        <v>2.8921371779742459E-2</v>
      </c>
      <c r="M297" s="3">
        <f t="shared" si="279"/>
        <v>2.8141390304133828E-2</v>
      </c>
      <c r="N297" s="3">
        <f t="shared" si="279"/>
        <v>2.1409777945133986E-2</v>
      </c>
      <c r="O297" s="3">
        <f t="shared" si="279"/>
        <v>1.3908435999271406E-3</v>
      </c>
      <c r="P297" s="3">
        <f t="shared" si="279"/>
        <v>1.8618283152716463E-15</v>
      </c>
      <c r="Q297" s="3">
        <f t="shared" si="279"/>
        <v>3.4399566987344802E-134</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2.6775000161877369E-2</v>
      </c>
      <c r="C298" s="3">
        <f t="shared" si="280"/>
        <v>2.6775000161870767E-2</v>
      </c>
      <c r="D298" s="3">
        <f t="shared" si="280"/>
        <v>2.6775000161804733E-2</v>
      </c>
      <c r="E298" s="3">
        <f t="shared" si="280"/>
        <v>2.67750001611444E-2</v>
      </c>
      <c r="F298" s="3">
        <f t="shared" si="280"/>
        <v>2.6775000154541043E-2</v>
      </c>
      <c r="G298" s="3">
        <f t="shared" si="280"/>
        <v>2.67750000885075E-2</v>
      </c>
      <c r="H298" s="3">
        <f t="shared" si="280"/>
        <v>2.6774999428172054E-2</v>
      </c>
      <c r="I298" s="3">
        <f t="shared" si="280"/>
        <v>2.6774992824818482E-2</v>
      </c>
      <c r="J298" s="3">
        <f t="shared" si="280"/>
        <v>2.6774926791372354E-2</v>
      </c>
      <c r="K298" s="3">
        <f t="shared" si="280"/>
        <v>2.6774266465867985E-2</v>
      </c>
      <c r="L298" s="3">
        <f t="shared" si="280"/>
        <v>2.6767664106433178E-2</v>
      </c>
      <c r="M298" s="3">
        <f t="shared" si="280"/>
        <v>2.6701729991305798E-2</v>
      </c>
      <c r="N298" s="3">
        <f t="shared" si="280"/>
        <v>2.6051255647398585E-2</v>
      </c>
      <c r="O298" s="3">
        <f t="shared" si="280"/>
        <v>2.0357351165995019E-2</v>
      </c>
      <c r="P298" s="3">
        <f t="shared" si="280"/>
        <v>1.7284122832173746E-3</v>
      </c>
      <c r="Q298" s="3">
        <f t="shared" si="280"/>
        <v>3.3644036937711279E-14</v>
      </c>
      <c r="R298" s="3">
        <f t="shared" si="280"/>
        <v>2.6273363349982063E-121</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3.1584912015022726E-2</v>
      </c>
      <c r="C299" s="3">
        <f t="shared" si="281"/>
        <v>3.1584912015022018E-2</v>
      </c>
      <c r="D299" s="3">
        <f t="shared" si="281"/>
        <v>3.1584912015014996E-2</v>
      </c>
      <c r="E299" s="3">
        <f t="shared" si="281"/>
        <v>3.1584912014944726E-2</v>
      </c>
      <c r="F299" s="3">
        <f t="shared" si="281"/>
        <v>3.1584912014242038E-2</v>
      </c>
      <c r="G299" s="3">
        <f t="shared" si="281"/>
        <v>3.158491200721518E-2</v>
      </c>
      <c r="H299" s="3">
        <f t="shared" si="281"/>
        <v>3.1584911936946562E-2</v>
      </c>
      <c r="I299" s="3">
        <f t="shared" si="281"/>
        <v>3.1584911234260417E-2</v>
      </c>
      <c r="J299" s="3">
        <f t="shared" si="281"/>
        <v>3.158490420739981E-2</v>
      </c>
      <c r="K299" s="3">
        <f t="shared" si="281"/>
        <v>3.1584833938879731E-2</v>
      </c>
      <c r="L299" s="3">
        <f t="shared" si="281"/>
        <v>3.1584131262277035E-2</v>
      </c>
      <c r="M299" s="3">
        <f t="shared" si="281"/>
        <v>3.1577105355988025E-2</v>
      </c>
      <c r="N299" s="3">
        <f t="shared" si="281"/>
        <v>3.1506932196163892E-2</v>
      </c>
      <c r="O299" s="3">
        <f t="shared" si="281"/>
        <v>3.0813720611513742E-2</v>
      </c>
      <c r="P299" s="3">
        <f t="shared" si="281"/>
        <v>2.4667455990595506E-2</v>
      </c>
      <c r="Q299" s="3">
        <f t="shared" si="281"/>
        <v>2.6664078397847925E-3</v>
      </c>
      <c r="R299" s="3">
        <f t="shared" si="281"/>
        <v>5.8069586400605323E-13</v>
      </c>
      <c r="S299" s="3">
        <f t="shared" si="281"/>
        <v>1.3937031608852027E-109</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3.5926752556122703E-2</v>
      </c>
      <c r="C300" s="3">
        <f t="shared" si="282"/>
        <v>3.5926752556122633E-2</v>
      </c>
      <c r="D300" s="3">
        <f t="shared" si="282"/>
        <v>3.5926752556121905E-2</v>
      </c>
      <c r="E300" s="3">
        <f t="shared" si="282"/>
        <v>3.5926752556114695E-2</v>
      </c>
      <c r="F300" s="3">
        <f t="shared" si="282"/>
        <v>3.59267525560426E-2</v>
      </c>
      <c r="G300" s="3">
        <f t="shared" si="282"/>
        <v>3.592675255532158E-2</v>
      </c>
      <c r="H300" s="3">
        <f t="shared" si="282"/>
        <v>3.5926752548111396E-2</v>
      </c>
      <c r="I300" s="3">
        <f t="shared" si="282"/>
        <v>3.5926752476009564E-2</v>
      </c>
      <c r="J300" s="3">
        <f t="shared" si="282"/>
        <v>3.5926751754991292E-2</v>
      </c>
      <c r="K300" s="3">
        <f t="shared" si="282"/>
        <v>3.5926744544809305E-2</v>
      </c>
      <c r="L300" s="3">
        <f t="shared" si="282"/>
        <v>3.5926672443069033E-2</v>
      </c>
      <c r="M300" s="3">
        <f t="shared" si="282"/>
        <v>3.5925951433624918E-2</v>
      </c>
      <c r="N300" s="3">
        <f t="shared" si="282"/>
        <v>3.5918742134979177E-2</v>
      </c>
      <c r="O300" s="3">
        <f t="shared" si="282"/>
        <v>3.5846728669006643E-2</v>
      </c>
      <c r="P300" s="3">
        <f t="shared" si="282"/>
        <v>3.5134487324889219E-2</v>
      </c>
      <c r="Q300" s="3">
        <f t="shared" si="282"/>
        <v>2.8745809465250013E-2</v>
      </c>
      <c r="R300" s="3">
        <f t="shared" si="282"/>
        <v>3.8635253052278439E-3</v>
      </c>
      <c r="S300" s="3">
        <f t="shared" si="282"/>
        <v>7.4314908260634012E-12</v>
      </c>
      <c r="T300" s="3">
        <f t="shared" si="282"/>
        <v>5.1522602848762625E-99</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3.8216836337325075E-2</v>
      </c>
      <c r="C301" s="3">
        <f t="shared" si="283"/>
        <v>3.8216836337325068E-2</v>
      </c>
      <c r="D301" s="3">
        <f t="shared" si="283"/>
        <v>3.8216836337324998E-2</v>
      </c>
      <c r="E301" s="3">
        <f t="shared" si="283"/>
        <v>3.8216836337324304E-2</v>
      </c>
      <c r="F301" s="3">
        <f t="shared" si="283"/>
        <v>3.8216836337317386E-2</v>
      </c>
      <c r="G301" s="3">
        <f t="shared" si="283"/>
        <v>3.8216836337248199E-2</v>
      </c>
      <c r="H301" s="3">
        <f t="shared" si="283"/>
        <v>3.8216836336556322E-2</v>
      </c>
      <c r="I301" s="3">
        <f t="shared" si="283"/>
        <v>3.8216836329637537E-2</v>
      </c>
      <c r="J301" s="3">
        <f t="shared" si="283"/>
        <v>3.8216836260449721E-2</v>
      </c>
      <c r="K301" s="3">
        <f t="shared" si="283"/>
        <v>3.8216835568571542E-2</v>
      </c>
      <c r="L301" s="3">
        <f t="shared" si="283"/>
        <v>3.8216828649790403E-2</v>
      </c>
      <c r="M301" s="3">
        <f t="shared" si="283"/>
        <v>3.8216759462047993E-2</v>
      </c>
      <c r="N301" s="3">
        <f t="shared" si="283"/>
        <v>3.8216067591513005E-2</v>
      </c>
      <c r="O301" s="3">
        <f t="shared" si="283"/>
        <v>3.8209149575029362E-2</v>
      </c>
      <c r="P301" s="3">
        <f t="shared" si="283"/>
        <v>3.8140038250697762E-2</v>
      </c>
      <c r="Q301" s="3">
        <f t="shared" si="283"/>
        <v>3.7455763167607209E-2</v>
      </c>
      <c r="R301" s="3">
        <f t="shared" si="283"/>
        <v>3.1253158242288172E-2</v>
      </c>
      <c r="S301" s="3">
        <f t="shared" si="283"/>
        <v>5.1126553403494429E-3</v>
      </c>
      <c r="T301" s="3">
        <f t="shared" si="283"/>
        <v>7.0173408800854883E-11</v>
      </c>
      <c r="U301" s="3">
        <f t="shared" si="283"/>
        <v>1.6650724860910251E-89</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4.8113881849429982E-2</v>
      </c>
      <c r="C302" s="3">
        <f t="shared" si="284"/>
        <v>4.8113881849429982E-2</v>
      </c>
      <c r="D302" s="3">
        <f t="shared" si="284"/>
        <v>4.8113881849429968E-2</v>
      </c>
      <c r="E302" s="3">
        <f t="shared" si="284"/>
        <v>4.8113881849429899E-2</v>
      </c>
      <c r="F302" s="3">
        <f t="shared" si="284"/>
        <v>4.8113881849429115E-2</v>
      </c>
      <c r="G302" s="3">
        <f t="shared" si="284"/>
        <v>4.8113881849421253E-2</v>
      </c>
      <c r="H302" s="3">
        <f t="shared" si="284"/>
        <v>4.8113881849342677E-2</v>
      </c>
      <c r="I302" s="3">
        <f t="shared" si="284"/>
        <v>4.8113881848556909E-2</v>
      </c>
      <c r="J302" s="3">
        <f t="shared" si="284"/>
        <v>4.8113881840699278E-2</v>
      </c>
      <c r="K302" s="3">
        <f t="shared" si="284"/>
        <v>4.8113881762122918E-2</v>
      </c>
      <c r="L302" s="3">
        <f t="shared" si="284"/>
        <v>4.8113880976359345E-2</v>
      </c>
      <c r="M302" s="3">
        <f t="shared" si="284"/>
        <v>4.8113873118724317E-2</v>
      </c>
      <c r="N302" s="3">
        <f t="shared" si="284"/>
        <v>4.8113794542444611E-2</v>
      </c>
      <c r="O302" s="3">
        <f t="shared" si="284"/>
        <v>4.8113008786705415E-2</v>
      </c>
      <c r="P302" s="3">
        <f t="shared" si="284"/>
        <v>4.8105151935057017E-2</v>
      </c>
      <c r="Q302" s="3">
        <f t="shared" si="284"/>
        <v>4.8026653950302887E-2</v>
      </c>
      <c r="R302" s="3">
        <f t="shared" si="284"/>
        <v>4.7248684841843476E-2</v>
      </c>
      <c r="S302" s="3">
        <f t="shared" si="284"/>
        <v>4.0129492607015912E-2</v>
      </c>
      <c r="T302" s="3">
        <f t="shared" si="284"/>
        <v>7.8379612034068756E-3</v>
      </c>
      <c r="U302" s="3">
        <f t="shared" si="284"/>
        <v>6.3328254541065854E-10</v>
      </c>
      <c r="V302" s="3">
        <f t="shared" si="284"/>
        <v>7.5082997912731502E-81</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5.6463045562969084E-2</v>
      </c>
      <c r="C303" s="3">
        <f t="shared" si="285"/>
        <v>5.6463045562969084E-2</v>
      </c>
      <c r="D303" s="3">
        <f t="shared" si="285"/>
        <v>5.6463045562969084E-2</v>
      </c>
      <c r="E303" s="3">
        <f t="shared" si="285"/>
        <v>5.6463045562969078E-2</v>
      </c>
      <c r="F303" s="3">
        <f t="shared" si="285"/>
        <v>5.6463045562968987E-2</v>
      </c>
      <c r="G303" s="3">
        <f t="shared" si="285"/>
        <v>5.6463045562968162E-2</v>
      </c>
      <c r="H303" s="3">
        <f t="shared" si="285"/>
        <v>5.6463045562959842E-2</v>
      </c>
      <c r="I303" s="3">
        <f t="shared" si="285"/>
        <v>5.6463045562876658E-2</v>
      </c>
      <c r="J303" s="3">
        <f t="shared" si="285"/>
        <v>5.6463045562044831E-2</v>
      </c>
      <c r="K303" s="3">
        <f t="shared" si="285"/>
        <v>5.6463045553726575E-2</v>
      </c>
      <c r="L303" s="3">
        <f t="shared" si="285"/>
        <v>5.6463045470543996E-2</v>
      </c>
      <c r="M303" s="3">
        <f t="shared" si="285"/>
        <v>5.64630446387182E-2</v>
      </c>
      <c r="N303" s="3">
        <f t="shared" si="285"/>
        <v>5.6463036320460888E-2</v>
      </c>
      <c r="O303" s="3">
        <f t="shared" si="285"/>
        <v>5.6462953137955157E-2</v>
      </c>
      <c r="P303" s="3">
        <f t="shared" si="285"/>
        <v>5.6462121319637883E-2</v>
      </c>
      <c r="Q303" s="3">
        <f t="shared" si="285"/>
        <v>5.6453803810429436E-2</v>
      </c>
      <c r="R303" s="3">
        <f t="shared" si="285"/>
        <v>5.6370696078047969E-2</v>
      </c>
      <c r="S303" s="3">
        <f t="shared" si="285"/>
        <v>5.5546318151547557E-2</v>
      </c>
      <c r="T303" s="3">
        <f t="shared" si="285"/>
        <v>4.793735574676266E-2</v>
      </c>
      <c r="U303" s="3">
        <f t="shared" si="285"/>
        <v>1.098656792945705E-2</v>
      </c>
      <c r="V303" s="3">
        <f t="shared" si="285"/>
        <v>4.3928032696347185E-9</v>
      </c>
      <c r="W303" s="3">
        <f t="shared" si="285"/>
        <v>4.5871066827309484E-73</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5.9569205174430817E-2</v>
      </c>
      <c r="C304" s="3">
        <f t="shared" si="286"/>
        <v>5.9569205174430817E-2</v>
      </c>
      <c r="D304" s="3">
        <f t="shared" si="286"/>
        <v>5.9569205174430817E-2</v>
      </c>
      <c r="E304" s="3">
        <f t="shared" si="286"/>
        <v>5.9569205174430817E-2</v>
      </c>
      <c r="F304" s="3">
        <f t="shared" si="286"/>
        <v>5.956920517443081E-2</v>
      </c>
      <c r="G304" s="3">
        <f t="shared" si="286"/>
        <v>5.9569205174430734E-2</v>
      </c>
      <c r="H304" s="3">
        <f t="shared" si="286"/>
        <v>5.9569205174429936E-2</v>
      </c>
      <c r="I304" s="3">
        <f t="shared" si="286"/>
        <v>5.9569205174422019E-2</v>
      </c>
      <c r="J304" s="3">
        <f t="shared" si="286"/>
        <v>5.956920517434286E-2</v>
      </c>
      <c r="K304" s="3">
        <f t="shared" si="286"/>
        <v>5.9569205173551201E-2</v>
      </c>
      <c r="L304" s="3">
        <f t="shared" si="286"/>
        <v>5.9569205165634638E-2</v>
      </c>
      <c r="M304" s="3">
        <f t="shared" si="286"/>
        <v>5.9569205086469047E-2</v>
      </c>
      <c r="N304" s="3">
        <f t="shared" si="286"/>
        <v>5.9569204294813091E-2</v>
      </c>
      <c r="O304" s="3">
        <f t="shared" si="286"/>
        <v>5.9569196378254127E-2</v>
      </c>
      <c r="P304" s="3">
        <f t="shared" si="286"/>
        <v>5.9569117212722365E-2</v>
      </c>
      <c r="Q304" s="3">
        <f t="shared" si="286"/>
        <v>5.9568325563191152E-2</v>
      </c>
      <c r="R304" s="3">
        <f t="shared" si="286"/>
        <v>5.9560409646494679E-2</v>
      </c>
      <c r="S304" s="3">
        <f t="shared" si="286"/>
        <v>5.9481308312647155E-2</v>
      </c>
      <c r="T304" s="3">
        <f t="shared" si="286"/>
        <v>5.8696049949097454E-2</v>
      </c>
      <c r="U304" s="3">
        <f t="shared" si="286"/>
        <v>5.1391643652248666E-2</v>
      </c>
      <c r="V304" s="3">
        <f t="shared" si="286"/>
        <v>1.3605948738234726E-2</v>
      </c>
      <c r="W304" s="3">
        <f t="shared" si="286"/>
        <v>2.3019296944296567E-8</v>
      </c>
      <c r="X304" s="3">
        <f t="shared" si="286"/>
        <v>4.4230750059918486E-66</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6.4663842713273356E-2</v>
      </c>
      <c r="C305" s="3">
        <f t="shared" si="287"/>
        <v>6.4663842713273356E-2</v>
      </c>
      <c r="D305" s="3">
        <f t="shared" si="287"/>
        <v>6.4663842713273356E-2</v>
      </c>
      <c r="E305" s="3">
        <f t="shared" si="287"/>
        <v>6.4663842713273356E-2</v>
      </c>
      <c r="F305" s="3">
        <f t="shared" si="287"/>
        <v>6.4663842713273356E-2</v>
      </c>
      <c r="G305" s="3">
        <f t="shared" si="287"/>
        <v>6.4663842713273342E-2</v>
      </c>
      <c r="H305" s="3">
        <f t="shared" si="287"/>
        <v>6.4663842713273273E-2</v>
      </c>
      <c r="I305" s="3">
        <f t="shared" si="287"/>
        <v>6.4663842713272496E-2</v>
      </c>
      <c r="J305" s="3">
        <f t="shared" si="287"/>
        <v>6.4663842713264738E-2</v>
      </c>
      <c r="K305" s="3">
        <f t="shared" si="287"/>
        <v>6.4663842713187217E-2</v>
      </c>
      <c r="L305" s="3">
        <f t="shared" si="287"/>
        <v>6.4663842712412004E-2</v>
      </c>
      <c r="M305" s="3">
        <f t="shared" si="287"/>
        <v>6.4663842704659844E-2</v>
      </c>
      <c r="N305" s="3">
        <f t="shared" si="287"/>
        <v>6.4663842627138229E-2</v>
      </c>
      <c r="O305" s="3">
        <f t="shared" si="287"/>
        <v>6.4663841851922144E-2</v>
      </c>
      <c r="P305" s="3">
        <f t="shared" si="287"/>
        <v>6.4663834099761772E-2</v>
      </c>
      <c r="Q305" s="3">
        <f t="shared" si="287"/>
        <v>6.4663756578209039E-2</v>
      </c>
      <c r="R305" s="3">
        <f t="shared" si="287"/>
        <v>6.4662981367793346E-2</v>
      </c>
      <c r="S305" s="3">
        <f t="shared" si="287"/>
        <v>6.465522977475921E-2</v>
      </c>
      <c r="T305" s="3">
        <f t="shared" si="287"/>
        <v>6.4577764934043075E-2</v>
      </c>
      <c r="U305" s="3">
        <f t="shared" si="287"/>
        <v>6.3808202900019623E-2</v>
      </c>
      <c r="V305" s="3">
        <f t="shared" si="287"/>
        <v>5.659936360018842E-2</v>
      </c>
      <c r="W305" s="3">
        <f t="shared" si="287"/>
        <v>1.7067184979285124E-2</v>
      </c>
      <c r="X305" s="3">
        <f t="shared" si="287"/>
        <v>1.0608778220336431E-7</v>
      </c>
      <c r="Y305" s="3">
        <f t="shared" si="287"/>
        <v>9.1348226418342963E-60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4.8548005334617741E-2</v>
      </c>
      <c r="C306" s="3">
        <f t="shared" si="288"/>
        <v>4.8548005334617741E-2</v>
      </c>
      <c r="D306" s="3">
        <f t="shared" si="288"/>
        <v>4.8548005334617741E-2</v>
      </c>
      <c r="E306" s="3">
        <f t="shared" si="288"/>
        <v>4.8548005334617741E-2</v>
      </c>
      <c r="F306" s="3">
        <f t="shared" si="288"/>
        <v>4.8548005334617741E-2</v>
      </c>
      <c r="G306" s="3">
        <f t="shared" si="288"/>
        <v>4.8548005334617741E-2</v>
      </c>
      <c r="H306" s="3">
        <f t="shared" si="288"/>
        <v>4.8548005334617735E-2</v>
      </c>
      <c r="I306" s="3">
        <f t="shared" si="288"/>
        <v>4.8548005334617679E-2</v>
      </c>
      <c r="J306" s="3">
        <f t="shared" si="288"/>
        <v>4.8548005334617159E-2</v>
      </c>
      <c r="K306" s="3">
        <f t="shared" si="288"/>
        <v>4.8548005334611913E-2</v>
      </c>
      <c r="L306" s="3">
        <f t="shared" si="288"/>
        <v>4.8548005334559406E-2</v>
      </c>
      <c r="M306" s="3">
        <f t="shared" si="288"/>
        <v>4.8548005334034382E-2</v>
      </c>
      <c r="N306" s="3">
        <f t="shared" si="288"/>
        <v>4.8548005328784137E-2</v>
      </c>
      <c r="O306" s="3">
        <f t="shared" si="288"/>
        <v>4.8548005276281732E-2</v>
      </c>
      <c r="P306" s="3">
        <f t="shared" si="288"/>
        <v>4.854800475125761E-2</v>
      </c>
      <c r="Q306" s="3">
        <f t="shared" si="288"/>
        <v>4.8547999501016785E-2</v>
      </c>
      <c r="R306" s="3">
        <f t="shared" si="288"/>
        <v>4.8547946998639756E-2</v>
      </c>
      <c r="S306" s="3">
        <f t="shared" si="288"/>
        <v>4.8547421977992201E-2</v>
      </c>
      <c r="T306" s="3">
        <f t="shared" si="288"/>
        <v>4.8542172083786923E-2</v>
      </c>
      <c r="U306" s="3">
        <f t="shared" si="288"/>
        <v>4.8489704356259392E-2</v>
      </c>
      <c r="V306" s="3">
        <f t="shared" si="288"/>
        <v>4.7968136079452772E-2</v>
      </c>
      <c r="W306" s="3">
        <f t="shared" si="288"/>
        <v>4.305126460970328E-2</v>
      </c>
      <c r="X306" s="3">
        <f t="shared" si="288"/>
        <v>1.4598781640937994E-2</v>
      </c>
      <c r="Y306" s="3">
        <f t="shared" si="288"/>
        <v>2.9351047706944502E-7</v>
      </c>
      <c r="Z306" s="3">
        <f t="shared" si="288"/>
        <v>3.1673318228897383E-54</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3.8659494646510029E-2</v>
      </c>
      <c r="C307" s="3">
        <f t="shared" si="289"/>
        <v>3.8659494646510029E-2</v>
      </c>
      <c r="D307" s="3">
        <f t="shared" si="289"/>
        <v>3.8659494646510029E-2</v>
      </c>
      <c r="E307" s="3">
        <f t="shared" si="289"/>
        <v>3.8659494646510029E-2</v>
      </c>
      <c r="F307" s="3">
        <f t="shared" si="289"/>
        <v>3.8659494646510029E-2</v>
      </c>
      <c r="G307" s="3">
        <f t="shared" si="289"/>
        <v>3.8659494646510029E-2</v>
      </c>
      <c r="H307" s="3">
        <f t="shared" si="289"/>
        <v>3.8659494646510029E-2</v>
      </c>
      <c r="I307" s="3">
        <f t="shared" si="289"/>
        <v>3.8659494646510022E-2</v>
      </c>
      <c r="J307" s="3">
        <f t="shared" si="289"/>
        <v>3.8659494646509987E-2</v>
      </c>
      <c r="K307" s="3">
        <f t="shared" si="289"/>
        <v>3.8659494646509605E-2</v>
      </c>
      <c r="L307" s="3">
        <f t="shared" si="289"/>
        <v>3.8659494646505838E-2</v>
      </c>
      <c r="M307" s="3">
        <f t="shared" si="289"/>
        <v>3.8659494646468125E-2</v>
      </c>
      <c r="N307" s="3">
        <f t="shared" si="289"/>
        <v>3.8659494646090975E-2</v>
      </c>
      <c r="O307" s="3">
        <f t="shared" si="289"/>
        <v>3.8659494642319506E-2</v>
      </c>
      <c r="P307" s="3">
        <f t="shared" si="289"/>
        <v>3.8659494604604813E-2</v>
      </c>
      <c r="Q307" s="3">
        <f t="shared" si="289"/>
        <v>3.865949422745784E-2</v>
      </c>
      <c r="R307" s="3">
        <f t="shared" si="289"/>
        <v>3.8659490455988335E-2</v>
      </c>
      <c r="S307" s="3">
        <f t="shared" si="289"/>
        <v>3.8659452741313549E-2</v>
      </c>
      <c r="T307" s="3">
        <f t="shared" si="289"/>
        <v>3.8659075596589265E-2</v>
      </c>
      <c r="U307" s="3">
        <f t="shared" si="289"/>
        <v>3.8655304351699719E-2</v>
      </c>
      <c r="V307" s="3">
        <f t="shared" si="289"/>
        <v>3.8617612130834922E-2</v>
      </c>
      <c r="W307" s="3">
        <f t="shared" si="289"/>
        <v>3.8242705442799979E-2</v>
      </c>
      <c r="X307" s="3">
        <f t="shared" si="289"/>
        <v>3.4688101416521525E-2</v>
      </c>
      <c r="Y307" s="3">
        <f t="shared" si="289"/>
        <v>1.3076747817599089E-2</v>
      </c>
      <c r="Z307" s="3">
        <f t="shared" si="289"/>
        <v>7.5803966557640516E-7</v>
      </c>
      <c r="AA307" s="3">
        <f t="shared" si="289"/>
        <v>3.2479830893104354E-49</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6.6103757573429938E-3</v>
      </c>
      <c r="C308" s="3">
        <f t="shared" si="290"/>
        <v>6.6103757573429938E-3</v>
      </c>
      <c r="D308" s="3">
        <f t="shared" si="290"/>
        <v>6.6103757573429938E-3</v>
      </c>
      <c r="E308" s="3">
        <f t="shared" si="290"/>
        <v>6.6103757573429938E-3</v>
      </c>
      <c r="F308" s="3">
        <f t="shared" si="290"/>
        <v>6.6103757573429938E-3</v>
      </c>
      <c r="G308" s="3">
        <f t="shared" si="290"/>
        <v>6.6103757573429938E-3</v>
      </c>
      <c r="H308" s="3">
        <f t="shared" si="290"/>
        <v>6.6103757573429938E-3</v>
      </c>
      <c r="I308" s="3">
        <f t="shared" si="290"/>
        <v>6.6103757573429938E-3</v>
      </c>
      <c r="J308" s="3">
        <f t="shared" si="290"/>
        <v>6.6103757573429929E-3</v>
      </c>
      <c r="K308" s="3">
        <f t="shared" si="290"/>
        <v>6.6103757573429869E-3</v>
      </c>
      <c r="L308" s="3">
        <f t="shared" si="290"/>
        <v>6.6103757573429296E-3</v>
      </c>
      <c r="M308" s="3">
        <f t="shared" si="290"/>
        <v>6.6103757573423476E-3</v>
      </c>
      <c r="N308" s="3">
        <f t="shared" si="290"/>
        <v>6.6103757573365302E-3</v>
      </c>
      <c r="O308" s="3">
        <f t="shared" si="290"/>
        <v>6.6103757572783563E-3</v>
      </c>
      <c r="P308" s="3">
        <f t="shared" si="290"/>
        <v>6.6103757566966185E-3</v>
      </c>
      <c r="Q308" s="3">
        <f t="shared" si="290"/>
        <v>6.6103757508792415E-3</v>
      </c>
      <c r="R308" s="3">
        <f t="shared" si="290"/>
        <v>6.6103756927054745E-3</v>
      </c>
      <c r="S308" s="3">
        <f t="shared" si="290"/>
        <v>6.6103751109678303E-3</v>
      </c>
      <c r="T308" s="3">
        <f t="shared" si="290"/>
        <v>6.6103692935942024E-3</v>
      </c>
      <c r="U308" s="3">
        <f t="shared" si="290"/>
        <v>6.6103111201394893E-3</v>
      </c>
      <c r="V308" s="3">
        <f t="shared" si="290"/>
        <v>6.6097294137486403E-3</v>
      </c>
      <c r="W308" s="3">
        <f t="shared" si="290"/>
        <v>6.6039151645511602E-3</v>
      </c>
      <c r="X308" s="3">
        <f t="shared" si="290"/>
        <v>6.5460532293215136E-3</v>
      </c>
      <c r="Y308" s="3">
        <f t="shared" si="290"/>
        <v>5.9945971276792716E-3</v>
      </c>
      <c r="Z308" s="3">
        <f t="shared" si="290"/>
        <v>2.4863638870897737E-3</v>
      </c>
      <c r="AA308" s="3">
        <f t="shared" si="290"/>
        <v>3.7463777867835863E-7</v>
      </c>
      <c r="AB308" s="3">
        <f t="shared" si="290"/>
        <v>2.2598539585733501E-45</v>
      </c>
      <c r="AC308" s="3">
        <f t="shared" si="290"/>
        <v>0</v>
      </c>
      <c r="AD308" s="3">
        <f t="shared" si="290"/>
        <v>0</v>
      </c>
      <c r="AE308" s="3">
        <f t="shared" si="290"/>
        <v>0</v>
      </c>
      <c r="AF308" s="3">
        <f t="shared" si="290"/>
        <v>0</v>
      </c>
      <c r="AG308" s="3"/>
      <c r="AH308" s="3"/>
    </row>
    <row r="309" spans="1:34" x14ac:dyDescent="0.25">
      <c r="B309" s="3">
        <f t="shared" ref="B309:AF309" si="291">$C39*EXP(-B$285/$A39/EXP(-$F$126))</f>
        <v>1.6903393193058183E-2</v>
      </c>
      <c r="C309" s="3">
        <f t="shared" si="291"/>
        <v>1.6903393193058183E-2</v>
      </c>
      <c r="D309" s="3">
        <f t="shared" si="291"/>
        <v>1.6903393193058183E-2</v>
      </c>
      <c r="E309" s="3">
        <f t="shared" si="291"/>
        <v>1.6903393193058183E-2</v>
      </c>
      <c r="F309" s="3">
        <f t="shared" si="291"/>
        <v>1.6903393193058183E-2</v>
      </c>
      <c r="G309" s="3">
        <f t="shared" si="291"/>
        <v>1.6903393193058183E-2</v>
      </c>
      <c r="H309" s="3">
        <f t="shared" si="291"/>
        <v>1.6903393193058183E-2</v>
      </c>
      <c r="I309" s="3">
        <f t="shared" si="291"/>
        <v>1.6903393193058183E-2</v>
      </c>
      <c r="J309" s="3">
        <f t="shared" si="291"/>
        <v>1.6903393193058183E-2</v>
      </c>
      <c r="K309" s="3">
        <f t="shared" si="291"/>
        <v>1.690339319305818E-2</v>
      </c>
      <c r="L309" s="3">
        <f t="shared" si="291"/>
        <v>1.6903393193058138E-2</v>
      </c>
      <c r="M309" s="3">
        <f t="shared" si="291"/>
        <v>1.6903393193057725E-2</v>
      </c>
      <c r="N309" s="3">
        <f t="shared" si="291"/>
        <v>1.690339319305361E-2</v>
      </c>
      <c r="O309" s="3">
        <f t="shared" si="291"/>
        <v>1.690339319301247E-2</v>
      </c>
      <c r="P309" s="3">
        <f t="shared" si="291"/>
        <v>1.6903393192601049E-2</v>
      </c>
      <c r="Q309" s="3">
        <f t="shared" si="291"/>
        <v>1.6903393188486823E-2</v>
      </c>
      <c r="R309" s="3">
        <f t="shared" si="291"/>
        <v>1.6903393147344598E-2</v>
      </c>
      <c r="S309" s="3">
        <f t="shared" si="291"/>
        <v>1.690339273592233E-2</v>
      </c>
      <c r="T309" s="3">
        <f t="shared" si="291"/>
        <v>1.6903388621700204E-2</v>
      </c>
      <c r="U309" s="3">
        <f t="shared" si="291"/>
        <v>1.6903347479534037E-2</v>
      </c>
      <c r="V309" s="3">
        <f t="shared" si="291"/>
        <v>1.6902936063379902E-2</v>
      </c>
      <c r="W309" s="3">
        <f t="shared" si="291"/>
        <v>1.6898822452546008E-2</v>
      </c>
      <c r="X309" s="3">
        <f t="shared" si="291"/>
        <v>1.6857741365387941E-2</v>
      </c>
      <c r="Y309" s="3">
        <f t="shared" si="291"/>
        <v>1.6452383382626258E-2</v>
      </c>
      <c r="Z309" s="3">
        <f t="shared" si="291"/>
        <v>1.2898023597262236E-2</v>
      </c>
      <c r="AA309" s="3">
        <f t="shared" si="291"/>
        <v>1.1310104755428542E-3</v>
      </c>
      <c r="AB309" s="3">
        <f t="shared" si="291"/>
        <v>3.0401935280405784E-14</v>
      </c>
      <c r="AC309" s="3">
        <f t="shared" si="291"/>
        <v>5.9875238642477973E-120</v>
      </c>
      <c r="AD309" s="3">
        <f t="shared" si="291"/>
        <v>0</v>
      </c>
      <c r="AE309" s="3">
        <f t="shared" si="291"/>
        <v>0</v>
      </c>
      <c r="AF309" s="3">
        <f t="shared" si="291"/>
        <v>0</v>
      </c>
      <c r="AG309" s="3"/>
      <c r="AH309" s="3"/>
    </row>
    <row r="310" spans="1:34" x14ac:dyDescent="0.25">
      <c r="B310" s="3">
        <f t="shared" ref="B310:AF310" si="292">$C40*EXP(-B$285/$A40/EXP(-$F$126))</f>
        <v>1.9810156254800116E-3</v>
      </c>
      <c r="C310" s="3">
        <f t="shared" si="292"/>
        <v>1.9810156254800116E-3</v>
      </c>
      <c r="D310" s="3">
        <f t="shared" si="292"/>
        <v>1.9810156254800116E-3</v>
      </c>
      <c r="E310" s="3">
        <f t="shared" si="292"/>
        <v>1.9810156254800116E-3</v>
      </c>
      <c r="F310" s="3">
        <f t="shared" si="292"/>
        <v>1.9810156254800116E-3</v>
      </c>
      <c r="G310" s="3">
        <f t="shared" si="292"/>
        <v>1.9810156254800116E-3</v>
      </c>
      <c r="H310" s="3">
        <f t="shared" si="292"/>
        <v>1.9810156254800116E-3</v>
      </c>
      <c r="I310" s="3">
        <f t="shared" si="292"/>
        <v>1.9810156254800116E-3</v>
      </c>
      <c r="J310" s="3">
        <f t="shared" si="292"/>
        <v>1.9810156254800116E-3</v>
      </c>
      <c r="K310" s="3">
        <f t="shared" si="292"/>
        <v>1.9810156254800116E-3</v>
      </c>
      <c r="L310" s="3">
        <f t="shared" si="292"/>
        <v>1.9810156254800111E-3</v>
      </c>
      <c r="M310" s="3">
        <f t="shared" si="292"/>
        <v>1.9810156254800064E-3</v>
      </c>
      <c r="N310" s="3">
        <f t="shared" si="292"/>
        <v>1.9810156254799578E-3</v>
      </c>
      <c r="O310" s="3">
        <f t="shared" si="292"/>
        <v>1.981015625479476E-3</v>
      </c>
      <c r="P310" s="3">
        <f t="shared" si="292"/>
        <v>1.9810156254746543E-3</v>
      </c>
      <c r="Q310" s="3">
        <f t="shared" si="292"/>
        <v>1.9810156254264368E-3</v>
      </c>
      <c r="R310" s="3">
        <f t="shared" si="292"/>
        <v>1.9810156249442652E-3</v>
      </c>
      <c r="S310" s="3">
        <f t="shared" si="292"/>
        <v>1.9810156201225471E-3</v>
      </c>
      <c r="T310" s="3">
        <f t="shared" si="292"/>
        <v>1.9810155719053677E-3</v>
      </c>
      <c r="U310" s="3">
        <f t="shared" si="292"/>
        <v>1.9810150897336394E-3</v>
      </c>
      <c r="V310" s="3">
        <f t="shared" si="292"/>
        <v>1.9810102680228076E-3</v>
      </c>
      <c r="W310" s="3">
        <f t="shared" si="292"/>
        <v>1.9809620515599587E-3</v>
      </c>
      <c r="X310" s="3">
        <f t="shared" si="292"/>
        <v>1.9804799514723599E-3</v>
      </c>
      <c r="Y310" s="3">
        <f t="shared" si="292"/>
        <v>1.9756653988767751E-3</v>
      </c>
      <c r="Z310" s="3">
        <f t="shared" si="292"/>
        <v>1.9281589314715361E-3</v>
      </c>
      <c r="AA310" s="3">
        <f t="shared" si="292"/>
        <v>1.5116010136047508E-3</v>
      </c>
      <c r="AB310" s="3">
        <f t="shared" si="292"/>
        <v>1.3255027550043103E-4</v>
      </c>
      <c r="AC310" s="3">
        <f t="shared" si="292"/>
        <v>3.5629952014634291E-15</v>
      </c>
      <c r="AD310" s="3">
        <f t="shared" si="292"/>
        <v>7.017158151347109E-121</v>
      </c>
      <c r="AE310" s="3">
        <f t="shared" si="292"/>
        <v>0</v>
      </c>
      <c r="AF310" s="3">
        <f t="shared" si="292"/>
        <v>0</v>
      </c>
      <c r="AG310" s="3"/>
      <c r="AH310" s="3"/>
    </row>
    <row r="311" spans="1:34" x14ac:dyDescent="0.25">
      <c r="B311" s="3">
        <f t="shared" ref="B311:AF311" si="293">$C41*EXP(-B$285/$A41/EXP(-$F$126))</f>
        <v>4.9795148637895425E-3</v>
      </c>
      <c r="C311" s="3">
        <f t="shared" si="293"/>
        <v>4.9795148637895425E-3</v>
      </c>
      <c r="D311" s="3">
        <f t="shared" si="293"/>
        <v>4.9795148637895425E-3</v>
      </c>
      <c r="E311" s="3">
        <f t="shared" si="293"/>
        <v>4.9795148637895425E-3</v>
      </c>
      <c r="F311" s="3">
        <f t="shared" si="293"/>
        <v>4.9795148637895425E-3</v>
      </c>
      <c r="G311" s="3">
        <f t="shared" si="293"/>
        <v>4.9795148637895425E-3</v>
      </c>
      <c r="H311" s="3">
        <f t="shared" si="293"/>
        <v>4.9795148637895425E-3</v>
      </c>
      <c r="I311" s="3">
        <f t="shared" si="293"/>
        <v>4.9795148637895425E-3</v>
      </c>
      <c r="J311" s="3">
        <f t="shared" si="293"/>
        <v>4.9795148637895425E-3</v>
      </c>
      <c r="K311" s="3">
        <f t="shared" si="293"/>
        <v>4.9795148637895425E-3</v>
      </c>
      <c r="L311" s="3">
        <f t="shared" si="293"/>
        <v>4.9795148637895425E-3</v>
      </c>
      <c r="M311" s="3">
        <f t="shared" si="293"/>
        <v>4.9795148637895416E-3</v>
      </c>
      <c r="N311" s="3">
        <f t="shared" si="293"/>
        <v>4.9795148637895295E-3</v>
      </c>
      <c r="O311" s="3">
        <f t="shared" si="293"/>
        <v>4.9795148637894072E-3</v>
      </c>
      <c r="P311" s="3">
        <f t="shared" si="293"/>
        <v>4.9795148637881955E-3</v>
      </c>
      <c r="Q311" s="3">
        <f t="shared" si="293"/>
        <v>4.9795148637760758E-3</v>
      </c>
      <c r="R311" s="3">
        <f t="shared" si="293"/>
        <v>4.9795148636548759E-3</v>
      </c>
      <c r="S311" s="3">
        <f t="shared" si="293"/>
        <v>4.979514862442881E-3</v>
      </c>
      <c r="T311" s="3">
        <f t="shared" si="293"/>
        <v>4.9795148503229275E-3</v>
      </c>
      <c r="U311" s="3">
        <f t="shared" si="293"/>
        <v>4.9795147291233988E-3</v>
      </c>
      <c r="V311" s="3">
        <f t="shared" si="293"/>
        <v>4.9795135171282695E-3</v>
      </c>
      <c r="W311" s="3">
        <f t="shared" si="293"/>
        <v>4.9795013971931992E-3</v>
      </c>
      <c r="X311" s="3">
        <f t="shared" si="293"/>
        <v>4.9793801994649492E-3</v>
      </c>
      <c r="Y311" s="3">
        <f t="shared" si="293"/>
        <v>4.9781683844135408E-3</v>
      </c>
      <c r="Z311" s="3">
        <f t="shared" si="293"/>
        <v>4.966066442407705E-3</v>
      </c>
      <c r="AA311" s="3">
        <f t="shared" si="293"/>
        <v>4.8466533708862725E-3</v>
      </c>
      <c r="AB311" s="3">
        <f t="shared" si="293"/>
        <v>3.7995862417997588E-3</v>
      </c>
      <c r="AC311" s="3">
        <f t="shared" si="293"/>
        <v>3.3318064661598242E-4</v>
      </c>
      <c r="AD311" s="3">
        <f t="shared" si="293"/>
        <v>8.95600586744437E-15</v>
      </c>
      <c r="AE311" s="3">
        <f t="shared" si="293"/>
        <v>1.7638449120121513E-120</v>
      </c>
      <c r="AF311" s="3">
        <f t="shared" si="293"/>
        <v>0</v>
      </c>
      <c r="AG311" s="3"/>
      <c r="AH311" s="3"/>
    </row>
    <row r="312" spans="1:34" x14ac:dyDescent="0.25">
      <c r="B312" s="3">
        <f t="shared" ref="B312:AF312" si="294">$C42*EXP(-B$285/$A42/EXP(-$F$126))</f>
        <v>1.5203897421204233E-3</v>
      </c>
      <c r="C312" s="3">
        <f t="shared" si="294"/>
        <v>1.5203897421204233E-3</v>
      </c>
      <c r="D312" s="3">
        <f t="shared" si="294"/>
        <v>1.5203897421204233E-3</v>
      </c>
      <c r="E312" s="3">
        <f t="shared" si="294"/>
        <v>1.5203897421204233E-3</v>
      </c>
      <c r="F312" s="3">
        <f t="shared" si="294"/>
        <v>1.5203897421204233E-3</v>
      </c>
      <c r="G312" s="3">
        <f t="shared" si="294"/>
        <v>1.5203897421204233E-3</v>
      </c>
      <c r="H312" s="3">
        <f t="shared" si="294"/>
        <v>1.5203897421204233E-3</v>
      </c>
      <c r="I312" s="3">
        <f t="shared" si="294"/>
        <v>1.5203897421204233E-3</v>
      </c>
      <c r="J312" s="3">
        <f t="shared" si="294"/>
        <v>1.5203897421204233E-3</v>
      </c>
      <c r="K312" s="3">
        <f t="shared" si="294"/>
        <v>1.5203897421204233E-3</v>
      </c>
      <c r="L312" s="3">
        <f t="shared" si="294"/>
        <v>1.5203897421204233E-3</v>
      </c>
      <c r="M312" s="3">
        <f t="shared" si="294"/>
        <v>1.5203897421204233E-3</v>
      </c>
      <c r="N312" s="3">
        <f t="shared" si="294"/>
        <v>1.5203897421204229E-3</v>
      </c>
      <c r="O312" s="3">
        <f t="shared" si="294"/>
        <v>1.5203897421204192E-3</v>
      </c>
      <c r="P312" s="3">
        <f t="shared" si="294"/>
        <v>1.5203897421203821E-3</v>
      </c>
      <c r="Q312" s="3">
        <f t="shared" si="294"/>
        <v>1.5203897421200122E-3</v>
      </c>
      <c r="R312" s="3">
        <f t="shared" si="294"/>
        <v>1.5203897421163116E-3</v>
      </c>
      <c r="S312" s="3">
        <f t="shared" si="294"/>
        <v>1.5203897420793058E-3</v>
      </c>
      <c r="T312" s="3">
        <f t="shared" si="294"/>
        <v>1.5203897417092485E-3</v>
      </c>
      <c r="U312" s="3">
        <f t="shared" si="294"/>
        <v>1.5203897380086768E-3</v>
      </c>
      <c r="V312" s="3">
        <f t="shared" si="294"/>
        <v>1.5203897010029593E-3</v>
      </c>
      <c r="W312" s="3">
        <f t="shared" si="294"/>
        <v>1.5203893309458326E-3</v>
      </c>
      <c r="X312" s="3">
        <f t="shared" si="294"/>
        <v>1.5203856303795205E-3</v>
      </c>
      <c r="Y312" s="3">
        <f t="shared" si="294"/>
        <v>1.5203486252117801E-3</v>
      </c>
      <c r="Z312" s="3">
        <f t="shared" si="294"/>
        <v>1.5199786230682165E-3</v>
      </c>
      <c r="AA312" s="3">
        <f t="shared" si="294"/>
        <v>1.5162835505584007E-3</v>
      </c>
      <c r="AB312" s="3">
        <f t="shared" si="294"/>
        <v>1.4798232900746896E-3</v>
      </c>
      <c r="AC312" s="3">
        <f t="shared" si="294"/>
        <v>1.1601234466318887E-3</v>
      </c>
      <c r="AD312" s="3">
        <f t="shared" si="294"/>
        <v>1.0172967673450832E-4</v>
      </c>
      <c r="AE312" s="3">
        <f t="shared" si="294"/>
        <v>2.7345273231838765E-15</v>
      </c>
      <c r="AF312" s="3">
        <f t="shared" si="294"/>
        <v>5.3855280770739712E-121</v>
      </c>
      <c r="AG312" s="3"/>
      <c r="AH312" s="3"/>
    </row>
    <row r="313" spans="1:34" x14ac:dyDescent="0.25">
      <c r="B313" s="3">
        <f t="shared" ref="B313:AF313" si="295">$C43*EXP(-B$285/$A43/EXP(-$F$126))</f>
        <v>3.2547360985645695E-4</v>
      </c>
      <c r="C313" s="3">
        <f t="shared" si="295"/>
        <v>3.2547360985645695E-4</v>
      </c>
      <c r="D313" s="3">
        <f t="shared" si="295"/>
        <v>3.2547360985645695E-4</v>
      </c>
      <c r="E313" s="3">
        <f t="shared" si="295"/>
        <v>3.2547360985645695E-4</v>
      </c>
      <c r="F313" s="3">
        <f t="shared" si="295"/>
        <v>3.2547360985645695E-4</v>
      </c>
      <c r="G313" s="3">
        <f t="shared" si="295"/>
        <v>3.2547360985645695E-4</v>
      </c>
      <c r="H313" s="3">
        <f t="shared" si="295"/>
        <v>3.2547360985645695E-4</v>
      </c>
      <c r="I313" s="3">
        <f t="shared" si="295"/>
        <v>3.2547360985645695E-4</v>
      </c>
      <c r="J313" s="3">
        <f t="shared" si="295"/>
        <v>3.2547360985645695E-4</v>
      </c>
      <c r="K313" s="3">
        <f t="shared" si="295"/>
        <v>3.2547360985645695E-4</v>
      </c>
      <c r="L313" s="3">
        <f t="shared" si="295"/>
        <v>3.2547360985645695E-4</v>
      </c>
      <c r="M313" s="3">
        <f t="shared" si="295"/>
        <v>3.2547360985645695E-4</v>
      </c>
      <c r="N313" s="3">
        <f t="shared" si="295"/>
        <v>3.2547360985645695E-4</v>
      </c>
      <c r="O313" s="3">
        <f t="shared" si="295"/>
        <v>3.254736098564569E-4</v>
      </c>
      <c r="P313" s="3">
        <f t="shared" si="295"/>
        <v>3.2547360985645609E-4</v>
      </c>
      <c r="Q313" s="3">
        <f t="shared" si="295"/>
        <v>3.2547360985644812E-4</v>
      </c>
      <c r="R313" s="3">
        <f t="shared" si="295"/>
        <v>3.2547360985636892E-4</v>
      </c>
      <c r="S313" s="3">
        <f t="shared" si="295"/>
        <v>3.2547360985557674E-4</v>
      </c>
      <c r="T313" s="3">
        <f t="shared" si="295"/>
        <v>3.2547360984765486E-4</v>
      </c>
      <c r="U313" s="3">
        <f t="shared" si="295"/>
        <v>3.2547360976843578E-4</v>
      </c>
      <c r="V313" s="3">
        <f t="shared" si="295"/>
        <v>3.254736089762452E-4</v>
      </c>
      <c r="W313" s="3">
        <f t="shared" si="295"/>
        <v>3.2547360105433923E-4</v>
      </c>
      <c r="X313" s="3">
        <f t="shared" si="295"/>
        <v>3.2547352183529064E-4</v>
      </c>
      <c r="Y313" s="3">
        <f t="shared" si="295"/>
        <v>3.2547272964586531E-4</v>
      </c>
      <c r="Z313" s="3">
        <f t="shared" si="295"/>
        <v>3.2546480785765921E-4</v>
      </c>
      <c r="AA313" s="3">
        <f t="shared" si="295"/>
        <v>3.2538560057943051E-4</v>
      </c>
      <c r="AB313" s="3">
        <f t="shared" si="295"/>
        <v>3.2459458722599005E-4</v>
      </c>
      <c r="AC313" s="3">
        <f t="shared" si="295"/>
        <v>3.167894486702734E-4</v>
      </c>
      <c r="AD313" s="3">
        <f t="shared" si="295"/>
        <v>2.483505088161061E-4</v>
      </c>
      <c r="AE313" s="3">
        <f t="shared" si="295"/>
        <v>2.1777524669518801E-5</v>
      </c>
      <c r="AF313" s="3">
        <f t="shared" si="295"/>
        <v>5.8538705864096549E-16</v>
      </c>
      <c r="AG313" s="3"/>
      <c r="AH313" s="3"/>
    </row>
    <row r="314" spans="1:34" x14ac:dyDescent="0.25">
      <c r="B314" s="3">
        <f t="shared" ref="B314:AF314" si="296">$C44*EXP(-B$285/$A44/EXP(-$F$126))</f>
        <v>3.3657757333866336E-3</v>
      </c>
      <c r="C314" s="3">
        <f t="shared" si="296"/>
        <v>3.3657757333866336E-3</v>
      </c>
      <c r="D314" s="3">
        <f t="shared" si="296"/>
        <v>3.3657757333866336E-3</v>
      </c>
      <c r="E314" s="3">
        <f t="shared" si="296"/>
        <v>3.3657757333866336E-3</v>
      </c>
      <c r="F314" s="3">
        <f t="shared" si="296"/>
        <v>3.3657757333866336E-3</v>
      </c>
      <c r="G314" s="3">
        <f t="shared" si="296"/>
        <v>3.3657757333866336E-3</v>
      </c>
      <c r="H314" s="3">
        <f t="shared" si="296"/>
        <v>3.3657757333866336E-3</v>
      </c>
      <c r="I314" s="3">
        <f t="shared" si="296"/>
        <v>3.3657757333866336E-3</v>
      </c>
      <c r="J314" s="3">
        <f t="shared" si="296"/>
        <v>3.3657757333866336E-3</v>
      </c>
      <c r="K314" s="3">
        <f t="shared" si="296"/>
        <v>3.3657757333866336E-3</v>
      </c>
      <c r="L314" s="3">
        <f t="shared" si="296"/>
        <v>3.3657757333866336E-3</v>
      </c>
      <c r="M314" s="3">
        <f t="shared" si="296"/>
        <v>3.3657757333866336E-3</v>
      </c>
      <c r="N314" s="3">
        <f t="shared" si="296"/>
        <v>3.3657757333866336E-3</v>
      </c>
      <c r="O314" s="3">
        <f t="shared" si="296"/>
        <v>3.3657757333866336E-3</v>
      </c>
      <c r="P314" s="3">
        <f t="shared" si="296"/>
        <v>3.3657757333866328E-3</v>
      </c>
      <c r="Q314" s="3">
        <f t="shared" si="296"/>
        <v>3.3657757333866245E-3</v>
      </c>
      <c r="R314" s="3">
        <f t="shared" si="296"/>
        <v>3.3657757333865426E-3</v>
      </c>
      <c r="S314" s="3">
        <f t="shared" si="296"/>
        <v>3.3657757333857233E-3</v>
      </c>
      <c r="T314" s="3">
        <f t="shared" si="296"/>
        <v>3.3657757333775311E-3</v>
      </c>
      <c r="U314" s="3">
        <f t="shared" si="296"/>
        <v>3.3657757332956097E-3</v>
      </c>
      <c r="V314" s="3">
        <f t="shared" si="296"/>
        <v>3.3657757324763921E-3</v>
      </c>
      <c r="W314" s="3">
        <f t="shared" si="296"/>
        <v>3.3657757242842199E-3</v>
      </c>
      <c r="X314" s="3">
        <f t="shared" si="296"/>
        <v>3.3657756423624975E-3</v>
      </c>
      <c r="Y314" s="3">
        <f t="shared" si="296"/>
        <v>3.3657748231453836E-3</v>
      </c>
      <c r="Z314" s="3">
        <f t="shared" si="296"/>
        <v>3.3657666309852099E-3</v>
      </c>
      <c r="AA314" s="3">
        <f t="shared" si="296"/>
        <v>3.3656847104801321E-3</v>
      </c>
      <c r="AB314" s="3">
        <f t="shared" si="296"/>
        <v>3.3648656150853089E-3</v>
      </c>
      <c r="AC314" s="3">
        <f t="shared" si="296"/>
        <v>3.3566856168637366E-3</v>
      </c>
      <c r="AD314" s="3">
        <f t="shared" si="296"/>
        <v>3.275971404863146E-3</v>
      </c>
      <c r="AE314" s="3">
        <f t="shared" si="296"/>
        <v>2.5682331551124074E-3</v>
      </c>
      <c r="AF314" s="3">
        <f t="shared" si="296"/>
        <v>2.2520493780808144E-4</v>
      </c>
      <c r="AG314" s="3"/>
      <c r="AH314" s="3"/>
    </row>
    <row r="315" spans="1:34" x14ac:dyDescent="0.25">
      <c r="B315" s="3">
        <f t="shared" ref="B315:AF315" si="297">$C45*EXP(-B$285/$A45/EXP(-$F$126))</f>
        <v>7.1877880972849508E-4</v>
      </c>
      <c r="C315" s="3">
        <f t="shared" si="297"/>
        <v>7.1877880972849508E-4</v>
      </c>
      <c r="D315" s="3">
        <f t="shared" si="297"/>
        <v>7.1877880972849508E-4</v>
      </c>
      <c r="E315" s="3">
        <f t="shared" si="297"/>
        <v>7.1877880972849508E-4</v>
      </c>
      <c r="F315" s="3">
        <f t="shared" si="297"/>
        <v>7.1877880972849508E-4</v>
      </c>
      <c r="G315" s="3">
        <f t="shared" si="297"/>
        <v>7.1877880972849508E-4</v>
      </c>
      <c r="H315" s="3">
        <f t="shared" si="297"/>
        <v>7.1877880972849508E-4</v>
      </c>
      <c r="I315" s="3">
        <f t="shared" si="297"/>
        <v>7.1877880972849508E-4</v>
      </c>
      <c r="J315" s="3">
        <f t="shared" si="297"/>
        <v>7.1877880972849508E-4</v>
      </c>
      <c r="K315" s="3">
        <f t="shared" si="297"/>
        <v>7.1877880972849508E-4</v>
      </c>
      <c r="L315" s="3">
        <f t="shared" si="297"/>
        <v>7.1877880972849508E-4</v>
      </c>
      <c r="M315" s="3">
        <f t="shared" si="297"/>
        <v>7.1877880972849508E-4</v>
      </c>
      <c r="N315" s="3">
        <f t="shared" si="297"/>
        <v>7.1877880972849508E-4</v>
      </c>
      <c r="O315" s="3">
        <f t="shared" si="297"/>
        <v>7.1877880972849508E-4</v>
      </c>
      <c r="P315" s="3">
        <f t="shared" si="297"/>
        <v>7.1877880972849508E-4</v>
      </c>
      <c r="Q315" s="3">
        <f t="shared" si="297"/>
        <v>7.1877880972849497E-4</v>
      </c>
      <c r="R315" s="3">
        <f t="shared" si="297"/>
        <v>7.1877880972849313E-4</v>
      </c>
      <c r="S315" s="3">
        <f t="shared" si="297"/>
        <v>7.1877880972847556E-4</v>
      </c>
      <c r="T315" s="3">
        <f t="shared" si="297"/>
        <v>7.1877880972830068E-4</v>
      </c>
      <c r="U315" s="3">
        <f t="shared" si="297"/>
        <v>7.1877880972655121E-4</v>
      </c>
      <c r="V315" s="3">
        <f t="shared" si="297"/>
        <v>7.1877880970905642E-4</v>
      </c>
      <c r="W315" s="3">
        <f t="shared" si="297"/>
        <v>7.1877880953410825E-4</v>
      </c>
      <c r="X315" s="3">
        <f t="shared" si="297"/>
        <v>7.1877880778462759E-4</v>
      </c>
      <c r="Y315" s="3">
        <f t="shared" si="297"/>
        <v>7.1877879028982013E-4</v>
      </c>
      <c r="Z315" s="3">
        <f t="shared" si="297"/>
        <v>7.1877861534176994E-4</v>
      </c>
      <c r="AA315" s="3">
        <f t="shared" si="297"/>
        <v>7.1877686586360951E-4</v>
      </c>
      <c r="AB315" s="3">
        <f t="shared" si="297"/>
        <v>7.1875937131620155E-4</v>
      </c>
      <c r="AC315" s="3">
        <f t="shared" si="297"/>
        <v>7.1858444925971838E-4</v>
      </c>
      <c r="AD315" s="3">
        <f t="shared" si="297"/>
        <v>7.1683756834695859E-4</v>
      </c>
      <c r="AE315" s="3">
        <f t="shared" si="297"/>
        <v>6.9960063106249413E-4</v>
      </c>
      <c r="AF315" s="3">
        <f t="shared" si="297"/>
        <v>5.4845946865257188E-4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6.8174095740770341E-3</v>
      </c>
      <c r="C318" s="3">
        <f t="shared" si="300"/>
        <v>6.8174095740770341E-3</v>
      </c>
      <c r="D318" s="3">
        <f t="shared" si="300"/>
        <v>6.8174095740770341E-3</v>
      </c>
      <c r="E318" s="3">
        <f t="shared" si="300"/>
        <v>6.8174095740770341E-3</v>
      </c>
      <c r="F318" s="3">
        <f t="shared" si="300"/>
        <v>6.8174095740770341E-3</v>
      </c>
      <c r="G318" s="3">
        <f t="shared" si="300"/>
        <v>6.8174095740770341E-3</v>
      </c>
      <c r="H318" s="3">
        <f t="shared" si="300"/>
        <v>6.8174095740770341E-3</v>
      </c>
      <c r="I318" s="3">
        <f t="shared" si="300"/>
        <v>6.8174095740770341E-3</v>
      </c>
      <c r="J318" s="3">
        <f t="shared" si="300"/>
        <v>6.8174095740770341E-3</v>
      </c>
      <c r="K318" s="3">
        <f t="shared" si="300"/>
        <v>6.8174095740770341E-3</v>
      </c>
      <c r="L318" s="3">
        <f t="shared" si="300"/>
        <v>6.8174095740770341E-3</v>
      </c>
      <c r="M318" s="3">
        <f t="shared" si="300"/>
        <v>6.8174095740770341E-3</v>
      </c>
      <c r="N318" s="3">
        <f t="shared" si="300"/>
        <v>6.8174095740770341E-3</v>
      </c>
      <c r="O318" s="3">
        <f t="shared" si="300"/>
        <v>6.8174095740770341E-3</v>
      </c>
      <c r="P318" s="3">
        <f t="shared" si="300"/>
        <v>6.8174095740770341E-3</v>
      </c>
      <c r="Q318" s="3">
        <f t="shared" si="300"/>
        <v>6.8174095740770341E-3</v>
      </c>
      <c r="R318" s="3">
        <f t="shared" si="300"/>
        <v>6.8174095740770341E-3</v>
      </c>
      <c r="S318" s="3">
        <f t="shared" si="300"/>
        <v>6.8174095740770341E-3</v>
      </c>
      <c r="T318" s="3">
        <f t="shared" si="300"/>
        <v>6.8174095740770324E-3</v>
      </c>
      <c r="U318" s="3">
        <f t="shared" si="300"/>
        <v>6.8174095740770159E-3</v>
      </c>
      <c r="V318" s="3">
        <f t="shared" si="300"/>
        <v>6.8174095740768494E-3</v>
      </c>
      <c r="W318" s="3">
        <f t="shared" si="300"/>
        <v>6.8174095740751901E-3</v>
      </c>
      <c r="X318" s="3">
        <f t="shared" si="300"/>
        <v>6.8174095740585975E-3</v>
      </c>
      <c r="Y318" s="3">
        <f t="shared" si="300"/>
        <v>6.8174095738926643E-3</v>
      </c>
      <c r="Z318" s="3">
        <f t="shared" si="300"/>
        <v>6.8174095722333319E-3</v>
      </c>
      <c r="AA318" s="3">
        <f t="shared" si="300"/>
        <v>6.8174095556400114E-3</v>
      </c>
      <c r="AB318" s="3">
        <f t="shared" si="300"/>
        <v>6.8174093897068128E-3</v>
      </c>
      <c r="AC318" s="3">
        <f t="shared" si="300"/>
        <v>6.8174077303750453E-3</v>
      </c>
      <c r="AD318" s="3">
        <f t="shared" si="300"/>
        <v>6.8173911370795846E-3</v>
      </c>
      <c r="AE318" s="3">
        <f t="shared" si="300"/>
        <v>6.8172252063462644E-3</v>
      </c>
      <c r="AF318" s="3">
        <f t="shared" si="300"/>
        <v>6.8155661211222081E-3</v>
      </c>
      <c r="AG318" s="3"/>
      <c r="AH318" s="3"/>
    </row>
    <row r="319" spans="1:34" x14ac:dyDescent="0.25">
      <c r="A319" s="79">
        <f>AVERAGE(B319:AF319)</f>
        <v>2.3507664907638703E-3</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5.7132718483056382E-3</v>
      </c>
      <c r="M319" s="80">
        <f t="shared" si="301"/>
        <v>4.2166876165953019E-3</v>
      </c>
      <c r="N319" s="80">
        <f t="shared" si="301"/>
        <v>6.4450215271502666E-3</v>
      </c>
      <c r="O319" s="80">
        <f t="shared" si="301"/>
        <v>5.6173180600484927E-3</v>
      </c>
      <c r="P319" s="80">
        <f t="shared" si="301"/>
        <v>7.6800617464524105E-3</v>
      </c>
      <c r="Q319" s="80">
        <f t="shared" si="301"/>
        <v>6.2036602067318388E-3</v>
      </c>
      <c r="R319" s="80">
        <f t="shared" si="301"/>
        <v>3.1268905823269573E-3</v>
      </c>
      <c r="S319" s="80">
        <f t="shared" si="301"/>
        <v>9.7570898229887276E-3</v>
      </c>
      <c r="T319" s="80">
        <f t="shared" si="301"/>
        <v>1.4038458382549657E-2</v>
      </c>
      <c r="U319" s="80">
        <f t="shared" si="301"/>
        <v>8.5748077697886185E-3</v>
      </c>
      <c r="V319" s="80">
        <f t="shared" si="301"/>
        <v>1.5004936507420801E-3</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546196.13878434314</v>
      </c>
      <c r="C320" s="21">
        <f t="shared" ref="C320:AF320" si="302">(C287-C286)^2</f>
        <v>206994.67661768675</v>
      </c>
      <c r="D320" s="21">
        <f t="shared" si="302"/>
        <v>40607.119666160434</v>
      </c>
      <c r="E320" s="21">
        <f t="shared" si="302"/>
        <v>676.56942157547417</v>
      </c>
      <c r="F320" s="21">
        <f t="shared" si="302"/>
        <v>2933.1124695039512</v>
      </c>
      <c r="G320" s="21">
        <f t="shared" si="302"/>
        <v>3050.2779272421099</v>
      </c>
      <c r="H320" s="21">
        <f t="shared" si="302"/>
        <v>297.52374327175488</v>
      </c>
      <c r="I320" s="21">
        <f t="shared" si="302"/>
        <v>665.67464324714354</v>
      </c>
      <c r="J320" s="21">
        <f t="shared" si="302"/>
        <v>564.819535147887</v>
      </c>
      <c r="K320" s="21">
        <f t="shared" si="302"/>
        <v>671.58375974821934</v>
      </c>
      <c r="L320" s="21">
        <f t="shared" si="302"/>
        <v>1269.3845509136252</v>
      </c>
      <c r="M320" s="21">
        <f t="shared" si="302"/>
        <v>629.55980014393811</v>
      </c>
      <c r="N320" s="21">
        <f t="shared" si="302"/>
        <v>1338.0203188142507</v>
      </c>
      <c r="O320" s="21">
        <f t="shared" si="302"/>
        <v>916.40378879338004</v>
      </c>
      <c r="P320" s="21">
        <f t="shared" si="302"/>
        <v>1548.354197512552</v>
      </c>
      <c r="Q320" s="21">
        <f t="shared" si="302"/>
        <v>886.43795962056822</v>
      </c>
      <c r="R320" s="21">
        <f t="shared" si="302"/>
        <v>191.93909302518469</v>
      </c>
      <c r="S320" s="21">
        <f t="shared" si="302"/>
        <v>1515.9125735659902</v>
      </c>
      <c r="T320" s="21">
        <f t="shared" si="302"/>
        <v>2431.6470184011682</v>
      </c>
      <c r="U320" s="21">
        <f t="shared" si="302"/>
        <v>660.47909227142077</v>
      </c>
      <c r="V320" s="21">
        <f t="shared" si="302"/>
        <v>13.520031488691314</v>
      </c>
      <c r="W320" s="21">
        <f t="shared" si="302"/>
        <v>427.50463115928636</v>
      </c>
      <c r="X320" s="21">
        <f t="shared" si="302"/>
        <v>286.30231970214277</v>
      </c>
      <c r="Y320" s="21">
        <f t="shared" si="302"/>
        <v>143.33048044000085</v>
      </c>
      <c r="Z320" s="21">
        <f t="shared" si="302"/>
        <v>117.14971502923315</v>
      </c>
      <c r="AA320" s="21">
        <f t="shared" si="302"/>
        <v>321.30373381945776</v>
      </c>
      <c r="AB320" s="21">
        <f t="shared" si="302"/>
        <v>2.1985077969304401</v>
      </c>
      <c r="AC320" s="21">
        <f t="shared" si="302"/>
        <v>15.353049706454161</v>
      </c>
      <c r="AD320" s="21">
        <f t="shared" si="302"/>
        <v>1.2628890532189319E-2</v>
      </c>
      <c r="AE320" s="21">
        <f t="shared" si="302"/>
        <v>0.67701497391546539</v>
      </c>
      <c r="AF320" s="21">
        <f t="shared" si="302"/>
        <v>4.6239064800364869</v>
      </c>
      <c r="AG320" s="3"/>
      <c r="AH320" s="3"/>
    </row>
    <row r="321" spans="1:34" x14ac:dyDescent="0.25">
      <c r="A321" s="71">
        <f>SUM(B321:AF321)</f>
        <v>11401.658424550769</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1269.3845509136252</v>
      </c>
      <c r="M321" s="60">
        <f t="shared" ref="M321" si="313">IF($A$64&lt;=M285,IF($B$64&gt;=M285,ABS(M320),0),0)</f>
        <v>629.55980014393811</v>
      </c>
      <c r="N321" s="60">
        <f t="shared" ref="N321" si="314">IF($A$64&lt;=N285,IF($B$64&gt;=N285,ABS(N320),0),0)</f>
        <v>1338.0203188142507</v>
      </c>
      <c r="O321" s="60">
        <f t="shared" ref="O321" si="315">IF($A$64&lt;=O285,IF($B$64&gt;=O285,ABS(O320),0),0)</f>
        <v>916.40378879338004</v>
      </c>
      <c r="P321" s="60">
        <f t="shared" ref="P321" si="316">IF($A$64&lt;=P285,IF($B$64&gt;=P285,ABS(P320),0),0)</f>
        <v>1548.354197512552</v>
      </c>
      <c r="Q321" s="60">
        <f t="shared" ref="Q321" si="317">IF($A$64&lt;=Q285,IF($B$64&gt;=Q285,ABS(Q320),0),0)</f>
        <v>886.43795962056822</v>
      </c>
      <c r="R321" s="60">
        <f t="shared" ref="R321" si="318">IF($A$64&lt;=R285,IF($B$64&gt;=R285,ABS(R320),0),0)</f>
        <v>191.93909302518469</v>
      </c>
      <c r="S321" s="60">
        <f t="shared" ref="S321" si="319">IF($A$64&lt;=S285,IF($B$64&gt;=S285,ABS(S320),0),0)</f>
        <v>1515.9125735659902</v>
      </c>
      <c r="T321" s="60">
        <f t="shared" ref="T321" si="320">IF($A$64&lt;=T285,IF($B$64&gt;=T285,ABS(T320),0),0)</f>
        <v>2431.6470184011682</v>
      </c>
      <c r="U321" s="60">
        <f t="shared" ref="U321" si="321">IF($A$64&lt;=U285,IF($B$64&gt;=U285,ABS(U320),0),0)</f>
        <v>660.47909227142077</v>
      </c>
      <c r="V321" s="60">
        <f t="shared" ref="V321" si="322">IF($A$64&lt;=V285,IF($B$64&gt;=V285,ABS(V320),0),0)</f>
        <v>13.520031488691314</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8600.88026028485</v>
      </c>
      <c r="C325" s="26">
        <f>INDEX(Comparison!$AM$3:$AS$33,G$14,$G$122)</f>
        <v>8258.5143784911779</v>
      </c>
      <c r="D325" s="26">
        <f>INDEX(Comparison!$AM$3:$AS$33,H$14,$G$122)</f>
        <v>7962.1526037178537</v>
      </c>
      <c r="E325" s="26">
        <f>INDEX(Comparison!$AM$3:$AS$33,I$14,$G$122)</f>
        <v>7694.1164691736458</v>
      </c>
      <c r="F325" s="26">
        <f>INDEX(Comparison!$AM$3:$AS$33,J$14,$G$122)</f>
        <v>7392.1118529421537</v>
      </c>
      <c r="G325" s="26">
        <f>INDEX(Comparison!$AM$3:$AS$33,K$14,$G$122)</f>
        <v>7031.7099177768096</v>
      </c>
      <c r="H325" s="26">
        <f>INDEX(Comparison!$AM$3:$AS$33,L$14,$G$122)</f>
        <v>6653.2341038317008</v>
      </c>
      <c r="I325" s="26">
        <f>INDEX(Comparison!$AM$3:$AS$33,M$14,$G$122)</f>
        <v>6325.3637954371716</v>
      </c>
      <c r="J325" s="26">
        <f>INDEX(Comparison!$AM$3:$AS$33,N$14,$G$122)</f>
        <v>6045.8980186697399</v>
      </c>
      <c r="K325" s="26">
        <f>INDEX(Comparison!$AM$3:$AS$33,O$14,$G$122)</f>
        <v>5765.1058423358591</v>
      </c>
      <c r="L325" s="26">
        <f>INDEX(Comparison!$AM$3:$AS$33,P$14,$G$122)</f>
        <v>5486.9816625574504</v>
      </c>
      <c r="M325" s="26">
        <f>INDEX(Comparison!$AM$3:$AS$33,Q$14,$G$122)</f>
        <v>5211.1575946368548</v>
      </c>
      <c r="N325" s="26">
        <f>INDEX(Comparison!$AM$3:$AS$33,R$14,$G$122)</f>
        <v>4923.9623445747775</v>
      </c>
      <c r="O325" s="26">
        <f>INDEX(Comparison!$AM$3:$AS$33,S$14,$G$122)</f>
        <v>4584.0172032140918</v>
      </c>
      <c r="P325" s="26">
        <f>INDEX(Comparison!$AM$3:$AS$33,T$14,$G$122)</f>
        <v>4221.1859974432145</v>
      </c>
      <c r="Q325" s="26">
        <f>INDEX(Comparison!$AM$3:$AS$33,U$14,$G$122)</f>
        <v>3789.937412973562</v>
      </c>
      <c r="R325" s="26">
        <f>INDEX(Comparison!$AM$3:$AS$33,V$14,$G$122)</f>
        <v>3283.8683924627298</v>
      </c>
      <c r="S325" s="26">
        <f>INDEX(Comparison!$AM$3:$AS$33,W$14,$G$122)</f>
        <v>2714.7098539050189</v>
      </c>
      <c r="T325" s="26">
        <f>INDEX(Comparison!$AM$3:$AS$33,X$14,$G$122)</f>
        <v>2120.3389527808267</v>
      </c>
      <c r="U325" s="26">
        <f>INDEX(Comparison!$AM$3:$AS$33,Y$14,$G$122)</f>
        <v>1549.2251736201158</v>
      </c>
      <c r="V325" s="26">
        <f>INDEX(Comparison!$AM$3:$AS$33,Z$14,$G$122)</f>
        <v>1115.0562509241029</v>
      </c>
      <c r="W325" s="26">
        <f>INDEX(Comparison!$AM$3:$AS$33,AA$14,$G$122)</f>
        <v>819.57257707159806</v>
      </c>
      <c r="X325" s="26">
        <f>INDEX(Comparison!$AM$3:$AS$33,AB$14,$G$122)</f>
        <v>672.71182943032534</v>
      </c>
      <c r="Y325" s="26">
        <f>INDEX(Comparison!$AM$3:$AS$33,AC$14,$G$122)</f>
        <v>592.26686963031818</v>
      </c>
      <c r="Z325" s="26">
        <f>INDEX(Comparison!$AM$3:$AS$33,AD$14,$G$122)</f>
        <v>556.12366677692739</v>
      </c>
      <c r="AA325" s="26">
        <f>INDEX(Comparison!$AM$3:$AS$33,AE$14,$G$122)</f>
        <v>528.75323853804991</v>
      </c>
      <c r="AB325" s="26">
        <f>INDEX(Comparison!$AM$3:$AS$33,AF$14,$G$122)</f>
        <v>517.55067575260887</v>
      </c>
      <c r="AC325" s="26">
        <f>INDEX(Comparison!$AM$3:$AS$33,AG$14,$G$122)</f>
        <v>499.76142817308812</v>
      </c>
      <c r="AD325" s="26">
        <f>INDEX(Comparison!$AM$3:$AS$33,AH$14,$G$122)</f>
        <v>478.96737917397832</v>
      </c>
      <c r="AE325" s="26">
        <f>INDEX(Comparison!$AM$3:$AS$33,AI$14,$G$122)</f>
        <v>475.66972462501121</v>
      </c>
      <c r="AF325" s="26">
        <f>INDEX(Comparison!$AM$3:$AS$33,AJ$14,$G$122)</f>
        <v>475.44842733478526</v>
      </c>
      <c r="AG325" s="26"/>
      <c r="AH325" s="26"/>
    </row>
    <row r="326" spans="1:34" x14ac:dyDescent="0.25">
      <c r="A326" s="77" t="s">
        <v>22</v>
      </c>
      <c r="B326" s="27">
        <f>($C$17+SUM(B327:B357))*$B$51</f>
        <v>8505.4065247071794</v>
      </c>
      <c r="C326" s="27">
        <f t="shared" ref="C326:AF326" si="333">($C$17+SUM(C327:C357))*$B$51</f>
        <v>8382.0306581946134</v>
      </c>
      <c r="D326" s="27">
        <f t="shared" si="333"/>
        <v>7929.4770038674887</v>
      </c>
      <c r="E326" s="27">
        <f t="shared" si="333"/>
        <v>7699.48348901793</v>
      </c>
      <c r="F326" s="27">
        <f t="shared" si="333"/>
        <v>7391.3880190594691</v>
      </c>
      <c r="G326" s="27">
        <f t="shared" si="333"/>
        <v>7031.8477271432739</v>
      </c>
      <c r="H326" s="27">
        <f t="shared" si="333"/>
        <v>6653.1888158655711</v>
      </c>
      <c r="I326" s="27">
        <f t="shared" si="333"/>
        <v>6325.6003001796207</v>
      </c>
      <c r="J326" s="27">
        <f t="shared" si="333"/>
        <v>6045.4584599150312</v>
      </c>
      <c r="K326" s="27">
        <f t="shared" si="333"/>
        <v>5766.1220258352569</v>
      </c>
      <c r="L326" s="27">
        <f t="shared" si="333"/>
        <v>5485.3508333704749</v>
      </c>
      <c r="M326" s="27">
        <f t="shared" si="333"/>
        <v>5213.6066566052859</v>
      </c>
      <c r="N326" s="27">
        <f t="shared" si="333"/>
        <v>4921.0408649151759</v>
      </c>
      <c r="O326" s="27">
        <f t="shared" si="333"/>
        <v>4587.1886732686953</v>
      </c>
      <c r="P326" s="27">
        <f t="shared" si="333"/>
        <v>4218.4300270581471</v>
      </c>
      <c r="Q326" s="27">
        <f t="shared" si="333"/>
        <v>3792.147438760569</v>
      </c>
      <c r="R326" s="27">
        <f t="shared" si="333"/>
        <v>3282.4769875823181</v>
      </c>
      <c r="S326" s="27">
        <f t="shared" si="333"/>
        <v>2715.5897602044615</v>
      </c>
      <c r="T326" s="27">
        <f t="shared" si="333"/>
        <v>2119.9922696364238</v>
      </c>
      <c r="U326" s="27">
        <f t="shared" si="333"/>
        <v>1549.446055773845</v>
      </c>
      <c r="V326" s="27">
        <f t="shared" si="333"/>
        <v>1115.0325134652549</v>
      </c>
      <c r="W326" s="27">
        <f t="shared" si="333"/>
        <v>819.64288941813822</v>
      </c>
      <c r="X326" s="27">
        <f t="shared" si="333"/>
        <v>672.73825054628639</v>
      </c>
      <c r="Y326" s="27">
        <f t="shared" si="333"/>
        <v>592.27798711014316</v>
      </c>
      <c r="Z326" s="27">
        <f t="shared" si="333"/>
        <v>556.22763667026959</v>
      </c>
      <c r="AA326" s="27">
        <f t="shared" si="333"/>
        <v>528.65354354663941</v>
      </c>
      <c r="AB326" s="27">
        <f t="shared" si="333"/>
        <v>518.18551825704935</v>
      </c>
      <c r="AC326" s="27">
        <f t="shared" si="333"/>
        <v>497.92425503359101</v>
      </c>
      <c r="AD326" s="27">
        <f t="shared" si="333"/>
        <v>481.31675605639293</v>
      </c>
      <c r="AE326" s="27">
        <f t="shared" si="333"/>
        <v>477.9999954449832</v>
      </c>
      <c r="AF326" s="27">
        <f t="shared" si="333"/>
        <v>472.08194302508991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5.6775185436567989E-2</v>
      </c>
      <c r="C328" s="3">
        <f t="shared" si="335"/>
        <v>4.5086168095303712E-2</v>
      </c>
      <c r="D328" s="3">
        <f t="shared" si="335"/>
        <v>4.4966695255900958E-3</v>
      </c>
      <c r="E328" s="3">
        <f t="shared" si="335"/>
        <v>4.378924153472114E-13</v>
      </c>
      <c r="F328" s="3">
        <f t="shared" si="335"/>
        <v>3.3583962897919613E-113</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1.7215137126969531E-2</v>
      </c>
      <c r="C329" s="3">
        <f t="shared" si="336"/>
        <v>1.6860842022930783E-2</v>
      </c>
      <c r="D329" s="3">
        <f t="shared" si="336"/>
        <v>1.3695156141750655E-2</v>
      </c>
      <c r="E329" s="3">
        <f t="shared" si="336"/>
        <v>1.7117655281162084E-3</v>
      </c>
      <c r="F329" s="3">
        <f t="shared" si="336"/>
        <v>1.5930050672287867E-12</v>
      </c>
      <c r="G329" s="3">
        <f t="shared" si="336"/>
        <v>7.7615054664438261E-103</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3.2271710625006181E-2</v>
      </c>
      <c r="C330" s="3">
        <f t="shared" si="337"/>
        <v>3.2211228958638982E-2</v>
      </c>
      <c r="D330" s="3">
        <f t="shared" si="337"/>
        <v>3.1612611681343029E-2</v>
      </c>
      <c r="E330" s="3">
        <f t="shared" si="337"/>
        <v>2.6205424232122902E-2</v>
      </c>
      <c r="F330" s="3">
        <f t="shared" si="337"/>
        <v>4.0151278258765697E-3</v>
      </c>
      <c r="G330" s="3">
        <f t="shared" si="337"/>
        <v>2.8627352721620775E-11</v>
      </c>
      <c r="H330" s="3">
        <f t="shared" si="337"/>
        <v>9.718501786792405E-93</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3.7143807169614122E-2</v>
      </c>
      <c r="C331" s="3">
        <f t="shared" si="338"/>
        <v>3.713752216927782E-2</v>
      </c>
      <c r="D331" s="3">
        <f t="shared" si="338"/>
        <v>3.7074730626942443E-2</v>
      </c>
      <c r="E331" s="3">
        <f t="shared" si="338"/>
        <v>3.6452624867849927E-2</v>
      </c>
      <c r="F331" s="3">
        <f t="shared" si="338"/>
        <v>3.0777747095290079E-2</v>
      </c>
      <c r="G331" s="3">
        <f t="shared" si="338"/>
        <v>5.6665278863326386E-3</v>
      </c>
      <c r="H331" s="3">
        <f t="shared" si="338"/>
        <v>2.5358237636788614E-10</v>
      </c>
      <c r="I331" s="3">
        <f t="shared" si="338"/>
        <v>8.1684459071556743E-84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4.0797742526903567E-2</v>
      </c>
      <c r="C332" s="3">
        <f t="shared" si="339"/>
        <v>4.0797119746349343E-2</v>
      </c>
      <c r="D332" s="3">
        <f t="shared" si="339"/>
        <v>4.0790892463656712E-2</v>
      </c>
      <c r="E332" s="3">
        <f t="shared" si="339"/>
        <v>4.0728671892168299E-2</v>
      </c>
      <c r="F332" s="3">
        <f t="shared" si="339"/>
        <v>4.0111662326704281E-2</v>
      </c>
      <c r="G332" s="3">
        <f t="shared" si="339"/>
        <v>3.4432993534378023E-2</v>
      </c>
      <c r="H332" s="3">
        <f t="shared" si="339"/>
        <v>7.4819703931946731E-3</v>
      </c>
      <c r="I332" s="3">
        <f t="shared" si="339"/>
        <v>1.7556099288335802E-9</v>
      </c>
      <c r="J332" s="3">
        <f t="shared" si="339"/>
        <v>8.8827708429798415E-76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3.2982250868475775E-2</v>
      </c>
      <c r="C333" s="3">
        <f t="shared" si="340"/>
        <v>3.2982205450391877E-2</v>
      </c>
      <c r="D333" s="3">
        <f t="shared" si="340"/>
        <v>3.2981751272992757E-2</v>
      </c>
      <c r="E333" s="3">
        <f t="shared" si="340"/>
        <v>3.2977209842967987E-2</v>
      </c>
      <c r="F333" s="3">
        <f t="shared" si="340"/>
        <v>3.2931829921847164E-2</v>
      </c>
      <c r="G333" s="3">
        <f t="shared" si="340"/>
        <v>3.2481451171238088E-2</v>
      </c>
      <c r="H333" s="3">
        <f t="shared" si="340"/>
        <v>2.8302905758793611E-2</v>
      </c>
      <c r="I333" s="3">
        <f t="shared" si="340"/>
        <v>7.1414605047077093E-3</v>
      </c>
      <c r="J333" s="3">
        <f t="shared" si="340"/>
        <v>7.4704570449724105E-9</v>
      </c>
      <c r="K333" s="3">
        <f t="shared" si="340"/>
        <v>1.172056411410272E-68</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2.7372237811546608E-2</v>
      </c>
      <c r="C334" s="3">
        <f t="shared" si="341"/>
        <v>2.7372234411337043E-2</v>
      </c>
      <c r="D334" s="3">
        <f t="shared" si="341"/>
        <v>2.7372200409264601E-2</v>
      </c>
      <c r="E334" s="3">
        <f t="shared" si="341"/>
        <v>2.7371860390863246E-2</v>
      </c>
      <c r="F334" s="3">
        <f t="shared" si="341"/>
        <v>2.7368460439145662E-2</v>
      </c>
      <c r="G334" s="3">
        <f t="shared" si="341"/>
        <v>2.733448414089153E-2</v>
      </c>
      <c r="H334" s="3">
        <f t="shared" si="341"/>
        <v>2.6997032414051981E-2</v>
      </c>
      <c r="I334" s="3">
        <f t="shared" si="341"/>
        <v>2.3843361597176402E-2</v>
      </c>
      <c r="J334" s="3">
        <f t="shared" si="341"/>
        <v>6.8846530146220546E-3</v>
      </c>
      <c r="K334" s="3">
        <f t="shared" si="341"/>
        <v>2.7734974642727596E-8</v>
      </c>
      <c r="L334" s="3">
        <f t="shared" si="341"/>
        <v>3.1223741079512445E-62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2.9420754759846318E-2</v>
      </c>
      <c r="C335" s="3">
        <f t="shared" si="342"/>
        <v>2.9420754430163887E-2</v>
      </c>
      <c r="D335" s="3">
        <f t="shared" si="342"/>
        <v>2.9420751133339761E-2</v>
      </c>
      <c r="E335" s="3">
        <f t="shared" si="342"/>
        <v>2.9420718165118865E-2</v>
      </c>
      <c r="F335" s="3">
        <f t="shared" si="342"/>
        <v>2.9420388484941756E-2</v>
      </c>
      <c r="G335" s="3">
        <f t="shared" si="342"/>
        <v>2.9417091886350423E-2</v>
      </c>
      <c r="H335" s="3">
        <f t="shared" si="342"/>
        <v>2.9384146209993738E-2</v>
      </c>
      <c r="I335" s="3">
        <f t="shared" si="342"/>
        <v>2.9056712006645852E-2</v>
      </c>
      <c r="J335" s="3">
        <f t="shared" si="342"/>
        <v>2.5976485653370782E-2</v>
      </c>
      <c r="K335" s="3">
        <f t="shared" si="342"/>
        <v>8.4707069633602333E-3</v>
      </c>
      <c r="L335" s="3">
        <f t="shared" si="342"/>
        <v>1.1516281855786225E-7</v>
      </c>
      <c r="M335" s="3">
        <f t="shared" si="342"/>
        <v>2.4844974812732345E-56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2.9009360034547845E-2</v>
      </c>
      <c r="C336" s="3">
        <f t="shared" si="343"/>
        <v>2.9009360005223604E-2</v>
      </c>
      <c r="D336" s="3">
        <f t="shared" si="343"/>
        <v>2.9009359711981226E-2</v>
      </c>
      <c r="E336" s="3">
        <f t="shared" si="343"/>
        <v>2.9009356779557596E-2</v>
      </c>
      <c r="F336" s="3">
        <f t="shared" si="343"/>
        <v>2.9009327455337588E-2</v>
      </c>
      <c r="G336" s="3">
        <f t="shared" si="343"/>
        <v>2.9009034214767842E-2</v>
      </c>
      <c r="H336" s="3">
        <f t="shared" si="343"/>
        <v>2.9006101972097544E-2</v>
      </c>
      <c r="I336" s="3">
        <f t="shared" si="343"/>
        <v>2.8976795842014937E-2</v>
      </c>
      <c r="J336" s="3">
        <f t="shared" si="343"/>
        <v>2.8685358124473152E-2</v>
      </c>
      <c r="K336" s="3">
        <f t="shared" si="343"/>
        <v>2.5927427534280584E-2</v>
      </c>
      <c r="L336" s="3">
        <f t="shared" si="343"/>
        <v>9.4351966847798299E-3</v>
      </c>
      <c r="M336" s="3">
        <f t="shared" si="343"/>
        <v>3.8429633719501766E-7</v>
      </c>
      <c r="N336" s="3">
        <f t="shared" si="343"/>
        <v>4.8285765192961691E-51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2.6775000161606822E-2</v>
      </c>
      <c r="C337" s="3">
        <f t="shared" si="344"/>
        <v>2.6775000159165278E-2</v>
      </c>
      <c r="D337" s="3">
        <f t="shared" si="344"/>
        <v>2.677500013474983E-2</v>
      </c>
      <c r="E337" s="3">
        <f t="shared" si="344"/>
        <v>2.6774999890595372E-2</v>
      </c>
      <c r="F337" s="3">
        <f t="shared" si="344"/>
        <v>2.6774997449050906E-2</v>
      </c>
      <c r="G337" s="3">
        <f t="shared" si="344"/>
        <v>2.677497303361849E-2</v>
      </c>
      <c r="H337" s="3">
        <f t="shared" si="344"/>
        <v>2.6774728880518836E-2</v>
      </c>
      <c r="I337" s="3">
        <f t="shared" si="344"/>
        <v>2.6772287471968772E-2</v>
      </c>
      <c r="J337" s="3">
        <f t="shared" si="344"/>
        <v>2.6747885626984373E-2</v>
      </c>
      <c r="K337" s="3">
        <f t="shared" si="344"/>
        <v>2.6505087108945419E-2</v>
      </c>
      <c r="L337" s="3">
        <f t="shared" si="344"/>
        <v>2.4195077612373266E-2</v>
      </c>
      <c r="M337" s="3">
        <f t="shared" si="344"/>
        <v>9.7208637611552098E-3</v>
      </c>
      <c r="N337" s="3">
        <f t="shared" si="344"/>
        <v>1.0653277155625019E-6</v>
      </c>
      <c r="O337" s="3">
        <f t="shared" si="344"/>
        <v>2.6623608511965498E-46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3.1584912014993936E-2</v>
      </c>
      <c r="C338" s="3">
        <f t="shared" si="345"/>
        <v>3.1584912014734123E-2</v>
      </c>
      <c r="D338" s="3">
        <f t="shared" si="345"/>
        <v>3.1584912012135986E-2</v>
      </c>
      <c r="E338" s="3">
        <f t="shared" si="345"/>
        <v>3.1584911986154651E-2</v>
      </c>
      <c r="F338" s="3">
        <f t="shared" si="345"/>
        <v>3.1584911726341321E-2</v>
      </c>
      <c r="G338" s="3">
        <f t="shared" si="345"/>
        <v>3.158490912820807E-2</v>
      </c>
      <c r="H338" s="3">
        <f t="shared" si="345"/>
        <v>3.158488314688733E-2</v>
      </c>
      <c r="I338" s="3">
        <f t="shared" si="345"/>
        <v>3.1584623334855386E-2</v>
      </c>
      <c r="J338" s="3">
        <f t="shared" si="345"/>
        <v>3.1582025332077469E-2</v>
      </c>
      <c r="K338" s="3">
        <f t="shared" si="345"/>
        <v>3.1556057054871328E-2</v>
      </c>
      <c r="L338" s="3">
        <f t="shared" si="345"/>
        <v>3.1297545771595103E-2</v>
      </c>
      <c r="M338" s="3">
        <f t="shared" si="345"/>
        <v>2.882609340556681E-2</v>
      </c>
      <c r="N338" s="3">
        <f t="shared" si="345"/>
        <v>1.2663123795560572E-2</v>
      </c>
      <c r="O338" s="3">
        <f t="shared" si="345"/>
        <v>3.3891554027450873E-6</v>
      </c>
      <c r="P338" s="3">
        <f t="shared" si="345"/>
        <v>6.3914263210762224E-42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3.5926752556119747E-2</v>
      </c>
      <c r="C339" s="3">
        <f t="shared" si="346"/>
        <v>3.5926752556093088E-2</v>
      </c>
      <c r="D339" s="3">
        <f t="shared" si="346"/>
        <v>3.5926752555826495E-2</v>
      </c>
      <c r="E339" s="3">
        <f t="shared" si="346"/>
        <v>3.5926752553160586E-2</v>
      </c>
      <c r="F339" s="3">
        <f t="shared" si="346"/>
        <v>3.5926752526501425E-2</v>
      </c>
      <c r="G339" s="3">
        <f t="shared" si="346"/>
        <v>3.5926752259909912E-2</v>
      </c>
      <c r="H339" s="3">
        <f t="shared" si="346"/>
        <v>3.5926749593994875E-2</v>
      </c>
      <c r="I339" s="3">
        <f t="shared" si="346"/>
        <v>3.5926722934855326E-2</v>
      </c>
      <c r="J339" s="3">
        <f t="shared" si="346"/>
        <v>3.5926456344547872E-2</v>
      </c>
      <c r="K339" s="3">
        <f t="shared" si="346"/>
        <v>3.5923790550272131E-2</v>
      </c>
      <c r="L339" s="3">
        <f t="shared" si="346"/>
        <v>3.5897143484408776E-2</v>
      </c>
      <c r="M339" s="3">
        <f t="shared" si="346"/>
        <v>3.5631757534785792E-2</v>
      </c>
      <c r="N339" s="3">
        <f t="shared" si="346"/>
        <v>3.3083449002009928E-2</v>
      </c>
      <c r="O339" s="3">
        <f t="shared" si="346"/>
        <v>1.5752378048053059E-2</v>
      </c>
      <c r="P339" s="3">
        <f t="shared" si="346"/>
        <v>9.4340808868900965E-6</v>
      </c>
      <c r="Q339" s="3">
        <f t="shared" si="346"/>
        <v>5.6005965691984295E-38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3.821683633732479E-2</v>
      </c>
      <c r="C340" s="3">
        <f t="shared" si="347"/>
        <v>3.821683633732223E-2</v>
      </c>
      <c r="D340" s="3">
        <f t="shared" si="347"/>
        <v>3.8216836337296653E-2</v>
      </c>
      <c r="E340" s="3">
        <f t="shared" si="347"/>
        <v>3.821683633704083E-2</v>
      </c>
      <c r="F340" s="3">
        <f t="shared" si="347"/>
        <v>3.8216836334482661E-2</v>
      </c>
      <c r="G340" s="3">
        <f t="shared" si="347"/>
        <v>3.8216836308900944E-2</v>
      </c>
      <c r="H340" s="3">
        <f t="shared" si="347"/>
        <v>3.8216836053083778E-2</v>
      </c>
      <c r="I340" s="3">
        <f t="shared" si="347"/>
        <v>3.8216833494912214E-2</v>
      </c>
      <c r="J340" s="3">
        <f t="shared" si="347"/>
        <v>3.8216807913205954E-2</v>
      </c>
      <c r="K340" s="3">
        <f t="shared" si="347"/>
        <v>3.8216552097085167E-2</v>
      </c>
      <c r="L340" s="3">
        <f t="shared" si="347"/>
        <v>3.821399403005666E-2</v>
      </c>
      <c r="M340" s="3">
        <f t="shared" si="347"/>
        <v>3.8188422775367631E-2</v>
      </c>
      <c r="N340" s="3">
        <f t="shared" si="347"/>
        <v>3.7933649460278343E-2</v>
      </c>
      <c r="O340" s="3">
        <f t="shared" si="347"/>
        <v>3.5477554341363751E-2</v>
      </c>
      <c r="P340" s="3">
        <f t="shared" si="347"/>
        <v>1.8165365769626917E-2</v>
      </c>
      <c r="Q340" s="3">
        <f t="shared" si="347"/>
        <v>2.2498257241480931E-5</v>
      </c>
      <c r="R340" s="3">
        <f t="shared" si="347"/>
        <v>1.9107162137558473E-34</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4.8113881849429947E-2</v>
      </c>
      <c r="C341" s="3">
        <f t="shared" si="348"/>
        <v>4.8113881849429663E-2</v>
      </c>
      <c r="D341" s="3">
        <f t="shared" si="348"/>
        <v>4.8113881849426755E-2</v>
      </c>
      <c r="E341" s="3">
        <f t="shared" si="348"/>
        <v>4.8113881849397702E-2</v>
      </c>
      <c r="F341" s="3">
        <f t="shared" si="348"/>
        <v>4.8113881849107171E-2</v>
      </c>
      <c r="G341" s="3">
        <f t="shared" si="348"/>
        <v>4.8113881846201863E-2</v>
      </c>
      <c r="H341" s="3">
        <f t="shared" si="348"/>
        <v>4.8113881817148797E-2</v>
      </c>
      <c r="I341" s="3">
        <f t="shared" si="348"/>
        <v>4.8113881526618163E-2</v>
      </c>
      <c r="J341" s="3">
        <f t="shared" si="348"/>
        <v>4.8113878621311862E-2</v>
      </c>
      <c r="K341" s="3">
        <f t="shared" si="348"/>
        <v>4.8113849568258545E-2</v>
      </c>
      <c r="L341" s="3">
        <f t="shared" si="348"/>
        <v>4.811355903869026E-2</v>
      </c>
      <c r="M341" s="3">
        <f t="shared" si="348"/>
        <v>4.8110653839493644E-2</v>
      </c>
      <c r="N341" s="3">
        <f t="shared" si="348"/>
        <v>4.8081611493996403E-2</v>
      </c>
      <c r="O341" s="3">
        <f t="shared" si="348"/>
        <v>4.7792150534170005E-2</v>
      </c>
      <c r="P341" s="3">
        <f t="shared" si="348"/>
        <v>4.4991674329679668E-2</v>
      </c>
      <c r="Q341" s="3">
        <f t="shared" si="348"/>
        <v>2.4597330550986413E-2</v>
      </c>
      <c r="R341" s="3">
        <f t="shared" si="348"/>
        <v>5.8674067730018955E-5</v>
      </c>
      <c r="S341" s="3">
        <f t="shared" si="348"/>
        <v>3.4996805339916327E-31</v>
      </c>
      <c r="T341" s="3">
        <f t="shared" si="348"/>
        <v>1.9945753259908893E-293</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5.6463045562969078E-2</v>
      </c>
      <c r="C342" s="3">
        <f t="shared" si="349"/>
        <v>5.646304556296905E-2</v>
      </c>
      <c r="D342" s="3">
        <f t="shared" si="349"/>
        <v>5.6463045562968738E-2</v>
      </c>
      <c r="E342" s="3">
        <f t="shared" si="349"/>
        <v>5.6463045562965671E-2</v>
      </c>
      <c r="F342" s="3">
        <f t="shared" si="349"/>
        <v>5.6463045562934917E-2</v>
      </c>
      <c r="G342" s="3">
        <f t="shared" si="349"/>
        <v>5.6463045562627351E-2</v>
      </c>
      <c r="H342" s="3">
        <f t="shared" si="349"/>
        <v>5.6463045559551735E-2</v>
      </c>
      <c r="I342" s="3">
        <f t="shared" si="349"/>
        <v>5.6463045528795552E-2</v>
      </c>
      <c r="J342" s="3">
        <f t="shared" si="349"/>
        <v>5.6463045221233722E-2</v>
      </c>
      <c r="K342" s="3">
        <f t="shared" si="349"/>
        <v>5.6463042145615532E-2</v>
      </c>
      <c r="L342" s="3">
        <f t="shared" si="349"/>
        <v>5.6463011389442881E-2</v>
      </c>
      <c r="M342" s="3">
        <f t="shared" si="349"/>
        <v>5.6462703828637772E-2</v>
      </c>
      <c r="N342" s="3">
        <f t="shared" si="349"/>
        <v>5.6459628312727841E-2</v>
      </c>
      <c r="O342" s="3">
        <f t="shared" si="349"/>
        <v>5.6428882365884732E-2</v>
      </c>
      <c r="P342" s="3">
        <f t="shared" si="349"/>
        <v>5.6122342269102433E-2</v>
      </c>
      <c r="Q342" s="3">
        <f t="shared" si="349"/>
        <v>5.3147052216113835E-2</v>
      </c>
      <c r="R342" s="3">
        <f t="shared" si="349"/>
        <v>3.0825711989202156E-2</v>
      </c>
      <c r="S342" s="3">
        <f t="shared" si="349"/>
        <v>1.3281663260270583E-4</v>
      </c>
      <c r="T342" s="3">
        <f t="shared" si="349"/>
        <v>2.9285048775461381E-28</v>
      </c>
      <c r="U342" s="3">
        <f t="shared" si="349"/>
        <v>7.9539126662589212E-265</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5.9569205174430817E-2</v>
      </c>
      <c r="C343" s="3">
        <f t="shared" si="350"/>
        <v>5.9569205174430817E-2</v>
      </c>
      <c r="D343" s="3">
        <f t="shared" si="350"/>
        <v>5.9569205174430782E-2</v>
      </c>
      <c r="E343" s="3">
        <f t="shared" si="350"/>
        <v>5.9569205174430491E-2</v>
      </c>
      <c r="F343" s="3">
        <f t="shared" si="350"/>
        <v>5.9569205174427563E-2</v>
      </c>
      <c r="G343" s="3">
        <f t="shared" si="350"/>
        <v>5.9569205174398294E-2</v>
      </c>
      <c r="H343" s="3">
        <f t="shared" si="350"/>
        <v>5.9569205174105584E-2</v>
      </c>
      <c r="I343" s="3">
        <f t="shared" si="350"/>
        <v>5.9569205171178488E-2</v>
      </c>
      <c r="J343" s="3">
        <f t="shared" si="350"/>
        <v>5.9569205141907562E-2</v>
      </c>
      <c r="K343" s="3">
        <f t="shared" si="350"/>
        <v>5.9569204849198254E-2</v>
      </c>
      <c r="L343" s="3">
        <f t="shared" si="350"/>
        <v>5.9569201922105276E-2</v>
      </c>
      <c r="M343" s="3">
        <f t="shared" si="350"/>
        <v>5.9569172651183389E-2</v>
      </c>
      <c r="N343" s="3">
        <f t="shared" si="350"/>
        <v>5.9568879942755538E-2</v>
      </c>
      <c r="O343" s="3">
        <f t="shared" si="350"/>
        <v>5.9565952937582295E-2</v>
      </c>
      <c r="P343" s="3">
        <f t="shared" si="350"/>
        <v>5.9536690794934476E-2</v>
      </c>
      <c r="Q343" s="3">
        <f t="shared" si="350"/>
        <v>5.9244858840852052E-2</v>
      </c>
      <c r="R343" s="3">
        <f t="shared" si="350"/>
        <v>5.6404069874476985E-2</v>
      </c>
      <c r="S343" s="3">
        <f t="shared" si="350"/>
        <v>3.4507076827319974E-2</v>
      </c>
      <c r="T343" s="3">
        <f t="shared" si="350"/>
        <v>2.5344601043830734E-4</v>
      </c>
      <c r="U343" s="3">
        <f t="shared" si="350"/>
        <v>1.1578661141189095E-25</v>
      </c>
      <c r="V343" s="3">
        <f t="shared" si="350"/>
        <v>4.5855052273889745E-239</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6.4663842713273356E-2</v>
      </c>
      <c r="C344" s="3">
        <f t="shared" si="351"/>
        <v>6.4663842713273356E-2</v>
      </c>
      <c r="D344" s="3">
        <f t="shared" si="351"/>
        <v>6.4663842713273356E-2</v>
      </c>
      <c r="E344" s="3">
        <f t="shared" si="351"/>
        <v>6.4663842713273328E-2</v>
      </c>
      <c r="F344" s="3">
        <f t="shared" si="351"/>
        <v>6.4663842713273037E-2</v>
      </c>
      <c r="G344" s="3">
        <f t="shared" si="351"/>
        <v>6.4663842713270164E-2</v>
      </c>
      <c r="H344" s="3">
        <f t="shared" si="351"/>
        <v>6.4663842713241507E-2</v>
      </c>
      <c r="I344" s="3">
        <f t="shared" si="351"/>
        <v>6.4663842712954875E-2</v>
      </c>
      <c r="J344" s="3">
        <f t="shared" si="351"/>
        <v>6.466384271008857E-2</v>
      </c>
      <c r="K344" s="3">
        <f t="shared" si="351"/>
        <v>6.4663842681425499E-2</v>
      </c>
      <c r="L344" s="3">
        <f t="shared" si="351"/>
        <v>6.466384239479471E-2</v>
      </c>
      <c r="M344" s="3">
        <f t="shared" si="351"/>
        <v>6.4663839528486977E-2</v>
      </c>
      <c r="N344" s="3">
        <f t="shared" si="351"/>
        <v>6.4663810865416713E-2</v>
      </c>
      <c r="O344" s="3">
        <f t="shared" si="351"/>
        <v>6.4663524235412689E-2</v>
      </c>
      <c r="P344" s="3">
        <f t="shared" si="351"/>
        <v>6.4660658005250352E-2</v>
      </c>
      <c r="Q344" s="3">
        <f t="shared" si="351"/>
        <v>6.4632002690256124E-2</v>
      </c>
      <c r="R344" s="3">
        <f t="shared" si="351"/>
        <v>6.4346147058731554E-2</v>
      </c>
      <c r="S344" s="3">
        <f t="shared" si="351"/>
        <v>6.1556212041605704E-2</v>
      </c>
      <c r="T344" s="3">
        <f t="shared" si="351"/>
        <v>3.9515300145601631E-2</v>
      </c>
      <c r="U344" s="3">
        <f t="shared" si="351"/>
        <v>4.6956883537226102E-4</v>
      </c>
      <c r="V344" s="3">
        <f t="shared" si="351"/>
        <v>2.6365685780143044E-23</v>
      </c>
      <c r="W344" s="3">
        <f t="shared" si="351"/>
        <v>8.2117767662335824E-216</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4.8548005334617741E-2</v>
      </c>
      <c r="C345" s="3">
        <f t="shared" si="352"/>
        <v>4.8548005334617741E-2</v>
      </c>
      <c r="D345" s="3">
        <f t="shared" si="352"/>
        <v>4.8548005334617741E-2</v>
      </c>
      <c r="E345" s="3">
        <f t="shared" si="352"/>
        <v>4.8548005334617741E-2</v>
      </c>
      <c r="F345" s="3">
        <f t="shared" si="352"/>
        <v>4.8548005334617721E-2</v>
      </c>
      <c r="G345" s="3">
        <f t="shared" si="352"/>
        <v>4.8548005334617526E-2</v>
      </c>
      <c r="H345" s="3">
        <f t="shared" si="352"/>
        <v>4.8548005334615583E-2</v>
      </c>
      <c r="I345" s="3">
        <f t="shared" si="352"/>
        <v>4.8548005334596168E-2</v>
      </c>
      <c r="J345" s="3">
        <f t="shared" si="352"/>
        <v>4.8548005334402046E-2</v>
      </c>
      <c r="K345" s="3">
        <f t="shared" si="352"/>
        <v>4.8548005332460807E-2</v>
      </c>
      <c r="L345" s="3">
        <f t="shared" si="352"/>
        <v>4.8548005313048405E-2</v>
      </c>
      <c r="M345" s="3">
        <f t="shared" si="352"/>
        <v>4.8548005118924376E-2</v>
      </c>
      <c r="N345" s="3">
        <f t="shared" si="352"/>
        <v>4.8548003177684124E-2</v>
      </c>
      <c r="O345" s="3">
        <f t="shared" si="352"/>
        <v>4.8547983765285865E-2</v>
      </c>
      <c r="P345" s="3">
        <f t="shared" si="352"/>
        <v>4.8547789641730218E-2</v>
      </c>
      <c r="Q345" s="3">
        <f t="shared" si="352"/>
        <v>4.8545848448865357E-2</v>
      </c>
      <c r="R345" s="3">
        <f t="shared" si="352"/>
        <v>4.8526440788748411E-2</v>
      </c>
      <c r="S345" s="3">
        <f t="shared" si="352"/>
        <v>4.833279040989711E-2</v>
      </c>
      <c r="T345" s="3">
        <f t="shared" si="352"/>
        <v>4.6438284952776993E-2</v>
      </c>
      <c r="U345" s="3">
        <f t="shared" si="352"/>
        <v>3.1132873151278381E-2</v>
      </c>
      <c r="V345" s="3">
        <f t="shared" si="352"/>
        <v>5.7101761086595032E-4</v>
      </c>
      <c r="W345" s="3">
        <f t="shared" si="352"/>
        <v>2.4600985624996155E-21</v>
      </c>
      <c r="X345" s="3">
        <f t="shared" si="352"/>
        <v>5.4197911731234554E-195</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3.8659494646510029E-2</v>
      </c>
      <c r="C346" s="3">
        <f t="shared" si="353"/>
        <v>3.8659494646510029E-2</v>
      </c>
      <c r="D346" s="3">
        <f t="shared" si="353"/>
        <v>3.8659494646510029E-2</v>
      </c>
      <c r="E346" s="3">
        <f t="shared" si="353"/>
        <v>3.8659494646510029E-2</v>
      </c>
      <c r="F346" s="3">
        <f t="shared" si="353"/>
        <v>3.8659494646510029E-2</v>
      </c>
      <c r="G346" s="3">
        <f t="shared" si="353"/>
        <v>3.8659494646510015E-2</v>
      </c>
      <c r="H346" s="3">
        <f t="shared" si="353"/>
        <v>3.8659494646509876E-2</v>
      </c>
      <c r="I346" s="3">
        <f t="shared" si="353"/>
        <v>3.8659494646508481E-2</v>
      </c>
      <c r="J346" s="3">
        <f t="shared" si="353"/>
        <v>3.8659494646494534E-2</v>
      </c>
      <c r="K346" s="3">
        <f t="shared" si="353"/>
        <v>3.8659494646355083E-2</v>
      </c>
      <c r="L346" s="3">
        <f t="shared" si="353"/>
        <v>3.8659494644960615E-2</v>
      </c>
      <c r="M346" s="3">
        <f t="shared" si="353"/>
        <v>3.865949463101586E-2</v>
      </c>
      <c r="N346" s="3">
        <f t="shared" si="353"/>
        <v>3.8659494491568379E-2</v>
      </c>
      <c r="O346" s="3">
        <f t="shared" si="353"/>
        <v>3.8659493097093614E-2</v>
      </c>
      <c r="P346" s="3">
        <f t="shared" si="353"/>
        <v>3.8659479152348658E-2</v>
      </c>
      <c r="Q346" s="3">
        <f t="shared" si="353"/>
        <v>3.8659339705175759E-2</v>
      </c>
      <c r="R346" s="3">
        <f t="shared" si="353"/>
        <v>3.8657945261111194E-2</v>
      </c>
      <c r="S346" s="3">
        <f t="shared" si="353"/>
        <v>3.8644003586537426E-2</v>
      </c>
      <c r="T346" s="3">
        <f t="shared" si="353"/>
        <v>3.8504863079177866E-2</v>
      </c>
      <c r="U346" s="3">
        <f t="shared" si="353"/>
        <v>3.714071670138773E-2</v>
      </c>
      <c r="V346" s="3">
        <f t="shared" si="353"/>
        <v>2.5893886871161245E-2</v>
      </c>
      <c r="W346" s="3">
        <f t="shared" si="353"/>
        <v>7.0253329032926039E-4</v>
      </c>
      <c r="X346" s="3">
        <f t="shared" si="353"/>
        <v>1.5183207661303967E-19</v>
      </c>
      <c r="Y346" s="3">
        <f t="shared" si="353"/>
        <v>3.3754351242143499E-176</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6.6103757573429938E-3</v>
      </c>
      <c r="C347" s="3">
        <f t="shared" si="354"/>
        <v>6.6103757573429938E-3</v>
      </c>
      <c r="D347" s="3">
        <f t="shared" si="354"/>
        <v>6.6103757573429938E-3</v>
      </c>
      <c r="E347" s="3">
        <f t="shared" si="354"/>
        <v>6.6103757573429938E-3</v>
      </c>
      <c r="F347" s="3">
        <f t="shared" si="354"/>
        <v>6.6103757573429938E-3</v>
      </c>
      <c r="G347" s="3">
        <f t="shared" si="354"/>
        <v>6.6103757573429938E-3</v>
      </c>
      <c r="H347" s="3">
        <f t="shared" si="354"/>
        <v>6.6103757573429912E-3</v>
      </c>
      <c r="I347" s="3">
        <f t="shared" si="354"/>
        <v>6.6103757573429695E-3</v>
      </c>
      <c r="J347" s="3">
        <f t="shared" si="354"/>
        <v>6.6103757573427544E-3</v>
      </c>
      <c r="K347" s="3">
        <f t="shared" si="354"/>
        <v>6.6103757573406042E-3</v>
      </c>
      <c r="L347" s="3">
        <f t="shared" si="354"/>
        <v>6.6103757573190945E-3</v>
      </c>
      <c r="M347" s="3">
        <f t="shared" si="354"/>
        <v>6.610375757104001E-3</v>
      </c>
      <c r="N347" s="3">
        <f t="shared" si="354"/>
        <v>6.6103757549530661E-3</v>
      </c>
      <c r="O347" s="3">
        <f t="shared" si="354"/>
        <v>6.6103757334437189E-3</v>
      </c>
      <c r="P347" s="3">
        <f t="shared" si="354"/>
        <v>6.6103755183502481E-3</v>
      </c>
      <c r="Q347" s="3">
        <f t="shared" si="354"/>
        <v>6.6103733674159225E-3</v>
      </c>
      <c r="R347" s="3">
        <f t="shared" si="354"/>
        <v>6.6103518581111641E-3</v>
      </c>
      <c r="S347" s="3">
        <f t="shared" si="354"/>
        <v>6.6101367689129099E-3</v>
      </c>
      <c r="T347" s="3">
        <f t="shared" si="354"/>
        <v>6.6079862618170799E-3</v>
      </c>
      <c r="U347" s="3">
        <f t="shared" si="354"/>
        <v>6.5865196332327777E-3</v>
      </c>
      <c r="V347" s="3">
        <f t="shared" si="354"/>
        <v>6.3756517027558478E-3</v>
      </c>
      <c r="W347" s="3">
        <f t="shared" si="354"/>
        <v>4.6047972734686781E-3</v>
      </c>
      <c r="X347" s="3">
        <f t="shared" si="354"/>
        <v>1.7785653525521548E-4</v>
      </c>
      <c r="Y347" s="3">
        <f t="shared" si="354"/>
        <v>1.3142045132371184E-18</v>
      </c>
      <c r="Z347" s="3">
        <f t="shared" si="354"/>
        <v>6.3766740737741676E-160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1.6903393193058183E-2</v>
      </c>
      <c r="C348" s="3">
        <f t="shared" si="355"/>
        <v>1.6903393193058183E-2</v>
      </c>
      <c r="D348" s="3">
        <f t="shared" si="355"/>
        <v>1.6903393193058183E-2</v>
      </c>
      <c r="E348" s="3">
        <f t="shared" si="355"/>
        <v>1.6903393193058183E-2</v>
      </c>
      <c r="F348" s="3">
        <f t="shared" si="355"/>
        <v>1.6903393193058183E-2</v>
      </c>
      <c r="G348" s="3">
        <f t="shared" si="355"/>
        <v>1.6903393193058183E-2</v>
      </c>
      <c r="H348" s="3">
        <f t="shared" si="355"/>
        <v>1.690339319305818E-2</v>
      </c>
      <c r="I348" s="3">
        <f t="shared" si="355"/>
        <v>1.6903393193058166E-2</v>
      </c>
      <c r="J348" s="3">
        <f t="shared" si="355"/>
        <v>1.6903393193058013E-2</v>
      </c>
      <c r="K348" s="3">
        <f t="shared" si="355"/>
        <v>1.6903393193056494E-2</v>
      </c>
      <c r="L348" s="3">
        <f t="shared" si="355"/>
        <v>1.690339319304128E-2</v>
      </c>
      <c r="M348" s="3">
        <f t="shared" si="355"/>
        <v>1.6903393192889162E-2</v>
      </c>
      <c r="N348" s="3">
        <f t="shared" si="355"/>
        <v>1.6903393191367955E-2</v>
      </c>
      <c r="O348" s="3">
        <f t="shared" si="355"/>
        <v>1.6903393176155902E-2</v>
      </c>
      <c r="P348" s="3">
        <f t="shared" si="355"/>
        <v>1.6903393024035367E-2</v>
      </c>
      <c r="Q348" s="3">
        <f t="shared" si="355"/>
        <v>1.6903391502830097E-2</v>
      </c>
      <c r="R348" s="3">
        <f t="shared" si="355"/>
        <v>1.6903376290784929E-2</v>
      </c>
      <c r="S348" s="3">
        <f t="shared" si="355"/>
        <v>1.6903224171086195E-2</v>
      </c>
      <c r="T348" s="3">
        <f t="shared" si="355"/>
        <v>1.690170304939078E-2</v>
      </c>
      <c r="U348" s="3">
        <f t="shared" si="355"/>
        <v>1.688649935912297E-2</v>
      </c>
      <c r="V348" s="3">
        <f t="shared" si="355"/>
        <v>1.6735212624879446E-2</v>
      </c>
      <c r="W348" s="3">
        <f t="shared" si="355"/>
        <v>1.5294923224838105E-2</v>
      </c>
      <c r="X348" s="3">
        <f t="shared" si="355"/>
        <v>6.2188197490389164E-3</v>
      </c>
      <c r="Y348" s="3">
        <f t="shared" si="355"/>
        <v>7.6791764473126836E-7</v>
      </c>
      <c r="Z348" s="3">
        <f t="shared" si="355"/>
        <v>6.3296751579757099E-46</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1.9810156254800116E-3</v>
      </c>
      <c r="C349" s="3">
        <f t="shared" si="356"/>
        <v>1.9810156254800116E-3</v>
      </c>
      <c r="D349" s="3">
        <f t="shared" si="356"/>
        <v>1.9810156254800116E-3</v>
      </c>
      <c r="E349" s="3">
        <f t="shared" si="356"/>
        <v>1.9810156254800116E-3</v>
      </c>
      <c r="F349" s="3">
        <f t="shared" si="356"/>
        <v>1.9810156254800116E-3</v>
      </c>
      <c r="G349" s="3">
        <f t="shared" si="356"/>
        <v>1.9810156254800116E-3</v>
      </c>
      <c r="H349" s="3">
        <f t="shared" si="356"/>
        <v>1.9810156254800116E-3</v>
      </c>
      <c r="I349" s="3">
        <f t="shared" si="356"/>
        <v>1.9810156254800111E-3</v>
      </c>
      <c r="J349" s="3">
        <f t="shared" si="356"/>
        <v>1.9810156254800094E-3</v>
      </c>
      <c r="K349" s="3">
        <f t="shared" si="356"/>
        <v>1.9810156254799916E-3</v>
      </c>
      <c r="L349" s="3">
        <f t="shared" si="356"/>
        <v>1.9810156254798134E-3</v>
      </c>
      <c r="M349" s="3">
        <f t="shared" si="356"/>
        <v>1.9810156254780305E-3</v>
      </c>
      <c r="N349" s="3">
        <f t="shared" si="356"/>
        <v>1.9810156254602028E-3</v>
      </c>
      <c r="O349" s="3">
        <f t="shared" si="356"/>
        <v>1.9810156252819231E-3</v>
      </c>
      <c r="P349" s="3">
        <f t="shared" si="356"/>
        <v>1.9810156234991261E-3</v>
      </c>
      <c r="Q349" s="3">
        <f t="shared" si="356"/>
        <v>1.9810156056711582E-3</v>
      </c>
      <c r="R349" s="3">
        <f t="shared" si="356"/>
        <v>1.9810154273914851E-3</v>
      </c>
      <c r="S349" s="3">
        <f t="shared" si="356"/>
        <v>1.9810136445956388E-3</v>
      </c>
      <c r="T349" s="3">
        <f t="shared" si="356"/>
        <v>1.9809958167254179E-3</v>
      </c>
      <c r="U349" s="3">
        <f t="shared" si="356"/>
        <v>1.980817546847148E-3</v>
      </c>
      <c r="V349" s="3">
        <f t="shared" si="356"/>
        <v>1.9790357301644563E-3</v>
      </c>
      <c r="W349" s="3">
        <f t="shared" si="356"/>
        <v>1.9613054803240076E-3</v>
      </c>
      <c r="X349" s="3">
        <f t="shared" si="356"/>
        <v>1.7925088503156089E-3</v>
      </c>
      <c r="Y349" s="3">
        <f t="shared" si="356"/>
        <v>7.288228436849669E-4</v>
      </c>
      <c r="Z349" s="3">
        <f t="shared" si="356"/>
        <v>8.9997128737394243E-8</v>
      </c>
      <c r="AA349" s="3">
        <f t="shared" si="356"/>
        <v>7.4181469063336249E-47</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4.9795148637895425E-3</v>
      </c>
      <c r="C350" s="3">
        <f t="shared" si="357"/>
        <v>4.9795148637895425E-3</v>
      </c>
      <c r="D350" s="3">
        <f t="shared" si="357"/>
        <v>4.9795148637895425E-3</v>
      </c>
      <c r="E350" s="3">
        <f t="shared" si="357"/>
        <v>4.9795148637895425E-3</v>
      </c>
      <c r="F350" s="3">
        <f t="shared" si="357"/>
        <v>4.9795148637895425E-3</v>
      </c>
      <c r="G350" s="3">
        <f t="shared" si="357"/>
        <v>4.9795148637895425E-3</v>
      </c>
      <c r="H350" s="3">
        <f t="shared" si="357"/>
        <v>4.9795148637895425E-3</v>
      </c>
      <c r="I350" s="3">
        <f t="shared" si="357"/>
        <v>4.9795148637895425E-3</v>
      </c>
      <c r="J350" s="3">
        <f t="shared" si="357"/>
        <v>4.9795148637895416E-3</v>
      </c>
      <c r="K350" s="3">
        <f t="shared" si="357"/>
        <v>4.9795148637895373E-3</v>
      </c>
      <c r="L350" s="3">
        <f t="shared" si="357"/>
        <v>4.979514863789493E-3</v>
      </c>
      <c r="M350" s="3">
        <f t="shared" si="357"/>
        <v>4.9795148637890446E-3</v>
      </c>
      <c r="N350" s="3">
        <f t="shared" si="357"/>
        <v>4.979514863784563E-3</v>
      </c>
      <c r="O350" s="3">
        <f t="shared" si="357"/>
        <v>4.9795148637397507E-3</v>
      </c>
      <c r="P350" s="3">
        <f t="shared" si="357"/>
        <v>4.9795148632916239E-3</v>
      </c>
      <c r="Q350" s="3">
        <f t="shared" si="357"/>
        <v>4.9795148588103553E-3</v>
      </c>
      <c r="R350" s="3">
        <f t="shared" si="357"/>
        <v>4.9795148139976687E-3</v>
      </c>
      <c r="S350" s="3">
        <f t="shared" si="357"/>
        <v>4.9795143658708241E-3</v>
      </c>
      <c r="T350" s="3">
        <f t="shared" si="357"/>
        <v>4.9795098846045979E-3</v>
      </c>
      <c r="U350" s="3">
        <f t="shared" si="357"/>
        <v>4.9794650721641442E-3</v>
      </c>
      <c r="V350" s="3">
        <f t="shared" si="357"/>
        <v>4.9790169699396123E-3</v>
      </c>
      <c r="W350" s="3">
        <f t="shared" si="357"/>
        <v>4.9745381649560008E-3</v>
      </c>
      <c r="X350" s="3">
        <f t="shared" si="357"/>
        <v>4.9299711047654359E-3</v>
      </c>
      <c r="Y350" s="3">
        <f t="shared" si="357"/>
        <v>4.5056809995923678E-3</v>
      </c>
      <c r="Z350" s="3">
        <f t="shared" si="357"/>
        <v>1.8319816040417564E-3</v>
      </c>
      <c r="AA350" s="3">
        <f t="shared" si="357"/>
        <v>2.2621832684315561E-7</v>
      </c>
      <c r="AB350" s="3">
        <f t="shared" si="357"/>
        <v>1.8646381334277572E-46</v>
      </c>
      <c r="AC350" s="3">
        <f t="shared" si="357"/>
        <v>0</v>
      </c>
      <c r="AD350" s="3">
        <f t="shared" si="357"/>
        <v>0</v>
      </c>
      <c r="AE350" s="3">
        <f t="shared" si="357"/>
        <v>0</v>
      </c>
      <c r="AF350" s="3">
        <f t="shared" si="357"/>
        <v>0</v>
      </c>
      <c r="AG350" s="3"/>
      <c r="AH350" s="3"/>
    </row>
    <row r="351" spans="2:34" x14ac:dyDescent="0.25">
      <c r="B351" s="3">
        <f t="shared" ref="B351:AF351" si="358">$C42*EXP(-B$363/$A42/EXP(-$G$126))</f>
        <v>1.5203897421204233E-3</v>
      </c>
      <c r="C351" s="3">
        <f t="shared" si="358"/>
        <v>1.5203897421204233E-3</v>
      </c>
      <c r="D351" s="3">
        <f t="shared" si="358"/>
        <v>1.5203897421204233E-3</v>
      </c>
      <c r="E351" s="3">
        <f t="shared" si="358"/>
        <v>1.5203897421204233E-3</v>
      </c>
      <c r="F351" s="3">
        <f t="shared" si="358"/>
        <v>1.5203897421204233E-3</v>
      </c>
      <c r="G351" s="3">
        <f t="shared" si="358"/>
        <v>1.5203897421204233E-3</v>
      </c>
      <c r="H351" s="3">
        <f t="shared" si="358"/>
        <v>1.5203897421204233E-3</v>
      </c>
      <c r="I351" s="3">
        <f t="shared" si="358"/>
        <v>1.5203897421204233E-3</v>
      </c>
      <c r="J351" s="3">
        <f t="shared" si="358"/>
        <v>1.5203897421204233E-3</v>
      </c>
      <c r="K351" s="3">
        <f t="shared" si="358"/>
        <v>1.5203897421204231E-3</v>
      </c>
      <c r="L351" s="3">
        <f t="shared" si="358"/>
        <v>1.5203897421204218E-3</v>
      </c>
      <c r="M351" s="3">
        <f t="shared" si="358"/>
        <v>1.5203897421204081E-3</v>
      </c>
      <c r="N351" s="3">
        <f t="shared" si="358"/>
        <v>1.5203897421202713E-3</v>
      </c>
      <c r="O351" s="3">
        <f t="shared" si="358"/>
        <v>1.520389742118903E-3</v>
      </c>
      <c r="P351" s="3">
        <f t="shared" si="358"/>
        <v>1.5203897421052204E-3</v>
      </c>
      <c r="Q351" s="3">
        <f t="shared" si="358"/>
        <v>1.5203897419683943E-3</v>
      </c>
      <c r="R351" s="3">
        <f t="shared" si="358"/>
        <v>1.5203897406001335E-3</v>
      </c>
      <c r="S351" s="3">
        <f t="shared" si="358"/>
        <v>1.5203897269175258E-3</v>
      </c>
      <c r="T351" s="3">
        <f t="shared" si="358"/>
        <v>1.520389590091454E-3</v>
      </c>
      <c r="U351" s="3">
        <f t="shared" si="358"/>
        <v>1.5203882218314151E-3</v>
      </c>
      <c r="V351" s="3">
        <f t="shared" si="358"/>
        <v>1.520374539298749E-3</v>
      </c>
      <c r="W351" s="3">
        <f t="shared" si="358"/>
        <v>1.5202377207442842E-3</v>
      </c>
      <c r="X351" s="3">
        <f t="shared" si="358"/>
        <v>1.5188702121936904E-3</v>
      </c>
      <c r="Y351" s="3">
        <f t="shared" si="358"/>
        <v>1.505262601210754E-3</v>
      </c>
      <c r="Z351" s="3">
        <f t="shared" si="358"/>
        <v>1.3757145746993117E-3</v>
      </c>
      <c r="AA351" s="3">
        <f t="shared" si="358"/>
        <v>5.5935690819862297E-4</v>
      </c>
      <c r="AB351" s="3">
        <f t="shared" si="358"/>
        <v>6.9070990451915543E-8</v>
      </c>
      <c r="AC351" s="3">
        <f t="shared" si="358"/>
        <v>5.6932789004120839E-47</v>
      </c>
      <c r="AD351" s="3">
        <f t="shared" si="358"/>
        <v>0</v>
      </c>
      <c r="AE351" s="3">
        <f t="shared" si="358"/>
        <v>0</v>
      </c>
      <c r="AF351" s="3">
        <f t="shared" si="358"/>
        <v>0</v>
      </c>
      <c r="AG351" s="3"/>
      <c r="AH351" s="3"/>
    </row>
    <row r="352" spans="2:34" x14ac:dyDescent="0.25">
      <c r="B352" s="3">
        <f t="shared" ref="B352:AF352" si="359">$C43*EXP(-B$363/$A43/EXP(-$G$126))</f>
        <v>3.2547360985645695E-4</v>
      </c>
      <c r="C352" s="3">
        <f t="shared" si="359"/>
        <v>3.2547360985645695E-4</v>
      </c>
      <c r="D352" s="3">
        <f t="shared" si="359"/>
        <v>3.2547360985645695E-4</v>
      </c>
      <c r="E352" s="3">
        <f t="shared" si="359"/>
        <v>3.2547360985645695E-4</v>
      </c>
      <c r="F352" s="3">
        <f t="shared" si="359"/>
        <v>3.2547360985645695E-4</v>
      </c>
      <c r="G352" s="3">
        <f t="shared" si="359"/>
        <v>3.2547360985645695E-4</v>
      </c>
      <c r="H352" s="3">
        <f t="shared" si="359"/>
        <v>3.2547360985645695E-4</v>
      </c>
      <c r="I352" s="3">
        <f t="shared" si="359"/>
        <v>3.2547360985645695E-4</v>
      </c>
      <c r="J352" s="3">
        <f t="shared" si="359"/>
        <v>3.2547360985645695E-4</v>
      </c>
      <c r="K352" s="3">
        <f t="shared" si="359"/>
        <v>3.2547360985645695E-4</v>
      </c>
      <c r="L352" s="3">
        <f t="shared" si="359"/>
        <v>3.254736098564569E-4</v>
      </c>
      <c r="M352" s="3">
        <f t="shared" si="359"/>
        <v>3.2547360985645663E-4</v>
      </c>
      <c r="N352" s="3">
        <f t="shared" si="359"/>
        <v>3.254736098564537E-4</v>
      </c>
      <c r="O352" s="3">
        <f t="shared" si="359"/>
        <v>3.2547360985642437E-4</v>
      </c>
      <c r="P352" s="3">
        <f t="shared" si="359"/>
        <v>3.2547360985613148E-4</v>
      </c>
      <c r="Q352" s="3">
        <f t="shared" si="359"/>
        <v>3.2547360985320245E-4</v>
      </c>
      <c r="R352" s="3">
        <f t="shared" si="359"/>
        <v>3.254736098239117E-4</v>
      </c>
      <c r="S352" s="3">
        <f t="shared" si="359"/>
        <v>3.2547360953100472E-4</v>
      </c>
      <c r="T352" s="3">
        <f t="shared" si="359"/>
        <v>3.2547360660193492E-4</v>
      </c>
      <c r="U352" s="3">
        <f t="shared" si="359"/>
        <v>3.2547357731123777E-4</v>
      </c>
      <c r="V352" s="3">
        <f t="shared" si="359"/>
        <v>3.2547328440441143E-4</v>
      </c>
      <c r="W352" s="3">
        <f t="shared" si="359"/>
        <v>3.2547035535064622E-4</v>
      </c>
      <c r="X352" s="3">
        <f t="shared" si="359"/>
        <v>3.2544106626273449E-4</v>
      </c>
      <c r="Y352" s="3">
        <f t="shared" si="359"/>
        <v>3.2514832030941689E-4</v>
      </c>
      <c r="Z352" s="3">
        <f t="shared" si="359"/>
        <v>3.2223530521503601E-4</v>
      </c>
      <c r="AA352" s="3">
        <f t="shared" si="359"/>
        <v>2.9450263728763069E-4</v>
      </c>
      <c r="AB352" s="3">
        <f t="shared" si="359"/>
        <v>1.1974292318997556E-4</v>
      </c>
      <c r="AC352" s="3">
        <f t="shared" si="359"/>
        <v>1.478619854892787E-8</v>
      </c>
      <c r="AD352" s="3">
        <f t="shared" si="359"/>
        <v>1.2187743604823346E-47</v>
      </c>
      <c r="AE352" s="3">
        <f t="shared" si="359"/>
        <v>0</v>
      </c>
      <c r="AF352" s="3">
        <f t="shared" si="359"/>
        <v>0</v>
      </c>
      <c r="AG352" s="3"/>
      <c r="AH352" s="3"/>
    </row>
    <row r="353" spans="1:34" x14ac:dyDescent="0.25">
      <c r="B353" s="3">
        <f t="shared" ref="B353:AF353" si="360">$C44*EXP(-B$363/$A44/EXP(-$G$126))</f>
        <v>3.3657757333866336E-3</v>
      </c>
      <c r="C353" s="3">
        <f t="shared" si="360"/>
        <v>3.3657757333866336E-3</v>
      </c>
      <c r="D353" s="3">
        <f t="shared" si="360"/>
        <v>3.3657757333866336E-3</v>
      </c>
      <c r="E353" s="3">
        <f t="shared" si="360"/>
        <v>3.3657757333866336E-3</v>
      </c>
      <c r="F353" s="3">
        <f t="shared" si="360"/>
        <v>3.3657757333866336E-3</v>
      </c>
      <c r="G353" s="3">
        <f t="shared" si="360"/>
        <v>3.3657757333866336E-3</v>
      </c>
      <c r="H353" s="3">
        <f t="shared" si="360"/>
        <v>3.3657757333866336E-3</v>
      </c>
      <c r="I353" s="3">
        <f t="shared" si="360"/>
        <v>3.3657757333866336E-3</v>
      </c>
      <c r="J353" s="3">
        <f t="shared" si="360"/>
        <v>3.3657757333866336E-3</v>
      </c>
      <c r="K353" s="3">
        <f t="shared" si="360"/>
        <v>3.3657757333866336E-3</v>
      </c>
      <c r="L353" s="3">
        <f t="shared" si="360"/>
        <v>3.3657757333866336E-3</v>
      </c>
      <c r="M353" s="3">
        <f t="shared" si="360"/>
        <v>3.3657757333866332E-3</v>
      </c>
      <c r="N353" s="3">
        <f t="shared" si="360"/>
        <v>3.3657757333866302E-3</v>
      </c>
      <c r="O353" s="3">
        <f t="shared" si="360"/>
        <v>3.3657757333865998E-3</v>
      </c>
      <c r="P353" s="3">
        <f t="shared" si="360"/>
        <v>3.3657757333862971E-3</v>
      </c>
      <c r="Q353" s="3">
        <f t="shared" si="360"/>
        <v>3.3657757333832678E-3</v>
      </c>
      <c r="R353" s="3">
        <f t="shared" si="360"/>
        <v>3.3657757333529783E-3</v>
      </c>
      <c r="S353" s="3">
        <f t="shared" si="360"/>
        <v>3.3657757330500782E-3</v>
      </c>
      <c r="T353" s="3">
        <f t="shared" si="360"/>
        <v>3.3657757300210793E-3</v>
      </c>
      <c r="U353" s="3">
        <f t="shared" si="360"/>
        <v>3.36577569973109E-3</v>
      </c>
      <c r="V353" s="3">
        <f t="shared" si="360"/>
        <v>3.3657753968312091E-3</v>
      </c>
      <c r="W353" s="3">
        <f t="shared" si="360"/>
        <v>3.3657723678339009E-3</v>
      </c>
      <c r="X353" s="3">
        <f t="shared" si="360"/>
        <v>3.3657420780107438E-3</v>
      </c>
      <c r="Y353" s="3">
        <f t="shared" si="360"/>
        <v>3.3654391947711784E-3</v>
      </c>
      <c r="Z353" s="3">
        <f t="shared" si="360"/>
        <v>3.36241186107688E-3</v>
      </c>
      <c r="AA353" s="3">
        <f t="shared" si="360"/>
        <v>3.3322878964335396E-3</v>
      </c>
      <c r="AB353" s="3">
        <f t="shared" si="360"/>
        <v>3.0454998500131338E-3</v>
      </c>
      <c r="AC353" s="3">
        <f t="shared" si="360"/>
        <v>1.2382811168479865E-3</v>
      </c>
      <c r="AD353" s="3">
        <f t="shared" si="360"/>
        <v>1.529064930547418E-7</v>
      </c>
      <c r="AE353" s="3">
        <f t="shared" si="360"/>
        <v>1.2603544627763851E-46</v>
      </c>
      <c r="AF353" s="3">
        <f t="shared" si="360"/>
        <v>0</v>
      </c>
      <c r="AG353" s="3"/>
      <c r="AH353" s="3"/>
    </row>
    <row r="354" spans="1:34" x14ac:dyDescent="0.25">
      <c r="B354" s="3">
        <f t="shared" ref="B354:AF354" si="361">$C45*EXP(-B$363/$A45/EXP(-$G$126))</f>
        <v>7.1877880972849508E-4</v>
      </c>
      <c r="C354" s="3">
        <f t="shared" si="361"/>
        <v>7.1877880972849508E-4</v>
      </c>
      <c r="D354" s="3">
        <f t="shared" si="361"/>
        <v>7.1877880972849508E-4</v>
      </c>
      <c r="E354" s="3">
        <f t="shared" si="361"/>
        <v>7.1877880972849508E-4</v>
      </c>
      <c r="F354" s="3">
        <f t="shared" si="361"/>
        <v>7.1877880972849508E-4</v>
      </c>
      <c r="G354" s="3">
        <f t="shared" si="361"/>
        <v>7.1877880972849508E-4</v>
      </c>
      <c r="H354" s="3">
        <f t="shared" si="361"/>
        <v>7.1877880972849508E-4</v>
      </c>
      <c r="I354" s="3">
        <f t="shared" si="361"/>
        <v>7.1877880972849508E-4</v>
      </c>
      <c r="J354" s="3">
        <f t="shared" si="361"/>
        <v>7.1877880972849508E-4</v>
      </c>
      <c r="K354" s="3">
        <f t="shared" si="361"/>
        <v>7.1877880972849508E-4</v>
      </c>
      <c r="L354" s="3">
        <f t="shared" si="361"/>
        <v>7.1877880972849508E-4</v>
      </c>
      <c r="M354" s="3">
        <f t="shared" si="361"/>
        <v>7.1877880972849508E-4</v>
      </c>
      <c r="N354" s="3">
        <f t="shared" si="361"/>
        <v>7.1877880972849497E-4</v>
      </c>
      <c r="O354" s="3">
        <f t="shared" si="361"/>
        <v>7.1877880972849432E-4</v>
      </c>
      <c r="P354" s="3">
        <f t="shared" si="361"/>
        <v>7.1877880972848792E-4</v>
      </c>
      <c r="Q354" s="3">
        <f t="shared" si="361"/>
        <v>7.187788097284232E-4</v>
      </c>
      <c r="R354" s="3">
        <f t="shared" si="361"/>
        <v>7.1877880972777636E-4</v>
      </c>
      <c r="S354" s="3">
        <f t="shared" si="361"/>
        <v>7.1877880972130779E-4</v>
      </c>
      <c r="T354" s="3">
        <f t="shared" si="361"/>
        <v>7.1877880965662191E-4</v>
      </c>
      <c r="U354" s="3">
        <f t="shared" si="361"/>
        <v>7.1877880900976358E-4</v>
      </c>
      <c r="V354" s="3">
        <f t="shared" si="361"/>
        <v>7.1877880254117967E-4</v>
      </c>
      <c r="W354" s="3">
        <f t="shared" si="361"/>
        <v>7.1877873785534409E-4</v>
      </c>
      <c r="X354" s="3">
        <f t="shared" si="361"/>
        <v>7.1877809099730821E-4</v>
      </c>
      <c r="Y354" s="3">
        <f t="shared" si="361"/>
        <v>7.1877162244896747E-4</v>
      </c>
      <c r="Z354" s="3">
        <f t="shared" si="361"/>
        <v>7.1870694016717973E-4</v>
      </c>
      <c r="AA354" s="3">
        <f t="shared" si="361"/>
        <v>7.180604374047246E-4</v>
      </c>
      <c r="AB354" s="3">
        <f t="shared" si="361"/>
        <v>7.1162730900705296E-4</v>
      </c>
      <c r="AC354" s="3">
        <f t="shared" si="361"/>
        <v>6.5038223893133383E-4</v>
      </c>
      <c r="AD354" s="3">
        <f t="shared" si="361"/>
        <v>2.6444133471177574E-4</v>
      </c>
      <c r="AE354" s="3">
        <f t="shared" si="361"/>
        <v>3.2653972154900131E-8</v>
      </c>
      <c r="AF354" s="3">
        <f t="shared" si="361"/>
        <v>2.6915521185925148E-47</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6.8174095740770341E-3</v>
      </c>
      <c r="C357" s="3">
        <f t="shared" si="364"/>
        <v>6.8174095740770341E-3</v>
      </c>
      <c r="D357" s="3">
        <f t="shared" si="364"/>
        <v>6.8174095740770341E-3</v>
      </c>
      <c r="E357" s="3">
        <f t="shared" si="364"/>
        <v>6.8174095740770341E-3</v>
      </c>
      <c r="F357" s="3">
        <f t="shared" si="364"/>
        <v>6.8174095740770341E-3</v>
      </c>
      <c r="G357" s="3">
        <f t="shared" si="364"/>
        <v>6.8174095740770341E-3</v>
      </c>
      <c r="H357" s="3">
        <f t="shared" si="364"/>
        <v>6.8174095740770341E-3</v>
      </c>
      <c r="I357" s="3">
        <f t="shared" si="364"/>
        <v>6.8174095740770341E-3</v>
      </c>
      <c r="J357" s="3">
        <f t="shared" si="364"/>
        <v>6.8174095740770341E-3</v>
      </c>
      <c r="K357" s="3">
        <f t="shared" si="364"/>
        <v>6.8174095740770341E-3</v>
      </c>
      <c r="L357" s="3">
        <f t="shared" si="364"/>
        <v>6.8174095740770341E-3</v>
      </c>
      <c r="M357" s="3">
        <f t="shared" si="364"/>
        <v>6.8174095740770341E-3</v>
      </c>
      <c r="N357" s="3">
        <f t="shared" si="364"/>
        <v>6.8174095740770341E-3</v>
      </c>
      <c r="O357" s="3">
        <f t="shared" si="364"/>
        <v>6.8174095740770341E-3</v>
      </c>
      <c r="P357" s="3">
        <f t="shared" si="364"/>
        <v>6.8174095740770341E-3</v>
      </c>
      <c r="Q357" s="3">
        <f t="shared" si="364"/>
        <v>6.8174095740770333E-3</v>
      </c>
      <c r="R357" s="3">
        <f t="shared" si="364"/>
        <v>6.8174095740770272E-3</v>
      </c>
      <c r="S357" s="3">
        <f t="shared" si="364"/>
        <v>6.8174095740769656E-3</v>
      </c>
      <c r="T357" s="3">
        <f t="shared" si="364"/>
        <v>6.8174095740763524E-3</v>
      </c>
      <c r="U357" s="3">
        <f t="shared" si="364"/>
        <v>6.8174095740702167E-3</v>
      </c>
      <c r="V357" s="3">
        <f t="shared" si="364"/>
        <v>6.8174095740088647E-3</v>
      </c>
      <c r="W357" s="3">
        <f t="shared" si="364"/>
        <v>6.8174095733953381E-3</v>
      </c>
      <c r="X357" s="3">
        <f t="shared" si="364"/>
        <v>6.8174095672600731E-3</v>
      </c>
      <c r="Y357" s="3">
        <f t="shared" si="364"/>
        <v>6.8174095059074218E-3</v>
      </c>
      <c r="Z357" s="3">
        <f t="shared" si="364"/>
        <v>6.8174088923809387E-3</v>
      </c>
      <c r="AA357" s="3">
        <f t="shared" si="364"/>
        <v>6.8174027571191497E-3</v>
      </c>
      <c r="AB357" s="3">
        <f t="shared" si="364"/>
        <v>6.8173414048049302E-3</v>
      </c>
      <c r="AC357" s="3">
        <f t="shared" si="364"/>
        <v>6.816727912029176E-3</v>
      </c>
      <c r="AD357" s="3">
        <f t="shared" si="364"/>
        <v>6.8105960199049582E-3</v>
      </c>
      <c r="AE357" s="3">
        <f t="shared" si="364"/>
        <v>6.7495796536237666E-3</v>
      </c>
      <c r="AF357" s="3">
        <f t="shared" si="364"/>
        <v>6.168687838995923E-3</v>
      </c>
      <c r="AG357" s="3"/>
      <c r="AH357" s="3"/>
    </row>
    <row r="358" spans="1:34" x14ac:dyDescent="0.25">
      <c r="A358" s="79">
        <f>AVERAGE(B358:AF358)</f>
        <v>1.4076057199805745E-4</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2.9721790362524035E-4</v>
      </c>
      <c r="M358" s="80">
        <f t="shared" si="365"/>
        <v>4.6996505554766085E-4</v>
      </c>
      <c r="N358" s="80">
        <f t="shared" si="365"/>
        <v>5.9331884672523128E-4</v>
      </c>
      <c r="O358" s="80">
        <f t="shared" si="365"/>
        <v>6.9185387270795547E-4</v>
      </c>
      <c r="P358" s="80">
        <f t="shared" si="365"/>
        <v>6.5289006140378195E-4</v>
      </c>
      <c r="Q358" s="80">
        <f t="shared" si="365"/>
        <v>5.8312989007199077E-4</v>
      </c>
      <c r="R358" s="80">
        <f t="shared" si="365"/>
        <v>4.2370908761306191E-4</v>
      </c>
      <c r="S358" s="80">
        <f t="shared" si="365"/>
        <v>3.2412535659267372E-4</v>
      </c>
      <c r="T358" s="80">
        <f t="shared" si="365"/>
        <v>1.6350364357938345E-4</v>
      </c>
      <c r="U358" s="80">
        <f t="shared" si="365"/>
        <v>1.4257588728247548E-4</v>
      </c>
      <c r="V358" s="80">
        <f t="shared" si="365"/>
        <v>2.1288126790326051E-5</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9115.2341851549645</v>
      </c>
      <c r="C359" s="21">
        <f t="shared" ref="C359:AF359" si="366">(C326-C325)^2</f>
        <v>15256.271351777295</v>
      </c>
      <c r="D359" s="21">
        <f t="shared" si="366"/>
        <v>1067.6948255811706</v>
      </c>
      <c r="E359" s="21">
        <f t="shared" si="366"/>
        <v>28.804902008940253</v>
      </c>
      <c r="F359" s="21">
        <f t="shared" si="366"/>
        <v>0.52393548972230708</v>
      </c>
      <c r="G359" s="21">
        <f t="shared" si="366"/>
        <v>1.8991421485306324E-2</v>
      </c>
      <c r="H359" s="21">
        <f t="shared" si="366"/>
        <v>2.0509998761705549E-3</v>
      </c>
      <c r="I359" s="21">
        <f t="shared" si="366"/>
        <v>5.593449320093509E-2</v>
      </c>
      <c r="J359" s="21">
        <f t="shared" si="366"/>
        <v>0.19321189884109968</v>
      </c>
      <c r="K359" s="21">
        <f t="shared" si="366"/>
        <v>1.0326289044483827</v>
      </c>
      <c r="L359" s="21">
        <f t="shared" si="366"/>
        <v>2.6596038370910438</v>
      </c>
      <c r="M359" s="21">
        <f t="shared" si="366"/>
        <v>5.9979045252157324</v>
      </c>
      <c r="N359" s="21">
        <f t="shared" si="366"/>
        <v>8.5350434014657228</v>
      </c>
      <c r="O359" s="21">
        <f t="shared" si="366"/>
        <v>10.058222307247108</v>
      </c>
      <c r="P359" s="21">
        <f t="shared" si="366"/>
        <v>7.5953727633690216</v>
      </c>
      <c r="Q359" s="21">
        <f t="shared" si="366"/>
        <v>4.8842139792359012</v>
      </c>
      <c r="R359" s="21">
        <f t="shared" si="366"/>
        <v>1.9360075412336519</v>
      </c>
      <c r="S359" s="21">
        <f t="shared" si="366"/>
        <v>0.77423509579878713</v>
      </c>
      <c r="T359" s="21">
        <f t="shared" si="366"/>
        <v>0.12018920261312323</v>
      </c>
      <c r="U359" s="21">
        <f t="shared" si="366"/>
        <v>4.8788925836065464E-2</v>
      </c>
      <c r="V359" s="21">
        <f t="shared" si="366"/>
        <v>5.6346695256134435E-4</v>
      </c>
      <c r="W359" s="21">
        <f t="shared" si="366"/>
        <v>4.9438260759839944E-3</v>
      </c>
      <c r="X359" s="21">
        <f t="shared" si="366"/>
        <v>6.980753686276096E-4</v>
      </c>
      <c r="Y359" s="21">
        <f t="shared" si="366"/>
        <v>1.2359835765872411E-4</v>
      </c>
      <c r="Z359" s="21">
        <f t="shared" si="366"/>
        <v>1.0809738721587607E-2</v>
      </c>
      <c r="AA359" s="21">
        <f t="shared" si="366"/>
        <v>9.9390913123399965E-3</v>
      </c>
      <c r="AB359" s="21">
        <f t="shared" si="366"/>
        <v>0.403025005444267</v>
      </c>
      <c r="AC359" s="21">
        <f t="shared" si="366"/>
        <v>3.3752051444896702</v>
      </c>
      <c r="AD359" s="21">
        <f t="shared" si="366"/>
        <v>5.5195717356242264</v>
      </c>
      <c r="AE359" s="21">
        <f t="shared" si="366"/>
        <v>5.4301620944129114</v>
      </c>
      <c r="AF359" s="21">
        <f t="shared" si="366"/>
        <v>11.33321660742499</v>
      </c>
      <c r="AG359" s="3"/>
      <c r="AH359" s="3"/>
    </row>
    <row r="360" spans="1:34" x14ac:dyDescent="0.25">
      <c r="A360" s="71">
        <f>SUM(B360:AF360)</f>
        <v>42.610145046058719</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2.6596038370910438</v>
      </c>
      <c r="M360" s="60">
        <f t="shared" si="367"/>
        <v>5.9979045252157324</v>
      </c>
      <c r="N360" s="60">
        <f t="shared" si="367"/>
        <v>8.5350434014657228</v>
      </c>
      <c r="O360" s="60">
        <f t="shared" si="367"/>
        <v>10.058222307247108</v>
      </c>
      <c r="P360" s="60">
        <f t="shared" si="367"/>
        <v>7.5953727633690216</v>
      </c>
      <c r="Q360" s="60">
        <f t="shared" si="367"/>
        <v>4.8842139792359012</v>
      </c>
      <c r="R360" s="60">
        <f t="shared" si="367"/>
        <v>1.9360075412336519</v>
      </c>
      <c r="S360" s="60">
        <f t="shared" si="367"/>
        <v>0.77423509579878713</v>
      </c>
      <c r="T360" s="60">
        <f t="shared" si="367"/>
        <v>0.12018920261312323</v>
      </c>
      <c r="U360" s="60">
        <f t="shared" si="367"/>
        <v>4.8788925836065464E-2</v>
      </c>
      <c r="V360" s="60">
        <f t="shared" si="367"/>
        <v>5.6346695256134435E-4</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7885.0238799750496</v>
      </c>
      <c r="C364" s="26">
        <f>INDEX(Comparison!$AM$3:$AS$33,G$14,$H$122)</f>
        <v>7533.2051738552464</v>
      </c>
      <c r="D364" s="26">
        <f>INDEX(Comparison!$AM$3:$AS$33,H$14,$H$122)</f>
        <v>7191.2405725815324</v>
      </c>
      <c r="E364" s="26">
        <f>INDEX(Comparison!$AM$3:$AS$33,I$14,$H$122)</f>
        <v>6812.4631092957497</v>
      </c>
      <c r="F364" s="26">
        <f>INDEX(Comparison!$AM$3:$AS$33,J$14,$H$122)</f>
        <v>6451.9725248759578</v>
      </c>
      <c r="G364" s="26">
        <f>INDEX(Comparison!$AM$3:$AS$33,K$14,$H$122)</f>
        <v>6166.1047060884439</v>
      </c>
      <c r="H364" s="26">
        <f>INDEX(Comparison!$AM$3:$AS$33,L$14,$H$122)</f>
        <v>5881.0552739751101</v>
      </c>
      <c r="I364" s="26">
        <f>INDEX(Comparison!$AM$3:$AS$33,M$14,$H$122)</f>
        <v>5609.3504910949478</v>
      </c>
      <c r="J364" s="26">
        <f>INDEX(Comparison!$AM$3:$AS$33,N$14,$H$122)</f>
        <v>5323.5276590267758</v>
      </c>
      <c r="K364" s="26">
        <f>INDEX(Comparison!$AM$3:$AS$33,O$14,$H$122)</f>
        <v>5061.2818561056738</v>
      </c>
      <c r="L364" s="26">
        <f>INDEX(Comparison!$AM$3:$AS$33,P$14,$H$122)</f>
        <v>4733.4087396901623</v>
      </c>
      <c r="M364" s="26">
        <f>INDEX(Comparison!$AM$3:$AS$33,Q$14,$H$122)</f>
        <v>4393.7824312927287</v>
      </c>
      <c r="N364" s="26">
        <f>INDEX(Comparison!$AM$3:$AS$33,R$14,$H$122)</f>
        <v>4006.1265808261332</v>
      </c>
      <c r="O364" s="26">
        <f>INDEX(Comparison!$AM$3:$AS$33,S$14,$H$122)</f>
        <v>3576.233277328839</v>
      </c>
      <c r="P364" s="26">
        <f>INDEX(Comparison!$AM$3:$AS$33,T$14,$H$122)</f>
        <v>3059.5283871610445</v>
      </c>
      <c r="Q364" s="26">
        <f>INDEX(Comparison!$AM$3:$AS$33,U$14,$H$122)</f>
        <v>2469.5512794279489</v>
      </c>
      <c r="R364" s="26">
        <f>INDEX(Comparison!$AM$3:$AS$33,V$14,$H$122)</f>
        <v>1842.799668868907</v>
      </c>
      <c r="S364" s="26">
        <f>INDEX(Comparison!$AM$3:$AS$33,W$14,$H$122)</f>
        <v>1328.7737512423464</v>
      </c>
      <c r="T364" s="26">
        <f>INDEX(Comparison!$AM$3:$AS$33,X$14,$H$122)</f>
        <v>948.83583319405307</v>
      </c>
      <c r="U364" s="26">
        <f>INDEX(Comparison!$AM$3:$AS$33,Y$14,$H$122)</f>
        <v>739.39486681916139</v>
      </c>
      <c r="V364" s="26">
        <f>INDEX(Comparison!$AM$3:$AS$33,Z$14,$H$122)</f>
        <v>624.14790659062351</v>
      </c>
      <c r="W364" s="26">
        <f>INDEX(Comparison!$AM$3:$AS$33,AA$14,$H$122)</f>
        <v>574.84813415628378</v>
      </c>
      <c r="X364" s="26">
        <f>INDEX(Comparison!$AM$3:$AS$33,AB$14,$H$122)</f>
        <v>540.01941971549797</v>
      </c>
      <c r="Y364" s="26">
        <f>INDEX(Comparison!$AM$3:$AS$33,AC$14,$H$122)</f>
        <v>522.91431442377564</v>
      </c>
      <c r="Z364" s="26">
        <f>INDEX(Comparison!$AM$3:$AS$33,AD$14,$H$122)</f>
        <v>512.28225991416207</v>
      </c>
      <c r="AA364" s="26">
        <f>INDEX(Comparison!$AM$3:$AS$33,AE$14,$H$122)</f>
        <v>486.30628203230003</v>
      </c>
      <c r="AB364" s="26">
        <f>INDEX(Comparison!$AM$3:$AS$33,AF$14,$H$122)</f>
        <v>477.16338311456207</v>
      </c>
      <c r="AC364" s="26">
        <f>INDEX(Comparison!$AM$3:$AS$33,AG$14,$H$122)</f>
        <v>476.22593072507385</v>
      </c>
      <c r="AD364" s="26">
        <f>INDEX(Comparison!$AM$3:$AS$33,AH$14,$H$122)</f>
        <v>475.98047490013522</v>
      </c>
      <c r="AE364" s="26">
        <f>INDEX(Comparison!$AM$3:$AS$33,AI$14,$H$122)</f>
        <v>475.76724400704541</v>
      </c>
      <c r="AF364" s="26">
        <f>INDEX(Comparison!$AM$3:$AS$33,AJ$14,$H$122)</f>
        <v>475.55412653805064</v>
      </c>
      <c r="AG364" s="26"/>
      <c r="AH364" s="26"/>
    </row>
    <row r="365" spans="1:34" x14ac:dyDescent="0.25">
      <c r="A365" s="70" t="s">
        <v>22</v>
      </c>
      <c r="B365" s="27">
        <f>($C$17+SUM(B366:B396))*$B$51</f>
        <v>7825.2389032898855</v>
      </c>
      <c r="C365" s="27">
        <f t="shared" ref="C365:AF365" si="368">($C$17+SUM(C366:C396))*$B$51</f>
        <v>7587.9765909546468</v>
      </c>
      <c r="D365" s="27">
        <f t="shared" si="368"/>
        <v>7251.3422965569944</v>
      </c>
      <c r="E365" s="27">
        <f t="shared" si="368"/>
        <v>6877.3440404185267</v>
      </c>
      <c r="F365" s="27">
        <f t="shared" si="368"/>
        <v>6506.4137994135544</v>
      </c>
      <c r="G365" s="27">
        <f t="shared" si="368"/>
        <v>6199.171324930805</v>
      </c>
      <c r="H365" s="27">
        <f t="shared" si="368"/>
        <v>5924.0166380642258</v>
      </c>
      <c r="I365" s="27">
        <f t="shared" si="368"/>
        <v>5637.6219021780516</v>
      </c>
      <c r="J365" s="27">
        <f t="shared" si="368"/>
        <v>5357.4778524347721</v>
      </c>
      <c r="K365" s="27">
        <f t="shared" si="368"/>
        <v>5082.7353451971458</v>
      </c>
      <c r="L365" s="27">
        <f t="shared" si="368"/>
        <v>4767.7811796611823</v>
      </c>
      <c r="M365" s="27">
        <f t="shared" si="368"/>
        <v>4414.8350884427409</v>
      </c>
      <c r="N365" s="27">
        <f t="shared" si="368"/>
        <v>4027.0215273098142</v>
      </c>
      <c r="O365" s="27">
        <f t="shared" si="368"/>
        <v>3559.056887302906</v>
      </c>
      <c r="P365" s="27">
        <f t="shared" si="368"/>
        <v>3019.5229655116073</v>
      </c>
      <c r="Q365" s="27">
        <f t="shared" si="368"/>
        <v>2443.2975615801647</v>
      </c>
      <c r="R365" s="27">
        <f t="shared" si="368"/>
        <v>1847.9426462492195</v>
      </c>
      <c r="S365" s="27">
        <f t="shared" si="368"/>
        <v>1347.857018176667</v>
      </c>
      <c r="T365" s="27">
        <f t="shared" si="368"/>
        <v>969.9402332072284</v>
      </c>
      <c r="U365" s="27">
        <f t="shared" si="368"/>
        <v>765.31756178196781</v>
      </c>
      <c r="V365" s="27">
        <f t="shared" si="368"/>
        <v>614.91452066894669</v>
      </c>
      <c r="W365" s="27">
        <f t="shared" si="368"/>
        <v>578.55336478646609</v>
      </c>
      <c r="X365" s="27">
        <f t="shared" si="368"/>
        <v>538.49369460888215</v>
      </c>
      <c r="Y365" s="27">
        <f t="shared" si="368"/>
        <v>522.87900679954896</v>
      </c>
      <c r="Z365" s="27">
        <f t="shared" si="368"/>
        <v>512.10426094816614</v>
      </c>
      <c r="AA365" s="27">
        <f t="shared" si="368"/>
        <v>486.45935191119941</v>
      </c>
      <c r="AB365" s="27">
        <f t="shared" si="368"/>
        <v>478.97466114744981</v>
      </c>
      <c r="AC365" s="27">
        <f t="shared" si="368"/>
        <v>476.81506110488203</v>
      </c>
      <c r="AD365" s="27">
        <f t="shared" si="368"/>
        <v>462.05735212295139</v>
      </c>
      <c r="AE365" s="27">
        <f t="shared" si="368"/>
        <v>413.73422363602515</v>
      </c>
      <c r="AF365" s="27">
        <f t="shared" si="368"/>
        <v>409.23966323428846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5.2435848956378411E-5</v>
      </c>
      <c r="C367" s="3">
        <f t="shared" si="370"/>
        <v>2.035826438667615E-32</v>
      </c>
      <c r="D367" s="3">
        <f t="shared" si="370"/>
        <v>1.5844013850712288E-306</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9.1658049750580409E-3</v>
      </c>
      <c r="C368" s="3">
        <f t="shared" si="371"/>
        <v>3.0866011834791067E-5</v>
      </c>
      <c r="D368" s="3">
        <f t="shared" si="371"/>
        <v>5.7886804862762432E-30</v>
      </c>
      <c r="E368" s="3">
        <f t="shared" si="371"/>
        <v>3.1158043757997923E-277</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3.0487960472317093E-2</v>
      </c>
      <c r="C369" s="3">
        <f t="shared" si="372"/>
        <v>1.824194556468962E-2</v>
      </c>
      <c r="D369" s="3">
        <f t="shared" si="372"/>
        <v>1.072751134937979E-4</v>
      </c>
      <c r="E369" s="3">
        <f t="shared" si="372"/>
        <v>5.306122292904303E-27</v>
      </c>
      <c r="F369" s="3">
        <f t="shared" si="372"/>
        <v>4.6511460837021292E-250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3.6953778100401069E-2</v>
      </c>
      <c r="C370" s="3">
        <f t="shared" si="373"/>
        <v>3.5280702977465758E-2</v>
      </c>
      <c r="D370" s="3">
        <f t="shared" si="373"/>
        <v>2.2198368851611982E-2</v>
      </c>
      <c r="E370" s="3">
        <f t="shared" si="373"/>
        <v>2.1585365053283711E-4</v>
      </c>
      <c r="F370" s="3">
        <f t="shared" si="373"/>
        <v>1.6313334538185652E-24</v>
      </c>
      <c r="G370" s="3">
        <f t="shared" si="373"/>
        <v>9.9169057868192491E-226</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4.0778870037565411E-2</v>
      </c>
      <c r="C371" s="3">
        <f t="shared" si="374"/>
        <v>4.0608790100892495E-2</v>
      </c>
      <c r="D371" s="3">
        <f t="shared" si="374"/>
        <v>3.8946521795863012E-2</v>
      </c>
      <c r="E371" s="3">
        <f t="shared" si="374"/>
        <v>2.5642180699522964E-2</v>
      </c>
      <c r="F371" s="3">
        <f t="shared" si="374"/>
        <v>3.924801874355081E-4</v>
      </c>
      <c r="G371" s="3">
        <f t="shared" si="374"/>
        <v>2.7697818033380717E-22</v>
      </c>
      <c r="H371" s="3">
        <f t="shared" si="374"/>
        <v>8.4864049738174203E-204</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3.2980874257135667E-2</v>
      </c>
      <c r="C372" s="3">
        <f t="shared" si="375"/>
        <v>3.2968441941217765E-2</v>
      </c>
      <c r="D372" s="3">
        <f t="shared" si="375"/>
        <v>3.28443762442912E-2</v>
      </c>
      <c r="E372" s="3">
        <f t="shared" si="375"/>
        <v>3.162910993435776E-2</v>
      </c>
      <c r="F372" s="3">
        <f t="shared" si="375"/>
        <v>2.1694342543283889E-2</v>
      </c>
      <c r="G372" s="3">
        <f t="shared" si="375"/>
        <v>4.999674347800269E-4</v>
      </c>
      <c r="H372" s="3">
        <f t="shared" si="375"/>
        <v>2.1129730706083799E-20</v>
      </c>
      <c r="I372" s="3">
        <f t="shared" si="375"/>
        <v>3.8407532509153392E-184</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2.7372134750109651E-2</v>
      </c>
      <c r="C373" s="3">
        <f t="shared" si="376"/>
        <v>2.7371203814557325E-2</v>
      </c>
      <c r="D373" s="3">
        <f t="shared" si="376"/>
        <v>2.7361896200235204E-2</v>
      </c>
      <c r="E373" s="3">
        <f t="shared" si="376"/>
        <v>2.7268993958213434E-2</v>
      </c>
      <c r="F373" s="3">
        <f t="shared" si="376"/>
        <v>2.6357144796588638E-2</v>
      </c>
      <c r="G373" s="3">
        <f t="shared" si="376"/>
        <v>1.8758185651060452E-2</v>
      </c>
      <c r="H373" s="3">
        <f t="shared" si="376"/>
        <v>6.2533898340304305E-4</v>
      </c>
      <c r="I373" s="3">
        <f t="shared" si="376"/>
        <v>1.0601376007293985E-18</v>
      </c>
      <c r="J373" s="3">
        <f t="shared" si="376"/>
        <v>2.0788807982263339E-166</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2.942074476705004E-2</v>
      </c>
      <c r="C374" s="3">
        <f t="shared" si="377"/>
        <v>2.9420654502354957E-2</v>
      </c>
      <c r="D374" s="3">
        <f t="shared" si="377"/>
        <v>2.9419751870635544E-2</v>
      </c>
      <c r="E374" s="3">
        <f t="shared" si="377"/>
        <v>2.9410727076412208E-2</v>
      </c>
      <c r="F374" s="3">
        <f t="shared" si="377"/>
        <v>2.9320631258512718E-2</v>
      </c>
      <c r="G374" s="3">
        <f t="shared" si="377"/>
        <v>2.8434714231684113E-2</v>
      </c>
      <c r="H374" s="3">
        <f t="shared" si="377"/>
        <v>2.0922057215509007E-2</v>
      </c>
      <c r="I374" s="3">
        <f t="shared" si="377"/>
        <v>9.7310467743122312E-4</v>
      </c>
      <c r="J374" s="3">
        <f t="shared" si="377"/>
        <v>4.6101101983277715E-17</v>
      </c>
      <c r="K374" s="3">
        <f t="shared" si="377"/>
        <v>2.625601265780978E-150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2.9009359145719223E-2</v>
      </c>
      <c r="C375" s="3">
        <f t="shared" si="378"/>
        <v>2.9009351116938652E-2</v>
      </c>
      <c r="D375" s="3">
        <f t="shared" si="378"/>
        <v>2.900927082925512E-2</v>
      </c>
      <c r="E375" s="3">
        <f t="shared" si="378"/>
        <v>2.9008467964641179E-2</v>
      </c>
      <c r="F375" s="3">
        <f t="shared" si="378"/>
        <v>2.9000440540510874E-2</v>
      </c>
      <c r="G375" s="3">
        <f t="shared" si="378"/>
        <v>2.8920288375076365E-2</v>
      </c>
      <c r="H375" s="3">
        <f t="shared" si="378"/>
        <v>2.8130850218132785E-2</v>
      </c>
      <c r="I375" s="3">
        <f t="shared" si="378"/>
        <v>2.1329724706118422E-2</v>
      </c>
      <c r="J375" s="3">
        <f t="shared" si="378"/>
        <v>1.3397049716496611E-3</v>
      </c>
      <c r="K375" s="3">
        <f t="shared" si="378"/>
        <v>1.2801131449584194E-15</v>
      </c>
      <c r="L375" s="3">
        <f t="shared" si="378"/>
        <v>8.1215746163571541E-136</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2.6775000087602693E-2</v>
      </c>
      <c r="C376" s="3">
        <f t="shared" si="379"/>
        <v>2.6774999419123979E-2</v>
      </c>
      <c r="D376" s="3">
        <f t="shared" si="379"/>
        <v>2.6774992734337793E-2</v>
      </c>
      <c r="E376" s="3">
        <f t="shared" si="379"/>
        <v>2.6774925886567706E-2</v>
      </c>
      <c r="F376" s="3">
        <f t="shared" si="379"/>
        <v>2.6774257418046007E-2</v>
      </c>
      <c r="G376" s="3">
        <f t="shared" si="379"/>
        <v>2.6767573650662322E-2</v>
      </c>
      <c r="H376" s="3">
        <f t="shared" si="379"/>
        <v>2.6700827675425389E-2</v>
      </c>
      <c r="I376" s="3">
        <f t="shared" si="379"/>
        <v>2.6042453638137477E-2</v>
      </c>
      <c r="J376" s="3">
        <f t="shared" si="379"/>
        <v>2.0288673708539939E-2</v>
      </c>
      <c r="K376" s="3">
        <f t="shared" si="379"/>
        <v>1.6709799454990687E-3</v>
      </c>
      <c r="L376" s="3">
        <f t="shared" si="379"/>
        <v>2.3996452212871206E-14</v>
      </c>
      <c r="M376" s="3">
        <f t="shared" si="379"/>
        <v>8.9516900615638298E-123</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3.1584912007118895E-2</v>
      </c>
      <c r="C377" s="3">
        <f t="shared" si="380"/>
        <v>3.1584911935983721E-2</v>
      </c>
      <c r="D377" s="3">
        <f t="shared" si="380"/>
        <v>3.1584911224632042E-2</v>
      </c>
      <c r="E377" s="3">
        <f t="shared" si="380"/>
        <v>3.1584904111116127E-2</v>
      </c>
      <c r="F377" s="3">
        <f t="shared" si="380"/>
        <v>3.1584832976045057E-2</v>
      </c>
      <c r="G377" s="3">
        <f t="shared" si="380"/>
        <v>3.158412163414584E-2</v>
      </c>
      <c r="H377" s="3">
        <f t="shared" si="380"/>
        <v>3.1577009096225933E-2</v>
      </c>
      <c r="I377" s="3">
        <f t="shared" si="380"/>
        <v>3.1505971750879366E-2</v>
      </c>
      <c r="J377" s="3">
        <f t="shared" si="380"/>
        <v>3.0804328763050524E-2</v>
      </c>
      <c r="K377" s="3">
        <f t="shared" si="380"/>
        <v>2.4592374012389128E-2</v>
      </c>
      <c r="L377" s="3">
        <f t="shared" si="380"/>
        <v>2.5863512679881145E-3</v>
      </c>
      <c r="M377" s="3">
        <f t="shared" si="380"/>
        <v>4.2811263372055391E-13</v>
      </c>
      <c r="N377" s="3">
        <f t="shared" si="380"/>
        <v>6.6109427893296029E-111</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3.5926752555311699E-2</v>
      </c>
      <c r="C378" s="3">
        <f t="shared" si="381"/>
        <v>3.59267525480126E-2</v>
      </c>
      <c r="D378" s="3">
        <f t="shared" si="381"/>
        <v>3.5926752475021612E-2</v>
      </c>
      <c r="E378" s="3">
        <f t="shared" si="381"/>
        <v>3.5926751745111729E-2</v>
      </c>
      <c r="F378" s="3">
        <f t="shared" si="381"/>
        <v>3.5926744446013709E-2</v>
      </c>
      <c r="G378" s="3">
        <f t="shared" si="381"/>
        <v>3.5926671455115071E-2</v>
      </c>
      <c r="H378" s="3">
        <f t="shared" si="381"/>
        <v>3.5925941554284746E-2</v>
      </c>
      <c r="I378" s="3">
        <f t="shared" si="381"/>
        <v>3.5918643361524685E-2</v>
      </c>
      <c r="J378" s="3">
        <f t="shared" si="381"/>
        <v>3.5845742926968419E-2</v>
      </c>
      <c r="K378" s="3">
        <f t="shared" si="381"/>
        <v>3.5124826957811432E-2</v>
      </c>
      <c r="L378" s="3">
        <f t="shared" si="381"/>
        <v>2.8666869439605318E-2</v>
      </c>
      <c r="M378" s="3">
        <f t="shared" si="381"/>
        <v>3.7587290424956907E-3</v>
      </c>
      <c r="N378" s="3">
        <f t="shared" si="381"/>
        <v>5.644799634919693E-12</v>
      </c>
      <c r="O378" s="3">
        <f t="shared" si="381"/>
        <v>3.2940003809439146E-100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3.8216836337247248E-2</v>
      </c>
      <c r="C379" s="3">
        <f t="shared" si="382"/>
        <v>3.8216836336546843E-2</v>
      </c>
      <c r="D379" s="3">
        <f t="shared" si="382"/>
        <v>3.8216836329542737E-2</v>
      </c>
      <c r="E379" s="3">
        <f t="shared" si="382"/>
        <v>3.8216836259501695E-2</v>
      </c>
      <c r="F379" s="3">
        <f t="shared" si="382"/>
        <v>3.8216835559091264E-2</v>
      </c>
      <c r="G379" s="3">
        <f t="shared" si="382"/>
        <v>3.8216828554987654E-2</v>
      </c>
      <c r="H379" s="3">
        <f t="shared" si="382"/>
        <v>3.8216758514022175E-2</v>
      </c>
      <c r="I379" s="3">
        <f t="shared" si="382"/>
        <v>3.8216058111427503E-2</v>
      </c>
      <c r="J379" s="3">
        <f t="shared" si="382"/>
        <v>3.8209054791441377E-2</v>
      </c>
      <c r="K379" s="3">
        <f t="shared" si="382"/>
        <v>3.8139092139790519E-2</v>
      </c>
      <c r="L379" s="3">
        <f t="shared" si="382"/>
        <v>3.7446472838556538E-2</v>
      </c>
      <c r="M379" s="3">
        <f t="shared" si="382"/>
        <v>3.1175726030162339E-2</v>
      </c>
      <c r="N379" s="3">
        <f t="shared" si="382"/>
        <v>4.9873881633252671E-3</v>
      </c>
      <c r="O379" s="3">
        <f t="shared" si="382"/>
        <v>5.4756932391024929E-11</v>
      </c>
      <c r="P379" s="3">
        <f t="shared" si="382"/>
        <v>1.3934728368638903E-90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4.8113881849421142E-2</v>
      </c>
      <c r="C380" s="3">
        <f t="shared" si="383"/>
        <v>4.8113881849341601E-2</v>
      </c>
      <c r="D380" s="3">
        <f t="shared" si="383"/>
        <v>4.811388184854614E-2</v>
      </c>
      <c r="E380" s="3">
        <f t="shared" si="383"/>
        <v>4.8113881840591607E-2</v>
      </c>
      <c r="F380" s="3">
        <f t="shared" si="383"/>
        <v>4.8113881761046244E-2</v>
      </c>
      <c r="G380" s="3">
        <f t="shared" si="383"/>
        <v>4.8113880965592624E-2</v>
      </c>
      <c r="H380" s="3">
        <f t="shared" si="383"/>
        <v>4.8113873011057164E-2</v>
      </c>
      <c r="I380" s="3">
        <f t="shared" si="383"/>
        <v>4.8113793465774865E-2</v>
      </c>
      <c r="J380" s="3">
        <f t="shared" si="383"/>
        <v>4.8112998020184934E-2</v>
      </c>
      <c r="K380" s="3">
        <f t="shared" si="383"/>
        <v>4.8105044287542365E-2</v>
      </c>
      <c r="L380" s="3">
        <f t="shared" si="383"/>
        <v>4.8025579242570733E-2</v>
      </c>
      <c r="M380" s="3">
        <f t="shared" si="383"/>
        <v>4.7238112917761844E-2</v>
      </c>
      <c r="N380" s="3">
        <f t="shared" si="383"/>
        <v>4.0039792958955184E-2</v>
      </c>
      <c r="O380" s="3">
        <f t="shared" si="383"/>
        <v>7.6645145813653785E-3</v>
      </c>
      <c r="P380" s="3">
        <f t="shared" si="383"/>
        <v>5.0630588021989762E-10</v>
      </c>
      <c r="Q380" s="3">
        <f t="shared" si="383"/>
        <v>8.0111734819344161E-82</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5.6463045562968148E-2</v>
      </c>
      <c r="C381" s="3">
        <f t="shared" si="384"/>
        <v>5.6463045562959724E-2</v>
      </c>
      <c r="D381" s="3">
        <f t="shared" si="384"/>
        <v>5.646304556287552E-2</v>
      </c>
      <c r="E381" s="3">
        <f t="shared" si="384"/>
        <v>5.6463045562033437E-2</v>
      </c>
      <c r="F381" s="3">
        <f t="shared" si="384"/>
        <v>5.6463045553612597E-2</v>
      </c>
      <c r="G381" s="3">
        <f t="shared" si="384"/>
        <v>5.6463045469404206E-2</v>
      </c>
      <c r="H381" s="3">
        <f t="shared" si="384"/>
        <v>5.6463044627320325E-2</v>
      </c>
      <c r="I381" s="3">
        <f t="shared" si="384"/>
        <v>5.646303620648218E-2</v>
      </c>
      <c r="J381" s="3">
        <f t="shared" si="384"/>
        <v>5.646295199816978E-2</v>
      </c>
      <c r="K381" s="3">
        <f t="shared" si="384"/>
        <v>5.6462109921953135E-2</v>
      </c>
      <c r="L381" s="3">
        <f t="shared" si="384"/>
        <v>5.6453689850475545E-2</v>
      </c>
      <c r="M381" s="3">
        <f t="shared" si="384"/>
        <v>5.6369558166492403E-2</v>
      </c>
      <c r="N381" s="3">
        <f t="shared" si="384"/>
        <v>5.5535106465260213E-2</v>
      </c>
      <c r="O381" s="3">
        <f t="shared" si="384"/>
        <v>4.7840684949803682E-2</v>
      </c>
      <c r="P381" s="3">
        <f t="shared" si="384"/>
        <v>1.0767011840814694E-2</v>
      </c>
      <c r="Q381" s="3">
        <f t="shared" si="384"/>
        <v>3.5898244215367917E-9</v>
      </c>
      <c r="R381" s="3">
        <f t="shared" si="384"/>
        <v>6.0933114714620593E-74</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5.9569205174430734E-2</v>
      </c>
      <c r="C382" s="3">
        <f t="shared" si="385"/>
        <v>5.9569205174429922E-2</v>
      </c>
      <c r="D382" s="3">
        <f t="shared" si="385"/>
        <v>5.9569205174421914E-2</v>
      </c>
      <c r="E382" s="3">
        <f t="shared" si="385"/>
        <v>5.956920517434177E-2</v>
      </c>
      <c r="F382" s="3">
        <f t="shared" si="385"/>
        <v>5.9569205173540356E-2</v>
      </c>
      <c r="G382" s="3">
        <f t="shared" si="385"/>
        <v>5.9569205165526162E-2</v>
      </c>
      <c r="H382" s="3">
        <f t="shared" si="385"/>
        <v>5.9569205085384297E-2</v>
      </c>
      <c r="I382" s="3">
        <f t="shared" si="385"/>
        <v>5.9569204283965636E-2</v>
      </c>
      <c r="J382" s="3">
        <f t="shared" si="385"/>
        <v>5.9569196269779585E-2</v>
      </c>
      <c r="K382" s="3">
        <f t="shared" si="385"/>
        <v>5.956911612797839E-2</v>
      </c>
      <c r="L382" s="3">
        <f t="shared" si="385"/>
        <v>5.9568314715896506E-2</v>
      </c>
      <c r="M382" s="3">
        <f t="shared" si="385"/>
        <v>5.9560301188051785E-2</v>
      </c>
      <c r="N382" s="3">
        <f t="shared" si="385"/>
        <v>5.9480225177515014E-2</v>
      </c>
      <c r="O382" s="3">
        <f t="shared" si="385"/>
        <v>5.8685362466549935E-2</v>
      </c>
      <c r="P382" s="3">
        <f t="shared" si="385"/>
        <v>5.129814545640303E-2</v>
      </c>
      <c r="Q382" s="3">
        <f t="shared" si="385"/>
        <v>1.3360428837863628E-2</v>
      </c>
      <c r="R382" s="3">
        <f t="shared" si="385"/>
        <v>1.9187029057255706E-8</v>
      </c>
      <c r="S382" s="3">
        <f t="shared" si="385"/>
        <v>7.1594734691615587E-67</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6.4663842713273342E-2</v>
      </c>
      <c r="C383" s="3">
        <f t="shared" si="386"/>
        <v>6.4663842713273273E-2</v>
      </c>
      <c r="D383" s="3">
        <f t="shared" si="386"/>
        <v>6.4663842713272482E-2</v>
      </c>
      <c r="E383" s="3">
        <f t="shared" si="386"/>
        <v>6.4663842713264627E-2</v>
      </c>
      <c r="F383" s="3">
        <f t="shared" si="386"/>
        <v>6.4663842713186162E-2</v>
      </c>
      <c r="G383" s="3">
        <f t="shared" si="386"/>
        <v>6.4663842712401373E-2</v>
      </c>
      <c r="H383" s="3">
        <f t="shared" si="386"/>
        <v>6.4663842704553623E-2</v>
      </c>
      <c r="I383" s="3">
        <f t="shared" si="386"/>
        <v>6.4663842626076024E-2</v>
      </c>
      <c r="J383" s="3">
        <f t="shared" si="386"/>
        <v>6.4663841841299946E-2</v>
      </c>
      <c r="K383" s="3">
        <f t="shared" si="386"/>
        <v>6.4663833993539838E-2</v>
      </c>
      <c r="L383" s="3">
        <f t="shared" si="386"/>
        <v>6.4663755515991184E-2</v>
      </c>
      <c r="M383" s="3">
        <f t="shared" si="386"/>
        <v>6.4662970745742787E-2</v>
      </c>
      <c r="N383" s="3">
        <f t="shared" si="386"/>
        <v>6.4655123567065528E-2</v>
      </c>
      <c r="O383" s="3">
        <f t="shared" si="386"/>
        <v>6.4576704137445318E-2</v>
      </c>
      <c r="P383" s="3">
        <f t="shared" si="386"/>
        <v>6.3797722122096154E-2</v>
      </c>
      <c r="Q383" s="3">
        <f t="shared" si="386"/>
        <v>5.6506465342455237E-2</v>
      </c>
      <c r="R383" s="3">
        <f t="shared" si="386"/>
        <v>1.6789116077330187E-2</v>
      </c>
      <c r="S383" s="3">
        <f t="shared" si="386"/>
        <v>9.00170409821051E-8</v>
      </c>
      <c r="T383" s="3">
        <f t="shared" si="386"/>
        <v>1.7672327180412531E-60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4.8548005334617741E-2</v>
      </c>
      <c r="C384" s="3">
        <f t="shared" si="387"/>
        <v>4.8548005334617735E-2</v>
      </c>
      <c r="D384" s="3">
        <f t="shared" si="387"/>
        <v>4.8548005334617679E-2</v>
      </c>
      <c r="E384" s="3">
        <f t="shared" si="387"/>
        <v>4.8548005334617152E-2</v>
      </c>
      <c r="F384" s="3">
        <f t="shared" si="387"/>
        <v>4.8548005334611836E-2</v>
      </c>
      <c r="G384" s="3">
        <f t="shared" si="387"/>
        <v>4.8548005334558685E-2</v>
      </c>
      <c r="H384" s="3">
        <f t="shared" si="387"/>
        <v>4.8548005334027186E-2</v>
      </c>
      <c r="I384" s="3">
        <f t="shared" si="387"/>
        <v>4.8548005328712202E-2</v>
      </c>
      <c r="J384" s="3">
        <f t="shared" si="387"/>
        <v>4.8548005275562328E-2</v>
      </c>
      <c r="K384" s="3">
        <f t="shared" si="387"/>
        <v>4.8548004744063615E-2</v>
      </c>
      <c r="L384" s="3">
        <f t="shared" si="387"/>
        <v>4.8547999429076755E-2</v>
      </c>
      <c r="M384" s="3">
        <f t="shared" si="387"/>
        <v>4.8547946279240251E-2</v>
      </c>
      <c r="N384" s="3">
        <f t="shared" si="387"/>
        <v>4.8547414784075475E-2</v>
      </c>
      <c r="O384" s="3">
        <f t="shared" si="387"/>
        <v>4.8542100152447046E-2</v>
      </c>
      <c r="P384" s="3">
        <f t="shared" si="387"/>
        <v>4.84889858251355E-2</v>
      </c>
      <c r="Q384" s="3">
        <f t="shared" si="387"/>
        <v>4.7961028529308919E-2</v>
      </c>
      <c r="R384" s="3">
        <f t="shared" si="387"/>
        <v>4.2987517067774622E-2</v>
      </c>
      <c r="S384" s="3">
        <f t="shared" si="387"/>
        <v>1.4384047008579698E-2</v>
      </c>
      <c r="T384" s="3">
        <f t="shared" si="387"/>
        <v>2.5308617268051922E-7</v>
      </c>
      <c r="U384" s="3">
        <f t="shared" si="387"/>
        <v>7.1968369432400032E-55</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3.8659494646510029E-2</v>
      </c>
      <c r="C385" s="3">
        <f t="shared" si="388"/>
        <v>3.8659494646510029E-2</v>
      </c>
      <c r="D385" s="3">
        <f t="shared" si="388"/>
        <v>3.8659494646510022E-2</v>
      </c>
      <c r="E385" s="3">
        <f t="shared" si="388"/>
        <v>3.8659494646509987E-2</v>
      </c>
      <c r="F385" s="3">
        <f t="shared" si="388"/>
        <v>3.8659494646509605E-2</v>
      </c>
      <c r="G385" s="3">
        <f t="shared" si="388"/>
        <v>3.8659494646505789E-2</v>
      </c>
      <c r="H385" s="3">
        <f t="shared" si="388"/>
        <v>3.8659494646467604E-2</v>
      </c>
      <c r="I385" s="3">
        <f t="shared" si="388"/>
        <v>3.8659494646085812E-2</v>
      </c>
      <c r="J385" s="3">
        <f t="shared" si="388"/>
        <v>3.8659494642267825E-2</v>
      </c>
      <c r="K385" s="3">
        <f t="shared" si="388"/>
        <v>3.8659494604088032E-2</v>
      </c>
      <c r="L385" s="3">
        <f t="shared" si="388"/>
        <v>3.8659494222290085E-2</v>
      </c>
      <c r="M385" s="3">
        <f t="shared" si="388"/>
        <v>3.8659490404310777E-2</v>
      </c>
      <c r="N385" s="3">
        <f t="shared" si="388"/>
        <v>3.8659452224538475E-2</v>
      </c>
      <c r="O385" s="3">
        <f t="shared" si="388"/>
        <v>3.8659070428889268E-2</v>
      </c>
      <c r="P385" s="3">
        <f t="shared" si="388"/>
        <v>3.8655252679772004E-2</v>
      </c>
      <c r="Q385" s="3">
        <f t="shared" si="388"/>
        <v>3.8617095918508336E-2</v>
      </c>
      <c r="R385" s="3">
        <f t="shared" si="388"/>
        <v>3.8237593741840797E-2</v>
      </c>
      <c r="S385" s="3">
        <f t="shared" si="388"/>
        <v>3.4641763537522602E-2</v>
      </c>
      <c r="T385" s="3">
        <f t="shared" si="388"/>
        <v>1.2903109266829691E-2</v>
      </c>
      <c r="U385" s="3">
        <f t="shared" si="388"/>
        <v>6.6319034664311441E-7</v>
      </c>
      <c r="V385" s="3">
        <f t="shared" si="388"/>
        <v>8.5325021467046156E-50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6.6103757573429938E-3</v>
      </c>
      <c r="C386" s="3">
        <f t="shared" si="389"/>
        <v>6.6103757573429938E-3</v>
      </c>
      <c r="D386" s="3">
        <f t="shared" si="389"/>
        <v>6.6103757573429938E-3</v>
      </c>
      <c r="E386" s="3">
        <f t="shared" si="389"/>
        <v>6.6103757573429929E-3</v>
      </c>
      <c r="F386" s="3">
        <f t="shared" si="389"/>
        <v>6.6103757573429869E-3</v>
      </c>
      <c r="G386" s="3">
        <f t="shared" si="389"/>
        <v>6.6103757573429288E-3</v>
      </c>
      <c r="H386" s="3">
        <f t="shared" si="389"/>
        <v>6.6103757573423389E-3</v>
      </c>
      <c r="I386" s="3">
        <f t="shared" si="389"/>
        <v>6.6103757573364504E-3</v>
      </c>
      <c r="J386" s="3">
        <f t="shared" si="389"/>
        <v>6.6103757572775592E-3</v>
      </c>
      <c r="K386" s="3">
        <f t="shared" si="389"/>
        <v>6.6103757566886474E-3</v>
      </c>
      <c r="L386" s="3">
        <f t="shared" si="389"/>
        <v>6.610375750799531E-3</v>
      </c>
      <c r="M386" s="3">
        <f t="shared" si="389"/>
        <v>6.6103756919083639E-3</v>
      </c>
      <c r="N386" s="3">
        <f t="shared" si="389"/>
        <v>6.6103751029967248E-3</v>
      </c>
      <c r="O386" s="3">
        <f t="shared" si="389"/>
        <v>6.610369213883218E-3</v>
      </c>
      <c r="P386" s="3">
        <f t="shared" si="389"/>
        <v>6.6103103230367114E-3</v>
      </c>
      <c r="Q386" s="3">
        <f t="shared" si="389"/>
        <v>6.6097214434266407E-3</v>
      </c>
      <c r="R386" s="3">
        <f t="shared" si="389"/>
        <v>6.6038355318742145E-3</v>
      </c>
      <c r="S386" s="3">
        <f t="shared" si="389"/>
        <v>6.5452639226089154E-3</v>
      </c>
      <c r="T386" s="3">
        <f t="shared" si="389"/>
        <v>5.9873729132330451E-3</v>
      </c>
      <c r="U386" s="3">
        <f t="shared" si="389"/>
        <v>2.4565621688915581E-3</v>
      </c>
      <c r="V386" s="3">
        <f t="shared" si="389"/>
        <v>3.3207965629804301E-7</v>
      </c>
      <c r="W386" s="3">
        <f t="shared" si="389"/>
        <v>6.7668630230612267E-46</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1.6903393193058183E-2</v>
      </c>
      <c r="C387" s="3">
        <f t="shared" si="390"/>
        <v>1.6903393193058183E-2</v>
      </c>
      <c r="D387" s="3">
        <f t="shared" si="390"/>
        <v>1.6903393193058183E-2</v>
      </c>
      <c r="E387" s="3">
        <f t="shared" si="390"/>
        <v>1.6903393193058183E-2</v>
      </c>
      <c r="F387" s="3">
        <f t="shared" si="390"/>
        <v>1.690339319305818E-2</v>
      </c>
      <c r="G387" s="3">
        <f t="shared" si="390"/>
        <v>1.6903393193058135E-2</v>
      </c>
      <c r="H387" s="3">
        <f t="shared" si="390"/>
        <v>1.6903393193057718E-2</v>
      </c>
      <c r="I387" s="3">
        <f t="shared" si="390"/>
        <v>1.6903393193053555E-2</v>
      </c>
      <c r="J387" s="3">
        <f t="shared" si="390"/>
        <v>1.6903393193011908E-2</v>
      </c>
      <c r="K387" s="3">
        <f t="shared" si="390"/>
        <v>1.6903393192595411E-2</v>
      </c>
      <c r="L387" s="3">
        <f t="shared" si="390"/>
        <v>1.6903393188430451E-2</v>
      </c>
      <c r="M387" s="3">
        <f t="shared" si="390"/>
        <v>1.6903393146780857E-2</v>
      </c>
      <c r="N387" s="3">
        <f t="shared" si="390"/>
        <v>1.6903392730284926E-2</v>
      </c>
      <c r="O387" s="3">
        <f t="shared" si="390"/>
        <v>1.6903388565326177E-2</v>
      </c>
      <c r="P387" s="3">
        <f t="shared" si="390"/>
        <v>1.690334691579511E-2</v>
      </c>
      <c r="Q387" s="3">
        <f t="shared" si="390"/>
        <v>1.6902930426128723E-2</v>
      </c>
      <c r="R387" s="3">
        <f t="shared" si="390"/>
        <v>1.6898766093837971E-2</v>
      </c>
      <c r="S387" s="3">
        <f t="shared" si="390"/>
        <v>1.6857179156827003E-2</v>
      </c>
      <c r="T387" s="3">
        <f t="shared" si="390"/>
        <v>1.644689730797539E-2</v>
      </c>
      <c r="U387" s="3">
        <f t="shared" si="390"/>
        <v>1.285507940124014E-2</v>
      </c>
      <c r="V387" s="3">
        <f t="shared" si="390"/>
        <v>1.0939125140602237E-3</v>
      </c>
      <c r="W387" s="3">
        <f t="shared" si="390"/>
        <v>2.1780149757940052E-14</v>
      </c>
      <c r="X387" s="3">
        <f t="shared" si="390"/>
        <v>2.1322767516424179E-121</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1.9810156254800116E-3</v>
      </c>
      <c r="C388" s="3">
        <f t="shared" si="391"/>
        <v>1.9810156254800116E-3</v>
      </c>
      <c r="D388" s="3">
        <f t="shared" si="391"/>
        <v>1.9810156254800116E-3</v>
      </c>
      <c r="E388" s="3">
        <f t="shared" si="391"/>
        <v>1.9810156254800116E-3</v>
      </c>
      <c r="F388" s="3">
        <f t="shared" si="391"/>
        <v>1.9810156254800116E-3</v>
      </c>
      <c r="G388" s="3">
        <f t="shared" si="391"/>
        <v>1.9810156254800111E-3</v>
      </c>
      <c r="H388" s="3">
        <f t="shared" si="391"/>
        <v>1.9810156254800059E-3</v>
      </c>
      <c r="I388" s="3">
        <f t="shared" si="391"/>
        <v>1.9810156254799574E-3</v>
      </c>
      <c r="J388" s="3">
        <f t="shared" si="391"/>
        <v>1.981015625479469E-3</v>
      </c>
      <c r="K388" s="3">
        <f t="shared" si="391"/>
        <v>1.981015625474588E-3</v>
      </c>
      <c r="L388" s="3">
        <f t="shared" si="391"/>
        <v>1.9810156254257763E-3</v>
      </c>
      <c r="M388" s="3">
        <f t="shared" si="391"/>
        <v>1.9810156249376585E-3</v>
      </c>
      <c r="N388" s="3">
        <f t="shared" si="391"/>
        <v>1.9810156200564789E-3</v>
      </c>
      <c r="O388" s="3">
        <f t="shared" si="391"/>
        <v>1.9810155712446848E-3</v>
      </c>
      <c r="P388" s="3">
        <f t="shared" si="391"/>
        <v>1.9810150831268097E-3</v>
      </c>
      <c r="Q388" s="3">
        <f t="shared" si="391"/>
        <v>1.9810102019546753E-3</v>
      </c>
      <c r="R388" s="3">
        <f t="shared" si="391"/>
        <v>1.9809613908948163E-3</v>
      </c>
      <c r="S388" s="3">
        <f t="shared" si="391"/>
        <v>1.9804733464386859E-3</v>
      </c>
      <c r="T388" s="3">
        <f t="shared" si="391"/>
        <v>1.9755995100974467E-3</v>
      </c>
      <c r="U388" s="3">
        <f t="shared" si="391"/>
        <v>1.9275159836632594E-3</v>
      </c>
      <c r="V388" s="3">
        <f t="shared" si="391"/>
        <v>1.506568111490258E-3</v>
      </c>
      <c r="W388" s="3">
        <f t="shared" si="391"/>
        <v>1.2820253061091805E-4</v>
      </c>
      <c r="X388" s="3">
        <f t="shared" si="391"/>
        <v>2.5525535910442698E-15</v>
      </c>
      <c r="Y388" s="3">
        <f t="shared" si="391"/>
        <v>2.4989500715076054E-122</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4.9795148637895425E-3</v>
      </c>
      <c r="C389" s="3">
        <f t="shared" si="392"/>
        <v>4.9795148637895425E-3</v>
      </c>
      <c r="D389" s="3">
        <f t="shared" si="392"/>
        <v>4.9795148637895425E-3</v>
      </c>
      <c r="E389" s="3">
        <f t="shared" si="392"/>
        <v>4.9795148637895425E-3</v>
      </c>
      <c r="F389" s="3">
        <f t="shared" si="392"/>
        <v>4.9795148637895425E-3</v>
      </c>
      <c r="G389" s="3">
        <f t="shared" si="392"/>
        <v>4.9795148637895425E-3</v>
      </c>
      <c r="H389" s="3">
        <f t="shared" si="392"/>
        <v>4.9795148637895416E-3</v>
      </c>
      <c r="I389" s="3">
        <f t="shared" si="392"/>
        <v>4.9795148637895286E-3</v>
      </c>
      <c r="J389" s="3">
        <f t="shared" si="392"/>
        <v>4.9795148637894063E-3</v>
      </c>
      <c r="K389" s="3">
        <f t="shared" si="392"/>
        <v>4.979514863788179E-3</v>
      </c>
      <c r="L389" s="3">
        <f t="shared" si="392"/>
        <v>4.9795148637759102E-3</v>
      </c>
      <c r="M389" s="3">
        <f t="shared" si="392"/>
        <v>4.9795148636532158E-3</v>
      </c>
      <c r="N389" s="3">
        <f t="shared" si="392"/>
        <v>4.9795148624262745E-3</v>
      </c>
      <c r="O389" s="3">
        <f t="shared" si="392"/>
        <v>4.9795148501568572E-3</v>
      </c>
      <c r="P389" s="3">
        <f t="shared" si="392"/>
        <v>4.9795147274626942E-3</v>
      </c>
      <c r="Q389" s="3">
        <f t="shared" si="392"/>
        <v>4.97951350052123E-3</v>
      </c>
      <c r="R389" s="3">
        <f t="shared" si="392"/>
        <v>4.9795012311232073E-3</v>
      </c>
      <c r="S389" s="3">
        <f t="shared" si="392"/>
        <v>4.9793785388057114E-3</v>
      </c>
      <c r="T389" s="3">
        <f t="shared" si="392"/>
        <v>4.9781517818875765E-3</v>
      </c>
      <c r="U389" s="3">
        <f t="shared" si="392"/>
        <v>4.9659008232415553E-3</v>
      </c>
      <c r="V389" s="3">
        <f t="shared" si="392"/>
        <v>4.8450372462445612E-3</v>
      </c>
      <c r="W389" s="3">
        <f t="shared" si="392"/>
        <v>3.7869354526970517E-3</v>
      </c>
      <c r="X389" s="3">
        <f t="shared" si="392"/>
        <v>3.2225208046898448E-4</v>
      </c>
      <c r="Y389" s="3">
        <f t="shared" si="392"/>
        <v>6.4161424997061758E-15</v>
      </c>
      <c r="Z389" s="3">
        <f t="shared" si="392"/>
        <v>6.2814037733422303E-122</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1.5203897421204233E-3</v>
      </c>
      <c r="C390" s="3">
        <f t="shared" si="393"/>
        <v>1.5203897421204233E-3</v>
      </c>
      <c r="D390" s="3">
        <f t="shared" si="393"/>
        <v>1.5203897421204233E-3</v>
      </c>
      <c r="E390" s="3">
        <f t="shared" si="393"/>
        <v>1.5203897421204233E-3</v>
      </c>
      <c r="F390" s="3">
        <f t="shared" si="393"/>
        <v>1.5203897421204233E-3</v>
      </c>
      <c r="G390" s="3">
        <f t="shared" si="393"/>
        <v>1.5203897421204233E-3</v>
      </c>
      <c r="H390" s="3">
        <f t="shared" si="393"/>
        <v>1.5203897421204233E-3</v>
      </c>
      <c r="I390" s="3">
        <f t="shared" si="393"/>
        <v>1.5203897421204229E-3</v>
      </c>
      <c r="J390" s="3">
        <f t="shared" si="393"/>
        <v>1.5203897421204192E-3</v>
      </c>
      <c r="K390" s="3">
        <f t="shared" si="393"/>
        <v>1.5203897421203817E-3</v>
      </c>
      <c r="L390" s="3">
        <f t="shared" si="393"/>
        <v>1.520389742120007E-3</v>
      </c>
      <c r="M390" s="3">
        <f t="shared" si="393"/>
        <v>1.5203897421162608E-3</v>
      </c>
      <c r="N390" s="3">
        <f t="shared" si="393"/>
        <v>1.5203897420787988E-3</v>
      </c>
      <c r="O390" s="3">
        <f t="shared" si="393"/>
        <v>1.5203897417041781E-3</v>
      </c>
      <c r="P390" s="3">
        <f t="shared" si="393"/>
        <v>1.5203897379579706E-3</v>
      </c>
      <c r="Q390" s="3">
        <f t="shared" si="393"/>
        <v>1.5203897004958983E-3</v>
      </c>
      <c r="R390" s="3">
        <f t="shared" si="393"/>
        <v>1.5203893258752238E-3</v>
      </c>
      <c r="S390" s="3">
        <f t="shared" si="393"/>
        <v>1.5203855796735543E-3</v>
      </c>
      <c r="T390" s="3">
        <f t="shared" si="393"/>
        <v>1.5203481181645399E-3</v>
      </c>
      <c r="U390" s="3">
        <f t="shared" si="393"/>
        <v>1.519973553837406E-3</v>
      </c>
      <c r="V390" s="3">
        <f t="shared" si="393"/>
        <v>1.5162329822423696E-3</v>
      </c>
      <c r="W390" s="3">
        <f t="shared" si="393"/>
        <v>1.4793298405330255E-3</v>
      </c>
      <c r="X390" s="3">
        <f t="shared" si="393"/>
        <v>1.1562607952476439E-3</v>
      </c>
      <c r="Y390" s="3">
        <f t="shared" si="393"/>
        <v>9.8392869772286464E-5</v>
      </c>
      <c r="Z390" s="3">
        <f t="shared" si="393"/>
        <v>1.9590336623902193E-15</v>
      </c>
      <c r="AA390" s="3">
        <f t="shared" si="393"/>
        <v>1.9178940367371663E-122</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3.2547360985645695E-4</v>
      </c>
      <c r="C391" s="3">
        <f t="shared" si="394"/>
        <v>3.2547360985645695E-4</v>
      </c>
      <c r="D391" s="3">
        <f t="shared" si="394"/>
        <v>3.2547360985645695E-4</v>
      </c>
      <c r="E391" s="3">
        <f t="shared" si="394"/>
        <v>3.2547360985645695E-4</v>
      </c>
      <c r="F391" s="3">
        <f t="shared" si="394"/>
        <v>3.2547360985645695E-4</v>
      </c>
      <c r="G391" s="3">
        <f t="shared" si="394"/>
        <v>3.2547360985645695E-4</v>
      </c>
      <c r="H391" s="3">
        <f t="shared" si="394"/>
        <v>3.2547360985645695E-4</v>
      </c>
      <c r="I391" s="3">
        <f t="shared" si="394"/>
        <v>3.2547360985645695E-4</v>
      </c>
      <c r="J391" s="3">
        <f t="shared" si="394"/>
        <v>3.254736098564569E-4</v>
      </c>
      <c r="K391" s="3">
        <f t="shared" si="394"/>
        <v>3.2547360985645603E-4</v>
      </c>
      <c r="L391" s="3">
        <f t="shared" si="394"/>
        <v>3.2547360985644801E-4</v>
      </c>
      <c r="M391" s="3">
        <f t="shared" si="394"/>
        <v>3.2547360985636783E-4</v>
      </c>
      <c r="N391" s="3">
        <f t="shared" si="394"/>
        <v>3.254736098555659E-4</v>
      </c>
      <c r="O391" s="3">
        <f t="shared" si="394"/>
        <v>3.2547360984754627E-4</v>
      </c>
      <c r="P391" s="3">
        <f t="shared" si="394"/>
        <v>3.2547360976735028E-4</v>
      </c>
      <c r="Q391" s="3">
        <f t="shared" si="394"/>
        <v>3.2547360896539038E-4</v>
      </c>
      <c r="R391" s="3">
        <f t="shared" si="394"/>
        <v>3.2547360094579145E-4</v>
      </c>
      <c r="S391" s="3">
        <f t="shared" si="394"/>
        <v>3.254735207498128E-4</v>
      </c>
      <c r="T391" s="3">
        <f t="shared" si="394"/>
        <v>3.2547271879111315E-4</v>
      </c>
      <c r="U391" s="3">
        <f t="shared" si="394"/>
        <v>3.2546469931279661E-4</v>
      </c>
      <c r="V391" s="3">
        <f t="shared" si="394"/>
        <v>3.2538451539659521E-4</v>
      </c>
      <c r="W391" s="3">
        <f t="shared" si="394"/>
        <v>3.2458376194092857E-4</v>
      </c>
      <c r="X391" s="3">
        <f t="shared" si="394"/>
        <v>3.1668381470079961E-4</v>
      </c>
      <c r="Y391" s="3">
        <f t="shared" si="394"/>
        <v>2.475236214366281E-4</v>
      </c>
      <c r="Z391" s="3">
        <f t="shared" si="394"/>
        <v>2.1063206112045605E-5</v>
      </c>
      <c r="AA391" s="3">
        <f t="shared" si="394"/>
        <v>4.1937520378110893E-16</v>
      </c>
      <c r="AB391" s="3">
        <f t="shared" si="394"/>
        <v>4.105683418966239E-123</v>
      </c>
      <c r="AC391" s="3">
        <f t="shared" si="394"/>
        <v>0</v>
      </c>
      <c r="AD391" s="3">
        <f t="shared" si="394"/>
        <v>0</v>
      </c>
      <c r="AE391" s="3">
        <f t="shared" si="394"/>
        <v>0</v>
      </c>
      <c r="AF391" s="3">
        <f t="shared" si="394"/>
        <v>0</v>
      </c>
      <c r="AG391" s="3"/>
      <c r="AH391" s="3"/>
    </row>
    <row r="392" spans="1:34" x14ac:dyDescent="0.25">
      <c r="B392" s="3">
        <f t="shared" ref="B392:AF392" si="395">$C44*EXP(-B$363/$A44/EXP(-$H$126))</f>
        <v>3.3657757333866336E-3</v>
      </c>
      <c r="C392" s="3">
        <f t="shared" si="395"/>
        <v>3.3657757333866336E-3</v>
      </c>
      <c r="D392" s="3">
        <f t="shared" si="395"/>
        <v>3.3657757333866336E-3</v>
      </c>
      <c r="E392" s="3">
        <f t="shared" si="395"/>
        <v>3.3657757333866336E-3</v>
      </c>
      <c r="F392" s="3">
        <f t="shared" si="395"/>
        <v>3.3657757333866336E-3</v>
      </c>
      <c r="G392" s="3">
        <f t="shared" si="395"/>
        <v>3.3657757333866336E-3</v>
      </c>
      <c r="H392" s="3">
        <f t="shared" si="395"/>
        <v>3.3657757333866336E-3</v>
      </c>
      <c r="I392" s="3">
        <f t="shared" si="395"/>
        <v>3.3657757333866336E-3</v>
      </c>
      <c r="J392" s="3">
        <f t="shared" si="395"/>
        <v>3.3657757333866336E-3</v>
      </c>
      <c r="K392" s="3">
        <f t="shared" si="395"/>
        <v>3.3657757333866328E-3</v>
      </c>
      <c r="L392" s="3">
        <f t="shared" si="395"/>
        <v>3.3657757333866241E-3</v>
      </c>
      <c r="M392" s="3">
        <f t="shared" si="395"/>
        <v>3.3657757333865413E-3</v>
      </c>
      <c r="N392" s="3">
        <f t="shared" si="395"/>
        <v>3.3657757333857121E-3</v>
      </c>
      <c r="O392" s="3">
        <f t="shared" si="395"/>
        <v>3.3657757333774192E-3</v>
      </c>
      <c r="P392" s="3">
        <f t="shared" si="395"/>
        <v>3.3657757332944869E-3</v>
      </c>
      <c r="Q392" s="3">
        <f t="shared" si="395"/>
        <v>3.3657757324651672E-3</v>
      </c>
      <c r="R392" s="3">
        <f t="shared" si="395"/>
        <v>3.3657757241719686E-3</v>
      </c>
      <c r="S392" s="3">
        <f t="shared" si="395"/>
        <v>3.365775641239987E-3</v>
      </c>
      <c r="T392" s="3">
        <f t="shared" si="395"/>
        <v>3.3657748119202799E-3</v>
      </c>
      <c r="U392" s="3">
        <f t="shared" si="395"/>
        <v>3.3657665187344465E-3</v>
      </c>
      <c r="V392" s="3">
        <f t="shared" si="395"/>
        <v>3.3656835879999881E-3</v>
      </c>
      <c r="W392" s="3">
        <f t="shared" si="395"/>
        <v>3.3648543930324521E-3</v>
      </c>
      <c r="X392" s="3">
        <f t="shared" si="395"/>
        <v>3.3565736708236781E-3</v>
      </c>
      <c r="Y392" s="3">
        <f t="shared" si="395"/>
        <v>3.2748790267399762E-3</v>
      </c>
      <c r="Z392" s="3">
        <f t="shared" si="395"/>
        <v>2.559682177731113E-3</v>
      </c>
      <c r="AA392" s="3">
        <f t="shared" si="395"/>
        <v>2.1781805299210091E-4</v>
      </c>
      <c r="AB392" s="3">
        <f t="shared" si="395"/>
        <v>4.3368274456815478E-15</v>
      </c>
      <c r="AC392" s="3">
        <f t="shared" si="395"/>
        <v>4.245754249205925E-122</v>
      </c>
      <c r="AD392" s="3">
        <f t="shared" si="395"/>
        <v>0</v>
      </c>
      <c r="AE392" s="3">
        <f t="shared" si="395"/>
        <v>0</v>
      </c>
      <c r="AF392" s="3">
        <f t="shared" si="395"/>
        <v>0</v>
      </c>
      <c r="AG392" s="3"/>
      <c r="AH392" s="3"/>
    </row>
    <row r="393" spans="1:34" x14ac:dyDescent="0.25">
      <c r="B393" s="3">
        <f t="shared" ref="B393:AF393" si="396">$C45*EXP(-B$363/$A45/EXP(-$H$126))</f>
        <v>7.1877880972849508E-4</v>
      </c>
      <c r="C393" s="3">
        <f t="shared" si="396"/>
        <v>7.1877880972849508E-4</v>
      </c>
      <c r="D393" s="3">
        <f t="shared" si="396"/>
        <v>7.1877880972849508E-4</v>
      </c>
      <c r="E393" s="3">
        <f t="shared" si="396"/>
        <v>7.1877880972849508E-4</v>
      </c>
      <c r="F393" s="3">
        <f t="shared" si="396"/>
        <v>7.1877880972849508E-4</v>
      </c>
      <c r="G393" s="3">
        <f t="shared" si="396"/>
        <v>7.1877880972849508E-4</v>
      </c>
      <c r="H393" s="3">
        <f t="shared" si="396"/>
        <v>7.1877880972849508E-4</v>
      </c>
      <c r="I393" s="3">
        <f t="shared" si="396"/>
        <v>7.1877880972849508E-4</v>
      </c>
      <c r="J393" s="3">
        <f t="shared" si="396"/>
        <v>7.1877880972849508E-4</v>
      </c>
      <c r="K393" s="3">
        <f t="shared" si="396"/>
        <v>7.1877880972849508E-4</v>
      </c>
      <c r="L393" s="3">
        <f t="shared" si="396"/>
        <v>7.1877880972849497E-4</v>
      </c>
      <c r="M393" s="3">
        <f t="shared" si="396"/>
        <v>7.1877880972849313E-4</v>
      </c>
      <c r="N393" s="3">
        <f t="shared" si="396"/>
        <v>7.1877880972847535E-4</v>
      </c>
      <c r="O393" s="3">
        <f t="shared" si="396"/>
        <v>7.187788097282983E-4</v>
      </c>
      <c r="P393" s="3">
        <f t="shared" si="396"/>
        <v>7.1877880972652725E-4</v>
      </c>
      <c r="Q393" s="3">
        <f t="shared" si="396"/>
        <v>7.187788097088167E-4</v>
      </c>
      <c r="R393" s="3">
        <f t="shared" si="396"/>
        <v>7.1877880953171119E-4</v>
      </c>
      <c r="S393" s="3">
        <f t="shared" si="396"/>
        <v>7.1877880776065578E-4</v>
      </c>
      <c r="T393" s="3">
        <f t="shared" si="396"/>
        <v>7.1877879005010227E-4</v>
      </c>
      <c r="U393" s="3">
        <f t="shared" si="396"/>
        <v>7.1877861294459102E-4</v>
      </c>
      <c r="V393" s="3">
        <f t="shared" si="396"/>
        <v>7.1877684189187855E-4</v>
      </c>
      <c r="W393" s="3">
        <f t="shared" si="396"/>
        <v>7.1875913160476324E-4</v>
      </c>
      <c r="X393" s="3">
        <f t="shared" si="396"/>
        <v>7.1858205273231011E-4</v>
      </c>
      <c r="Y393" s="3">
        <f t="shared" si="396"/>
        <v>7.1681366169131639E-4</v>
      </c>
      <c r="Z393" s="3">
        <f t="shared" si="396"/>
        <v>6.993673480664357E-4</v>
      </c>
      <c r="AA393" s="3">
        <f t="shared" si="396"/>
        <v>5.4663336322220279E-4</v>
      </c>
      <c r="AB393" s="3">
        <f t="shared" si="396"/>
        <v>4.6516171387779104E-5</v>
      </c>
      <c r="AC393" s="3">
        <f t="shared" si="396"/>
        <v>9.2615192345816675E-16</v>
      </c>
      <c r="AD393" s="3">
        <f t="shared" si="396"/>
        <v>9.0670277148063723E-123</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6.8174095740770341E-3</v>
      </c>
      <c r="C396" s="3">
        <f t="shared" si="399"/>
        <v>6.8174095740770341E-3</v>
      </c>
      <c r="D396" s="3">
        <f t="shared" si="399"/>
        <v>6.8174095740770341E-3</v>
      </c>
      <c r="E396" s="3">
        <f t="shared" si="399"/>
        <v>6.8174095740770341E-3</v>
      </c>
      <c r="F396" s="3">
        <f t="shared" si="399"/>
        <v>6.8174095740770341E-3</v>
      </c>
      <c r="G396" s="3">
        <f t="shared" si="399"/>
        <v>6.8174095740770341E-3</v>
      </c>
      <c r="H396" s="3">
        <f t="shared" si="399"/>
        <v>6.8174095740770341E-3</v>
      </c>
      <c r="I396" s="3">
        <f t="shared" si="399"/>
        <v>6.8174095740770341E-3</v>
      </c>
      <c r="J396" s="3">
        <f t="shared" si="399"/>
        <v>6.8174095740770341E-3</v>
      </c>
      <c r="K396" s="3">
        <f t="shared" si="399"/>
        <v>6.8174095740770341E-3</v>
      </c>
      <c r="L396" s="3">
        <f t="shared" si="399"/>
        <v>6.8174095740770341E-3</v>
      </c>
      <c r="M396" s="3">
        <f t="shared" si="399"/>
        <v>6.8174095740770341E-3</v>
      </c>
      <c r="N396" s="3">
        <f t="shared" si="399"/>
        <v>6.8174095740770341E-3</v>
      </c>
      <c r="O396" s="3">
        <f t="shared" si="399"/>
        <v>6.8174095740770324E-3</v>
      </c>
      <c r="P396" s="3">
        <f t="shared" si="399"/>
        <v>6.8174095740770151E-3</v>
      </c>
      <c r="Q396" s="3">
        <f t="shared" si="399"/>
        <v>6.8174095740768468E-3</v>
      </c>
      <c r="R396" s="3">
        <f t="shared" si="399"/>
        <v>6.8174095740751676E-3</v>
      </c>
      <c r="S396" s="3">
        <f t="shared" si="399"/>
        <v>6.8174095740583703E-3</v>
      </c>
      <c r="T396" s="3">
        <f t="shared" si="399"/>
        <v>6.81740957389039E-3</v>
      </c>
      <c r="U396" s="3">
        <f t="shared" si="399"/>
        <v>6.8174095722105957E-3</v>
      </c>
      <c r="V396" s="3">
        <f t="shared" si="399"/>
        <v>6.8174095554126455E-3</v>
      </c>
      <c r="W396" s="3">
        <f t="shared" si="399"/>
        <v>6.8174093874331576E-3</v>
      </c>
      <c r="X396" s="3">
        <f t="shared" si="399"/>
        <v>6.8174077076384948E-3</v>
      </c>
      <c r="Y396" s="3">
        <f t="shared" si="399"/>
        <v>6.8173909097146348E-3</v>
      </c>
      <c r="Z396" s="3">
        <f t="shared" si="399"/>
        <v>6.8172229327524521E-3</v>
      </c>
      <c r="AA396" s="3">
        <f t="shared" si="399"/>
        <v>6.8155433907513673E-3</v>
      </c>
      <c r="AB396" s="3">
        <f t="shared" si="399"/>
        <v>6.798770712076913E-3</v>
      </c>
      <c r="AC396" s="3">
        <f t="shared" si="399"/>
        <v>6.6332974622693138E-3</v>
      </c>
      <c r="AD396" s="3">
        <f t="shared" si="399"/>
        <v>5.1846596943343872E-3</v>
      </c>
      <c r="AE396" s="3">
        <f t="shared" si="399"/>
        <v>4.4119246126390313E-4</v>
      </c>
      <c r="AF396" s="3">
        <f t="shared" si="399"/>
        <v>8.7842837108936802E-15</v>
      </c>
      <c r="AG396" s="3"/>
      <c r="AH396" s="3"/>
    </row>
    <row r="397" spans="1:34" x14ac:dyDescent="0.25">
      <c r="A397" s="79">
        <f>AVERAGE(B397:AF397)</f>
        <v>4.3556841825966343E-3</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7.2616674074231537E-3</v>
      </c>
      <c r="M397" s="80">
        <f t="shared" si="400"/>
        <v>4.7914655491528681E-3</v>
      </c>
      <c r="N397" s="80">
        <f t="shared" si="400"/>
        <v>5.2157479455809145E-3</v>
      </c>
      <c r="O397" s="80">
        <f t="shared" si="400"/>
        <v>4.8029277437858734E-3</v>
      </c>
      <c r="P397" s="80">
        <f t="shared" si="400"/>
        <v>1.3075682453974074E-2</v>
      </c>
      <c r="Q397" s="80">
        <f t="shared" si="400"/>
        <v>1.0630966875029065E-2</v>
      </c>
      <c r="R397" s="80">
        <f t="shared" si="400"/>
        <v>2.790849959002418E-3</v>
      </c>
      <c r="S397" s="80">
        <f t="shared" si="400"/>
        <v>1.4361562242239174E-2</v>
      </c>
      <c r="T397" s="80">
        <f t="shared" si="400"/>
        <v>2.2242414625227511E-2</v>
      </c>
      <c r="U397" s="80">
        <f t="shared" si="400"/>
        <v>3.5059338556574671E-2</v>
      </c>
      <c r="V397" s="80">
        <f t="shared" si="400"/>
        <v>1.4793586302505954E-2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3574.2434372456164</v>
      </c>
      <c r="C398" s="21">
        <f t="shared" ref="C398:AF398" si="401">(C365-C364)^2</f>
        <v>2999.9081310764932</v>
      </c>
      <c r="D398" s="21">
        <f t="shared" si="401"/>
        <v>3612.2172248226161</v>
      </c>
      <c r="E398" s="21">
        <f t="shared" si="401"/>
        <v>4209.5352233585236</v>
      </c>
      <c r="F398" s="21">
        <f t="shared" si="401"/>
        <v>2963.8523732779699</v>
      </c>
      <c r="G398" s="21">
        <f t="shared" si="401"/>
        <v>1093.4012816659897</v>
      </c>
      <c r="H398" s="21">
        <f t="shared" si="401"/>
        <v>1845.6788043975605</v>
      </c>
      <c r="I398" s="21">
        <f t="shared" si="401"/>
        <v>799.27268462984921</v>
      </c>
      <c r="J398" s="21">
        <f t="shared" si="401"/>
        <v>1152.6156324403532</v>
      </c>
      <c r="K398" s="21">
        <f t="shared" si="401"/>
        <v>460.25219419790659</v>
      </c>
      <c r="L398" s="21">
        <f t="shared" si="401"/>
        <v>1181.4646295613704</v>
      </c>
      <c r="M398" s="21">
        <f t="shared" si="401"/>
        <v>443.21437307596136</v>
      </c>
      <c r="N398" s="21">
        <f t="shared" si="401"/>
        <v>436.59878855589284</v>
      </c>
      <c r="O398" s="21">
        <f t="shared" si="401"/>
        <v>295.02837432296928</v>
      </c>
      <c r="P398" s="21">
        <f t="shared" si="401"/>
        <v>1600.4337613492639</v>
      </c>
      <c r="Q398" s="21">
        <f t="shared" si="401"/>
        <v>689.25770083106124</v>
      </c>
      <c r="R398" s="21">
        <f t="shared" si="401"/>
        <v>26.450216334405603</v>
      </c>
      <c r="S398" s="21">
        <f t="shared" si="401"/>
        <v>364.17107688653357</v>
      </c>
      <c r="T398" s="21">
        <f t="shared" si="401"/>
        <v>445.39569991611512</v>
      </c>
      <c r="U398" s="21">
        <f t="shared" si="401"/>
        <v>671.98611413470917</v>
      </c>
      <c r="V398" s="21">
        <f t="shared" si="401"/>
        <v>85.255415578619576</v>
      </c>
      <c r="W398" s="21">
        <f t="shared" si="401"/>
        <v>13.728734022841225</v>
      </c>
      <c r="X398" s="21">
        <f t="shared" si="401"/>
        <v>2.3278371009578653</v>
      </c>
      <c r="Y398" s="21">
        <f t="shared" si="401"/>
        <v>1.2466283285321026E-3</v>
      </c>
      <c r="Z398" s="21">
        <f t="shared" si="401"/>
        <v>3.1683631895618666E-2</v>
      </c>
      <c r="AA398" s="21">
        <f t="shared" si="401"/>
        <v>2.3430387826268769E-2</v>
      </c>
      <c r="AB398" s="21">
        <f t="shared" si="401"/>
        <v>3.2807281124216883</v>
      </c>
      <c r="AC398" s="21">
        <f t="shared" si="401"/>
        <v>0.34707460441293297</v>
      </c>
      <c r="AD398" s="21">
        <f t="shared" si="401"/>
        <v>193.85334786853531</v>
      </c>
      <c r="AE398" s="21">
        <f t="shared" si="401"/>
        <v>3848.0956163514143</v>
      </c>
      <c r="AF398" s="21">
        <f t="shared" si="401"/>
        <v>4397.608043266021</v>
      </c>
      <c r="AG398" s="3"/>
      <c r="AH398" s="3"/>
    </row>
    <row r="399" spans="1:34" x14ac:dyDescent="0.25">
      <c r="A399" s="71">
        <f>SUM(B399:AF399)</f>
        <v>6239.2561505469021</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1181.4646295613704</v>
      </c>
      <c r="M399" s="60">
        <f t="shared" ref="M399" si="412">IF($A$64&lt;=M363,IF($B$64&gt;=M363,ABS(M398),0),0)</f>
        <v>443.21437307596136</v>
      </c>
      <c r="N399" s="60">
        <f t="shared" ref="N399" si="413">IF($A$64&lt;=N363,IF($B$64&gt;=N363,ABS(N398),0),0)</f>
        <v>436.59878855589284</v>
      </c>
      <c r="O399" s="60">
        <f t="shared" ref="O399" si="414">IF($A$64&lt;=O363,IF($B$64&gt;=O363,ABS(O398),0),0)</f>
        <v>295.02837432296928</v>
      </c>
      <c r="P399" s="60">
        <f t="shared" ref="P399" si="415">IF($A$64&lt;=P363,IF($B$64&gt;=P363,ABS(P398),0),0)</f>
        <v>1600.4337613492639</v>
      </c>
      <c r="Q399" s="60">
        <f t="shared" ref="Q399" si="416">IF($A$64&lt;=Q363,IF($B$64&gt;=Q363,ABS(Q398),0),0)</f>
        <v>689.25770083106124</v>
      </c>
      <c r="R399" s="60">
        <f t="shared" ref="R399" si="417">IF($A$64&lt;=R363,IF($B$64&gt;=R363,ABS(R398),0),0)</f>
        <v>26.450216334405603</v>
      </c>
      <c r="S399" s="60">
        <f t="shared" ref="S399" si="418">IF($A$64&lt;=S363,IF($B$64&gt;=S363,ABS(S398),0),0)</f>
        <v>364.17107688653357</v>
      </c>
      <c r="T399" s="60">
        <f t="shared" ref="T399" si="419">IF($A$64&lt;=T363,IF($B$64&gt;=T363,ABS(T398),0),0)</f>
        <v>445.39569991611512</v>
      </c>
      <c r="U399" s="60">
        <f t="shared" ref="U399" si="420">IF($A$64&lt;=U363,IF($B$64&gt;=U363,ABS(U398),0),0)</f>
        <v>671.98611413470917</v>
      </c>
      <c r="V399" s="60">
        <f t="shared" ref="V399" si="421">IF($A$64&lt;=V363,IF($B$64&gt;=V363,ABS(V398),0),0)</f>
        <v>85.255415578619576</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-17.1505695637697</v>
      </c>
      <c r="C403" s="107">
        <f t="shared" ref="C403:H403" si="432">IF(C125=$B$2,0,C126)</f>
        <v>-13.683361470714468</v>
      </c>
      <c r="D403" s="107">
        <f t="shared" si="432"/>
        <v>-10.991713763275115</v>
      </c>
      <c r="E403" s="107">
        <f t="shared" si="432"/>
        <v>-8.7424584874974141</v>
      </c>
      <c r="F403" s="107">
        <f t="shared" si="432"/>
        <v>-5.9128741218641254</v>
      </c>
      <c r="G403" s="107">
        <f t="shared" si="432"/>
        <v>0</v>
      </c>
      <c r="H403" s="107">
        <f t="shared" si="432"/>
        <v>5.6123079345528986</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3.5612484806025714E-23</v>
      </c>
      <c r="C404" s="3">
        <f t="shared" ref="C404:H419" si="433">$A404/EXP(-C$403)</f>
        <v>1.1412784566506278E-21</v>
      </c>
      <c r="D404" s="3">
        <f t="shared" si="433"/>
        <v>1.6840670007462967E-20</v>
      </c>
      <c r="E404" s="3">
        <f t="shared" si="433"/>
        <v>1.596608807267776E-19</v>
      </c>
      <c r="F404" s="3">
        <f t="shared" si="433"/>
        <v>2.7044029231432577E-18</v>
      </c>
      <c r="G404" s="3">
        <f t="shared" si="433"/>
        <v>1.0000000000000001E-15</v>
      </c>
      <c r="H404" s="3">
        <f t="shared" si="433"/>
        <v>2.7377536504938516E-13</v>
      </c>
      <c r="I404" s="109">
        <f>Comparison!AL3</f>
        <v>1.0000000000000001E-15</v>
      </c>
      <c r="J404" s="3">
        <f>Comparison!AM3</f>
        <v>10218.668827091791</v>
      </c>
      <c r="K404" s="3">
        <f>Comparison!AN3</f>
        <v>10065.543251576082</v>
      </c>
      <c r="L404" s="3">
        <f>Comparison!AO3</f>
        <v>9730.0167223959397</v>
      </c>
      <c r="M404" s="3">
        <f>Comparison!AP3</f>
        <v>9521.3086452220268</v>
      </c>
      <c r="N404" s="3">
        <f>Comparison!AQ3</f>
        <v>9259.9030429946288</v>
      </c>
      <c r="O404" s="3">
        <f>Comparison!AR3</f>
        <v>8600.88026028485</v>
      </c>
      <c r="P404" s="3">
        <f>Comparison!AS3</f>
        <v>7885.0238799750496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3.5612484806025711E-22</v>
      </c>
      <c r="C405" s="3">
        <f t="shared" si="433"/>
        <v>1.1412784566506277E-20</v>
      </c>
      <c r="D405" s="3">
        <f t="shared" si="433"/>
        <v>1.6840670007462966E-19</v>
      </c>
      <c r="E405" s="3">
        <f t="shared" si="433"/>
        <v>1.5966088072677757E-18</v>
      </c>
      <c r="F405" s="3">
        <f t="shared" si="433"/>
        <v>2.7044029231432575E-17</v>
      </c>
      <c r="G405" s="3">
        <f t="shared" si="433"/>
        <v>1E-14</v>
      </c>
      <c r="H405" s="3">
        <f t="shared" si="433"/>
        <v>2.7377536504938513E-12</v>
      </c>
      <c r="I405" s="109">
        <f>Comparison!AL4</f>
        <v>1E-14</v>
      </c>
      <c r="J405" s="3">
        <f>Comparison!AM4</f>
        <v>10130.735990154546</v>
      </c>
      <c r="K405" s="3">
        <f>Comparison!AN4</f>
        <v>9708.7484211633309</v>
      </c>
      <c r="L405" s="3">
        <f>Comparison!AO4</f>
        <v>9476.1525473419642</v>
      </c>
      <c r="M405" s="3">
        <f>Comparison!AP4</f>
        <v>9264.9569626866305</v>
      </c>
      <c r="N405" s="3">
        <f>Comparison!AQ4</f>
        <v>8975.4373156175916</v>
      </c>
      <c r="O405" s="3">
        <f>Comparison!AR4</f>
        <v>8258.5143784911779</v>
      </c>
      <c r="P405" s="3">
        <f>Comparison!AS4</f>
        <v>7533.2051738552464</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3.5612484806025715E-21</v>
      </c>
      <c r="C406" s="3">
        <f t="shared" si="433"/>
        <v>1.1412784566506278E-19</v>
      </c>
      <c r="D406" s="3">
        <f t="shared" si="433"/>
        <v>1.6840670007462966E-18</v>
      </c>
      <c r="E406" s="3">
        <f t="shared" si="433"/>
        <v>1.5966088072677758E-17</v>
      </c>
      <c r="F406" s="3">
        <f t="shared" si="433"/>
        <v>2.7044029231432577E-16</v>
      </c>
      <c r="G406" s="3">
        <f t="shared" si="433"/>
        <v>1E-13</v>
      </c>
      <c r="H406" s="3">
        <f t="shared" si="433"/>
        <v>2.7377536504938514E-11</v>
      </c>
      <c r="I406" s="109">
        <f>Comparison!AL5</f>
        <v>1E-13</v>
      </c>
      <c r="J406" s="3">
        <f>Comparison!AM5</f>
        <v>9815.5100842671618</v>
      </c>
      <c r="K406" s="3">
        <f>Comparison!AN5</f>
        <v>9504.080552546171</v>
      </c>
      <c r="L406" s="3">
        <f>Comparison!AO5</f>
        <v>9264.0506360514537</v>
      </c>
      <c r="M406" s="3">
        <f>Comparison!AP5</f>
        <v>9040.3201170121174</v>
      </c>
      <c r="N406" s="3">
        <f>Comparison!AQ5</f>
        <v>8718.1797337443004</v>
      </c>
      <c r="O406" s="3">
        <f>Comparison!AR5</f>
        <v>7962.1526037178537</v>
      </c>
      <c r="P406" s="3">
        <f>Comparison!AS5</f>
        <v>7191.2405725815324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3.5612484806025714E-20</v>
      </c>
      <c r="C407" s="3">
        <f t="shared" si="433"/>
        <v>1.1412784566506278E-18</v>
      </c>
      <c r="D407" s="3">
        <f t="shared" si="433"/>
        <v>1.6840670007462966E-17</v>
      </c>
      <c r="E407" s="3">
        <f t="shared" si="433"/>
        <v>1.5966088072677758E-16</v>
      </c>
      <c r="F407" s="3">
        <f t="shared" si="433"/>
        <v>2.7044029231432575E-15</v>
      </c>
      <c r="G407" s="3">
        <f t="shared" si="433"/>
        <v>9.9999999999999998E-13</v>
      </c>
      <c r="H407" s="3">
        <f t="shared" si="433"/>
        <v>2.737753650493851E-10</v>
      </c>
      <c r="I407" s="109">
        <f>Comparison!AL6</f>
        <v>9.9999999999999998E-13</v>
      </c>
      <c r="J407" s="3">
        <f>Comparison!AM6</f>
        <v>9602.7895017015398</v>
      </c>
      <c r="K407" s="3">
        <f>Comparison!AN6</f>
        <v>9297.6034614201999</v>
      </c>
      <c r="L407" s="3">
        <f>Comparison!AO6</f>
        <v>9042.8661048910981</v>
      </c>
      <c r="M407" s="3">
        <f>Comparison!AP6</f>
        <v>8795.6860246078559</v>
      </c>
      <c r="N407" s="3">
        <f>Comparison!AQ6</f>
        <v>8453.8665906134283</v>
      </c>
      <c r="O407" s="3">
        <f>Comparison!AR6</f>
        <v>7694.1164691736458</v>
      </c>
      <c r="P407" s="3">
        <f>Comparison!AS6</f>
        <v>6812.4631092957497</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3.561248480602571E-19</v>
      </c>
      <c r="C408" s="3">
        <f t="shared" si="433"/>
        <v>1.1412784566506276E-17</v>
      </c>
      <c r="D408" s="3">
        <f t="shared" si="433"/>
        <v>1.6840670007462966E-16</v>
      </c>
      <c r="E408" s="3">
        <f t="shared" si="433"/>
        <v>1.5966088072677757E-15</v>
      </c>
      <c r="F408" s="3">
        <f t="shared" si="433"/>
        <v>2.7044029231432574E-14</v>
      </c>
      <c r="G408" s="3">
        <f t="shared" si="433"/>
        <v>9.9999999999999994E-12</v>
      </c>
      <c r="H408" s="3">
        <f t="shared" si="433"/>
        <v>2.7377536504938511E-9</v>
      </c>
      <c r="I408" s="109">
        <f>Comparison!AL7</f>
        <v>9.9999999999999994E-12</v>
      </c>
      <c r="J408" s="3">
        <f>Comparison!AM7</f>
        <v>9403.9958104822508</v>
      </c>
      <c r="K408" s="3">
        <f>Comparison!AN7</f>
        <v>9077.0448832845814</v>
      </c>
      <c r="L408" s="3">
        <f>Comparison!AO7</f>
        <v>8796.5318501985184</v>
      </c>
      <c r="M408" s="3">
        <f>Comparison!AP7</f>
        <v>8532.6912536798991</v>
      </c>
      <c r="N408" s="3">
        <f>Comparison!AQ7</f>
        <v>8157.4497816903277</v>
      </c>
      <c r="O408" s="3">
        <f>Comparison!AR7</f>
        <v>7392.1118529421537</v>
      </c>
      <c r="P408" s="3">
        <f>Comparison!AS7</f>
        <v>6451.9725248759578</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3.5612484806025715E-18</v>
      </c>
      <c r="C409" s="3">
        <f t="shared" si="433"/>
        <v>1.1412784566506278E-16</v>
      </c>
      <c r="D409" s="3">
        <f t="shared" si="433"/>
        <v>1.6840670007462967E-15</v>
      </c>
      <c r="E409" s="3">
        <f t="shared" si="433"/>
        <v>1.5966088072677759E-14</v>
      </c>
      <c r="F409" s="3">
        <f t="shared" si="433"/>
        <v>2.7044029231432573E-13</v>
      </c>
      <c r="G409" s="3">
        <f t="shared" si="433"/>
        <v>1E-10</v>
      </c>
      <c r="H409" s="3">
        <f t="shared" si="433"/>
        <v>2.7377536504938515E-8</v>
      </c>
      <c r="I409" s="109">
        <f>Comparison!AL8</f>
        <v>1E-10</v>
      </c>
      <c r="J409" s="3">
        <f>Comparison!AM8</f>
        <v>9185.6343104080297</v>
      </c>
      <c r="K409" s="3">
        <f>Comparison!AN8</f>
        <v>8833.9901329277236</v>
      </c>
      <c r="L409" s="3">
        <f>Comparison!AO8</f>
        <v>8532.9278199977016</v>
      </c>
      <c r="M409" s="3">
        <f>Comparison!AP8</f>
        <v>8244.2374276121209</v>
      </c>
      <c r="N409" s="3">
        <f>Comparison!AQ8</f>
        <v>7881.4803699008435</v>
      </c>
      <c r="O409" s="3">
        <f>Comparison!AR8</f>
        <v>7031.7099177768096</v>
      </c>
      <c r="P409" s="3">
        <f>Comparison!AS8</f>
        <v>6166.1047060884439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3.5612484806025713E-17</v>
      </c>
      <c r="C410" s="3">
        <f t="shared" si="433"/>
        <v>1.1412784566506277E-15</v>
      </c>
      <c r="D410" s="3">
        <f t="shared" si="433"/>
        <v>1.6840670007462968E-14</v>
      </c>
      <c r="E410" s="3">
        <f t="shared" si="433"/>
        <v>1.5966088072677759E-13</v>
      </c>
      <c r="F410" s="3">
        <f t="shared" si="433"/>
        <v>2.7044029231432575E-12</v>
      </c>
      <c r="G410" s="3">
        <f t="shared" si="433"/>
        <v>1.0000000000000001E-9</v>
      </c>
      <c r="H410" s="3">
        <f t="shared" si="433"/>
        <v>2.7377536504938512E-7</v>
      </c>
      <c r="I410" s="109">
        <f>Comparison!AL9</f>
        <v>1.0000000000000001E-9</v>
      </c>
      <c r="J410" s="3">
        <f>Comparison!AM9</f>
        <v>8956.3853461764484</v>
      </c>
      <c r="K410" s="3">
        <f>Comparison!AN9</f>
        <v>8570.1980588932365</v>
      </c>
      <c r="L410" s="3">
        <f>Comparison!AO9</f>
        <v>8242.1892422663423</v>
      </c>
      <c r="M410" s="3">
        <f>Comparison!AP9</f>
        <v>7958.2786468847135</v>
      </c>
      <c r="N410" s="3">
        <f>Comparison!AQ9</f>
        <v>7606.797789198542</v>
      </c>
      <c r="O410" s="3">
        <f>Comparison!AR9</f>
        <v>6653.2341038317008</v>
      </c>
      <c r="P410" s="3">
        <f>Comparison!AS9</f>
        <v>5881.0552739751101</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3.5612484806025712E-16</v>
      </c>
      <c r="C411" s="3">
        <f t="shared" si="433"/>
        <v>1.1412784566506278E-14</v>
      </c>
      <c r="D411" s="3">
        <f t="shared" si="433"/>
        <v>1.6840670007462967E-13</v>
      </c>
      <c r="E411" s="3">
        <f t="shared" si="433"/>
        <v>1.5966088072677758E-12</v>
      </c>
      <c r="F411" s="3">
        <f t="shared" si="433"/>
        <v>2.7044029231432576E-11</v>
      </c>
      <c r="G411" s="3">
        <f t="shared" si="433"/>
        <v>1E-8</v>
      </c>
      <c r="H411" s="3">
        <f t="shared" si="433"/>
        <v>2.7377536504938512E-6</v>
      </c>
      <c r="I411" s="109">
        <f>Comparison!AL10</f>
        <v>1E-8</v>
      </c>
      <c r="J411" s="3">
        <f>Comparison!AM10</f>
        <v>8694.0472851843733</v>
      </c>
      <c r="K411" s="3">
        <f>Comparison!AN10</f>
        <v>8282.9223634397895</v>
      </c>
      <c r="L411" s="3">
        <f>Comparison!AO10</f>
        <v>7957.4855284258747</v>
      </c>
      <c r="M411" s="3">
        <f>Comparison!AP10</f>
        <v>7687.376383967704</v>
      </c>
      <c r="N411" s="3">
        <f>Comparison!AQ10</f>
        <v>7278.8872759198184</v>
      </c>
      <c r="O411" s="3">
        <f>Comparison!AR10</f>
        <v>6325.3637954371716</v>
      </c>
      <c r="P411" s="3">
        <f>Comparison!AS10</f>
        <v>5609.3504910949478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3.5612484806025709E-15</v>
      </c>
      <c r="C412" s="3">
        <f t="shared" si="433"/>
        <v>1.1412784566506277E-13</v>
      </c>
      <c r="D412" s="3">
        <f t="shared" si="433"/>
        <v>1.6840670007462964E-12</v>
      </c>
      <c r="E412" s="3">
        <f t="shared" si="433"/>
        <v>1.5966088072677757E-11</v>
      </c>
      <c r="F412" s="3">
        <f t="shared" si="433"/>
        <v>2.7044029231432572E-10</v>
      </c>
      <c r="G412" s="3">
        <f t="shared" si="433"/>
        <v>9.9999999999999995E-8</v>
      </c>
      <c r="H412" s="3">
        <f t="shared" si="433"/>
        <v>2.737753650493851E-5</v>
      </c>
      <c r="I412" s="109">
        <f>Comparison!AL11</f>
        <v>9.9999999999999995E-8</v>
      </c>
      <c r="J412" s="3">
        <f>Comparison!AM11</f>
        <v>8422.2902852365987</v>
      </c>
      <c r="K412" s="3">
        <f>Comparison!AN11</f>
        <v>7993.641154385381</v>
      </c>
      <c r="L412" s="3">
        <f>Comparison!AO11</f>
        <v>7685.4052187432317</v>
      </c>
      <c r="M412" s="3">
        <f>Comparison!AP11</f>
        <v>7374.3712231841728</v>
      </c>
      <c r="N412" s="3">
        <f>Comparison!AQ11</f>
        <v>6902.9128773701668</v>
      </c>
      <c r="O412" s="3">
        <f>Comparison!AR11</f>
        <v>6045.8980186697399</v>
      </c>
      <c r="P412" s="3">
        <f>Comparison!AS11</f>
        <v>5323.5276590267758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3.5612484806025711E-14</v>
      </c>
      <c r="C413" s="3">
        <f t="shared" si="433"/>
        <v>1.1412784566506277E-12</v>
      </c>
      <c r="D413" s="3">
        <f t="shared" si="433"/>
        <v>1.6840670007462965E-11</v>
      </c>
      <c r="E413" s="3">
        <f t="shared" si="433"/>
        <v>1.5966088072677757E-10</v>
      </c>
      <c r="F413" s="3">
        <f t="shared" si="433"/>
        <v>2.7044029231432574E-9</v>
      </c>
      <c r="G413" s="3">
        <f t="shared" si="433"/>
        <v>9.9999999999999995E-7</v>
      </c>
      <c r="H413" s="3">
        <f t="shared" si="433"/>
        <v>2.7377536504938512E-4</v>
      </c>
      <c r="I413" s="109">
        <f>Comparison!AL12</f>
        <v>9.9999999999999995E-7</v>
      </c>
      <c r="J413" s="3">
        <f>Comparison!AM12</f>
        <v>8119.1133122846923</v>
      </c>
      <c r="K413" s="3">
        <f>Comparison!AN12</f>
        <v>7722.5102431706819</v>
      </c>
      <c r="L413" s="3">
        <f>Comparison!AO12</f>
        <v>7368.9543787655439</v>
      </c>
      <c r="M413" s="3">
        <f>Comparison!AP12</f>
        <v>7006.1552436770207</v>
      </c>
      <c r="N413" s="3">
        <f>Comparison!AQ12</f>
        <v>6533.8294095397778</v>
      </c>
      <c r="O413" s="3">
        <f>Comparison!AR12</f>
        <v>5765.1058423358591</v>
      </c>
      <c r="P413" s="3">
        <f>Comparison!AS12</f>
        <v>5061.2818561056738</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3.5612484806025715E-13</v>
      </c>
      <c r="C414" s="3">
        <f t="shared" si="433"/>
        <v>1.1412784566506278E-11</v>
      </c>
      <c r="D414" s="3">
        <f t="shared" si="433"/>
        <v>1.6840670007462968E-10</v>
      </c>
      <c r="E414" s="3">
        <f t="shared" si="433"/>
        <v>1.5966088072677759E-9</v>
      </c>
      <c r="F414" s="3">
        <f t="shared" si="433"/>
        <v>2.7044029231432579E-8</v>
      </c>
      <c r="G414" s="3">
        <f t="shared" si="433"/>
        <v>1.0000000000000001E-5</v>
      </c>
      <c r="H414" s="3">
        <f t="shared" si="433"/>
        <v>2.7377536504938514E-3</v>
      </c>
      <c r="I414" s="109">
        <f>Comparison!AL13</f>
        <v>1.0000000000000001E-5</v>
      </c>
      <c r="J414" s="3">
        <f>Comparison!AM13</f>
        <v>7848.6797155048253</v>
      </c>
      <c r="K414" s="3">
        <f>Comparison!AN13</f>
        <v>7411.9254661857585</v>
      </c>
      <c r="L414" s="3">
        <f>Comparison!AO13</f>
        <v>6998.3812744112274</v>
      </c>
      <c r="M414" s="3">
        <f>Comparison!AP13</f>
        <v>6628.8785990090082</v>
      </c>
      <c r="N414" s="3">
        <f>Comparison!AQ13</f>
        <v>6236.0805337275306</v>
      </c>
      <c r="O414" s="3">
        <f>Comparison!AR13</f>
        <v>5486.9816625574504</v>
      </c>
      <c r="P414" s="3">
        <f>Comparison!AS13</f>
        <v>4733.4087396901623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3.5612484806025714E-12</v>
      </c>
      <c r="C415" s="3">
        <f t="shared" si="433"/>
        <v>1.1412784566506278E-10</v>
      </c>
      <c r="D415" s="3">
        <f t="shared" si="433"/>
        <v>1.6840670007462967E-9</v>
      </c>
      <c r="E415" s="3">
        <f t="shared" si="433"/>
        <v>1.596608807267776E-8</v>
      </c>
      <c r="F415" s="3">
        <f t="shared" si="433"/>
        <v>2.7044029231432575E-7</v>
      </c>
      <c r="G415" s="3">
        <f t="shared" si="433"/>
        <v>1E-4</v>
      </c>
      <c r="H415" s="3">
        <f t="shared" si="433"/>
        <v>2.7377536504938516E-2</v>
      </c>
      <c r="I415" s="109">
        <f>Comparison!AL14</f>
        <v>1E-4</v>
      </c>
      <c r="J415" s="3">
        <f>Comparison!AM14</f>
        <v>7561.5718378512247</v>
      </c>
      <c r="K415" s="3">
        <f>Comparison!AN14</f>
        <v>7044.5082173262499</v>
      </c>
      <c r="L415" s="3">
        <f>Comparison!AO14</f>
        <v>6621.5844226341051</v>
      </c>
      <c r="M415" s="3">
        <f>Comparison!AP14</f>
        <v>6311.3720523241727</v>
      </c>
      <c r="N415" s="3">
        <f>Comparison!AQ14</f>
        <v>5950.4123980915811</v>
      </c>
      <c r="O415" s="3">
        <f>Comparison!AR14</f>
        <v>5211.1575946368548</v>
      </c>
      <c r="P415" s="3">
        <f>Comparison!AS14</f>
        <v>4393.7824312927287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3.5612484806025714E-11</v>
      </c>
      <c r="C416" s="3">
        <f t="shared" si="433"/>
        <v>1.1412784566506278E-9</v>
      </c>
      <c r="D416" s="3">
        <f t="shared" si="433"/>
        <v>1.6840670007462965E-8</v>
      </c>
      <c r="E416" s="3">
        <f t="shared" si="433"/>
        <v>1.5966088072677759E-7</v>
      </c>
      <c r="F416" s="3">
        <f t="shared" si="433"/>
        <v>2.7044029231432574E-6</v>
      </c>
      <c r="G416" s="3">
        <f t="shared" si="433"/>
        <v>1E-3</v>
      </c>
      <c r="H416" s="3">
        <f t="shared" si="433"/>
        <v>0.27377536504938516</v>
      </c>
      <c r="I416" s="109">
        <f>Comparison!AL15</f>
        <v>1E-3</v>
      </c>
      <c r="J416" s="3">
        <f>Comparison!AM15</f>
        <v>7212.0886309644511</v>
      </c>
      <c r="K416" s="3">
        <f>Comparison!AN15</f>
        <v>6664.4913259208079</v>
      </c>
      <c r="L416" s="3">
        <f>Comparison!AO15</f>
        <v>6307.1591705971805</v>
      </c>
      <c r="M416" s="3">
        <f>Comparison!AP15</f>
        <v>6028.2349504089671</v>
      </c>
      <c r="N416" s="3">
        <f>Comparison!AQ15</f>
        <v>5675.5372968728034</v>
      </c>
      <c r="O416" s="3">
        <f>Comparison!AR15</f>
        <v>4923.9623445747775</v>
      </c>
      <c r="P416" s="3">
        <f>Comparison!AS15</f>
        <v>4006.1265808261332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3.5612484806025712E-10</v>
      </c>
      <c r="C417" s="3">
        <f t="shared" si="433"/>
        <v>1.1412784566506278E-8</v>
      </c>
      <c r="D417" s="3">
        <f t="shared" si="433"/>
        <v>1.6840670007462967E-7</v>
      </c>
      <c r="E417" s="3">
        <f t="shared" si="433"/>
        <v>1.5966088072677759E-6</v>
      </c>
      <c r="F417" s="3">
        <f t="shared" si="433"/>
        <v>2.7044029231432576E-5</v>
      </c>
      <c r="G417" s="3">
        <f t="shared" si="433"/>
        <v>0.01</v>
      </c>
      <c r="H417" s="3">
        <f t="shared" si="433"/>
        <v>2.7377536504938513</v>
      </c>
      <c r="I417" s="109">
        <f>Comparison!AL16</f>
        <v>0.01</v>
      </c>
      <c r="J417" s="3">
        <f>Comparison!AM16</f>
        <v>6826.065675816817</v>
      </c>
      <c r="K417" s="3">
        <f>Comparison!AN16</f>
        <v>6341.2106146502829</v>
      </c>
      <c r="L417" s="3">
        <f>Comparison!AO16</f>
        <v>6022.8689849680577</v>
      </c>
      <c r="M417" s="3">
        <f>Comparison!AP16</f>
        <v>5748.7087759518809</v>
      </c>
      <c r="N417" s="3">
        <f>Comparison!AQ16</f>
        <v>5389.077424650558</v>
      </c>
      <c r="O417" s="3">
        <f>Comparison!AR16</f>
        <v>4584.0172032140918</v>
      </c>
      <c r="P417" s="3">
        <f>Comparison!AS16</f>
        <v>3576.233277328839</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3.5612484806025714E-9</v>
      </c>
      <c r="C418" s="3">
        <f t="shared" si="433"/>
        <v>1.1412784566506278E-7</v>
      </c>
      <c r="D418" s="3">
        <f t="shared" si="433"/>
        <v>1.6840670007462966E-6</v>
      </c>
      <c r="E418" s="3">
        <f t="shared" si="433"/>
        <v>1.5966088072677758E-5</v>
      </c>
      <c r="F418" s="3">
        <f t="shared" si="433"/>
        <v>2.7044029231432579E-4</v>
      </c>
      <c r="G418" s="3">
        <f t="shared" si="433"/>
        <v>0.1</v>
      </c>
      <c r="H418" s="3">
        <f t="shared" si="433"/>
        <v>27.377536504938515</v>
      </c>
      <c r="I418" s="109">
        <f>Comparison!AL17</f>
        <v>0.1</v>
      </c>
      <c r="J418" s="3">
        <f>Comparison!AM17</f>
        <v>6468.6777640443843</v>
      </c>
      <c r="K418" s="3">
        <f>Comparison!AN17</f>
        <v>6057.8856031721252</v>
      </c>
      <c r="L418" s="3">
        <f>Comparison!AO17</f>
        <v>5743.6712365645317</v>
      </c>
      <c r="M418" s="3">
        <f>Comparison!AP17</f>
        <v>5465.7818754747968</v>
      </c>
      <c r="N418" s="3">
        <f>Comparison!AQ17</f>
        <v>5123.5437168709832</v>
      </c>
      <c r="O418" s="3">
        <f>Comparison!AR17</f>
        <v>4221.1859974432145</v>
      </c>
      <c r="P418" s="3">
        <f>Comparison!AS17</f>
        <v>3059.5283871610445</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3.561248480602571E-8</v>
      </c>
      <c r="C419" s="3">
        <f t="shared" si="433"/>
        <v>1.1412784566506278E-6</v>
      </c>
      <c r="D419" s="3">
        <f t="shared" si="433"/>
        <v>1.6840670007462968E-5</v>
      </c>
      <c r="E419" s="3">
        <f t="shared" si="433"/>
        <v>1.5966088072677759E-4</v>
      </c>
      <c r="F419" s="3">
        <f t="shared" si="433"/>
        <v>2.7044029231432574E-3</v>
      </c>
      <c r="G419" s="3">
        <f t="shared" si="433"/>
        <v>1</v>
      </c>
      <c r="H419" s="3">
        <f t="shared" si="433"/>
        <v>273.77536504938513</v>
      </c>
      <c r="I419" s="109">
        <f>Comparison!AL18</f>
        <v>1</v>
      </c>
      <c r="J419" s="3">
        <f>Comparison!AM18</f>
        <v>6185.0814076350389</v>
      </c>
      <c r="K419" s="3">
        <f>Comparison!AN18</f>
        <v>5776.2920069159836</v>
      </c>
      <c r="L419" s="3">
        <f>Comparison!AO18</f>
        <v>5459.2543435964462</v>
      </c>
      <c r="M419" s="3">
        <f>Comparison!AP18</f>
        <v>5192.657072535425</v>
      </c>
      <c r="N419" s="3">
        <f>Comparison!AQ18</f>
        <v>4799.280908658001</v>
      </c>
      <c r="O419" s="3">
        <f>Comparison!AR18</f>
        <v>3789.937412973562</v>
      </c>
      <c r="P419" s="3">
        <f>Comparison!AS18</f>
        <v>2469.5512794279489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3.5612484806025713E-7</v>
      </c>
      <c r="C420" s="3">
        <f t="shared" si="434"/>
        <v>1.1412784566506277E-5</v>
      </c>
      <c r="D420" s="3">
        <f t="shared" si="434"/>
        <v>1.6840670007462966E-4</v>
      </c>
      <c r="E420" s="3">
        <f t="shared" si="434"/>
        <v>1.5966088072677759E-3</v>
      </c>
      <c r="F420" s="3">
        <f t="shared" si="434"/>
        <v>2.7044029231432575E-2</v>
      </c>
      <c r="G420" s="3">
        <f t="shared" si="434"/>
        <v>10</v>
      </c>
      <c r="H420" s="3">
        <f t="shared" si="434"/>
        <v>2737.7536504938512</v>
      </c>
      <c r="I420" s="109">
        <f>Comparison!AL19</f>
        <v>10</v>
      </c>
      <c r="J420" s="3">
        <f>Comparison!AM19</f>
        <v>5896.0070828362468</v>
      </c>
      <c r="K420" s="3">
        <f>Comparison!AN19</f>
        <v>5493.3830678495879</v>
      </c>
      <c r="L420" s="3">
        <f>Comparison!AO19</f>
        <v>5186.1259100095131</v>
      </c>
      <c r="M420" s="3">
        <f>Comparison!AP19</f>
        <v>4882.9062343607484</v>
      </c>
      <c r="N420" s="3">
        <f>Comparison!AQ19</f>
        <v>4430.6662258617935</v>
      </c>
      <c r="O420" s="3">
        <f>Comparison!AR19</f>
        <v>3283.8683924627298</v>
      </c>
      <c r="P420" s="3">
        <f>Comparison!AS19</f>
        <v>1842.799668868907</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3.5612484806025712E-6</v>
      </c>
      <c r="C421" s="3">
        <f t="shared" si="434"/>
        <v>1.1412784566506277E-4</v>
      </c>
      <c r="D421" s="3">
        <f t="shared" si="434"/>
        <v>1.6840670007462967E-3</v>
      </c>
      <c r="E421" s="3">
        <f t="shared" si="434"/>
        <v>1.5966088072677759E-2</v>
      </c>
      <c r="F421" s="3">
        <f t="shared" si="434"/>
        <v>0.27044029231432576</v>
      </c>
      <c r="G421" s="3">
        <f t="shared" si="434"/>
        <v>100</v>
      </c>
      <c r="H421" s="3">
        <f t="shared" si="434"/>
        <v>27377.536504938511</v>
      </c>
      <c r="I421" s="109">
        <f>Comparison!AL20</f>
        <v>100</v>
      </c>
      <c r="J421" s="3">
        <f>Comparison!AM20</f>
        <v>5620.2326577203476</v>
      </c>
      <c r="K421" s="3">
        <f>Comparison!AN20</f>
        <v>5215.5329419319251</v>
      </c>
      <c r="L421" s="3">
        <f>Comparison!AO20</f>
        <v>4865.5108844814831</v>
      </c>
      <c r="M421" s="3">
        <f>Comparison!AP20</f>
        <v>4501.5398610325774</v>
      </c>
      <c r="N421" s="3">
        <f>Comparison!AQ20</f>
        <v>3990.4031488339651</v>
      </c>
      <c r="O421" s="3">
        <f>Comparison!AR20</f>
        <v>2714.7098539050189</v>
      </c>
      <c r="P421" s="3">
        <f>Comparison!AS20</f>
        <v>1328.7737512423464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3.5612484806025712E-5</v>
      </c>
      <c r="C422" s="3">
        <f t="shared" si="434"/>
        <v>1.1412784566506278E-3</v>
      </c>
      <c r="D422" s="3">
        <f t="shared" si="434"/>
        <v>1.6840670007462966E-2</v>
      </c>
      <c r="E422" s="3">
        <f t="shared" si="434"/>
        <v>0.15966088072677759</v>
      </c>
      <c r="F422" s="3">
        <f t="shared" si="434"/>
        <v>2.7044029231432574</v>
      </c>
      <c r="G422" s="3">
        <f t="shared" si="434"/>
        <v>1000</v>
      </c>
      <c r="H422" s="3">
        <f t="shared" si="434"/>
        <v>273775.36504938512</v>
      </c>
      <c r="I422" s="109">
        <f>Comparison!AL21</f>
        <v>1000</v>
      </c>
      <c r="J422" s="3">
        <f>Comparison!AM21</f>
        <v>5330.7810569019748</v>
      </c>
      <c r="K422" s="3">
        <f>Comparison!AN21</f>
        <v>4897.7071873573095</v>
      </c>
      <c r="L422" s="3">
        <f>Comparison!AO21</f>
        <v>4471.3145751722259</v>
      </c>
      <c r="M422" s="3">
        <f>Comparison!AP21</f>
        <v>4066.6104281555185</v>
      </c>
      <c r="N422" s="3">
        <f>Comparison!AQ21</f>
        <v>3512.6173919241392</v>
      </c>
      <c r="O422" s="3">
        <f>Comparison!AR21</f>
        <v>2120.3389527808267</v>
      </c>
      <c r="P422" s="3">
        <f>Comparison!AS21</f>
        <v>948.83583319405307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3.5612484806025715E-4</v>
      </c>
      <c r="C423" s="3">
        <f t="shared" si="434"/>
        <v>1.1412784566506278E-2</v>
      </c>
      <c r="D423" s="3">
        <f t="shared" si="434"/>
        <v>0.16840670007462966</v>
      </c>
      <c r="E423" s="3">
        <f t="shared" si="434"/>
        <v>1.5966088072677758</v>
      </c>
      <c r="F423" s="3">
        <f t="shared" si="434"/>
        <v>27.044029231432575</v>
      </c>
      <c r="G423" s="3">
        <f t="shared" si="434"/>
        <v>10000</v>
      </c>
      <c r="H423" s="3">
        <f t="shared" si="434"/>
        <v>2737753.6504938514</v>
      </c>
      <c r="I423" s="109">
        <f>Comparison!AL22</f>
        <v>10000</v>
      </c>
      <c r="J423" s="3">
        <f>Comparison!AM22</f>
        <v>5056.458830124393</v>
      </c>
      <c r="K423" s="3">
        <f>Comparison!AN22</f>
        <v>4495.7217042422935</v>
      </c>
      <c r="L423" s="3">
        <f>Comparison!AO22</f>
        <v>4031.2545236434685</v>
      </c>
      <c r="M423" s="3">
        <f>Comparison!AP22</f>
        <v>3597.5685781370817</v>
      </c>
      <c r="N423" s="3">
        <f>Comparison!AQ22</f>
        <v>2997.1269883218743</v>
      </c>
      <c r="O423" s="3">
        <f>Comparison!AR22</f>
        <v>1549.2251736201158</v>
      </c>
      <c r="P423" s="3">
        <f>Comparison!AS22</f>
        <v>739.39486681916139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3.5612484806025711E-3</v>
      </c>
      <c r="C424" s="3">
        <f t="shared" si="434"/>
        <v>0.11412784566506277</v>
      </c>
      <c r="D424" s="3">
        <f t="shared" si="434"/>
        <v>1.6840670007462966</v>
      </c>
      <c r="E424" s="3">
        <f t="shared" si="434"/>
        <v>15.966088072677758</v>
      </c>
      <c r="F424" s="3">
        <f t="shared" si="434"/>
        <v>270.44029231432575</v>
      </c>
      <c r="G424" s="3">
        <f t="shared" si="434"/>
        <v>100000</v>
      </c>
      <c r="H424" s="3">
        <f t="shared" si="434"/>
        <v>27377536.504938513</v>
      </c>
      <c r="I424" s="109">
        <f>Comparison!AL23</f>
        <v>100000</v>
      </c>
      <c r="J424" s="3">
        <f>Comparison!AM23</f>
        <v>4685.6312280238881</v>
      </c>
      <c r="K424" s="3">
        <f>Comparison!AN23</f>
        <v>4059.1954090175182</v>
      </c>
      <c r="L424" s="3">
        <f>Comparison!AO23</f>
        <v>3565.3464541885878</v>
      </c>
      <c r="M424" s="3">
        <f>Comparison!AP23</f>
        <v>3102.4717339118838</v>
      </c>
      <c r="N424" s="3">
        <f>Comparison!AQ23</f>
        <v>2450.4999019800034</v>
      </c>
      <c r="O424" s="3">
        <f>Comparison!AR23</f>
        <v>1115.0562509241029</v>
      </c>
      <c r="P424" s="3">
        <f>Comparison!AS23</f>
        <v>624.14790659062351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3.5612484806025711E-2</v>
      </c>
      <c r="C425" s="3">
        <f t="shared" si="434"/>
        <v>1.1412784566506278</v>
      </c>
      <c r="D425" s="3">
        <f t="shared" si="434"/>
        <v>16.840670007462965</v>
      </c>
      <c r="E425" s="3">
        <f t="shared" si="434"/>
        <v>159.66088072677758</v>
      </c>
      <c r="F425" s="3">
        <f t="shared" si="434"/>
        <v>2704.4029231432573</v>
      </c>
      <c r="G425" s="3">
        <f t="shared" si="434"/>
        <v>1000000</v>
      </c>
      <c r="H425" s="3">
        <f t="shared" si="434"/>
        <v>273775365.04938513</v>
      </c>
      <c r="I425" s="109">
        <f>Comparison!AL24</f>
        <v>1000000</v>
      </c>
      <c r="J425" s="3">
        <f>Comparison!AM24</f>
        <v>4271.8299665210579</v>
      </c>
      <c r="K425" s="3">
        <f>Comparison!AN24</f>
        <v>3597.5805592338243</v>
      </c>
      <c r="L425" s="3">
        <f>Comparison!AO24</f>
        <v>3072.2800042990852</v>
      </c>
      <c r="M425" s="3">
        <f>Comparison!AP24</f>
        <v>2568.6205512482802</v>
      </c>
      <c r="N425" s="3">
        <f>Comparison!AQ24</f>
        <v>1872.1545257089074</v>
      </c>
      <c r="O425" s="3">
        <f>Comparison!AR24</f>
        <v>819.57257707159806</v>
      </c>
      <c r="P425" s="3">
        <f>Comparison!AS24</f>
        <v>574.84813415628378</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0.35612484806025713</v>
      </c>
      <c r="C426" s="3">
        <f t="shared" si="434"/>
        <v>11.412784566506277</v>
      </c>
      <c r="D426" s="3">
        <f t="shared" si="434"/>
        <v>168.40670007462967</v>
      </c>
      <c r="E426" s="3">
        <f t="shared" si="434"/>
        <v>1596.6088072677758</v>
      </c>
      <c r="F426" s="3">
        <f t="shared" si="434"/>
        <v>27044.029231432574</v>
      </c>
      <c r="G426" s="3">
        <f t="shared" si="434"/>
        <v>10000000</v>
      </c>
      <c r="H426" s="3">
        <f t="shared" si="434"/>
        <v>2737753650.4938512</v>
      </c>
      <c r="I426" s="109">
        <f>Comparison!AL25</f>
        <v>10000000</v>
      </c>
      <c r="J426" s="3">
        <f>Comparison!AM25</f>
        <v>3807.4701999642007</v>
      </c>
      <c r="K426" s="3">
        <f>Comparison!AN25</f>
        <v>3113.2980023229825</v>
      </c>
      <c r="L426" s="3">
        <f>Comparison!AO25</f>
        <v>2540.7682600840731</v>
      </c>
      <c r="M426" s="3">
        <f>Comparison!AP25</f>
        <v>2000.7316961631682</v>
      </c>
      <c r="N426" s="3">
        <f>Comparison!AQ25</f>
        <v>1367.4511296212941</v>
      </c>
      <c r="O426" s="3">
        <f>Comparison!AR25</f>
        <v>672.71182943032534</v>
      </c>
      <c r="P426" s="3">
        <f>Comparison!AS25</f>
        <v>540.01941971549797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3.561248480602571</v>
      </c>
      <c r="C427" s="3">
        <f t="shared" si="434"/>
        <v>114.12784566506278</v>
      </c>
      <c r="D427" s="3">
        <f t="shared" si="434"/>
        <v>1684.0670007462966</v>
      </c>
      <c r="E427" s="3">
        <f t="shared" si="434"/>
        <v>15966.088072677758</v>
      </c>
      <c r="F427" s="3">
        <f t="shared" si="434"/>
        <v>270440.29231432575</v>
      </c>
      <c r="G427" s="3">
        <f t="shared" si="434"/>
        <v>100000000</v>
      </c>
      <c r="H427" s="3">
        <f t="shared" si="434"/>
        <v>27377536504.938511</v>
      </c>
      <c r="I427" s="109">
        <f>Comparison!AL26</f>
        <v>100000000</v>
      </c>
      <c r="J427" s="3">
        <f>Comparison!AM26</f>
        <v>3333.4500993282409</v>
      </c>
      <c r="K427" s="3">
        <f>Comparison!AN26</f>
        <v>2587.1664421745386</v>
      </c>
      <c r="L427" s="3">
        <f>Comparison!AO26</f>
        <v>1974.0579457073152</v>
      </c>
      <c r="M427" s="3">
        <f>Comparison!AP26</f>
        <v>1467.5042196825975</v>
      </c>
      <c r="N427" s="3">
        <f>Comparison!AQ26</f>
        <v>983.81195335121254</v>
      </c>
      <c r="O427" s="3">
        <f>Comparison!AR26</f>
        <v>592.26686963031818</v>
      </c>
      <c r="P427" s="3">
        <f>Comparison!AS26</f>
        <v>522.91431442377564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35.612484806025712</v>
      </c>
      <c r="C428" s="3">
        <f t="shared" si="434"/>
        <v>1141.2784566506277</v>
      </c>
      <c r="D428" s="3">
        <f t="shared" si="434"/>
        <v>16840.670007462966</v>
      </c>
      <c r="E428" s="3">
        <f t="shared" si="434"/>
        <v>159660.88072677757</v>
      </c>
      <c r="F428" s="3">
        <f t="shared" si="434"/>
        <v>2704402.9231432574</v>
      </c>
      <c r="G428" s="3">
        <f t="shared" si="434"/>
        <v>1000000000</v>
      </c>
      <c r="H428" s="3">
        <f t="shared" si="434"/>
        <v>273775365049.38513</v>
      </c>
      <c r="I428" s="109">
        <f>Comparison!AL27</f>
        <v>1000000000</v>
      </c>
      <c r="J428" s="3">
        <f>Comparison!AM27</f>
        <v>2813.9339254547094</v>
      </c>
      <c r="K428" s="3">
        <f>Comparison!AN27</f>
        <v>2025.5491425769458</v>
      </c>
      <c r="L428" s="3">
        <f>Comparison!AO27</f>
        <v>1447.7693345065175</v>
      </c>
      <c r="M428" s="3">
        <f>Comparison!AP27</f>
        <v>1058.8226695409851</v>
      </c>
      <c r="N428" s="3">
        <f>Comparison!AQ27</f>
        <v>755.24433140254177</v>
      </c>
      <c r="O428" s="3">
        <f>Comparison!AR27</f>
        <v>556.12366677692739</v>
      </c>
      <c r="P428" s="3">
        <f>Comparison!AS27</f>
        <v>512.28225991416207</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356.12484806025714</v>
      </c>
      <c r="C429" s="3">
        <f t="shared" si="434"/>
        <v>11412.784566506278</v>
      </c>
      <c r="D429" s="3">
        <f t="shared" si="434"/>
        <v>168406.70007462965</v>
      </c>
      <c r="E429" s="3">
        <f t="shared" si="434"/>
        <v>1596608.8072677758</v>
      </c>
      <c r="F429" s="3">
        <f t="shared" si="434"/>
        <v>27044029.231432576</v>
      </c>
      <c r="G429" s="3">
        <f t="shared" si="434"/>
        <v>10000000000</v>
      </c>
      <c r="H429" s="3">
        <f t="shared" si="434"/>
        <v>2737753650493.8511</v>
      </c>
      <c r="I429" s="109">
        <f>Comparison!AL28</f>
        <v>10000000000</v>
      </c>
      <c r="J429" s="3">
        <f>Comparison!AM28</f>
        <v>2264.5753602217969</v>
      </c>
      <c r="K429" s="3">
        <f>Comparison!AN28</f>
        <v>1488.3947775442189</v>
      </c>
      <c r="L429" s="3">
        <f>Comparison!AO28</f>
        <v>1044.3571981147218</v>
      </c>
      <c r="M429" s="3">
        <f>Comparison!AP28</f>
        <v>791.47453302018846</v>
      </c>
      <c r="N429" s="3">
        <f>Comparison!AQ28</f>
        <v>633.28610309701617</v>
      </c>
      <c r="O429" s="3">
        <f>Comparison!AR28</f>
        <v>528.75323853804991</v>
      </c>
      <c r="P429" s="3">
        <f>Comparison!AS28</f>
        <v>486.30628203230003</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3561.2484806025714</v>
      </c>
      <c r="C430" s="3">
        <f t="shared" si="434"/>
        <v>114127.84566506278</v>
      </c>
      <c r="D430" s="3">
        <f t="shared" si="434"/>
        <v>1684067.0007462967</v>
      </c>
      <c r="E430" s="3">
        <f t="shared" si="434"/>
        <v>15966088.072677758</v>
      </c>
      <c r="F430" s="3">
        <f t="shared" si="434"/>
        <v>270440292.31432575</v>
      </c>
      <c r="G430" s="3">
        <f t="shared" si="434"/>
        <v>100000000000</v>
      </c>
      <c r="H430" s="3">
        <f t="shared" si="434"/>
        <v>27377536504938.512</v>
      </c>
      <c r="I430" s="109">
        <f>Comparison!AL29</f>
        <v>100000000000</v>
      </c>
      <c r="J430" s="3">
        <f>Comparison!AM29</f>
        <v>1691.7003845109305</v>
      </c>
      <c r="K430" s="3">
        <f>Comparison!AN29</f>
        <v>1075.2839868020503</v>
      </c>
      <c r="L430" s="3">
        <f>Comparison!AO29</f>
        <v>784.40987612375113</v>
      </c>
      <c r="M430" s="3">
        <f>Comparison!AP29</f>
        <v>655.80009654126911</v>
      </c>
      <c r="N430" s="3">
        <f>Comparison!AQ29</f>
        <v>577.24905136540178</v>
      </c>
      <c r="O430" s="3">
        <f>Comparison!AR29</f>
        <v>517.55067575260887</v>
      </c>
      <c r="P430" s="3">
        <f>Comparison!AS29</f>
        <v>477.16338311456207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35612.484806025714</v>
      </c>
      <c r="C431" s="3">
        <f t="shared" si="434"/>
        <v>1141278.4566506278</v>
      </c>
      <c r="D431" s="3">
        <f t="shared" si="434"/>
        <v>16840670.007462967</v>
      </c>
      <c r="E431" s="3">
        <f t="shared" si="434"/>
        <v>159660880.72677758</v>
      </c>
      <c r="F431" s="3">
        <f t="shared" si="434"/>
        <v>2704402923.1432576</v>
      </c>
      <c r="G431" s="3">
        <f t="shared" si="434"/>
        <v>1000000000000</v>
      </c>
      <c r="H431" s="3">
        <f t="shared" si="434"/>
        <v>273775365049385.12</v>
      </c>
      <c r="I431" s="109">
        <f>Comparison!AL30</f>
        <v>1000000000000</v>
      </c>
      <c r="J431" s="3">
        <f>Comparison!AM30</f>
        <v>1230.3504248927311</v>
      </c>
      <c r="K431" s="3">
        <f>Comparison!AN30</f>
        <v>799.60727676982128</v>
      </c>
      <c r="L431" s="3">
        <f>Comparison!AO30</f>
        <v>651.40811766035665</v>
      </c>
      <c r="M431" s="3">
        <f>Comparison!AP30</f>
        <v>585.43210743850034</v>
      </c>
      <c r="N431" s="3">
        <f>Comparison!AQ30</f>
        <v>542.56491517927657</v>
      </c>
      <c r="O431" s="3">
        <f>Comparison!AR30</f>
        <v>499.76142817308812</v>
      </c>
      <c r="P431" s="3">
        <f>Comparison!AS30</f>
        <v>476.22593072507385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356124.84806025709</v>
      </c>
      <c r="C432" s="3">
        <f t="shared" si="434"/>
        <v>11412784.566506278</v>
      </c>
      <c r="D432" s="3">
        <f t="shared" si="434"/>
        <v>168406700.07462966</v>
      </c>
      <c r="E432" s="3">
        <f t="shared" si="434"/>
        <v>1596608807.2677758</v>
      </c>
      <c r="F432" s="3">
        <f t="shared" si="434"/>
        <v>27044029231.432575</v>
      </c>
      <c r="G432" s="3">
        <f t="shared" si="434"/>
        <v>10000000000000</v>
      </c>
      <c r="H432" s="3">
        <f t="shared" si="434"/>
        <v>2737753650493851.5</v>
      </c>
      <c r="I432" s="109">
        <f>Comparison!AL31</f>
        <v>10000000000000</v>
      </c>
      <c r="J432" s="3">
        <f>Comparison!AM31</f>
        <v>888.25672531905332</v>
      </c>
      <c r="K432" s="3">
        <f>Comparison!AN31</f>
        <v>660.84412890819806</v>
      </c>
      <c r="L432" s="3">
        <f>Comparison!AO31</f>
        <v>583.80121108393644</v>
      </c>
      <c r="M432" s="3">
        <f>Comparison!AP31</f>
        <v>550.22961238933465</v>
      </c>
      <c r="N432" s="3">
        <f>Comparison!AQ31</f>
        <v>523.04517618896307</v>
      </c>
      <c r="O432" s="3">
        <f>Comparison!AR31</f>
        <v>478.96737917397832</v>
      </c>
      <c r="P432" s="3">
        <f>Comparison!AS31</f>
        <v>475.98047490013522</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3561248.4806025713</v>
      </c>
      <c r="C433" s="3">
        <f t="shared" si="434"/>
        <v>114127845.66506277</v>
      </c>
      <c r="D433" s="3">
        <f t="shared" si="434"/>
        <v>1684067000.7462966</v>
      </c>
      <c r="E433" s="3">
        <f t="shared" si="434"/>
        <v>15966088072.677757</v>
      </c>
      <c r="F433" s="3">
        <f t="shared" si="434"/>
        <v>270440292314.32574</v>
      </c>
      <c r="G433" s="3">
        <f t="shared" si="434"/>
        <v>100000000000000</v>
      </c>
      <c r="H433" s="3">
        <f t="shared" si="434"/>
        <v>2.7377536504938512E+16</v>
      </c>
      <c r="I433" s="109">
        <f>Comparison!AL32</f>
        <v>100000000000000</v>
      </c>
      <c r="J433" s="3">
        <f>Comparison!AM32</f>
        <v>708.86645626754114</v>
      </c>
      <c r="K433" s="3">
        <f>Comparison!AN32</f>
        <v>587.16779346403064</v>
      </c>
      <c r="L433" s="3">
        <f>Comparison!AO32</f>
        <v>548.71871201984641</v>
      </c>
      <c r="M433" s="3">
        <f>Comparison!AP32</f>
        <v>525.95012363885235</v>
      </c>
      <c r="N433" s="3">
        <f>Comparison!AQ32</f>
        <v>513.02385818918287</v>
      </c>
      <c r="O433" s="3">
        <f>Comparison!AR32</f>
        <v>475.66972462501121</v>
      </c>
      <c r="P433" s="3">
        <f>Comparison!AS32</f>
        <v>475.76724400704541</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35612484.806025714</v>
      </c>
      <c r="C434" s="3">
        <f t="shared" si="434"/>
        <v>1141278456.6506276</v>
      </c>
      <c r="D434" s="3">
        <f t="shared" si="434"/>
        <v>16840670007.462967</v>
      </c>
      <c r="E434" s="3">
        <f t="shared" si="434"/>
        <v>159660880726.77759</v>
      </c>
      <c r="F434" s="3">
        <f t="shared" si="434"/>
        <v>2704402923143.2573</v>
      </c>
      <c r="G434" s="3">
        <f t="shared" si="434"/>
        <v>1000000000000000</v>
      </c>
      <c r="H434" s="3">
        <f t="shared" si="434"/>
        <v>2.7377536504938512E+17</v>
      </c>
      <c r="I434" s="109">
        <f>Comparison!AL33</f>
        <v>1000000000000000</v>
      </c>
      <c r="J434" s="3">
        <f>Comparison!AM33</f>
        <v>607.16785102157667</v>
      </c>
      <c r="K434" s="3">
        <f>Comparison!AN33</f>
        <v>551.91226878266252</v>
      </c>
      <c r="L434" s="3">
        <f>Comparison!AO33</f>
        <v>525.29950476563715</v>
      </c>
      <c r="M434" s="3">
        <f>Comparison!AP33</f>
        <v>515.3503886433972</v>
      </c>
      <c r="N434" s="3">
        <f>Comparison!AQ33</f>
        <v>488.70376604058401</v>
      </c>
      <c r="O434" s="3">
        <f>Comparison!AR33</f>
        <v>475.44842733478526</v>
      </c>
      <c r="P434" s="3">
        <f>Comparison!AS33</f>
        <v>475.55412653805064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-17.1505695637697</v>
      </c>
      <c r="M1" s="54">
        <v>1</v>
      </c>
      <c r="N1" s="56">
        <f>INDEX($H$217:$P$217,1,Q1)</f>
        <v>0.15062657054892623</v>
      </c>
      <c r="O1" s="11"/>
      <c r="P1" s="55">
        <v>1</v>
      </c>
      <c r="Q1" s="11">
        <v>2</v>
      </c>
    </row>
    <row r="2" spans="1:17" x14ac:dyDescent="0.25">
      <c r="A2" s="11">
        <f>'Mastercurve bestimmen'!M119</f>
        <v>0</v>
      </c>
      <c r="B2" s="11">
        <f>'Mastercurve bestimmen'!N119</f>
        <v>-13.683361470714468</v>
      </c>
      <c r="M2" s="54">
        <v>2</v>
      </c>
      <c r="N2" s="56">
        <f t="shared" ref="N2:N9" si="0">INDEX($H$217:$P$217,1,Q2)</f>
        <v>3.5342216465981946E-4</v>
      </c>
      <c r="O2" s="11"/>
      <c r="P2" s="55">
        <v>2</v>
      </c>
      <c r="Q2" s="11">
        <f>Q1+1</f>
        <v>3</v>
      </c>
    </row>
    <row r="3" spans="1:17" x14ac:dyDescent="0.25">
      <c r="A3" s="11">
        <f>'Mastercurve bestimmen'!M120</f>
        <v>25</v>
      </c>
      <c r="B3" s="11">
        <f>'Mastercurve bestimmen'!N120</f>
        <v>-10.991713763275115</v>
      </c>
      <c r="M3" s="54">
        <v>3</v>
      </c>
      <c r="N3" s="56">
        <f t="shared" si="0"/>
        <v>1.3113200152656884E-8</v>
      </c>
      <c r="O3" s="11"/>
      <c r="P3" s="55">
        <v>3</v>
      </c>
      <c r="Q3" s="11">
        <f t="shared" ref="Q3:Q8" si="1">Q2+1</f>
        <v>4</v>
      </c>
    </row>
    <row r="4" spans="1:17" x14ac:dyDescent="0.25">
      <c r="A4" s="11">
        <f>'Mastercurve bestimmen'!M121</f>
        <v>50</v>
      </c>
      <c r="B4" s="11">
        <f>'Mastercurve bestimmen'!N121</f>
        <v>-8.7424584874974141</v>
      </c>
      <c r="M4" s="54">
        <v>4</v>
      </c>
      <c r="N4" s="56">
        <f t="shared" si="0"/>
        <v>2.392940067924793E-8</v>
      </c>
      <c r="O4" s="11"/>
      <c r="P4" s="55">
        <v>4</v>
      </c>
      <c r="Q4" s="11">
        <f t="shared" si="1"/>
        <v>5</v>
      </c>
    </row>
    <row r="5" spans="1:17" x14ac:dyDescent="0.25">
      <c r="A5" s="11">
        <f>'Mastercurve bestimmen'!M122</f>
        <v>80</v>
      </c>
      <c r="B5" s="11">
        <f>'Mastercurve bestimmen'!N122</f>
        <v>-5.9128741218641254</v>
      </c>
      <c r="M5" s="54">
        <v>5</v>
      </c>
      <c r="N5" s="56">
        <f t="shared" si="0"/>
        <v>-1.3015687563167799E-9</v>
      </c>
      <c r="O5" s="11"/>
      <c r="P5" s="55">
        <v>5</v>
      </c>
      <c r="Q5" s="11">
        <f t="shared" si="1"/>
        <v>6</v>
      </c>
    </row>
    <row r="6" spans="1:17" x14ac:dyDescent="0.25">
      <c r="A6" s="11">
        <f>'Mastercurve bestimmen'!M123</f>
        <v>125</v>
      </c>
      <c r="B6" s="11">
        <f>'Mastercurve bestimmen'!N123</f>
        <v>0</v>
      </c>
      <c r="M6" s="54">
        <v>6</v>
      </c>
      <c r="N6" s="56">
        <f t="shared" si="0"/>
        <v>-3.2360235271067014E-11</v>
      </c>
      <c r="O6" s="11"/>
      <c r="P6" s="55">
        <v>6</v>
      </c>
      <c r="Q6" s="11">
        <f t="shared" si="1"/>
        <v>7</v>
      </c>
    </row>
    <row r="7" spans="1:17" x14ac:dyDescent="0.25">
      <c r="A7" s="11">
        <f>'Mastercurve bestimmen'!M124</f>
        <v>160</v>
      </c>
      <c r="B7" s="11">
        <f>'Mastercurve bestimmen'!N124</f>
        <v>5.6123079345528986</v>
      </c>
      <c r="M7" s="54">
        <v>7</v>
      </c>
      <c r="N7" s="56">
        <f t="shared" si="0"/>
        <v>-2.2463279124399686E-13</v>
      </c>
      <c r="O7" s="11"/>
      <c r="P7" s="55">
        <v>7</v>
      </c>
      <c r="Q7" s="11">
        <f t="shared" si="1"/>
        <v>8</v>
      </c>
    </row>
    <row r="8" spans="1:17" x14ac:dyDescent="0.25">
      <c r="A8" s="11"/>
      <c r="B8" s="11"/>
      <c r="M8" s="54">
        <v>8</v>
      </c>
      <c r="N8" s="56">
        <f t="shared" si="0"/>
        <v>-4.9822169598687902E-16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-17.1505695637697</v>
      </c>
      <c r="E15" s="11">
        <f>A15-'Mastercurve bestimmen'!$B$2</f>
        <v>-165</v>
      </c>
      <c r="F15" s="11">
        <f>B15</f>
        <v>-17.1505695637697</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-17.091981798352524</v>
      </c>
      <c r="E16" s="11">
        <f>A16-'Mastercurve bestimmen'!$B$2</f>
        <v>-164</v>
      </c>
      <c r="F16" s="11">
        <f t="shared" ref="F16:F79" si="4">B16</f>
        <v>-17.091981798352524</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-17.033288620414108</v>
      </c>
      <c r="E17" s="11">
        <f>A17-'Mastercurve bestimmen'!$B$2</f>
        <v>-163</v>
      </c>
      <c r="F17" s="11">
        <f t="shared" si="4"/>
        <v>-17.033288620414108</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-16.974384617433223</v>
      </c>
      <c r="E18" s="11">
        <f>A18-'Mastercurve bestimmen'!$B$2</f>
        <v>-162</v>
      </c>
      <c r="F18" s="11">
        <f t="shared" si="4"/>
        <v>-16.974384617433223</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-16.91516437688863</v>
      </c>
      <c r="E19" s="11">
        <f>A19-'Mastercurve bestimmen'!$B$2</f>
        <v>-161</v>
      </c>
      <c r="F19" s="11">
        <f t="shared" si="4"/>
        <v>-16.91516437688863</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-16.855522486259101</v>
      </c>
      <c r="E20" s="11">
        <f>A20-'Mastercurve bestimmen'!$B$2</f>
        <v>-160</v>
      </c>
      <c r="F20" s="11">
        <f t="shared" si="4"/>
        <v>-16.855522486259101</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-16.795353533023395</v>
      </c>
      <c r="E21" s="11">
        <f>A21-'Mastercurve bestimmen'!$B$2</f>
        <v>-159</v>
      </c>
      <c r="F21" s="11">
        <f t="shared" si="4"/>
        <v>-16.795353533023395</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-16.734552104660274</v>
      </c>
      <c r="E22" s="11">
        <f>A22-'Mastercurve bestimmen'!$B$2</f>
        <v>-158</v>
      </c>
      <c r="F22" s="11">
        <f t="shared" si="4"/>
        <v>-16.734552104660274</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-16.673012788648506</v>
      </c>
      <c r="E23" s="11">
        <f>A23-'Mastercurve bestimmen'!$B$2</f>
        <v>-157</v>
      </c>
      <c r="F23" s="11">
        <f t="shared" si="4"/>
        <v>-16.673012788648506</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-16.610630172466859</v>
      </c>
      <c r="E24" s="11">
        <f>A24-'Mastercurve bestimmen'!$B$2</f>
        <v>-156</v>
      </c>
      <c r="F24" s="11">
        <f t="shared" si="4"/>
        <v>-16.610630172466859</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-16.547298843594092</v>
      </c>
      <c r="E25" s="11">
        <f>A25-'Mastercurve bestimmen'!$B$2</f>
        <v>-155</v>
      </c>
      <c r="F25" s="11">
        <f t="shared" si="4"/>
        <v>-16.547298843594092</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-16.482913389508973</v>
      </c>
      <c r="E26" s="11">
        <f>A26-'Mastercurve bestimmen'!$B$2</f>
        <v>-154</v>
      </c>
      <c r="F26" s="11">
        <f t="shared" si="4"/>
        <v>-16.482913389508973</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-16.417368397690268</v>
      </c>
      <c r="E27" s="11">
        <f>A27-'Mastercurve bestimmen'!$B$2</f>
        <v>-153</v>
      </c>
      <c r="F27" s="11">
        <f t="shared" si="4"/>
        <v>-16.417368397690268</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-16.350558455616735</v>
      </c>
      <c r="E28" s="11">
        <f>A28-'Mastercurve bestimmen'!$B$2</f>
        <v>-152</v>
      </c>
      <c r="F28" s="11">
        <f t="shared" si="4"/>
        <v>-16.350558455616735</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-16.282378150767144</v>
      </c>
      <c r="E29" s="11">
        <f>A29-'Mastercurve bestimmen'!$B$2</f>
        <v>-151</v>
      </c>
      <c r="F29" s="11">
        <f t="shared" si="4"/>
        <v>-16.282378150767144</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-16.212722070620263</v>
      </c>
      <c r="E30" s="11">
        <f>A30-'Mastercurve bestimmen'!$B$2</f>
        <v>-150</v>
      </c>
      <c r="F30" s="11">
        <f t="shared" si="4"/>
        <v>-16.212722070620263</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-16.141484802654851</v>
      </c>
      <c r="E31" s="11">
        <f>A31-'Mastercurve bestimmen'!$B$2</f>
        <v>-149</v>
      </c>
      <c r="F31" s="11">
        <f t="shared" si="4"/>
        <v>-16.141484802654851</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-16.068560934349673</v>
      </c>
      <c r="E32" s="11">
        <f>A32-'Mastercurve bestimmen'!$B$2</f>
        <v>-148</v>
      </c>
      <c r="F32" s="11">
        <f t="shared" si="4"/>
        <v>-16.068560934349673</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-15.993845053183497</v>
      </c>
      <c r="E33" s="11">
        <f>A33-'Mastercurve bestimmen'!$B$2</f>
        <v>-147</v>
      </c>
      <c r="F33" s="11">
        <f t="shared" si="4"/>
        <v>-15.993845053183497</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-15.917231746635085</v>
      </c>
      <c r="E34" s="11">
        <f>A34-'Mastercurve bestimmen'!$B$2</f>
        <v>-146</v>
      </c>
      <c r="F34" s="11">
        <f t="shared" si="4"/>
        <v>-15.917231746635085</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-15.838615602183204</v>
      </c>
      <c r="E35" s="11">
        <f>A35-'Mastercurve bestimmen'!$B$2</f>
        <v>-145</v>
      </c>
      <c r="F35" s="11">
        <f t="shared" si="4"/>
        <v>-15.838615602183204</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-15.757891207306617</v>
      </c>
      <c r="E36" s="11">
        <f>A36-'Mastercurve bestimmen'!$B$2</f>
        <v>-144</v>
      </c>
      <c r="F36" s="11">
        <f t="shared" si="4"/>
        <v>-15.757891207306617</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-15.674953149484086</v>
      </c>
      <c r="E37" s="11">
        <f>A37-'Mastercurve bestimmen'!$B$2</f>
        <v>-143</v>
      </c>
      <c r="F37" s="11">
        <f t="shared" si="4"/>
        <v>-15.674953149484086</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-15.589696016194384</v>
      </c>
      <c r="E38" s="11">
        <f>A38-'Mastercurve bestimmen'!$B$2</f>
        <v>-142</v>
      </c>
      <c r="F38" s="11">
        <f t="shared" si="4"/>
        <v>-15.589696016194384</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-15.502014394916268</v>
      </c>
      <c r="E39" s="11">
        <f>A39-'Mastercurve bestimmen'!$B$2</f>
        <v>-141</v>
      </c>
      <c r="F39" s="11">
        <f t="shared" si="4"/>
        <v>-15.502014394916268</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-15.411802873128504</v>
      </c>
      <c r="E40" s="11">
        <f>A40-'Mastercurve bestimmen'!$B$2</f>
        <v>-140</v>
      </c>
      <c r="F40" s="11">
        <f t="shared" si="4"/>
        <v>-15.411802873128504</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-15.31895603830986</v>
      </c>
      <c r="E41" s="11">
        <f>A41-'Mastercurve bestimmen'!$B$2</f>
        <v>-139</v>
      </c>
      <c r="F41" s="11">
        <f t="shared" si="4"/>
        <v>-15.31895603830986</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-15.223368477939097</v>
      </c>
      <c r="E42" s="11">
        <f>A42-'Mastercurve bestimmen'!$B$2</f>
        <v>-138</v>
      </c>
      <c r="F42" s="11">
        <f t="shared" si="4"/>
        <v>-15.223368477939097</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-15.124934779494982</v>
      </c>
      <c r="E43" s="11">
        <f>A43-'Mastercurve bestimmen'!$B$2</f>
        <v>-137</v>
      </c>
      <c r="F43" s="11">
        <f t="shared" si="4"/>
        <v>-15.124934779494982</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-15.023549530456282</v>
      </c>
      <c r="E44" s="11">
        <f>A44-'Mastercurve bestimmen'!$B$2</f>
        <v>-136</v>
      </c>
      <c r="F44" s="11">
        <f t="shared" si="4"/>
        <v>-15.023549530456282</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-14.919107318301755</v>
      </c>
      <c r="E45" s="11">
        <f>A45-'Mastercurve bestimmen'!$B$2</f>
        <v>-135</v>
      </c>
      <c r="F45" s="11">
        <f t="shared" si="4"/>
        <v>-14.919107318301755</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-14.811502730510171</v>
      </c>
      <c r="E46" s="11">
        <f>A46-'Mastercurve bestimmen'!$B$2</f>
        <v>-134</v>
      </c>
      <c r="F46" s="11">
        <f t="shared" si="4"/>
        <v>-14.811502730510171</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-14.700630354560294</v>
      </c>
      <c r="E47" s="11">
        <f>A47-'Mastercurve bestimmen'!$B$2</f>
        <v>-133</v>
      </c>
      <c r="F47" s="11">
        <f t="shared" si="4"/>
        <v>-14.700630354560294</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-14.586384777930887</v>
      </c>
      <c r="E48" s="11">
        <f>A48-'Mastercurve bestimmen'!$B$2</f>
        <v>-132</v>
      </c>
      <c r="F48" s="11">
        <f t="shared" si="4"/>
        <v>-14.586384777930887</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-14.468660588100716</v>
      </c>
      <c r="E49" s="11">
        <f>A49-'Mastercurve bestimmen'!$B$2</f>
        <v>-131</v>
      </c>
      <c r="F49" s="11">
        <f t="shared" si="4"/>
        <v>-14.468660588100716</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-14.347352372548546</v>
      </c>
      <c r="E50" s="11">
        <f>A50-'Mastercurve bestimmen'!$B$2</f>
        <v>-130</v>
      </c>
      <c r="F50" s="11">
        <f t="shared" si="4"/>
        <v>-14.347352372548546</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-14.222354718753142</v>
      </c>
      <c r="E51" s="11">
        <f>A51-'Mastercurve bestimmen'!$B$2</f>
        <v>-129</v>
      </c>
      <c r="F51" s="11">
        <f t="shared" si="4"/>
        <v>-14.222354718753142</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-14.093562214193266</v>
      </c>
      <c r="E52" s="11">
        <f>A52-'Mastercurve bestimmen'!$B$2</f>
        <v>-128</v>
      </c>
      <c r="F52" s="11">
        <f t="shared" si="4"/>
        <v>-14.093562214193266</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-13.960869446347687</v>
      </c>
      <c r="E53" s="11">
        <f>A53-'Mastercurve bestimmen'!$B$2</f>
        <v>-127</v>
      </c>
      <c r="F53" s="11">
        <f t="shared" si="4"/>
        <v>-13.960869446347687</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-13.824171002695165</v>
      </c>
      <c r="E54" s="11">
        <f>A54-'Mastercurve bestimmen'!$B$2</f>
        <v>-126</v>
      </c>
      <c r="F54" s="11">
        <f t="shared" si="4"/>
        <v>-13.824171002695165</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-13.683361470714466</v>
      </c>
      <c r="E55" s="11">
        <f>A55-'Mastercurve bestimmen'!$B$2</f>
        <v>-125</v>
      </c>
      <c r="F55" s="11">
        <f t="shared" si="4"/>
        <v>-13.683361470714466</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-13.599511460000592</v>
      </c>
      <c r="E56" s="11">
        <f>A56-'Mastercurve bestimmen'!$B$2</f>
        <v>-124</v>
      </c>
      <c r="F56" s="11">
        <f t="shared" si="4"/>
        <v>-13.599511460000592</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-13.511702468750856</v>
      </c>
      <c r="E57" s="11">
        <f>A57-'Mastercurve bestimmen'!$B$2</f>
        <v>-123</v>
      </c>
      <c r="F57" s="11">
        <f t="shared" si="4"/>
        <v>-13.511702468750856</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-13.420192017278811</v>
      </c>
      <c r="E58" s="11">
        <f>A58-'Mastercurve bestimmen'!$B$2</f>
        <v>-122</v>
      </c>
      <c r="F58" s="11">
        <f t="shared" si="4"/>
        <v>-13.420192017278811</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-13.325237625898009</v>
      </c>
      <c r="E59" s="11">
        <f>A59-'Mastercurve bestimmen'!$B$2</f>
        <v>-121</v>
      </c>
      <c r="F59" s="11">
        <f t="shared" si="4"/>
        <v>-13.325237625898009</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-13.227096814921993</v>
      </c>
      <c r="E60" s="11">
        <f>A60-'Mastercurve bestimmen'!$B$2</f>
        <v>-120</v>
      </c>
      <c r="F60" s="11">
        <f t="shared" si="4"/>
        <v>-13.227096814921993</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-13.126027104664317</v>
      </c>
      <c r="E61" s="11">
        <f>A61-'Mastercurve bestimmen'!$B$2</f>
        <v>-119</v>
      </c>
      <c r="F61" s="11">
        <f t="shared" si="4"/>
        <v>-13.126027104664317</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-13.022286015438533</v>
      </c>
      <c r="E62" s="11">
        <f>A62-'Mastercurve bestimmen'!$B$2</f>
        <v>-118</v>
      </c>
      <c r="F62" s="11">
        <f t="shared" si="4"/>
        <v>-13.022286015438533</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-12.91613106755819</v>
      </c>
      <c r="E63" s="11">
        <f>A63-'Mastercurve bestimmen'!$B$2</f>
        <v>-117</v>
      </c>
      <c r="F63" s="11">
        <f t="shared" si="4"/>
        <v>-12.91613106755819</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-12.807819781336841</v>
      </c>
      <c r="E64" s="11">
        <f>A64-'Mastercurve bestimmen'!$B$2</f>
        <v>-116</v>
      </c>
      <c r="F64" s="11">
        <f t="shared" si="4"/>
        <v>-12.807819781336841</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-12.69760967708803</v>
      </c>
      <c r="E65" s="11">
        <f>A65-'Mastercurve bestimmen'!$B$2</f>
        <v>-115</v>
      </c>
      <c r="F65" s="11">
        <f t="shared" si="4"/>
        <v>-12.69760967708803</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-12.585758275125311</v>
      </c>
      <c r="E66" s="11">
        <f>A66-'Mastercurve bestimmen'!$B$2</f>
        <v>-114</v>
      </c>
      <c r="F66" s="11">
        <f t="shared" si="4"/>
        <v>-12.585758275125311</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-12.472523095762238</v>
      </c>
      <c r="E67" s="11">
        <f>A67-'Mastercurve bestimmen'!$B$2</f>
        <v>-113</v>
      </c>
      <c r="F67" s="11">
        <f t="shared" si="4"/>
        <v>-12.472523095762238</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-12.358161659312355</v>
      </c>
      <c r="E68" s="11">
        <f>A68-'Mastercurve bestimmen'!$B$2</f>
        <v>-112</v>
      </c>
      <c r="F68" s="11">
        <f t="shared" si="4"/>
        <v>-12.358161659312355</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-12.242931486089216</v>
      </c>
      <c r="E69" s="11">
        <f>A69-'Mastercurve bestimmen'!$B$2</f>
        <v>-111</v>
      </c>
      <c r="F69" s="11">
        <f t="shared" si="4"/>
        <v>-12.242931486089216</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-12.12709009640637</v>
      </c>
      <c r="E70" s="11">
        <f>A70-'Mastercurve bestimmen'!$B$2</f>
        <v>-110</v>
      </c>
      <c r="F70" s="11">
        <f t="shared" si="4"/>
        <v>-12.12709009640637</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-12.010895010577368</v>
      </c>
      <c r="E71" s="11">
        <f>A71-'Mastercurve bestimmen'!$B$2</f>
        <v>-109</v>
      </c>
      <c r="F71" s="11">
        <f t="shared" si="4"/>
        <v>-12.010895010577368</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-11.894603748915758</v>
      </c>
      <c r="E72" s="11">
        <f>A72-'Mastercurve bestimmen'!$B$2</f>
        <v>-108</v>
      </c>
      <c r="F72" s="11">
        <f t="shared" si="4"/>
        <v>-11.894603748915758</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-11.778473831735095</v>
      </c>
      <c r="E73" s="11">
        <f>A73-'Mastercurve bestimmen'!$B$2</f>
        <v>-107</v>
      </c>
      <c r="F73" s="11">
        <f t="shared" si="4"/>
        <v>-11.778473831735095</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-11.662762779348926</v>
      </c>
      <c r="E74" s="11">
        <f>A74-'Mastercurve bestimmen'!$B$2</f>
        <v>-106</v>
      </c>
      <c r="F74" s="11">
        <f t="shared" si="4"/>
        <v>-11.662762779348926</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-11.547728112070802</v>
      </c>
      <c r="E75" s="11">
        <f>A75-'Mastercurve bestimmen'!$B$2</f>
        <v>-105</v>
      </c>
      <c r="F75" s="11">
        <f t="shared" si="4"/>
        <v>-11.547728112070802</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-11.433627350214273</v>
      </c>
      <c r="E76" s="11">
        <f>A76-'Mastercurve bestimmen'!$B$2</f>
        <v>-104</v>
      </c>
      <c r="F76" s="11">
        <f t="shared" si="4"/>
        <v>-11.433627350214273</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-11.320718014092888</v>
      </c>
      <c r="E77" s="11">
        <f>A77-'Mastercurve bestimmen'!$B$2</f>
        <v>-103</v>
      </c>
      <c r="F77" s="11">
        <f t="shared" si="4"/>
        <v>-11.320718014092888</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-11.2092576240202</v>
      </c>
      <c r="E78" s="11">
        <f>A78-'Mastercurve bestimmen'!$B$2</f>
        <v>-102</v>
      </c>
      <c r="F78" s="11">
        <f t="shared" si="4"/>
        <v>-11.2092576240202</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-11.099503700309759</v>
      </c>
      <c r="E79" s="11">
        <f>A79-'Mastercurve bestimmen'!$B$2</f>
        <v>-101</v>
      </c>
      <c r="F79" s="11">
        <f t="shared" si="4"/>
        <v>-11.099503700309759</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-10.991713763275117</v>
      </c>
      <c r="E80" s="11">
        <f>A80-'Mastercurve bestimmen'!$B$2</f>
        <v>-100</v>
      </c>
      <c r="F80" s="11">
        <f t="shared" ref="F80:F143" si="10">B80</f>
        <v>-10.991713763275117</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-10.88608478606587</v>
      </c>
      <c r="E81" s="11">
        <f>A81-'Mastercurve bestimmen'!$B$2</f>
        <v>-99</v>
      </c>
      <c r="F81" s="11">
        <f t="shared" si="10"/>
        <v>-10.88608478606587</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-10.782571553175837</v>
      </c>
      <c r="E82" s="11">
        <f>A82-'Mastercurve bestimmen'!$B$2</f>
        <v>-98</v>
      </c>
      <c r="F82" s="11">
        <f t="shared" si="10"/>
        <v>-10.782571553175837</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-10.681068301934882</v>
      </c>
      <c r="E83" s="11">
        <f>A83-'Mastercurve bestimmen'!$B$2</f>
        <v>-97</v>
      </c>
      <c r="F83" s="11">
        <f t="shared" si="10"/>
        <v>-10.681068301934882</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-10.581469269672867</v>
      </c>
      <c r="E84" s="11">
        <f>A84-'Mastercurve bestimmen'!$B$2</f>
        <v>-96</v>
      </c>
      <c r="F84" s="11">
        <f t="shared" si="10"/>
        <v>-10.581469269672867</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-10.483668693719665</v>
      </c>
      <c r="E85" s="11">
        <f>A85-'Mastercurve bestimmen'!$B$2</f>
        <v>-95</v>
      </c>
      <c r="F85" s="11">
        <f t="shared" si="10"/>
        <v>-10.483668693719665</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-10.38756081140513</v>
      </c>
      <c r="E86" s="11">
        <f>A86-'Mastercurve bestimmen'!$B$2</f>
        <v>-94</v>
      </c>
      <c r="F86" s="11">
        <f t="shared" si="10"/>
        <v>-10.38756081140513</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-10.293039860059134</v>
      </c>
      <c r="E87" s="11">
        <f>A87-'Mastercurve bestimmen'!$B$2</f>
        <v>-93</v>
      </c>
      <c r="F87" s="11">
        <f t="shared" si="10"/>
        <v>-10.293039860059134</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-10.200000077011541</v>
      </c>
      <c r="E88" s="11">
        <f>A88-'Mastercurve bestimmen'!$B$2</f>
        <v>-92</v>
      </c>
      <c r="F88" s="11">
        <f t="shared" si="10"/>
        <v>-10.200000077011541</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-10.108335699592216</v>
      </c>
      <c r="E89" s="11">
        <f>A89-'Mastercurve bestimmen'!$B$2</f>
        <v>-91</v>
      </c>
      <c r="F89" s="11">
        <f t="shared" si="10"/>
        <v>-10.108335699592216</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-10.017940965131025</v>
      </c>
      <c r="E90" s="11">
        <f>A90-'Mastercurve bestimmen'!$B$2</f>
        <v>-90</v>
      </c>
      <c r="F90" s="11">
        <f t="shared" si="10"/>
        <v>-10.017940965131025</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-9.9287101109578302</v>
      </c>
      <c r="E91" s="11">
        <f>A91-'Mastercurve bestimmen'!$B$2</f>
        <v>-89</v>
      </c>
      <c r="F91" s="11">
        <f t="shared" si="10"/>
        <v>-9.9287101109578302</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-9.8405373744025013</v>
      </c>
      <c r="E92" s="11">
        <f>A92-'Mastercurve bestimmen'!$B$2</f>
        <v>-88</v>
      </c>
      <c r="F92" s="11">
        <f t="shared" si="10"/>
        <v>-9.8405373744025013</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-9.7533169927948986</v>
      </c>
      <c r="E93" s="11">
        <f>A93-'Mastercurve bestimmen'!$B$2</f>
        <v>-87</v>
      </c>
      <c r="F93" s="11">
        <f t="shared" si="10"/>
        <v>-9.7533169927948986</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-9.6669432034648928</v>
      </c>
      <c r="E94" s="11">
        <f>A94-'Mastercurve bestimmen'!$B$2</f>
        <v>-86</v>
      </c>
      <c r="F94" s="11">
        <f t="shared" si="10"/>
        <v>-9.6669432034648928</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-9.5813102437423439</v>
      </c>
      <c r="E95" s="11">
        <f>A95-'Mastercurve bestimmen'!$B$2</f>
        <v>-85</v>
      </c>
      <c r="F95" s="11">
        <f t="shared" si="10"/>
        <v>-9.5813102437423439</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-9.496312350957119</v>
      </c>
      <c r="E96" s="11">
        <f>A96-'Mastercurve bestimmen'!$B$2</f>
        <v>-84</v>
      </c>
      <c r="F96" s="11">
        <f t="shared" si="10"/>
        <v>-9.496312350957119</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-9.4118437624390818</v>
      </c>
      <c r="E97" s="11">
        <f>A97-'Mastercurve bestimmen'!$B$2</f>
        <v>-83</v>
      </c>
      <c r="F97" s="11">
        <f t="shared" si="10"/>
        <v>-9.4118437624390818</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-9.3277987155180995</v>
      </c>
      <c r="E98" s="11">
        <f>A98-'Mastercurve bestimmen'!$B$2</f>
        <v>-82</v>
      </c>
      <c r="F98" s="11">
        <f t="shared" si="10"/>
        <v>-9.3277987155180995</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-9.2440714475240373</v>
      </c>
      <c r="E99" s="11">
        <f>A99-'Mastercurve bestimmen'!$B$2</f>
        <v>-81</v>
      </c>
      <c r="F99" s="11">
        <f t="shared" si="10"/>
        <v>-9.2440714475240373</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-9.1605561957867589</v>
      </c>
      <c r="E100" s="11">
        <f>A100-'Mastercurve bestimmen'!$B$2</f>
        <v>-80</v>
      </c>
      <c r="F100" s="11">
        <f t="shared" si="10"/>
        <v>-9.1605561957867589</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-9.0771471976361298</v>
      </c>
      <c r="E101" s="11">
        <f>A101-'Mastercurve bestimmen'!$B$2</f>
        <v>-79</v>
      </c>
      <c r="F101" s="11">
        <f t="shared" si="10"/>
        <v>-9.0771471976361298</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-8.9937386904020151</v>
      </c>
      <c r="E102" s="11">
        <f>A102-'Mastercurve bestimmen'!$B$2</f>
        <v>-78</v>
      </c>
      <c r="F102" s="11">
        <f t="shared" si="10"/>
        <v>-8.9937386904020151</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-8.9102249114142822</v>
      </c>
      <c r="E103" s="11">
        <f>A103-'Mastercurve bestimmen'!$B$2</f>
        <v>-77</v>
      </c>
      <c r="F103" s="11">
        <f t="shared" si="10"/>
        <v>-8.9102249114142822</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-8.8265000980027928</v>
      </c>
      <c r="E104" s="11">
        <f>A104-'Mastercurve bestimmen'!$B$2</f>
        <v>-76</v>
      </c>
      <c r="F104" s="11">
        <f t="shared" si="10"/>
        <v>-8.8265000980027928</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-8.7424584874974123</v>
      </c>
      <c r="E105" s="11">
        <f>A105-'Mastercurve bestimmen'!$B$2</f>
        <v>-75</v>
      </c>
      <c r="F105" s="11">
        <f t="shared" si="10"/>
        <v>-8.7424584874974123</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-8.6580077823184567</v>
      </c>
      <c r="E106" s="11">
        <f>A106-'Mastercurve bestimmen'!$B$2</f>
        <v>-74</v>
      </c>
      <c r="F106" s="11">
        <f t="shared" si="10"/>
        <v>-8.6580077823184567</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-8.5731095452480179</v>
      </c>
      <c r="E107" s="11">
        <f>A107-'Mastercurve bestimmen'!$B$2</f>
        <v>-73</v>
      </c>
      <c r="F107" s="11">
        <f t="shared" si="10"/>
        <v>-8.5731095452480179</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-8.4877388041586439</v>
      </c>
      <c r="E108" s="11">
        <f>A108-'Mastercurve bestimmen'!$B$2</f>
        <v>-72</v>
      </c>
      <c r="F108" s="11">
        <f t="shared" si="10"/>
        <v>-8.4877388041586439</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-8.4018705869228789</v>
      </c>
      <c r="E109" s="11">
        <f>A109-'Mastercurve bestimmen'!$B$2</f>
        <v>-71</v>
      </c>
      <c r="F109" s="11">
        <f t="shared" si="10"/>
        <v>-8.4018705869228789</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-8.3154799214132638</v>
      </c>
      <c r="E110" s="11">
        <f>A110-'Mastercurve bestimmen'!$B$2</f>
        <v>-70</v>
      </c>
      <c r="F110" s="11">
        <f t="shared" si="10"/>
        <v>-8.3154799214132638</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-8.2285418355023463</v>
      </c>
      <c r="E111" s="11">
        <f>A111-'Mastercurve bestimmen'!$B$2</f>
        <v>-69</v>
      </c>
      <c r="F111" s="11">
        <f t="shared" si="10"/>
        <v>-8.2285418355023463</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-8.1410313570626673</v>
      </c>
      <c r="E112" s="11">
        <f>A112-'Mastercurve bestimmen'!$B$2</f>
        <v>-68</v>
      </c>
      <c r="F112" s="11">
        <f t="shared" si="10"/>
        <v>-8.1410313570626673</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-8.0529235139667747</v>
      </c>
      <c r="E113" s="11">
        <f>A113-'Mastercurve bestimmen'!$B$2</f>
        <v>-67</v>
      </c>
      <c r="F113" s="11">
        <f t="shared" si="10"/>
        <v>-8.0529235139667747</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-7.9641933340872111</v>
      </c>
      <c r="E114" s="11">
        <f>A114-'Mastercurve bestimmen'!$B$2</f>
        <v>-66</v>
      </c>
      <c r="F114" s="11">
        <f t="shared" si="10"/>
        <v>-7.9641933340872111</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-7.8748158452965189</v>
      </c>
      <c r="E115" s="11">
        <f>A115-'Mastercurve bestimmen'!$B$2</f>
        <v>-65</v>
      </c>
      <c r="F115" s="11">
        <f t="shared" si="10"/>
        <v>-7.8748158452965189</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-7.7847660754672443</v>
      </c>
      <c r="E116" s="11">
        <f>A116-'Mastercurve bestimmen'!$B$2</f>
        <v>-64</v>
      </c>
      <c r="F116" s="11">
        <f t="shared" si="10"/>
        <v>-7.7847660754672443</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-7.6940190524719325</v>
      </c>
      <c r="E117" s="11">
        <f>A117-'Mastercurve bestimmen'!$B$2</f>
        <v>-63</v>
      </c>
      <c r="F117" s="11">
        <f t="shared" si="10"/>
        <v>-7.6940190524719325</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-7.6025498041831261</v>
      </c>
      <c r="E118" s="11">
        <f>A118-'Mastercurve bestimmen'!$B$2</f>
        <v>-62</v>
      </c>
      <c r="F118" s="11">
        <f t="shared" si="10"/>
        <v>-7.6025498041831261</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-7.5103333584733685</v>
      </c>
      <c r="E119" s="11">
        <f>A119-'Mastercurve bestimmen'!$B$2</f>
        <v>-61</v>
      </c>
      <c r="F119" s="11">
        <f t="shared" si="10"/>
        <v>-7.5103333584733685</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-7.4173447432152058</v>
      </c>
      <c r="E120" s="11">
        <f>A120-'Mastercurve bestimmen'!$B$2</f>
        <v>-60</v>
      </c>
      <c r="F120" s="11">
        <f t="shared" si="10"/>
        <v>-7.4173447432152058</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-7.3235589862811814</v>
      </c>
      <c r="E121" s="11">
        <f>A121-'Mastercurve bestimmen'!$B$2</f>
        <v>-59</v>
      </c>
      <c r="F121" s="11">
        <f t="shared" si="10"/>
        <v>-7.3235589862811814</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-7.2289511155438397</v>
      </c>
      <c r="E122" s="11">
        <f>A122-'Mastercurve bestimmen'!$B$2</f>
        <v>-58</v>
      </c>
      <c r="F122" s="11">
        <f t="shared" si="10"/>
        <v>-7.2289511155438397</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-7.1334961588757251</v>
      </c>
      <c r="E123" s="11">
        <f>A123-'Mastercurve bestimmen'!$B$2</f>
        <v>-57</v>
      </c>
      <c r="F123" s="11">
        <f t="shared" si="10"/>
        <v>-7.1334961588757251</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-7.0371691441493809</v>
      </c>
      <c r="E124" s="11">
        <f>A124-'Mastercurve bestimmen'!$B$2</f>
        <v>-56</v>
      </c>
      <c r="F124" s="11">
        <f t="shared" si="10"/>
        <v>-7.0371691441493809</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-6.9399450992373524</v>
      </c>
      <c r="E125" s="11">
        <f>A125-'Mastercurve bestimmen'!$B$2</f>
        <v>-55</v>
      </c>
      <c r="F125" s="11">
        <f t="shared" si="10"/>
        <v>-6.9399450992373524</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-6.841799052012183</v>
      </c>
      <c r="E126" s="11">
        <f>A126-'Mastercurve bestimmen'!$B$2</f>
        <v>-54</v>
      </c>
      <c r="F126" s="11">
        <f t="shared" si="10"/>
        <v>-6.841799052012183</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-6.742706030346417</v>
      </c>
      <c r="E127" s="11">
        <f>A127-'Mastercurve bestimmen'!$B$2</f>
        <v>-53</v>
      </c>
      <c r="F127" s="11">
        <f t="shared" si="10"/>
        <v>-6.742706030346417</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-6.6426410621125989</v>
      </c>
      <c r="E128" s="11">
        <f>A128-'Mastercurve bestimmen'!$B$2</f>
        <v>-52</v>
      </c>
      <c r="F128" s="11">
        <f t="shared" si="10"/>
        <v>-6.6426410621125989</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-6.5415791751832719</v>
      </c>
      <c r="E129" s="11">
        <f>A129-'Mastercurve bestimmen'!$B$2</f>
        <v>-51</v>
      </c>
      <c r="F129" s="11">
        <f t="shared" si="10"/>
        <v>-6.5415791751832719</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-6.4394953974309823</v>
      </c>
      <c r="E130" s="11">
        <f>A130-'Mastercurve bestimmen'!$B$2</f>
        <v>-50</v>
      </c>
      <c r="F130" s="11">
        <f t="shared" si="10"/>
        <v>-6.4394953974309823</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-6.3363647567282726</v>
      </c>
      <c r="E131" s="11">
        <f>A131-'Mastercurve bestimmen'!$B$2</f>
        <v>-49</v>
      </c>
      <c r="F131" s="11">
        <f t="shared" si="10"/>
        <v>-6.3363647567282726</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-6.2321622809476889</v>
      </c>
      <c r="E132" s="11">
        <f>A132-'Mastercurve bestimmen'!$B$2</f>
        <v>-48</v>
      </c>
      <c r="F132" s="11">
        <f t="shared" si="10"/>
        <v>-6.2321622809476889</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-6.1268629979617728</v>
      </c>
      <c r="E133" s="11">
        <f>A133-'Mastercurve bestimmen'!$B$2</f>
        <v>-47</v>
      </c>
      <c r="F133" s="11">
        <f t="shared" si="10"/>
        <v>-6.1268629979617728</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-6.0204419356430696</v>
      </c>
      <c r="E134" s="11">
        <f>A134-'Mastercurve bestimmen'!$B$2</f>
        <v>-46</v>
      </c>
      <c r="F134" s="11">
        <f t="shared" si="10"/>
        <v>-6.0204419356430696</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-5.9128741218641245</v>
      </c>
      <c r="E135" s="11">
        <f>A135-'Mastercurve bestimmen'!$B$2</f>
        <v>-45</v>
      </c>
      <c r="F135" s="11">
        <f t="shared" si="10"/>
        <v>-5.9128741218641245</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-5.8041402853293755</v>
      </c>
      <c r="E136" s="11">
        <f>A136-'Mastercurve bestimmen'!$B$2</f>
        <v>-44</v>
      </c>
      <c r="F136" s="11">
        <f t="shared" si="10"/>
        <v>-5.8041402853293755</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-5.6942439580708273</v>
      </c>
      <c r="E137" s="11">
        <f>A137-'Mastercurve bestimmen'!$B$2</f>
        <v>-43</v>
      </c>
      <c r="F137" s="11">
        <f t="shared" si="10"/>
        <v>-5.6942439580708273</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-5.5831943729523816</v>
      </c>
      <c r="E138" s="11">
        <f>A138-'Mastercurve bestimmen'!$B$2</f>
        <v>-42</v>
      </c>
      <c r="F138" s="11">
        <f t="shared" si="10"/>
        <v>-5.5831943729523816</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-5.4710007628379431</v>
      </c>
      <c r="E139" s="11">
        <f>A139-'Mastercurve bestimmen'!$B$2</f>
        <v>-41</v>
      </c>
      <c r="F139" s="11">
        <f t="shared" si="10"/>
        <v>-5.4710007628379431</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-5.3576723605914109</v>
      </c>
      <c r="E140" s="11">
        <f>A140-'Mastercurve bestimmen'!$B$2</f>
        <v>-40</v>
      </c>
      <c r="F140" s="11">
        <f t="shared" si="10"/>
        <v>-5.3576723605914109</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-5.2432183990766861</v>
      </c>
      <c r="E141" s="11">
        <f>A141-'Mastercurve bestimmen'!$B$2</f>
        <v>-39</v>
      </c>
      <c r="F141" s="11">
        <f t="shared" si="10"/>
        <v>-5.2432183990766861</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-5.1276481111576704</v>
      </c>
      <c r="E142" s="11">
        <f>A142-'Mastercurve bestimmen'!$B$2</f>
        <v>-38</v>
      </c>
      <c r="F142" s="11">
        <f t="shared" si="10"/>
        <v>-5.1276481111576704</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-5.0109707296982666</v>
      </c>
      <c r="E143" s="11">
        <f>A143-'Mastercurve bestimmen'!$B$2</f>
        <v>-37</v>
      </c>
      <c r="F143" s="11">
        <f t="shared" si="10"/>
        <v>-5.0109707296982666</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-4.8931954875623722</v>
      </c>
      <c r="E144" s="11">
        <f>A144-'Mastercurve bestimmen'!$B$2</f>
        <v>-36</v>
      </c>
      <c r="F144" s="11">
        <f t="shared" ref="F144:F207" si="15">B144</f>
        <v>-4.8931954875623722</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-4.7743316176138917</v>
      </c>
      <c r="E145" s="11">
        <f>A145-'Mastercurve bestimmen'!$B$2</f>
        <v>-35</v>
      </c>
      <c r="F145" s="11">
        <f t="shared" si="15"/>
        <v>-4.7743316176138917</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-4.6543883527167242</v>
      </c>
      <c r="E146" s="11">
        <f>A146-'Mastercurve bestimmen'!$B$2</f>
        <v>-34</v>
      </c>
      <c r="F146" s="11">
        <f t="shared" si="15"/>
        <v>-4.6543883527167242</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-4.5333749257347744</v>
      </c>
      <c r="E147" s="11">
        <f>A147-'Mastercurve bestimmen'!$B$2</f>
        <v>-33</v>
      </c>
      <c r="F147" s="11">
        <f t="shared" si="15"/>
        <v>-4.5333749257347744</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-4.4113005695319387</v>
      </c>
      <c r="E148" s="11">
        <f>A148-'Mastercurve bestimmen'!$B$2</f>
        <v>-32</v>
      </c>
      <c r="F148" s="11">
        <f t="shared" si="15"/>
        <v>-4.4113005695319387</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-4.2881745169721217</v>
      </c>
      <c r="E149" s="11">
        <f>A149-'Mastercurve bestimmen'!$B$2</f>
        <v>-31</v>
      </c>
      <c r="F149" s="11">
        <f t="shared" si="15"/>
        <v>-4.2881745169721217</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-4.1640060009192252</v>
      </c>
      <c r="E150" s="11">
        <f>A150-'Mastercurve bestimmen'!$B$2</f>
        <v>-30</v>
      </c>
      <c r="F150" s="11">
        <f t="shared" si="15"/>
        <v>-4.1640060009192252</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-4.0388042542371476</v>
      </c>
      <c r="E151" s="11">
        <f>A151-'Mastercurve bestimmen'!$B$2</f>
        <v>-29</v>
      </c>
      <c r="F151" s="11">
        <f t="shared" si="15"/>
        <v>-4.0388042542371476</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-3.9125785097897925</v>
      </c>
      <c r="E152" s="11">
        <f>A152-'Mastercurve bestimmen'!$B$2</f>
        <v>-28</v>
      </c>
      <c r="F152" s="11">
        <f t="shared" si="15"/>
        <v>-3.9125785097897925</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-3.7853380004410604</v>
      </c>
      <c r="E153" s="11">
        <f>A153-'Mastercurve bestimmen'!$B$2</f>
        <v>-27</v>
      </c>
      <c r="F153" s="11">
        <f t="shared" si="15"/>
        <v>-3.7853380004410604</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-3.6570919590548523</v>
      </c>
      <c r="E154" s="11">
        <f>A154-'Mastercurve bestimmen'!$B$2</f>
        <v>-26</v>
      </c>
      <c r="F154" s="11">
        <f t="shared" si="15"/>
        <v>-3.6570919590548523</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-3.5278496184950696</v>
      </c>
      <c r="E155" s="11">
        <f>A155-'Mastercurve bestimmen'!$B$2</f>
        <v>-25</v>
      </c>
      <c r="F155" s="11">
        <f t="shared" si="15"/>
        <v>-3.5278496184950696</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-3.3976202116256138</v>
      </c>
      <c r="E156" s="11">
        <f>A156-'Mastercurve bestimmen'!$B$2</f>
        <v>-24</v>
      </c>
      <c r="F156" s="11">
        <f t="shared" si="15"/>
        <v>-3.3976202116256138</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-3.2664129713103862</v>
      </c>
      <c r="E157" s="11">
        <f>A157-'Mastercurve bestimmen'!$B$2</f>
        <v>-23</v>
      </c>
      <c r="F157" s="11">
        <f t="shared" si="15"/>
        <v>-3.2664129713103862</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-3.1342371304132883</v>
      </c>
      <c r="E158" s="11">
        <f>A158-'Mastercurve bestimmen'!$B$2</f>
        <v>-22</v>
      </c>
      <c r="F158" s="11">
        <f t="shared" si="15"/>
        <v>-3.1342371304132883</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-3.0011019217982202</v>
      </c>
      <c r="E159" s="11">
        <f>A159-'Mastercurve bestimmen'!$B$2</f>
        <v>-21</v>
      </c>
      <c r="F159" s="11">
        <f t="shared" si="15"/>
        <v>-3.0011019217982202</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-2.8670165783290846</v>
      </c>
      <c r="E160" s="11">
        <f>A160-'Mastercurve bestimmen'!$B$2</f>
        <v>-20</v>
      </c>
      <c r="F160" s="11">
        <f t="shared" si="15"/>
        <v>-2.8670165783290846</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-2.7319903328697817</v>
      </c>
      <c r="E161" s="11">
        <f>A161-'Mastercurve bestimmen'!$B$2</f>
        <v>-19</v>
      </c>
      <c r="F161" s="11">
        <f t="shared" si="15"/>
        <v>-2.7319903328697817</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-2.5960324182842132</v>
      </c>
      <c r="E162" s="11">
        <f>A162-'Mastercurve bestimmen'!$B$2</f>
        <v>-18</v>
      </c>
      <c r="F162" s="11">
        <f t="shared" si="15"/>
        <v>-2.5960324182842132</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-2.4591520674362801</v>
      </c>
      <c r="E163" s="11">
        <f>A163-'Mastercurve bestimmen'!$B$2</f>
        <v>-17</v>
      </c>
      <c r="F163" s="11">
        <f t="shared" si="15"/>
        <v>-2.4591520674362801</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-2.3213585131898848</v>
      </c>
      <c r="E164" s="11">
        <f>A164-'Mastercurve bestimmen'!$B$2</f>
        <v>-16</v>
      </c>
      <c r="F164" s="11">
        <f t="shared" si="15"/>
        <v>-2.3213585131898848</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-2.182660988408927</v>
      </c>
      <c r="E165" s="11">
        <f>A165-'Mastercurve bestimmen'!$B$2</f>
        <v>-15</v>
      </c>
      <c r="F165" s="11">
        <f t="shared" si="15"/>
        <v>-2.182660988408927</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-2.0430687259573084</v>
      </c>
      <c r="E166" s="11">
        <f>A166-'Mastercurve bestimmen'!$B$2</f>
        <v>-14</v>
      </c>
      <c r="F166" s="11">
        <f t="shared" si="15"/>
        <v>-2.0430687259573084</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-1.9025909586989307</v>
      </c>
      <c r="E167" s="11">
        <f>A167-'Mastercurve bestimmen'!$B$2</f>
        <v>-13</v>
      </c>
      <c r="F167" s="11">
        <f t="shared" si="15"/>
        <v>-1.9025909586989307</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-1.7612369194976951</v>
      </c>
      <c r="E168" s="11">
        <f>A168-'Mastercurve bestimmen'!$B$2</f>
        <v>-12</v>
      </c>
      <c r="F168" s="11">
        <f t="shared" si="15"/>
        <v>-1.7612369194976951</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-1.6190158412175029</v>
      </c>
      <c r="E169" s="11">
        <f>A169-'Mastercurve bestimmen'!$B$2</f>
        <v>-11</v>
      </c>
      <c r="F169" s="11">
        <f t="shared" si="15"/>
        <v>-1.6190158412175029</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-1.4759369567222549</v>
      </c>
      <c r="E170" s="11">
        <f>A170-'Mastercurve bestimmen'!$B$2</f>
        <v>-10</v>
      </c>
      <c r="F170" s="11">
        <f t="shared" si="15"/>
        <v>-1.4759369567222549</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-1.3320094988758524</v>
      </c>
      <c r="E171" s="11">
        <f>A171-'Mastercurve bestimmen'!$B$2</f>
        <v>-9</v>
      </c>
      <c r="F171" s="11">
        <f t="shared" si="15"/>
        <v>-1.3320094988758524</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-1.1872427005421973</v>
      </c>
      <c r="E172" s="11">
        <f>A172-'Mastercurve bestimmen'!$B$2</f>
        <v>-8</v>
      </c>
      <c r="F172" s="11">
        <f t="shared" si="15"/>
        <v>-1.1872427005421973</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-1.0416457945851905</v>
      </c>
      <c r="E173" s="11">
        <f>A173-'Mastercurve bestimmen'!$B$2</f>
        <v>-7</v>
      </c>
      <c r="F173" s="11">
        <f t="shared" si="15"/>
        <v>-1.0416457945851905</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-0.89522801386873296</v>
      </c>
      <c r="E174" s="11">
        <f>A174-'Mastercurve bestimmen'!$B$2</f>
        <v>-6</v>
      </c>
      <c r="F174" s="11">
        <f t="shared" si="15"/>
        <v>-0.89522801386873296</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-0.74799859125672652</v>
      </c>
      <c r="E175" s="11">
        <f>A175-'Mastercurve bestimmen'!$B$2</f>
        <v>-5</v>
      </c>
      <c r="F175" s="11">
        <f t="shared" si="15"/>
        <v>-0.74799859125672652</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-0.599966759613072</v>
      </c>
      <c r="E176" s="11">
        <f>A176-'Mastercurve bestimmen'!$B$2</f>
        <v>-4</v>
      </c>
      <c r="F176" s="11">
        <f t="shared" si="15"/>
        <v>-0.599966759613072</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-0.45114175180167082</v>
      </c>
      <c r="E177" s="11">
        <f>A177-'Mastercurve bestimmen'!$B$2</f>
        <v>-3</v>
      </c>
      <c r="F177" s="11">
        <f t="shared" si="15"/>
        <v>-0.45114175180167082</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-0.30153280068642424</v>
      </c>
      <c r="E178" s="11">
        <f>A178-'Mastercurve bestimmen'!$B$2</f>
        <v>-2</v>
      </c>
      <c r="F178" s="11">
        <f t="shared" si="15"/>
        <v>-0.30153280068642424</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-0.15114913913123351</v>
      </c>
      <c r="E179" s="11">
        <f>A179-'Mastercurve bestimmen'!$B$2</f>
        <v>-1</v>
      </c>
      <c r="F179" s="11">
        <f t="shared" si="15"/>
        <v>-0.15114913913123351</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0.15190332148872943</v>
      </c>
      <c r="E181" s="11">
        <f>A181-'Mastercurve bestimmen'!$B$2</f>
        <v>1</v>
      </c>
      <c r="F181" s="11">
        <f t="shared" si="15"/>
        <v>0.15190332148872943</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0.30454128069782505</v>
      </c>
      <c r="E182" s="11">
        <f>A182-'Mastercurve bestimmen'!$B$2</f>
        <v>2</v>
      </c>
      <c r="F182" s="11">
        <f t="shared" si="15"/>
        <v>0.30454128069782505</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0.4578922706355113</v>
      </c>
      <c r="E183" s="11">
        <f>A183-'Mastercurve bestimmen'!$B$2</f>
        <v>3</v>
      </c>
      <c r="F183" s="11">
        <f t="shared" si="15"/>
        <v>0.4578922706355113</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0.61193468431001263</v>
      </c>
      <c r="E184" s="11">
        <f>A184-'Mastercurve bestimmen'!$B$2</f>
        <v>4</v>
      </c>
      <c r="F184" s="11">
        <f t="shared" si="15"/>
        <v>0.61193468431001263</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0.76664691472955382</v>
      </c>
      <c r="E185" s="11">
        <f>A185-'Mastercurve bestimmen'!$B$2</f>
        <v>5</v>
      </c>
      <c r="F185" s="11">
        <f t="shared" si="15"/>
        <v>0.76664691472955382</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0.92200735490235919</v>
      </c>
      <c r="E186" s="11">
        <f>A186-'Mastercurve bestimmen'!$B$2</f>
        <v>6</v>
      </c>
      <c r="F186" s="11">
        <f t="shared" si="15"/>
        <v>0.92200735490235919</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1.0779943978366531</v>
      </c>
      <c r="E187" s="11">
        <f>A187-'Mastercurve bestimmen'!$B$2</f>
        <v>7</v>
      </c>
      <c r="F187" s="11">
        <f t="shared" si="15"/>
        <v>1.0779943978366531</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1.2345864365406607</v>
      </c>
      <c r="E188" s="11">
        <f>A188-'Mastercurve bestimmen'!$B$2</f>
        <v>8</v>
      </c>
      <c r="F188" s="11">
        <f t="shared" si="15"/>
        <v>1.2345864365406607</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1.3917618640226059</v>
      </c>
      <c r="E189" s="11">
        <f>A189-'Mastercurve bestimmen'!$B$2</f>
        <v>9</v>
      </c>
      <c r="F189" s="11">
        <f t="shared" si="15"/>
        <v>1.3917618640226059</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1.5494990732907135</v>
      </c>
      <c r="E190" s="11">
        <f>A190-'Mastercurve bestimmen'!$B$2</f>
        <v>10</v>
      </c>
      <c r="F190" s="11">
        <f t="shared" si="15"/>
        <v>1.5494990732907135</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1.7077764573532079</v>
      </c>
      <c r="E191" s="11">
        <f>A191-'Mastercurve bestimmen'!$B$2</f>
        <v>11</v>
      </c>
      <c r="F191" s="11">
        <f t="shared" si="15"/>
        <v>1.7077764573532079</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1.8665724092183138</v>
      </c>
      <c r="E192" s="11">
        <f>A192-'Mastercurve bestimmen'!$B$2</f>
        <v>12</v>
      </c>
      <c r="F192" s="11">
        <f t="shared" si="15"/>
        <v>1.8665724092183138</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2.0258653218942553</v>
      </c>
      <c r="E193" s="11">
        <f>A193-'Mastercurve bestimmen'!$B$2</f>
        <v>13</v>
      </c>
      <c r="F193" s="11">
        <f t="shared" si="15"/>
        <v>2.0258653218942553</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2.1856335883892575</v>
      </c>
      <c r="E194" s="11">
        <f>A194-'Mastercurve bestimmen'!$B$2</f>
        <v>14</v>
      </c>
      <c r="F194" s="11">
        <f t="shared" si="15"/>
        <v>2.1856335883892575</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2.3458556017115448</v>
      </c>
      <c r="E195" s="11">
        <f>A195-'Mastercurve bestimmen'!$B$2</f>
        <v>15</v>
      </c>
      <c r="F195" s="11">
        <f t="shared" si="15"/>
        <v>2.3458556017115448</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2.5065097548693411</v>
      </c>
      <c r="E196" s="11">
        <f>A196-'Mastercurve bestimmen'!$B$2</f>
        <v>16</v>
      </c>
      <c r="F196" s="11">
        <f t="shared" si="15"/>
        <v>2.5065097548693411</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2.6675744408708715</v>
      </c>
      <c r="E197" s="11">
        <f>A197-'Mastercurve bestimmen'!$B$2</f>
        <v>17</v>
      </c>
      <c r="F197" s="11">
        <f t="shared" si="15"/>
        <v>2.6675744408708715</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2.829028052724361</v>
      </c>
      <c r="E198" s="11">
        <f>A198-'Mastercurve bestimmen'!$B$2</f>
        <v>18</v>
      </c>
      <c r="F198" s="11">
        <f t="shared" si="15"/>
        <v>2.829028052724361</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2.9908489834380334</v>
      </c>
      <c r="E199" s="11">
        <f>A199-'Mastercurve bestimmen'!$B$2</f>
        <v>19</v>
      </c>
      <c r="F199" s="11">
        <f t="shared" si="15"/>
        <v>2.9908489834380334</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3.153015626020113</v>
      </c>
      <c r="E200" s="11">
        <f>A200-'Mastercurve bestimmen'!$B$2</f>
        <v>20</v>
      </c>
      <c r="F200" s="11">
        <f t="shared" si="15"/>
        <v>3.153015626020113</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3.3155063734788253</v>
      </c>
      <c r="E201" s="11">
        <f>A201-'Mastercurve bestimmen'!$B$2</f>
        <v>21</v>
      </c>
      <c r="F201" s="11">
        <f t="shared" si="15"/>
        <v>3.3155063734788253</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3.4782996188223936</v>
      </c>
      <c r="E202" s="11">
        <f>A202-'Mastercurve bestimmen'!$B$2</f>
        <v>22</v>
      </c>
      <c r="F202" s="11">
        <f t="shared" si="15"/>
        <v>3.4782996188223936</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3.641373755059043</v>
      </c>
      <c r="E203" s="11">
        <f>A203-'Mastercurve bestimmen'!$B$2</f>
        <v>23</v>
      </c>
      <c r="F203" s="11">
        <f t="shared" si="15"/>
        <v>3.641373755059043</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3.8047071751969987</v>
      </c>
      <c r="E204" s="11">
        <f>A204-'Mastercurve bestimmen'!$B$2</f>
        <v>24</v>
      </c>
      <c r="F204" s="11">
        <f t="shared" si="15"/>
        <v>3.8047071751969987</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3.968278272244484</v>
      </c>
      <c r="E205" s="11">
        <f>A205-'Mastercurve bestimmen'!$B$2</f>
        <v>25</v>
      </c>
      <c r="F205" s="11">
        <f t="shared" si="15"/>
        <v>3.968278272244484</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4.1320654392097245</v>
      </c>
      <c r="E206" s="11">
        <f>A206-'Mastercurve bestimmen'!$B$2</f>
        <v>26</v>
      </c>
      <c r="F206" s="11">
        <f t="shared" si="15"/>
        <v>4.1320654392097245</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4.2960470691009442</v>
      </c>
      <c r="E207" s="11">
        <f>A207-'Mastercurve bestimmen'!$B$2</f>
        <v>27</v>
      </c>
      <c r="F207" s="11">
        <f t="shared" si="15"/>
        <v>4.2960470691009442</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4.4602015549263676</v>
      </c>
      <c r="E208" s="11">
        <f>A208-'Mastercurve bestimmen'!$B$2</f>
        <v>28</v>
      </c>
      <c r="F208" s="11">
        <f t="shared" ref="F208:F215" si="21">B208</f>
        <v>4.4602015549263676</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4.6245072896942192</v>
      </c>
      <c r="E209" s="11">
        <f>A209-'Mastercurve bestimmen'!$B$2</f>
        <v>29</v>
      </c>
      <c r="F209" s="11">
        <f t="shared" si="21"/>
        <v>4.6245072896942192</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4.7889426664127246</v>
      </c>
      <c r="E210" s="11">
        <f>A210-'Mastercurve bestimmen'!$B$2</f>
        <v>30</v>
      </c>
      <c r="F210" s="11">
        <f t="shared" si="21"/>
        <v>4.7889426664127246</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4.9534860780901058</v>
      </c>
      <c r="E211" s="11">
        <f>A211-'Mastercurve bestimmen'!$B$2</f>
        <v>31</v>
      </c>
      <c r="F211" s="11">
        <f t="shared" si="21"/>
        <v>4.9534860780901058</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5.1181159177345901</v>
      </c>
      <c r="E212" s="11">
        <f>A212-'Mastercurve bestimmen'!$B$2</f>
        <v>32</v>
      </c>
      <c r="F212" s="11">
        <f t="shared" si="21"/>
        <v>5.1181159177345901</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5.2828105783544004</v>
      </c>
      <c r="E213" s="11">
        <f>A213-'Mastercurve bestimmen'!$B$2</f>
        <v>33</v>
      </c>
      <c r="F213" s="11">
        <f t="shared" si="21"/>
        <v>5.2828105783544004</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5.4475484529577614</v>
      </c>
      <c r="E214" s="11">
        <f>A214-'Mastercurve bestimmen'!$B$2</f>
        <v>34</v>
      </c>
      <c r="F214" s="11">
        <f t="shared" si="21"/>
        <v>5.4475484529577614</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5.6123079345528986</v>
      </c>
      <c r="E215" s="11">
        <f>A215-'Mastercurve bestimmen'!$B$2</f>
        <v>35</v>
      </c>
      <c r="F215" s="11">
        <f t="shared" si="21"/>
        <v>5.6123079345528986</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0.15062657054892623</v>
      </c>
      <c r="J217" s="98">
        <v>3.5342216465981946E-4</v>
      </c>
      <c r="K217" s="98">
        <v>1.3113200152656884E-8</v>
      </c>
      <c r="L217" s="98">
        <v>2.392940067924793E-8</v>
      </c>
      <c r="M217" s="98">
        <v>-1.3015687563167799E-9</v>
      </c>
      <c r="N217" s="98">
        <v>-3.2360235271067014E-11</v>
      </c>
      <c r="O217" s="98">
        <v>-2.2463279124399686E-13</v>
      </c>
      <c r="P217" s="98">
        <v>-4.9822169598687902E-16</v>
      </c>
    </row>
    <row r="218" spans="1:16" x14ac:dyDescent="0.25">
      <c r="G218" s="11"/>
      <c r="H218" s="11">
        <v>0</v>
      </c>
      <c r="I218" s="11">
        <v>2.515110802712128E-4</v>
      </c>
      <c r="J218" s="11">
        <v>1.0216286699915128E-5</v>
      </c>
      <c r="K218" s="3">
        <v>3.1488479103129113E-7</v>
      </c>
      <c r="L218" s="3">
        <v>8.0917370873558474E-9</v>
      </c>
      <c r="M218" s="3">
        <v>2.2536582257031634E-10</v>
      </c>
      <c r="N218" s="3">
        <v>2.6729650020491768E-12</v>
      </c>
      <c r="O218" s="11">
        <v>1.4044491852441917E-14</v>
      </c>
      <c r="P218" s="11">
        <v>2.7417904399329612E-17</v>
      </c>
    </row>
    <row r="219" spans="1:16" x14ac:dyDescent="0.25">
      <c r="G219" s="11"/>
      <c r="H219" s="11">
        <v>0.99999525556163282</v>
      </c>
      <c r="I219" s="11">
        <v>2.1622473267594595E-2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-17.160283800628577</v>
      </c>
      <c r="G222">
        <f>F15</f>
        <v>-17.1505695637697</v>
      </c>
    </row>
    <row r="223" spans="1:16" x14ac:dyDescent="0.25">
      <c r="E223" s="11">
        <f t="shared" ref="E223:E286" si="25">E16</f>
        <v>-164</v>
      </c>
      <c r="F223" s="11">
        <f t="shared" ref="F223:F286" si="26">$H$217*0+E223*$I$217+E223^2*$J$217+E223^3*$K$217+E223^4*$L$217+E223^5*$M$217+E223^6*$N$217+E223^7*$O$217+E223^8*$P$217</f>
        <v>-17.094217230871891</v>
      </c>
      <c r="G223" s="11">
        <f t="shared" ref="G223:G286" si="27">F16</f>
        <v>-17.091981798352524</v>
      </c>
    </row>
    <row r="224" spans="1:16" x14ac:dyDescent="0.25">
      <c r="E224" s="11">
        <f t="shared" si="25"/>
        <v>-163</v>
      </c>
      <c r="F224" s="11">
        <f t="shared" si="26"/>
        <v>-17.030747148390674</v>
      </c>
      <c r="G224" s="11">
        <f t="shared" si="27"/>
        <v>-17.033288620414108</v>
      </c>
    </row>
    <row r="225" spans="5:7" x14ac:dyDescent="0.25">
      <c r="E225" s="11">
        <f t="shared" si="25"/>
        <v>-162</v>
      </c>
      <c r="F225" s="11">
        <f t="shared" si="26"/>
        <v>-16.969233280602879</v>
      </c>
      <c r="G225" s="11">
        <f t="shared" si="27"/>
        <v>-16.974384617433223</v>
      </c>
    </row>
    <row r="226" spans="5:7" x14ac:dyDescent="0.25">
      <c r="E226" s="11">
        <f t="shared" si="25"/>
        <v>-161</v>
      </c>
      <c r="F226" s="11">
        <f t="shared" si="26"/>
        <v>-16.909092541603655</v>
      </c>
      <c r="G226" s="11">
        <f t="shared" si="27"/>
        <v>-16.91516437688863</v>
      </c>
    </row>
    <row r="227" spans="5:7" x14ac:dyDescent="0.25">
      <c r="E227" s="11">
        <f t="shared" si="25"/>
        <v>-160</v>
      </c>
      <c r="F227" s="11">
        <f t="shared" si="26"/>
        <v>-16.84979598313663</v>
      </c>
      <c r="G227" s="11">
        <f t="shared" si="27"/>
        <v>-16.855522486259101</v>
      </c>
    </row>
    <row r="228" spans="5:7" x14ac:dyDescent="0.25">
      <c r="E228" s="11">
        <f t="shared" si="25"/>
        <v>-159</v>
      </c>
      <c r="F228" s="11">
        <f t="shared" si="26"/>
        <v>-16.79086584905869</v>
      </c>
      <c r="G228" s="11">
        <f t="shared" si="27"/>
        <v>-16.795353533023395</v>
      </c>
    </row>
    <row r="229" spans="5:7" x14ac:dyDescent="0.25">
      <c r="E229" s="11">
        <f t="shared" si="25"/>
        <v>-158</v>
      </c>
      <c r="F229" s="11">
        <f t="shared" si="26"/>
        <v>-16.731872731189526</v>
      </c>
      <c r="G229" s="11">
        <f t="shared" si="27"/>
        <v>-16.734552104660274</v>
      </c>
    </row>
    <row r="230" spans="5:7" x14ac:dyDescent="0.25">
      <c r="E230" s="11">
        <f t="shared" si="25"/>
        <v>-157</v>
      </c>
      <c r="F230" s="11">
        <f t="shared" si="26"/>
        <v>-16.672432824450141</v>
      </c>
      <c r="G230" s="11">
        <f t="shared" si="27"/>
        <v>-16.673012788648506</v>
      </c>
    </row>
    <row r="231" spans="5:7" x14ac:dyDescent="0.25">
      <c r="E231" s="11">
        <f t="shared" si="25"/>
        <v>-156</v>
      </c>
      <c r="F231" s="11">
        <f t="shared" si="26"/>
        <v>-16.61220527922066</v>
      </c>
      <c r="G231" s="11">
        <f t="shared" si="27"/>
        <v>-16.610630172466859</v>
      </c>
    </row>
    <row r="232" spans="5:7" x14ac:dyDescent="0.25">
      <c r="E232" s="11">
        <f t="shared" si="25"/>
        <v>-155</v>
      </c>
      <c r="F232" s="11">
        <f t="shared" si="26"/>
        <v>-16.550889648865962</v>
      </c>
      <c r="G232" s="11">
        <f t="shared" si="27"/>
        <v>-16.547298843594092</v>
      </c>
    </row>
    <row r="233" spans="5:7" x14ac:dyDescent="0.25">
      <c r="E233" s="11">
        <f t="shared" si="25"/>
        <v>-154</v>
      </c>
      <c r="F233" s="11">
        <f t="shared" si="26"/>
        <v>-16.488223430395237</v>
      </c>
      <c r="G233" s="11">
        <f t="shared" si="27"/>
        <v>-16.482913389508973</v>
      </c>
    </row>
    <row r="234" spans="5:7" x14ac:dyDescent="0.25">
      <c r="E234" s="11">
        <f t="shared" si="25"/>
        <v>-153</v>
      </c>
      <c r="F234" s="11">
        <f t="shared" si="26"/>
        <v>-16.423979696245823</v>
      </c>
      <c r="G234" s="11">
        <f t="shared" si="27"/>
        <v>-16.417368397690268</v>
      </c>
    </row>
    <row r="235" spans="5:7" x14ac:dyDescent="0.25">
      <c r="E235" s="11">
        <f t="shared" si="25"/>
        <v>-152</v>
      </c>
      <c r="F235" s="11">
        <f t="shared" si="26"/>
        <v>-16.357964815198841</v>
      </c>
      <c r="G235" s="11">
        <f t="shared" si="27"/>
        <v>-16.350558455616735</v>
      </c>
    </row>
    <row r="236" spans="5:7" x14ac:dyDescent="0.25">
      <c r="E236" s="11">
        <f t="shared" si="25"/>
        <v>-151</v>
      </c>
      <c r="F236" s="11">
        <f t="shared" si="26"/>
        <v>-16.290016260455246</v>
      </c>
      <c r="G236" s="11">
        <f t="shared" si="27"/>
        <v>-16.282378150767144</v>
      </c>
    </row>
    <row r="237" spans="5:7" x14ac:dyDescent="0.25">
      <c r="E237" s="11">
        <f t="shared" si="25"/>
        <v>-150</v>
      </c>
      <c r="F237" s="11">
        <f t="shared" si="26"/>
        <v>-16.220000502920684</v>
      </c>
      <c r="G237" s="11">
        <f t="shared" si="27"/>
        <v>-16.212722070620263</v>
      </c>
    </row>
    <row r="238" spans="5:7" x14ac:dyDescent="0.25">
      <c r="E238" s="11">
        <f t="shared" si="25"/>
        <v>-149</v>
      </c>
      <c r="F238" s="11">
        <f t="shared" si="26"/>
        <v>-16.147810987768707</v>
      </c>
      <c r="G238" s="11">
        <f t="shared" si="27"/>
        <v>-16.141484802654851</v>
      </c>
    </row>
    <row r="239" spans="5:7" x14ac:dyDescent="0.25">
      <c r="E239" s="11">
        <f t="shared" si="25"/>
        <v>-148</v>
      </c>
      <c r="F239" s="11">
        <f t="shared" si="26"/>
        <v>-16.073366192369818</v>
      </c>
      <c r="G239" s="11">
        <f t="shared" si="27"/>
        <v>-16.068560934349673</v>
      </c>
    </row>
    <row r="240" spans="5:7" x14ac:dyDescent="0.25">
      <c r="E240" s="11">
        <f t="shared" si="25"/>
        <v>-147</v>
      </c>
      <c r="F240" s="11">
        <f t="shared" si="26"/>
        <v>-15.996607763696247</v>
      </c>
      <c r="G240" s="11">
        <f t="shared" si="27"/>
        <v>-15.993845053183497</v>
      </c>
    </row>
    <row r="241" spans="5:7" x14ac:dyDescent="0.25">
      <c r="E241" s="11">
        <f t="shared" si="25"/>
        <v>-146</v>
      </c>
      <c r="F241" s="11">
        <f t="shared" si="26"/>
        <v>-15.91749873333093</v>
      </c>
      <c r="G241" s="11">
        <f t="shared" si="27"/>
        <v>-15.917231746635085</v>
      </c>
    </row>
    <row r="242" spans="5:7" x14ac:dyDescent="0.25">
      <c r="E242" s="11">
        <f t="shared" si="25"/>
        <v>-145</v>
      </c>
      <c r="F242" s="11">
        <f t="shared" si="26"/>
        <v>-15.836021808229916</v>
      </c>
      <c r="G242" s="11">
        <f t="shared" si="27"/>
        <v>-15.838615602183204</v>
      </c>
    </row>
    <row r="243" spans="5:7" x14ac:dyDescent="0.25">
      <c r="E243" s="11">
        <f t="shared" si="25"/>
        <v>-144</v>
      </c>
      <c r="F243" s="11">
        <f t="shared" si="26"/>
        <v>-15.752177735407173</v>
      </c>
      <c r="G243" s="11">
        <f t="shared" si="27"/>
        <v>-15.757891207306617</v>
      </c>
    </row>
    <row r="244" spans="5:7" x14ac:dyDescent="0.25">
      <c r="E244" s="11">
        <f t="shared" si="25"/>
        <v>-143</v>
      </c>
      <c r="F244" s="11">
        <f t="shared" si="26"/>
        <v>-15.665983738731029</v>
      </c>
      <c r="G244" s="11">
        <f t="shared" si="27"/>
        <v>-15.674953149484086</v>
      </c>
    </row>
    <row r="245" spans="5:7" x14ac:dyDescent="0.25">
      <c r="E245" s="11">
        <f t="shared" si="25"/>
        <v>-142</v>
      </c>
      <c r="F245" s="11">
        <f t="shared" si="26"/>
        <v>-15.577472026041619</v>
      </c>
      <c r="G245" s="11">
        <f t="shared" si="27"/>
        <v>-15.589696016194384</v>
      </c>
    </row>
    <row r="246" spans="5:7" x14ac:dyDescent="0.25">
      <c r="E246" s="11">
        <f t="shared" si="25"/>
        <v>-141</v>
      </c>
      <c r="F246" s="11">
        <f t="shared" si="26"/>
        <v>-15.486688364819003</v>
      </c>
      <c r="G246" s="11">
        <f t="shared" si="27"/>
        <v>-15.502014394916268</v>
      </c>
    </row>
    <row r="247" spans="5:7" x14ac:dyDescent="0.25">
      <c r="E247" s="11">
        <f t="shared" si="25"/>
        <v>-140</v>
      </c>
      <c r="F247" s="11">
        <f t="shared" si="26"/>
        <v>-15.393690724650696</v>
      </c>
      <c r="G247" s="11">
        <f t="shared" si="27"/>
        <v>-15.411802873128504</v>
      </c>
    </row>
    <row r="248" spans="5:7" x14ac:dyDescent="0.25">
      <c r="E248" s="11">
        <f t="shared" si="25"/>
        <v>-139</v>
      </c>
      <c r="F248" s="11">
        <f t="shared" si="26"/>
        <v>-15.298547984768945</v>
      </c>
      <c r="G248" s="11">
        <f t="shared" si="27"/>
        <v>-15.31895603830986</v>
      </c>
    </row>
    <row r="249" spans="5:7" x14ac:dyDescent="0.25">
      <c r="E249" s="11">
        <f t="shared" si="25"/>
        <v>-138</v>
      </c>
      <c r="F249" s="11">
        <f t="shared" si="26"/>
        <v>-15.201338704946721</v>
      </c>
      <c r="G249" s="11">
        <f t="shared" si="27"/>
        <v>-15.223368477939097</v>
      </c>
    </row>
    <row r="250" spans="5:7" x14ac:dyDescent="0.25">
      <c r="E250" s="11">
        <f t="shared" si="25"/>
        <v>-137</v>
      </c>
      <c r="F250" s="11">
        <f t="shared" si="26"/>
        <v>-15.102149958063144</v>
      </c>
      <c r="G250" s="11">
        <f t="shared" si="27"/>
        <v>-15.124934779494982</v>
      </c>
    </row>
    <row r="251" spans="5:7" x14ac:dyDescent="0.25">
      <c r="E251" s="11">
        <f t="shared" si="25"/>
        <v>-136</v>
      </c>
      <c r="F251" s="11">
        <f t="shared" si="26"/>
        <v>-15.001076222666889</v>
      </c>
      <c r="G251" s="11">
        <f t="shared" si="27"/>
        <v>-15.023549530456282</v>
      </c>
    </row>
    <row r="252" spans="5:7" x14ac:dyDescent="0.25">
      <c r="E252" s="11">
        <f t="shared" si="25"/>
        <v>-135</v>
      </c>
      <c r="F252" s="11">
        <f t="shared" si="26"/>
        <v>-14.898218333888686</v>
      </c>
      <c r="G252" s="11">
        <f t="shared" si="27"/>
        <v>-14.919107318301755</v>
      </c>
    </row>
    <row r="253" spans="5:7" x14ac:dyDescent="0.25">
      <c r="E253" s="11">
        <f t="shared" si="25"/>
        <v>-134</v>
      </c>
      <c r="F253" s="11">
        <f t="shared" si="26"/>
        <v>-14.793682491071991</v>
      </c>
      <c r="G253" s="11">
        <f t="shared" si="27"/>
        <v>-14.811502730510171</v>
      </c>
    </row>
    <row r="254" spans="5:7" x14ac:dyDescent="0.25">
      <c r="E254" s="11">
        <f t="shared" si="25"/>
        <v>-133</v>
      </c>
      <c r="F254" s="11">
        <f t="shared" si="26"/>
        <v>-14.687579320512654</v>
      </c>
      <c r="G254" s="11">
        <f t="shared" si="27"/>
        <v>-14.700630354560294</v>
      </c>
    </row>
    <row r="255" spans="5:7" x14ac:dyDescent="0.25">
      <c r="E255" s="11">
        <f t="shared" si="25"/>
        <v>-132</v>
      </c>
      <c r="F255" s="11">
        <f t="shared" si="26"/>
        <v>-14.580022991717378</v>
      </c>
      <c r="G255" s="11">
        <f t="shared" si="27"/>
        <v>-14.586384777930887</v>
      </c>
    </row>
    <row r="256" spans="5:7" x14ac:dyDescent="0.25">
      <c r="E256" s="11">
        <f t="shared" si="25"/>
        <v>-131</v>
      </c>
      <c r="F256" s="11">
        <f t="shared" si="26"/>
        <v>-14.471130385611048</v>
      </c>
      <c r="G256" s="11">
        <f t="shared" si="27"/>
        <v>-14.468660588100716</v>
      </c>
    </row>
    <row r="257" spans="5:7" x14ac:dyDescent="0.25">
      <c r="E257" s="11">
        <f t="shared" si="25"/>
        <v>-130</v>
      </c>
      <c r="F257" s="11">
        <f t="shared" si="26"/>
        <v>-14.361020313144039</v>
      </c>
      <c r="G257" s="11">
        <f t="shared" si="27"/>
        <v>-14.347352372548546</v>
      </c>
    </row>
    <row r="258" spans="5:7" x14ac:dyDescent="0.25">
      <c r="E258" s="11">
        <f t="shared" si="25"/>
        <v>-129</v>
      </c>
      <c r="F258" s="11">
        <f t="shared" si="26"/>
        <v>-14.249812782768963</v>
      </c>
      <c r="G258" s="11">
        <f t="shared" si="27"/>
        <v>-14.222354718753142</v>
      </c>
    </row>
    <row r="259" spans="5:7" x14ac:dyDescent="0.25">
      <c r="E259" s="11">
        <f t="shared" si="25"/>
        <v>-128</v>
      </c>
      <c r="F259" s="11">
        <f t="shared" si="26"/>
        <v>-14.137628315278327</v>
      </c>
      <c r="G259" s="11">
        <f t="shared" si="27"/>
        <v>-14.093562214193266</v>
      </c>
    </row>
    <row r="260" spans="5:7" x14ac:dyDescent="0.25">
      <c r="E260" s="11">
        <f t="shared" si="25"/>
        <v>-127</v>
      </c>
      <c r="F260" s="11">
        <f t="shared" si="26"/>
        <v>-14.024587304513012</v>
      </c>
      <c r="G260" s="11">
        <f t="shared" si="27"/>
        <v>-13.960869446347687</v>
      </c>
    </row>
    <row r="261" spans="5:7" x14ac:dyDescent="0.25">
      <c r="E261" s="11">
        <f t="shared" si="25"/>
        <v>-126</v>
      </c>
      <c r="F261" s="11">
        <f t="shared" si="26"/>
        <v>-13.910809422472788</v>
      </c>
      <c r="G261" s="11">
        <f t="shared" si="27"/>
        <v>-13.824171002695165</v>
      </c>
    </row>
    <row r="262" spans="5:7" x14ac:dyDescent="0.25">
      <c r="E262" s="11">
        <f t="shared" si="25"/>
        <v>-125</v>
      </c>
      <c r="F262" s="11">
        <f t="shared" si="26"/>
        <v>-13.796413067379156</v>
      </c>
      <c r="G262" s="11">
        <f t="shared" si="27"/>
        <v>-13.683361470714466</v>
      </c>
    </row>
    <row r="263" spans="5:7" x14ac:dyDescent="0.25">
      <c r="E263" s="11">
        <f t="shared" si="25"/>
        <v>-124</v>
      </c>
      <c r="F263" s="11">
        <f t="shared" si="26"/>
        <v>-13.681514853262097</v>
      </c>
      <c r="G263" s="11">
        <f t="shared" si="27"/>
        <v>-13.599511460000592</v>
      </c>
    </row>
    <row r="264" spans="5:7" x14ac:dyDescent="0.25">
      <c r="E264" s="11">
        <f t="shared" si="25"/>
        <v>-123</v>
      </c>
      <c r="F264" s="11">
        <f t="shared" si="26"/>
        <v>-13.566229139661107</v>
      </c>
      <c r="G264" s="11">
        <f t="shared" si="27"/>
        <v>-13.511702468750856</v>
      </c>
    </row>
    <row r="265" spans="5:7" x14ac:dyDescent="0.25">
      <c r="E265" s="11">
        <f t="shared" si="25"/>
        <v>-122</v>
      </c>
      <c r="F265" s="11">
        <f t="shared" si="26"/>
        <v>-13.450667600051698</v>
      </c>
      <c r="G265" s="11">
        <f t="shared" si="27"/>
        <v>-13.420192017278811</v>
      </c>
    </row>
    <row r="266" spans="5:7" x14ac:dyDescent="0.25">
      <c r="E266" s="11">
        <f t="shared" si="25"/>
        <v>-121</v>
      </c>
      <c r="F266" s="11">
        <f t="shared" si="26"/>
        <v>-13.334938827628893</v>
      </c>
      <c r="G266" s="11">
        <f t="shared" si="27"/>
        <v>-13.325237625898009</v>
      </c>
    </row>
    <row r="267" spans="5:7" x14ac:dyDescent="0.25">
      <c r="E267" s="11">
        <f t="shared" si="25"/>
        <v>-120</v>
      </c>
      <c r="F267" s="11">
        <f t="shared" si="26"/>
        <v>-13.219147977098459</v>
      </c>
      <c r="G267" s="11">
        <f t="shared" si="27"/>
        <v>-13.227096814921993</v>
      </c>
    </row>
    <row r="268" spans="5:7" x14ac:dyDescent="0.25">
      <c r="E268" s="11">
        <f t="shared" si="25"/>
        <v>-119</v>
      </c>
      <c r="F268" s="11">
        <f t="shared" si="26"/>
        <v>-13.103396441147531</v>
      </c>
      <c r="G268" s="11">
        <f t="shared" si="27"/>
        <v>-13.126027104664317</v>
      </c>
    </row>
    <row r="269" spans="5:7" x14ac:dyDescent="0.25">
      <c r="E269" s="11">
        <f t="shared" si="25"/>
        <v>-118</v>
      </c>
      <c r="F269" s="11">
        <f t="shared" si="26"/>
        <v>-12.987781560286034</v>
      </c>
      <c r="G269" s="11">
        <f t="shared" si="27"/>
        <v>-13.022286015438533</v>
      </c>
    </row>
    <row r="270" spans="5:7" x14ac:dyDescent="0.25">
      <c r="E270" s="11">
        <f t="shared" si="25"/>
        <v>-117</v>
      </c>
      <c r="F270" s="11">
        <f t="shared" si="26"/>
        <v>-12.872396364770058</v>
      </c>
      <c r="G270" s="11">
        <f t="shared" si="27"/>
        <v>-12.91613106755819</v>
      </c>
    </row>
    <row r="271" spans="5:7" x14ac:dyDescent="0.25">
      <c r="E271" s="11">
        <f t="shared" si="25"/>
        <v>-116</v>
      </c>
      <c r="F271" s="11">
        <f t="shared" si="26"/>
        <v>-12.757329347339521</v>
      </c>
      <c r="G271" s="11">
        <f t="shared" si="27"/>
        <v>-12.807819781336841</v>
      </c>
    </row>
    <row r="272" spans="5:7" x14ac:dyDescent="0.25">
      <c r="E272" s="11">
        <f t="shared" si="25"/>
        <v>-115</v>
      </c>
      <c r="F272" s="11">
        <f t="shared" si="26"/>
        <v>-12.642664265520832</v>
      </c>
      <c r="G272" s="11">
        <f t="shared" si="27"/>
        <v>-12.69760967708803</v>
      </c>
    </row>
    <row r="273" spans="5:7" x14ac:dyDescent="0.25">
      <c r="E273" s="11">
        <f t="shared" si="25"/>
        <v>-114</v>
      </c>
      <c r="F273" s="11">
        <f t="shared" si="26"/>
        <v>-12.52847997226729</v>
      </c>
      <c r="G273" s="11">
        <f t="shared" si="27"/>
        <v>-12.585758275125311</v>
      </c>
    </row>
    <row r="274" spans="5:7" x14ac:dyDescent="0.25">
      <c r="E274" s="11">
        <f t="shared" si="25"/>
        <v>-113</v>
      </c>
      <c r="F274" s="11">
        <f t="shared" si="26"/>
        <v>-12.414850273728272</v>
      </c>
      <c r="G274" s="11">
        <f t="shared" si="27"/>
        <v>-12.472523095762238</v>
      </c>
    </row>
    <row r="275" spans="5:7" x14ac:dyDescent="0.25">
      <c r="E275" s="11">
        <f t="shared" si="25"/>
        <v>-112</v>
      </c>
      <c r="F275" s="11">
        <f t="shared" si="26"/>
        <v>-12.301843812959778</v>
      </c>
      <c r="G275" s="11">
        <f t="shared" si="27"/>
        <v>-12.358161659312355</v>
      </c>
    </row>
    <row r="276" spans="5:7" x14ac:dyDescent="0.25">
      <c r="E276" s="11">
        <f t="shared" si="25"/>
        <v>-111</v>
      </c>
      <c r="F276" s="11">
        <f t="shared" si="26"/>
        <v>-12.189523978408005</v>
      </c>
      <c r="G276" s="11">
        <f t="shared" si="27"/>
        <v>-12.242931486089216</v>
      </c>
    </row>
    <row r="277" spans="5:7" x14ac:dyDescent="0.25">
      <c r="E277" s="11">
        <f t="shared" si="25"/>
        <v>-110</v>
      </c>
      <c r="F277" s="11">
        <f t="shared" si="26"/>
        <v>-12.077948836018205</v>
      </c>
      <c r="G277" s="11">
        <f t="shared" si="27"/>
        <v>-12.12709009640637</v>
      </c>
    </row>
    <row r="278" spans="5:7" x14ac:dyDescent="0.25">
      <c r="E278" s="11">
        <f t="shared" si="25"/>
        <v>-109</v>
      </c>
      <c r="F278" s="11">
        <f t="shared" si="26"/>
        <v>-11.967171083841027</v>
      </c>
      <c r="G278" s="11">
        <f t="shared" si="27"/>
        <v>-12.010895010577368</v>
      </c>
    </row>
    <row r="279" spans="5:7" x14ac:dyDescent="0.25">
      <c r="E279" s="11">
        <f t="shared" si="25"/>
        <v>-108</v>
      </c>
      <c r="F279" s="11">
        <f t="shared" si="26"/>
        <v>-11.857238028028616</v>
      </c>
      <c r="G279" s="11">
        <f t="shared" si="27"/>
        <v>-11.894603748915758</v>
      </c>
    </row>
    <row r="280" spans="5:7" x14ac:dyDescent="0.25">
      <c r="E280" s="11">
        <f t="shared" si="25"/>
        <v>-107</v>
      </c>
      <c r="F280" s="11">
        <f t="shared" si="26"/>
        <v>-11.748191579132998</v>
      </c>
      <c r="G280" s="11">
        <f t="shared" si="27"/>
        <v>-11.778473831735095</v>
      </c>
    </row>
    <row r="281" spans="5:7" x14ac:dyDescent="0.25">
      <c r="E281" s="11">
        <f t="shared" si="25"/>
        <v>-106</v>
      </c>
      <c r="F281" s="11">
        <f t="shared" si="26"/>
        <v>-11.640068267638959</v>
      </c>
      <c r="G281" s="11">
        <f t="shared" si="27"/>
        <v>-11.662762779348926</v>
      </c>
    </row>
    <row r="282" spans="5:7" x14ac:dyDescent="0.25">
      <c r="E282" s="11">
        <f t="shared" si="25"/>
        <v>-105</v>
      </c>
      <c r="F282" s="11">
        <f t="shared" si="26"/>
        <v>-11.532899277684329</v>
      </c>
      <c r="G282" s="11">
        <f t="shared" si="27"/>
        <v>-11.547728112070802</v>
      </c>
    </row>
    <row r="283" spans="5:7" x14ac:dyDescent="0.25">
      <c r="E283" s="11">
        <f t="shared" si="25"/>
        <v>-104</v>
      </c>
      <c r="F283" s="11">
        <f t="shared" si="26"/>
        <v>-11.426710497940006</v>
      </c>
      <c r="G283" s="11">
        <f t="shared" si="27"/>
        <v>-11.433627350214273</v>
      </c>
    </row>
    <row r="284" spans="5:7" x14ac:dyDescent="0.25">
      <c r="E284" s="11">
        <f t="shared" si="25"/>
        <v>-103</v>
      </c>
      <c r="F284" s="11">
        <f t="shared" si="26"/>
        <v>-11.321522588642697</v>
      </c>
      <c r="G284" s="11">
        <f t="shared" si="27"/>
        <v>-11.320718014092888</v>
      </c>
    </row>
    <row r="285" spans="5:7" x14ac:dyDescent="0.25">
      <c r="E285" s="11">
        <f t="shared" si="25"/>
        <v>-102</v>
      </c>
      <c r="F285" s="11">
        <f t="shared" si="26"/>
        <v>-11.217351063793107</v>
      </c>
      <c r="G285" s="11">
        <f t="shared" si="27"/>
        <v>-11.2092576240202</v>
      </c>
    </row>
    <row r="286" spans="5:7" x14ac:dyDescent="0.25">
      <c r="E286" s="11">
        <f t="shared" si="25"/>
        <v>-101</v>
      </c>
      <c r="F286" s="11">
        <f t="shared" si="26"/>
        <v>-11.11420638755248</v>
      </c>
      <c r="G286" s="11">
        <f t="shared" si="27"/>
        <v>-11.099503700309759</v>
      </c>
    </row>
    <row r="287" spans="5:7" x14ac:dyDescent="0.25">
      <c r="E287" s="11">
        <f t="shared" ref="E287:E350" si="28">E80</f>
        <v>-100</v>
      </c>
      <c r="F287" s="11">
        <f t="shared" ref="F287:F350" si="29">$H$217*0+E287*$I$217+E287^2*$J$217+E287^3*$K$217+E287^4*$L$217+E287^5*$M$217+E287^6*$N$217+E287^7*$O$217+E287^8*$P$217</f>
        <v>-11.012094083890609</v>
      </c>
      <c r="G287" s="11">
        <f t="shared" ref="G287:G350" si="30">F80</f>
        <v>-10.991713763275117</v>
      </c>
    </row>
    <row r="288" spans="5:7" x14ac:dyDescent="0.25">
      <c r="E288" s="11">
        <f t="shared" si="28"/>
        <v>-99</v>
      </c>
      <c r="F288" s="11">
        <f t="shared" si="29"/>
        <v>-10.911014858558278</v>
      </c>
      <c r="G288" s="11">
        <f t="shared" si="30"/>
        <v>-10.88608478606587</v>
      </c>
    </row>
    <row r="289" spans="5:7" x14ac:dyDescent="0.25">
      <c r="E289" s="11">
        <f t="shared" si="28"/>
        <v>-98</v>
      </c>
      <c r="F289" s="11">
        <f t="shared" si="29"/>
        <v>-10.810964732477396</v>
      </c>
      <c r="G289" s="11">
        <f t="shared" si="30"/>
        <v>-10.782571553175837</v>
      </c>
    </row>
    <row r="290" spans="5:7" x14ac:dyDescent="0.25">
      <c r="E290" s="11">
        <f t="shared" si="28"/>
        <v>-97</v>
      </c>
      <c r="F290" s="11">
        <f t="shared" si="29"/>
        <v>-10.711935185662124</v>
      </c>
      <c r="G290" s="11">
        <f t="shared" si="30"/>
        <v>-10.681068301934882</v>
      </c>
    </row>
    <row r="291" spans="5:7" x14ac:dyDescent="0.25">
      <c r="E291" s="11">
        <f t="shared" si="28"/>
        <v>-96</v>
      </c>
      <c r="F291" s="11">
        <f t="shared" si="29"/>
        <v>-10.613913310804289</v>
      </c>
      <c r="G291" s="11">
        <f t="shared" si="30"/>
        <v>-10.581469269672867</v>
      </c>
    </row>
    <row r="292" spans="5:7" x14ac:dyDescent="0.25">
      <c r="E292" s="11">
        <f t="shared" si="28"/>
        <v>-95</v>
      </c>
      <c r="F292" s="11">
        <f t="shared" si="29"/>
        <v>-10.516881975676606</v>
      </c>
      <c r="G292" s="11">
        <f t="shared" si="30"/>
        <v>-10.483668693719665</v>
      </c>
    </row>
    <row r="293" spans="5:7" x14ac:dyDescent="0.25">
      <c r="E293" s="11">
        <f t="shared" si="28"/>
        <v>-94</v>
      </c>
      <c r="F293" s="11">
        <f t="shared" si="29"/>
        <v>-10.420819993527161</v>
      </c>
      <c r="G293" s="11">
        <f t="shared" si="30"/>
        <v>-10.38756081140513</v>
      </c>
    </row>
    <row r="294" spans="5:7" x14ac:dyDescent="0.25">
      <c r="E294" s="11">
        <f t="shared" si="28"/>
        <v>-93</v>
      </c>
      <c r="F294" s="11">
        <f t="shared" si="29"/>
        <v>-10.325702300658913</v>
      </c>
      <c r="G294" s="11">
        <f t="shared" si="30"/>
        <v>-10.293039860059134</v>
      </c>
    </row>
    <row r="295" spans="5:7" x14ac:dyDescent="0.25">
      <c r="E295" s="11">
        <f t="shared" si="28"/>
        <v>-92</v>
      </c>
      <c r="F295" s="11">
        <f t="shared" si="29"/>
        <v>-10.231500140407769</v>
      </c>
      <c r="G295" s="11">
        <f t="shared" si="30"/>
        <v>-10.200000077011541</v>
      </c>
    </row>
    <row r="296" spans="5:7" x14ac:dyDescent="0.25">
      <c r="E296" s="11">
        <f t="shared" si="28"/>
        <v>-91</v>
      </c>
      <c r="F296" s="11">
        <f t="shared" si="29"/>
        <v>-10.138181252753196</v>
      </c>
      <c r="G296" s="11">
        <f t="shared" si="30"/>
        <v>-10.108335699592216</v>
      </c>
    </row>
    <row r="297" spans="5:7" x14ac:dyDescent="0.25">
      <c r="E297" s="11">
        <f t="shared" si="28"/>
        <v>-90</v>
      </c>
      <c r="F297" s="11">
        <f t="shared" si="29"/>
        <v>-10.045710068815142</v>
      </c>
      <c r="G297" s="11">
        <f t="shared" si="30"/>
        <v>-10.017940965131025</v>
      </c>
    </row>
    <row r="298" spans="5:7" x14ac:dyDescent="0.25">
      <c r="E298" s="11">
        <f t="shared" si="28"/>
        <v>-89</v>
      </c>
      <c r="F298" s="11">
        <f t="shared" si="29"/>
        <v>-9.9540479095113366</v>
      </c>
      <c r="G298" s="11">
        <f t="shared" si="30"/>
        <v>-9.9287101109578302</v>
      </c>
    </row>
    <row r="299" spans="5:7" x14ac:dyDescent="0.25">
      <c r="E299" s="11">
        <f t="shared" si="28"/>
        <v>-88</v>
      </c>
      <c r="F299" s="11">
        <f t="shared" si="29"/>
        <v>-9.86315318766896</v>
      </c>
      <c r="G299" s="11">
        <f t="shared" si="30"/>
        <v>-9.8405373744025013</v>
      </c>
    </row>
    <row r="300" spans="5:7" x14ac:dyDescent="0.25">
      <c r="E300" s="11">
        <f t="shared" si="28"/>
        <v>-87</v>
      </c>
      <c r="F300" s="11">
        <f t="shared" si="29"/>
        <v>-9.7729816129049087</v>
      </c>
      <c r="G300" s="11">
        <f t="shared" si="30"/>
        <v>-9.7533169927948986</v>
      </c>
    </row>
    <row r="301" spans="5:7" x14ac:dyDescent="0.25">
      <c r="E301" s="11">
        <f t="shared" si="28"/>
        <v>-86</v>
      </c>
      <c r="F301" s="11">
        <f t="shared" si="29"/>
        <v>-9.6834863986088564</v>
      </c>
      <c r="G301" s="11">
        <f t="shared" si="30"/>
        <v>-9.6669432034648928</v>
      </c>
    </row>
    <row r="302" spans="5:7" x14ac:dyDescent="0.25">
      <c r="E302" s="11">
        <f t="shared" si="28"/>
        <v>-85</v>
      </c>
      <c r="F302" s="11">
        <f t="shared" si="29"/>
        <v>-9.5946184703834803</v>
      </c>
      <c r="G302" s="11">
        <f t="shared" si="30"/>
        <v>-9.5813102437423439</v>
      </c>
    </row>
    <row r="303" spans="5:7" x14ac:dyDescent="0.25">
      <c r="E303" s="11">
        <f t="shared" si="28"/>
        <v>-84</v>
      </c>
      <c r="F303" s="11">
        <f t="shared" si="29"/>
        <v>-9.5063266753162594</v>
      </c>
      <c r="G303" s="11">
        <f t="shared" si="30"/>
        <v>-9.496312350957119</v>
      </c>
    </row>
    <row r="304" spans="5:7" x14ac:dyDescent="0.25">
      <c r="E304" s="11">
        <f t="shared" si="28"/>
        <v>-83</v>
      </c>
      <c r="F304" s="11">
        <f t="shared" si="29"/>
        <v>-9.4185579914773268</v>
      </c>
      <c r="G304" s="11">
        <f t="shared" si="30"/>
        <v>-9.4118437624390818</v>
      </c>
    </row>
    <row r="305" spans="5:7" x14ac:dyDescent="0.25">
      <c r="E305" s="11">
        <f t="shared" si="28"/>
        <v>-82</v>
      </c>
      <c r="F305" s="11">
        <f t="shared" si="29"/>
        <v>-9.3312577370580421</v>
      </c>
      <c r="G305" s="11">
        <f t="shared" si="30"/>
        <v>-9.3277987155180995</v>
      </c>
    </row>
    <row r="306" spans="5:7" x14ac:dyDescent="0.25">
      <c r="E306" s="11">
        <f t="shared" si="28"/>
        <v>-81</v>
      </c>
      <c r="F306" s="11">
        <f t="shared" si="29"/>
        <v>-9.2443697785849217</v>
      </c>
      <c r="G306" s="11">
        <f t="shared" si="30"/>
        <v>-9.2440714475240373</v>
      </c>
    </row>
    <row r="307" spans="5:7" x14ac:dyDescent="0.25">
      <c r="E307" s="11">
        <f t="shared" si="28"/>
        <v>-80</v>
      </c>
      <c r="F307" s="11">
        <f t="shared" si="29"/>
        <v>-9.157836737663704</v>
      </c>
      <c r="G307" s="11">
        <f t="shared" si="30"/>
        <v>-9.1605561957867589</v>
      </c>
    </row>
    <row r="308" spans="5:7" x14ac:dyDescent="0.25">
      <c r="E308" s="11">
        <f t="shared" si="28"/>
        <v>-79</v>
      </c>
      <c r="F308" s="11">
        <f t="shared" si="29"/>
        <v>-9.0716001957284327</v>
      </c>
      <c r="G308" s="11">
        <f t="shared" si="30"/>
        <v>-9.0771471976361298</v>
      </c>
    </row>
    <row r="309" spans="5:7" x14ac:dyDescent="0.25">
      <c r="E309" s="11">
        <f t="shared" si="28"/>
        <v>-78</v>
      </c>
      <c r="F309" s="11">
        <f t="shared" si="29"/>
        <v>-8.985600896290542</v>
      </c>
      <c r="G309" s="11">
        <f t="shared" si="30"/>
        <v>-8.9937386904020151</v>
      </c>
    </row>
    <row r="310" spans="5:7" x14ac:dyDescent="0.25">
      <c r="E310" s="11">
        <f t="shared" si="28"/>
        <v>-77</v>
      </c>
      <c r="F310" s="11">
        <f t="shared" si="29"/>
        <v>-8.8997789442028576</v>
      </c>
      <c r="G310" s="11">
        <f t="shared" si="30"/>
        <v>-8.9102249114142822</v>
      </c>
    </row>
    <row r="311" spans="5:7" x14ac:dyDescent="0.25">
      <c r="E311" s="11">
        <f t="shared" si="28"/>
        <v>-76</v>
      </c>
      <c r="F311" s="11">
        <f t="shared" si="29"/>
        <v>-8.8140740014738554</v>
      </c>
      <c r="G311" s="11">
        <f t="shared" si="30"/>
        <v>-8.8265000980027928</v>
      </c>
    </row>
    <row r="312" spans="5:7" x14ac:dyDescent="0.25">
      <c r="E312" s="11">
        <f t="shared" si="28"/>
        <v>-75</v>
      </c>
      <c r="F312" s="11">
        <f t="shared" si="29"/>
        <v>-8.7284254791871518</v>
      </c>
      <c r="G312" s="11">
        <f t="shared" si="30"/>
        <v>-8.7424584874974123</v>
      </c>
    </row>
    <row r="313" spans="5:7" x14ac:dyDescent="0.25">
      <c r="E313" s="11">
        <f t="shared" si="28"/>
        <v>-74</v>
      </c>
      <c r="F313" s="11">
        <f t="shared" si="29"/>
        <v>-8.6427727251017572</v>
      </c>
      <c r="G313" s="11">
        <f t="shared" si="30"/>
        <v>-8.6580077823184567</v>
      </c>
    </row>
    <row r="314" spans="5:7" x14ac:dyDescent="0.25">
      <c r="E314" s="11">
        <f t="shared" si="28"/>
        <v>-73</v>
      </c>
      <c r="F314" s="11">
        <f t="shared" si="29"/>
        <v>-8.5570552065283021</v>
      </c>
      <c r="G314" s="11">
        <f t="shared" si="30"/>
        <v>-8.5731095452480179</v>
      </c>
    </row>
    <row r="315" spans="5:7" x14ac:dyDescent="0.25">
      <c r="E315" s="11">
        <f t="shared" si="28"/>
        <v>-72</v>
      </c>
      <c r="F315" s="11">
        <f t="shared" si="29"/>
        <v>-8.4712126880968555</v>
      </c>
      <c r="G315" s="11">
        <f t="shared" si="30"/>
        <v>-8.4877388041586439</v>
      </c>
    </row>
    <row r="316" spans="5:7" x14ac:dyDescent="0.25">
      <c r="E316" s="11">
        <f t="shared" si="28"/>
        <v>-71</v>
      </c>
      <c r="F316" s="11">
        <f t="shared" si="29"/>
        <v>-8.3851854040518266</v>
      </c>
      <c r="G316" s="11">
        <f t="shared" si="30"/>
        <v>-8.4018705869228789</v>
      </c>
    </row>
    <row r="317" spans="5:7" x14ac:dyDescent="0.25">
      <c r="E317" s="11">
        <f t="shared" si="28"/>
        <v>-70</v>
      </c>
      <c r="F317" s="11">
        <f t="shared" si="29"/>
        <v>-8.2989142247296268</v>
      </c>
      <c r="G317" s="11">
        <f t="shared" si="30"/>
        <v>-8.3154799214132638</v>
      </c>
    </row>
    <row r="318" spans="5:7" x14ac:dyDescent="0.25">
      <c r="E318" s="11">
        <f t="shared" si="28"/>
        <v>-69</v>
      </c>
      <c r="F318" s="11">
        <f t="shared" si="29"/>
        <v>-8.2123408168948746</v>
      </c>
      <c r="G318" s="11">
        <f t="shared" si="30"/>
        <v>-8.2285418355023463</v>
      </c>
    </row>
    <row r="319" spans="5:7" x14ac:dyDescent="0.25">
      <c r="E319" s="11">
        <f t="shared" si="28"/>
        <v>-68</v>
      </c>
      <c r="F319" s="11">
        <f t="shared" si="29"/>
        <v>-8.1254077976309134</v>
      </c>
      <c r="G319" s="11">
        <f t="shared" si="30"/>
        <v>-8.1410313570626673</v>
      </c>
    </row>
    <row r="320" spans="5:7" x14ac:dyDescent="0.25">
      <c r="E320" s="11">
        <f t="shared" si="28"/>
        <v>-67</v>
      </c>
      <c r="F320" s="11">
        <f t="shared" si="29"/>
        <v>-8.0380588815006497</v>
      </c>
      <c r="G320" s="11">
        <f t="shared" si="30"/>
        <v>-8.0529235139667747</v>
      </c>
    </row>
    <row r="321" spans="5:7" x14ac:dyDescent="0.25">
      <c r="E321" s="11">
        <f t="shared" si="28"/>
        <v>-66</v>
      </c>
      <c r="F321" s="11">
        <f t="shared" si="29"/>
        <v>-7.9502390207136244</v>
      </c>
      <c r="G321" s="11">
        <f t="shared" si="30"/>
        <v>-7.9641933340872111</v>
      </c>
    </row>
    <row r="322" spans="5:7" x14ac:dyDescent="0.25">
      <c r="E322" s="11">
        <f t="shared" si="28"/>
        <v>-65</v>
      </c>
      <c r="F322" s="11">
        <f t="shared" si="29"/>
        <v>-7.8618945380555179</v>
      </c>
      <c r="G322" s="11">
        <f t="shared" si="30"/>
        <v>-7.8748158452965189</v>
      </c>
    </row>
    <row r="323" spans="5:7" x14ac:dyDescent="0.25">
      <c r="E323" s="11">
        <f t="shared" si="28"/>
        <v>-64</v>
      </c>
      <c r="F323" s="11">
        <f t="shared" si="29"/>
        <v>-7.7729732523562083</v>
      </c>
      <c r="G323" s="11">
        <f t="shared" si="30"/>
        <v>-7.7847660754672443</v>
      </c>
    </row>
    <row r="324" spans="5:7" x14ac:dyDescent="0.25">
      <c r="E324" s="11">
        <f t="shared" si="28"/>
        <v>-63</v>
      </c>
      <c r="F324" s="11">
        <f t="shared" si="29"/>
        <v>-7.6834245962927019</v>
      </c>
      <c r="G324" s="11">
        <f t="shared" si="30"/>
        <v>-7.6940190524719325</v>
      </c>
    </row>
    <row r="325" spans="5:7" x14ac:dyDescent="0.25">
      <c r="E325" s="11">
        <f t="shared" si="28"/>
        <v>-62</v>
      </c>
      <c r="F325" s="11">
        <f t="shared" si="29"/>
        <v>-7.5931997263432596</v>
      </c>
      <c r="G325" s="11">
        <f t="shared" si="30"/>
        <v>-7.6025498041831261</v>
      </c>
    </row>
    <row r="326" spans="5:7" x14ac:dyDescent="0.25">
      <c r="E326" s="11">
        <f t="shared" si="28"/>
        <v>-61</v>
      </c>
      <c r="F326" s="11">
        <f t="shared" si="29"/>
        <v>-7.5022516247292099</v>
      </c>
      <c r="G326" s="11">
        <f t="shared" si="30"/>
        <v>-7.5103333584733685</v>
      </c>
    </row>
    <row r="327" spans="5:7" x14ac:dyDescent="0.25">
      <c r="E327" s="11">
        <f t="shared" si="28"/>
        <v>-60</v>
      </c>
      <c r="F327" s="11">
        <f t="shared" si="29"/>
        <v>-7.4105351932009951</v>
      </c>
      <c r="G327" s="11">
        <f t="shared" si="30"/>
        <v>-7.4173447432152058</v>
      </c>
    </row>
    <row r="328" spans="5:7" x14ac:dyDescent="0.25">
      <c r="E328" s="11">
        <f t="shared" si="28"/>
        <v>-59</v>
      </c>
      <c r="F328" s="11">
        <f t="shared" si="29"/>
        <v>-7.3180073385450282</v>
      </c>
      <c r="G328" s="11">
        <f t="shared" si="30"/>
        <v>-7.3235589862811814</v>
      </c>
    </row>
    <row r="329" spans="5:7" x14ac:dyDescent="0.25">
      <c r="E329" s="11">
        <f t="shared" si="28"/>
        <v>-58</v>
      </c>
      <c r="F329" s="11">
        <f t="shared" si="29"/>
        <v>-7.2246270497081575</v>
      </c>
      <c r="G329" s="11">
        <f t="shared" si="30"/>
        <v>-7.2289511155438397</v>
      </c>
    </row>
    <row r="330" spans="5:7" x14ac:dyDescent="0.25">
      <c r="E330" s="11">
        <f t="shared" si="28"/>
        <v>-57</v>
      </c>
      <c r="F330" s="11">
        <f t="shared" si="29"/>
        <v>-7.1303554664564679</v>
      </c>
      <c r="G330" s="11">
        <f t="shared" si="30"/>
        <v>-7.1334961588757251</v>
      </c>
    </row>
    <row r="331" spans="5:7" x14ac:dyDescent="0.25">
      <c r="E331" s="11">
        <f t="shared" si="28"/>
        <v>-56</v>
      </c>
      <c r="F331" s="11">
        <f t="shared" si="29"/>
        <v>-7.0351559395053709</v>
      </c>
      <c r="G331" s="11">
        <f t="shared" si="30"/>
        <v>-7.0371691441493809</v>
      </c>
    </row>
    <row r="332" spans="5:7" x14ac:dyDescent="0.25">
      <c r="E332" s="11">
        <f t="shared" si="28"/>
        <v>-55</v>
      </c>
      <c r="F332" s="11">
        <f t="shared" si="29"/>
        <v>-6.9389940820779437</v>
      </c>
      <c r="G332" s="11">
        <f t="shared" si="30"/>
        <v>-6.9399450992373524</v>
      </c>
    </row>
    <row r="333" spans="5:7" x14ac:dyDescent="0.25">
      <c r="E333" s="11">
        <f t="shared" si="28"/>
        <v>-54</v>
      </c>
      <c r="F333" s="11">
        <f t="shared" si="29"/>
        <v>-6.8418378128685911</v>
      </c>
      <c r="G333" s="11">
        <f t="shared" si="30"/>
        <v>-6.841799052012183</v>
      </c>
    </row>
    <row r="334" spans="5:7" x14ac:dyDescent="0.25">
      <c r="E334" s="11">
        <f t="shared" si="28"/>
        <v>-53</v>
      </c>
      <c r="F334" s="11">
        <f t="shared" si="29"/>
        <v>-6.7436573904091945</v>
      </c>
      <c r="G334" s="11">
        <f t="shared" si="30"/>
        <v>-6.742706030346417</v>
      </c>
    </row>
    <row r="335" spans="5:7" x14ac:dyDescent="0.25">
      <c r="E335" s="11">
        <f t="shared" si="28"/>
        <v>-52</v>
      </c>
      <c r="F335" s="11">
        <f t="shared" si="29"/>
        <v>-6.6444254388549906</v>
      </c>
      <c r="G335" s="11">
        <f t="shared" si="30"/>
        <v>-6.6426410621125989</v>
      </c>
    </row>
    <row r="336" spans="5:7" x14ac:dyDescent="0.25">
      <c r="E336" s="11">
        <f t="shared" si="28"/>
        <v>-51</v>
      </c>
      <c r="F336" s="11">
        <f t="shared" si="29"/>
        <v>-6.54411696522752</v>
      </c>
      <c r="G336" s="11">
        <f t="shared" si="30"/>
        <v>-6.5415791751832719</v>
      </c>
    </row>
    <row r="337" spans="5:7" x14ac:dyDescent="0.25">
      <c r="E337" s="11">
        <f t="shared" si="28"/>
        <v>-50</v>
      </c>
      <c r="F337" s="11">
        <f t="shared" si="29"/>
        <v>-6.4427093681720882</v>
      </c>
      <c r="G337" s="11">
        <f t="shared" si="30"/>
        <v>-6.4394953974309823</v>
      </c>
    </row>
    <row r="338" spans="5:7" x14ac:dyDescent="0.25">
      <c r="E338" s="11">
        <f t="shared" si="28"/>
        <v>-49</v>
      </c>
      <c r="F338" s="11">
        <f t="shared" si="29"/>
        <v>-6.3401824383072043</v>
      </c>
      <c r="G338" s="11">
        <f t="shared" si="30"/>
        <v>-6.3363647567282726</v>
      </c>
    </row>
    <row r="339" spans="5:7" x14ac:dyDescent="0.25">
      <c r="E339" s="11">
        <f t="shared" si="28"/>
        <v>-48</v>
      </c>
      <c r="F339" s="11">
        <f t="shared" si="29"/>
        <v>-6.2365183502636627</v>
      </c>
      <c r="G339" s="11">
        <f t="shared" si="30"/>
        <v>-6.2321622809476889</v>
      </c>
    </row>
    <row r="340" spans="5:7" x14ac:dyDescent="0.25">
      <c r="E340" s="11">
        <f t="shared" si="28"/>
        <v>-47</v>
      </c>
      <c r="F340" s="11">
        <f t="shared" si="29"/>
        <v>-6.131701646530912</v>
      </c>
      <c r="G340" s="11">
        <f t="shared" si="30"/>
        <v>-6.1268629979617728</v>
      </c>
    </row>
    <row r="341" spans="5:7" x14ac:dyDescent="0.25">
      <c r="E341" s="11">
        <f t="shared" si="28"/>
        <v>-46</v>
      </c>
      <c r="F341" s="11">
        <f t="shared" si="29"/>
        <v>-6.0257192132484949</v>
      </c>
      <c r="G341" s="11">
        <f t="shared" si="30"/>
        <v>-6.0204419356430696</v>
      </c>
    </row>
    <row r="342" spans="5:7" x14ac:dyDescent="0.25">
      <c r="E342" s="11">
        <f t="shared" si="28"/>
        <v>-45</v>
      </c>
      <c r="F342" s="11">
        <f t="shared" si="29"/>
        <v>-5.9185602481004596</v>
      </c>
      <c r="G342" s="11">
        <f t="shared" si="30"/>
        <v>-5.9128741218641245</v>
      </c>
    </row>
    <row r="343" spans="5:7" x14ac:dyDescent="0.25">
      <c r="E343" s="11">
        <f t="shared" si="28"/>
        <v>-44</v>
      </c>
      <c r="F343" s="11">
        <f t="shared" si="29"/>
        <v>-5.8102162204906502</v>
      </c>
      <c r="G343" s="11">
        <f t="shared" si="30"/>
        <v>-5.8041402853293755</v>
      </c>
    </row>
    <row r="344" spans="5:7" x14ac:dyDescent="0.25">
      <c r="E344" s="11">
        <f t="shared" si="28"/>
        <v>-43</v>
      </c>
      <c r="F344" s="11">
        <f t="shared" si="29"/>
        <v>-5.7006808241969473</v>
      </c>
      <c r="G344" s="11">
        <f t="shared" si="30"/>
        <v>-5.6942439580708273</v>
      </c>
    </row>
    <row r="345" spans="5:7" x14ac:dyDescent="0.25">
      <c r="E345" s="11">
        <f t="shared" si="28"/>
        <v>-42</v>
      </c>
      <c r="F345" s="11">
        <f t="shared" si="29"/>
        <v>-5.5899499227226013</v>
      </c>
      <c r="G345" s="11">
        <f t="shared" si="30"/>
        <v>-5.5831943729523816</v>
      </c>
    </row>
    <row r="346" spans="5:7" x14ac:dyDescent="0.25">
      <c r="E346" s="11">
        <f t="shared" si="28"/>
        <v>-41</v>
      </c>
      <c r="F346" s="11">
        <f t="shared" si="29"/>
        <v>-5.4780214875828381</v>
      </c>
      <c r="G346" s="11">
        <f t="shared" si="30"/>
        <v>-5.4710007628379431</v>
      </c>
    </row>
    <row r="347" spans="5:7" x14ac:dyDescent="0.25">
      <c r="E347" s="11">
        <f t="shared" si="28"/>
        <v>-40</v>
      </c>
      <c r="F347" s="11">
        <f t="shared" si="29"/>
        <v>-5.3648955297850893</v>
      </c>
      <c r="G347" s="11">
        <f t="shared" si="30"/>
        <v>-5.3576723605914109</v>
      </c>
    </row>
    <row r="348" spans="5:7" x14ac:dyDescent="0.25">
      <c r="E348" s="11">
        <f t="shared" si="28"/>
        <v>-39</v>
      </c>
      <c r="F348" s="11">
        <f t="shared" si="29"/>
        <v>-5.2505740247812112</v>
      </c>
      <c r="G348" s="11">
        <f t="shared" si="30"/>
        <v>-5.2432183990766861</v>
      </c>
    </row>
    <row r="349" spans="5:7" x14ac:dyDescent="0.25">
      <c r="E349" s="11">
        <f t="shared" si="28"/>
        <v>-38</v>
      </c>
      <c r="F349" s="11">
        <f t="shared" si="29"/>
        <v>-5.135060831190204</v>
      </c>
      <c r="G349" s="11">
        <f t="shared" si="30"/>
        <v>-5.1276481111576704</v>
      </c>
    </row>
    <row r="350" spans="5:7" x14ac:dyDescent="0.25">
      <c r="E350" s="11">
        <f t="shared" si="28"/>
        <v>-37</v>
      </c>
      <c r="F350" s="11">
        <f t="shared" si="29"/>
        <v>-5.0183616036099794</v>
      </c>
      <c r="G350" s="11">
        <f t="shared" si="30"/>
        <v>-5.0109707296982666</v>
      </c>
    </row>
    <row r="351" spans="5:7" x14ac:dyDescent="0.25">
      <c r="E351" s="11">
        <f t="shared" ref="E351:E414" si="31">E144</f>
        <v>-36</v>
      </c>
      <c r="F351" s="11">
        <f t="shared" ref="F351:F414" si="32">$H$217*0+E351*$I$217+E351^2*$J$217+E351^3*$K$217+E351^4*$L$217+E351^5*$M$217+E351^6*$N$217+E351^7*$O$217+E351^8*$P$217</f>
        <v>-4.9004836998568484</v>
      </c>
      <c r="G351" s="11">
        <f t="shared" ref="G351:G414" si="33">F144</f>
        <v>-4.8931954875623722</v>
      </c>
    </row>
    <row r="352" spans="5:7" x14ac:dyDescent="0.25">
      <c r="E352" s="11">
        <f t="shared" si="31"/>
        <v>-35</v>
      </c>
      <c r="F352" s="11">
        <f t="shared" si="32"/>
        <v>-4.7814360829914886</v>
      </c>
      <c r="G352" s="11">
        <f t="shared" si="33"/>
        <v>-4.7743316176138917</v>
      </c>
    </row>
    <row r="353" spans="5:7" x14ac:dyDescent="0.25">
      <c r="E353" s="11">
        <f t="shared" si="31"/>
        <v>-34</v>
      </c>
      <c r="F353" s="11">
        <f t="shared" si="32"/>
        <v>-4.6612292185102238</v>
      </c>
      <c r="G353" s="11">
        <f t="shared" si="33"/>
        <v>-4.6543883527167242</v>
      </c>
    </row>
    <row r="354" spans="5:7" x14ac:dyDescent="0.25">
      <c r="E354" s="11">
        <f t="shared" si="31"/>
        <v>-33</v>
      </c>
      <c r="F354" s="11">
        <f t="shared" si="32"/>
        <v>-4.5398749671005163</v>
      </c>
      <c r="G354" s="11">
        <f t="shared" si="33"/>
        <v>-4.5333749257347744</v>
      </c>
    </row>
    <row r="355" spans="5:7" x14ac:dyDescent="0.25">
      <c r="E355" s="11">
        <f t="shared" si="31"/>
        <v>-32</v>
      </c>
      <c r="F355" s="11">
        <f t="shared" si="32"/>
        <v>-4.4173864733797421</v>
      </c>
      <c r="G355" s="11">
        <f t="shared" si="33"/>
        <v>-4.4113005695319387</v>
      </c>
    </row>
    <row r="356" spans="5:7" x14ac:dyDescent="0.25">
      <c r="E356" s="11">
        <f t="shared" si="31"/>
        <v>-31</v>
      </c>
      <c r="F356" s="11">
        <f t="shared" si="32"/>
        <v>-4.2937780510562904</v>
      </c>
      <c r="G356" s="11">
        <f t="shared" si="33"/>
        <v>-4.2881745169721217</v>
      </c>
    </row>
    <row r="357" spans="5:7" x14ac:dyDescent="0.25">
      <c r="E357" s="11">
        <f t="shared" si="31"/>
        <v>-30</v>
      </c>
      <c r="F357" s="11">
        <f t="shared" si="32"/>
        <v>-4.1690650649722212</v>
      </c>
      <c r="G357" s="11">
        <f t="shared" si="33"/>
        <v>-4.1640060009192252</v>
      </c>
    </row>
    <row r="358" spans="5:7" x14ac:dyDescent="0.25">
      <c r="E358" s="11">
        <f t="shared" si="31"/>
        <v>-29</v>
      </c>
      <c r="F358" s="11">
        <f t="shared" si="32"/>
        <v>-4.0432638105067484</v>
      </c>
      <c r="G358" s="11">
        <f t="shared" si="33"/>
        <v>-4.0388042542371476</v>
      </c>
    </row>
    <row r="359" spans="5:7" x14ac:dyDescent="0.25">
      <c r="E359" s="11">
        <f t="shared" si="31"/>
        <v>-28</v>
      </c>
      <c r="F359" s="11">
        <f t="shared" si="32"/>
        <v>-3.9163913908399071</v>
      </c>
      <c r="G359" s="11">
        <f t="shared" si="33"/>
        <v>-3.9125785097897925</v>
      </c>
    </row>
    <row r="360" spans="5:7" x14ac:dyDescent="0.25">
      <c r="E360" s="11">
        <f t="shared" si="31"/>
        <v>-27</v>
      </c>
      <c r="F360" s="11">
        <f t="shared" si="32"/>
        <v>-3.7884655925958755</v>
      </c>
      <c r="G360" s="11">
        <f t="shared" si="33"/>
        <v>-3.7853380004410604</v>
      </c>
    </row>
    <row r="361" spans="5:7" x14ac:dyDescent="0.25">
      <c r="E361" s="11">
        <f t="shared" si="31"/>
        <v>-26</v>
      </c>
      <c r="F361" s="11">
        <f t="shared" si="32"/>
        <v>-3.6595047604054822</v>
      </c>
      <c r="G361" s="11">
        <f t="shared" si="33"/>
        <v>-3.6570919590548523</v>
      </c>
    </row>
    <row r="362" spans="5:7" x14ac:dyDescent="0.25">
      <c r="E362" s="11">
        <f t="shared" si="31"/>
        <v>-25</v>
      </c>
      <c r="F362" s="11">
        <f t="shared" si="32"/>
        <v>-3.5295276709475507</v>
      </c>
      <c r="G362" s="11">
        <f t="shared" si="33"/>
        <v>-3.5278496184950696</v>
      </c>
    </row>
    <row r="363" spans="5:7" x14ac:dyDescent="0.25">
      <c r="E363" s="11">
        <f t="shared" si="31"/>
        <v>-24</v>
      </c>
      <c r="F363" s="11">
        <f t="shared" si="32"/>
        <v>-3.3985534070487695</v>
      </c>
      <c r="G363" s="11">
        <f t="shared" si="33"/>
        <v>-3.3976202116256138</v>
      </c>
    </row>
    <row r="364" spans="5:7" x14ac:dyDescent="0.25">
      <c r="E364" s="11">
        <f t="shared" si="31"/>
        <v>-23</v>
      </c>
      <c r="F364" s="11">
        <f t="shared" si="32"/>
        <v>-3.2666012324419409</v>
      </c>
      <c r="G364" s="11">
        <f t="shared" si="33"/>
        <v>-3.2664129713103862</v>
      </c>
    </row>
    <row r="365" spans="5:7" x14ac:dyDescent="0.25">
      <c r="E365" s="11">
        <f t="shared" si="31"/>
        <v>-22</v>
      </c>
      <c r="F365" s="11">
        <f t="shared" si="32"/>
        <v>-3.133690467802468</v>
      </c>
      <c r="G365" s="11">
        <f t="shared" si="33"/>
        <v>-3.1342371304132883</v>
      </c>
    </row>
    <row r="366" spans="5:7" x14ac:dyDescent="0.25">
      <c r="E366" s="11">
        <f t="shared" si="31"/>
        <v>-21</v>
      </c>
      <c r="F366" s="11">
        <f t="shared" si="32"/>
        <v>-2.9998403687030839</v>
      </c>
      <c r="G366" s="11">
        <f t="shared" si="33"/>
        <v>-3.0011019217982202</v>
      </c>
    </row>
    <row r="367" spans="5:7" x14ac:dyDescent="0.25">
      <c r="E367" s="11">
        <f t="shared" si="31"/>
        <v>-20</v>
      </c>
      <c r="F367" s="11">
        <f t="shared" si="32"/>
        <v>-2.8650700061468979</v>
      </c>
      <c r="G367" s="11">
        <f t="shared" si="33"/>
        <v>-2.8670165783290846</v>
      </c>
    </row>
    <row r="368" spans="5:7" x14ac:dyDescent="0.25">
      <c r="E368" s="11">
        <f t="shared" si="31"/>
        <v>-19</v>
      </c>
      <c r="F368" s="11">
        <f t="shared" si="32"/>
        <v>-2.7293981503589144</v>
      </c>
      <c r="G368" s="11">
        <f t="shared" si="33"/>
        <v>-2.7319903328697817</v>
      </c>
    </row>
    <row r="369" spans="5:7" x14ac:dyDescent="0.25">
      <c r="E369" s="11">
        <f t="shared" si="31"/>
        <v>-18</v>
      </c>
      <c r="F369" s="11">
        <f t="shared" si="32"/>
        <v>-2.5928431585362763</v>
      </c>
      <c r="G369" s="11">
        <f t="shared" si="33"/>
        <v>-2.5960324182842132</v>
      </c>
    </row>
    <row r="370" spans="5:7" x14ac:dyDescent="0.25">
      <c r="E370" s="11">
        <f t="shared" si="31"/>
        <v>-17</v>
      </c>
      <c r="F370" s="11">
        <f t="shared" si="32"/>
        <v>-2.4554228672775817</v>
      </c>
      <c r="G370" s="11">
        <f t="shared" si="33"/>
        <v>-2.4591520674362801</v>
      </c>
    </row>
    <row r="371" spans="5:7" x14ac:dyDescent="0.25">
      <c r="E371" s="11">
        <f t="shared" si="31"/>
        <v>-16</v>
      </c>
      <c r="F371" s="11">
        <f t="shared" si="32"/>
        <v>-2.3171544904316863</v>
      </c>
      <c r="G371" s="11">
        <f t="shared" si="33"/>
        <v>-2.3213585131898848</v>
      </c>
    </row>
    <row r="372" spans="5:7" x14ac:dyDescent="0.25">
      <c r="E372" s="11">
        <f t="shared" si="31"/>
        <v>-15</v>
      </c>
      <c r="F372" s="11">
        <f t="shared" si="32"/>
        <v>-2.1780545231265163</v>
      </c>
      <c r="G372" s="11">
        <f t="shared" si="33"/>
        <v>-2.182660988408927</v>
      </c>
    </row>
    <row r="373" spans="5:7" x14ac:dyDescent="0.25">
      <c r="E373" s="11">
        <f t="shared" si="31"/>
        <v>-14</v>
      </c>
      <c r="F373" s="11">
        <f t="shared" si="32"/>
        <v>-2.0381386527585006</v>
      </c>
      <c r="G373" s="11">
        <f t="shared" si="33"/>
        <v>-2.0430687259573084</v>
      </c>
    </row>
    <row r="374" spans="5:7" x14ac:dyDescent="0.25">
      <c r="E374" s="11">
        <f t="shared" si="31"/>
        <v>-13</v>
      </c>
      <c r="F374" s="11">
        <f t="shared" si="32"/>
        <v>-1.8974216777432991</v>
      </c>
      <c r="G374" s="11">
        <f t="shared" si="33"/>
        <v>-1.9025909586989307</v>
      </c>
    </row>
    <row r="375" spans="5:7" x14ac:dyDescent="0.25">
      <c r="E375" s="11">
        <f t="shared" si="31"/>
        <v>-12</v>
      </c>
      <c r="F375" s="11">
        <f t="shared" si="32"/>
        <v>-1.7559174348486268</v>
      </c>
      <c r="G375" s="11">
        <f t="shared" si="33"/>
        <v>-1.7612369194976951</v>
      </c>
    </row>
    <row r="376" spans="5:7" x14ac:dyDescent="0.25">
      <c r="E376" s="11">
        <f t="shared" si="31"/>
        <v>-11</v>
      </c>
      <c r="F376" s="11">
        <f t="shared" si="32"/>
        <v>-1.6136387359500219</v>
      </c>
      <c r="G376" s="11">
        <f t="shared" si="33"/>
        <v>-1.6190158412175029</v>
      </c>
    </row>
    <row r="377" spans="5:7" x14ac:dyDescent="0.25">
      <c r="E377" s="11">
        <f t="shared" si="31"/>
        <v>-10</v>
      </c>
      <c r="F377" s="11">
        <f t="shared" si="32"/>
        <v>-1.4705973150705367</v>
      </c>
      <c r="G377" s="11">
        <f t="shared" si="33"/>
        <v>-1.4759369567222549</v>
      </c>
    </row>
    <row r="378" spans="5:7" x14ac:dyDescent="0.25">
      <c r="E378" s="11">
        <f t="shared" si="31"/>
        <v>-9</v>
      </c>
      <c r="F378" s="11">
        <f t="shared" si="32"/>
        <v>-1.3268037865853797</v>
      </c>
      <c r="G378" s="11">
        <f t="shared" si="33"/>
        <v>-1.3320094988758524</v>
      </c>
    </row>
    <row r="379" spans="5:7" x14ac:dyDescent="0.25">
      <c r="E379" s="11">
        <f t="shared" si="31"/>
        <v>-8</v>
      </c>
      <c r="F379" s="11">
        <f t="shared" si="32"/>
        <v>-1.1822676154926506</v>
      </c>
      <c r="G379" s="11">
        <f t="shared" si="33"/>
        <v>-1.1872427005421973</v>
      </c>
    </row>
    <row r="380" spans="5:7" x14ac:dyDescent="0.25">
      <c r="E380" s="11">
        <f t="shared" si="31"/>
        <v>-7</v>
      </c>
      <c r="F380" s="11">
        <f t="shared" si="32"/>
        <v>-1.0369971006713921</v>
      </c>
      <c r="G380" s="11">
        <f t="shared" si="33"/>
        <v>-1.0416457945851905</v>
      </c>
    </row>
    <row r="381" spans="5:7" x14ac:dyDescent="0.25">
      <c r="E381" s="11">
        <f t="shared" si="31"/>
        <v>-6</v>
      </c>
      <c r="F381" s="11">
        <f t="shared" si="32"/>
        <v>-0.8909993720682603</v>
      </c>
      <c r="G381" s="11">
        <f t="shared" si="33"/>
        <v>-0.89522801386873296</v>
      </c>
    </row>
    <row r="382" spans="5:7" x14ac:dyDescent="0.25">
      <c r="E382" s="11">
        <f t="shared" si="31"/>
        <v>-5</v>
      </c>
      <c r="F382" s="11">
        <f t="shared" si="32"/>
        <v>-0.74428040277422391</v>
      </c>
      <c r="G382" s="11">
        <f t="shared" si="33"/>
        <v>-0.74799859125672652</v>
      </c>
    </row>
    <row r="383" spans="5:7" x14ac:dyDescent="0.25">
      <c r="E383" s="11">
        <f t="shared" si="31"/>
        <v>-4</v>
      </c>
      <c r="F383" s="11">
        <f t="shared" si="32"/>
        <v>-0.59684503697276858</v>
      </c>
      <c r="G383" s="11">
        <f t="shared" si="33"/>
        <v>-0.599966759613072</v>
      </c>
    </row>
    <row r="384" spans="5:7" x14ac:dyDescent="0.25">
      <c r="E384" s="11">
        <f t="shared" si="31"/>
        <v>-3</v>
      </c>
      <c r="F384" s="11">
        <f t="shared" si="32"/>
        <v>-0.44869703476119005</v>
      </c>
      <c r="G384" s="11">
        <f t="shared" si="33"/>
        <v>-0.45114175180167082</v>
      </c>
    </row>
    <row r="385" spans="5:7" x14ac:dyDescent="0.25">
      <c r="E385" s="11">
        <f t="shared" si="31"/>
        <v>-2</v>
      </c>
      <c r="F385" s="11">
        <f t="shared" si="32"/>
        <v>-0.29983913486663294</v>
      </c>
      <c r="G385" s="11">
        <f t="shared" si="33"/>
        <v>-0.30153280068642424</v>
      </c>
    </row>
    <row r="386" spans="5:7" x14ac:dyDescent="0.25">
      <c r="E386" s="11">
        <f t="shared" si="31"/>
        <v>-1</v>
      </c>
      <c r="F386" s="11">
        <f t="shared" si="32"/>
        <v>-0.15027313629863323</v>
      </c>
      <c r="G386" s="11">
        <f t="shared" si="33"/>
        <v>-0.15114913913123351</v>
      </c>
    </row>
    <row r="387" spans="5:7" x14ac:dyDescent="0.25">
      <c r="E387" s="11">
        <f t="shared" si="31"/>
        <v>0</v>
      </c>
      <c r="F387" s="11">
        <f t="shared" si="32"/>
        <v>0</v>
      </c>
      <c r="G387" s="11">
        <f t="shared" si="33"/>
        <v>0</v>
      </c>
    </row>
    <row r="388" spans="5:7" x14ac:dyDescent="0.25">
      <c r="E388" s="11">
        <f t="shared" si="31"/>
        <v>1</v>
      </c>
      <c r="F388" s="11">
        <f t="shared" si="32"/>
        <v>0.15098002842203276</v>
      </c>
      <c r="G388" s="11">
        <f t="shared" si="33"/>
        <v>0.15190332148872943</v>
      </c>
    </row>
    <row r="389" spans="5:7" x14ac:dyDescent="0.25">
      <c r="E389" s="11">
        <f t="shared" si="31"/>
        <v>2</v>
      </c>
      <c r="F389" s="11">
        <f t="shared" si="32"/>
        <v>0.30266727378236802</v>
      </c>
      <c r="G389" s="11">
        <f t="shared" si="33"/>
        <v>0.30454128069782505</v>
      </c>
    </row>
    <row r="390" spans="5:7" x14ac:dyDescent="0.25">
      <c r="E390" s="11">
        <f t="shared" si="31"/>
        <v>3</v>
      </c>
      <c r="F390" s="11">
        <f t="shared" si="32"/>
        <v>0.45506246310021614</v>
      </c>
      <c r="G390" s="11">
        <f t="shared" si="33"/>
        <v>0.4578922706355113</v>
      </c>
    </row>
    <row r="391" spans="5:7" x14ac:dyDescent="0.25">
      <c r="E391" s="11">
        <f t="shared" si="31"/>
        <v>4</v>
      </c>
      <c r="F391" s="11">
        <f t="shared" si="32"/>
        <v>0.60816653293468048</v>
      </c>
      <c r="G391" s="11">
        <f t="shared" si="33"/>
        <v>0.61193468431001263</v>
      </c>
    </row>
    <row r="392" spans="5:7" x14ac:dyDescent="0.25">
      <c r="E392" s="11">
        <f t="shared" si="31"/>
        <v>5</v>
      </c>
      <c r="F392" s="11">
        <f t="shared" si="32"/>
        <v>0.76198041111147596</v>
      </c>
      <c r="G392" s="11">
        <f t="shared" si="33"/>
        <v>0.76664691472955382</v>
      </c>
    </row>
    <row r="393" spans="5:7" x14ac:dyDescent="0.25">
      <c r="E393" s="11">
        <f t="shared" si="31"/>
        <v>6</v>
      </c>
      <c r="F393" s="11">
        <f t="shared" si="32"/>
        <v>0.91650477165841182</v>
      </c>
      <c r="G393" s="11">
        <f t="shared" si="33"/>
        <v>0.92200735490235919</v>
      </c>
    </row>
    <row r="394" spans="5:7" x14ac:dyDescent="0.25">
      <c r="E394" s="11">
        <f t="shared" si="31"/>
        <v>7</v>
      </c>
      <c r="F394" s="11">
        <f t="shared" si="32"/>
        <v>1.0717397617471791</v>
      </c>
      <c r="G394" s="11">
        <f t="shared" si="33"/>
        <v>1.0779943978366531</v>
      </c>
    </row>
    <row r="395" spans="5:7" x14ac:dyDescent="0.25">
      <c r="E395" s="11">
        <f t="shared" si="31"/>
        <v>8</v>
      </c>
      <c r="F395" s="11">
        <f t="shared" si="32"/>
        <v>1.2276846994188961</v>
      </c>
      <c r="G395" s="11">
        <f t="shared" si="33"/>
        <v>1.2345864365406607</v>
      </c>
    </row>
    <row r="396" spans="5:7" x14ac:dyDescent="0.25">
      <c r="E396" s="11">
        <f t="shared" si="31"/>
        <v>9</v>
      </c>
      <c r="F396" s="11">
        <f t="shared" si="32"/>
        <v>1.3843377408507773</v>
      </c>
      <c r="G396" s="11">
        <f t="shared" si="33"/>
        <v>1.3917618640226059</v>
      </c>
    </row>
    <row r="397" spans="5:7" x14ac:dyDescent="0.25">
      <c r="E397" s="11">
        <f t="shared" si="31"/>
        <v>10</v>
      </c>
      <c r="F397" s="11">
        <f t="shared" si="32"/>
        <v>1.5416955159012049</v>
      </c>
      <c r="G397" s="11">
        <f t="shared" si="33"/>
        <v>1.5494990732907135</v>
      </c>
    </row>
    <row r="398" spans="5:7" x14ac:dyDescent="0.25">
      <c r="E398" s="11">
        <f t="shared" si="31"/>
        <v>11</v>
      </c>
      <c r="F398" s="11">
        <f t="shared" si="32"/>
        <v>1.6997527306503837</v>
      </c>
      <c r="G398" s="11">
        <f t="shared" si="33"/>
        <v>1.7077764573532079</v>
      </c>
    </row>
    <row r="399" spans="5:7" x14ac:dyDescent="0.25">
      <c r="E399" s="11">
        <f t="shared" si="31"/>
        <v>12</v>
      </c>
      <c r="F399" s="11">
        <f t="shared" si="32"/>
        <v>1.8585017356336937</v>
      </c>
      <c r="G399" s="11">
        <f t="shared" si="33"/>
        <v>1.8665724092183138</v>
      </c>
    </row>
    <row r="400" spans="5:7" x14ac:dyDescent="0.25">
      <c r="E400" s="11">
        <f t="shared" si="31"/>
        <v>13</v>
      </c>
      <c r="F400" s="11">
        <f t="shared" si="32"/>
        <v>2.0179320584447349</v>
      </c>
      <c r="G400" s="11">
        <f t="shared" si="33"/>
        <v>2.0258653218942553</v>
      </c>
    </row>
    <row r="401" spans="5:7" x14ac:dyDescent="0.25">
      <c r="E401" s="11">
        <f t="shared" si="31"/>
        <v>14</v>
      </c>
      <c r="F401" s="11">
        <f t="shared" si="32"/>
        <v>2.1780298993650007</v>
      </c>
      <c r="G401" s="11">
        <f t="shared" si="33"/>
        <v>2.1856335883892575</v>
      </c>
    </row>
    <row r="402" spans="5:7" x14ac:dyDescent="0.25">
      <c r="E402" s="11">
        <f t="shared" si="31"/>
        <v>15</v>
      </c>
      <c r="F402" s="11">
        <f t="shared" si="32"/>
        <v>2.3387775886570119</v>
      </c>
      <c r="G402" s="11">
        <f t="shared" si="33"/>
        <v>2.3458556017115448</v>
      </c>
    </row>
    <row r="403" spans="5:7" x14ac:dyDescent="0.25">
      <c r="E403" s="11">
        <f t="shared" si="31"/>
        <v>16</v>
      </c>
      <c r="F403" s="11">
        <f t="shared" si="32"/>
        <v>2.500153004137657</v>
      </c>
      <c r="G403" s="11">
        <f t="shared" si="33"/>
        <v>2.5065097548693411</v>
      </c>
    </row>
    <row r="404" spans="5:7" x14ac:dyDescent="0.25">
      <c r="E404" s="11">
        <f t="shared" si="31"/>
        <v>17</v>
      </c>
      <c r="F404" s="11">
        <f t="shared" si="32"/>
        <v>2.6621289476283909</v>
      </c>
      <c r="G404" s="11">
        <f t="shared" si="33"/>
        <v>2.6675744408708715</v>
      </c>
    </row>
    <row r="405" spans="5:7" x14ac:dyDescent="0.25">
      <c r="E405" s="11">
        <f t="shared" si="31"/>
        <v>18</v>
      </c>
      <c r="F405" s="11">
        <f t="shared" si="32"/>
        <v>2.8246724788588886</v>
      </c>
      <c r="G405" s="11">
        <f t="shared" si="33"/>
        <v>2.829028052724361</v>
      </c>
    </row>
    <row r="406" spans="5:7" x14ac:dyDescent="0.25">
      <c r="E406" s="11">
        <f t="shared" si="31"/>
        <v>19</v>
      </c>
      <c r="F406" s="11">
        <f t="shared" si="32"/>
        <v>2.9877442053805909</v>
      </c>
      <c r="G406" s="11">
        <f t="shared" si="33"/>
        <v>2.9908489834380334</v>
      </c>
    </row>
    <row r="407" spans="5:7" x14ac:dyDescent="0.25">
      <c r="E407" s="11">
        <f t="shared" si="31"/>
        <v>20</v>
      </c>
      <c r="F407" s="11">
        <f t="shared" si="32"/>
        <v>3.1512975270265815</v>
      </c>
      <c r="G407" s="11">
        <f t="shared" si="33"/>
        <v>3.153015626020113</v>
      </c>
    </row>
    <row r="408" spans="5:7" x14ac:dyDescent="0.25">
      <c r="E408" s="11">
        <f t="shared" si="31"/>
        <v>21</v>
      </c>
      <c r="F408" s="11">
        <f t="shared" si="32"/>
        <v>3.3152778334340764</v>
      </c>
      <c r="G408" s="11">
        <f t="shared" si="33"/>
        <v>3.3155063734788253</v>
      </c>
    </row>
    <row r="409" spans="5:7" x14ac:dyDescent="0.25">
      <c r="E409" s="11">
        <f t="shared" si="31"/>
        <v>22</v>
      </c>
      <c r="F409" s="11">
        <f t="shared" si="32"/>
        <v>3.4796216531257431</v>
      </c>
      <c r="G409" s="11">
        <f t="shared" si="33"/>
        <v>3.4782996188223936</v>
      </c>
    </row>
    <row r="410" spans="5:7" x14ac:dyDescent="0.25">
      <c r="E410" s="11">
        <f t="shared" si="31"/>
        <v>23</v>
      </c>
      <c r="F410" s="11">
        <f t="shared" si="32"/>
        <v>3.6442557526259876</v>
      </c>
      <c r="G410" s="11">
        <f t="shared" si="33"/>
        <v>3.641373755059043</v>
      </c>
    </row>
    <row r="411" spans="5:7" x14ac:dyDescent="0.25">
      <c r="E411" s="11">
        <f t="shared" si="31"/>
        <v>24</v>
      </c>
      <c r="F411" s="11">
        <f t="shared" si="32"/>
        <v>3.8090961840682453</v>
      </c>
      <c r="G411" s="11">
        <f t="shared" si="33"/>
        <v>3.8047071751969987</v>
      </c>
    </row>
    <row r="412" spans="5:7" x14ac:dyDescent="0.25">
      <c r="E412" s="11">
        <f t="shared" si="31"/>
        <v>25</v>
      </c>
      <c r="F412" s="11">
        <f t="shared" si="32"/>
        <v>3.9740472797292279</v>
      </c>
      <c r="G412" s="11">
        <f t="shared" si="33"/>
        <v>3.968278272244484</v>
      </c>
    </row>
    <row r="413" spans="5:7" x14ac:dyDescent="0.25">
      <c r="E413" s="11">
        <f t="shared" si="31"/>
        <v>26</v>
      </c>
      <c r="F413" s="11">
        <f t="shared" si="32"/>
        <v>4.1390005919059885</v>
      </c>
      <c r="G413" s="11">
        <f t="shared" si="33"/>
        <v>4.1320654392097245</v>
      </c>
    </row>
    <row r="414" spans="5:7" x14ac:dyDescent="0.25">
      <c r="E414" s="11">
        <f t="shared" si="31"/>
        <v>27</v>
      </c>
      <c r="F414" s="11">
        <f t="shared" si="32"/>
        <v>4.3038337765315839</v>
      </c>
      <c r="G414" s="11">
        <f t="shared" si="33"/>
        <v>4.2960470691009442</v>
      </c>
    </row>
    <row r="415" spans="5:7" x14ac:dyDescent="0.25">
      <c r="E415" s="11">
        <f t="shared" ref="E415:E422" si="34">E208</f>
        <v>28</v>
      </c>
      <c r="F415" s="11">
        <f t="shared" ref="F415:F422" si="35">$H$217*0+E415*$I$217+E415^2*$J$217+E415^3*$K$217+E415^4*$L$217+E415^5*$M$217+E415^6*$N$217+E415^7*$O$217+E415^8*$P$217</f>
        <v>4.468409418905023</v>
      </c>
      <c r="G415" s="11">
        <f t="shared" ref="G415:G422" si="36">F208</f>
        <v>4.4602015549263676</v>
      </c>
    </row>
    <row r="416" spans="5:7" x14ac:dyDescent="0.25">
      <c r="E416" s="11">
        <f t="shared" si="34"/>
        <v>29</v>
      </c>
      <c r="F416" s="11">
        <f t="shared" si="35"/>
        <v>4.6325737998910936</v>
      </c>
      <c r="G416" s="11">
        <f t="shared" si="36"/>
        <v>4.6245072896942192</v>
      </c>
    </row>
    <row r="417" spans="5:7" x14ac:dyDescent="0.25">
      <c r="E417" s="11">
        <f t="shared" si="34"/>
        <v>30</v>
      </c>
      <c r="F417" s="11">
        <f t="shared" si="35"/>
        <v>4.7961556009255872</v>
      </c>
      <c r="G417" s="11">
        <f t="shared" si="36"/>
        <v>4.7889426664127246</v>
      </c>
    </row>
    <row r="418" spans="5:7" x14ac:dyDescent="0.25">
      <c r="E418" s="11">
        <f t="shared" si="34"/>
        <v>31</v>
      </c>
      <c r="F418" s="11">
        <f t="shared" si="35"/>
        <v>4.9589645461413339</v>
      </c>
      <c r="G418" s="11">
        <f t="shared" si="36"/>
        <v>4.9534860780901058</v>
      </c>
    </row>
    <row r="419" spans="5:7" x14ac:dyDescent="0.25">
      <c r="E419" s="11">
        <f t="shared" si="34"/>
        <v>32</v>
      </c>
      <c r="F419" s="11">
        <f t="shared" si="35"/>
        <v>5.120789979910394</v>
      </c>
      <c r="G419" s="11">
        <f t="shared" si="36"/>
        <v>5.1181159177345901</v>
      </c>
    </row>
    <row r="420" spans="5:7" x14ac:dyDescent="0.25">
      <c r="E420" s="11">
        <f t="shared" si="34"/>
        <v>33</v>
      </c>
      <c r="F420" s="11">
        <f t="shared" si="35"/>
        <v>5.2813993780776372</v>
      </c>
      <c r="G420" s="11">
        <f t="shared" si="36"/>
        <v>5.2828105783544004</v>
      </c>
    </row>
    <row r="421" spans="5:7" x14ac:dyDescent="0.25">
      <c r="E421" s="11">
        <f t="shared" si="34"/>
        <v>34</v>
      </c>
      <c r="F421" s="11">
        <f t="shared" si="35"/>
        <v>5.4405367911408842</v>
      </c>
      <c r="G421" s="11">
        <f t="shared" si="36"/>
        <v>5.4475484529577614</v>
      </c>
    </row>
    <row r="422" spans="5:7" x14ac:dyDescent="0.25">
      <c r="E422" s="11">
        <f t="shared" si="34"/>
        <v>35</v>
      </c>
      <c r="F422" s="11">
        <f t="shared" si="35"/>
        <v>5.5979212176126723</v>
      </c>
      <c r="G422" s="11">
        <f t="shared" si="36"/>
        <v>5.6123079345528986</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9.3029999999999995E-5</v>
      </c>
      <c r="C3" s="2">
        <v>1.204E-4</v>
      </c>
      <c r="D3" s="2">
        <v>-3.3950000000000001E-4</v>
      </c>
      <c r="E3" s="2">
        <v>0</v>
      </c>
      <c r="F3" s="2">
        <v>0</v>
      </c>
      <c r="G3" s="2">
        <v>0</v>
      </c>
      <c r="H3" s="2">
        <v>4.5256902999999999E-5</v>
      </c>
      <c r="I3" s="2">
        <v>1.200315E-5</v>
      </c>
      <c r="J3" s="2">
        <v>-1.2599827999999999E-4</v>
      </c>
      <c r="K3" s="3"/>
      <c r="L3" s="3">
        <f>-B3/D3</f>
        <v>0.27402061855670101</v>
      </c>
      <c r="M3" s="3"/>
      <c r="N3" s="2">
        <f>IF('Modell einstellen'!$B$1="Voll",H3/0.35,H3/0.35*2)</f>
        <v>1.2930543714285715E-4</v>
      </c>
      <c r="O3" s="2">
        <f>IF('Modell einstellen'!$B$1="Voll",J3/0.35,J3/0.35*2)</f>
        <v>-3.5999508571428571E-4</v>
      </c>
      <c r="P3" s="3">
        <f>-N3/O3</f>
        <v>0.35918667302442542</v>
      </c>
      <c r="Q3" s="3"/>
      <c r="R3" s="3"/>
      <c r="S3" s="3"/>
      <c r="T3" s="3"/>
      <c r="U3" s="3"/>
      <c r="V3" s="3"/>
      <c r="W3" s="3"/>
    </row>
    <row r="4" spans="1:23" x14ac:dyDescent="0.25">
      <c r="A4" s="2">
        <v>1E-14</v>
      </c>
      <c r="B4" s="2">
        <v>9.3360000000000001E-5</v>
      </c>
      <c r="C4" s="2">
        <v>1.215E-4</v>
      </c>
      <c r="D4" s="2">
        <v>-3.412E-4</v>
      </c>
      <c r="E4" s="2">
        <v>0</v>
      </c>
      <c r="F4" s="2">
        <v>0</v>
      </c>
      <c r="G4" s="2">
        <v>0</v>
      </c>
      <c r="H4" s="2">
        <v>4.5766544999999999E-5</v>
      </c>
      <c r="I4" s="2">
        <v>1.2127703000000001E-5</v>
      </c>
      <c r="J4" s="2">
        <v>-1.2697509999999999E-4</v>
      </c>
      <c r="K4" s="3"/>
      <c r="L4" s="3">
        <f t="shared" ref="L4:L33" si="0">-B4/D4</f>
        <v>0.27362250879249705</v>
      </c>
      <c r="M4" s="3"/>
      <c r="N4" s="2">
        <f>IF('Modell einstellen'!$B$1="Voll",H4/0.35,H4/0.35*2)</f>
        <v>1.3076155714285715E-4</v>
      </c>
      <c r="O4" s="2">
        <f>IF('Modell einstellen'!$B$1="Voll",J4/0.35,J4/0.35*2)</f>
        <v>-3.6278599999999998E-4</v>
      </c>
      <c r="P4" s="3">
        <f t="shared" ref="P4:P33" si="1">-N4/O4</f>
        <v>0.36043716445192803</v>
      </c>
      <c r="Q4" s="3"/>
      <c r="R4" s="3"/>
      <c r="S4" s="3"/>
      <c r="T4" s="3"/>
      <c r="U4" s="3"/>
      <c r="V4" s="3"/>
      <c r="W4" s="3"/>
    </row>
    <row r="5" spans="1:23" x14ac:dyDescent="0.25">
      <c r="A5" s="2">
        <v>1E-13</v>
      </c>
      <c r="B5" s="2">
        <v>9.5340000000000005E-5</v>
      </c>
      <c r="C5" s="2">
        <v>1.259E-4</v>
      </c>
      <c r="D5" s="2">
        <v>-3.4820000000000001E-4</v>
      </c>
      <c r="E5" s="2">
        <v>0</v>
      </c>
      <c r="F5" s="2">
        <v>0</v>
      </c>
      <c r="G5" s="2">
        <v>0</v>
      </c>
      <c r="H5" s="2">
        <v>4.7655207000000003E-5</v>
      </c>
      <c r="I5" s="2">
        <v>1.2589958E-5</v>
      </c>
      <c r="J5" s="2">
        <v>-1.3063405000000001E-4</v>
      </c>
      <c r="K5" s="3"/>
      <c r="L5" s="3">
        <f t="shared" si="0"/>
        <v>0.27380815623205057</v>
      </c>
      <c r="M5" s="3"/>
      <c r="N5" s="2">
        <f>IF('Modell einstellen'!$B$1="Voll",H5/0.35,H5/0.35*2)</f>
        <v>1.3615773428571429E-4</v>
      </c>
      <c r="O5" s="2">
        <f>IF('Modell einstellen'!$B$1="Voll",J5/0.35,J5/0.35*2)</f>
        <v>-3.7324014285714294E-4</v>
      </c>
      <c r="P5" s="3">
        <f t="shared" si="1"/>
        <v>0.36479927706444065</v>
      </c>
      <c r="Q5" s="3"/>
      <c r="R5" s="3"/>
      <c r="S5" s="3"/>
      <c r="T5" s="3"/>
      <c r="U5" s="3"/>
      <c r="V5" s="3"/>
      <c r="W5" s="3"/>
    </row>
    <row r="6" spans="1:23" x14ac:dyDescent="0.25">
      <c r="A6" s="2">
        <v>9.9999999999999998E-13</v>
      </c>
      <c r="B6" s="2">
        <v>9.6509999999999996E-5</v>
      </c>
      <c r="C6" s="2">
        <v>1.2889999999999999E-4</v>
      </c>
      <c r="D6" s="2">
        <v>-3.5290000000000001E-4</v>
      </c>
      <c r="E6" s="2">
        <v>0</v>
      </c>
      <c r="F6" s="2">
        <v>0</v>
      </c>
      <c r="G6" s="2">
        <v>0</v>
      </c>
      <c r="H6" s="2">
        <v>4.9006703000000001E-5</v>
      </c>
      <c r="I6" s="2">
        <v>1.2916457999999999E-5</v>
      </c>
      <c r="J6" s="2">
        <v>-1.3323200999999999E-4</v>
      </c>
      <c r="K6" s="3"/>
      <c r="L6" s="3">
        <f t="shared" si="0"/>
        <v>0.27347690563899119</v>
      </c>
      <c r="M6" s="3"/>
      <c r="N6" s="2">
        <f>IF('Modell einstellen'!$B$1="Voll",H6/0.35,H6/0.35*2)</f>
        <v>1.4001915142857144E-4</v>
      </c>
      <c r="O6" s="2">
        <f>IF('Modell einstellen'!$B$1="Voll",J6/0.35,J6/0.35*2)</f>
        <v>-3.806628857142857E-4</v>
      </c>
      <c r="P6" s="3">
        <f t="shared" si="1"/>
        <v>0.36782979555738898</v>
      </c>
      <c r="Q6" s="3"/>
      <c r="R6" s="3"/>
      <c r="S6" s="3"/>
      <c r="T6" s="3"/>
      <c r="U6" s="3"/>
      <c r="V6" s="3"/>
      <c r="W6" s="3"/>
    </row>
    <row r="7" spans="1:23" x14ac:dyDescent="0.25">
      <c r="A7" s="2">
        <v>9.9999999999999994E-12</v>
      </c>
      <c r="B7" s="2">
        <v>9.7579999999999997E-5</v>
      </c>
      <c r="C7" s="2">
        <v>1.3180000000000001E-4</v>
      </c>
      <c r="D7" s="2">
        <v>-3.5740000000000001E-4</v>
      </c>
      <c r="E7" s="2">
        <v>0</v>
      </c>
      <c r="F7" s="2">
        <v>0</v>
      </c>
      <c r="G7" s="2">
        <v>0</v>
      </c>
      <c r="H7" s="2">
        <v>5.0328477999999997E-5</v>
      </c>
      <c r="I7" s="2">
        <v>1.3233172000000001E-5</v>
      </c>
      <c r="J7" s="2">
        <v>-1.3576263E-4</v>
      </c>
      <c r="K7" s="3"/>
      <c r="L7" s="3">
        <f t="shared" si="0"/>
        <v>0.27302742025741467</v>
      </c>
      <c r="M7" s="3"/>
      <c r="N7" s="2">
        <f>IF('Modell einstellen'!$B$1="Voll",H7/0.35,H7/0.35*2)</f>
        <v>1.4379565142857143E-4</v>
      </c>
      <c r="O7" s="2">
        <f>IF('Modell einstellen'!$B$1="Voll",J7/0.35,J7/0.35*2)</f>
        <v>-3.878932285714286E-4</v>
      </c>
      <c r="P7" s="3">
        <f t="shared" si="1"/>
        <v>0.37070936236282398</v>
      </c>
      <c r="Q7" s="3"/>
      <c r="R7" s="3"/>
      <c r="S7" s="3"/>
      <c r="T7" s="3"/>
      <c r="U7" s="3"/>
      <c r="V7" s="3"/>
      <c r="W7" s="3"/>
    </row>
    <row r="8" spans="1:23" x14ac:dyDescent="0.25">
      <c r="A8" s="2">
        <v>1E-10</v>
      </c>
      <c r="B8" s="2">
        <v>9.8720000000000003E-5</v>
      </c>
      <c r="C8" s="2">
        <v>1.351E-4</v>
      </c>
      <c r="D8" s="2">
        <v>-3.6240000000000003E-4</v>
      </c>
      <c r="E8" s="2">
        <v>0</v>
      </c>
      <c r="F8" s="2">
        <v>0</v>
      </c>
      <c r="G8" s="2">
        <v>0</v>
      </c>
      <c r="H8" s="2">
        <v>5.1850778000000002E-5</v>
      </c>
      <c r="I8" s="2">
        <v>1.3594670999999999E-5</v>
      </c>
      <c r="J8" s="2">
        <v>-1.3866409999999999E-4</v>
      </c>
      <c r="K8" s="3"/>
      <c r="L8" s="3">
        <f t="shared" si="0"/>
        <v>0.27240618101545255</v>
      </c>
      <c r="M8" s="3"/>
      <c r="N8" s="2">
        <f>IF('Modell einstellen'!$B$1="Voll",H8/0.35,H8/0.35*2)</f>
        <v>1.4814508E-4</v>
      </c>
      <c r="O8" s="2">
        <f>IF('Modell einstellen'!$B$1="Voll",J8/0.35,J8/0.35*2)</f>
        <v>-3.9618314285714287E-4</v>
      </c>
      <c r="P8" s="3">
        <f t="shared" si="1"/>
        <v>0.37393080112300153</v>
      </c>
      <c r="Q8" s="3"/>
      <c r="R8" s="3"/>
      <c r="S8" s="3"/>
      <c r="T8" s="3"/>
      <c r="U8" s="3"/>
      <c r="V8" s="3"/>
      <c r="W8" s="3"/>
    </row>
    <row r="9" spans="1:23" x14ac:dyDescent="0.25">
      <c r="A9" s="2">
        <v>1.0000000000000001E-9</v>
      </c>
      <c r="B9" s="2">
        <v>9.9870000000000004E-5</v>
      </c>
      <c r="C9" s="2">
        <v>1.3870000000000001E-4</v>
      </c>
      <c r="D9" s="2">
        <v>-3.678E-4</v>
      </c>
      <c r="E9" s="2">
        <v>0</v>
      </c>
      <c r="F9" s="2">
        <v>0</v>
      </c>
      <c r="G9" s="2">
        <v>0</v>
      </c>
      <c r="H9" s="2">
        <v>5.3534444999999997E-5</v>
      </c>
      <c r="I9" s="2">
        <v>1.3990455E-5</v>
      </c>
      <c r="J9" s="2">
        <v>-1.4185688E-4</v>
      </c>
      <c r="K9" s="3"/>
      <c r="L9" s="3">
        <f t="shared" si="0"/>
        <v>0.27153344208809138</v>
      </c>
      <c r="M9" s="3"/>
      <c r="N9" s="2">
        <f>IF('Modell einstellen'!$B$1="Voll",H9/0.35,H9/0.35*2)</f>
        <v>1.5295555714285713E-4</v>
      </c>
      <c r="O9" s="2">
        <f>IF('Modell einstellen'!$B$1="Voll",J9/0.35,J9/0.35*2)</f>
        <v>-4.0530537142857145E-4</v>
      </c>
      <c r="P9" s="3">
        <f t="shared" si="1"/>
        <v>0.37738349384252629</v>
      </c>
      <c r="Q9" s="3"/>
      <c r="R9" s="3"/>
      <c r="S9" s="3"/>
      <c r="T9" s="3"/>
      <c r="U9" s="3"/>
      <c r="V9" s="3"/>
      <c r="W9" s="3"/>
    </row>
    <row r="10" spans="1:23" x14ac:dyDescent="0.25">
      <c r="A10" s="2">
        <v>1E-8</v>
      </c>
      <c r="B10" s="2">
        <v>1.011E-4</v>
      </c>
      <c r="C10" s="2">
        <v>1.4300000000000001E-4</v>
      </c>
      <c r="D10" s="2">
        <v>-3.7399999999999998E-4</v>
      </c>
      <c r="E10" s="2">
        <v>0</v>
      </c>
      <c r="F10" s="2">
        <v>0</v>
      </c>
      <c r="G10" s="2">
        <v>0</v>
      </c>
      <c r="H10" s="2">
        <v>5.5577649999999998E-5</v>
      </c>
      <c r="I10" s="2">
        <v>1.4465203999999999E-5</v>
      </c>
      <c r="J10" s="2">
        <v>-1.457095E-4</v>
      </c>
      <c r="K10" s="3"/>
      <c r="L10" s="3">
        <f t="shared" si="0"/>
        <v>0.27032085561497327</v>
      </c>
      <c r="M10" s="3"/>
      <c r="N10" s="2">
        <f>IF('Modell einstellen'!$B$1="Voll",H10/0.35,H10/0.35*2)</f>
        <v>1.5879328571428571E-4</v>
      </c>
      <c r="O10" s="2">
        <f>IF('Modell einstellen'!$B$1="Voll",J10/0.35,J10/0.35*2)</f>
        <v>-4.1631285714285719E-4</v>
      </c>
      <c r="P10" s="3">
        <f t="shared" si="1"/>
        <v>0.38142777238272035</v>
      </c>
      <c r="Q10" s="3"/>
      <c r="R10" s="3"/>
      <c r="S10" s="3"/>
      <c r="T10" s="3"/>
      <c r="U10" s="3"/>
      <c r="V10" s="3"/>
      <c r="W10" s="3"/>
    </row>
    <row r="11" spans="1:23" x14ac:dyDescent="0.25">
      <c r="A11" s="2">
        <v>9.9999999999999995E-8</v>
      </c>
      <c r="B11" s="2">
        <v>1.0230000000000001E-4</v>
      </c>
      <c r="C11" s="2">
        <v>1.4760000000000001E-4</v>
      </c>
      <c r="D11" s="2">
        <v>-3.8059999999999998E-4</v>
      </c>
      <c r="E11" s="2">
        <v>0</v>
      </c>
      <c r="F11" s="2">
        <v>0</v>
      </c>
      <c r="G11" s="2">
        <v>0</v>
      </c>
      <c r="H11" s="2">
        <v>5.7838172000000001E-5</v>
      </c>
      <c r="I11" s="2">
        <v>1.4983349999999999E-5</v>
      </c>
      <c r="J11" s="2">
        <v>-1.4994379E-4</v>
      </c>
      <c r="K11" s="3"/>
      <c r="L11" s="3">
        <f t="shared" si="0"/>
        <v>0.26878612716763006</v>
      </c>
      <c r="M11" s="3"/>
      <c r="N11" s="2">
        <f>IF('Modell einstellen'!$B$1="Voll",H11/0.35,H11/0.35*2)</f>
        <v>1.6525192E-4</v>
      </c>
      <c r="O11" s="2">
        <f>IF('Modell einstellen'!$B$1="Voll",J11/0.35,J11/0.35*2)</f>
        <v>-4.2841082857142859E-4</v>
      </c>
      <c r="P11" s="3">
        <f t="shared" si="1"/>
        <v>0.38573236010641054</v>
      </c>
      <c r="Q11" s="3"/>
      <c r="R11" s="3"/>
      <c r="S11" s="3"/>
      <c r="T11" s="3"/>
      <c r="U11" s="3"/>
      <c r="V11" s="3"/>
      <c r="W11" s="3"/>
    </row>
    <row r="12" spans="1:23" x14ac:dyDescent="0.25">
      <c r="A12" s="2">
        <v>9.9999999999999995E-7</v>
      </c>
      <c r="B12" s="2">
        <v>1.0340000000000001E-4</v>
      </c>
      <c r="C12" s="2">
        <v>1.5310000000000001E-4</v>
      </c>
      <c r="D12" s="2">
        <v>-3.881E-4</v>
      </c>
      <c r="E12" s="2">
        <v>0</v>
      </c>
      <c r="F12" s="2">
        <v>0</v>
      </c>
      <c r="G12" s="2">
        <v>0</v>
      </c>
      <c r="H12" s="2">
        <v>6.0551667999999997E-5</v>
      </c>
      <c r="I12" s="2">
        <v>1.5595718E-5</v>
      </c>
      <c r="J12" s="2">
        <v>-1.5498911000000001E-4</v>
      </c>
      <c r="K12" s="3"/>
      <c r="L12" s="3">
        <f t="shared" si="0"/>
        <v>0.26642617881989178</v>
      </c>
      <c r="M12" s="3"/>
      <c r="N12" s="2">
        <f>IF('Modell einstellen'!$B$1="Voll",H12/0.35,H12/0.35*2)</f>
        <v>1.7300476571428572E-4</v>
      </c>
      <c r="O12" s="2">
        <f>IF('Modell einstellen'!$B$1="Voll",J12/0.35,J12/0.35*2)</f>
        <v>-4.4282602857142865E-4</v>
      </c>
      <c r="P12" s="3">
        <f t="shared" si="1"/>
        <v>0.39068337123814695</v>
      </c>
      <c r="Q12" s="3"/>
      <c r="R12" s="3"/>
      <c r="S12" s="3"/>
      <c r="T12" s="3"/>
      <c r="U12" s="3"/>
      <c r="V12" s="3"/>
      <c r="W12" s="3"/>
    </row>
    <row r="13" spans="1:23" x14ac:dyDescent="0.25">
      <c r="A13" s="2">
        <v>1.0000000000000001E-5</v>
      </c>
      <c r="B13" s="2">
        <v>1.042E-4</v>
      </c>
      <c r="C13" s="2">
        <v>1.582E-4</v>
      </c>
      <c r="D13" s="2">
        <v>-3.949E-4</v>
      </c>
      <c r="E13" s="2">
        <v>0</v>
      </c>
      <c r="F13" s="2">
        <v>0</v>
      </c>
      <c r="G13" s="2">
        <v>0</v>
      </c>
      <c r="H13" s="2">
        <v>6.3163086999999996E-5</v>
      </c>
      <c r="I13" s="2">
        <v>1.6174773999999999E-5</v>
      </c>
      <c r="J13" s="2">
        <v>-1.5980435E-4</v>
      </c>
      <c r="K13" s="3"/>
      <c r="L13" s="3">
        <f t="shared" si="0"/>
        <v>0.26386426943530006</v>
      </c>
      <c r="M13" s="3"/>
      <c r="N13" s="2">
        <f>IF('Modell einstellen'!$B$1="Voll",H13/0.35,H13/0.35*2)</f>
        <v>1.8046596285714285E-4</v>
      </c>
      <c r="O13" s="2">
        <f>IF('Modell einstellen'!$B$1="Voll",J13/0.35,J13/0.35*2)</f>
        <v>-4.5658385714285717E-4</v>
      </c>
      <c r="P13" s="3">
        <f t="shared" si="1"/>
        <v>0.39525261358655128</v>
      </c>
      <c r="Q13" s="3"/>
      <c r="R13" s="3"/>
      <c r="S13" s="3"/>
      <c r="T13" s="3"/>
      <c r="U13" s="3"/>
      <c r="V13" s="3"/>
      <c r="W13" s="3"/>
    </row>
    <row r="14" spans="1:23" x14ac:dyDescent="0.25">
      <c r="A14" s="2">
        <v>1E-4</v>
      </c>
      <c r="B14" s="2">
        <v>1.048E-4</v>
      </c>
      <c r="C14" s="2">
        <v>1.639E-4</v>
      </c>
      <c r="D14" s="2">
        <v>-4.0220000000000002E-4</v>
      </c>
      <c r="E14" s="2">
        <v>0</v>
      </c>
      <c r="F14" s="2">
        <v>0</v>
      </c>
      <c r="G14" s="2">
        <v>0</v>
      </c>
      <c r="H14" s="2">
        <v>6.6154943000000003E-5</v>
      </c>
      <c r="I14" s="2">
        <v>1.6827084999999999E-5</v>
      </c>
      <c r="J14" s="2">
        <v>-1.6527841999999999E-4</v>
      </c>
      <c r="K14" s="3"/>
      <c r="L14" s="3">
        <f t="shared" si="0"/>
        <v>0.26056688214818496</v>
      </c>
      <c r="M14" s="3"/>
      <c r="N14" s="2">
        <f>IF('Modell einstellen'!$B$1="Voll",H14/0.35,H14/0.35*2)</f>
        <v>1.8901412285714288E-4</v>
      </c>
      <c r="O14" s="2">
        <f>IF('Modell einstellen'!$B$1="Voll",J14/0.35,J14/0.35*2)</f>
        <v>-4.7222405714285716E-4</v>
      </c>
      <c r="P14" s="3">
        <f t="shared" si="1"/>
        <v>0.40026364603437042</v>
      </c>
      <c r="Q14" s="3"/>
      <c r="R14" s="3"/>
      <c r="S14" s="3"/>
      <c r="T14" s="3"/>
      <c r="U14" s="3"/>
      <c r="V14" s="3"/>
      <c r="W14" s="3"/>
    </row>
    <row r="15" spans="1:23" x14ac:dyDescent="0.25">
      <c r="A15" s="2">
        <v>1E-3</v>
      </c>
      <c r="B15" s="2">
        <v>1.052E-4</v>
      </c>
      <c r="C15" s="2">
        <v>1.7129999999999999E-4</v>
      </c>
      <c r="D15" s="2">
        <v>-4.1120000000000002E-4</v>
      </c>
      <c r="E15" s="2">
        <v>0</v>
      </c>
      <c r="F15" s="2">
        <v>0</v>
      </c>
      <c r="G15" s="2">
        <v>0</v>
      </c>
      <c r="H15" s="2">
        <v>7.0143365000000001E-5</v>
      </c>
      <c r="I15" s="2">
        <v>1.7678177999999999E-5</v>
      </c>
      <c r="J15" s="2">
        <v>-1.7250478999999999E-4</v>
      </c>
      <c r="K15" s="3"/>
      <c r="L15" s="3">
        <f t="shared" si="0"/>
        <v>0.25583657587548636</v>
      </c>
      <c r="M15" s="3"/>
      <c r="N15" s="2">
        <f>IF('Modell einstellen'!$B$1="Voll",H15/0.35,H15/0.35*2)</f>
        <v>2.0040961428571431E-4</v>
      </c>
      <c r="O15" s="2">
        <f>IF('Modell einstellen'!$B$1="Voll",J15/0.35,J15/0.35*2)</f>
        <v>-4.9287082857142855E-4</v>
      </c>
      <c r="P15" s="3">
        <f t="shared" si="1"/>
        <v>0.40661691191299681</v>
      </c>
      <c r="Q15" s="3"/>
      <c r="R15" s="3"/>
      <c r="S15" s="3"/>
      <c r="T15" s="3"/>
      <c r="U15" s="3"/>
      <c r="V15" s="3"/>
      <c r="W15" s="3"/>
    </row>
    <row r="16" spans="1:23" x14ac:dyDescent="0.25">
      <c r="A16" s="2">
        <v>0.01</v>
      </c>
      <c r="B16" s="2">
        <v>1.049E-4</v>
      </c>
      <c r="C16" s="2">
        <v>1.8000000000000001E-4</v>
      </c>
      <c r="D16" s="2">
        <v>-4.2099999999999999E-4</v>
      </c>
      <c r="E16" s="2">
        <v>0</v>
      </c>
      <c r="F16" s="2">
        <v>0</v>
      </c>
      <c r="G16" s="2">
        <v>0</v>
      </c>
      <c r="H16" s="2">
        <v>7.5064675999999994E-5</v>
      </c>
      <c r="I16" s="2">
        <v>1.8698231000000001E-5</v>
      </c>
      <c r="J16" s="2">
        <v>-1.8130555000000001E-4</v>
      </c>
      <c r="K16" s="3"/>
      <c r="L16" s="3">
        <f t="shared" si="0"/>
        <v>0.24916864608076011</v>
      </c>
      <c r="M16" s="3"/>
      <c r="N16" s="2">
        <f>IF('Modell einstellen'!$B$1="Voll",H16/0.35,H16/0.35*2)</f>
        <v>2.1447050285714286E-4</v>
      </c>
      <c r="O16" s="2">
        <f>IF('Modell einstellen'!$B$1="Voll",J16/0.35,J16/0.35*2)</f>
        <v>-5.1801585714285716E-4</v>
      </c>
      <c r="P16" s="3">
        <f t="shared" si="1"/>
        <v>0.41402304562656794</v>
      </c>
      <c r="Q16" s="3"/>
      <c r="R16" s="3"/>
      <c r="S16" s="3"/>
      <c r="T16" s="3"/>
      <c r="U16" s="3"/>
      <c r="V16" s="3"/>
      <c r="W16" s="3"/>
    </row>
    <row r="17" spans="1:23" x14ac:dyDescent="0.25">
      <c r="A17" s="2">
        <v>0.1</v>
      </c>
      <c r="B17" s="2">
        <v>1.038E-4</v>
      </c>
      <c r="C17" s="2">
        <v>1.886E-4</v>
      </c>
      <c r="D17" s="2">
        <v>-4.2989999999999999E-4</v>
      </c>
      <c r="E17" s="2">
        <v>0</v>
      </c>
      <c r="F17" s="2">
        <v>0</v>
      </c>
      <c r="G17" s="2">
        <v>0</v>
      </c>
      <c r="H17" s="2">
        <v>8.0194111999999998E-5</v>
      </c>
      <c r="I17" s="2">
        <v>1.9725416999999999E-5</v>
      </c>
      <c r="J17" s="2">
        <v>-1.9034031000000001E-4</v>
      </c>
      <c r="K17" s="3"/>
      <c r="L17" s="3">
        <f t="shared" si="0"/>
        <v>0.24145150034891835</v>
      </c>
      <c r="M17" s="3"/>
      <c r="N17" s="2">
        <f>IF('Modell einstellen'!$B$1="Voll",H17/0.35,H17/0.35*2)</f>
        <v>2.2912603428571428E-4</v>
      </c>
      <c r="O17" s="2">
        <f>IF('Modell einstellen'!$B$1="Voll",J17/0.35,J17/0.35*2)</f>
        <v>-5.4382945714285722E-4</v>
      </c>
      <c r="P17" s="3">
        <f t="shared" si="1"/>
        <v>0.4213196458490584</v>
      </c>
      <c r="Q17" s="3"/>
      <c r="R17" s="3"/>
      <c r="S17" s="3"/>
      <c r="T17" s="3"/>
      <c r="U17" s="3"/>
      <c r="V17" s="3"/>
      <c r="W17" s="3"/>
    </row>
    <row r="18" spans="1:23" x14ac:dyDescent="0.25">
      <c r="A18" s="2">
        <v>1</v>
      </c>
      <c r="B18" s="2">
        <v>1.021E-4</v>
      </c>
      <c r="C18" s="2">
        <v>1.9589999999999999E-4</v>
      </c>
      <c r="D18" s="2">
        <v>-4.3669999999999999E-4</v>
      </c>
      <c r="E18" s="2">
        <v>0</v>
      </c>
      <c r="F18" s="2">
        <v>0</v>
      </c>
      <c r="G18" s="2">
        <v>0</v>
      </c>
      <c r="H18" s="2">
        <v>8.4727028999999996E-5</v>
      </c>
      <c r="I18" s="2">
        <v>2.0603751E-5</v>
      </c>
      <c r="J18" s="2">
        <v>-1.9821185E-4</v>
      </c>
      <c r="K18" s="3"/>
      <c r="L18" s="3">
        <f t="shared" si="0"/>
        <v>0.23379894664529427</v>
      </c>
      <c r="M18" s="3"/>
      <c r="N18" s="2">
        <f>IF('Modell einstellen'!$B$1="Voll",H18/0.35,H18/0.35*2)</f>
        <v>2.4207722571428572E-4</v>
      </c>
      <c r="O18" s="2">
        <f>IF('Modell einstellen'!$B$1="Voll",J18/0.35,J18/0.35*2)</f>
        <v>-5.6631957142857148E-4</v>
      </c>
      <c r="P18" s="3">
        <f t="shared" si="1"/>
        <v>0.42745693055183126</v>
      </c>
      <c r="Q18" s="3"/>
      <c r="R18" s="3"/>
      <c r="S18" s="3"/>
      <c r="T18" s="3"/>
      <c r="U18" s="3"/>
      <c r="V18" s="3"/>
      <c r="W18" s="3"/>
    </row>
    <row r="19" spans="1:23" x14ac:dyDescent="0.25">
      <c r="A19" s="2">
        <v>10</v>
      </c>
      <c r="B19" s="2">
        <v>9.9549999999999994E-5</v>
      </c>
      <c r="C19" s="2">
        <v>2.0379999999999999E-4</v>
      </c>
      <c r="D19" s="2">
        <v>-4.4329999999999999E-4</v>
      </c>
      <c r="E19" s="2">
        <v>0</v>
      </c>
      <c r="F19" s="2">
        <v>0</v>
      </c>
      <c r="G19" s="2">
        <v>0</v>
      </c>
      <c r="H19" s="2">
        <v>8.9836380999999994E-5</v>
      </c>
      <c r="I19" s="2">
        <v>2.1564857999999999E-5</v>
      </c>
      <c r="J19" s="2">
        <v>-2.0697466000000001E-4</v>
      </c>
      <c r="K19" s="3"/>
      <c r="L19" s="3">
        <f t="shared" si="0"/>
        <v>0.22456575682382132</v>
      </c>
      <c r="M19" s="3"/>
      <c r="N19" s="2">
        <f>IF('Modell einstellen'!$B$1="Voll",H19/0.35,H19/0.35*2)</f>
        <v>2.5667537428571428E-4</v>
      </c>
      <c r="O19" s="2">
        <f>IF('Modell einstellen'!$B$1="Voll",J19/0.35,J19/0.35*2)</f>
        <v>-5.9135617142857145E-4</v>
      </c>
      <c r="P19" s="3">
        <f t="shared" si="1"/>
        <v>0.43404531260010282</v>
      </c>
      <c r="Q19" s="3"/>
      <c r="R19" s="3"/>
      <c r="S19" s="3"/>
      <c r="T19" s="3"/>
      <c r="U19" s="3"/>
      <c r="V19" s="3"/>
      <c r="W19" s="3"/>
    </row>
    <row r="20" spans="1:23" x14ac:dyDescent="0.25">
      <c r="A20" s="2">
        <v>100</v>
      </c>
      <c r="B20" s="2">
        <v>9.6150000000000006E-5</v>
      </c>
      <c r="C20" s="2">
        <v>2.117E-4</v>
      </c>
      <c r="D20" s="2">
        <v>-4.4920000000000002E-4</v>
      </c>
      <c r="E20" s="2">
        <v>0</v>
      </c>
      <c r="F20" s="2">
        <v>0</v>
      </c>
      <c r="G20" s="2">
        <v>0</v>
      </c>
      <c r="H20" s="2">
        <v>9.5248750000000005E-5</v>
      </c>
      <c r="I20" s="2">
        <v>2.2548738E-5</v>
      </c>
      <c r="J20" s="2">
        <v>-2.1612625999999999E-4</v>
      </c>
      <c r="K20" s="3"/>
      <c r="L20" s="3">
        <f t="shared" si="0"/>
        <v>0.21404719501335709</v>
      </c>
      <c r="M20" s="3"/>
      <c r="N20" s="2">
        <f>IF('Modell einstellen'!$B$1="Voll",H20/0.35,H20/0.35*2)</f>
        <v>2.7213928571428574E-4</v>
      </c>
      <c r="O20" s="2">
        <f>IF('Modell einstellen'!$B$1="Voll",J20/0.35,J20/0.35*2)</f>
        <v>-6.1750360000000003E-4</v>
      </c>
      <c r="P20" s="3">
        <f t="shared" si="1"/>
        <v>0.44070882455468396</v>
      </c>
      <c r="Q20" s="3"/>
      <c r="R20" s="3"/>
      <c r="S20" s="3"/>
      <c r="T20" s="3"/>
      <c r="U20" s="3"/>
      <c r="V20" s="3"/>
      <c r="W20" s="3"/>
    </row>
    <row r="21" spans="1:23" x14ac:dyDescent="0.25">
      <c r="A21" s="2">
        <v>1000</v>
      </c>
      <c r="B21" s="2">
        <v>9.1409999999999994E-5</v>
      </c>
      <c r="C21" s="2">
        <v>2.206E-4</v>
      </c>
      <c r="D21" s="2">
        <v>-4.5469999999999999E-4</v>
      </c>
      <c r="E21" s="2">
        <v>0</v>
      </c>
      <c r="F21" s="2">
        <v>0</v>
      </c>
      <c r="G21" s="2">
        <v>0</v>
      </c>
      <c r="H21" s="2">
        <v>1.0157988E-4</v>
      </c>
      <c r="I21" s="2">
        <v>2.3667205E-5</v>
      </c>
      <c r="J21" s="2">
        <v>-2.2670222E-4</v>
      </c>
      <c r="K21" s="3"/>
      <c r="L21" s="3">
        <f t="shared" si="0"/>
        <v>0.20103364855948977</v>
      </c>
      <c r="M21" s="3"/>
      <c r="N21" s="2">
        <f>IF('Modell einstellen'!$B$1="Voll",H21/0.35,H21/0.35*2)</f>
        <v>2.9022822857142862E-4</v>
      </c>
      <c r="O21" s="2">
        <f>IF('Modell einstellen'!$B$1="Voll",J21/0.35,J21/0.35*2)</f>
        <v>-6.4772062857142859E-4</v>
      </c>
      <c r="P21" s="3">
        <f t="shared" si="1"/>
        <v>0.44807624733449902</v>
      </c>
      <c r="Q21" s="3"/>
      <c r="R21" s="3"/>
      <c r="S21" s="3"/>
      <c r="T21" s="3"/>
      <c r="U21" s="3"/>
      <c r="V21" s="3"/>
      <c r="W21" s="3"/>
    </row>
    <row r="22" spans="1:23" x14ac:dyDescent="0.25">
      <c r="A22" s="2">
        <v>10000</v>
      </c>
      <c r="B22" s="2">
        <v>8.6349999999999998E-5</v>
      </c>
      <c r="C22" s="2">
        <v>2.3039999999999999E-4</v>
      </c>
      <c r="D22" s="2">
        <v>-4.6059999999999997E-4</v>
      </c>
      <c r="E22" s="2">
        <v>0</v>
      </c>
      <c r="F22" s="2">
        <v>0</v>
      </c>
      <c r="G22" s="2">
        <v>0</v>
      </c>
      <c r="H22" s="2">
        <v>1.0817081000000001E-4</v>
      </c>
      <c r="I22" s="2">
        <v>2.4903907E-5</v>
      </c>
      <c r="J22" s="2">
        <v>-2.379212E-4</v>
      </c>
      <c r="K22" s="3"/>
      <c r="L22" s="3">
        <f t="shared" si="0"/>
        <v>0.18747286148501954</v>
      </c>
      <c r="M22" s="3"/>
      <c r="N22" s="2">
        <f>IF('Modell einstellen'!$B$1="Voll",H22/0.35,H22/0.35*2)</f>
        <v>3.0905945714285719E-4</v>
      </c>
      <c r="O22" s="2">
        <f>IF('Modell einstellen'!$B$1="Voll",J22/0.35,J22/0.35*2)</f>
        <v>-6.7977485714285719E-4</v>
      </c>
      <c r="P22" s="3">
        <f t="shared" si="1"/>
        <v>0.45464973276866461</v>
      </c>
      <c r="Q22" s="3"/>
      <c r="R22" s="3"/>
      <c r="S22" s="3"/>
      <c r="T22" s="3"/>
      <c r="U22" s="3"/>
      <c r="V22" s="3"/>
      <c r="W22" s="3"/>
    </row>
    <row r="23" spans="1:23" x14ac:dyDescent="0.25">
      <c r="A23" s="2">
        <v>100000</v>
      </c>
      <c r="B23" s="2">
        <v>8.2319999999999998E-5</v>
      </c>
      <c r="C23" s="2">
        <v>2.4949999999999999E-4</v>
      </c>
      <c r="D23" s="2">
        <v>-4.7649999999999998E-4</v>
      </c>
      <c r="E23" s="2">
        <v>0</v>
      </c>
      <c r="F23" s="2">
        <v>0</v>
      </c>
      <c r="G23" s="2">
        <v>0</v>
      </c>
      <c r="H23" s="2">
        <v>1.1750177E-4</v>
      </c>
      <c r="I23" s="2">
        <v>2.7326585999999999E-5</v>
      </c>
      <c r="J23" s="2">
        <v>-2.5598046E-4</v>
      </c>
      <c r="K23" s="3"/>
      <c r="L23" s="3">
        <f t="shared" si="0"/>
        <v>0.17275970619097586</v>
      </c>
      <c r="M23" s="3"/>
      <c r="N23" s="2">
        <f>IF('Modell einstellen'!$B$1="Voll",H23/0.35,H23/0.35*2)</f>
        <v>3.3571934285714285E-4</v>
      </c>
      <c r="O23" s="2">
        <f>IF('Modell einstellen'!$B$1="Voll",J23/0.35,J23/0.35*2)</f>
        <v>-7.3137274285714287E-4</v>
      </c>
      <c r="P23" s="3">
        <f t="shared" si="1"/>
        <v>0.45902632568126489</v>
      </c>
      <c r="Q23" s="3"/>
      <c r="R23" s="3"/>
      <c r="S23" s="3"/>
      <c r="T23" s="3"/>
      <c r="U23" s="3"/>
      <c r="V23" s="3"/>
      <c r="W23" s="3"/>
    </row>
    <row r="24" spans="1:23" x14ac:dyDescent="0.25">
      <c r="A24" s="2">
        <v>1000000</v>
      </c>
      <c r="B24" s="2">
        <v>8.4330000000000001E-5</v>
      </c>
      <c r="C24" s="2">
        <v>2.8190000000000002E-4</v>
      </c>
      <c r="D24" s="2">
        <v>-5.1020000000000004E-4</v>
      </c>
      <c r="E24" s="2">
        <v>0</v>
      </c>
      <c r="F24" s="2">
        <v>0</v>
      </c>
      <c r="G24" s="2">
        <v>0</v>
      </c>
      <c r="H24" s="2">
        <v>1.2832318E-4</v>
      </c>
      <c r="I24" s="2">
        <v>3.1465494000000002E-5</v>
      </c>
      <c r="J24" s="2">
        <v>-2.8133732000000002E-4</v>
      </c>
      <c r="K24" s="3"/>
      <c r="L24" s="3">
        <f t="shared" si="0"/>
        <v>0.16528812230497844</v>
      </c>
      <c r="M24" s="3"/>
      <c r="N24" s="2">
        <f>IF('Modell einstellen'!$B$1="Voll",H24/0.35,H24/0.35*2)</f>
        <v>3.6663765714285717E-4</v>
      </c>
      <c r="O24" s="2">
        <f>IF('Modell einstellen'!$B$1="Voll",J24/0.35,J24/0.35*2)</f>
        <v>-8.0382091428571442E-4</v>
      </c>
      <c r="P24" s="3">
        <f t="shared" si="1"/>
        <v>0.45611858391200993</v>
      </c>
      <c r="Q24" s="3"/>
      <c r="R24" s="3"/>
      <c r="S24" s="3"/>
      <c r="T24" s="3"/>
      <c r="U24" s="3"/>
      <c r="V24" s="3"/>
      <c r="W24" s="3"/>
    </row>
    <row r="25" spans="1:23" x14ac:dyDescent="0.25">
      <c r="A25" s="2">
        <v>10000000</v>
      </c>
      <c r="B25" s="2">
        <v>8.6089999999999997E-5</v>
      </c>
      <c r="C25" s="2">
        <v>3.2620000000000001E-4</v>
      </c>
      <c r="D25" s="2">
        <v>-5.555E-4</v>
      </c>
      <c r="E25" s="2">
        <v>0</v>
      </c>
      <c r="F25" s="2">
        <v>0</v>
      </c>
      <c r="G25" s="2">
        <v>0</v>
      </c>
      <c r="H25" s="2">
        <v>1.4307290000000001E-4</v>
      </c>
      <c r="I25" s="2">
        <v>3.7255092E-5</v>
      </c>
      <c r="J25" s="2">
        <v>-3.1654987E-4</v>
      </c>
      <c r="K25" s="3"/>
      <c r="L25" s="3">
        <f t="shared" si="0"/>
        <v>0.15497749774977498</v>
      </c>
      <c r="M25" s="3"/>
      <c r="N25" s="2">
        <f>IF('Modell einstellen'!$B$1="Voll",H25/0.35,H25/0.35*2)</f>
        <v>4.0877971428571435E-4</v>
      </c>
      <c r="O25" s="2">
        <f>IF('Modell einstellen'!$B$1="Voll",J25/0.35,J25/0.35*2)</f>
        <v>-9.0442820000000005E-4</v>
      </c>
      <c r="P25" s="3">
        <f t="shared" si="1"/>
        <v>0.45197586086514591</v>
      </c>
      <c r="Q25" s="3"/>
      <c r="R25" s="3"/>
      <c r="S25" s="3"/>
      <c r="T25" s="3"/>
      <c r="U25" s="3"/>
      <c r="V25" s="3"/>
      <c r="W25" s="3"/>
    </row>
    <row r="26" spans="1:23" x14ac:dyDescent="0.25">
      <c r="A26" s="2">
        <v>100000000</v>
      </c>
      <c r="B26" s="2">
        <v>7.5939999999999995E-5</v>
      </c>
      <c r="C26" s="2">
        <v>3.7800000000000003E-4</v>
      </c>
      <c r="D26" s="2">
        <v>-5.9730000000000004E-4</v>
      </c>
      <c r="E26" s="2">
        <v>0</v>
      </c>
      <c r="F26" s="2">
        <v>0</v>
      </c>
      <c r="G26" s="2">
        <v>0</v>
      </c>
      <c r="H26" s="2">
        <v>1.6307084E-4</v>
      </c>
      <c r="I26" s="2">
        <v>4.4350268E-5</v>
      </c>
      <c r="J26" s="2">
        <v>-3.6191077000000002E-4</v>
      </c>
      <c r="K26" s="3"/>
      <c r="L26" s="3">
        <f t="shared" si="0"/>
        <v>0.12713879122718899</v>
      </c>
      <c r="M26" s="3"/>
      <c r="N26" s="2">
        <f>IF('Modell einstellen'!$B$1="Voll",H26/0.35,H26/0.35*2)</f>
        <v>4.6591668571428573E-4</v>
      </c>
      <c r="O26" s="2">
        <f>IF('Modell einstellen'!$B$1="Voll",J26/0.35,J26/0.35*2)</f>
        <v>-1.0340307714285716E-3</v>
      </c>
      <c r="P26" s="3">
        <f t="shared" si="1"/>
        <v>0.45058299867671792</v>
      </c>
      <c r="Q26" s="3"/>
      <c r="R26" s="3"/>
      <c r="S26" s="3"/>
      <c r="T26" s="3"/>
      <c r="U26" s="3"/>
      <c r="V26" s="3"/>
      <c r="W26" s="3"/>
    </row>
    <row r="27" spans="1:23" x14ac:dyDescent="0.25">
      <c r="A27" s="2">
        <v>1000000000</v>
      </c>
      <c r="B27" s="2">
        <v>3.7809999999999999E-5</v>
      </c>
      <c r="C27" s="2">
        <v>4.4410000000000001E-4</v>
      </c>
      <c r="D27" s="2">
        <v>-6.269E-4</v>
      </c>
      <c r="E27" s="2">
        <v>0</v>
      </c>
      <c r="F27" s="2">
        <v>0</v>
      </c>
      <c r="G27" s="2">
        <v>0</v>
      </c>
      <c r="H27" s="2">
        <v>1.941585E-4</v>
      </c>
      <c r="I27" s="2">
        <v>5.3956304000000001E-5</v>
      </c>
      <c r="J27" s="2">
        <v>-4.2774665000000001E-4</v>
      </c>
      <c r="K27" s="3"/>
      <c r="L27" s="3">
        <f t="shared" si="0"/>
        <v>6.0312649545382034E-2</v>
      </c>
      <c r="M27" s="3"/>
      <c r="N27" s="2">
        <f>IF('Modell einstellen'!$B$1="Voll",H27/0.35,H27/0.35*2)</f>
        <v>5.5473857142857149E-4</v>
      </c>
      <c r="O27" s="2">
        <f>IF('Modell einstellen'!$B$1="Voll",J27/0.35,J27/0.35*2)</f>
        <v>-1.2221332857142858E-3</v>
      </c>
      <c r="P27" s="3">
        <f t="shared" si="1"/>
        <v>0.45391004231126064</v>
      </c>
      <c r="Q27" s="3"/>
      <c r="R27" s="3"/>
      <c r="S27" s="3"/>
      <c r="T27" s="3"/>
      <c r="U27" s="3"/>
      <c r="V27" s="3"/>
      <c r="W27" s="3"/>
    </row>
    <row r="28" spans="1:23" x14ac:dyDescent="0.25">
      <c r="A28" s="2">
        <v>10000000000</v>
      </c>
      <c r="B28" s="2">
        <v>-5.6879999999999998E-5</v>
      </c>
      <c r="C28" s="2">
        <v>5.3490000000000005E-4</v>
      </c>
      <c r="D28" s="2">
        <v>-6.2589999999999998E-4</v>
      </c>
      <c r="E28" s="2">
        <v>0</v>
      </c>
      <c r="F28" s="2">
        <v>0</v>
      </c>
      <c r="G28" s="2">
        <v>0</v>
      </c>
      <c r="H28" s="2">
        <v>2.4391889999999999E-4</v>
      </c>
      <c r="I28" s="2">
        <v>6.8064414999999999E-5</v>
      </c>
      <c r="J28" s="2">
        <v>-5.2885290999999995E-4</v>
      </c>
      <c r="K28" s="3"/>
      <c r="L28" s="3">
        <f t="shared" si="0"/>
        <v>-9.0877136922831128E-2</v>
      </c>
      <c r="M28" s="3"/>
      <c r="N28" s="2">
        <f>IF('Modell einstellen'!$B$1="Voll",H28/0.35,H28/0.35*2)</f>
        <v>6.9691114285714282E-4</v>
      </c>
      <c r="O28" s="2">
        <f>IF('Modell einstellen'!$B$1="Voll",J28/0.35,J28/0.35*2)</f>
        <v>-1.5110083142857143E-3</v>
      </c>
      <c r="P28" s="3">
        <f t="shared" si="1"/>
        <v>0.46122257321038468</v>
      </c>
      <c r="Q28" s="3"/>
      <c r="R28" s="3"/>
      <c r="S28" s="3"/>
      <c r="T28" s="3"/>
      <c r="U28" s="3"/>
      <c r="V28" s="3"/>
      <c r="W28" s="3"/>
    </row>
    <row r="29" spans="1:23" x14ac:dyDescent="0.25">
      <c r="A29" s="2">
        <v>100000000000</v>
      </c>
      <c r="B29" s="2">
        <v>-2.8160000000000001E-4</v>
      </c>
      <c r="C29" s="2">
        <v>6.7520000000000004E-4</v>
      </c>
      <c r="D29" s="2">
        <v>-5.4540000000000003E-4</v>
      </c>
      <c r="E29" s="2">
        <v>0</v>
      </c>
      <c r="F29" s="2">
        <v>0</v>
      </c>
      <c r="G29" s="2">
        <v>0</v>
      </c>
      <c r="H29" s="2">
        <v>3.3211554000000003E-4</v>
      </c>
      <c r="I29" s="2">
        <v>9.1448072000000006E-5</v>
      </c>
      <c r="J29" s="2">
        <v>-7.0234659999999995E-4</v>
      </c>
      <c r="K29" s="3"/>
      <c r="L29" s="3">
        <f t="shared" si="0"/>
        <v>-0.51631829849651634</v>
      </c>
      <c r="M29" s="3"/>
      <c r="N29" s="2">
        <f>IF('Modell einstellen'!$B$1="Voll",H29/0.35,H29/0.35*2)</f>
        <v>9.4890154285714296E-4</v>
      </c>
      <c r="O29" s="2">
        <f>IF('Modell einstellen'!$B$1="Voll",J29/0.35,J29/0.35*2)</f>
        <v>-2.0067045714285713E-3</v>
      </c>
      <c r="P29" s="3">
        <f t="shared" si="1"/>
        <v>0.47286559086354235</v>
      </c>
      <c r="Q29" s="3"/>
      <c r="R29" s="3"/>
      <c r="S29" s="3"/>
      <c r="T29" s="3"/>
      <c r="U29" s="3"/>
      <c r="V29" s="3"/>
      <c r="W29" s="3"/>
    </row>
    <row r="30" spans="1:23" x14ac:dyDescent="0.25">
      <c r="A30" s="2">
        <v>1000000000000</v>
      </c>
      <c r="B30" s="2">
        <v>-6.8389999999999998E-4</v>
      </c>
      <c r="C30" s="2">
        <v>8.6370000000000001E-4</v>
      </c>
      <c r="D30" s="2">
        <v>-3.3520000000000002E-4</v>
      </c>
      <c r="E30" s="2">
        <v>0</v>
      </c>
      <c r="F30" s="2">
        <v>0</v>
      </c>
      <c r="G30" s="2">
        <v>0</v>
      </c>
      <c r="H30" s="2">
        <v>4.6491061999999998E-4</v>
      </c>
      <c r="I30" s="2">
        <v>1.2499762E-4</v>
      </c>
      <c r="J30" s="2">
        <v>-9.5744837999999996E-4</v>
      </c>
      <c r="K30" s="3"/>
      <c r="L30" s="3">
        <f t="shared" si="0"/>
        <v>-2.0402744630071599</v>
      </c>
      <c r="M30" s="3"/>
      <c r="N30" s="2">
        <f>IF('Modell einstellen'!$B$1="Voll",H30/0.35,H30/0.35*2)</f>
        <v>1.3283160571428572E-3</v>
      </c>
      <c r="O30" s="2">
        <f>IF('Modell einstellen'!$B$1="Voll",J30/0.35,J30/0.35*2)</f>
        <v>-2.7355667999999999E-3</v>
      </c>
      <c r="P30" s="3">
        <f t="shared" si="1"/>
        <v>0.48557251723586398</v>
      </c>
      <c r="Q30" s="3"/>
      <c r="R30" s="3"/>
      <c r="S30" s="3"/>
      <c r="T30" s="3"/>
      <c r="U30" s="3"/>
      <c r="V30" s="3"/>
      <c r="W30" s="3"/>
    </row>
    <row r="31" spans="1:23" x14ac:dyDescent="0.25">
      <c r="A31" s="2">
        <v>10000000000000</v>
      </c>
      <c r="B31" s="2">
        <v>-1.3140000000000001E-3</v>
      </c>
      <c r="C31" s="2">
        <v>1.1100000000000001E-3</v>
      </c>
      <c r="D31" s="2">
        <v>4.613E-5</v>
      </c>
      <c r="E31" s="2">
        <v>0</v>
      </c>
      <c r="F31" s="2">
        <v>0</v>
      </c>
      <c r="G31" s="2">
        <v>0</v>
      </c>
      <c r="H31" s="2">
        <v>6.5525694000000004E-4</v>
      </c>
      <c r="I31" s="2">
        <v>1.7092086E-4</v>
      </c>
      <c r="J31" s="2">
        <v>-1.3148941999999999E-3</v>
      </c>
      <c r="K31" s="3"/>
      <c r="L31" s="3">
        <f t="shared" si="0"/>
        <v>28.484717103836985</v>
      </c>
      <c r="M31" s="3"/>
      <c r="N31" s="2">
        <f>IF('Modell einstellen'!$B$1="Voll",H31/0.35,H31/0.35*2)</f>
        <v>1.872162685714286E-3</v>
      </c>
      <c r="O31" s="2">
        <f>IF('Modell einstellen'!$B$1="Voll",J31/0.35,J31/0.35*2)</f>
        <v>-3.7568405714285716E-3</v>
      </c>
      <c r="P31" s="3">
        <f t="shared" si="1"/>
        <v>0.49833434507506391</v>
      </c>
      <c r="Q31" s="3"/>
      <c r="R31" s="3"/>
      <c r="S31" s="3"/>
      <c r="T31" s="3"/>
      <c r="U31" s="3"/>
      <c r="V31" s="3"/>
      <c r="W31" s="3"/>
    </row>
    <row r="32" spans="1:23" x14ac:dyDescent="0.25">
      <c r="A32" s="2">
        <v>100000000000000</v>
      </c>
      <c r="B32" s="2">
        <v>-1.915E-3</v>
      </c>
      <c r="C32" s="2">
        <v>1.3270000000000001E-3</v>
      </c>
      <c r="D32" s="2">
        <v>4.283E-4</v>
      </c>
      <c r="E32" s="2">
        <v>0</v>
      </c>
      <c r="F32" s="2">
        <v>0</v>
      </c>
      <c r="G32" s="2">
        <v>0</v>
      </c>
      <c r="H32" s="2">
        <v>8.2902365999999999E-4</v>
      </c>
      <c r="I32" s="2">
        <v>2.1255037999999999E-4</v>
      </c>
      <c r="J32" s="2">
        <v>-1.6397065000000001E-3</v>
      </c>
      <c r="K32" s="3"/>
      <c r="L32" s="3">
        <f t="shared" si="0"/>
        <v>4.4711650712117672</v>
      </c>
      <c r="M32" s="3"/>
      <c r="N32" s="2">
        <f>IF('Modell einstellen'!$B$1="Voll",H32/0.35,H32/0.35*2)</f>
        <v>2.3686390285714287E-3</v>
      </c>
      <c r="O32" s="2">
        <f>IF('Modell einstellen'!$B$1="Voll",J32/0.35,J32/0.35*2)</f>
        <v>-4.6848757142857146E-3</v>
      </c>
      <c r="P32" s="3">
        <f t="shared" si="1"/>
        <v>0.50559271430588337</v>
      </c>
      <c r="Q32" s="3"/>
      <c r="R32" s="3"/>
      <c r="S32" s="3"/>
      <c r="T32" s="3"/>
      <c r="U32" s="3"/>
      <c r="V32" s="3"/>
      <c r="W32" s="3"/>
    </row>
    <row r="33" spans="1:23" x14ac:dyDescent="0.25">
      <c r="A33" s="2">
        <v>1000000000000000</v>
      </c>
      <c r="B33" s="2">
        <v>-2.4199999999999998E-3</v>
      </c>
      <c r="C33" s="2">
        <v>1.505E-3</v>
      </c>
      <c r="D33" s="2">
        <v>7.5520000000000003E-4</v>
      </c>
      <c r="E33" s="2">
        <v>0</v>
      </c>
      <c r="F33" s="2">
        <v>0</v>
      </c>
      <c r="G33" s="2">
        <v>0</v>
      </c>
      <c r="H33" s="2">
        <v>9.7326358999999996E-4</v>
      </c>
      <c r="I33" s="2">
        <v>2.4709378999999997E-4</v>
      </c>
      <c r="J33" s="2">
        <v>-1.9089707000000001E-3</v>
      </c>
      <c r="K33" s="3"/>
      <c r="L33" s="3">
        <f t="shared" si="0"/>
        <v>3.2044491525423724</v>
      </c>
      <c r="M33" s="3"/>
      <c r="N33" s="2">
        <f>IF('Modell einstellen'!$B$1="Voll",H33/0.35,H33/0.35*2)</f>
        <v>2.7807531142857145E-3</v>
      </c>
      <c r="O33" s="2">
        <f>IF('Modell einstellen'!$B$1="Voll",J33/0.35,J33/0.35*2)</f>
        <v>-5.4542020000000009E-3</v>
      </c>
      <c r="P33" s="3">
        <f t="shared" si="1"/>
        <v>0.50983684034542798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9.4790000000000006E-5</v>
      </c>
      <c r="C3" s="3">
        <v>1.226E-4</v>
      </c>
      <c r="D3" s="3">
        <v>-3.4370000000000001E-4</v>
      </c>
      <c r="E3" s="3">
        <v>0</v>
      </c>
      <c r="F3" s="3">
        <v>0</v>
      </c>
      <c r="G3" s="3">
        <v>0</v>
      </c>
      <c r="H3" s="3">
        <v>4.6113411999999997E-5</v>
      </c>
      <c r="I3" s="3">
        <v>1.2237786999999999E-5</v>
      </c>
      <c r="J3" s="3">
        <v>-1.2774705000000001E-4</v>
      </c>
      <c r="L3" s="3">
        <f>-B3/D3</f>
        <v>0.27579284259528658</v>
      </c>
      <c r="M3" s="3"/>
      <c r="N3" s="2">
        <f>IF('Modell einstellen'!$B$1="Voll",H3/0.35,H3/0.35*2)</f>
        <v>1.317526057142857E-4</v>
      </c>
      <c r="O3" s="2">
        <f>IF('Modell einstellen'!$B$1="Voll",J3/0.35,J3/0.35*2)</f>
        <v>-3.6499157142857151E-4</v>
      </c>
      <c r="P3" s="3">
        <f>-N3/O3</f>
        <v>0.36097437866471271</v>
      </c>
    </row>
    <row r="4" spans="1:16" x14ac:dyDescent="0.25">
      <c r="A4" s="3">
        <v>1E-14</v>
      </c>
      <c r="B4" s="3">
        <v>9.6849999999999996E-5</v>
      </c>
      <c r="C4" s="3">
        <v>1.2750000000000001E-4</v>
      </c>
      <c r="D4" s="3">
        <v>-3.5149999999999998E-4</v>
      </c>
      <c r="E4" s="3">
        <v>0</v>
      </c>
      <c r="F4" s="3">
        <v>0</v>
      </c>
      <c r="G4" s="3">
        <v>0</v>
      </c>
      <c r="H4" s="3">
        <v>4.8291144000000003E-5</v>
      </c>
      <c r="I4" s="3">
        <v>1.2772734E-5</v>
      </c>
      <c r="J4" s="3">
        <v>-1.3195865999999999E-4</v>
      </c>
      <c r="L4" s="3">
        <f t="shared" ref="L4:L33" si="0">-B4/D4</f>
        <v>0.27553342816500714</v>
      </c>
      <c r="M4" s="3"/>
      <c r="N4" s="2">
        <f>IF('Modell einstellen'!$B$1="Voll",H4/0.35,H4/0.35*2)</f>
        <v>1.3797469714285716E-4</v>
      </c>
      <c r="O4" s="2">
        <f>IF('Modell einstellen'!$B$1="Voll",J4/0.35,J4/0.35*2)</f>
        <v>-3.7702474285714288E-4</v>
      </c>
      <c r="P4" s="3">
        <f t="shared" ref="P4:P33" si="1">-N4/O4</f>
        <v>0.3659566109567951</v>
      </c>
    </row>
    <row r="5" spans="1:16" x14ac:dyDescent="0.25">
      <c r="A5" s="3">
        <v>1E-13</v>
      </c>
      <c r="B5" s="3">
        <v>9.7979999999999994E-5</v>
      </c>
      <c r="C5" s="3">
        <v>1.305E-4</v>
      </c>
      <c r="D5" s="3">
        <v>-3.5609999999999998E-4</v>
      </c>
      <c r="E5" s="3">
        <v>0</v>
      </c>
      <c r="F5" s="3">
        <v>0</v>
      </c>
      <c r="G5" s="3">
        <v>0</v>
      </c>
      <c r="H5" s="3">
        <v>4.9617865999999998E-5</v>
      </c>
      <c r="I5" s="3">
        <v>1.3095233999999999E-5</v>
      </c>
      <c r="J5" s="3">
        <v>-1.3451357E-4</v>
      </c>
      <c r="L5" s="3">
        <f t="shared" si="0"/>
        <v>0.27514743049705137</v>
      </c>
      <c r="M5" s="3"/>
      <c r="N5" s="2">
        <f>IF('Modell einstellen'!$B$1="Voll",H5/0.35,H5/0.35*2)</f>
        <v>1.4176533142857143E-4</v>
      </c>
      <c r="O5" s="2">
        <f>IF('Modell einstellen'!$B$1="Voll",J5/0.35,J5/0.35*2)</f>
        <v>-3.8432448571428576E-4</v>
      </c>
      <c r="P5" s="3">
        <f t="shared" si="1"/>
        <v>0.36886885092708488</v>
      </c>
    </row>
    <row r="6" spans="1:16" x14ac:dyDescent="0.25">
      <c r="A6" s="3">
        <v>9.9999999999999998E-13</v>
      </c>
      <c r="B6" s="3">
        <v>9.9099999999999996E-5</v>
      </c>
      <c r="C6" s="3">
        <v>1.3359999999999999E-4</v>
      </c>
      <c r="D6" s="3">
        <v>-3.6079999999999999E-4</v>
      </c>
      <c r="E6" s="3">
        <v>0</v>
      </c>
      <c r="F6" s="3">
        <v>0</v>
      </c>
      <c r="G6" s="3">
        <v>0</v>
      </c>
      <c r="H6" s="3">
        <v>5.1019395999999997E-5</v>
      </c>
      <c r="I6" s="3">
        <v>1.3432961E-5</v>
      </c>
      <c r="J6" s="3">
        <v>-1.3720114999999999E-4</v>
      </c>
      <c r="L6" s="3">
        <f t="shared" si="0"/>
        <v>0.27466740576496673</v>
      </c>
      <c r="M6" s="3"/>
      <c r="N6" s="2">
        <f>IF('Modell einstellen'!$B$1="Voll",H6/0.35,H6/0.35*2)</f>
        <v>1.4576970285714287E-4</v>
      </c>
      <c r="O6" s="2">
        <f>IF('Modell einstellen'!$B$1="Voll",J6/0.35,J6/0.35*2)</f>
        <v>-3.9200328571428571E-4</v>
      </c>
      <c r="P6" s="3">
        <f t="shared" si="1"/>
        <v>0.37185836999179678</v>
      </c>
    </row>
    <row r="7" spans="1:16" x14ac:dyDescent="0.25">
      <c r="A7" s="3">
        <v>9.9999999999999994E-12</v>
      </c>
      <c r="B7" s="3">
        <v>1.003E-4</v>
      </c>
      <c r="C7" s="3">
        <v>1.37E-4</v>
      </c>
      <c r="D7" s="3">
        <v>-3.6600000000000001E-4</v>
      </c>
      <c r="E7" s="3">
        <v>0</v>
      </c>
      <c r="F7" s="3">
        <v>0</v>
      </c>
      <c r="G7" s="3">
        <v>0</v>
      </c>
      <c r="H7" s="3">
        <v>5.2591813000000002E-5</v>
      </c>
      <c r="I7" s="3">
        <v>1.3808335E-5</v>
      </c>
      <c r="J7" s="3">
        <v>-1.4020221E-4</v>
      </c>
      <c r="L7" s="3">
        <f t="shared" si="0"/>
        <v>0.27404371584699455</v>
      </c>
      <c r="M7" s="3"/>
      <c r="N7" s="2">
        <f>IF('Modell einstellen'!$B$1="Voll",H7/0.35,H7/0.35*2)</f>
        <v>1.5026232285714287E-4</v>
      </c>
      <c r="O7" s="2">
        <f>IF('Modell einstellen'!$B$1="Voll",J7/0.35,J7/0.35*2)</f>
        <v>-4.0057774285714288E-4</v>
      </c>
      <c r="P7" s="3">
        <f t="shared" si="1"/>
        <v>0.37511400854522908</v>
      </c>
    </row>
    <row r="8" spans="1:16" x14ac:dyDescent="0.25">
      <c r="A8" s="3">
        <v>1E-10</v>
      </c>
      <c r="B8" s="3">
        <v>1.015E-4</v>
      </c>
      <c r="C8" s="3">
        <v>1.4100000000000001E-4</v>
      </c>
      <c r="D8" s="3">
        <v>-3.7179999999999998E-4</v>
      </c>
      <c r="E8" s="3">
        <v>0</v>
      </c>
      <c r="F8" s="3">
        <v>0</v>
      </c>
      <c r="G8" s="3">
        <v>0</v>
      </c>
      <c r="H8" s="3">
        <v>5.4421678000000001E-5</v>
      </c>
      <c r="I8" s="3">
        <v>1.4240702E-5</v>
      </c>
      <c r="J8" s="3">
        <v>-1.436768E-4</v>
      </c>
      <c r="L8" s="3">
        <f t="shared" si="0"/>
        <v>0.27299623453469607</v>
      </c>
      <c r="M8" s="3"/>
      <c r="N8" s="2">
        <f>IF('Modell einstellen'!$B$1="Voll",H8/0.35,H8/0.35*2)</f>
        <v>1.5549050857142859E-4</v>
      </c>
      <c r="O8" s="2">
        <f>IF('Modell einstellen'!$B$1="Voll",J8/0.35,J8/0.35*2)</f>
        <v>-4.1050514285714286E-4</v>
      </c>
      <c r="P8" s="3">
        <f t="shared" si="1"/>
        <v>0.37877846666963633</v>
      </c>
    </row>
    <row r="9" spans="1:16" x14ac:dyDescent="0.25">
      <c r="A9" s="3">
        <v>1.0000000000000001E-9</v>
      </c>
      <c r="B9" s="3">
        <v>1.027E-4</v>
      </c>
      <c r="C9" s="3">
        <v>1.4540000000000001E-4</v>
      </c>
      <c r="D9" s="3">
        <v>-3.7819999999999998E-4</v>
      </c>
      <c r="E9" s="3">
        <v>0</v>
      </c>
      <c r="F9" s="3">
        <v>0</v>
      </c>
      <c r="G9" s="3">
        <v>0</v>
      </c>
      <c r="H9" s="3">
        <v>5.6533480999999998E-5</v>
      </c>
      <c r="I9" s="3">
        <v>1.4733568E-5</v>
      </c>
      <c r="J9" s="3">
        <v>-1.4766249999999999E-4</v>
      </c>
      <c r="L9" s="3">
        <f t="shared" si="0"/>
        <v>0.27154944473823378</v>
      </c>
      <c r="M9" s="3"/>
      <c r="N9" s="2">
        <f>IF('Modell einstellen'!$B$1="Voll",H9/0.35,H9/0.35*2)</f>
        <v>1.6152423142857142E-4</v>
      </c>
      <c r="O9" s="2">
        <f>IF('Modell einstellen'!$B$1="Voll",J9/0.35,J9/0.35*2)</f>
        <v>-4.2189285714285712E-4</v>
      </c>
      <c r="P9" s="3">
        <f t="shared" si="1"/>
        <v>0.38285604672818085</v>
      </c>
    </row>
    <row r="10" spans="1:16" x14ac:dyDescent="0.25">
      <c r="A10" s="3">
        <v>1E-8</v>
      </c>
      <c r="B10" s="3">
        <v>1.039E-4</v>
      </c>
      <c r="C10" s="3">
        <v>1.505E-4</v>
      </c>
      <c r="D10" s="3">
        <v>-3.8529999999999999E-4</v>
      </c>
      <c r="E10" s="3">
        <v>0</v>
      </c>
      <c r="F10" s="3">
        <v>0</v>
      </c>
      <c r="G10" s="3">
        <v>0</v>
      </c>
      <c r="H10" s="3">
        <v>5.8996897999999999E-5</v>
      </c>
      <c r="I10" s="3">
        <v>1.530069E-5</v>
      </c>
      <c r="J10" s="3">
        <v>-1.5228118999999999E-4</v>
      </c>
      <c r="L10" s="3">
        <f t="shared" si="0"/>
        <v>0.26966000519076044</v>
      </c>
      <c r="M10" s="3"/>
      <c r="N10" s="2">
        <f>IF('Modell einstellen'!$B$1="Voll",H10/0.35,H10/0.35*2)</f>
        <v>1.6856256571428572E-4</v>
      </c>
      <c r="O10" s="2">
        <f>IF('Modell einstellen'!$B$1="Voll",J10/0.35,J10/0.35*2)</f>
        <v>-4.350891142857143E-4</v>
      </c>
      <c r="P10" s="3">
        <f t="shared" si="1"/>
        <v>0.38742078388013651</v>
      </c>
    </row>
    <row r="11" spans="1:16" x14ac:dyDescent="0.25">
      <c r="A11" s="3">
        <v>9.9999999999999995E-8</v>
      </c>
      <c r="B11" s="3">
        <v>1.049E-4</v>
      </c>
      <c r="C11" s="3">
        <v>1.5579999999999999E-4</v>
      </c>
      <c r="D11" s="3">
        <v>-3.926E-4</v>
      </c>
      <c r="E11" s="3">
        <v>0</v>
      </c>
      <c r="F11" s="3">
        <v>0</v>
      </c>
      <c r="G11" s="3">
        <v>0</v>
      </c>
      <c r="H11" s="3">
        <v>6.1670152999999996E-5</v>
      </c>
      <c r="I11" s="3">
        <v>1.5906020000000001E-5</v>
      </c>
      <c r="J11" s="3">
        <v>-1.5725386E-4</v>
      </c>
      <c r="L11" s="3">
        <f t="shared" si="0"/>
        <v>0.2671930718288334</v>
      </c>
      <c r="M11" s="3"/>
      <c r="N11" s="2">
        <f>IF('Modell einstellen'!$B$1="Voll",H11/0.35,H11/0.35*2)</f>
        <v>1.7620043714285715E-4</v>
      </c>
      <c r="O11" s="2">
        <f>IF('Modell einstellen'!$B$1="Voll",J11/0.35,J11/0.35*2)</f>
        <v>-4.4929674285714289E-4</v>
      </c>
      <c r="P11" s="3">
        <f t="shared" si="1"/>
        <v>0.39216940684317697</v>
      </c>
    </row>
    <row r="12" spans="1:16" x14ac:dyDescent="0.25">
      <c r="A12" s="3">
        <v>9.9999999999999995E-7</v>
      </c>
      <c r="B12" s="3">
        <v>1.0569999999999999E-4</v>
      </c>
      <c r="C12" s="3">
        <v>1.6110000000000001E-4</v>
      </c>
      <c r="D12" s="3">
        <v>-3.9950000000000001E-4</v>
      </c>
      <c r="E12" s="3">
        <v>0</v>
      </c>
      <c r="F12" s="3">
        <v>0</v>
      </c>
      <c r="G12" s="3">
        <v>0</v>
      </c>
      <c r="H12" s="3">
        <v>6.4370942999999995E-5</v>
      </c>
      <c r="I12" s="3">
        <v>1.6507691E-5</v>
      </c>
      <c r="J12" s="3">
        <v>-1.6223931000000001E-4</v>
      </c>
      <c r="L12" s="3">
        <f t="shared" si="0"/>
        <v>0.26458072590738418</v>
      </c>
      <c r="M12" s="3"/>
      <c r="N12" s="2">
        <f>IF('Modell einstellen'!$B$1="Voll",H12/0.35,H12/0.35*2)</f>
        <v>1.8391697999999999E-4</v>
      </c>
      <c r="O12" s="2">
        <f>IF('Modell einstellen'!$B$1="Voll",J12/0.35,J12/0.35*2)</f>
        <v>-4.6354088571428579E-4</v>
      </c>
      <c r="P12" s="3">
        <f t="shared" si="1"/>
        <v>0.39676538934984368</v>
      </c>
    </row>
    <row r="13" spans="1:16" x14ac:dyDescent="0.25">
      <c r="A13" s="3">
        <v>1.0000000000000001E-5</v>
      </c>
      <c r="B13" s="3">
        <v>1.0620000000000001E-4</v>
      </c>
      <c r="C13" s="3">
        <v>1.6750000000000001E-4</v>
      </c>
      <c r="D13" s="3">
        <v>-4.0749999999999998E-4</v>
      </c>
      <c r="E13" s="3">
        <v>0</v>
      </c>
      <c r="F13" s="3">
        <v>0</v>
      </c>
      <c r="G13" s="3">
        <v>0</v>
      </c>
      <c r="H13" s="3">
        <v>6.7725370000000005E-5</v>
      </c>
      <c r="I13" s="3">
        <v>1.7241733000000002E-5</v>
      </c>
      <c r="J13" s="3">
        <v>-1.6838062E-4</v>
      </c>
      <c r="L13" s="3">
        <f t="shared" si="0"/>
        <v>0.26061349693251534</v>
      </c>
      <c r="M13" s="3"/>
      <c r="N13" s="2">
        <f>IF('Modell einstellen'!$B$1="Voll",H13/0.35,H13/0.35*2)</f>
        <v>1.9350105714285718E-4</v>
      </c>
      <c r="O13" s="2">
        <f>IF('Modell einstellen'!$B$1="Voll",J13/0.35,J13/0.35*2)</f>
        <v>-4.8108748571428574E-4</v>
      </c>
      <c r="P13" s="3">
        <f t="shared" si="1"/>
        <v>0.40221594385387111</v>
      </c>
    </row>
    <row r="14" spans="1:16" x14ac:dyDescent="0.25">
      <c r="A14" s="3">
        <v>1E-4</v>
      </c>
      <c r="B14" s="3">
        <v>1.064E-4</v>
      </c>
      <c r="C14" s="3">
        <v>1.7560000000000001E-4</v>
      </c>
      <c r="D14" s="3">
        <v>-4.17E-4</v>
      </c>
      <c r="E14" s="3">
        <v>0</v>
      </c>
      <c r="F14" s="3">
        <v>0</v>
      </c>
      <c r="G14" s="3">
        <v>0</v>
      </c>
      <c r="H14" s="3">
        <v>7.2106434000000004E-5</v>
      </c>
      <c r="I14" s="3">
        <v>1.8177641999999998E-5</v>
      </c>
      <c r="J14" s="3">
        <v>-1.7631402999999999E-4</v>
      </c>
      <c r="L14" s="3">
        <f t="shared" si="0"/>
        <v>0.25515587529976019</v>
      </c>
      <c r="M14" s="3"/>
      <c r="N14" s="2">
        <f>IF('Modell einstellen'!$B$1="Voll",H14/0.35,H14/0.35*2)</f>
        <v>2.0601838285714289E-4</v>
      </c>
      <c r="O14" s="2">
        <f>IF('Modell einstellen'!$B$1="Voll",J14/0.35,J14/0.35*2)</f>
        <v>-5.0375437142857141E-4</v>
      </c>
      <c r="P14" s="3">
        <f t="shared" si="1"/>
        <v>0.40896594559151084</v>
      </c>
    </row>
    <row r="15" spans="1:16" x14ac:dyDescent="0.25">
      <c r="A15" s="3">
        <v>1E-3</v>
      </c>
      <c r="B15" s="3">
        <v>1.058E-4</v>
      </c>
      <c r="C15" s="3">
        <v>1.8450000000000001E-4</v>
      </c>
      <c r="D15" s="3">
        <v>-4.2680000000000002E-4</v>
      </c>
      <c r="E15" s="3">
        <v>0</v>
      </c>
      <c r="F15" s="3">
        <v>0</v>
      </c>
      <c r="G15" s="3">
        <v>0</v>
      </c>
      <c r="H15" s="3">
        <v>7.7191012000000006E-5</v>
      </c>
      <c r="I15" s="3">
        <v>1.9230794999999999E-5</v>
      </c>
      <c r="J15" s="3">
        <v>-1.8539467E-4</v>
      </c>
      <c r="L15" s="3">
        <f t="shared" si="0"/>
        <v>0.24789128397375818</v>
      </c>
      <c r="M15" s="3"/>
      <c r="N15" s="2">
        <f>IF('Modell einstellen'!$B$1="Voll",H15/0.35,H15/0.35*2)</f>
        <v>2.2054574857142861E-4</v>
      </c>
      <c r="O15" s="2">
        <f>IF('Modell einstellen'!$B$1="Voll",J15/0.35,J15/0.35*2)</f>
        <v>-5.2969905714285719E-4</v>
      </c>
      <c r="P15" s="3">
        <f t="shared" si="1"/>
        <v>0.41636047034146129</v>
      </c>
    </row>
    <row r="16" spans="1:16" x14ac:dyDescent="0.25">
      <c r="A16" s="3">
        <v>0.01</v>
      </c>
      <c r="B16" s="3">
        <v>1.044E-4</v>
      </c>
      <c r="C16" s="3">
        <v>1.9269999999999999E-4</v>
      </c>
      <c r="D16" s="3">
        <v>-4.348E-4</v>
      </c>
      <c r="E16" s="3">
        <v>0</v>
      </c>
      <c r="F16" s="3">
        <v>0</v>
      </c>
      <c r="G16" s="3">
        <v>0</v>
      </c>
      <c r="H16" s="3">
        <v>8.2042080000000004E-5</v>
      </c>
      <c r="I16" s="3">
        <v>2.0202170999999998E-5</v>
      </c>
      <c r="J16" s="3">
        <v>-1.9393046000000001E-4</v>
      </c>
      <c r="L16" s="3">
        <f t="shared" si="0"/>
        <v>0.24011039558417663</v>
      </c>
      <c r="M16" s="3"/>
      <c r="N16" s="2">
        <f>IF('Modell einstellen'!$B$1="Voll",H16/0.35,H16/0.35*2)</f>
        <v>2.344059428571429E-4</v>
      </c>
      <c r="O16" s="2">
        <f>IF('Modell einstellen'!$B$1="Voll",J16/0.35,J16/0.35*2)</f>
        <v>-5.5408702857142863E-4</v>
      </c>
      <c r="P16" s="3">
        <f t="shared" si="1"/>
        <v>0.42304896301488693</v>
      </c>
    </row>
    <row r="17" spans="1:16" x14ac:dyDescent="0.25">
      <c r="A17" s="3">
        <v>0.1</v>
      </c>
      <c r="B17" s="3">
        <v>1.024E-4</v>
      </c>
      <c r="C17" s="3">
        <v>2.0019999999999999E-4</v>
      </c>
      <c r="D17" s="3">
        <v>-4.416E-4</v>
      </c>
      <c r="E17" s="3">
        <v>0</v>
      </c>
      <c r="F17" s="3">
        <v>0</v>
      </c>
      <c r="G17" s="3">
        <v>0</v>
      </c>
      <c r="H17" s="3">
        <v>8.6756880999999997E-5</v>
      </c>
      <c r="I17" s="3">
        <v>2.1118996000000001E-5</v>
      </c>
      <c r="J17" s="3">
        <v>-2.0212278999999999E-4</v>
      </c>
      <c r="L17" s="3">
        <f t="shared" si="0"/>
        <v>0.2318840579710145</v>
      </c>
      <c r="M17" s="3"/>
      <c r="N17" s="2">
        <f>IF('Modell einstellen'!$B$1="Voll",H17/0.35,H17/0.35*2)</f>
        <v>2.4787680285714287E-4</v>
      </c>
      <c r="O17" s="2">
        <f>IF('Modell einstellen'!$B$1="Voll",J17/0.35,J17/0.35*2)</f>
        <v>-5.774936857142857E-4</v>
      </c>
      <c r="P17" s="3">
        <f t="shared" si="1"/>
        <v>0.42922859416298381</v>
      </c>
    </row>
    <row r="18" spans="1:16" x14ac:dyDescent="0.25">
      <c r="A18" s="3">
        <v>1</v>
      </c>
      <c r="B18" s="3">
        <v>9.959E-5</v>
      </c>
      <c r="C18" s="3">
        <v>2.0819999999999999E-4</v>
      </c>
      <c r="D18" s="3">
        <v>-4.4799999999999999E-4</v>
      </c>
      <c r="E18" s="3">
        <v>0</v>
      </c>
      <c r="F18" s="3">
        <v>0</v>
      </c>
      <c r="G18" s="3">
        <v>0</v>
      </c>
      <c r="H18" s="3">
        <v>9.1944983000000002E-5</v>
      </c>
      <c r="I18" s="3">
        <v>2.2096280999999999E-5</v>
      </c>
      <c r="J18" s="3">
        <v>-2.1101754000000001E-4</v>
      </c>
      <c r="L18" s="3">
        <f t="shared" si="0"/>
        <v>0.22229910714285714</v>
      </c>
      <c r="M18" s="3"/>
      <c r="N18" s="2">
        <f>IF('Modell einstellen'!$B$1="Voll",H18/0.35,H18/0.35*2)</f>
        <v>2.6269995142857143E-4</v>
      </c>
      <c r="O18" s="2">
        <f>IF('Modell einstellen'!$B$1="Voll",J18/0.35,J18/0.35*2)</f>
        <v>-6.0290725714285721E-4</v>
      </c>
      <c r="P18" s="3">
        <f t="shared" si="1"/>
        <v>0.43572199258886246</v>
      </c>
    </row>
    <row r="19" spans="1:16" x14ac:dyDescent="0.25">
      <c r="A19" s="3">
        <v>10</v>
      </c>
      <c r="B19" s="3">
        <v>9.569E-5</v>
      </c>
      <c r="C19" s="3">
        <v>2.1670000000000001E-4</v>
      </c>
      <c r="D19" s="3">
        <v>-4.5399999999999998E-4</v>
      </c>
      <c r="E19" s="3">
        <v>0</v>
      </c>
      <c r="F19" s="3">
        <v>0</v>
      </c>
      <c r="G19" s="3">
        <v>0</v>
      </c>
      <c r="H19" s="3">
        <v>9.7739307E-5</v>
      </c>
      <c r="I19" s="3">
        <v>2.3155308E-5</v>
      </c>
      <c r="J19" s="3">
        <v>-2.2082577E-4</v>
      </c>
      <c r="L19" s="3">
        <f t="shared" si="0"/>
        <v>0.21077092511013218</v>
      </c>
      <c r="M19" s="3"/>
      <c r="N19" s="2">
        <f>IF('Modell einstellen'!$B$1="Voll",H19/0.35,H19/0.35*2)</f>
        <v>2.7925516285714287E-4</v>
      </c>
      <c r="O19" s="2">
        <f>IF('Modell einstellen'!$B$1="Voll",J19/0.35,J19/0.35*2)</f>
        <v>-6.3093077142857145E-4</v>
      </c>
      <c r="P19" s="3">
        <f t="shared" si="1"/>
        <v>0.44260824721679903</v>
      </c>
    </row>
    <row r="20" spans="1:16" x14ac:dyDescent="0.25">
      <c r="A20" s="3">
        <v>100</v>
      </c>
      <c r="B20" s="3">
        <v>9.0950000000000002E-5</v>
      </c>
      <c r="C20" s="3">
        <v>2.2589999999999999E-4</v>
      </c>
      <c r="D20" s="3">
        <v>-4.5970000000000001E-4</v>
      </c>
      <c r="E20" s="3">
        <v>0</v>
      </c>
      <c r="F20" s="3">
        <v>0</v>
      </c>
      <c r="G20" s="3">
        <v>0</v>
      </c>
      <c r="H20" s="3">
        <v>1.0403789E-4</v>
      </c>
      <c r="I20" s="3">
        <v>2.4317586000000001E-5</v>
      </c>
      <c r="J20" s="3">
        <v>-2.3149828999999999E-4</v>
      </c>
      <c r="L20" s="3">
        <f t="shared" si="0"/>
        <v>0.19784642157929083</v>
      </c>
      <c r="M20" s="3"/>
      <c r="N20" s="2">
        <f>IF('Modell einstellen'!$B$1="Voll",H20/0.35,H20/0.35*2)</f>
        <v>2.9725111428571431E-4</v>
      </c>
      <c r="O20" s="2">
        <f>IF('Modell einstellen'!$B$1="Voll",J20/0.35,J20/0.35*2)</f>
        <v>-6.6142368571428577E-4</v>
      </c>
      <c r="P20" s="3">
        <f t="shared" si="1"/>
        <v>0.44941105180517749</v>
      </c>
    </row>
    <row r="21" spans="1:16" x14ac:dyDescent="0.25">
      <c r="A21" s="3">
        <v>1000</v>
      </c>
      <c r="B21" s="3">
        <v>8.7239999999999998E-5</v>
      </c>
      <c r="C21" s="3">
        <v>2.4020000000000001E-4</v>
      </c>
      <c r="D21" s="3">
        <v>-4.7120000000000002E-4</v>
      </c>
      <c r="E21" s="3">
        <v>0</v>
      </c>
      <c r="F21" s="3">
        <v>0</v>
      </c>
      <c r="G21" s="3">
        <v>0</v>
      </c>
      <c r="H21" s="3">
        <v>1.1163507E-4</v>
      </c>
      <c r="I21" s="3">
        <v>2.6126708E-5</v>
      </c>
      <c r="J21" s="3">
        <v>-2.4567498000000002E-4</v>
      </c>
      <c r="L21" s="3">
        <f t="shared" si="0"/>
        <v>0.18514431239388793</v>
      </c>
      <c r="M21" s="3"/>
      <c r="N21" s="2">
        <f>IF('Modell einstellen'!$B$1="Voll",H21/0.35,H21/0.35*2)</f>
        <v>3.1895734285714288E-4</v>
      </c>
      <c r="O21" s="2">
        <f>IF('Modell einstellen'!$B$1="Voll",J21/0.35,J21/0.35*2)</f>
        <v>-7.0192851428571438E-4</v>
      </c>
      <c r="P21" s="3">
        <f t="shared" si="1"/>
        <v>0.45440146163846229</v>
      </c>
    </row>
    <row r="22" spans="1:16" x14ac:dyDescent="0.25">
      <c r="A22" s="3">
        <v>10000</v>
      </c>
      <c r="B22" s="3">
        <v>8.8700000000000001E-5</v>
      </c>
      <c r="C22" s="3">
        <v>2.677E-4</v>
      </c>
      <c r="D22" s="3">
        <v>-4.9989999999999995E-4</v>
      </c>
      <c r="E22" s="3">
        <v>0</v>
      </c>
      <c r="F22" s="3">
        <v>0</v>
      </c>
      <c r="G22" s="3">
        <v>0</v>
      </c>
      <c r="H22" s="3">
        <v>1.2147889E-4</v>
      </c>
      <c r="I22" s="3">
        <v>2.9607184E-5</v>
      </c>
      <c r="J22" s="3">
        <v>-2.6778008000000002E-4</v>
      </c>
      <c r="L22" s="3">
        <f t="shared" si="0"/>
        <v>0.17743548709741949</v>
      </c>
      <c r="M22" s="3"/>
      <c r="N22" s="2">
        <f>IF('Modell einstellen'!$B$1="Voll",H22/0.35,H22/0.35*2)</f>
        <v>3.4708254285714289E-4</v>
      </c>
      <c r="O22" s="2">
        <f>IF('Modell einstellen'!$B$1="Voll",J22/0.35,J22/0.35*2)</f>
        <v>-7.6508594285714293E-4</v>
      </c>
      <c r="P22" s="3">
        <f t="shared" si="1"/>
        <v>0.45365170553388434</v>
      </c>
    </row>
    <row r="23" spans="1:16" x14ac:dyDescent="0.25">
      <c r="A23" s="3">
        <v>100000</v>
      </c>
      <c r="B23" s="3">
        <v>9.3049999999999998E-5</v>
      </c>
      <c r="C23" s="3">
        <v>3.0630000000000002E-4</v>
      </c>
      <c r="D23" s="3">
        <v>-5.419E-4</v>
      </c>
      <c r="E23" s="3">
        <v>0</v>
      </c>
      <c r="F23" s="3">
        <v>0</v>
      </c>
      <c r="G23" s="3">
        <v>0</v>
      </c>
      <c r="H23" s="3">
        <v>1.3368283999999999E-4</v>
      </c>
      <c r="I23" s="3">
        <v>3.4573931999999999E-5</v>
      </c>
      <c r="J23" s="3">
        <v>-2.9743708000000001E-4</v>
      </c>
      <c r="L23" s="3">
        <f t="shared" si="0"/>
        <v>0.17171064772098174</v>
      </c>
      <c r="M23" s="3"/>
      <c r="N23" s="2">
        <f>IF('Modell einstellen'!$B$1="Voll",H23/0.35,H23/0.35*2)</f>
        <v>3.8195097142857141E-4</v>
      </c>
      <c r="O23" s="2">
        <f>IF('Modell einstellen'!$B$1="Voll",J23/0.35,J23/0.35*2)</f>
        <v>-8.4982022857142865E-4</v>
      </c>
      <c r="P23" s="3">
        <f t="shared" si="1"/>
        <v>0.44944914063841662</v>
      </c>
    </row>
    <row r="24" spans="1:16" x14ac:dyDescent="0.25">
      <c r="A24" s="3">
        <v>1000000</v>
      </c>
      <c r="B24" s="3">
        <v>9.1949999999999999E-5</v>
      </c>
      <c r="C24" s="3">
        <v>3.5260000000000001E-4</v>
      </c>
      <c r="D24" s="3">
        <v>-5.8690000000000001E-4</v>
      </c>
      <c r="E24" s="3">
        <v>0</v>
      </c>
      <c r="F24" s="3">
        <v>0</v>
      </c>
      <c r="G24" s="3">
        <v>0</v>
      </c>
      <c r="H24" s="3">
        <v>1.5032813E-4</v>
      </c>
      <c r="I24" s="3">
        <v>4.0763743999999998E-5</v>
      </c>
      <c r="J24" s="3">
        <v>-3.361099E-4</v>
      </c>
      <c r="L24" s="3">
        <f t="shared" si="0"/>
        <v>0.15667064235815301</v>
      </c>
      <c r="M24" s="3"/>
      <c r="N24" s="2">
        <f>IF('Modell einstellen'!$B$1="Voll",H24/0.35,H24/0.35*2)</f>
        <v>4.2950894285714289E-4</v>
      </c>
      <c r="O24" s="2">
        <f>IF('Modell einstellen'!$B$1="Voll",J24/0.35,J24/0.35*2)</f>
        <v>-9.6031400000000009E-4</v>
      </c>
      <c r="P24" s="3">
        <f t="shared" si="1"/>
        <v>0.44725885789142183</v>
      </c>
    </row>
    <row r="25" spans="1:16" x14ac:dyDescent="0.25">
      <c r="A25" s="3">
        <v>10000000</v>
      </c>
      <c r="B25" s="3">
        <v>7.2570000000000005E-5</v>
      </c>
      <c r="C25" s="3">
        <v>4.0779999999999999E-4</v>
      </c>
      <c r="D25" s="3">
        <v>-6.2370000000000004E-4</v>
      </c>
      <c r="E25" s="3">
        <v>0</v>
      </c>
      <c r="F25" s="3">
        <v>0</v>
      </c>
      <c r="G25" s="3">
        <v>0</v>
      </c>
      <c r="H25" s="3">
        <v>1.7414690999999999E-4</v>
      </c>
      <c r="I25" s="3">
        <v>4.8547558999999997E-5</v>
      </c>
      <c r="J25" s="3">
        <v>-3.8795797E-4</v>
      </c>
      <c r="L25" s="3">
        <f t="shared" si="0"/>
        <v>0.11635401635401635</v>
      </c>
      <c r="M25" s="3"/>
      <c r="N25" s="2">
        <f>IF('Modell einstellen'!$B$1="Voll",H25/0.35,H25/0.35*2)</f>
        <v>4.9756259999999999E-4</v>
      </c>
      <c r="O25" s="2">
        <f>IF('Modell einstellen'!$B$1="Voll",J25/0.35,J25/0.35*2)</f>
        <v>-1.1084513428571429E-3</v>
      </c>
      <c r="P25" s="3">
        <f t="shared" si="1"/>
        <v>0.4488808671722867</v>
      </c>
    </row>
    <row r="26" spans="1:16" x14ac:dyDescent="0.25">
      <c r="A26" s="3">
        <v>100000000</v>
      </c>
      <c r="B26" s="3">
        <v>1.5999999999999999E-5</v>
      </c>
      <c r="C26" s="3">
        <v>4.8109999999999998E-4</v>
      </c>
      <c r="D26" s="3">
        <v>-6.4269999999999996E-4</v>
      </c>
      <c r="E26" s="3">
        <v>0</v>
      </c>
      <c r="F26" s="3">
        <v>0</v>
      </c>
      <c r="G26" s="3">
        <v>0</v>
      </c>
      <c r="H26" s="3">
        <v>2.1136846999999999E-4</v>
      </c>
      <c r="I26" s="3">
        <v>5.9524531000000001E-5</v>
      </c>
      <c r="J26" s="3">
        <v>-4.6504723000000001E-4</v>
      </c>
      <c r="L26" s="3">
        <f t="shared" si="0"/>
        <v>2.4894974327057725E-2</v>
      </c>
      <c r="M26" s="3"/>
      <c r="N26" s="2">
        <f>IF('Modell einstellen'!$B$1="Voll",H26/0.35,H26/0.35*2)</f>
        <v>6.0390991428571432E-4</v>
      </c>
      <c r="O26" s="2">
        <f>IF('Modell einstellen'!$B$1="Voll",J26/0.35,J26/0.35*2)</f>
        <v>-1.3287063714285715E-3</v>
      </c>
      <c r="P26" s="3">
        <f t="shared" si="1"/>
        <v>0.45450968496253596</v>
      </c>
    </row>
    <row r="27" spans="1:16" x14ac:dyDescent="0.25">
      <c r="A27" s="3">
        <v>1000000000</v>
      </c>
      <c r="B27" s="3">
        <v>-1.209E-4</v>
      </c>
      <c r="C27" s="3">
        <v>5.886E-4</v>
      </c>
      <c r="D27" s="3">
        <v>-6.1689999999999998E-4</v>
      </c>
      <c r="E27" s="3">
        <v>0</v>
      </c>
      <c r="F27" s="3">
        <v>0</v>
      </c>
      <c r="G27" s="3">
        <v>0</v>
      </c>
      <c r="H27" s="3">
        <v>2.7376766999999999E-4</v>
      </c>
      <c r="I27" s="3">
        <v>7.6737693999999999E-5</v>
      </c>
      <c r="J27" s="3">
        <v>-5.9019556999999995E-4</v>
      </c>
      <c r="L27" s="3">
        <f t="shared" si="0"/>
        <v>-0.19597989949748745</v>
      </c>
      <c r="M27" s="3"/>
      <c r="N27" s="2">
        <f>IF('Modell einstellen'!$B$1="Voll",H27/0.35,H27/0.35*2)</f>
        <v>7.8219334285714289E-4</v>
      </c>
      <c r="O27" s="2">
        <f>IF('Modell einstellen'!$B$1="Voll",J27/0.35,J27/0.35*2)</f>
        <v>-1.6862730571428571E-3</v>
      </c>
      <c r="P27" s="3">
        <f t="shared" si="1"/>
        <v>0.46385924245415805</v>
      </c>
    </row>
    <row r="28" spans="1:16" x14ac:dyDescent="0.25">
      <c r="A28" s="3">
        <v>10000000000</v>
      </c>
      <c r="B28" s="3">
        <v>-4.1520000000000001E-4</v>
      </c>
      <c r="C28" s="3">
        <v>7.4910000000000005E-4</v>
      </c>
      <c r="D28" s="3">
        <v>-4.8700000000000002E-4</v>
      </c>
      <c r="E28" s="3">
        <v>0</v>
      </c>
      <c r="F28" s="3">
        <v>0</v>
      </c>
      <c r="G28" s="3">
        <v>0</v>
      </c>
      <c r="H28" s="3">
        <v>3.7939232000000001E-4</v>
      </c>
      <c r="I28" s="3">
        <v>1.0430163000000001E-4</v>
      </c>
      <c r="J28" s="3">
        <v>-7.9637101E-4</v>
      </c>
      <c r="L28" s="3">
        <f t="shared" si="0"/>
        <v>-0.85256673511293635</v>
      </c>
      <c r="M28" s="3"/>
      <c r="N28" s="2">
        <f>IF('Modell einstellen'!$B$1="Voll",H28/0.35,H28/0.35*2)</f>
        <v>1.0839780571428573E-3</v>
      </c>
      <c r="O28" s="2">
        <f>IF('Modell einstellen'!$B$1="Voll",J28/0.35,J28/0.35*2)</f>
        <v>-2.2753457428571428E-3</v>
      </c>
      <c r="P28" s="3">
        <f t="shared" si="1"/>
        <v>0.47640147021424106</v>
      </c>
    </row>
    <row r="29" spans="1:16" x14ac:dyDescent="0.25">
      <c r="A29" s="3">
        <v>100000000000</v>
      </c>
      <c r="B29" s="3">
        <v>-9.0819999999999996E-4</v>
      </c>
      <c r="C29" s="3">
        <v>9.6139999999999995E-4</v>
      </c>
      <c r="D29" s="3">
        <v>-2.098E-4</v>
      </c>
      <c r="E29" s="3">
        <v>0</v>
      </c>
      <c r="F29" s="3">
        <v>0</v>
      </c>
      <c r="G29" s="3">
        <v>0</v>
      </c>
      <c r="H29" s="3">
        <v>5.3487304E-4</v>
      </c>
      <c r="I29" s="3">
        <v>1.4293169000000001E-4</v>
      </c>
      <c r="J29" s="3">
        <v>-1.0926040000000001E-3</v>
      </c>
      <c r="L29" s="3">
        <f t="shared" si="0"/>
        <v>-4.3288846520495712</v>
      </c>
      <c r="M29" s="3"/>
      <c r="N29" s="2">
        <f>IF('Modell einstellen'!$B$1="Voll",H29/0.35,H29/0.35*2)</f>
        <v>1.5282086857142858E-3</v>
      </c>
      <c r="O29" s="2">
        <f>IF('Modell einstellen'!$B$1="Voll",J29/0.35,J29/0.35*2)</f>
        <v>-3.1217257142857145E-3</v>
      </c>
      <c r="P29" s="3">
        <f t="shared" si="1"/>
        <v>0.48953970514477341</v>
      </c>
    </row>
    <row r="30" spans="1:16" x14ac:dyDescent="0.25">
      <c r="A30" s="3">
        <v>1000000000000</v>
      </c>
      <c r="B30" s="3">
        <v>-1.57E-3</v>
      </c>
      <c r="C30" s="3">
        <v>1.209E-3</v>
      </c>
      <c r="D30" s="3">
        <v>2.028E-4</v>
      </c>
      <c r="E30" s="3">
        <v>0</v>
      </c>
      <c r="F30" s="3">
        <v>0</v>
      </c>
      <c r="G30" s="3">
        <v>0</v>
      </c>
      <c r="H30" s="3">
        <v>7.3035378000000002E-4</v>
      </c>
      <c r="I30" s="3">
        <v>1.8973808000000001E-4</v>
      </c>
      <c r="J30" s="3">
        <v>-1.4582206000000001E-3</v>
      </c>
      <c r="L30" s="3">
        <f t="shared" si="0"/>
        <v>7.7416173570019726</v>
      </c>
      <c r="M30" s="3"/>
      <c r="N30" s="2">
        <f>IF('Modell einstellen'!$B$1="Voll",H30/0.35,H30/0.35*2)</f>
        <v>2.0867250857142857E-3</v>
      </c>
      <c r="O30" s="2">
        <f>IF('Modell einstellen'!$B$1="Voll",J30/0.35,J30/0.35*2)</f>
        <v>-4.1663445714285718E-3</v>
      </c>
      <c r="P30" s="3">
        <f t="shared" si="1"/>
        <v>0.50085273791907747</v>
      </c>
    </row>
    <row r="31" spans="1:16" x14ac:dyDescent="0.25">
      <c r="A31" s="3">
        <v>10000000000000</v>
      </c>
      <c r="B31" s="3">
        <v>-2.1280000000000001E-3</v>
      </c>
      <c r="C31" s="3">
        <v>1.408E-3</v>
      </c>
      <c r="D31" s="3">
        <v>5.6079999999999997E-4</v>
      </c>
      <c r="E31" s="3">
        <v>0</v>
      </c>
      <c r="F31" s="3">
        <v>0</v>
      </c>
      <c r="G31" s="3">
        <v>0</v>
      </c>
      <c r="H31" s="3">
        <v>8.9063733999999995E-4</v>
      </c>
      <c r="I31" s="3">
        <v>2.2808394999999999E-4</v>
      </c>
      <c r="J31" s="3">
        <v>-1.7574909000000001E-3</v>
      </c>
      <c r="L31" s="3">
        <f t="shared" si="0"/>
        <v>3.7945791726105567</v>
      </c>
      <c r="M31" s="3"/>
      <c r="N31" s="2">
        <f>IF('Modell einstellen'!$B$1="Voll",H31/0.35,H31/0.35*2)</f>
        <v>2.5446781142857144E-3</v>
      </c>
      <c r="O31" s="2">
        <f>IF('Modell einstellen'!$B$1="Voll",J31/0.35,J31/0.35*2)</f>
        <v>-5.0214025714285723E-3</v>
      </c>
      <c r="P31" s="3">
        <f t="shared" si="1"/>
        <v>0.50676640203371748</v>
      </c>
    </row>
    <row r="32" spans="1:16" x14ac:dyDescent="0.25">
      <c r="A32" s="3">
        <v>100000000000000</v>
      </c>
      <c r="B32" s="3">
        <v>-2.5349999999999999E-3</v>
      </c>
      <c r="C32" s="3">
        <v>1.5510000000000001E-3</v>
      </c>
      <c r="D32" s="3">
        <v>8.2370000000000002E-4</v>
      </c>
      <c r="E32" s="3">
        <v>0</v>
      </c>
      <c r="F32" s="3">
        <v>0</v>
      </c>
      <c r="G32" s="3">
        <v>0</v>
      </c>
      <c r="H32" s="3">
        <v>1.0063603999999999E-3</v>
      </c>
      <c r="I32" s="3">
        <v>2.5596434999999997E-4</v>
      </c>
      <c r="J32" s="3">
        <v>-1.9740483000000001E-3</v>
      </c>
      <c r="L32" s="3">
        <f t="shared" si="0"/>
        <v>3.0775767876654121</v>
      </c>
      <c r="M32" s="3"/>
      <c r="N32" s="2">
        <f>IF('Modell einstellen'!$B$1="Voll",H32/0.35,H32/0.35*2)</f>
        <v>2.8753154285714286E-3</v>
      </c>
      <c r="O32" s="2">
        <f>IF('Modell einstellen'!$B$1="Voll",J32/0.35,J32/0.35*2)</f>
        <v>-5.6401380000000003E-3</v>
      </c>
      <c r="P32" s="3">
        <f t="shared" si="1"/>
        <v>0.50979522638833097</v>
      </c>
    </row>
    <row r="33" spans="1:16" x14ac:dyDescent="0.25">
      <c r="A33" s="3">
        <v>1000000000000000</v>
      </c>
      <c r="B33" s="3">
        <v>-2.7659999999999998E-3</v>
      </c>
      <c r="C33" s="3">
        <v>1.634E-3</v>
      </c>
      <c r="D33" s="3">
        <v>9.7170000000000004E-4</v>
      </c>
      <c r="E33" s="3">
        <v>0</v>
      </c>
      <c r="F33" s="3">
        <v>0</v>
      </c>
      <c r="G33" s="3">
        <v>0</v>
      </c>
      <c r="H33" s="3">
        <v>1.0722454E-3</v>
      </c>
      <c r="I33" s="3">
        <v>2.7219494E-4</v>
      </c>
      <c r="J33" s="3">
        <v>-2.0985484000000001E-3</v>
      </c>
      <c r="L33" s="3">
        <f t="shared" si="0"/>
        <v>2.8465575794998452</v>
      </c>
      <c r="M33" s="3"/>
      <c r="N33" s="2">
        <f>IF('Modell einstellen'!$B$1="Voll",H33/0.35,H33/0.35*2)</f>
        <v>3.0635582857142861E-3</v>
      </c>
      <c r="O33" s="2">
        <f>IF('Modell einstellen'!$B$1="Voll",J33/0.35,J33/0.35*2)</f>
        <v>-5.9958525714285723E-3</v>
      </c>
      <c r="P33" s="3">
        <f t="shared" si="1"/>
        <v>0.51094623311999854</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9.7310000000000002E-5</v>
      </c>
      <c r="C3" s="3">
        <v>1.273E-4</v>
      </c>
      <c r="D3" s="3">
        <v>-3.5159999999999998E-4</v>
      </c>
      <c r="E3" s="3">
        <v>0</v>
      </c>
      <c r="F3" s="3">
        <v>0</v>
      </c>
      <c r="G3" s="3">
        <v>0</v>
      </c>
      <c r="H3" s="3">
        <v>4.8136965999999997E-5</v>
      </c>
      <c r="I3" s="3">
        <v>1.2750401E-5</v>
      </c>
      <c r="J3" s="3">
        <v>-1.3171883999999999E-4</v>
      </c>
      <c r="K3" s="3"/>
      <c r="L3" s="3">
        <f>-B3/D3</f>
        <v>0.27676336746302621</v>
      </c>
      <c r="M3" s="3"/>
      <c r="N3" s="2">
        <f>IF('Modell einstellen'!$B$1="Voll",H3/0.35,H3/0.35*2)</f>
        <v>1.3753418857142857E-4</v>
      </c>
      <c r="O3" s="2">
        <f>IF('Modell einstellen'!$B$1="Voll",J3/0.35,J3/0.35*2)</f>
        <v>-3.7633954285714287E-4</v>
      </c>
      <c r="P3" s="3">
        <f>-N3/O3</f>
        <v>0.36545239845719868</v>
      </c>
      <c r="Q3" s="3"/>
      <c r="R3" s="3"/>
      <c r="S3" s="3"/>
      <c r="T3" s="3"/>
      <c r="U3" s="3"/>
    </row>
    <row r="4" spans="1:21" x14ac:dyDescent="0.25">
      <c r="A4" s="3">
        <v>1E-14</v>
      </c>
      <c r="B4" s="3">
        <v>9.8750000000000002E-5</v>
      </c>
      <c r="C4" s="3">
        <v>1.3100000000000001E-4</v>
      </c>
      <c r="D4" s="3">
        <v>-3.5730000000000001E-4</v>
      </c>
      <c r="E4" s="3">
        <v>0</v>
      </c>
      <c r="F4" s="3">
        <v>0</v>
      </c>
      <c r="G4" s="3">
        <v>0</v>
      </c>
      <c r="H4" s="3">
        <v>4.9782735999999999E-5</v>
      </c>
      <c r="I4" s="3">
        <v>1.3153213E-5</v>
      </c>
      <c r="J4" s="3">
        <v>-1.3489137000000001E-4</v>
      </c>
      <c r="K4" s="3"/>
      <c r="L4" s="3">
        <f t="shared" ref="L4:L33" si="0">-B4/D4</f>
        <v>0.276378393506857</v>
      </c>
      <c r="M4" s="3"/>
      <c r="N4" s="2">
        <f>IF('Modell einstellen'!$B$1="Voll",H4/0.35,H4/0.35*2)</f>
        <v>1.4223638857142857E-4</v>
      </c>
      <c r="O4" s="2">
        <f>IF('Modell einstellen'!$B$1="Voll",J4/0.35,J4/0.35*2)</f>
        <v>-3.8540391428571434E-4</v>
      </c>
      <c r="P4" s="3">
        <f t="shared" ref="P4:P33" si="1">-N4/O4</f>
        <v>0.36905797605880936</v>
      </c>
      <c r="Q4" s="3"/>
      <c r="R4" s="3"/>
      <c r="S4" s="3"/>
      <c r="T4" s="3"/>
      <c r="U4" s="3"/>
    </row>
    <row r="5" spans="1:21" x14ac:dyDescent="0.25">
      <c r="A5" s="3">
        <v>1E-13</v>
      </c>
      <c r="B5" s="3">
        <v>9.9900000000000002E-5</v>
      </c>
      <c r="C5" s="3">
        <v>1.3420000000000001E-4</v>
      </c>
      <c r="D5" s="3">
        <v>-3.6220000000000002E-4</v>
      </c>
      <c r="E5" s="3">
        <v>0</v>
      </c>
      <c r="F5" s="3">
        <v>0</v>
      </c>
      <c r="G5" s="3">
        <v>0</v>
      </c>
      <c r="H5" s="3">
        <v>5.1229649000000002E-5</v>
      </c>
      <c r="I5" s="3">
        <v>1.3504047E-5</v>
      </c>
      <c r="J5" s="3">
        <v>-1.3767259999999999E-4</v>
      </c>
      <c r="K5" s="3"/>
      <c r="L5" s="3">
        <f t="shared" si="0"/>
        <v>0.27581446714522362</v>
      </c>
      <c r="M5" s="3"/>
      <c r="N5" s="2">
        <f>IF('Modell einstellen'!$B$1="Voll",H5/0.35,H5/0.35*2)</f>
        <v>1.4637042571428573E-4</v>
      </c>
      <c r="O5" s="2">
        <f>IF('Modell einstellen'!$B$1="Voll",J5/0.35,J5/0.35*2)</f>
        <v>-3.9335028571428572E-4</v>
      </c>
      <c r="P5" s="3">
        <f t="shared" si="1"/>
        <v>0.37211216320458834</v>
      </c>
      <c r="Q5" s="3"/>
      <c r="R5" s="3"/>
      <c r="S5" s="3"/>
      <c r="T5" s="3"/>
      <c r="U5" s="3"/>
    </row>
    <row r="6" spans="1:21" x14ac:dyDescent="0.25">
      <c r="A6" s="3">
        <v>9.9999999999999998E-13</v>
      </c>
      <c r="B6" s="3">
        <v>1.011E-4</v>
      </c>
      <c r="C6" s="3">
        <v>1.3770000000000001E-4</v>
      </c>
      <c r="D6" s="3">
        <v>-3.6749999999999999E-4</v>
      </c>
      <c r="E6" s="3">
        <v>0</v>
      </c>
      <c r="F6" s="3">
        <v>0</v>
      </c>
      <c r="G6" s="3">
        <v>0</v>
      </c>
      <c r="H6" s="3">
        <v>5.2815934999999999E-5</v>
      </c>
      <c r="I6" s="3">
        <v>1.3884939999999999E-5</v>
      </c>
      <c r="J6" s="3">
        <v>-1.4070677999999999E-4</v>
      </c>
      <c r="K6" s="3"/>
      <c r="L6" s="3">
        <f t="shared" si="0"/>
        <v>0.27510204081632655</v>
      </c>
      <c r="M6" s="3"/>
      <c r="N6" s="2">
        <f>IF('Modell einstellen'!$B$1="Voll",H6/0.35,H6/0.35*2)</f>
        <v>1.5090267142857145E-4</v>
      </c>
      <c r="O6" s="2">
        <f>IF('Modell einstellen'!$B$1="Voll",J6/0.35,J6/0.35*2)</f>
        <v>-4.0201937142857143E-4</v>
      </c>
      <c r="P6" s="3">
        <f t="shared" si="1"/>
        <v>0.37536169188151419</v>
      </c>
      <c r="Q6" s="3"/>
      <c r="R6" s="3"/>
      <c r="S6" s="3"/>
      <c r="T6" s="3"/>
      <c r="U6" s="3"/>
    </row>
    <row r="7" spans="1:21" x14ac:dyDescent="0.25">
      <c r="A7" s="3">
        <v>9.9999999999999994E-12</v>
      </c>
      <c r="B7" s="3">
        <v>1.0230000000000001E-4</v>
      </c>
      <c r="C7" s="3">
        <v>1.418E-4</v>
      </c>
      <c r="D7" s="3">
        <v>-3.7340000000000002E-4</v>
      </c>
      <c r="E7" s="3">
        <v>0</v>
      </c>
      <c r="F7" s="3">
        <v>0</v>
      </c>
      <c r="G7" s="3">
        <v>0</v>
      </c>
      <c r="H7" s="3">
        <v>5.4682860999999998E-5</v>
      </c>
      <c r="I7" s="3">
        <v>1.4328581999999999E-5</v>
      </c>
      <c r="J7" s="3">
        <v>-1.4425918E-4</v>
      </c>
      <c r="K7" s="3"/>
      <c r="L7" s="3">
        <f t="shared" si="0"/>
        <v>0.27396893411890733</v>
      </c>
      <c r="M7" s="3"/>
      <c r="N7" s="2">
        <f>IF('Modell einstellen'!$B$1="Voll",H7/0.35,H7/0.35*2)</f>
        <v>1.5623674571428573E-4</v>
      </c>
      <c r="O7" s="2">
        <f>IF('Modell einstellen'!$B$1="Voll",J7/0.35,J7/0.35*2)</f>
        <v>-4.1216908571428576E-4</v>
      </c>
      <c r="P7" s="3">
        <f t="shared" si="1"/>
        <v>0.37905983522157827</v>
      </c>
      <c r="Q7" s="3"/>
      <c r="R7" s="3"/>
      <c r="S7" s="3"/>
      <c r="T7" s="3"/>
      <c r="U7" s="3"/>
    </row>
    <row r="8" spans="1:21" x14ac:dyDescent="0.25">
      <c r="A8" s="3">
        <v>1E-10</v>
      </c>
      <c r="B8" s="3">
        <v>1.0349999999999999E-4</v>
      </c>
      <c r="C8" s="3">
        <v>1.462E-4</v>
      </c>
      <c r="D8" s="3">
        <v>-3.7980000000000002E-4</v>
      </c>
      <c r="E8" s="3">
        <v>0</v>
      </c>
      <c r="F8" s="3">
        <v>0</v>
      </c>
      <c r="G8" s="3">
        <v>0</v>
      </c>
      <c r="H8" s="3">
        <v>5.6808631000000002E-5</v>
      </c>
      <c r="I8" s="3">
        <v>1.4827483E-5</v>
      </c>
      <c r="J8" s="3">
        <v>-1.4827924000000001E-4</v>
      </c>
      <c r="K8" s="3"/>
      <c r="L8" s="3">
        <f t="shared" si="0"/>
        <v>0.27251184834123221</v>
      </c>
      <c r="M8" s="3"/>
      <c r="N8" s="2">
        <f>IF('Modell einstellen'!$B$1="Voll",H8/0.35,H8/0.35*2)</f>
        <v>1.623103742857143E-4</v>
      </c>
      <c r="O8" s="2">
        <f>IF('Modell einstellen'!$B$1="Voll",J8/0.35,J8/0.35*2)</f>
        <v>-4.2365497142857146E-4</v>
      </c>
      <c r="P8" s="3">
        <f t="shared" si="1"/>
        <v>0.38311924852056162</v>
      </c>
      <c r="Q8" s="3"/>
      <c r="R8" s="3"/>
      <c r="S8" s="3"/>
      <c r="T8" s="3"/>
      <c r="U8" s="3"/>
    </row>
    <row r="9" spans="1:21" x14ac:dyDescent="0.25">
      <c r="A9" s="3">
        <v>1.0000000000000001E-9</v>
      </c>
      <c r="B9" s="3">
        <v>1.048E-4</v>
      </c>
      <c r="C9" s="3">
        <v>1.5139999999999999E-4</v>
      </c>
      <c r="D9" s="3">
        <v>-3.8709999999999998E-4</v>
      </c>
      <c r="E9" s="3">
        <v>0</v>
      </c>
      <c r="F9" s="3">
        <v>0</v>
      </c>
      <c r="G9" s="3">
        <v>0</v>
      </c>
      <c r="H9" s="3">
        <v>5.9321830000000001E-5</v>
      </c>
      <c r="I9" s="3">
        <v>1.5409267000000001E-5</v>
      </c>
      <c r="J9" s="3">
        <v>-1.5300040000000001E-4</v>
      </c>
      <c r="K9" s="3"/>
      <c r="L9" s="3">
        <f t="shared" si="0"/>
        <v>0.27073107724102302</v>
      </c>
      <c r="M9" s="3"/>
      <c r="N9" s="2">
        <f>IF('Modell einstellen'!$B$1="Voll",H9/0.35,H9/0.35*2)</f>
        <v>1.6949094285714287E-4</v>
      </c>
      <c r="O9" s="2">
        <f>IF('Modell einstellen'!$B$1="Voll",J9/0.35,J9/0.35*2)</f>
        <v>-4.3714400000000004E-4</v>
      </c>
      <c r="P9" s="3">
        <f t="shared" si="1"/>
        <v>0.38772336542910996</v>
      </c>
      <c r="Q9" s="3"/>
      <c r="R9" s="3"/>
      <c r="S9" s="3"/>
      <c r="T9" s="3"/>
      <c r="U9" s="3"/>
    </row>
    <row r="10" spans="1:21" x14ac:dyDescent="0.25">
      <c r="A10" s="3">
        <v>1E-8</v>
      </c>
      <c r="B10" s="3">
        <v>1.0569999999999999E-4</v>
      </c>
      <c r="C10" s="3">
        <v>1.5679999999999999E-4</v>
      </c>
      <c r="D10" s="3">
        <v>-3.9429999999999999E-4</v>
      </c>
      <c r="E10" s="3">
        <v>0</v>
      </c>
      <c r="F10" s="3">
        <v>0</v>
      </c>
      <c r="G10" s="3">
        <v>0</v>
      </c>
      <c r="H10" s="3">
        <v>6.1974566000000002E-5</v>
      </c>
      <c r="I10" s="3">
        <v>1.6013247E-5</v>
      </c>
      <c r="J10" s="3">
        <v>-1.5794415E-4</v>
      </c>
      <c r="K10" s="3"/>
      <c r="L10" s="3">
        <f t="shared" si="0"/>
        <v>0.26806999746386001</v>
      </c>
      <c r="M10" s="3"/>
      <c r="N10" s="2">
        <f>IF('Modell einstellen'!$B$1="Voll",H10/0.35,H10/0.35*2)</f>
        <v>1.7707018857142858E-4</v>
      </c>
      <c r="O10" s="2">
        <f>IF('Modell einstellen'!$B$1="Voll",J10/0.35,J10/0.35*2)</f>
        <v>-4.5126900000000002E-4</v>
      </c>
      <c r="P10" s="3">
        <f t="shared" si="1"/>
        <v>0.39238278847301405</v>
      </c>
      <c r="Q10" s="3"/>
      <c r="R10" s="3"/>
      <c r="S10" s="3"/>
      <c r="T10" s="3"/>
      <c r="U10" s="3"/>
    </row>
    <row r="11" spans="1:21" x14ac:dyDescent="0.25">
      <c r="A11" s="3">
        <v>9.9999999999999995E-8</v>
      </c>
      <c r="B11" s="3">
        <v>1.065E-4</v>
      </c>
      <c r="C11" s="3">
        <v>1.6220000000000001E-4</v>
      </c>
      <c r="D11" s="3">
        <v>-4.013E-4</v>
      </c>
      <c r="E11" s="3">
        <v>0</v>
      </c>
      <c r="F11" s="3">
        <v>0</v>
      </c>
      <c r="G11" s="3">
        <v>0</v>
      </c>
      <c r="H11" s="3">
        <v>6.4706723999999994E-5</v>
      </c>
      <c r="I11" s="3">
        <v>1.6625421999999999E-5</v>
      </c>
      <c r="J11" s="3">
        <v>-1.629976E-4</v>
      </c>
      <c r="K11" s="3"/>
      <c r="L11" s="3">
        <f t="shared" si="0"/>
        <v>0.26538749065537004</v>
      </c>
      <c r="M11" s="3"/>
      <c r="N11" s="2">
        <f>IF('Modell einstellen'!$B$1="Voll",H11/0.35,H11/0.35*2)</f>
        <v>1.8487635428571429E-4</v>
      </c>
      <c r="O11" s="2">
        <f>IF('Modell einstellen'!$B$1="Voll",J11/0.35,J11/0.35*2)</f>
        <v>-4.6570742857142861E-4</v>
      </c>
      <c r="P11" s="3">
        <f t="shared" si="1"/>
        <v>0.39697961196974679</v>
      </c>
      <c r="Q11" s="3"/>
      <c r="R11" s="3"/>
      <c r="S11" s="3"/>
      <c r="T11" s="3"/>
      <c r="U11" s="3"/>
    </row>
    <row r="12" spans="1:21" x14ac:dyDescent="0.25">
      <c r="A12" s="3">
        <v>9.9999999999999995E-7</v>
      </c>
      <c r="B12" s="3">
        <v>1.071E-4</v>
      </c>
      <c r="C12" s="3">
        <v>1.6880000000000001E-4</v>
      </c>
      <c r="D12" s="3">
        <v>-4.0959999999999998E-4</v>
      </c>
      <c r="E12" s="3">
        <v>0</v>
      </c>
      <c r="F12" s="3">
        <v>0</v>
      </c>
      <c r="G12" s="3">
        <v>0</v>
      </c>
      <c r="H12" s="3">
        <v>6.8156760999999998E-5</v>
      </c>
      <c r="I12" s="3">
        <v>1.7384649E-5</v>
      </c>
      <c r="J12" s="3">
        <v>-1.6932604999999999E-4</v>
      </c>
      <c r="K12" s="3"/>
      <c r="L12" s="3">
        <f t="shared" si="0"/>
        <v>0.261474609375</v>
      </c>
      <c r="M12" s="3"/>
      <c r="N12" s="2">
        <f>IF('Modell einstellen'!$B$1="Voll",H12/0.35,H12/0.35*2)</f>
        <v>1.9473360285714286E-4</v>
      </c>
      <c r="O12" s="2">
        <f>IF('Modell einstellen'!$B$1="Voll",J12/0.35,J12/0.35*2)</f>
        <v>-4.8378871428571426E-4</v>
      </c>
      <c r="P12" s="3">
        <f t="shared" si="1"/>
        <v>0.40251787010917695</v>
      </c>
      <c r="Q12" s="3"/>
      <c r="R12" s="3"/>
      <c r="S12" s="3"/>
      <c r="T12" s="3"/>
      <c r="U12" s="3"/>
    </row>
    <row r="13" spans="1:21" x14ac:dyDescent="0.25">
      <c r="A13" s="3">
        <v>1.0000000000000001E-5</v>
      </c>
      <c r="B13" s="3">
        <v>1.072E-4</v>
      </c>
      <c r="C13" s="3">
        <v>1.7699999999999999E-4</v>
      </c>
      <c r="D13" s="3">
        <v>-4.193E-4</v>
      </c>
      <c r="E13" s="3">
        <v>0</v>
      </c>
      <c r="F13" s="3">
        <v>0</v>
      </c>
      <c r="G13" s="3">
        <v>0</v>
      </c>
      <c r="H13" s="3">
        <v>7.2625534999999993E-5</v>
      </c>
      <c r="I13" s="3">
        <v>1.8344361999999999E-5</v>
      </c>
      <c r="J13" s="3">
        <v>-1.7743229E-4</v>
      </c>
      <c r="K13" s="3"/>
      <c r="L13" s="3">
        <f t="shared" si="0"/>
        <v>0.25566420224183162</v>
      </c>
      <c r="M13" s="3"/>
      <c r="N13" s="2">
        <f>IF('Modell einstellen'!$B$1="Voll",H13/0.35,H13/0.35*2)</f>
        <v>2.0750152857142856E-4</v>
      </c>
      <c r="O13" s="2">
        <f>IF('Modell einstellen'!$B$1="Voll",J13/0.35,J13/0.35*2)</f>
        <v>-5.0694940000000006E-4</v>
      </c>
      <c r="P13" s="3">
        <f t="shared" si="1"/>
        <v>0.4093140825720053</v>
      </c>
      <c r="Q13" s="3"/>
      <c r="R13" s="3"/>
      <c r="S13" s="3"/>
      <c r="T13" s="3"/>
      <c r="U13" s="3"/>
    </row>
    <row r="14" spans="1:21" x14ac:dyDescent="0.25">
      <c r="A14" s="3">
        <v>1E-4</v>
      </c>
      <c r="B14" s="3">
        <v>1.065E-4</v>
      </c>
      <c r="C14" s="3">
        <v>1.861E-4</v>
      </c>
      <c r="D14" s="3">
        <v>-4.2900000000000002E-4</v>
      </c>
      <c r="E14" s="3">
        <v>0</v>
      </c>
      <c r="F14" s="3">
        <v>0</v>
      </c>
      <c r="G14" s="3">
        <v>0</v>
      </c>
      <c r="H14" s="3">
        <v>7.7727688999999994E-5</v>
      </c>
      <c r="I14" s="3">
        <v>1.9406678000000002E-5</v>
      </c>
      <c r="J14" s="3">
        <v>-1.8655951000000001E-4</v>
      </c>
      <c r="K14" s="3"/>
      <c r="L14" s="3">
        <f t="shared" si="0"/>
        <v>0.24825174825174823</v>
      </c>
      <c r="M14" s="3"/>
      <c r="N14" s="2">
        <f>IF('Modell einstellen'!$B$1="Voll",H14/0.35,H14/0.35*2)</f>
        <v>2.2207911142857142E-4</v>
      </c>
      <c r="O14" s="2">
        <f>IF('Modell einstellen'!$B$1="Voll",J14/0.35,J14/0.35*2)</f>
        <v>-5.3302717142857147E-4</v>
      </c>
      <c r="P14" s="3">
        <f t="shared" si="1"/>
        <v>0.41663750617698336</v>
      </c>
      <c r="Q14" s="3"/>
      <c r="R14" s="3"/>
      <c r="S14" s="3"/>
      <c r="T14" s="3"/>
      <c r="U14" s="3"/>
    </row>
    <row r="15" spans="1:21" x14ac:dyDescent="0.25">
      <c r="A15" s="3">
        <v>1E-3</v>
      </c>
      <c r="B15" s="3">
        <v>1.0509999999999999E-4</v>
      </c>
      <c r="C15" s="3">
        <v>1.941E-4</v>
      </c>
      <c r="D15" s="3">
        <v>-4.3689999999999999E-4</v>
      </c>
      <c r="E15" s="3">
        <v>0</v>
      </c>
      <c r="F15" s="3">
        <v>0</v>
      </c>
      <c r="G15" s="3">
        <v>0</v>
      </c>
      <c r="H15" s="3">
        <v>8.2496445999999998E-5</v>
      </c>
      <c r="I15" s="3">
        <v>2.0367038000000001E-5</v>
      </c>
      <c r="J15" s="3">
        <v>-1.9496602999999999E-4</v>
      </c>
      <c r="K15" s="3"/>
      <c r="L15" s="3">
        <f t="shared" si="0"/>
        <v>0.24055848020141907</v>
      </c>
      <c r="M15" s="3"/>
      <c r="N15" s="2">
        <f>IF('Modell einstellen'!$B$1="Voll",H15/0.35,H15/0.35*2)</f>
        <v>2.3570413142857144E-4</v>
      </c>
      <c r="O15" s="2">
        <f>IF('Modell einstellen'!$B$1="Voll",J15/0.35,J15/0.35*2)</f>
        <v>-5.5704579999999999E-4</v>
      </c>
      <c r="P15" s="3">
        <f t="shared" si="1"/>
        <v>0.42313240927150236</v>
      </c>
      <c r="Q15" s="3"/>
      <c r="R15" s="3"/>
      <c r="S15" s="3"/>
      <c r="T15" s="3"/>
      <c r="U15" s="3"/>
    </row>
    <row r="16" spans="1:21" x14ac:dyDescent="0.25">
      <c r="A16" s="3">
        <v>0.01</v>
      </c>
      <c r="B16" s="3">
        <v>1.03E-4</v>
      </c>
      <c r="C16" s="3">
        <v>2.018E-4</v>
      </c>
      <c r="D16" s="3">
        <v>-4.438E-4</v>
      </c>
      <c r="E16" s="3">
        <v>0</v>
      </c>
      <c r="F16" s="3">
        <v>0</v>
      </c>
      <c r="G16" s="3">
        <v>0</v>
      </c>
      <c r="H16" s="3">
        <v>8.7273881000000006E-5</v>
      </c>
      <c r="I16" s="3">
        <v>2.1302112999999999E-5</v>
      </c>
      <c r="J16" s="3">
        <v>-2.0328532000000001E-4</v>
      </c>
      <c r="K16" s="3"/>
      <c r="L16" s="3">
        <f t="shared" si="0"/>
        <v>0.23208652546191977</v>
      </c>
      <c r="M16" s="3"/>
      <c r="N16" s="2">
        <f>IF('Modell einstellen'!$B$1="Voll",H16/0.35,H16/0.35*2)</f>
        <v>2.4935394571428576E-4</v>
      </c>
      <c r="O16" s="2">
        <f>IF('Modell einstellen'!$B$1="Voll",J16/0.35,J16/0.35*2)</f>
        <v>-5.8081520000000011E-4</v>
      </c>
      <c r="P16" s="3">
        <f t="shared" si="1"/>
        <v>0.4293171833558862</v>
      </c>
      <c r="Q16" s="3"/>
      <c r="R16" s="3"/>
      <c r="S16" s="3"/>
      <c r="T16" s="3"/>
      <c r="U16" s="3"/>
    </row>
    <row r="17" spans="1:25" x14ac:dyDescent="0.25">
      <c r="A17" s="3">
        <v>0.1</v>
      </c>
      <c r="B17" s="3">
        <v>1.0009999999999999E-4</v>
      </c>
      <c r="C17" s="3">
        <v>2.098E-4</v>
      </c>
      <c r="D17" s="3">
        <v>-4.5009999999999999E-4</v>
      </c>
      <c r="E17" s="3">
        <v>0</v>
      </c>
      <c r="F17" s="3">
        <v>0</v>
      </c>
      <c r="G17" s="3">
        <v>0</v>
      </c>
      <c r="H17" s="3">
        <v>9.2470346999999996E-5</v>
      </c>
      <c r="I17" s="3">
        <v>2.2287179000000002E-5</v>
      </c>
      <c r="J17" s="3">
        <v>-2.1221283E-4</v>
      </c>
      <c r="K17" s="3"/>
      <c r="L17" s="3">
        <f t="shared" si="0"/>
        <v>0.22239502332814928</v>
      </c>
      <c r="M17" s="3"/>
      <c r="N17" s="2">
        <f>IF('Modell einstellen'!$B$1="Voll",H17/0.35,H17/0.35*2)</f>
        <v>2.6420099142857143E-4</v>
      </c>
      <c r="O17" s="2">
        <f>IF('Modell einstellen'!$B$1="Voll",J17/0.35,J17/0.35*2)</f>
        <v>-6.0632237142857145E-4</v>
      </c>
      <c r="P17" s="3">
        <f t="shared" si="1"/>
        <v>0.43574343266615878</v>
      </c>
      <c r="Q17" s="3"/>
      <c r="R17" s="3"/>
      <c r="S17" s="3"/>
      <c r="T17" s="3"/>
      <c r="U17" s="3"/>
      <c r="V17" s="3"/>
      <c r="W17" s="3"/>
      <c r="X17" s="3"/>
      <c r="Y17" s="3"/>
    </row>
    <row r="18" spans="1:25" x14ac:dyDescent="0.25">
      <c r="A18" s="3">
        <v>1</v>
      </c>
      <c r="B18" s="3">
        <v>9.6069999999999993E-5</v>
      </c>
      <c r="C18" s="3">
        <v>2.185E-4</v>
      </c>
      <c r="D18" s="3">
        <v>-4.5609999999999997E-4</v>
      </c>
      <c r="E18" s="3">
        <v>0</v>
      </c>
      <c r="F18" s="3">
        <v>0</v>
      </c>
      <c r="G18" s="3">
        <v>0</v>
      </c>
      <c r="H18" s="3">
        <v>9.8359188000000006E-5</v>
      </c>
      <c r="I18" s="3">
        <v>2.3369010999999999E-5</v>
      </c>
      <c r="J18" s="3">
        <v>-2.2219741E-4</v>
      </c>
      <c r="K18" s="3"/>
      <c r="L18" s="3">
        <f t="shared" si="0"/>
        <v>0.21063363297522472</v>
      </c>
      <c r="M18" s="3"/>
      <c r="N18" s="2">
        <f>IF('Modell einstellen'!$B$1="Voll",H18/0.35,H18/0.35*2)</f>
        <v>2.8102625142857146E-4</v>
      </c>
      <c r="O18" s="2">
        <f>IF('Modell einstellen'!$B$1="Voll",J18/0.35,J18/0.35*2)</f>
        <v>-6.3484974285714293E-4</v>
      </c>
      <c r="P18" s="3">
        <f t="shared" si="1"/>
        <v>0.44266577184675554</v>
      </c>
      <c r="Q18" s="3"/>
      <c r="R18" s="3"/>
      <c r="S18" s="3"/>
      <c r="T18" s="3"/>
      <c r="U18" s="3"/>
      <c r="V18" s="3"/>
      <c r="W18" s="3"/>
      <c r="X18" s="3"/>
      <c r="Y18" s="3"/>
    </row>
    <row r="19" spans="1:25" x14ac:dyDescent="0.25">
      <c r="A19" s="3">
        <v>10</v>
      </c>
      <c r="B19" s="3">
        <v>9.1130000000000003E-5</v>
      </c>
      <c r="C19" s="3">
        <v>2.275E-4</v>
      </c>
      <c r="D19" s="3">
        <v>-4.615E-4</v>
      </c>
      <c r="E19" s="3">
        <v>0</v>
      </c>
      <c r="F19" s="3">
        <v>0</v>
      </c>
      <c r="G19" s="3">
        <v>0</v>
      </c>
      <c r="H19" s="3">
        <v>1.0463891999999999E-4</v>
      </c>
      <c r="I19" s="3">
        <v>2.4516511000000002E-5</v>
      </c>
      <c r="J19" s="3">
        <v>-2.3279986000000001E-4</v>
      </c>
      <c r="K19" s="3"/>
      <c r="L19" s="3">
        <f t="shared" si="0"/>
        <v>0.19746478873239437</v>
      </c>
      <c r="M19" s="3"/>
      <c r="N19" s="2">
        <f>IF('Modell einstellen'!$B$1="Voll",H19/0.35,H19/0.35*2)</f>
        <v>2.9896834285714284E-4</v>
      </c>
      <c r="O19" s="2">
        <f>IF('Modell einstellen'!$B$1="Voll",J19/0.35,J19/0.35*2)</f>
        <v>-6.6514245714285717E-4</v>
      </c>
      <c r="P19" s="3">
        <f t="shared" si="1"/>
        <v>0.44948016721315892</v>
      </c>
      <c r="Q19" s="3"/>
      <c r="R19" s="3"/>
      <c r="S19" s="3"/>
      <c r="T19" s="3"/>
      <c r="U19" s="3"/>
      <c r="V19" s="3"/>
      <c r="W19" s="3"/>
      <c r="X19" s="3"/>
      <c r="Y19" s="3"/>
    </row>
    <row r="20" spans="1:25" x14ac:dyDescent="0.25">
      <c r="A20" s="3">
        <v>100</v>
      </c>
      <c r="B20" s="3">
        <v>8.6180000000000005E-5</v>
      </c>
      <c r="C20" s="3">
        <v>2.4130000000000001E-4</v>
      </c>
      <c r="D20" s="3">
        <v>-4.7150000000000002E-4</v>
      </c>
      <c r="E20" s="3">
        <v>0</v>
      </c>
      <c r="F20" s="3">
        <v>0</v>
      </c>
      <c r="G20" s="3">
        <v>0</v>
      </c>
      <c r="H20" s="3">
        <v>1.1254941E-4</v>
      </c>
      <c r="I20" s="3">
        <v>2.6266886999999999E-5</v>
      </c>
      <c r="J20" s="3">
        <v>-2.4712505000000002E-4</v>
      </c>
      <c r="K20" s="3"/>
      <c r="L20" s="3">
        <f t="shared" si="0"/>
        <v>0.18277836691410393</v>
      </c>
      <c r="M20" s="3"/>
      <c r="N20" s="2">
        <f>IF('Modell einstellen'!$B$1="Voll",H20/0.35,H20/0.35*2)</f>
        <v>3.2156974285714289E-4</v>
      </c>
      <c r="O20" s="2">
        <f>IF('Modell einstellen'!$B$1="Voll",J20/0.35,J20/0.35*2)</f>
        <v>-7.0607157142857152E-4</v>
      </c>
      <c r="P20" s="3">
        <f t="shared" si="1"/>
        <v>0.45543505201111745</v>
      </c>
      <c r="Q20" s="3"/>
      <c r="R20" s="3"/>
      <c r="S20" s="3"/>
      <c r="T20" s="3"/>
      <c r="U20" s="3"/>
      <c r="V20" s="3"/>
      <c r="W20" s="3"/>
      <c r="X20" s="3"/>
      <c r="Y20" s="3"/>
    </row>
    <row r="21" spans="1:25" x14ac:dyDescent="0.25">
      <c r="A21" s="3">
        <v>1000</v>
      </c>
      <c r="B21" s="3">
        <v>8.5829999999999996E-5</v>
      </c>
      <c r="C21" s="3">
        <v>2.675E-4</v>
      </c>
      <c r="D21" s="3">
        <v>-4.9720000000000005E-4</v>
      </c>
      <c r="E21" s="3">
        <v>0</v>
      </c>
      <c r="F21" s="3">
        <v>0</v>
      </c>
      <c r="G21" s="3">
        <v>0</v>
      </c>
      <c r="H21" s="3">
        <v>1.2252743999999999E-4</v>
      </c>
      <c r="I21" s="3">
        <v>2.9590327000000001E-5</v>
      </c>
      <c r="J21" s="3">
        <v>-2.6885633999999999E-4</v>
      </c>
      <c r="K21" s="3"/>
      <c r="L21" s="3">
        <f t="shared" si="0"/>
        <v>0.1726267095736122</v>
      </c>
      <c r="M21" s="3"/>
      <c r="N21" s="2">
        <f>IF('Modell einstellen'!$B$1="Voll",H21/0.35,H21/0.35*2)</f>
        <v>3.5007840000000001E-4</v>
      </c>
      <c r="O21" s="2">
        <f>IF('Modell einstellen'!$B$1="Voll",J21/0.35,J21/0.35*2)</f>
        <v>-7.6816097142857142E-4</v>
      </c>
      <c r="P21" s="3">
        <f t="shared" si="1"/>
        <v>0.4557357286050982</v>
      </c>
      <c r="Q21" s="3"/>
      <c r="R21" s="3"/>
      <c r="S21" s="3"/>
      <c r="T21" s="3"/>
      <c r="U21" s="3"/>
      <c r="V21" s="3"/>
      <c r="W21" s="3"/>
      <c r="X21" s="3"/>
      <c r="Y21" s="3"/>
    </row>
    <row r="22" spans="1:25" x14ac:dyDescent="0.25">
      <c r="A22" s="3">
        <v>10000</v>
      </c>
      <c r="B22" s="3">
        <v>8.8739999999999994E-5</v>
      </c>
      <c r="C22" s="3">
        <v>3.0620000000000002E-4</v>
      </c>
      <c r="D22" s="3">
        <v>-5.3799999999999996E-4</v>
      </c>
      <c r="E22" s="3">
        <v>0</v>
      </c>
      <c r="F22" s="3">
        <v>0</v>
      </c>
      <c r="G22" s="3">
        <v>0</v>
      </c>
      <c r="H22" s="3">
        <v>1.3509393E-4</v>
      </c>
      <c r="I22" s="3">
        <v>3.4591687000000001E-5</v>
      </c>
      <c r="J22" s="3">
        <v>-2.9901411E-4</v>
      </c>
      <c r="K22" s="3"/>
      <c r="L22" s="3">
        <f t="shared" si="0"/>
        <v>0.16494423791821561</v>
      </c>
      <c r="M22" s="3"/>
      <c r="N22" s="2">
        <f>IF('Modell einstellen'!$B$1="Voll",H22/0.35,H22/0.35*2)</f>
        <v>3.8598265714285716E-4</v>
      </c>
      <c r="O22" s="2">
        <f>IF('Modell einstellen'!$B$1="Voll",J22/0.35,J22/0.35*2)</f>
        <v>-8.5432602857142862E-4</v>
      </c>
      <c r="P22" s="3">
        <f t="shared" si="1"/>
        <v>0.45179784325227995</v>
      </c>
      <c r="Q22" s="3"/>
      <c r="R22" s="3"/>
      <c r="S22" s="3"/>
      <c r="T22" s="3"/>
      <c r="U22" s="3"/>
      <c r="V22" s="3"/>
      <c r="W22" s="3"/>
      <c r="X22" s="3"/>
      <c r="Y22" s="3"/>
    </row>
    <row r="23" spans="1:25" x14ac:dyDescent="0.25">
      <c r="A23" s="3">
        <v>100000</v>
      </c>
      <c r="B23" s="3">
        <v>8.6479999999999999E-5</v>
      </c>
      <c r="C23" s="3">
        <v>3.5369999999999998E-4</v>
      </c>
      <c r="D23" s="3">
        <v>-5.8299999999999997E-4</v>
      </c>
      <c r="E23" s="3">
        <v>0</v>
      </c>
      <c r="F23" s="3">
        <v>0</v>
      </c>
      <c r="G23" s="3">
        <v>0</v>
      </c>
      <c r="H23" s="3">
        <v>1.5215927E-4</v>
      </c>
      <c r="I23" s="3">
        <v>4.0943628000000002E-5</v>
      </c>
      <c r="J23" s="3">
        <v>-3.3867662000000001E-4</v>
      </c>
      <c r="K23" s="3"/>
      <c r="L23" s="3">
        <f t="shared" si="0"/>
        <v>0.14833619210977703</v>
      </c>
      <c r="M23" s="3"/>
      <c r="N23" s="2">
        <f>IF('Modell einstellen'!$B$1="Voll",H23/0.35,H23/0.35*2)</f>
        <v>4.3474077142857144E-4</v>
      </c>
      <c r="O23" s="2">
        <f>IF('Modell einstellen'!$B$1="Voll",J23/0.35,J23/0.35*2)</f>
        <v>-9.6764748571428582E-4</v>
      </c>
      <c r="P23" s="3">
        <f t="shared" si="1"/>
        <v>0.44927597895597277</v>
      </c>
      <c r="Q23" s="3"/>
      <c r="R23" s="3"/>
      <c r="S23" s="3"/>
      <c r="T23" s="3"/>
      <c r="U23" s="3"/>
      <c r="V23" s="3"/>
      <c r="W23" s="3"/>
      <c r="X23" s="3"/>
      <c r="Y23" s="3"/>
    </row>
    <row r="24" spans="1:25" x14ac:dyDescent="0.25">
      <c r="A24" s="3">
        <v>1000000</v>
      </c>
      <c r="B24" s="3">
        <v>6.4759999999999997E-5</v>
      </c>
      <c r="C24" s="3">
        <v>4.1110000000000002E-4</v>
      </c>
      <c r="D24" s="3">
        <v>-6.1959999999999999E-4</v>
      </c>
      <c r="E24" s="3">
        <v>0</v>
      </c>
      <c r="F24" s="3">
        <v>0</v>
      </c>
      <c r="G24" s="3">
        <v>0</v>
      </c>
      <c r="H24" s="3">
        <v>1.7695948999999999E-4</v>
      </c>
      <c r="I24" s="3">
        <v>4.9047508999999999E-5</v>
      </c>
      <c r="J24" s="3">
        <v>-3.9265004999999999E-4</v>
      </c>
      <c r="K24" s="3"/>
      <c r="L24" s="3">
        <f t="shared" si="0"/>
        <v>0.10451904454486766</v>
      </c>
      <c r="M24" s="3"/>
      <c r="N24" s="2">
        <f>IF('Modell einstellen'!$B$1="Voll",H24/0.35,H24/0.35*2)</f>
        <v>5.0559854285714282E-4</v>
      </c>
      <c r="O24" s="2">
        <f>IF('Modell einstellen'!$B$1="Voll",J24/0.35,J24/0.35*2)</f>
        <v>-1.1218572857142858E-3</v>
      </c>
      <c r="P24" s="3">
        <f t="shared" si="1"/>
        <v>0.45067991204890967</v>
      </c>
      <c r="Q24" s="3"/>
      <c r="R24" s="3"/>
      <c r="S24" s="3"/>
      <c r="T24" s="3"/>
      <c r="U24" s="3"/>
      <c r="V24" s="3"/>
      <c r="W24" s="3"/>
      <c r="X24" s="3"/>
      <c r="Y24" s="3"/>
    </row>
    <row r="25" spans="1:25" x14ac:dyDescent="0.25">
      <c r="A25" s="3">
        <v>10000000</v>
      </c>
      <c r="B25" s="3">
        <v>3.641E-6</v>
      </c>
      <c r="C25" s="3">
        <v>4.8710000000000002E-4</v>
      </c>
      <c r="D25" s="3">
        <v>-6.3679999999999997E-4</v>
      </c>
      <c r="E25" s="3">
        <v>0</v>
      </c>
      <c r="F25" s="3">
        <v>0</v>
      </c>
      <c r="G25" s="3">
        <v>0</v>
      </c>
      <c r="H25" s="3">
        <v>2.1578769000000001E-4</v>
      </c>
      <c r="I25" s="3">
        <v>6.0478137000000001E-5</v>
      </c>
      <c r="J25" s="3">
        <v>-4.7298035999999999E-4</v>
      </c>
      <c r="K25" s="3"/>
      <c r="L25" s="3">
        <f t="shared" si="0"/>
        <v>5.7176507537688446E-3</v>
      </c>
      <c r="M25" s="3"/>
      <c r="N25" s="2">
        <f>IF('Modell einstellen'!$B$1="Voll",H25/0.35,H25/0.35*2)</f>
        <v>6.1653625714285724E-4</v>
      </c>
      <c r="O25" s="2">
        <f>IF('Modell einstellen'!$B$1="Voll",J25/0.35,J25/0.35*2)</f>
        <v>-1.3513724571428572E-3</v>
      </c>
      <c r="P25" s="3">
        <f t="shared" si="1"/>
        <v>0.45622970475983404</v>
      </c>
      <c r="Q25" s="3"/>
      <c r="R25" s="3"/>
      <c r="S25" s="3"/>
      <c r="T25" s="3"/>
      <c r="U25" s="3"/>
      <c r="V25" s="3"/>
      <c r="W25" s="3"/>
      <c r="X25" s="3"/>
      <c r="Y25" s="3"/>
    </row>
    <row r="26" spans="1:25" x14ac:dyDescent="0.25">
      <c r="A26" s="3">
        <v>100000000</v>
      </c>
      <c r="B26" s="3">
        <v>-1.4430000000000001E-4</v>
      </c>
      <c r="C26" s="3">
        <v>5.9940000000000004E-4</v>
      </c>
      <c r="D26" s="3">
        <v>-6.0479999999999996E-4</v>
      </c>
      <c r="E26" s="3">
        <v>0</v>
      </c>
      <c r="F26" s="3">
        <v>0</v>
      </c>
      <c r="G26" s="3">
        <v>0</v>
      </c>
      <c r="H26" s="3">
        <v>2.8171993999999998E-4</v>
      </c>
      <c r="I26" s="3">
        <v>7.8549946999999993E-5</v>
      </c>
      <c r="J26" s="3">
        <v>-6.0477885999999997E-4</v>
      </c>
      <c r="K26" s="3"/>
      <c r="L26" s="3">
        <f t="shared" si="0"/>
        <v>-0.23859126984126988</v>
      </c>
      <c r="M26" s="3"/>
      <c r="N26" s="2">
        <f>IF('Modell einstellen'!$B$1="Voll",H26/0.35,H26/0.35*2)</f>
        <v>8.0491411428571425E-4</v>
      </c>
      <c r="O26" s="2">
        <f>IF('Modell einstellen'!$B$1="Voll",J26/0.35,J26/0.35*2)</f>
        <v>-1.7279395999999999E-3</v>
      </c>
      <c r="P26" s="3">
        <f t="shared" si="1"/>
        <v>0.46582306134179358</v>
      </c>
      <c r="Q26" s="3"/>
      <c r="R26" s="3"/>
      <c r="S26" s="3"/>
      <c r="T26" s="3"/>
      <c r="U26" s="3"/>
      <c r="V26" s="3"/>
      <c r="W26" s="3"/>
      <c r="X26" s="3"/>
      <c r="Y26" s="3"/>
    </row>
    <row r="27" spans="1:25" x14ac:dyDescent="0.25">
      <c r="A27" s="3">
        <v>1000000000</v>
      </c>
      <c r="B27" s="3">
        <v>-4.5300000000000001E-4</v>
      </c>
      <c r="C27" s="3">
        <v>7.6369999999999997E-4</v>
      </c>
      <c r="D27" s="3">
        <v>-4.6430000000000001E-4</v>
      </c>
      <c r="E27" s="3">
        <v>0</v>
      </c>
      <c r="F27" s="3">
        <v>0</v>
      </c>
      <c r="G27" s="3">
        <v>0</v>
      </c>
      <c r="H27" s="3">
        <v>3.9111518000000002E-4</v>
      </c>
      <c r="I27" s="3">
        <v>1.0692068000000001E-4</v>
      </c>
      <c r="J27" s="3">
        <v>-8.1764090999999995E-4</v>
      </c>
      <c r="K27" s="3"/>
      <c r="L27" s="3">
        <f t="shared" si="0"/>
        <v>-0.97566228731423643</v>
      </c>
      <c r="M27" s="3"/>
      <c r="N27" s="2">
        <f>IF('Modell einstellen'!$B$1="Voll",H27/0.35,H27/0.35*2)</f>
        <v>1.1174719428571429E-3</v>
      </c>
      <c r="O27" s="2">
        <f>IF('Modell einstellen'!$B$1="Voll",J27/0.35,J27/0.35*2)</f>
        <v>-2.3361168857142858E-3</v>
      </c>
      <c r="P27" s="3">
        <f t="shared" si="1"/>
        <v>0.47834590370484276</v>
      </c>
      <c r="Q27" s="3"/>
      <c r="R27" s="3"/>
      <c r="S27" s="3"/>
      <c r="T27" s="3"/>
      <c r="U27" s="3"/>
      <c r="V27" s="3"/>
      <c r="W27" s="3"/>
      <c r="X27" s="3"/>
      <c r="Y27" s="3"/>
    </row>
    <row r="28" spans="1:25" x14ac:dyDescent="0.25">
      <c r="A28" s="3">
        <v>10000000000</v>
      </c>
      <c r="B28" s="3">
        <v>-9.6690000000000003E-4</v>
      </c>
      <c r="C28" s="3">
        <v>9.8149999999999995E-4</v>
      </c>
      <c r="D28" s="3">
        <v>-1.7149999999999999E-4</v>
      </c>
      <c r="E28" s="3">
        <v>0</v>
      </c>
      <c r="F28" s="3">
        <v>0</v>
      </c>
      <c r="G28" s="3">
        <v>0</v>
      </c>
      <c r="H28" s="3">
        <v>5.5213829000000001E-4</v>
      </c>
      <c r="I28" s="3">
        <v>1.4669219E-4</v>
      </c>
      <c r="J28" s="3">
        <v>-1.1235335999999999E-3</v>
      </c>
      <c r="K28" s="3"/>
      <c r="L28" s="3">
        <f t="shared" si="0"/>
        <v>-5.6379008746355685</v>
      </c>
      <c r="M28" s="3"/>
      <c r="N28" s="2">
        <f>IF('Modell einstellen'!$B$1="Voll",H28/0.35,H28/0.35*2)</f>
        <v>1.5775379714285716E-3</v>
      </c>
      <c r="O28" s="2">
        <f>IF('Modell einstellen'!$B$1="Voll",J28/0.35,J28/0.35*2)</f>
        <v>-3.210096E-3</v>
      </c>
      <c r="P28" s="3">
        <f t="shared" si="1"/>
        <v>0.49143015393576134</v>
      </c>
      <c r="Q28" s="3"/>
      <c r="R28" s="3"/>
      <c r="S28" s="3"/>
      <c r="T28" s="3"/>
      <c r="U28" s="3"/>
      <c r="V28" s="3"/>
      <c r="W28" s="3"/>
      <c r="X28" s="3"/>
      <c r="Y28" s="3"/>
    </row>
    <row r="29" spans="1:25" x14ac:dyDescent="0.25">
      <c r="A29" s="3">
        <v>100000000000</v>
      </c>
      <c r="B29" s="3">
        <v>-1.6249999999999999E-3</v>
      </c>
      <c r="C29" s="3">
        <v>1.2260000000000001E-3</v>
      </c>
      <c r="D29" s="3">
        <v>2.4010000000000001E-4</v>
      </c>
      <c r="E29" s="3">
        <v>0</v>
      </c>
      <c r="F29" s="3">
        <v>0</v>
      </c>
      <c r="G29" s="3">
        <v>0</v>
      </c>
      <c r="H29" s="3">
        <v>7.4568340000000005E-4</v>
      </c>
      <c r="I29" s="3">
        <v>1.9298513999999999E-4</v>
      </c>
      <c r="J29" s="3">
        <v>-1.4852931E-3</v>
      </c>
      <c r="K29" s="3"/>
      <c r="L29" s="3">
        <f t="shared" si="0"/>
        <v>6.7680133277800909</v>
      </c>
      <c r="M29" s="3"/>
      <c r="N29" s="2">
        <f>IF('Modell einstellen'!$B$1="Voll",H29/0.35,H29/0.35*2)</f>
        <v>2.1305240000000004E-3</v>
      </c>
      <c r="O29" s="2">
        <f>IF('Modell einstellen'!$B$1="Voll",J29/0.35,J29/0.35*2)</f>
        <v>-4.2436945714285712E-3</v>
      </c>
      <c r="P29" s="3">
        <f t="shared" si="1"/>
        <v>0.50204461328205197</v>
      </c>
      <c r="Q29" s="3"/>
      <c r="R29" s="3"/>
      <c r="S29" s="3"/>
      <c r="T29" s="3"/>
      <c r="U29" s="3"/>
      <c r="V29" s="3"/>
      <c r="W29" s="3"/>
      <c r="X29" s="3"/>
      <c r="Y29" s="3"/>
    </row>
    <row r="30" spans="1:25" x14ac:dyDescent="0.25">
      <c r="A30" s="3">
        <v>1000000000000</v>
      </c>
      <c r="B30" s="3">
        <v>-2.1779999999999998E-3</v>
      </c>
      <c r="C30" s="3">
        <v>1.423E-3</v>
      </c>
      <c r="D30" s="3">
        <v>5.955E-4</v>
      </c>
      <c r="E30" s="3">
        <v>0</v>
      </c>
      <c r="F30" s="3">
        <v>0</v>
      </c>
      <c r="G30" s="3">
        <v>0</v>
      </c>
      <c r="H30" s="3">
        <v>9.0451116E-4</v>
      </c>
      <c r="I30" s="3">
        <v>2.3102925E-4</v>
      </c>
      <c r="J30" s="3">
        <v>-1.7819767E-3</v>
      </c>
      <c r="K30" s="3"/>
      <c r="L30" s="3">
        <f t="shared" si="0"/>
        <v>3.6574307304785889</v>
      </c>
      <c r="M30" s="3"/>
      <c r="N30" s="2">
        <f>IF('Modell einstellen'!$B$1="Voll",H30/0.35,H30/0.35*2)</f>
        <v>2.5843176000000002E-3</v>
      </c>
      <c r="O30" s="2">
        <f>IF('Modell einstellen'!$B$1="Voll",J30/0.35,J30/0.35*2)</f>
        <v>-5.0913620000000003E-3</v>
      </c>
      <c r="P30" s="3">
        <f t="shared" si="1"/>
        <v>0.5075886570234055</v>
      </c>
      <c r="Q30" s="3"/>
      <c r="R30" s="3"/>
      <c r="S30" s="3"/>
      <c r="T30" s="3"/>
      <c r="U30" s="3"/>
      <c r="V30" s="3"/>
      <c r="W30" s="3"/>
      <c r="X30" s="3"/>
      <c r="Y30" s="3"/>
    </row>
    <row r="31" spans="1:25" x14ac:dyDescent="0.25">
      <c r="A31" s="3">
        <v>10000000000000</v>
      </c>
      <c r="B31" s="3">
        <v>-2.5579999999999999E-3</v>
      </c>
      <c r="C31" s="3">
        <v>1.5579999999999999E-3</v>
      </c>
      <c r="D31" s="3">
        <v>8.4020000000000004E-4</v>
      </c>
      <c r="E31" s="3">
        <v>0</v>
      </c>
      <c r="F31" s="3">
        <v>0</v>
      </c>
      <c r="G31" s="3">
        <v>0</v>
      </c>
      <c r="H31" s="3">
        <v>1.0125774999999999E-3</v>
      </c>
      <c r="I31" s="3">
        <v>2.5729425000000001E-4</v>
      </c>
      <c r="J31" s="3">
        <v>-1.9850181999999999E-3</v>
      </c>
      <c r="K31" s="3"/>
      <c r="L31" s="3">
        <f t="shared" si="0"/>
        <v>3.0445132111402047</v>
      </c>
      <c r="M31" s="3"/>
      <c r="N31" s="2">
        <f>IF('Modell einstellen'!$B$1="Voll",H31/0.35,H31/0.35*2)</f>
        <v>2.8930785714285714E-3</v>
      </c>
      <c r="O31" s="2">
        <f>IF('Modell einstellen'!$B$1="Voll",J31/0.35,J31/0.35*2)</f>
        <v>-5.6714805714285716E-3</v>
      </c>
      <c r="P31" s="3">
        <f t="shared" si="1"/>
        <v>0.51010993249331416</v>
      </c>
      <c r="Q31" s="3"/>
      <c r="R31" s="3"/>
      <c r="S31" s="3"/>
      <c r="T31" s="3"/>
      <c r="U31" s="3"/>
      <c r="V31" s="3"/>
      <c r="W31" s="3"/>
      <c r="X31" s="3"/>
      <c r="Y31" s="3"/>
    </row>
    <row r="32" spans="1:25" x14ac:dyDescent="0.25">
      <c r="A32" s="3">
        <v>100000000000000</v>
      </c>
      <c r="B32" s="3">
        <v>-2.7910000000000001E-3</v>
      </c>
      <c r="C32" s="3">
        <v>1.6410000000000001E-3</v>
      </c>
      <c r="D32" s="3">
        <v>9.8890000000000002E-4</v>
      </c>
      <c r="E32" s="3">
        <v>0</v>
      </c>
      <c r="F32" s="3">
        <v>0</v>
      </c>
      <c r="G32" s="3">
        <v>0</v>
      </c>
      <c r="H32" s="3">
        <v>1.0788970000000001E-3</v>
      </c>
      <c r="I32" s="3">
        <v>2.7363685999999999E-4</v>
      </c>
      <c r="J32" s="3">
        <v>-2.1103508999999999E-3</v>
      </c>
      <c r="K32" s="3"/>
      <c r="L32" s="3">
        <f t="shared" si="0"/>
        <v>2.8223278390130448</v>
      </c>
      <c r="M32" s="3"/>
      <c r="N32" s="2">
        <f>IF('Modell einstellen'!$B$1="Voll",H32/0.35,H32/0.35*2)</f>
        <v>3.0825628571428576E-3</v>
      </c>
      <c r="O32" s="2">
        <f>IF('Modell einstellen'!$B$1="Voll",J32/0.35,J32/0.35*2)</f>
        <v>-6.0295740000000002E-3</v>
      </c>
      <c r="P32" s="3">
        <f t="shared" si="1"/>
        <v>0.51124057141397672</v>
      </c>
      <c r="Q32" s="3"/>
      <c r="R32" s="3"/>
      <c r="S32" s="3"/>
      <c r="T32" s="3"/>
      <c r="U32" s="3"/>
      <c r="V32" s="3"/>
      <c r="W32" s="3"/>
      <c r="X32" s="3"/>
      <c r="Y32" s="3"/>
    </row>
    <row r="33" spans="1:25" x14ac:dyDescent="0.25">
      <c r="A33" s="2">
        <v>1000000000000000</v>
      </c>
      <c r="B33" s="3">
        <v>-2.9629999999999999E-3</v>
      </c>
      <c r="C33" s="3">
        <v>1.702E-3</v>
      </c>
      <c r="D33" s="3">
        <v>1.1000000000000001E-3</v>
      </c>
      <c r="E33" s="3">
        <v>0</v>
      </c>
      <c r="F33" s="3">
        <v>0</v>
      </c>
      <c r="G33" s="3">
        <v>0</v>
      </c>
      <c r="H33" s="3">
        <v>1.1283097000000001E-3</v>
      </c>
      <c r="I33" s="3">
        <v>2.8565549E-4</v>
      </c>
      <c r="J33" s="3">
        <v>-2.2031231E-3</v>
      </c>
      <c r="K33" s="3"/>
      <c r="L33" s="3">
        <f t="shared" si="0"/>
        <v>2.6936363636363634</v>
      </c>
      <c r="M33" s="3"/>
      <c r="N33" s="2">
        <f>IF('Modell einstellen'!$B$1="Voll",H33/0.35,H33/0.35*2)</f>
        <v>3.2237420000000004E-3</v>
      </c>
      <c r="O33" s="2">
        <f>IF('Modell einstellen'!$B$1="Voll",J33/0.35,J33/0.35*2)</f>
        <v>-6.2946374285714288E-3</v>
      </c>
      <c r="P33" s="3">
        <f t="shared" si="1"/>
        <v>0.51214101472586804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9.9110000000000005E-5</v>
      </c>
      <c r="C3" s="3">
        <v>1.304E-4</v>
      </c>
      <c r="D3" s="3">
        <v>-3.569E-4</v>
      </c>
      <c r="E3" s="3">
        <v>0</v>
      </c>
      <c r="F3" s="3">
        <v>0</v>
      </c>
      <c r="G3" s="3">
        <v>0</v>
      </c>
      <c r="H3" s="3">
        <v>4.9460333999999998E-5</v>
      </c>
      <c r="I3" s="3">
        <v>1.3092459E-5</v>
      </c>
      <c r="J3" s="3">
        <v>-1.3433793E-4</v>
      </c>
      <c r="K3" s="3"/>
      <c r="L3" s="3">
        <f>-B3/D3</f>
        <v>0.27769683384701599</v>
      </c>
      <c r="M3" s="3"/>
      <c r="N3" s="2">
        <f>IF('Modell einstellen'!$B$1="Voll",H3/0.35,H3/0.35*2)</f>
        <v>1.4131524E-4</v>
      </c>
      <c r="O3" s="2">
        <f>IF('Modell einstellen'!$B$1="Voll",J3/0.35,J3/0.35*2)</f>
        <v>-3.8382265714285714E-4</v>
      </c>
      <c r="P3" s="3">
        <f>-N3/O3</f>
        <v>0.36817847349590693</v>
      </c>
      <c r="Q3" s="3"/>
      <c r="R3" s="3"/>
      <c r="S3" s="3"/>
      <c r="T3" s="3"/>
      <c r="U3" s="3"/>
    </row>
    <row r="4" spans="1:21" x14ac:dyDescent="0.25">
      <c r="A4" s="3">
        <v>1E-14</v>
      </c>
      <c r="B4" s="3">
        <v>1.005E-4</v>
      </c>
      <c r="C4" s="3">
        <v>1.3439999999999999E-4</v>
      </c>
      <c r="D4" s="3">
        <v>-3.6289999999999998E-4</v>
      </c>
      <c r="E4" s="3">
        <v>0</v>
      </c>
      <c r="F4" s="3">
        <v>0</v>
      </c>
      <c r="G4" s="3">
        <v>0</v>
      </c>
      <c r="H4" s="3">
        <v>5.1199209999999997E-5</v>
      </c>
      <c r="I4" s="3">
        <v>1.3517342999999999E-5</v>
      </c>
      <c r="J4" s="3">
        <v>-1.3768455999999999E-4</v>
      </c>
      <c r="K4" s="3"/>
      <c r="L4" s="3">
        <f t="shared" ref="L4:L33" si="0">-B4/D4</f>
        <v>0.27693579498484433</v>
      </c>
      <c r="M4" s="3"/>
      <c r="N4" s="2">
        <f>IF('Modell einstellen'!$B$1="Voll",H4/0.35,H4/0.35*2)</f>
        <v>1.4628345714285713E-4</v>
      </c>
      <c r="O4" s="2">
        <f>IF('Modell einstellen'!$B$1="Voll",J4/0.35,J4/0.35*2)</f>
        <v>-3.9338445714285714E-4</v>
      </c>
      <c r="P4" s="3">
        <f t="shared" ref="P4:P33" si="1">-N4/O4</f>
        <v>0.37185876179580335</v>
      </c>
      <c r="Q4" s="3"/>
      <c r="R4" s="3"/>
      <c r="S4" s="3"/>
      <c r="T4" s="3"/>
      <c r="U4" s="3"/>
    </row>
    <row r="5" spans="1:21" x14ac:dyDescent="0.25">
      <c r="A5" s="3">
        <v>1E-13</v>
      </c>
      <c r="B5" s="3">
        <v>1.0170000000000001E-4</v>
      </c>
      <c r="C5" s="3">
        <v>1.3789999999999999E-4</v>
      </c>
      <c r="D5" s="3">
        <v>-3.6820000000000001E-4</v>
      </c>
      <c r="E5" s="3">
        <v>0</v>
      </c>
      <c r="F5" s="3">
        <v>0</v>
      </c>
      <c r="G5" s="3">
        <v>0</v>
      </c>
      <c r="H5" s="3">
        <v>5.2807555999999999E-5</v>
      </c>
      <c r="I5" s="3">
        <v>1.390634E-5</v>
      </c>
      <c r="J5" s="3">
        <v>-1.4076966E-4</v>
      </c>
      <c r="K5" s="3"/>
      <c r="L5" s="3">
        <f t="shared" si="0"/>
        <v>0.2762085822922325</v>
      </c>
      <c r="M5" s="3"/>
      <c r="N5" s="2">
        <f>IF('Modell einstellen'!$B$1="Voll",H5/0.35,H5/0.35*2)</f>
        <v>1.5087873142857142E-4</v>
      </c>
      <c r="O5" s="2">
        <f>IF('Modell einstellen'!$B$1="Voll",J5/0.35,J5/0.35*2)</f>
        <v>-4.0219902857142859E-4</v>
      </c>
      <c r="P5" s="3">
        <f t="shared" si="1"/>
        <v>0.3751344998631097</v>
      </c>
      <c r="Q5" s="3"/>
      <c r="R5" s="3"/>
      <c r="S5" s="3"/>
      <c r="T5" s="3"/>
      <c r="U5" s="3"/>
    </row>
    <row r="6" spans="1:21" x14ac:dyDescent="0.25">
      <c r="A6" s="3">
        <v>9.9999999999999998E-13</v>
      </c>
      <c r="B6" s="3">
        <v>1.03E-4</v>
      </c>
      <c r="C6" s="3">
        <v>1.4190000000000001E-4</v>
      </c>
      <c r="D6" s="3">
        <v>-3.7409999999999999E-4</v>
      </c>
      <c r="E6" s="3">
        <v>0</v>
      </c>
      <c r="F6" s="3">
        <v>0</v>
      </c>
      <c r="G6" s="3">
        <v>0</v>
      </c>
      <c r="H6" s="3">
        <v>5.4658932E-5</v>
      </c>
      <c r="I6" s="3">
        <v>1.4349431E-5</v>
      </c>
      <c r="J6" s="3">
        <v>-1.4430224000000001E-4</v>
      </c>
      <c r="K6" s="3"/>
      <c r="L6" s="3">
        <f t="shared" si="0"/>
        <v>0.27532745255279339</v>
      </c>
      <c r="M6" s="3"/>
      <c r="N6" s="2">
        <f>IF('Modell einstellen'!$B$1="Voll",H6/0.35,H6/0.35*2)</f>
        <v>1.5616837714285716E-4</v>
      </c>
      <c r="O6" s="2">
        <f>IF('Modell einstellen'!$B$1="Voll",J6/0.35,J6/0.35*2)</f>
        <v>-4.1229211428571433E-4</v>
      </c>
      <c r="P6" s="3">
        <f t="shared" si="1"/>
        <v>0.37878089764926726</v>
      </c>
      <c r="Q6" s="3"/>
      <c r="R6" s="3"/>
      <c r="S6" s="3"/>
      <c r="T6" s="3"/>
      <c r="U6" s="3"/>
    </row>
    <row r="7" spans="1:21" x14ac:dyDescent="0.25">
      <c r="A7" s="3">
        <v>9.9999999999999994E-12</v>
      </c>
      <c r="B7" s="3">
        <v>1.042E-4</v>
      </c>
      <c r="C7" s="3">
        <v>1.4640000000000001E-4</v>
      </c>
      <c r="D7" s="3">
        <v>-3.8059999999999998E-4</v>
      </c>
      <c r="E7" s="3">
        <v>0</v>
      </c>
      <c r="F7" s="3">
        <v>0</v>
      </c>
      <c r="G7" s="3">
        <v>0</v>
      </c>
      <c r="H7" s="3">
        <v>5.6776127000000001E-5</v>
      </c>
      <c r="I7" s="3">
        <v>1.4849967999999999E-5</v>
      </c>
      <c r="J7" s="3">
        <v>-1.4831743000000001E-4</v>
      </c>
      <c r="K7" s="3"/>
      <c r="L7" s="3">
        <f t="shared" si="0"/>
        <v>0.27377824487651076</v>
      </c>
      <c r="M7" s="3"/>
      <c r="N7" s="2">
        <f>IF('Modell einstellen'!$B$1="Voll",H7/0.35,H7/0.35*2)</f>
        <v>1.6221750571428572E-4</v>
      </c>
      <c r="O7" s="2">
        <f>IF('Modell einstellen'!$B$1="Voll",J7/0.35,J7/0.35*2)</f>
        <v>-4.237640857142858E-4</v>
      </c>
      <c r="P7" s="3">
        <f t="shared" si="1"/>
        <v>0.38280144821818979</v>
      </c>
      <c r="Q7" s="3"/>
      <c r="R7" s="3"/>
      <c r="S7" s="3"/>
      <c r="T7" s="3"/>
      <c r="U7" s="3"/>
    </row>
    <row r="8" spans="1:21" x14ac:dyDescent="0.25">
      <c r="A8" s="3">
        <v>1E-10</v>
      </c>
      <c r="B8" s="3">
        <v>1.055E-4</v>
      </c>
      <c r="C8" s="3">
        <v>1.516E-4</v>
      </c>
      <c r="D8" s="3">
        <v>-3.879E-4</v>
      </c>
      <c r="E8" s="3">
        <v>0</v>
      </c>
      <c r="F8" s="3">
        <v>0</v>
      </c>
      <c r="G8" s="3">
        <v>0</v>
      </c>
      <c r="H8" s="3">
        <v>5.9264320999999998E-5</v>
      </c>
      <c r="I8" s="3">
        <v>1.5430324999999999E-5</v>
      </c>
      <c r="J8" s="3">
        <v>-1.5300515999999999E-4</v>
      </c>
      <c r="K8" s="3"/>
      <c r="L8" s="3">
        <f t="shared" si="0"/>
        <v>0.27197731374065481</v>
      </c>
      <c r="M8" s="3"/>
      <c r="N8" s="2">
        <f>IF('Modell einstellen'!$B$1="Voll",H8/0.35,H8/0.35*2)</f>
        <v>1.6932663142857143E-4</v>
      </c>
      <c r="O8" s="2">
        <f>IF('Modell einstellen'!$B$1="Voll",J8/0.35,J8/0.35*2)</f>
        <v>-4.3715760000000002E-4</v>
      </c>
      <c r="P8" s="3">
        <f t="shared" si="1"/>
        <v>0.38733544019038313</v>
      </c>
      <c r="Q8" s="3"/>
      <c r="R8" s="3"/>
      <c r="S8" s="3"/>
      <c r="T8" s="3"/>
      <c r="U8" s="3"/>
    </row>
    <row r="9" spans="1:21" x14ac:dyDescent="0.25">
      <c r="A9" s="3">
        <v>1.0000000000000001E-9</v>
      </c>
      <c r="B9" s="3">
        <v>1.065E-4</v>
      </c>
      <c r="C9" s="3">
        <v>1.5699999999999999E-4</v>
      </c>
      <c r="D9" s="3">
        <v>-3.9520000000000001E-4</v>
      </c>
      <c r="E9" s="3">
        <v>0</v>
      </c>
      <c r="F9" s="3">
        <v>0</v>
      </c>
      <c r="G9" s="3">
        <v>0</v>
      </c>
      <c r="H9" s="3">
        <v>6.1922609E-5</v>
      </c>
      <c r="I9" s="3">
        <v>1.6040349E-5</v>
      </c>
      <c r="J9" s="3">
        <v>-1.5797418999999999E-4</v>
      </c>
      <c r="K9" s="3"/>
      <c r="L9" s="3">
        <f t="shared" si="0"/>
        <v>0.26948380566801616</v>
      </c>
      <c r="M9" s="3"/>
      <c r="N9" s="2">
        <f>IF('Modell einstellen'!$B$1="Voll",H9/0.35,H9/0.35*2)</f>
        <v>1.7692174000000002E-4</v>
      </c>
      <c r="O9" s="2">
        <f>IF('Modell einstellen'!$B$1="Voll",J9/0.35,J9/0.35*2)</f>
        <v>-4.5135482857142859E-4</v>
      </c>
      <c r="P9" s="3">
        <f t="shared" si="1"/>
        <v>0.39197927838718466</v>
      </c>
      <c r="Q9" s="3"/>
      <c r="R9" s="3"/>
      <c r="S9" s="3"/>
      <c r="T9" s="3"/>
      <c r="U9" s="3"/>
    </row>
    <row r="10" spans="1:21" x14ac:dyDescent="0.25">
      <c r="A10" s="3">
        <v>1E-8</v>
      </c>
      <c r="B10" s="3">
        <v>1.0730000000000001E-4</v>
      </c>
      <c r="C10" s="3">
        <v>1.6239999999999999E-4</v>
      </c>
      <c r="D10" s="3">
        <v>-4.0220000000000002E-4</v>
      </c>
      <c r="E10" s="3">
        <v>0</v>
      </c>
      <c r="F10" s="3">
        <v>0</v>
      </c>
      <c r="G10" s="3">
        <v>0</v>
      </c>
      <c r="H10" s="3">
        <v>6.4636566999999993E-5</v>
      </c>
      <c r="I10" s="3">
        <v>1.6653371999999999E-5</v>
      </c>
      <c r="J10" s="3">
        <v>-1.6300937E-4</v>
      </c>
      <c r="K10" s="3"/>
      <c r="L10" s="3">
        <f t="shared" si="0"/>
        <v>0.26678269517652908</v>
      </c>
      <c r="M10" s="3"/>
      <c r="N10" s="2">
        <f>IF('Modell einstellen'!$B$1="Voll",H10/0.35,H10/0.35*2)</f>
        <v>1.8467590571428572E-4</v>
      </c>
      <c r="O10" s="2">
        <f>IF('Modell einstellen'!$B$1="Voll",J10/0.35,J10/0.35*2)</f>
        <v>-4.6574105714285716E-4</v>
      </c>
      <c r="P10" s="3">
        <f t="shared" si="1"/>
        <v>0.39652056197751084</v>
      </c>
      <c r="Q10" s="3"/>
      <c r="R10" s="3"/>
      <c r="S10" s="3"/>
      <c r="T10" s="3"/>
      <c r="U10" s="3"/>
    </row>
    <row r="11" spans="1:21" x14ac:dyDescent="0.25">
      <c r="A11" s="3">
        <v>9.9999999999999995E-8</v>
      </c>
      <c r="B11" s="3">
        <v>1.0789999999999999E-4</v>
      </c>
      <c r="C11" s="3">
        <v>1.6899999999999999E-4</v>
      </c>
      <c r="D11" s="3">
        <v>-4.104E-4</v>
      </c>
      <c r="E11" s="3">
        <v>0</v>
      </c>
      <c r="F11" s="3">
        <v>0</v>
      </c>
      <c r="G11" s="3">
        <v>0</v>
      </c>
      <c r="H11" s="3">
        <v>6.8038557999999994E-5</v>
      </c>
      <c r="I11" s="3">
        <v>1.7408406000000001E-5</v>
      </c>
      <c r="J11" s="3">
        <v>-1.6926981000000001E-4</v>
      </c>
      <c r="K11" s="3"/>
      <c r="L11" s="3">
        <f t="shared" si="0"/>
        <v>0.26291423001949316</v>
      </c>
      <c r="M11" s="3"/>
      <c r="N11" s="2">
        <f>IF('Modell einstellen'!$B$1="Voll",H11/0.35,H11/0.35*2)</f>
        <v>1.9439587999999999E-4</v>
      </c>
      <c r="O11" s="2">
        <f>IF('Modell einstellen'!$B$1="Voll",J11/0.35,J11/0.35*2)</f>
        <v>-4.8362802857142864E-4</v>
      </c>
      <c r="P11" s="3">
        <f t="shared" si="1"/>
        <v>0.40195329574718602</v>
      </c>
      <c r="Q11" s="3"/>
      <c r="R11" s="3"/>
      <c r="S11" s="3"/>
      <c r="T11" s="3"/>
      <c r="U11" s="3"/>
    </row>
    <row r="12" spans="1:21" x14ac:dyDescent="0.25">
      <c r="A12" s="3">
        <v>9.9999999999999995E-7</v>
      </c>
      <c r="B12" s="3">
        <v>1.08E-4</v>
      </c>
      <c r="C12" s="3">
        <v>1.773E-4</v>
      </c>
      <c r="D12" s="3">
        <v>-4.2010000000000002E-4</v>
      </c>
      <c r="E12" s="3">
        <v>0</v>
      </c>
      <c r="F12" s="3">
        <v>0</v>
      </c>
      <c r="G12" s="3">
        <v>0</v>
      </c>
      <c r="H12" s="3">
        <v>7.2460772999999995E-5</v>
      </c>
      <c r="I12" s="3">
        <v>1.8366869E-5</v>
      </c>
      <c r="J12" s="3">
        <v>-1.7731959E-4</v>
      </c>
      <c r="K12" s="3"/>
      <c r="L12" s="3">
        <f t="shared" si="0"/>
        <v>0.25708164722685073</v>
      </c>
      <c r="M12" s="3"/>
      <c r="N12" s="2">
        <f>IF('Modell einstellen'!$B$1="Voll",H12/0.35,H12/0.35*2)</f>
        <v>2.0703078E-4</v>
      </c>
      <c r="O12" s="2">
        <f>IF('Modell einstellen'!$B$1="Voll",J12/0.35,J12/0.35*2)</f>
        <v>-5.0662740000000008E-4</v>
      </c>
      <c r="P12" s="3">
        <f t="shared" si="1"/>
        <v>0.40864505157044401</v>
      </c>
      <c r="Q12" s="3"/>
      <c r="R12" s="3"/>
      <c r="S12" s="3"/>
      <c r="T12" s="3"/>
      <c r="U12" s="3"/>
    </row>
    <row r="13" spans="1:21" x14ac:dyDescent="0.25">
      <c r="A13" s="3">
        <v>1.0000000000000001E-5</v>
      </c>
      <c r="B13" s="3">
        <v>1.0739999999999999E-4</v>
      </c>
      <c r="C13" s="3">
        <v>1.863E-4</v>
      </c>
      <c r="D13" s="3">
        <v>-4.2999999999999999E-4</v>
      </c>
      <c r="E13" s="3">
        <v>0</v>
      </c>
      <c r="F13" s="3">
        <v>0</v>
      </c>
      <c r="G13" s="3">
        <v>0</v>
      </c>
      <c r="H13" s="3">
        <v>7.7545886999999997E-5</v>
      </c>
      <c r="I13" s="3">
        <v>1.943617E-5</v>
      </c>
      <c r="J13" s="3">
        <v>-1.8645050000000001E-4</v>
      </c>
      <c r="K13" s="3"/>
      <c r="L13" s="3">
        <f t="shared" si="0"/>
        <v>0.24976744186046512</v>
      </c>
      <c r="M13" s="3"/>
      <c r="N13" s="2">
        <f>IF('Modell einstellen'!$B$1="Voll",H13/0.35,H13/0.35*2)</f>
        <v>2.2155967714285714E-4</v>
      </c>
      <c r="O13" s="2">
        <f>IF('Modell einstellen'!$B$1="Voll",J13/0.35,J13/0.35*2)</f>
        <v>-5.3271571428571435E-4</v>
      </c>
      <c r="P13" s="3">
        <f t="shared" si="1"/>
        <v>0.41590602867785276</v>
      </c>
      <c r="Q13" s="3"/>
      <c r="R13" s="3"/>
      <c r="S13" s="3"/>
      <c r="T13" s="3"/>
      <c r="U13" s="3"/>
    </row>
    <row r="14" spans="1:21" x14ac:dyDescent="0.25">
      <c r="A14" s="3">
        <v>1E-4</v>
      </c>
      <c r="B14" s="3">
        <v>1.06E-4</v>
      </c>
      <c r="C14" s="3">
        <v>1.9450000000000001E-4</v>
      </c>
      <c r="D14" s="3">
        <v>-4.3800000000000002E-4</v>
      </c>
      <c r="E14" s="3">
        <v>0</v>
      </c>
      <c r="F14" s="3">
        <v>0</v>
      </c>
      <c r="G14" s="3">
        <v>0</v>
      </c>
      <c r="H14" s="3">
        <v>8.2340898000000004E-5</v>
      </c>
      <c r="I14" s="3">
        <v>2.0411924999999999E-5</v>
      </c>
      <c r="J14" s="3">
        <v>-1.9493637E-4</v>
      </c>
      <c r="K14" s="3"/>
      <c r="L14" s="3">
        <f t="shared" si="0"/>
        <v>0.24200913242009131</v>
      </c>
      <c r="M14" s="3"/>
      <c r="N14" s="2">
        <f>IF('Modell einstellen'!$B$1="Voll",H14/0.35,H14/0.35*2)</f>
        <v>2.3525970857142859E-4</v>
      </c>
      <c r="O14" s="2">
        <f>IF('Modell einstellen'!$B$1="Voll",J14/0.35,J14/0.35*2)</f>
        <v>-5.569610571428572E-4</v>
      </c>
      <c r="P14" s="3">
        <f t="shared" si="1"/>
        <v>0.42239884737773664</v>
      </c>
      <c r="Q14" s="3"/>
      <c r="R14" s="3"/>
      <c r="S14" s="3"/>
      <c r="T14" s="3"/>
      <c r="U14" s="3"/>
    </row>
    <row r="15" spans="1:21" x14ac:dyDescent="0.25">
      <c r="A15" s="3">
        <v>1E-3</v>
      </c>
      <c r="B15" s="3">
        <v>1.0399999999999999E-4</v>
      </c>
      <c r="C15" s="3">
        <v>2.0220000000000001E-4</v>
      </c>
      <c r="D15" s="3">
        <v>-4.4499999999999997E-4</v>
      </c>
      <c r="E15" s="3">
        <v>0</v>
      </c>
      <c r="F15" s="3">
        <v>0</v>
      </c>
      <c r="G15" s="3">
        <v>0</v>
      </c>
      <c r="H15" s="3">
        <v>8.7079653000000004E-5</v>
      </c>
      <c r="I15" s="3">
        <v>2.1349371E-5</v>
      </c>
      <c r="J15" s="3">
        <v>-2.0322090999999999E-4</v>
      </c>
      <c r="K15" s="3"/>
      <c r="L15" s="3">
        <f t="shared" si="0"/>
        <v>0.23370786516853934</v>
      </c>
      <c r="M15" s="3"/>
      <c r="N15" s="2">
        <f>IF('Modell einstellen'!$B$1="Voll",H15/0.35,H15/0.35*2)</f>
        <v>2.4879900857142857E-4</v>
      </c>
      <c r="O15" s="2">
        <f>IF('Modell einstellen'!$B$1="Voll",J15/0.35,J15/0.35*2)</f>
        <v>-5.8063117142857139E-4</v>
      </c>
      <c r="P15" s="3">
        <f t="shared" si="1"/>
        <v>0.42849750549783489</v>
      </c>
      <c r="Q15" s="3"/>
      <c r="R15" s="3"/>
      <c r="S15" s="3"/>
      <c r="T15" s="3"/>
      <c r="U15" s="3"/>
    </row>
    <row r="16" spans="1:21" x14ac:dyDescent="0.25">
      <c r="A16" s="3">
        <v>0.01</v>
      </c>
      <c r="B16" s="3">
        <v>1.011E-4</v>
      </c>
      <c r="C16" s="3">
        <v>2.1029999999999999E-4</v>
      </c>
      <c r="D16" s="3">
        <v>-4.5140000000000002E-4</v>
      </c>
      <c r="E16" s="3">
        <v>0</v>
      </c>
      <c r="F16" s="3">
        <v>0</v>
      </c>
      <c r="G16" s="3">
        <v>0</v>
      </c>
      <c r="H16" s="3">
        <v>9.2259535999999998E-5</v>
      </c>
      <c r="I16" s="3">
        <v>2.2342363E-5</v>
      </c>
      <c r="J16" s="3">
        <v>-2.1215665E-4</v>
      </c>
      <c r="K16" s="3"/>
      <c r="L16" s="3">
        <f t="shared" si="0"/>
        <v>0.22396987151085512</v>
      </c>
      <c r="M16" s="3"/>
      <c r="N16" s="2">
        <f>IF('Modell einstellen'!$B$1="Voll",H16/0.35,H16/0.35*2)</f>
        <v>2.6359867428571432E-4</v>
      </c>
      <c r="O16" s="2">
        <f>IF('Modell einstellen'!$B$1="Voll",J16/0.35,J16/0.35*2)</f>
        <v>-6.0616185714285715E-4</v>
      </c>
      <c r="P16" s="3">
        <f t="shared" si="1"/>
        <v>0.43486516213373472</v>
      </c>
      <c r="Q16" s="3"/>
      <c r="R16" s="3"/>
      <c r="S16" s="3"/>
      <c r="T16" s="3"/>
      <c r="U16" s="3"/>
    </row>
    <row r="17" spans="1:21" x14ac:dyDescent="0.25">
      <c r="A17" s="3">
        <v>0.1</v>
      </c>
      <c r="B17" s="3">
        <v>9.7139999999999995E-5</v>
      </c>
      <c r="C17" s="3">
        <v>2.1900000000000001E-4</v>
      </c>
      <c r="D17" s="3">
        <v>-4.5750000000000001E-4</v>
      </c>
      <c r="E17" s="3">
        <v>0</v>
      </c>
      <c r="F17" s="3">
        <v>0</v>
      </c>
      <c r="G17" s="3">
        <v>0</v>
      </c>
      <c r="H17" s="3">
        <v>9.8091642000000003E-5</v>
      </c>
      <c r="I17" s="3">
        <v>2.3424817E-5</v>
      </c>
      <c r="J17" s="3">
        <v>-2.2208212999999999E-4</v>
      </c>
      <c r="K17" s="3"/>
      <c r="L17" s="3">
        <f t="shared" si="0"/>
        <v>0.212327868852459</v>
      </c>
      <c r="M17" s="3"/>
      <c r="N17" s="2">
        <f>IF('Modell einstellen'!$B$1="Voll",H17/0.35,H17/0.35*2)</f>
        <v>2.8026183428571432E-4</v>
      </c>
      <c r="O17" s="2">
        <f>IF('Modell einstellen'!$B$1="Voll",J17/0.35,J17/0.35*2)</f>
        <v>-6.3452037142857146E-4</v>
      </c>
      <c r="P17" s="3">
        <f t="shared" si="1"/>
        <v>0.44169083752934107</v>
      </c>
      <c r="Q17" s="3"/>
      <c r="R17" s="3"/>
      <c r="S17" s="3"/>
      <c r="T17" s="3"/>
      <c r="U17" s="3"/>
    </row>
    <row r="18" spans="1:21" x14ac:dyDescent="0.25">
      <c r="A18" s="3">
        <v>1</v>
      </c>
      <c r="B18" s="3">
        <v>9.2079999999999999E-5</v>
      </c>
      <c r="C18" s="3">
        <v>2.2800000000000001E-4</v>
      </c>
      <c r="D18" s="3">
        <v>-4.6270000000000003E-4</v>
      </c>
      <c r="E18" s="3">
        <v>0</v>
      </c>
      <c r="F18" s="3">
        <v>0</v>
      </c>
      <c r="G18" s="3">
        <v>0</v>
      </c>
      <c r="H18" s="3">
        <v>1.0436461999999999E-4</v>
      </c>
      <c r="I18" s="3">
        <v>2.4563282999999999E-5</v>
      </c>
      <c r="J18" s="3">
        <v>-2.3264974E-4</v>
      </c>
      <c r="K18" s="3"/>
      <c r="L18" s="3">
        <f t="shared" si="0"/>
        <v>0.19900583531445859</v>
      </c>
      <c r="M18" s="3"/>
      <c r="N18" s="2">
        <f>IF('Modell einstellen'!$B$1="Voll",H18/0.35,H18/0.35*2)</f>
        <v>2.9818462857142858E-4</v>
      </c>
      <c r="O18" s="2">
        <f>IF('Modell einstellen'!$B$1="Voll",J18/0.35,J18/0.35*2)</f>
        <v>-6.6471354285714285E-4</v>
      </c>
      <c r="P18" s="3">
        <f t="shared" si="1"/>
        <v>0.44859117401119813</v>
      </c>
      <c r="Q18" s="3"/>
      <c r="R18" s="3"/>
      <c r="S18" s="3"/>
      <c r="T18" s="3"/>
      <c r="U18" s="3"/>
    </row>
    <row r="19" spans="1:21" x14ac:dyDescent="0.25">
      <c r="A19" s="3">
        <v>10</v>
      </c>
      <c r="B19" s="3">
        <v>8.6130000000000004E-5</v>
      </c>
      <c r="C19" s="3">
        <v>2.4030000000000001E-4</v>
      </c>
      <c r="D19" s="3">
        <v>-4.704E-4</v>
      </c>
      <c r="E19" s="3">
        <v>0</v>
      </c>
      <c r="F19" s="3">
        <v>0</v>
      </c>
      <c r="G19" s="3">
        <v>0</v>
      </c>
      <c r="H19" s="3">
        <v>1.1215078E-4</v>
      </c>
      <c r="I19" s="3">
        <v>2.613031E-5</v>
      </c>
      <c r="J19" s="3">
        <v>-2.4624233999999997E-4</v>
      </c>
      <c r="K19" s="3"/>
      <c r="L19" s="3">
        <f t="shared" si="0"/>
        <v>0.18309948979591836</v>
      </c>
      <c r="M19" s="3"/>
      <c r="N19" s="2">
        <f>IF('Modell einstellen'!$B$1="Voll",H19/0.35,H19/0.35*2)</f>
        <v>3.2043080000000002E-4</v>
      </c>
      <c r="O19" s="2">
        <f>IF('Modell einstellen'!$B$1="Voll",J19/0.35,J19/0.35*2)</f>
        <v>-7.0354954285714285E-4</v>
      </c>
      <c r="P19" s="3">
        <f t="shared" si="1"/>
        <v>0.45544880705730789</v>
      </c>
      <c r="Q19" s="3"/>
      <c r="R19" s="3"/>
      <c r="S19" s="3"/>
      <c r="T19" s="3"/>
      <c r="U19" s="3"/>
    </row>
    <row r="20" spans="1:21" x14ac:dyDescent="0.25">
      <c r="A20" s="3">
        <v>100</v>
      </c>
      <c r="B20" s="3">
        <v>8.3020000000000001E-5</v>
      </c>
      <c r="C20" s="3">
        <v>2.632E-4</v>
      </c>
      <c r="D20" s="3">
        <v>-4.906E-4</v>
      </c>
      <c r="E20" s="3">
        <v>0</v>
      </c>
      <c r="F20" s="3">
        <v>0</v>
      </c>
      <c r="G20" s="3">
        <v>0</v>
      </c>
      <c r="H20" s="3">
        <v>1.2211264999999999E-4</v>
      </c>
      <c r="I20" s="3">
        <v>2.9056566999999999E-5</v>
      </c>
      <c r="J20" s="3">
        <v>-2.6664320999999998E-4</v>
      </c>
      <c r="K20" s="3"/>
      <c r="L20" s="3">
        <f t="shared" si="0"/>
        <v>0.16922136159804321</v>
      </c>
      <c r="M20" s="3"/>
      <c r="N20" s="2">
        <f>IF('Modell einstellen'!$B$1="Voll",H20/0.35,H20/0.35*2)</f>
        <v>3.4889328571428569E-4</v>
      </c>
      <c r="O20" s="2">
        <f>IF('Modell einstellen'!$B$1="Voll",J20/0.35,J20/0.35*2)</f>
        <v>-7.6183774285714279E-4</v>
      </c>
      <c r="P20" s="3">
        <f t="shared" si="1"/>
        <v>0.45796272104585001</v>
      </c>
      <c r="Q20" s="3"/>
      <c r="R20" s="3"/>
      <c r="S20" s="3"/>
      <c r="T20" s="3"/>
      <c r="U20" s="3"/>
    </row>
    <row r="21" spans="1:21" x14ac:dyDescent="0.25">
      <c r="A21" s="3">
        <v>1000</v>
      </c>
      <c r="B21" s="3">
        <v>8.4419999999999995E-5</v>
      </c>
      <c r="C21" s="3">
        <v>3.0009999999999998E-4</v>
      </c>
      <c r="D21" s="3">
        <v>-5.2820000000000005E-4</v>
      </c>
      <c r="E21" s="3">
        <v>0</v>
      </c>
      <c r="F21" s="3">
        <v>0</v>
      </c>
      <c r="G21" s="3">
        <v>0</v>
      </c>
      <c r="H21" s="3">
        <v>1.3450796E-4</v>
      </c>
      <c r="I21" s="3">
        <v>3.3826184999999997E-5</v>
      </c>
      <c r="J21" s="3">
        <v>-2.9582585999999997E-4</v>
      </c>
      <c r="K21" s="3"/>
      <c r="L21" s="3">
        <f t="shared" si="0"/>
        <v>0.15982582355168495</v>
      </c>
      <c r="M21" s="3"/>
      <c r="N21" s="2">
        <f>IF('Modell einstellen'!$B$1="Voll",H21/0.35,H21/0.35*2)</f>
        <v>3.8430845714285719E-4</v>
      </c>
      <c r="O21" s="2">
        <f>IF('Modell einstellen'!$B$1="Voll",J21/0.35,J21/0.35*2)</f>
        <v>-8.4521674285714286E-4</v>
      </c>
      <c r="P21" s="3">
        <f t="shared" si="1"/>
        <v>0.45468628063821065</v>
      </c>
      <c r="Q21" s="3"/>
      <c r="R21" s="3"/>
      <c r="S21" s="3"/>
      <c r="T21" s="3"/>
      <c r="U21" s="3"/>
    </row>
    <row r="22" spans="1:21" x14ac:dyDescent="0.25">
      <c r="A22" s="3">
        <v>10000</v>
      </c>
      <c r="B22" s="3">
        <v>8.2230000000000004E-5</v>
      </c>
      <c r="C22" s="3">
        <v>3.4759999999999999E-4</v>
      </c>
      <c r="D22" s="3">
        <v>-5.731E-4</v>
      </c>
      <c r="E22" s="3">
        <v>0</v>
      </c>
      <c r="F22" s="3">
        <v>0</v>
      </c>
      <c r="G22" s="3">
        <v>0</v>
      </c>
      <c r="H22" s="3">
        <v>1.5132627999999999E-4</v>
      </c>
      <c r="I22" s="3">
        <v>4.0153256E-5</v>
      </c>
      <c r="J22" s="3">
        <v>-3.3511336999999999E-4</v>
      </c>
      <c r="K22" s="3"/>
      <c r="L22" s="3">
        <f t="shared" si="0"/>
        <v>0.14348281277264002</v>
      </c>
      <c r="M22" s="3"/>
      <c r="N22" s="2">
        <f>IF('Modell einstellen'!$B$1="Voll",H22/0.35,H22/0.35*2)</f>
        <v>4.3236080000000002E-4</v>
      </c>
      <c r="O22" s="2">
        <f>IF('Modell einstellen'!$B$1="Voll",J22/0.35,J22/0.35*2)</f>
        <v>-9.5746677142857144E-4</v>
      </c>
      <c r="P22" s="3">
        <f t="shared" si="1"/>
        <v>0.45156742030316488</v>
      </c>
      <c r="Q22" s="3"/>
      <c r="R22" s="3"/>
      <c r="S22" s="3"/>
      <c r="T22" s="3"/>
      <c r="U22" s="3"/>
    </row>
    <row r="23" spans="1:21" x14ac:dyDescent="0.25">
      <c r="A23" s="3">
        <v>100000</v>
      </c>
      <c r="B23" s="3">
        <v>6.1779999999999995E-5</v>
      </c>
      <c r="C23" s="3">
        <v>4.0519999999999998E-4</v>
      </c>
      <c r="D23" s="3">
        <v>-6.11E-4</v>
      </c>
      <c r="E23" s="3">
        <v>0</v>
      </c>
      <c r="F23" s="3">
        <v>0</v>
      </c>
      <c r="G23" s="3">
        <v>0</v>
      </c>
      <c r="H23" s="3">
        <v>1.7562198000000001E-4</v>
      </c>
      <c r="I23" s="3">
        <v>4.8234047999999997E-5</v>
      </c>
      <c r="J23" s="3">
        <v>-3.8844440000000002E-4</v>
      </c>
      <c r="K23" s="3"/>
      <c r="L23" s="3">
        <f t="shared" si="0"/>
        <v>0.10111292962356791</v>
      </c>
      <c r="M23" s="3"/>
      <c r="N23" s="2">
        <f>IF('Modell einstellen'!$B$1="Voll",H23/0.35,H23/0.35*2)</f>
        <v>5.0177708571428573E-4</v>
      </c>
      <c r="O23" s="2">
        <f>IF('Modell einstellen'!$B$1="Voll",J23/0.35,J23/0.35*2)</f>
        <v>-1.1098411428571431E-3</v>
      </c>
      <c r="P23" s="3">
        <f t="shared" si="1"/>
        <v>0.45211613296523251</v>
      </c>
      <c r="Q23" s="3"/>
      <c r="R23" s="3"/>
      <c r="S23" s="3"/>
      <c r="T23" s="3"/>
      <c r="U23" s="3"/>
    </row>
    <row r="24" spans="1:21" x14ac:dyDescent="0.25">
      <c r="A24" s="3">
        <v>1000000</v>
      </c>
      <c r="B24" s="3">
        <v>3.1109999999999999E-6</v>
      </c>
      <c r="C24" s="3">
        <v>4.8089999999999998E-4</v>
      </c>
      <c r="D24" s="3">
        <v>-6.3020000000000003E-4</v>
      </c>
      <c r="E24" s="3">
        <v>0</v>
      </c>
      <c r="F24" s="3">
        <v>0</v>
      </c>
      <c r="G24" s="3">
        <v>0</v>
      </c>
      <c r="H24" s="3">
        <v>2.1371861999999999E-4</v>
      </c>
      <c r="I24" s="3">
        <v>5.9550077000000001E-5</v>
      </c>
      <c r="J24" s="3">
        <v>-4.6758092E-4</v>
      </c>
      <c r="K24" s="3"/>
      <c r="L24" s="3">
        <f t="shared" si="0"/>
        <v>4.9365280863218021E-3</v>
      </c>
      <c r="M24" s="3"/>
      <c r="N24" s="2">
        <f>IF('Modell einstellen'!$B$1="Voll",H24/0.35,H24/0.35*2)</f>
        <v>6.1062462857142856E-4</v>
      </c>
      <c r="O24" s="2">
        <f>IF('Modell einstellen'!$B$1="Voll",J24/0.35,J24/0.35*2)</f>
        <v>-1.3359454857142859E-3</v>
      </c>
      <c r="P24" s="3">
        <f t="shared" si="1"/>
        <v>0.45707301315887733</v>
      </c>
      <c r="Q24" s="3"/>
      <c r="R24" s="3"/>
      <c r="S24" s="3"/>
      <c r="T24" s="3"/>
      <c r="U24" s="3"/>
    </row>
    <row r="25" spans="1:21" x14ac:dyDescent="0.25">
      <c r="A25" s="3">
        <v>10000000</v>
      </c>
      <c r="B25" s="3">
        <v>-1.392E-4</v>
      </c>
      <c r="C25" s="3">
        <v>5.9130000000000001E-4</v>
      </c>
      <c r="D25" s="3">
        <v>-6.0170000000000004E-4</v>
      </c>
      <c r="E25" s="3">
        <v>0</v>
      </c>
      <c r="F25" s="3">
        <v>0</v>
      </c>
      <c r="G25" s="3">
        <v>0</v>
      </c>
      <c r="H25" s="3">
        <v>2.7816693000000002E-4</v>
      </c>
      <c r="I25" s="3">
        <v>7.7251737000000006E-5</v>
      </c>
      <c r="J25" s="3">
        <v>-5.9651306999999995E-4</v>
      </c>
      <c r="K25" s="3"/>
      <c r="L25" s="3">
        <f t="shared" si="0"/>
        <v>-0.23134452384909421</v>
      </c>
      <c r="M25" s="3"/>
      <c r="N25" s="2">
        <f>IF('Modell einstellen'!$B$1="Voll",H25/0.35,H25/0.35*2)</f>
        <v>7.9476265714285724E-4</v>
      </c>
      <c r="O25" s="2">
        <f>IF('Modell einstellen'!$B$1="Voll",J25/0.35,J25/0.35*2)</f>
        <v>-1.7043230571428571E-3</v>
      </c>
      <c r="P25" s="3">
        <f t="shared" si="1"/>
        <v>0.46632160130204697</v>
      </c>
      <c r="Q25" s="3"/>
      <c r="R25" s="3"/>
      <c r="S25" s="3"/>
      <c r="T25" s="3"/>
      <c r="U25" s="3"/>
    </row>
    <row r="26" spans="1:21" x14ac:dyDescent="0.25">
      <c r="A26" s="3">
        <v>100000000</v>
      </c>
      <c r="B26" s="3">
        <v>-4.4079999999999998E-4</v>
      </c>
      <c r="C26" s="3">
        <v>7.5389999999999995E-4</v>
      </c>
      <c r="D26" s="3">
        <v>-4.6660000000000001E-4</v>
      </c>
      <c r="E26" s="3">
        <v>0</v>
      </c>
      <c r="F26" s="3">
        <v>0</v>
      </c>
      <c r="G26" s="3">
        <v>0</v>
      </c>
      <c r="H26" s="3">
        <v>3.8608463E-4</v>
      </c>
      <c r="I26" s="3">
        <v>1.0522171E-4</v>
      </c>
      <c r="J26" s="3">
        <v>-8.0641619999999997E-4</v>
      </c>
      <c r="K26" s="3"/>
      <c r="L26" s="3">
        <f t="shared" si="0"/>
        <v>-0.94470638662666084</v>
      </c>
      <c r="M26" s="3"/>
      <c r="N26" s="2">
        <f>IF('Modell einstellen'!$B$1="Voll",H26/0.35,H26/0.35*2)</f>
        <v>1.1030989428571429E-3</v>
      </c>
      <c r="O26" s="2">
        <f>IF('Modell einstellen'!$B$1="Voll",J26/0.35,J26/0.35*2)</f>
        <v>-2.3040462857142857E-3</v>
      </c>
      <c r="P26" s="3">
        <f t="shared" si="1"/>
        <v>0.47876596477104505</v>
      </c>
      <c r="Q26" s="3"/>
      <c r="R26" s="3"/>
      <c r="S26" s="3"/>
      <c r="T26" s="3"/>
      <c r="U26" s="3"/>
    </row>
    <row r="27" spans="1:21" x14ac:dyDescent="0.25">
      <c r="A27" s="3">
        <v>1000000000</v>
      </c>
      <c r="B27" s="3">
        <v>-9.4490000000000004E-4</v>
      </c>
      <c r="C27" s="3">
        <v>9.6920000000000003E-4</v>
      </c>
      <c r="D27" s="3">
        <v>-1.8120000000000001E-4</v>
      </c>
      <c r="E27" s="3">
        <v>0</v>
      </c>
      <c r="F27" s="3">
        <v>0</v>
      </c>
      <c r="G27" s="3">
        <v>0</v>
      </c>
      <c r="H27" s="3">
        <v>5.4480641999999995E-4</v>
      </c>
      <c r="I27" s="3">
        <v>1.4443713E-4</v>
      </c>
      <c r="J27" s="3">
        <v>-1.1079727000000001E-3</v>
      </c>
      <c r="K27" s="3"/>
      <c r="L27" s="3">
        <f t="shared" si="0"/>
        <v>-5.2146799116997791</v>
      </c>
      <c r="M27" s="3"/>
      <c r="N27" s="2">
        <f>IF('Modell einstellen'!$B$1="Voll",H27/0.35,H27/0.35*2)</f>
        <v>1.5565897714285713E-3</v>
      </c>
      <c r="O27" s="2">
        <f>IF('Modell einstellen'!$B$1="Voll",J27/0.35,J27/0.35*2)</f>
        <v>-3.1656362857142859E-3</v>
      </c>
      <c r="P27" s="3">
        <f t="shared" si="1"/>
        <v>0.49171466047854784</v>
      </c>
      <c r="Q27" s="3"/>
      <c r="R27" s="3"/>
      <c r="S27" s="3"/>
      <c r="T27" s="3"/>
      <c r="U27" s="3"/>
    </row>
    <row r="28" spans="1:21" x14ac:dyDescent="0.25">
      <c r="A28" s="3">
        <v>10000000000</v>
      </c>
      <c r="B28" s="3">
        <v>-1.6050000000000001E-3</v>
      </c>
      <c r="C28" s="3">
        <v>1.2149999999999999E-3</v>
      </c>
      <c r="D28" s="3">
        <v>2.3049999999999999E-4</v>
      </c>
      <c r="E28" s="3">
        <v>0</v>
      </c>
      <c r="F28" s="3">
        <v>0</v>
      </c>
      <c r="G28" s="3">
        <v>0</v>
      </c>
      <c r="H28" s="3">
        <v>7.3938002999999997E-4</v>
      </c>
      <c r="I28" s="3">
        <v>1.9098259E-4</v>
      </c>
      <c r="J28" s="3">
        <v>-1.4716829000000001E-3</v>
      </c>
      <c r="K28" s="3"/>
      <c r="L28" s="3">
        <f t="shared" si="0"/>
        <v>6.9631236442516276</v>
      </c>
      <c r="M28" s="3"/>
      <c r="N28" s="2">
        <f>IF('Modell einstellen'!$B$1="Voll",H28/0.35,H28/0.35*2)</f>
        <v>2.1125143714285713E-3</v>
      </c>
      <c r="O28" s="2">
        <f>IF('Modell einstellen'!$B$1="Voll",J28/0.35,J28/0.35*2)</f>
        <v>-4.2048082857142864E-3</v>
      </c>
      <c r="P28" s="3">
        <f t="shared" si="1"/>
        <v>0.50240444459876499</v>
      </c>
      <c r="Q28" s="3"/>
      <c r="R28" s="3"/>
      <c r="S28" s="3"/>
      <c r="T28" s="3"/>
      <c r="U28" s="3"/>
    </row>
    <row r="29" spans="1:21" x14ac:dyDescent="0.25">
      <c r="A29" s="3">
        <v>100000000000</v>
      </c>
      <c r="B29" s="3">
        <v>-2.16E-3</v>
      </c>
      <c r="C29" s="3">
        <v>1.4139999999999999E-3</v>
      </c>
      <c r="D29" s="3">
        <v>5.8600000000000004E-4</v>
      </c>
      <c r="E29" s="3">
        <v>0</v>
      </c>
      <c r="F29" s="3">
        <v>0</v>
      </c>
      <c r="G29" s="3">
        <v>0</v>
      </c>
      <c r="H29" s="3">
        <v>8.9873489999999997E-4</v>
      </c>
      <c r="I29" s="3">
        <v>2.2926439000000001E-4</v>
      </c>
      <c r="J29" s="3">
        <v>-1.7697612E-3</v>
      </c>
      <c r="K29" s="3"/>
      <c r="L29" s="3">
        <f t="shared" si="0"/>
        <v>3.6860068259385663</v>
      </c>
      <c r="M29" s="3"/>
      <c r="N29" s="2">
        <f>IF('Modell einstellen'!$B$1="Voll",H29/0.35,H29/0.35*2)</f>
        <v>2.5678140000000003E-3</v>
      </c>
      <c r="O29" s="2">
        <f>IF('Modell einstellen'!$B$1="Voll",J29/0.35,J29/0.35*2)</f>
        <v>-5.0564605714285716E-3</v>
      </c>
      <c r="P29" s="3">
        <f t="shared" si="1"/>
        <v>0.50782834429865453</v>
      </c>
      <c r="Q29" s="3"/>
      <c r="R29" s="3"/>
      <c r="S29" s="3"/>
      <c r="T29" s="3"/>
      <c r="U29" s="3"/>
    </row>
    <row r="30" spans="1:21" x14ac:dyDescent="0.25">
      <c r="A30" s="3">
        <v>1000000000000</v>
      </c>
      <c r="B30" s="3">
        <v>-2.5509999999999999E-3</v>
      </c>
      <c r="C30" s="3">
        <v>1.5529999999999999E-3</v>
      </c>
      <c r="D30" s="3">
        <v>8.3750000000000003E-4</v>
      </c>
      <c r="E30" s="3">
        <v>0</v>
      </c>
      <c r="F30" s="3">
        <v>0</v>
      </c>
      <c r="G30" s="3">
        <v>0</v>
      </c>
      <c r="H30" s="3">
        <v>1.010064E-3</v>
      </c>
      <c r="I30" s="3">
        <v>2.5638969E-4</v>
      </c>
      <c r="J30" s="3">
        <v>-1.979181E-3</v>
      </c>
      <c r="K30" s="3"/>
      <c r="L30" s="3">
        <f t="shared" si="0"/>
        <v>3.0459701492537312</v>
      </c>
      <c r="M30" s="3"/>
      <c r="N30" s="2">
        <f>IF('Modell einstellen'!$B$1="Voll",H30/0.35,H30/0.35*2)</f>
        <v>2.8858971428571429E-3</v>
      </c>
      <c r="O30" s="2">
        <f>IF('Modell einstellen'!$B$1="Voll",J30/0.35,J30/0.35*2)</f>
        <v>-5.6548028571428571E-3</v>
      </c>
      <c r="P30" s="3">
        <f t="shared" si="1"/>
        <v>0.51034443034770449</v>
      </c>
      <c r="Q30" s="3"/>
      <c r="R30" s="3"/>
      <c r="S30" s="3"/>
      <c r="T30" s="3"/>
      <c r="U30" s="3"/>
    </row>
    <row r="31" spans="1:21" x14ac:dyDescent="0.25">
      <c r="A31" s="3">
        <v>10000000000000</v>
      </c>
      <c r="B31" s="3">
        <v>-2.7820000000000002E-3</v>
      </c>
      <c r="C31" s="3">
        <v>1.637E-3</v>
      </c>
      <c r="D31" s="3">
        <v>9.8459999999999997E-4</v>
      </c>
      <c r="E31" s="3">
        <v>0</v>
      </c>
      <c r="F31" s="3">
        <v>0</v>
      </c>
      <c r="G31" s="3">
        <v>0</v>
      </c>
      <c r="H31" s="3">
        <v>1.0760399999999999E-3</v>
      </c>
      <c r="I31" s="3">
        <v>2.7280913000000002E-4</v>
      </c>
      <c r="J31" s="3">
        <v>-2.1044504E-3</v>
      </c>
      <c r="K31" s="3"/>
      <c r="L31" s="3">
        <f t="shared" si="0"/>
        <v>2.8255128986390416</v>
      </c>
      <c r="M31" s="3"/>
      <c r="N31" s="2">
        <f>IF('Modell einstellen'!$B$1="Voll",H31/0.35,H31/0.35*2)</f>
        <v>3.0743999999999997E-3</v>
      </c>
      <c r="O31" s="2">
        <f>IF('Modell einstellen'!$B$1="Voll",J31/0.35,J31/0.35*2)</f>
        <v>-6.0127154285714293E-3</v>
      </c>
      <c r="P31" s="3">
        <f t="shared" si="1"/>
        <v>0.5113163988089241</v>
      </c>
      <c r="Q31" s="3"/>
      <c r="R31" s="3"/>
      <c r="S31" s="3"/>
      <c r="T31" s="3"/>
      <c r="U31" s="3"/>
    </row>
    <row r="32" spans="1:21" x14ac:dyDescent="0.25">
      <c r="A32" s="3">
        <v>100000000000000</v>
      </c>
      <c r="B32" s="3">
        <v>-2.96E-3</v>
      </c>
      <c r="C32" s="3">
        <v>1.6999999999999999E-3</v>
      </c>
      <c r="D32" s="3">
        <v>1.0989999999999999E-3</v>
      </c>
      <c r="E32" s="3">
        <v>0</v>
      </c>
      <c r="F32" s="3">
        <v>0</v>
      </c>
      <c r="G32" s="3">
        <v>0</v>
      </c>
      <c r="H32" s="3">
        <v>1.1270130000000001E-3</v>
      </c>
      <c r="I32" s="3">
        <v>2.8524752000000001E-4</v>
      </c>
      <c r="J32" s="3">
        <v>-2.2002987000000001E-3</v>
      </c>
      <c r="K32" s="3"/>
      <c r="L32" s="3">
        <f t="shared" si="0"/>
        <v>2.6933575978161968</v>
      </c>
      <c r="M32" s="3"/>
      <c r="N32" s="2">
        <f>IF('Modell einstellen'!$B$1="Voll",H32/0.35,H32/0.35*2)</f>
        <v>3.220037142857143E-3</v>
      </c>
      <c r="O32" s="2">
        <f>IF('Modell einstellen'!$B$1="Voll",J32/0.35,J32/0.35*2)</f>
        <v>-6.2865677142857146E-3</v>
      </c>
      <c r="P32" s="3">
        <f t="shared" si="1"/>
        <v>0.51220909233823575</v>
      </c>
      <c r="Q32" s="3"/>
      <c r="R32" s="3"/>
      <c r="S32" s="3"/>
      <c r="T32" s="3"/>
      <c r="U32" s="3"/>
    </row>
    <row r="33" spans="1:21" x14ac:dyDescent="0.25">
      <c r="A33" s="2">
        <v>1000000000000000</v>
      </c>
      <c r="B33" s="3">
        <v>-3.045E-3</v>
      </c>
      <c r="C33" s="3">
        <v>1.7290000000000001E-3</v>
      </c>
      <c r="D33" s="3">
        <v>1.155E-3</v>
      </c>
      <c r="E33" s="3">
        <v>0</v>
      </c>
      <c r="F33" s="3">
        <v>0</v>
      </c>
      <c r="G33" s="3">
        <v>0</v>
      </c>
      <c r="H33" s="3">
        <v>1.1508366999999999E-3</v>
      </c>
      <c r="I33" s="3">
        <v>2.9101696999999998E-4</v>
      </c>
      <c r="J33" s="3">
        <v>-2.2449112000000001E-3</v>
      </c>
      <c r="K33" s="3"/>
      <c r="L33" s="3">
        <f t="shared" si="0"/>
        <v>2.6363636363636362</v>
      </c>
      <c r="M33" s="3"/>
      <c r="N33" s="2">
        <f>IF('Modell einstellen'!$B$1="Voll",H33/0.35,H33/0.35*2)</f>
        <v>3.2881048571428572E-3</v>
      </c>
      <c r="O33" s="2">
        <f>IF('Modell einstellen'!$B$1="Voll",J33/0.35,J33/0.35*2)</f>
        <v>-6.4140320000000009E-3</v>
      </c>
      <c r="P33" s="3">
        <f t="shared" si="1"/>
        <v>0.51264241543273503</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1.014E-4</v>
      </c>
      <c r="C3" s="3">
        <v>1.3459999999999999E-4</v>
      </c>
      <c r="D3" s="3">
        <v>-3.6380000000000001E-4</v>
      </c>
      <c r="E3" s="3">
        <v>0</v>
      </c>
      <c r="F3" s="3">
        <v>0</v>
      </c>
      <c r="G3" s="3">
        <v>0</v>
      </c>
      <c r="H3" s="3">
        <v>5.1204169999999998E-5</v>
      </c>
      <c r="I3" s="3">
        <v>1.3542549E-5</v>
      </c>
      <c r="J3" s="3">
        <v>-1.3778269000000001E-4</v>
      </c>
      <c r="K3" s="2"/>
      <c r="L3" s="3"/>
      <c r="M3" s="3"/>
      <c r="N3" s="2">
        <f>IF('Modell einstellen'!$B$1="Voll",H3/0.35,H3/0.35*2)</f>
        <v>1.4629762857142856E-4</v>
      </c>
      <c r="O3" s="2">
        <f>IF('Modell einstellen'!$B$1="Voll",J3/0.35,J3/0.35*2)</f>
        <v>-3.9366482857142865E-4</v>
      </c>
      <c r="P3" s="3">
        <f>-N3/O3</f>
        <v>0.3716299195494005</v>
      </c>
      <c r="Q3" s="3"/>
      <c r="R3" s="3"/>
      <c r="S3" s="3"/>
      <c r="T3" s="3"/>
      <c r="U3" s="3"/>
    </row>
    <row r="4" spans="1:21" x14ac:dyDescent="0.25">
      <c r="A4" s="3">
        <v>1E-14</v>
      </c>
      <c r="B4" s="3">
        <v>1.0289999999999999E-4</v>
      </c>
      <c r="C4" s="3">
        <v>1.3909999999999999E-4</v>
      </c>
      <c r="D4" s="3">
        <v>-3.7060000000000001E-4</v>
      </c>
      <c r="E4" s="3">
        <v>0</v>
      </c>
      <c r="F4" s="3">
        <v>0</v>
      </c>
      <c r="G4" s="3">
        <v>0</v>
      </c>
      <c r="H4" s="3">
        <v>5.3255252E-5</v>
      </c>
      <c r="I4" s="3">
        <v>1.4042207E-5</v>
      </c>
      <c r="J4" s="3">
        <v>-1.4172132E-4</v>
      </c>
      <c r="K4" s="2"/>
      <c r="L4" s="3"/>
      <c r="M4" s="3"/>
      <c r="N4" s="2">
        <f>IF('Modell einstellen'!$B$1="Voll",H4/0.35,H4/0.35*2)</f>
        <v>1.5215786285714287E-4</v>
      </c>
      <c r="O4" s="2">
        <f>IF('Modell einstellen'!$B$1="Voll",J4/0.35,J4/0.35*2)</f>
        <v>-4.0491805714285717E-4</v>
      </c>
      <c r="P4" s="3">
        <f t="shared" ref="P4:P33" si="0">-N4/O4</f>
        <v>0.37577445651790431</v>
      </c>
      <c r="Q4" s="3"/>
      <c r="R4" s="3"/>
      <c r="S4" s="3"/>
      <c r="T4" s="3"/>
      <c r="U4" s="3"/>
    </row>
    <row r="5" spans="1:21" x14ac:dyDescent="0.25">
      <c r="A5" s="3">
        <v>1E-13</v>
      </c>
      <c r="B5" s="3">
        <v>1.042E-4</v>
      </c>
      <c r="C5" s="3">
        <v>1.4339999999999999E-4</v>
      </c>
      <c r="D5" s="3">
        <v>-3.769E-4</v>
      </c>
      <c r="E5" s="3">
        <v>0</v>
      </c>
      <c r="F5" s="3">
        <v>0</v>
      </c>
      <c r="G5" s="3">
        <v>0</v>
      </c>
      <c r="H5" s="3">
        <v>5.5231185E-5</v>
      </c>
      <c r="I5" s="3">
        <v>1.4517870999999999E-5</v>
      </c>
      <c r="J5" s="3">
        <v>-1.4549879E-4</v>
      </c>
      <c r="K5" s="2"/>
      <c r="L5" s="3"/>
      <c r="M5" s="3"/>
      <c r="N5" s="2">
        <f>IF('Modell einstellen'!$B$1="Voll",H5/0.35,H5/0.35*2)</f>
        <v>1.5780338571428571E-4</v>
      </c>
      <c r="O5" s="2">
        <f>IF('Modell einstellen'!$B$1="Voll",J5/0.35,J5/0.35*2)</f>
        <v>-4.1571082857142861E-4</v>
      </c>
      <c r="P5" s="3">
        <f t="shared" si="0"/>
        <v>0.37959892999797451</v>
      </c>
      <c r="Q5" s="3"/>
      <c r="R5" s="3"/>
      <c r="S5" s="3"/>
      <c r="T5" s="3"/>
      <c r="U5" s="3"/>
    </row>
    <row r="6" spans="1:21" x14ac:dyDescent="0.25">
      <c r="A6" s="3">
        <v>9.9999999999999998E-13</v>
      </c>
      <c r="B6" s="3">
        <v>1.055E-4</v>
      </c>
      <c r="C6" s="3">
        <v>1.4809999999999999E-4</v>
      </c>
      <c r="D6" s="3">
        <v>-3.835E-4</v>
      </c>
      <c r="E6" s="3">
        <v>0</v>
      </c>
      <c r="F6" s="3">
        <v>0</v>
      </c>
      <c r="G6" s="3">
        <v>0</v>
      </c>
      <c r="H6" s="3">
        <v>5.7395529000000002E-5</v>
      </c>
      <c r="I6" s="3">
        <v>1.5032300999999999E-5</v>
      </c>
      <c r="J6" s="3">
        <v>-1.4961034E-4</v>
      </c>
      <c r="K6" s="2"/>
      <c r="L6" s="3"/>
      <c r="M6" s="3"/>
      <c r="N6" s="2">
        <f>IF('Modell einstellen'!$B$1="Voll",H6/0.35,H6/0.35*2)</f>
        <v>1.6398722571428574E-4</v>
      </c>
      <c r="O6" s="2">
        <f>IF('Modell einstellen'!$B$1="Voll",J6/0.35,J6/0.35*2)</f>
        <v>-4.2745811428571433E-4</v>
      </c>
      <c r="P6" s="3">
        <f t="shared" si="0"/>
        <v>0.38363343736803218</v>
      </c>
      <c r="Q6" s="3"/>
      <c r="R6" s="3"/>
      <c r="S6" s="3"/>
      <c r="T6" s="3"/>
      <c r="U6" s="3"/>
    </row>
    <row r="7" spans="1:21" x14ac:dyDescent="0.25">
      <c r="A7" s="3">
        <v>9.9999999999999994E-12</v>
      </c>
      <c r="B7" s="3">
        <v>1.0670000000000001E-4</v>
      </c>
      <c r="C7" s="3">
        <v>1.5349999999999999E-4</v>
      </c>
      <c r="D7" s="3">
        <v>-3.9110000000000002E-4</v>
      </c>
      <c r="E7" s="3">
        <v>0</v>
      </c>
      <c r="F7" s="3">
        <v>0</v>
      </c>
      <c r="G7" s="3">
        <v>0</v>
      </c>
      <c r="H7" s="3">
        <v>6.0001080000000003E-5</v>
      </c>
      <c r="I7" s="3">
        <v>1.5643117999999999E-5</v>
      </c>
      <c r="J7" s="3">
        <v>-1.5452675E-4</v>
      </c>
      <c r="K7" s="2"/>
      <c r="L7" s="3"/>
      <c r="M7" s="3"/>
      <c r="N7" s="2">
        <f>IF('Modell einstellen'!$B$1="Voll",H7/0.35,H7/0.35*2)</f>
        <v>1.7143165714285716E-4</v>
      </c>
      <c r="O7" s="2">
        <f>IF('Modell einstellen'!$B$1="Voll",J7/0.35,J7/0.35*2)</f>
        <v>-4.4150500000000002E-4</v>
      </c>
      <c r="P7" s="3">
        <f t="shared" si="0"/>
        <v>0.38828927677570391</v>
      </c>
      <c r="Q7" s="3"/>
      <c r="R7" s="3"/>
      <c r="S7" s="3"/>
      <c r="T7" s="3"/>
      <c r="U7" s="3"/>
    </row>
    <row r="8" spans="1:21" x14ac:dyDescent="0.25">
      <c r="A8" s="3">
        <v>1E-10</v>
      </c>
      <c r="B8" s="3">
        <v>1.077E-4</v>
      </c>
      <c r="C8" s="3">
        <v>1.5890000000000001E-4</v>
      </c>
      <c r="D8" s="3">
        <v>-3.9819999999999998E-4</v>
      </c>
      <c r="E8" s="3">
        <v>0</v>
      </c>
      <c r="F8" s="3">
        <v>0</v>
      </c>
      <c r="G8" s="3">
        <v>0</v>
      </c>
      <c r="H8" s="3">
        <v>6.2616624999999994E-5</v>
      </c>
      <c r="I8" s="3">
        <v>1.6246296E-5</v>
      </c>
      <c r="J8" s="3">
        <v>-1.5942288E-4</v>
      </c>
      <c r="K8" s="2"/>
      <c r="L8" s="3"/>
      <c r="M8" s="3"/>
      <c r="N8" s="2">
        <f>IF('Modell einstellen'!$B$1="Voll",H8/0.35,H8/0.35*2)</f>
        <v>1.7890464285714286E-4</v>
      </c>
      <c r="O8" s="2">
        <f>IF('Modell einstellen'!$B$1="Voll",J8/0.35,J8/0.35*2)</f>
        <v>-4.554939428571429E-4</v>
      </c>
      <c r="P8" s="3">
        <f t="shared" si="0"/>
        <v>0.39277062991209288</v>
      </c>
      <c r="Q8" s="3"/>
      <c r="R8" s="3"/>
      <c r="S8" s="3"/>
      <c r="T8" s="3"/>
      <c r="U8" s="3"/>
    </row>
    <row r="9" spans="1:21" x14ac:dyDescent="0.25">
      <c r="A9" s="3">
        <v>1.0000000000000001E-9</v>
      </c>
      <c r="B9" s="3">
        <v>1.0840000000000001E-4</v>
      </c>
      <c r="C9" s="3">
        <v>1.6449999999999999E-4</v>
      </c>
      <c r="D9" s="3">
        <v>-4.0539999999999999E-4</v>
      </c>
      <c r="E9" s="3">
        <v>0</v>
      </c>
      <c r="F9" s="3">
        <v>0</v>
      </c>
      <c r="G9" s="3">
        <v>0</v>
      </c>
      <c r="H9" s="3">
        <v>6.5421734000000004E-5</v>
      </c>
      <c r="I9" s="3">
        <v>1.6883275999999999E-5</v>
      </c>
      <c r="J9" s="3">
        <v>-1.6463565E-4</v>
      </c>
      <c r="K9" s="2"/>
      <c r="L9" s="3"/>
      <c r="M9" s="3"/>
      <c r="N9" s="2">
        <f>IF('Modell einstellen'!$B$1="Voll",H9/0.35,H9/0.35*2)</f>
        <v>1.8691924000000003E-4</v>
      </c>
      <c r="O9" s="2">
        <f>IF('Modell einstellen'!$B$1="Voll",J9/0.35,J9/0.35*2)</f>
        <v>-4.7038757142857146E-4</v>
      </c>
      <c r="P9" s="3">
        <f t="shared" si="0"/>
        <v>0.39737282903186527</v>
      </c>
      <c r="Q9" s="3"/>
      <c r="R9" s="3"/>
      <c r="S9" s="3"/>
      <c r="T9" s="3"/>
      <c r="U9" s="3"/>
    </row>
    <row r="10" spans="1:21" x14ac:dyDescent="0.25">
      <c r="A10" s="3">
        <v>1E-8</v>
      </c>
      <c r="B10" s="3">
        <v>1.0900000000000001E-4</v>
      </c>
      <c r="C10" s="3">
        <v>1.7149999999999999E-4</v>
      </c>
      <c r="D10" s="3">
        <v>-4.1419999999999998E-4</v>
      </c>
      <c r="E10" s="3">
        <v>0</v>
      </c>
      <c r="F10" s="3">
        <v>0</v>
      </c>
      <c r="G10" s="3">
        <v>0</v>
      </c>
      <c r="H10" s="3">
        <v>6.9067643E-5</v>
      </c>
      <c r="I10" s="3">
        <v>1.769623E-5</v>
      </c>
      <c r="J10" s="3">
        <v>-1.7135372000000001E-4</v>
      </c>
      <c r="K10" s="2"/>
      <c r="L10" s="3"/>
      <c r="M10" s="3"/>
      <c r="N10" s="2">
        <f>IF('Modell einstellen'!$B$1="Voll",H10/0.35,H10/0.35*2)</f>
        <v>1.9733612285714286E-4</v>
      </c>
      <c r="O10" s="2">
        <f>IF('Modell einstellen'!$B$1="Voll",J10/0.35,J10/0.35*2)</f>
        <v>-4.8958205714285719E-4</v>
      </c>
      <c r="P10" s="3">
        <f t="shared" si="0"/>
        <v>0.40307057821680203</v>
      </c>
      <c r="Q10" s="3"/>
      <c r="R10" s="3"/>
      <c r="S10" s="3"/>
      <c r="T10" s="3"/>
      <c r="U10" s="3"/>
    </row>
    <row r="11" spans="1:21" x14ac:dyDescent="0.25">
      <c r="A11" s="3">
        <v>9.9999999999999995E-8</v>
      </c>
      <c r="B11" s="3">
        <v>1.0900000000000001E-4</v>
      </c>
      <c r="C11" s="3">
        <v>1.8019999999999999E-4</v>
      </c>
      <c r="D11" s="3">
        <v>-4.2420000000000001E-4</v>
      </c>
      <c r="E11" s="3">
        <v>0</v>
      </c>
      <c r="F11" s="3">
        <v>0</v>
      </c>
      <c r="G11" s="3">
        <v>0</v>
      </c>
      <c r="H11" s="3">
        <v>7.3708435000000003E-5</v>
      </c>
      <c r="I11" s="3">
        <v>1.8705598E-5</v>
      </c>
      <c r="J11" s="3">
        <v>-1.7980772999999999E-4</v>
      </c>
      <c r="K11" s="2"/>
      <c r="L11" s="3"/>
      <c r="M11" s="3"/>
      <c r="N11" s="2">
        <f>IF('Modell einstellen'!$B$1="Voll",H11/0.35,H11/0.35*2)</f>
        <v>2.105955285714286E-4</v>
      </c>
      <c r="O11" s="2">
        <f>IF('Modell einstellen'!$B$1="Voll",J11/0.35,J11/0.35*2)</f>
        <v>-5.1373637142857148E-4</v>
      </c>
      <c r="P11" s="3">
        <f t="shared" si="0"/>
        <v>0.40992917823944497</v>
      </c>
      <c r="Q11" s="3"/>
      <c r="R11" s="3"/>
      <c r="S11" s="3"/>
      <c r="T11" s="3"/>
      <c r="U11" s="3"/>
    </row>
    <row r="12" spans="1:21" x14ac:dyDescent="0.25">
      <c r="A12" s="3">
        <v>9.9999999999999995E-7</v>
      </c>
      <c r="B12" s="3">
        <v>1.082E-4</v>
      </c>
      <c r="C12" s="3">
        <v>1.8929999999999999E-4</v>
      </c>
      <c r="D12" s="3">
        <v>-4.3389999999999998E-4</v>
      </c>
      <c r="E12" s="3">
        <v>0</v>
      </c>
      <c r="F12" s="3">
        <v>0</v>
      </c>
      <c r="G12" s="3">
        <v>0</v>
      </c>
      <c r="H12" s="3">
        <v>7.8829455999999994E-5</v>
      </c>
      <c r="I12" s="3">
        <v>1.9785543E-5</v>
      </c>
      <c r="J12" s="3">
        <v>-1.8900735E-4</v>
      </c>
      <c r="K12" s="2"/>
      <c r="L12" s="3"/>
      <c r="M12" s="3"/>
      <c r="N12" s="2">
        <f>IF('Modell einstellen'!$B$1="Voll",H12/0.35,H12/0.35*2)</f>
        <v>2.2522701714285714E-4</v>
      </c>
      <c r="O12" s="2">
        <f>IF('Modell einstellen'!$B$1="Voll",J12/0.35,J12/0.35*2)</f>
        <v>-5.4002100000000001E-4</v>
      </c>
      <c r="P12" s="3">
        <f t="shared" si="0"/>
        <v>0.41707084936114919</v>
      </c>
      <c r="Q12" s="3"/>
      <c r="R12" s="3"/>
      <c r="S12" s="3"/>
      <c r="T12" s="3"/>
      <c r="U12" s="3"/>
    </row>
    <row r="13" spans="1:21" x14ac:dyDescent="0.25">
      <c r="A13" s="3">
        <v>1.0000000000000001E-5</v>
      </c>
      <c r="B13" s="3">
        <v>1.0670000000000001E-4</v>
      </c>
      <c r="C13" s="3">
        <v>1.972E-4</v>
      </c>
      <c r="D13" s="3">
        <v>-4.415E-4</v>
      </c>
      <c r="E13" s="3">
        <v>0</v>
      </c>
      <c r="F13" s="3">
        <v>0</v>
      </c>
      <c r="G13" s="3">
        <v>0</v>
      </c>
      <c r="H13" s="3">
        <v>8.3444184000000006E-5</v>
      </c>
      <c r="I13" s="3">
        <v>2.0728058000000001E-5</v>
      </c>
      <c r="J13" s="3">
        <v>-1.9718080000000001E-4</v>
      </c>
      <c r="K13" s="2"/>
      <c r="L13" s="3"/>
      <c r="M13" s="3"/>
      <c r="N13" s="2">
        <f>IF('Modell einstellen'!$B$1="Voll",H13/0.35,H13/0.35*2)</f>
        <v>2.3841195428571431E-4</v>
      </c>
      <c r="O13" s="2">
        <f>IF('Modell einstellen'!$B$1="Voll",J13/0.35,J13/0.35*2)</f>
        <v>-5.6337371428571439E-4</v>
      </c>
      <c r="P13" s="3">
        <f t="shared" si="0"/>
        <v>0.42318615199857185</v>
      </c>
      <c r="Q13" s="3"/>
      <c r="R13" s="3"/>
      <c r="S13" s="3"/>
      <c r="T13" s="3"/>
      <c r="U13" s="3"/>
    </row>
    <row r="14" spans="1:21" x14ac:dyDescent="0.25">
      <c r="A14" s="3">
        <v>1E-4</v>
      </c>
      <c r="B14" s="3">
        <v>1.0450000000000001E-4</v>
      </c>
      <c r="C14" s="3">
        <v>2.052E-4</v>
      </c>
      <c r="D14" s="3">
        <v>-4.4850000000000001E-4</v>
      </c>
      <c r="E14" s="3">
        <v>0</v>
      </c>
      <c r="F14" s="3">
        <v>0</v>
      </c>
      <c r="G14" s="3">
        <v>0</v>
      </c>
      <c r="H14" s="3">
        <v>8.8342143E-5</v>
      </c>
      <c r="I14" s="3">
        <v>2.1701699E-5</v>
      </c>
      <c r="J14" s="3">
        <v>-2.0575511999999999E-4</v>
      </c>
      <c r="K14" s="2"/>
      <c r="L14" s="3"/>
      <c r="M14" s="3"/>
      <c r="N14" s="2">
        <f>IF('Modell einstellen'!$B$1="Voll",H14/0.35,H14/0.35*2)</f>
        <v>2.5240612285714286E-4</v>
      </c>
      <c r="O14" s="2">
        <f>IF('Modell einstellen'!$B$1="Voll",J14/0.35,J14/0.35*2)</f>
        <v>-5.8787177142857142E-4</v>
      </c>
      <c r="P14" s="3">
        <f t="shared" si="0"/>
        <v>0.42935574580112512</v>
      </c>
      <c r="Q14" s="3"/>
      <c r="R14" s="3"/>
      <c r="S14" s="3"/>
      <c r="T14" s="3"/>
      <c r="U14" s="3"/>
    </row>
    <row r="15" spans="1:21" x14ac:dyDescent="0.25">
      <c r="A15" s="3">
        <v>1E-3</v>
      </c>
      <c r="B15" s="3">
        <v>1.014E-4</v>
      </c>
      <c r="C15" s="3">
        <v>2.1330000000000001E-4</v>
      </c>
      <c r="D15" s="3">
        <v>-4.549E-4</v>
      </c>
      <c r="E15" s="3">
        <v>0</v>
      </c>
      <c r="F15" s="3">
        <v>0</v>
      </c>
      <c r="G15" s="3">
        <v>0</v>
      </c>
      <c r="H15" s="3">
        <v>9.3565431000000002E-5</v>
      </c>
      <c r="I15" s="3">
        <v>2.2707324000000001E-5</v>
      </c>
      <c r="J15" s="3">
        <v>-2.1477542000000001E-4</v>
      </c>
      <c r="K15" s="2"/>
      <c r="L15" s="3"/>
      <c r="M15" s="3"/>
      <c r="N15" s="2">
        <f>IF('Modell einstellen'!$B$1="Voll",H15/0.35,H15/0.35*2)</f>
        <v>2.6732980285714287E-4</v>
      </c>
      <c r="O15" s="2">
        <f>IF('Modell einstellen'!$B$1="Voll",J15/0.35,J15/0.35*2)</f>
        <v>-6.1364405714285717E-4</v>
      </c>
      <c r="P15" s="3">
        <f t="shared" si="0"/>
        <v>0.43564310571479736</v>
      </c>
      <c r="Q15" s="3"/>
      <c r="R15" s="3"/>
      <c r="S15" s="3"/>
      <c r="T15" s="3"/>
      <c r="U15" s="3"/>
    </row>
    <row r="16" spans="1:21" x14ac:dyDescent="0.25">
      <c r="A16" s="3">
        <v>0.01</v>
      </c>
      <c r="B16" s="3">
        <v>9.7070000000000004E-5</v>
      </c>
      <c r="C16" s="3">
        <v>2.2230000000000001E-4</v>
      </c>
      <c r="D16" s="3">
        <v>-4.6089999999999998E-4</v>
      </c>
      <c r="E16" s="3">
        <v>0</v>
      </c>
      <c r="F16" s="3">
        <v>0</v>
      </c>
      <c r="G16" s="3">
        <v>0</v>
      </c>
      <c r="H16" s="3">
        <v>9.9628676999999994E-5</v>
      </c>
      <c r="I16" s="3">
        <v>2.3836581999999999E-5</v>
      </c>
      <c r="J16" s="3">
        <v>-2.2510223E-4</v>
      </c>
      <c r="K16" s="2"/>
      <c r="L16" s="3"/>
      <c r="M16" s="3"/>
      <c r="N16" s="2">
        <f>IF('Modell einstellen'!$B$1="Voll",H16/0.35,H16/0.35*2)</f>
        <v>2.8465336285714288E-4</v>
      </c>
      <c r="O16" s="2">
        <f>IF('Modell einstellen'!$B$1="Voll",J16/0.35,J16/0.35*2)</f>
        <v>-6.4314922857142858E-4</v>
      </c>
      <c r="P16" s="3">
        <f t="shared" si="0"/>
        <v>0.44259302540005935</v>
      </c>
      <c r="Q16" s="3"/>
      <c r="R16" s="3"/>
      <c r="S16" s="3"/>
      <c r="T16" s="3"/>
      <c r="U16" s="3"/>
    </row>
    <row r="17" spans="1:21" x14ac:dyDescent="0.25">
      <c r="A17" s="3">
        <v>0.1</v>
      </c>
      <c r="B17" s="3">
        <v>9.1719999999999996E-5</v>
      </c>
      <c r="C17" s="3">
        <v>2.3130000000000001E-4</v>
      </c>
      <c r="D17" s="3">
        <v>-4.6579999999999999E-4</v>
      </c>
      <c r="E17" s="3">
        <v>0</v>
      </c>
      <c r="F17" s="3">
        <v>0</v>
      </c>
      <c r="G17" s="3">
        <v>0</v>
      </c>
      <c r="H17" s="3">
        <v>1.0590650999999999E-4</v>
      </c>
      <c r="I17" s="3">
        <v>2.4970006999999999E-5</v>
      </c>
      <c r="J17" s="3">
        <v>-2.3565395999999999E-4</v>
      </c>
      <c r="K17" s="2"/>
      <c r="L17" s="3"/>
      <c r="M17" s="3"/>
      <c r="N17" s="2">
        <f>IF('Modell einstellen'!$B$1="Voll",H17/0.35,H17/0.35*2)</f>
        <v>3.0259002857142858E-4</v>
      </c>
      <c r="O17" s="2">
        <f>IF('Modell einstellen'!$B$1="Voll",J17/0.35,J17/0.35*2)</f>
        <v>-6.7329702857142854E-4</v>
      </c>
      <c r="P17" s="3">
        <f t="shared" si="0"/>
        <v>0.4494153631027461</v>
      </c>
      <c r="Q17" s="3"/>
      <c r="R17" s="3"/>
      <c r="S17" s="3"/>
      <c r="T17" s="3"/>
      <c r="U17" s="3"/>
    </row>
    <row r="18" spans="1:21" x14ac:dyDescent="0.25">
      <c r="A18" s="3">
        <v>1</v>
      </c>
      <c r="B18" s="3">
        <v>8.4049999999999997E-5</v>
      </c>
      <c r="C18" s="3">
        <v>2.4369999999999999E-4</v>
      </c>
      <c r="D18" s="3">
        <v>-4.7209999999999998E-4</v>
      </c>
      <c r="E18" s="3">
        <v>0</v>
      </c>
      <c r="F18" s="3">
        <v>0</v>
      </c>
      <c r="G18" s="3">
        <v>0</v>
      </c>
      <c r="H18" s="3">
        <v>1.1445318E-4</v>
      </c>
      <c r="I18" s="3">
        <v>2.6572671000000001E-5</v>
      </c>
      <c r="J18" s="3">
        <v>-2.5018478E-4</v>
      </c>
      <c r="K18" s="2"/>
      <c r="L18" s="3"/>
      <c r="M18" s="3"/>
      <c r="N18" s="2">
        <f>IF('Modell einstellen'!$B$1="Voll",H18/0.35,H18/0.35*2)</f>
        <v>3.2700908571428573E-4</v>
      </c>
      <c r="O18" s="2">
        <f>IF('Modell einstellen'!$B$1="Voll",J18/0.35,J18/0.35*2)</f>
        <v>-7.1481365714285718E-4</v>
      </c>
      <c r="P18" s="3">
        <f t="shared" si="0"/>
        <v>0.45747459138001917</v>
      </c>
      <c r="Q18" s="3"/>
      <c r="R18" s="3"/>
      <c r="S18" s="3"/>
      <c r="T18" s="3"/>
      <c r="U18" s="3"/>
    </row>
    <row r="19" spans="1:21" x14ac:dyDescent="0.25">
      <c r="A19" s="3">
        <v>10</v>
      </c>
      <c r="B19" s="3">
        <v>7.7639999999999995E-5</v>
      </c>
      <c r="C19" s="3">
        <v>2.6429999999999997E-4</v>
      </c>
      <c r="D19" s="3">
        <v>-4.8720000000000002E-4</v>
      </c>
      <c r="E19" s="3">
        <v>0</v>
      </c>
      <c r="F19" s="3">
        <v>0</v>
      </c>
      <c r="G19" s="3">
        <v>0</v>
      </c>
      <c r="H19" s="3">
        <v>1.2482676E-4</v>
      </c>
      <c r="I19" s="3">
        <v>2.9233327000000001E-5</v>
      </c>
      <c r="J19" s="3">
        <v>-2.7014770000000001E-4</v>
      </c>
      <c r="K19" s="2"/>
      <c r="L19" s="3"/>
      <c r="M19" s="3"/>
      <c r="N19" s="2">
        <f>IF('Modell einstellen'!$B$1="Voll",H19/0.35,H19/0.35*2)</f>
        <v>3.5664788571428574E-4</v>
      </c>
      <c r="O19" s="2">
        <f>IF('Modell einstellen'!$B$1="Voll",J19/0.35,J19/0.35*2)</f>
        <v>-7.7185057142857148E-4</v>
      </c>
      <c r="P19" s="3">
        <f t="shared" si="0"/>
        <v>0.4620685647147838</v>
      </c>
      <c r="Q19" s="3"/>
      <c r="R19" s="3"/>
      <c r="S19" s="3"/>
      <c r="T19" s="3"/>
      <c r="U19" s="3"/>
    </row>
    <row r="20" spans="1:21" x14ac:dyDescent="0.25">
      <c r="A20" s="3">
        <v>100</v>
      </c>
      <c r="B20" s="3">
        <v>7.4939999999999997E-5</v>
      </c>
      <c r="C20" s="3">
        <v>3.009E-4</v>
      </c>
      <c r="D20" s="3">
        <v>-5.2070000000000003E-4</v>
      </c>
      <c r="E20" s="3">
        <v>0</v>
      </c>
      <c r="F20" s="3">
        <v>0</v>
      </c>
      <c r="G20" s="3">
        <v>0</v>
      </c>
      <c r="H20" s="3">
        <v>1.3821315000000001E-4</v>
      </c>
      <c r="I20" s="3">
        <v>3.3988754000000003E-5</v>
      </c>
      <c r="J20" s="3">
        <v>-3.0033902999999999E-4</v>
      </c>
      <c r="K20" s="2"/>
      <c r="L20" s="3"/>
      <c r="M20" s="3"/>
      <c r="N20" s="2">
        <f>IF('Modell einstellen'!$B$1="Voll",H20/0.35,H20/0.35*2)</f>
        <v>3.9489471428571436E-4</v>
      </c>
      <c r="O20" s="2">
        <f>IF('Modell einstellen'!$B$1="Voll",J20/0.35,J20/0.35*2)</f>
        <v>-8.5811151428571433E-4</v>
      </c>
      <c r="P20" s="3">
        <f t="shared" si="0"/>
        <v>0.460190438785129</v>
      </c>
      <c r="Q20" s="3"/>
      <c r="R20" s="3"/>
      <c r="S20" s="3"/>
      <c r="T20" s="3"/>
      <c r="U20" s="3"/>
    </row>
    <row r="21" spans="1:21" x14ac:dyDescent="0.25">
      <c r="A21" s="3">
        <v>1000</v>
      </c>
      <c r="B21" s="3">
        <v>6.9170000000000004E-5</v>
      </c>
      <c r="C21" s="3">
        <v>3.5070000000000001E-4</v>
      </c>
      <c r="D21" s="3">
        <v>-5.643E-4</v>
      </c>
      <c r="E21" s="3">
        <v>0</v>
      </c>
      <c r="F21" s="3">
        <v>0</v>
      </c>
      <c r="G21" s="3">
        <v>0</v>
      </c>
      <c r="H21" s="3">
        <v>1.5620382E-4</v>
      </c>
      <c r="I21" s="3">
        <v>4.0652043000000001E-5</v>
      </c>
      <c r="J21" s="3">
        <v>-3.4200016999999999E-4</v>
      </c>
      <c r="K21" s="2"/>
      <c r="L21" s="3"/>
      <c r="M21" s="3"/>
      <c r="N21" s="2">
        <f>IF('Modell einstellen'!$B$1="Voll",H21/0.35,H21/0.35*2)</f>
        <v>4.4629662857142857E-4</v>
      </c>
      <c r="O21" s="2">
        <f>IF('Modell einstellen'!$B$1="Voll",J21/0.35,J21/0.35*2)</f>
        <v>-9.7714334285714283E-4</v>
      </c>
      <c r="P21" s="3">
        <f t="shared" si="0"/>
        <v>0.45673608875691496</v>
      </c>
      <c r="Q21" s="3"/>
      <c r="R21" s="3"/>
      <c r="S21" s="3"/>
      <c r="T21" s="3"/>
      <c r="U21" s="3"/>
    </row>
    <row r="22" spans="1:21" x14ac:dyDescent="0.25">
      <c r="A22" s="3">
        <v>10000</v>
      </c>
      <c r="B22" s="3">
        <v>4.21E-5</v>
      </c>
      <c r="C22" s="3">
        <v>4.1340000000000002E-4</v>
      </c>
      <c r="D22" s="3">
        <v>-6.0070000000000002E-4</v>
      </c>
      <c r="E22" s="3">
        <v>0</v>
      </c>
      <c r="F22" s="3">
        <v>0</v>
      </c>
      <c r="G22" s="3">
        <v>0</v>
      </c>
      <c r="H22" s="3">
        <v>1.8312052999999999E-4</v>
      </c>
      <c r="I22" s="3">
        <v>4.9517909E-5</v>
      </c>
      <c r="J22" s="3">
        <v>-4.0077198E-4</v>
      </c>
      <c r="K22" s="2"/>
      <c r="L22" s="3"/>
      <c r="M22" s="3"/>
      <c r="N22" s="2">
        <f>IF('Modell einstellen'!$B$1="Voll",H22/0.35,H22/0.35*2)</f>
        <v>5.2320151428571432E-4</v>
      </c>
      <c r="O22" s="2">
        <f>IF('Modell einstellen'!$B$1="Voll",J22/0.35,J22/0.35*2)</f>
        <v>-1.1450628000000001E-3</v>
      </c>
      <c r="P22" s="3">
        <f t="shared" si="0"/>
        <v>0.45691949322405223</v>
      </c>
      <c r="Q22" s="3"/>
      <c r="R22" s="3"/>
      <c r="S22" s="3"/>
      <c r="T22" s="3"/>
      <c r="U22" s="3"/>
    </row>
    <row r="23" spans="1:21" x14ac:dyDescent="0.25">
      <c r="A23" s="3">
        <v>100000</v>
      </c>
      <c r="B23" s="3">
        <v>-2.936E-5</v>
      </c>
      <c r="C23" s="3">
        <v>4.9620000000000003E-4</v>
      </c>
      <c r="D23" s="3">
        <v>-6.1419999999999997E-4</v>
      </c>
      <c r="E23" s="3">
        <v>0</v>
      </c>
      <c r="F23" s="3">
        <v>0</v>
      </c>
      <c r="G23" s="3">
        <v>0</v>
      </c>
      <c r="H23" s="3">
        <v>2.2558588E-4</v>
      </c>
      <c r="I23" s="3">
        <v>6.2017654000000002E-5</v>
      </c>
      <c r="J23" s="3">
        <v>-4.8855412000000005E-4</v>
      </c>
      <c r="K23" s="2"/>
      <c r="L23" s="3"/>
      <c r="M23" s="3"/>
      <c r="N23" s="2">
        <f>IF('Modell einstellen'!$B$1="Voll",H23/0.35,H23/0.35*2)</f>
        <v>6.4453108571428577E-4</v>
      </c>
      <c r="O23" s="2">
        <f>IF('Modell einstellen'!$B$1="Voll",J23/0.35,J23/0.35*2)</f>
        <v>-1.3958689142857146E-3</v>
      </c>
      <c r="P23" s="3">
        <f t="shared" si="0"/>
        <v>0.46174184346250108</v>
      </c>
      <c r="Q23" s="3"/>
      <c r="R23" s="3"/>
      <c r="S23" s="3"/>
      <c r="T23" s="3"/>
      <c r="U23" s="3"/>
    </row>
    <row r="24" spans="1:21" x14ac:dyDescent="0.25">
      <c r="A24" s="3">
        <v>1000000</v>
      </c>
      <c r="B24" s="3">
        <v>-2.0230000000000001E-4</v>
      </c>
      <c r="C24" s="3">
        <v>6.1910000000000003E-4</v>
      </c>
      <c r="D24" s="3">
        <v>-5.6780000000000003E-4</v>
      </c>
      <c r="E24" s="3">
        <v>0</v>
      </c>
      <c r="F24" s="3">
        <v>0</v>
      </c>
      <c r="G24" s="3">
        <v>0</v>
      </c>
      <c r="H24" s="3">
        <v>2.9955447000000002E-4</v>
      </c>
      <c r="I24" s="3">
        <v>8.1973131999999997E-5</v>
      </c>
      <c r="J24" s="3">
        <v>-6.3519743000000001E-4</v>
      </c>
      <c r="K24" s="2"/>
      <c r="L24" s="3"/>
      <c r="M24" s="3"/>
      <c r="N24" s="2">
        <f>IF('Modell einstellen'!$B$1="Voll",H24/0.35,H24/0.35*2)</f>
        <v>8.558699142857144E-4</v>
      </c>
      <c r="O24" s="2">
        <f>IF('Modell einstellen'!$B$1="Voll",J24/0.35,J24/0.35*2)</f>
        <v>-1.8148498000000002E-3</v>
      </c>
      <c r="P24" s="3">
        <f t="shared" si="0"/>
        <v>0.47159269835206985</v>
      </c>
      <c r="Q24" s="3"/>
      <c r="R24" s="3"/>
      <c r="S24" s="3"/>
      <c r="T24" s="3"/>
      <c r="U24" s="3"/>
    </row>
    <row r="25" spans="1:21" x14ac:dyDescent="0.25">
      <c r="A25" s="3">
        <v>10000000</v>
      </c>
      <c r="B25" s="3">
        <v>-5.4169999999999999E-4</v>
      </c>
      <c r="C25" s="3">
        <v>7.917E-4</v>
      </c>
      <c r="D25" s="3">
        <v>-4.0460000000000002E-4</v>
      </c>
      <c r="E25" s="3">
        <v>0</v>
      </c>
      <c r="F25" s="3">
        <v>0</v>
      </c>
      <c r="G25" s="3">
        <v>0</v>
      </c>
      <c r="H25" s="3">
        <v>4.1729041E-4</v>
      </c>
      <c r="I25" s="3">
        <v>1.1202855E-4</v>
      </c>
      <c r="J25" s="3">
        <v>-8.6246282000000001E-4</v>
      </c>
      <c r="K25" s="2"/>
      <c r="L25" s="3"/>
      <c r="M25" s="3"/>
      <c r="N25" s="2">
        <f>IF('Modell einstellen'!$B$1="Voll",H25/0.35,H25/0.35*2)</f>
        <v>1.1922583142857143E-3</v>
      </c>
      <c r="O25" s="2">
        <f>IF('Modell einstellen'!$B$1="Voll",J25/0.35,J25/0.35*2)</f>
        <v>-2.464179485714286E-3</v>
      </c>
      <c r="P25" s="3">
        <f t="shared" si="0"/>
        <v>0.48383582494605387</v>
      </c>
      <c r="Q25" s="3"/>
      <c r="R25" s="3"/>
      <c r="S25" s="3"/>
      <c r="T25" s="3"/>
      <c r="U25" s="3"/>
    </row>
    <row r="26" spans="1:21" x14ac:dyDescent="0.25">
      <c r="A26" s="3">
        <v>100000000</v>
      </c>
      <c r="B26" s="3">
        <v>-1.1000000000000001E-3</v>
      </c>
      <c r="C26" s="3">
        <v>1.021E-3</v>
      </c>
      <c r="D26" s="3">
        <v>-7.8880000000000004E-5</v>
      </c>
      <c r="E26" s="3">
        <v>0</v>
      </c>
      <c r="F26" s="3">
        <v>0</v>
      </c>
      <c r="G26" s="3">
        <v>0</v>
      </c>
      <c r="H26" s="3">
        <v>5.9018472000000005E-4</v>
      </c>
      <c r="I26" s="3">
        <v>1.5413235999999999E-4</v>
      </c>
      <c r="J26" s="3">
        <v>-1.1886105000000001E-3</v>
      </c>
      <c r="K26" s="2"/>
      <c r="L26" s="3"/>
      <c r="M26" s="3"/>
      <c r="N26" s="2">
        <f>IF('Modell einstellen'!$B$1="Voll",H26/0.35,H26/0.35*2)</f>
        <v>1.6862420571428574E-3</v>
      </c>
      <c r="O26" s="2">
        <f>IF('Modell einstellen'!$B$1="Voll",J26/0.35,J26/0.35*2)</f>
        <v>-3.3960300000000004E-3</v>
      </c>
      <c r="P26" s="3">
        <f t="shared" si="0"/>
        <v>0.49653332189140181</v>
      </c>
      <c r="Q26" s="3"/>
      <c r="R26" s="3"/>
      <c r="S26" s="3"/>
      <c r="T26" s="3"/>
      <c r="U26" s="3"/>
    </row>
    <row r="27" spans="1:21" x14ac:dyDescent="0.25">
      <c r="A27" s="3">
        <v>1000000000</v>
      </c>
      <c r="B27" s="3">
        <v>-1.7409999999999999E-3</v>
      </c>
      <c r="C27" s="3">
        <v>1.2570000000000001E-3</v>
      </c>
      <c r="D27" s="3">
        <v>3.2459999999999998E-4</v>
      </c>
      <c r="E27" s="3">
        <v>0</v>
      </c>
      <c r="F27" s="3">
        <v>0</v>
      </c>
      <c r="G27" s="3">
        <v>0</v>
      </c>
      <c r="H27" s="3">
        <v>7.7781422999999999E-4</v>
      </c>
      <c r="I27" s="3">
        <v>1.9904581000000001E-4</v>
      </c>
      <c r="J27" s="3">
        <v>-1.5393167E-3</v>
      </c>
      <c r="K27" s="2"/>
      <c r="L27" s="3"/>
      <c r="M27" s="3"/>
      <c r="N27" s="2">
        <f>IF('Modell einstellen'!$B$1="Voll",H27/0.35,H27/0.35*2)</f>
        <v>2.2223263714285717E-3</v>
      </c>
      <c r="O27" s="2">
        <f>IF('Modell einstellen'!$B$1="Voll",J27/0.35,J27/0.35*2)</f>
        <v>-4.3980477142857143E-3</v>
      </c>
      <c r="P27" s="3">
        <f t="shared" si="0"/>
        <v>0.50529837687072454</v>
      </c>
      <c r="Q27" s="3"/>
      <c r="R27" s="3"/>
      <c r="S27" s="3"/>
      <c r="T27" s="3"/>
      <c r="U27" s="3"/>
    </row>
    <row r="28" spans="1:21" x14ac:dyDescent="0.25">
      <c r="A28" s="3">
        <v>10000000000</v>
      </c>
      <c r="B28" s="3">
        <v>-2.2829999999999999E-3</v>
      </c>
      <c r="C28" s="3">
        <v>1.451E-3</v>
      </c>
      <c r="D28" s="3">
        <v>6.7239999999999997E-4</v>
      </c>
      <c r="E28" s="3">
        <v>0</v>
      </c>
      <c r="F28" s="3">
        <v>0</v>
      </c>
      <c r="G28" s="3">
        <v>0</v>
      </c>
      <c r="H28" s="3">
        <v>9.3310276999999996E-4</v>
      </c>
      <c r="I28" s="3">
        <v>2.3650464999999999E-4</v>
      </c>
      <c r="J28" s="3">
        <v>-1.8302612E-3</v>
      </c>
      <c r="K28" s="2"/>
      <c r="L28" s="3"/>
      <c r="M28" s="3"/>
      <c r="N28" s="2">
        <f>IF('Modell einstellen'!$B$1="Voll",H28/0.35,H28/0.35*2)</f>
        <v>2.6660079142857142E-3</v>
      </c>
      <c r="O28" s="2">
        <f>IF('Modell einstellen'!$B$1="Voll",J28/0.35,J28/0.35*2)</f>
        <v>-5.2293177142857146E-3</v>
      </c>
      <c r="P28" s="3">
        <f t="shared" si="0"/>
        <v>0.50981945637048953</v>
      </c>
      <c r="Q28" s="3"/>
      <c r="R28" s="3"/>
      <c r="S28" s="3"/>
      <c r="T28" s="3"/>
      <c r="U28" s="3"/>
    </row>
    <row r="29" spans="1:21" x14ac:dyDescent="0.25">
      <c r="A29" s="3">
        <v>100000000000</v>
      </c>
      <c r="B29" s="3">
        <v>-2.6090000000000002E-3</v>
      </c>
      <c r="C29" s="3">
        <v>1.57E-3</v>
      </c>
      <c r="D29" s="3">
        <v>8.7870000000000005E-4</v>
      </c>
      <c r="E29" s="3">
        <v>0</v>
      </c>
      <c r="F29" s="3">
        <v>0</v>
      </c>
      <c r="G29" s="3">
        <v>0</v>
      </c>
      <c r="H29" s="3">
        <v>1.0253949999999999E-3</v>
      </c>
      <c r="I29" s="3">
        <v>2.5965207999999998E-4</v>
      </c>
      <c r="J29" s="3">
        <v>-2.0062254000000001E-3</v>
      </c>
      <c r="K29" s="2"/>
      <c r="L29" s="3"/>
      <c r="M29" s="3"/>
      <c r="N29" s="2">
        <f>IF('Modell einstellen'!$B$1="Voll",H29/0.35,H29/0.35*2)</f>
        <v>2.9296999999999999E-3</v>
      </c>
      <c r="O29" s="2">
        <f>IF('Modell einstellen'!$B$1="Voll",J29/0.35,J29/0.35*2)</f>
        <v>-5.7320725714285724E-3</v>
      </c>
      <c r="P29" s="3">
        <f t="shared" si="0"/>
        <v>0.51110657855293817</v>
      </c>
      <c r="Q29" s="3"/>
      <c r="R29" s="3"/>
      <c r="S29" s="3"/>
      <c r="T29" s="3"/>
      <c r="U29" s="3"/>
    </row>
    <row r="30" spans="1:21" x14ac:dyDescent="0.25">
      <c r="A30" s="3">
        <v>1000000000000</v>
      </c>
      <c r="B30" s="3">
        <v>-2.8419999999999999E-3</v>
      </c>
      <c r="C30" s="3">
        <v>1.655E-3</v>
      </c>
      <c r="D30" s="3">
        <v>1.0269999999999999E-3</v>
      </c>
      <c r="E30" s="3">
        <v>0</v>
      </c>
      <c r="F30" s="3">
        <v>0</v>
      </c>
      <c r="G30" s="3">
        <v>0</v>
      </c>
      <c r="H30" s="3">
        <v>1.0922391000000001E-3</v>
      </c>
      <c r="I30" s="3">
        <v>2.7630212999999999E-4</v>
      </c>
      <c r="J30" s="3">
        <v>-2.1331814000000002E-3</v>
      </c>
      <c r="K30" s="2"/>
      <c r="L30" s="3"/>
      <c r="M30" s="3"/>
      <c r="N30" s="2">
        <f>IF('Modell einstellen'!$B$1="Voll",H30/0.35,H30/0.35*2)</f>
        <v>3.1206831428571432E-3</v>
      </c>
      <c r="O30" s="2">
        <f>IF('Modell einstellen'!$B$1="Voll",J30/0.35,J30/0.35*2)</f>
        <v>-6.0948040000000005E-3</v>
      </c>
      <c r="P30" s="3">
        <f t="shared" si="0"/>
        <v>0.51202354380176018</v>
      </c>
      <c r="Q30" s="3"/>
      <c r="R30" s="3"/>
      <c r="S30" s="3"/>
      <c r="T30" s="3"/>
      <c r="U30" s="3"/>
    </row>
    <row r="31" spans="1:21" x14ac:dyDescent="0.25">
      <c r="A31" s="3">
        <v>10000000000000</v>
      </c>
      <c r="B31" s="3">
        <v>-2.9940000000000001E-3</v>
      </c>
      <c r="C31" s="3">
        <v>1.7049999999999999E-3</v>
      </c>
      <c r="D31" s="3">
        <v>1.129E-3</v>
      </c>
      <c r="E31" s="3">
        <v>0</v>
      </c>
      <c r="F31" s="3">
        <v>0</v>
      </c>
      <c r="G31" s="3">
        <v>0</v>
      </c>
      <c r="H31" s="3">
        <v>1.1345432999999999E-3</v>
      </c>
      <c r="I31" s="3">
        <v>2.8622423999999998E-4</v>
      </c>
      <c r="J31" s="3">
        <v>-2.2112479999999999E-3</v>
      </c>
      <c r="K31" s="2"/>
      <c r="L31" s="3"/>
      <c r="M31" s="3"/>
      <c r="N31" s="2">
        <f>IF('Modell einstellen'!$B$1="Voll",H31/0.35,H31/0.35*2)</f>
        <v>3.2415522857142855E-3</v>
      </c>
      <c r="O31" s="2">
        <f>IF('Modell einstellen'!$B$1="Voll",J31/0.35,J31/0.35*2)</f>
        <v>-6.3178514285714285E-3</v>
      </c>
      <c r="P31" s="3">
        <f t="shared" si="0"/>
        <v>0.51307827073218382</v>
      </c>
      <c r="Q31" s="3"/>
      <c r="R31" s="3"/>
      <c r="S31" s="3"/>
      <c r="T31" s="3"/>
      <c r="U31" s="3"/>
    </row>
    <row r="32" spans="1:21" x14ac:dyDescent="0.25">
      <c r="A32" s="3">
        <v>100000000000000</v>
      </c>
      <c r="B32" s="3">
        <v>-3.0720000000000001E-3</v>
      </c>
      <c r="C32" s="3">
        <v>1.7359999999999999E-3</v>
      </c>
      <c r="D32" s="3">
        <v>1.175E-3</v>
      </c>
      <c r="E32" s="3">
        <v>0</v>
      </c>
      <c r="F32" s="3">
        <v>0</v>
      </c>
      <c r="G32" s="3">
        <v>0</v>
      </c>
      <c r="H32" s="3">
        <v>1.1561500000000001E-3</v>
      </c>
      <c r="I32" s="3">
        <v>2.9236090000000001E-4</v>
      </c>
      <c r="J32" s="3">
        <v>-2.2549974E-3</v>
      </c>
      <c r="K32" s="2"/>
      <c r="L32" s="3"/>
      <c r="M32" s="3"/>
      <c r="N32" s="2">
        <f>IF('Modell einstellen'!$B$1="Voll",H32/0.35,H32/0.35*2)</f>
        <v>3.3032857142857148E-3</v>
      </c>
      <c r="O32" s="2">
        <f>IF('Modell einstellen'!$B$1="Voll",J32/0.35,J32/0.35*2)</f>
        <v>-6.4428497142857144E-3</v>
      </c>
      <c r="P32" s="3">
        <f t="shared" si="0"/>
        <v>0.51270569092452178</v>
      </c>
      <c r="Q32" s="3"/>
      <c r="R32" s="3"/>
      <c r="S32" s="3"/>
      <c r="T32" s="3"/>
      <c r="U32" s="3"/>
    </row>
    <row r="33" spans="1:21" x14ac:dyDescent="0.25">
      <c r="A33" s="2">
        <v>1000000000000000</v>
      </c>
      <c r="B33" s="3">
        <v>-3.2750000000000001E-3</v>
      </c>
      <c r="C33" s="3">
        <v>1.807E-3</v>
      </c>
      <c r="D33" s="3">
        <v>1.307E-3</v>
      </c>
      <c r="E33" s="3">
        <v>0</v>
      </c>
      <c r="F33" s="3">
        <v>0</v>
      </c>
      <c r="G33" s="3">
        <v>0</v>
      </c>
      <c r="H33" s="3">
        <v>1.215994E-3</v>
      </c>
      <c r="I33" s="3">
        <v>3.062559E-4</v>
      </c>
      <c r="J33" s="3">
        <v>-2.3649074E-3</v>
      </c>
      <c r="K33" s="2"/>
      <c r="L33" s="3"/>
      <c r="M33" s="3"/>
      <c r="N33" s="2">
        <f>IF('Modell einstellen'!$B$1="Voll",H33/0.35,H33/0.35*2)</f>
        <v>3.4742685714285715E-3</v>
      </c>
      <c r="O33" s="2">
        <f>IF('Modell einstellen'!$B$1="Voll",J33/0.35,J33/0.35*2)</f>
        <v>-6.7568782857142864E-3</v>
      </c>
      <c r="P33" s="3">
        <f t="shared" si="0"/>
        <v>0.51418250033806812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1.061E-4</v>
      </c>
      <c r="C3" s="3">
        <v>1.4569999999999999E-4</v>
      </c>
      <c r="D3" s="3">
        <v>-3.812E-4</v>
      </c>
      <c r="E3" s="3">
        <v>0</v>
      </c>
      <c r="F3" s="3">
        <v>0</v>
      </c>
      <c r="G3" s="3">
        <v>0</v>
      </c>
      <c r="H3" s="3">
        <v>5.6118625999999999E-5</v>
      </c>
      <c r="I3" s="3">
        <v>1.4776821E-5</v>
      </c>
      <c r="J3" s="3">
        <v>-1.4734892000000001E-4</v>
      </c>
      <c r="L3" s="3">
        <f>-B3/D3</f>
        <v>0.27833158447009443</v>
      </c>
      <c r="M3" s="3"/>
      <c r="N3" s="2">
        <f>IF('Modell einstellen'!$B$1="Voll",H3/0.35,H3/0.35*2)</f>
        <v>1.6033893142857145E-4</v>
      </c>
      <c r="O3" s="2">
        <f>IF('Modell einstellen'!$B$1="Voll",J3/0.35,J3/0.35*2)</f>
        <v>-4.2099691428571434E-4</v>
      </c>
      <c r="P3" s="3">
        <f>-N3/O3</f>
        <v>0.38085536018859178</v>
      </c>
    </row>
    <row r="4" spans="1:16" x14ac:dyDescent="0.25">
      <c r="A4" s="3">
        <v>1E-14</v>
      </c>
      <c r="B4" s="3">
        <v>1.077E-4</v>
      </c>
      <c r="C4" s="3">
        <v>1.5200000000000001E-4</v>
      </c>
      <c r="D4" s="3">
        <v>-3.8999999999999999E-4</v>
      </c>
      <c r="E4" s="3">
        <v>0</v>
      </c>
      <c r="F4" s="3">
        <v>0</v>
      </c>
      <c r="G4" s="3">
        <v>0</v>
      </c>
      <c r="H4" s="3">
        <v>5.9024919000000003E-5</v>
      </c>
      <c r="I4" s="3">
        <v>1.5472959E-5</v>
      </c>
      <c r="J4" s="3">
        <v>-1.5287760000000001E-4</v>
      </c>
      <c r="L4" s="3">
        <f t="shared" ref="L4:L33" si="0">-B4/D4</f>
        <v>0.27615384615384614</v>
      </c>
      <c r="M4" s="3"/>
      <c r="N4" s="2">
        <f>IF('Modell einstellen'!$B$1="Voll",H4/0.35,H4/0.35*2)</f>
        <v>1.6864262571428574E-4</v>
      </c>
      <c r="O4" s="2">
        <f>IF('Modell einstellen'!$B$1="Voll",J4/0.35,J4/0.35*2)</f>
        <v>-4.3679314285714293E-4</v>
      </c>
      <c r="P4" s="3">
        <f t="shared" ref="P4:P33" si="1">-N4/O4</f>
        <v>0.38609265844047785</v>
      </c>
    </row>
    <row r="5" spans="1:16" x14ac:dyDescent="0.25">
      <c r="A5" s="3">
        <v>1E-13</v>
      </c>
      <c r="B5" s="3">
        <v>1.089E-4</v>
      </c>
      <c r="C5" s="3">
        <v>1.5770000000000001E-4</v>
      </c>
      <c r="D5" s="3">
        <v>-3.9770000000000002E-4</v>
      </c>
      <c r="E5" s="3">
        <v>0</v>
      </c>
      <c r="F5" s="3">
        <v>0</v>
      </c>
      <c r="G5" s="3">
        <v>0</v>
      </c>
      <c r="H5" s="3">
        <v>6.1755568999999997E-5</v>
      </c>
      <c r="I5" s="3">
        <v>1.6116E-5</v>
      </c>
      <c r="J5" s="3">
        <v>-1.5803424E-4</v>
      </c>
      <c r="L5" s="3">
        <f t="shared" si="0"/>
        <v>0.27382449082222782</v>
      </c>
      <c r="M5" s="3"/>
      <c r="N5" s="2">
        <f>IF('Modell einstellen'!$B$1="Voll",H5/0.35,H5/0.35*2)</f>
        <v>1.7644448285714285E-4</v>
      </c>
      <c r="O5" s="2">
        <f>IF('Modell einstellen'!$B$1="Voll",J5/0.35,J5/0.35*2)</f>
        <v>-4.5152640000000003E-4</v>
      </c>
      <c r="P5" s="3">
        <f t="shared" si="1"/>
        <v>0.39077334759859633</v>
      </c>
    </row>
    <row r="6" spans="1:16" x14ac:dyDescent="0.25">
      <c r="A6" s="3">
        <v>9.9999999999999998E-13</v>
      </c>
      <c r="B6" s="3">
        <v>1.097E-4</v>
      </c>
      <c r="C6" s="3">
        <v>1.6320000000000001E-4</v>
      </c>
      <c r="D6" s="3">
        <v>-4.0489999999999998E-4</v>
      </c>
      <c r="E6" s="3">
        <v>0</v>
      </c>
      <c r="F6" s="3">
        <v>0</v>
      </c>
      <c r="G6" s="3">
        <v>0</v>
      </c>
      <c r="H6" s="3">
        <v>6.4419568000000001E-5</v>
      </c>
      <c r="I6" s="3">
        <v>1.6733576999999999E-5</v>
      </c>
      <c r="J6" s="3">
        <v>-1.6302695000000001E-4</v>
      </c>
      <c r="L6" s="3">
        <f t="shared" si="0"/>
        <v>0.27093109409730798</v>
      </c>
      <c r="M6" s="3"/>
      <c r="N6" s="2">
        <f>IF('Modell einstellen'!$B$1="Voll",H6/0.35,H6/0.35*2)</f>
        <v>1.840559085714286E-4</v>
      </c>
      <c r="O6" s="2">
        <f>IF('Modell einstellen'!$B$1="Voll",J6/0.35,J6/0.35*2)</f>
        <v>-4.6579128571428574E-4</v>
      </c>
      <c r="P6" s="3">
        <f t="shared" si="1"/>
        <v>0.39514674107563202</v>
      </c>
    </row>
    <row r="7" spans="1:16" x14ac:dyDescent="0.25">
      <c r="A7" s="3">
        <v>9.9999999999999994E-12</v>
      </c>
      <c r="B7" s="3">
        <v>1.104E-4</v>
      </c>
      <c r="C7" s="3">
        <v>1.696E-4</v>
      </c>
      <c r="D7" s="3">
        <v>-4.1300000000000001E-4</v>
      </c>
      <c r="E7" s="3">
        <v>0</v>
      </c>
      <c r="F7" s="3">
        <v>0</v>
      </c>
      <c r="G7" s="3">
        <v>0</v>
      </c>
      <c r="H7" s="3">
        <v>6.7669161999999995E-5</v>
      </c>
      <c r="I7" s="3">
        <v>1.7474541999999998E-5</v>
      </c>
      <c r="J7" s="3">
        <v>-1.6906968000000001E-4</v>
      </c>
      <c r="L7" s="3">
        <f t="shared" si="0"/>
        <v>0.26731234866828085</v>
      </c>
      <c r="M7" s="3"/>
      <c r="N7" s="2">
        <f>IF('Modell einstellen'!$B$1="Voll",H7/0.35,H7/0.35*2)</f>
        <v>1.9334046285714285E-4</v>
      </c>
      <c r="O7" s="2">
        <f>IF('Modell einstellen'!$B$1="Voll",J7/0.35,J7/0.35*2)</f>
        <v>-4.8305622857142865E-4</v>
      </c>
      <c r="P7" s="3">
        <f t="shared" si="1"/>
        <v>0.40024421883332356</v>
      </c>
    </row>
    <row r="8" spans="1:16" x14ac:dyDescent="0.25">
      <c r="A8" s="3">
        <v>1E-10</v>
      </c>
      <c r="B8" s="3">
        <v>1.1069999999999999E-4</v>
      </c>
      <c r="C8" s="3">
        <v>1.7780000000000001E-4</v>
      </c>
      <c r="D8" s="3">
        <v>-4.2279999999999998E-4</v>
      </c>
      <c r="E8" s="3">
        <v>0</v>
      </c>
      <c r="F8" s="3">
        <v>0</v>
      </c>
      <c r="G8" s="3">
        <v>0</v>
      </c>
      <c r="H8" s="3">
        <v>7.1940580000000006E-5</v>
      </c>
      <c r="I8" s="3">
        <v>1.8427477999999999E-5</v>
      </c>
      <c r="J8" s="3">
        <v>-1.7693202999999999E-4</v>
      </c>
      <c r="L8" s="3">
        <f t="shared" si="0"/>
        <v>0.26182592242194891</v>
      </c>
      <c r="M8" s="3"/>
      <c r="N8" s="2">
        <f>IF('Modell einstellen'!$B$1="Voll",H8/0.35,H8/0.35*2)</f>
        <v>2.0554451428571433E-4</v>
      </c>
      <c r="O8" s="2">
        <f>IF('Modell einstellen'!$B$1="Voll",J8/0.35,J8/0.35*2)</f>
        <v>-5.0552008571428568E-4</v>
      </c>
      <c r="P8" s="3">
        <f t="shared" si="1"/>
        <v>0.40660009383264306</v>
      </c>
    </row>
    <row r="9" spans="1:16" x14ac:dyDescent="0.25">
      <c r="A9" s="3">
        <v>1.0000000000000001E-9</v>
      </c>
      <c r="B9" s="3">
        <v>1.102E-4</v>
      </c>
      <c r="C9" s="3">
        <v>1.8709999999999999E-4</v>
      </c>
      <c r="D9" s="3">
        <v>-4.3300000000000001E-4</v>
      </c>
      <c r="E9" s="3">
        <v>0</v>
      </c>
      <c r="F9" s="3">
        <v>0</v>
      </c>
      <c r="G9" s="3">
        <v>0</v>
      </c>
      <c r="H9" s="3">
        <v>7.6966114999999996E-5</v>
      </c>
      <c r="I9" s="3">
        <v>1.9517568E-5</v>
      </c>
      <c r="J9" s="3">
        <v>-1.8606385999999999E-4</v>
      </c>
      <c r="L9" s="3">
        <f t="shared" si="0"/>
        <v>0.25450346420323322</v>
      </c>
      <c r="M9" s="3"/>
      <c r="N9" s="2">
        <f>IF('Modell einstellen'!$B$1="Voll",H9/0.35,H9/0.35*2)</f>
        <v>2.1990318571428572E-4</v>
      </c>
      <c r="O9" s="2">
        <f>IF('Modell einstellen'!$B$1="Voll",J9/0.35,J9/0.35*2)</f>
        <v>-5.3161102857142862E-4</v>
      </c>
      <c r="P9" s="3">
        <f t="shared" si="1"/>
        <v>0.41365429589604341</v>
      </c>
    </row>
    <row r="10" spans="1:16" x14ac:dyDescent="0.25">
      <c r="A10" s="3">
        <v>1E-8</v>
      </c>
      <c r="B10" s="3">
        <v>1.0900000000000001E-4</v>
      </c>
      <c r="C10" s="3">
        <v>1.9570000000000001E-4</v>
      </c>
      <c r="D10" s="3">
        <v>-4.416E-4</v>
      </c>
      <c r="E10" s="3">
        <v>0</v>
      </c>
      <c r="F10" s="3">
        <v>0</v>
      </c>
      <c r="G10" s="3">
        <v>0</v>
      </c>
      <c r="H10" s="3">
        <v>8.1849819000000002E-5</v>
      </c>
      <c r="I10" s="3">
        <v>2.0544299999999999E-5</v>
      </c>
      <c r="J10" s="3">
        <v>-1.9481410999999999E-4</v>
      </c>
      <c r="L10" s="3">
        <f t="shared" si="0"/>
        <v>0.24682971014492755</v>
      </c>
      <c r="M10" s="3"/>
      <c r="N10" s="2">
        <f>IF('Modell einstellen'!$B$1="Voll",H10/0.35,H10/0.35*2)</f>
        <v>2.3385662571428573E-4</v>
      </c>
      <c r="O10" s="2">
        <f>IF('Modell einstellen'!$B$1="Voll",J10/0.35,J10/0.35*2)</f>
        <v>-5.5661174285714281E-4</v>
      </c>
      <c r="P10" s="3">
        <f t="shared" si="1"/>
        <v>0.42014317648757582</v>
      </c>
    </row>
    <row r="11" spans="1:16" x14ac:dyDescent="0.25">
      <c r="A11" s="3">
        <v>9.9999999999999995E-8</v>
      </c>
      <c r="B11" s="3">
        <v>1.071E-4</v>
      </c>
      <c r="C11" s="3">
        <v>2.0350000000000001E-4</v>
      </c>
      <c r="D11" s="3">
        <v>-4.4870000000000001E-4</v>
      </c>
      <c r="E11" s="3">
        <v>0</v>
      </c>
      <c r="F11" s="3">
        <v>0</v>
      </c>
      <c r="G11" s="3">
        <v>0</v>
      </c>
      <c r="H11" s="3">
        <v>8.6466450999999995E-5</v>
      </c>
      <c r="I11" s="3">
        <v>2.1488459000000001E-5</v>
      </c>
      <c r="J11" s="3">
        <v>-2.02986E-4</v>
      </c>
      <c r="L11" s="3">
        <f t="shared" si="0"/>
        <v>0.23868954758190328</v>
      </c>
      <c r="M11" s="3"/>
      <c r="N11" s="2">
        <f>IF('Modell einstellen'!$B$1="Voll",H11/0.35,H11/0.35*2)</f>
        <v>2.4704700285714288E-4</v>
      </c>
      <c r="O11" s="2">
        <f>IF('Modell einstellen'!$B$1="Voll",J11/0.35,J11/0.35*2)</f>
        <v>-5.7996000000000002E-4</v>
      </c>
      <c r="P11" s="3">
        <f t="shared" si="1"/>
        <v>0.42597248578719715</v>
      </c>
    </row>
    <row r="12" spans="1:16" x14ac:dyDescent="0.25">
      <c r="A12" s="3">
        <v>9.9999999999999995E-7</v>
      </c>
      <c r="B12" s="3">
        <v>1.044E-4</v>
      </c>
      <c r="C12" s="3">
        <v>2.118E-4</v>
      </c>
      <c r="D12" s="3">
        <v>-4.5560000000000002E-4</v>
      </c>
      <c r="E12" s="3">
        <v>0</v>
      </c>
      <c r="F12" s="3">
        <v>0</v>
      </c>
      <c r="G12" s="3">
        <v>0</v>
      </c>
      <c r="H12" s="3">
        <v>9.1596968000000003E-5</v>
      </c>
      <c r="I12" s="3">
        <v>2.2507358999999999E-5</v>
      </c>
      <c r="J12" s="3">
        <v>-2.119534E-4</v>
      </c>
      <c r="L12" s="3">
        <f t="shared" si="0"/>
        <v>0.22914837576821773</v>
      </c>
      <c r="M12" s="3"/>
      <c r="N12" s="2">
        <f>IF('Modell einstellen'!$B$1="Voll",H12/0.35,H12/0.35*2)</f>
        <v>2.6170562285714286E-4</v>
      </c>
      <c r="O12" s="2">
        <f>IF('Modell einstellen'!$B$1="Voll",J12/0.35,J12/0.35*2)</f>
        <v>-6.0558114285714289E-4</v>
      </c>
      <c r="P12" s="3">
        <f t="shared" si="1"/>
        <v>0.43215616262820034</v>
      </c>
    </row>
    <row r="13" spans="1:16" x14ac:dyDescent="0.25">
      <c r="A13" s="3">
        <v>1.0000000000000001E-5</v>
      </c>
      <c r="B13" s="3">
        <v>1.0060000000000001E-4</v>
      </c>
      <c r="C13" s="3">
        <v>2.206E-4</v>
      </c>
      <c r="D13" s="3">
        <v>-4.618E-4</v>
      </c>
      <c r="E13" s="3">
        <v>0</v>
      </c>
      <c r="F13" s="3">
        <v>0</v>
      </c>
      <c r="G13" s="3">
        <v>0</v>
      </c>
      <c r="H13" s="3">
        <v>9.7244852000000003E-5</v>
      </c>
      <c r="I13" s="3">
        <v>2.3593635E-5</v>
      </c>
      <c r="J13" s="3">
        <v>-2.2169188E-4</v>
      </c>
      <c r="L13" s="3">
        <f t="shared" si="0"/>
        <v>0.21784322217410135</v>
      </c>
      <c r="M13" s="3"/>
      <c r="N13" s="2">
        <f>IF('Modell einstellen'!$B$1="Voll",H13/0.35,H13/0.35*2)</f>
        <v>2.7784243428571431E-4</v>
      </c>
      <c r="O13" s="2">
        <f>IF('Modell einstellen'!$B$1="Voll",J13/0.35,J13/0.35*2)</f>
        <v>-6.3340537142857146E-4</v>
      </c>
      <c r="P13" s="3">
        <f t="shared" si="1"/>
        <v>0.43864868663660572</v>
      </c>
    </row>
    <row r="14" spans="1:16" x14ac:dyDescent="0.25">
      <c r="A14" s="3">
        <v>1E-4</v>
      </c>
      <c r="B14" s="3">
        <v>9.5539999999999997E-5</v>
      </c>
      <c r="C14" s="3">
        <v>2.297E-4</v>
      </c>
      <c r="D14" s="3">
        <v>-4.6729999999999997E-4</v>
      </c>
      <c r="E14" s="3">
        <v>0</v>
      </c>
      <c r="F14" s="3">
        <v>0</v>
      </c>
      <c r="G14" s="3">
        <v>0</v>
      </c>
      <c r="H14" s="3">
        <v>1.0350210999999999E-4</v>
      </c>
      <c r="I14" s="3">
        <v>2.4753168000000001E-5</v>
      </c>
      <c r="J14" s="3">
        <v>-2.3231578999999999E-4</v>
      </c>
      <c r="L14" s="3">
        <f t="shared" si="0"/>
        <v>0.20445110207575434</v>
      </c>
      <c r="M14" s="3"/>
      <c r="N14" s="2">
        <f>IF('Modell einstellen'!$B$1="Voll",H14/0.35,H14/0.35*2)</f>
        <v>2.9572031428571428E-4</v>
      </c>
      <c r="O14" s="2">
        <f>IF('Modell einstellen'!$B$1="Voll",J14/0.35,J14/0.35*2)</f>
        <v>-6.6375940000000001E-4</v>
      </c>
      <c r="P14" s="3">
        <f t="shared" si="1"/>
        <v>0.44552335422400691</v>
      </c>
    </row>
    <row r="15" spans="1:16" x14ac:dyDescent="0.25">
      <c r="A15" s="3">
        <v>1E-3</v>
      </c>
      <c r="B15" s="3">
        <v>8.8590000000000004E-5</v>
      </c>
      <c r="C15" s="3">
        <v>2.399E-4</v>
      </c>
      <c r="D15" s="3">
        <v>-4.7199999999999998E-4</v>
      </c>
      <c r="E15" s="3">
        <v>0</v>
      </c>
      <c r="F15" s="3">
        <v>0</v>
      </c>
      <c r="G15" s="3">
        <v>0</v>
      </c>
      <c r="H15" s="3">
        <v>1.108326E-4</v>
      </c>
      <c r="I15" s="3">
        <v>2.6061202999999999E-5</v>
      </c>
      <c r="J15" s="3">
        <v>-2.4457222999999998E-4</v>
      </c>
      <c r="L15" s="3">
        <f t="shared" si="0"/>
        <v>0.1876906779661017</v>
      </c>
      <c r="M15" s="3"/>
      <c r="N15" s="2">
        <f>IF('Modell einstellen'!$B$1="Voll",H15/0.35,H15/0.35*2)</f>
        <v>3.1666457142857143E-4</v>
      </c>
      <c r="O15" s="2">
        <f>IF('Modell einstellen'!$B$1="Voll",J15/0.35,J15/0.35*2)</f>
        <v>-6.9877779999999998E-4</v>
      </c>
      <c r="P15" s="3">
        <f t="shared" si="1"/>
        <v>0.4531691925939425</v>
      </c>
    </row>
    <row r="16" spans="1:16" x14ac:dyDescent="0.25">
      <c r="A16" s="3">
        <v>0.01</v>
      </c>
      <c r="B16" s="3">
        <v>7.7550000000000001E-5</v>
      </c>
      <c r="C16" s="3">
        <v>2.5290000000000002E-4</v>
      </c>
      <c r="D16" s="3">
        <v>-4.7580000000000002E-4</v>
      </c>
      <c r="E16" s="3">
        <v>0</v>
      </c>
      <c r="F16" s="3">
        <v>0</v>
      </c>
      <c r="G16" s="3">
        <v>0</v>
      </c>
      <c r="H16" s="3">
        <v>1.2081008E-4</v>
      </c>
      <c r="I16" s="3">
        <v>2.7762136000000002E-5</v>
      </c>
      <c r="J16" s="3">
        <v>-2.6095114000000003E-4</v>
      </c>
      <c r="L16" s="3">
        <f t="shared" si="0"/>
        <v>0.16298865069356872</v>
      </c>
      <c r="M16" s="3"/>
      <c r="N16" s="2">
        <f>IF('Modell einstellen'!$B$1="Voll",H16/0.35,H16/0.35*2)</f>
        <v>3.4517165714285713E-4</v>
      </c>
      <c r="O16" s="2">
        <f>IF('Modell einstellen'!$B$1="Voll",J16/0.35,J16/0.35*2)</f>
        <v>-7.4557468571428585E-4</v>
      </c>
      <c r="P16" s="3">
        <f t="shared" si="1"/>
        <v>0.46296053736343123</v>
      </c>
    </row>
    <row r="17" spans="1:16" x14ac:dyDescent="0.25">
      <c r="A17" s="3">
        <v>0.1</v>
      </c>
      <c r="B17" s="3">
        <v>6.2310000000000005E-5</v>
      </c>
      <c r="C17" s="3">
        <v>2.6879999999999997E-4</v>
      </c>
      <c r="D17" s="3">
        <v>-4.7849999999999998E-4</v>
      </c>
      <c r="E17" s="3">
        <v>0</v>
      </c>
      <c r="F17" s="3">
        <v>0</v>
      </c>
      <c r="G17" s="3">
        <v>0</v>
      </c>
      <c r="H17" s="3">
        <v>1.332308E-4</v>
      </c>
      <c r="I17" s="3">
        <v>2.9897567E-5</v>
      </c>
      <c r="J17" s="3">
        <v>-2.8134463000000003E-4</v>
      </c>
      <c r="L17" s="3">
        <f t="shared" si="0"/>
        <v>0.13021943573667713</v>
      </c>
      <c r="M17" s="3"/>
      <c r="N17" s="2">
        <f>IF('Modell einstellen'!$B$1="Voll",H17/0.35,H17/0.35*2)</f>
        <v>3.8065942857142861E-4</v>
      </c>
      <c r="O17" s="2">
        <f>IF('Modell einstellen'!$B$1="Voll",J17/0.35,J17/0.35*2)</f>
        <v>-8.0384180000000007E-4</v>
      </c>
      <c r="P17" s="3">
        <f t="shared" si="1"/>
        <v>0.47355017936542809</v>
      </c>
    </row>
    <row r="18" spans="1:16" x14ac:dyDescent="0.25">
      <c r="A18" s="3">
        <v>1</v>
      </c>
      <c r="B18" s="3">
        <v>4.2880000000000003E-5</v>
      </c>
      <c r="C18" s="3">
        <v>2.967E-4</v>
      </c>
      <c r="D18" s="3">
        <v>-4.8840000000000005E-4</v>
      </c>
      <c r="E18" s="3">
        <v>0</v>
      </c>
      <c r="F18" s="3">
        <v>0</v>
      </c>
      <c r="G18" s="3">
        <v>0</v>
      </c>
      <c r="H18" s="3">
        <v>1.4999073E-4</v>
      </c>
      <c r="I18" s="3">
        <v>3.3660050999999999E-5</v>
      </c>
      <c r="J18" s="3">
        <v>-3.1175832E-4</v>
      </c>
      <c r="L18" s="3">
        <f t="shared" si="0"/>
        <v>8.7796887796887796E-2</v>
      </c>
      <c r="M18" s="3"/>
      <c r="N18" s="2">
        <f>IF('Modell einstellen'!$B$1="Voll",H18/0.35,H18/0.35*2)</f>
        <v>4.2854494285714289E-4</v>
      </c>
      <c r="O18" s="2">
        <f>IF('Modell einstellen'!$B$1="Voll",J18/0.35,J18/0.35*2)</f>
        <v>-8.9073805714285725E-4</v>
      </c>
      <c r="P18" s="3">
        <f t="shared" si="1"/>
        <v>0.48111219613962503</v>
      </c>
    </row>
    <row r="19" spans="1:16" x14ac:dyDescent="0.25">
      <c r="A19" s="3">
        <v>10</v>
      </c>
      <c r="B19" s="3">
        <v>1.7329999999999998E-5</v>
      </c>
      <c r="C19" s="3">
        <v>3.4769999999999999E-4</v>
      </c>
      <c r="D19" s="3">
        <v>-5.1420000000000003E-4</v>
      </c>
      <c r="E19" s="3">
        <v>0</v>
      </c>
      <c r="F19" s="3">
        <v>0</v>
      </c>
      <c r="G19" s="3">
        <v>0</v>
      </c>
      <c r="H19" s="3">
        <v>1.7306169E-4</v>
      </c>
      <c r="I19" s="3">
        <v>4.0666162999999999E-5</v>
      </c>
      <c r="J19" s="3">
        <v>-3.5984639E-4</v>
      </c>
      <c r="L19" s="3">
        <f t="shared" si="0"/>
        <v>3.3702839362115905E-2</v>
      </c>
      <c r="M19" s="3"/>
      <c r="N19" s="2">
        <f>IF('Modell einstellen'!$B$1="Voll",H19/0.35,H19/0.35*2)</f>
        <v>4.9446197142857145E-4</v>
      </c>
      <c r="O19" s="2">
        <f>IF('Modell einstellen'!$B$1="Voll",J19/0.35,J19/0.35*2)</f>
        <v>-1.0281325428571429E-3</v>
      </c>
      <c r="P19" s="3">
        <f t="shared" si="1"/>
        <v>0.48093212773372551</v>
      </c>
    </row>
    <row r="20" spans="1:16" x14ac:dyDescent="0.25">
      <c r="A20" s="3">
        <v>100</v>
      </c>
      <c r="B20" s="3">
        <v>-3.5200000000000002E-5</v>
      </c>
      <c r="C20" s="3">
        <v>4.2539999999999999E-4</v>
      </c>
      <c r="D20" s="3">
        <v>-5.3989999999999995E-4</v>
      </c>
      <c r="E20" s="3">
        <v>0</v>
      </c>
      <c r="F20" s="3">
        <v>0</v>
      </c>
      <c r="G20" s="3">
        <v>0</v>
      </c>
      <c r="H20" s="3">
        <v>2.089425E-4</v>
      </c>
      <c r="I20" s="3">
        <v>5.1793901000000002E-5</v>
      </c>
      <c r="J20" s="3">
        <v>-4.3569361000000002E-4</v>
      </c>
      <c r="L20" s="3">
        <f t="shared" si="0"/>
        <v>-6.5197258751620676E-2</v>
      </c>
      <c r="M20" s="3"/>
      <c r="N20" s="2">
        <f>IF('Modell einstellen'!$B$1="Voll",H20/0.35,H20/0.35*2)</f>
        <v>5.9697857142857141E-4</v>
      </c>
      <c r="O20" s="2">
        <f>IF('Modell einstellen'!$B$1="Voll",J20/0.35,J20/0.35*2)</f>
        <v>-1.2448388857142858E-3</v>
      </c>
      <c r="P20" s="3">
        <f t="shared" si="1"/>
        <v>0.47956292037425102</v>
      </c>
    </row>
    <row r="21" spans="1:16" x14ac:dyDescent="0.25">
      <c r="A21" s="3">
        <v>1000</v>
      </c>
      <c r="B21" s="3">
        <v>-1.6090000000000001E-4</v>
      </c>
      <c r="C21" s="3">
        <v>5.3359999999999996E-4</v>
      </c>
      <c r="D21" s="3">
        <v>-5.2459999999999996E-4</v>
      </c>
      <c r="E21" s="3">
        <v>0</v>
      </c>
      <c r="F21" s="3">
        <v>0</v>
      </c>
      <c r="G21" s="3">
        <v>0</v>
      </c>
      <c r="H21" s="3">
        <v>2.6897230999999998E-4</v>
      </c>
      <c r="I21" s="3">
        <v>6.8546564E-5</v>
      </c>
      <c r="J21" s="3">
        <v>-5.5636743000000001E-4</v>
      </c>
      <c r="L21" s="3">
        <f t="shared" si="0"/>
        <v>-0.30670987418985896</v>
      </c>
      <c r="M21" s="3"/>
      <c r="N21" s="2">
        <f>IF('Modell einstellen'!$B$1="Voll",H21/0.35,H21/0.35*2)</f>
        <v>7.6849231428571428E-4</v>
      </c>
      <c r="O21" s="2">
        <f>IF('Modell einstellen'!$B$1="Voll",J21/0.35,J21/0.35*2)</f>
        <v>-1.5896212285714288E-3</v>
      </c>
      <c r="P21" s="3">
        <f t="shared" si="1"/>
        <v>0.48344366599604865</v>
      </c>
    </row>
    <row r="22" spans="1:16" x14ac:dyDescent="0.25">
      <c r="A22" s="3">
        <v>10000</v>
      </c>
      <c r="B22" s="3">
        <v>-4.3780000000000002E-4</v>
      </c>
      <c r="C22" s="3">
        <v>6.9079999999999999E-4</v>
      </c>
      <c r="D22" s="3">
        <v>-4.08E-4</v>
      </c>
      <c r="E22" s="3">
        <v>0</v>
      </c>
      <c r="F22" s="3">
        <v>0</v>
      </c>
      <c r="G22" s="3">
        <v>0</v>
      </c>
      <c r="H22" s="3">
        <v>3.7311240000000002E-4</v>
      </c>
      <c r="I22" s="3">
        <v>9.4938605E-5</v>
      </c>
      <c r="J22" s="3">
        <v>-7.5648453000000003E-4</v>
      </c>
      <c r="L22" s="3">
        <f t="shared" si="0"/>
        <v>-1.0730392156862745</v>
      </c>
      <c r="M22" s="3"/>
      <c r="N22" s="2">
        <f>IF('Modell einstellen'!$B$1="Voll",H22/0.35,H22/0.35*2)</f>
        <v>1.0660354285714287E-3</v>
      </c>
      <c r="O22" s="2">
        <f>IF('Modell einstellen'!$B$1="Voll",J22/0.35,J22/0.35*2)</f>
        <v>-2.1613843714285716E-3</v>
      </c>
      <c r="P22" s="3">
        <f t="shared" si="1"/>
        <v>0.49321881043621607</v>
      </c>
    </row>
    <row r="23" spans="1:16" x14ac:dyDescent="0.25">
      <c r="A23" s="3">
        <v>100000</v>
      </c>
      <c r="B23" s="3">
        <v>-9.0779999999999995E-4</v>
      </c>
      <c r="C23" s="3">
        <v>8.9709999999999996E-4</v>
      </c>
      <c r="D23" s="3">
        <v>-1.473E-4</v>
      </c>
      <c r="E23" s="3">
        <v>0</v>
      </c>
      <c r="F23" s="3">
        <v>0</v>
      </c>
      <c r="G23" s="3">
        <v>0</v>
      </c>
      <c r="H23" s="3">
        <v>5.2578944999999997E-4</v>
      </c>
      <c r="I23" s="3">
        <v>1.3191381000000001E-4</v>
      </c>
      <c r="J23" s="3">
        <v>-1.0436381E-3</v>
      </c>
      <c r="L23" s="3">
        <f t="shared" si="0"/>
        <v>-6.1629327902240325</v>
      </c>
      <c r="M23" s="3"/>
      <c r="N23" s="2">
        <f>IF('Modell einstellen'!$B$1="Voll",H23/0.35,H23/0.35*2)</f>
        <v>1.5022555714285714E-3</v>
      </c>
      <c r="O23" s="2">
        <f>IF('Modell einstellen'!$B$1="Voll",J23/0.35,J23/0.35*2)</f>
        <v>-2.981823142857143E-3</v>
      </c>
      <c r="P23" s="3">
        <f t="shared" si="1"/>
        <v>0.50380438391430893</v>
      </c>
    </row>
    <row r="24" spans="1:16" x14ac:dyDescent="0.25">
      <c r="A24" s="3">
        <v>1000000</v>
      </c>
      <c r="B24" s="3">
        <v>-1.567E-3</v>
      </c>
      <c r="C24" s="3">
        <v>1.1479999999999999E-3</v>
      </c>
      <c r="D24" s="3">
        <v>2.5989999999999997E-4</v>
      </c>
      <c r="E24" s="3">
        <v>0</v>
      </c>
      <c r="F24" s="3">
        <v>0</v>
      </c>
      <c r="G24" s="3">
        <v>0</v>
      </c>
      <c r="H24" s="3">
        <v>7.2353084000000001E-4</v>
      </c>
      <c r="I24" s="3">
        <v>1.7882339999999999E-4</v>
      </c>
      <c r="J24" s="3">
        <v>-1.4117285000000001E-3</v>
      </c>
      <c r="L24" s="3">
        <f t="shared" si="0"/>
        <v>6.0292420161600626</v>
      </c>
      <c r="M24" s="3"/>
      <c r="N24" s="2">
        <f>IF('Modell einstellen'!$B$1="Voll",H24/0.35,H24/0.35*2)</f>
        <v>2.0672309714285715E-3</v>
      </c>
      <c r="O24" s="2">
        <f>IF('Modell einstellen'!$B$1="Voll",J24/0.35,J24/0.35*2)</f>
        <v>-4.0335100000000006E-3</v>
      </c>
      <c r="P24" s="3">
        <f t="shared" si="1"/>
        <v>0.51251415551928003</v>
      </c>
    </row>
    <row r="25" spans="1:16" x14ac:dyDescent="0.25">
      <c r="A25" s="3">
        <v>10000000</v>
      </c>
      <c r="B25" s="3">
        <v>-2.1259999999999999E-3</v>
      </c>
      <c r="C25" s="3">
        <v>1.3569999999999999E-3</v>
      </c>
      <c r="D25" s="3">
        <v>6.0829999999999999E-4</v>
      </c>
      <c r="E25" s="3">
        <v>0</v>
      </c>
      <c r="F25" s="3">
        <v>0</v>
      </c>
      <c r="G25" s="3">
        <v>0</v>
      </c>
      <c r="H25" s="3">
        <v>8.8416636999999996E-4</v>
      </c>
      <c r="I25" s="3">
        <v>2.1881772E-4</v>
      </c>
      <c r="J25" s="3">
        <v>-1.7172447E-3</v>
      </c>
      <c r="L25" s="3">
        <f t="shared" si="0"/>
        <v>3.494986026631596</v>
      </c>
      <c r="M25" s="3"/>
      <c r="N25" s="2">
        <f>IF('Modell einstellen'!$B$1="Voll",H25/0.35,H25/0.35*2)</f>
        <v>2.5261896285714287E-3</v>
      </c>
      <c r="O25" s="2">
        <f>IF('Modell einstellen'!$B$1="Voll",J25/0.35,J25/0.35*2)</f>
        <v>-4.9064134285714284E-3</v>
      </c>
      <c r="P25" s="3">
        <f t="shared" si="1"/>
        <v>0.5148750029625947</v>
      </c>
    </row>
    <row r="26" spans="1:16" x14ac:dyDescent="0.25">
      <c r="A26" s="3">
        <v>100000000</v>
      </c>
      <c r="B26" s="3">
        <v>-2.552E-3</v>
      </c>
      <c r="C26" s="3">
        <v>1.518E-3</v>
      </c>
      <c r="D26" s="3">
        <v>8.7230000000000001E-4</v>
      </c>
      <c r="E26" s="3">
        <v>0</v>
      </c>
      <c r="F26" s="3">
        <v>0</v>
      </c>
      <c r="G26" s="3">
        <v>0</v>
      </c>
      <c r="H26" s="3">
        <v>1.0046841000000001E-3</v>
      </c>
      <c r="I26" s="3">
        <v>2.4987426000000002E-4</v>
      </c>
      <c r="J26" s="3">
        <v>-1.950065E-3</v>
      </c>
      <c r="L26" s="3">
        <f t="shared" si="0"/>
        <v>2.9255989911727616</v>
      </c>
      <c r="M26" s="3"/>
      <c r="N26" s="2">
        <f>IF('Modell einstellen'!$B$1="Voll",H26/0.35,H26/0.35*2)</f>
        <v>2.8705260000000004E-3</v>
      </c>
      <c r="O26" s="2">
        <f>IF('Modell einstellen'!$B$1="Voll",J26/0.35,J26/0.35*2)</f>
        <v>-5.5716142857142863E-3</v>
      </c>
      <c r="P26" s="3">
        <f t="shared" si="1"/>
        <v>0.51520544186988637</v>
      </c>
    </row>
    <row r="27" spans="1:16" x14ac:dyDescent="0.25">
      <c r="A27" s="3">
        <v>1000000000</v>
      </c>
      <c r="B27" s="3">
        <v>-2.7759999999999998E-3</v>
      </c>
      <c r="C27" s="3">
        <v>1.611E-3</v>
      </c>
      <c r="D27" s="3">
        <v>1.0039999999999999E-3</v>
      </c>
      <c r="E27" s="3">
        <v>0</v>
      </c>
      <c r="F27" s="3">
        <v>0</v>
      </c>
      <c r="G27" s="3">
        <v>0</v>
      </c>
      <c r="H27" s="3">
        <v>1.0682655000000001E-3</v>
      </c>
      <c r="I27" s="3">
        <v>2.6783471999999999E-4</v>
      </c>
      <c r="J27" s="3">
        <v>-2.0785166000000001E-3</v>
      </c>
      <c r="L27" s="3">
        <f t="shared" si="0"/>
        <v>2.7649402390438249</v>
      </c>
      <c r="M27" s="3"/>
      <c r="N27" s="2">
        <f>IF('Modell einstellen'!$B$1="Voll",H27/0.35,H27/0.35*2)</f>
        <v>3.0521871428571433E-3</v>
      </c>
      <c r="O27" s="2">
        <f>IF('Modell einstellen'!$B$1="Voll",J27/0.35,J27/0.35*2)</f>
        <v>-5.9386188571428581E-3</v>
      </c>
      <c r="P27" s="3">
        <f t="shared" si="1"/>
        <v>0.5139557220760228</v>
      </c>
    </row>
    <row r="28" spans="1:16" x14ac:dyDescent="0.25">
      <c r="A28" s="3">
        <v>10000000000</v>
      </c>
      <c r="B28" s="3">
        <v>-2.967E-3</v>
      </c>
      <c r="C28" s="3">
        <v>1.686E-3</v>
      </c>
      <c r="D28" s="3">
        <v>1.1199999999999999E-3</v>
      </c>
      <c r="E28" s="3">
        <v>0</v>
      </c>
      <c r="F28" s="3">
        <v>0</v>
      </c>
      <c r="G28" s="3">
        <v>0</v>
      </c>
      <c r="H28" s="3">
        <v>1.1234081E-3</v>
      </c>
      <c r="I28" s="3">
        <v>2.8241192E-4</v>
      </c>
      <c r="J28" s="3">
        <v>-2.1862642999999999E-3</v>
      </c>
      <c r="L28" s="3">
        <f t="shared" si="0"/>
        <v>2.6491071428571433</v>
      </c>
      <c r="M28" s="3"/>
      <c r="N28" s="2">
        <f>IF('Modell einstellen'!$B$1="Voll",H28/0.35,H28/0.35*2)</f>
        <v>3.209737428571429E-3</v>
      </c>
      <c r="O28" s="2">
        <f>IF('Modell einstellen'!$B$1="Voll",J28/0.35,J28/0.35*2)</f>
        <v>-6.2464694285714285E-3</v>
      </c>
      <c r="P28" s="3">
        <f t="shared" si="1"/>
        <v>0.5138482570474211</v>
      </c>
    </row>
    <row r="29" spans="1:16" x14ac:dyDescent="0.25">
      <c r="A29" s="3">
        <v>100000000000</v>
      </c>
      <c r="B29" s="3">
        <v>-3.0569999999999998E-3</v>
      </c>
      <c r="C29" s="3">
        <v>1.694E-3</v>
      </c>
      <c r="D29" s="3">
        <v>1.2019999999999999E-3</v>
      </c>
      <c r="E29" s="3">
        <v>0</v>
      </c>
      <c r="F29" s="3">
        <v>0</v>
      </c>
      <c r="G29" s="3">
        <v>0</v>
      </c>
      <c r="H29" s="3">
        <v>1.1559795999999999E-3</v>
      </c>
      <c r="I29" s="3">
        <v>2.8422707000000001E-4</v>
      </c>
      <c r="J29" s="3">
        <v>-2.2253317999999999E-3</v>
      </c>
      <c r="L29" s="3">
        <f t="shared" si="0"/>
        <v>2.543261231281198</v>
      </c>
      <c r="M29" s="3"/>
      <c r="N29" s="2">
        <f>IF('Modell einstellen'!$B$1="Voll",H29/0.35,H29/0.35*2)</f>
        <v>3.3027988571428571E-3</v>
      </c>
      <c r="O29" s="2">
        <f>IF('Modell einstellen'!$B$1="Voll",J29/0.35,J29/0.35*2)</f>
        <v>-6.358090857142857E-3</v>
      </c>
      <c r="P29" s="3">
        <f t="shared" si="1"/>
        <v>0.51946392892960958</v>
      </c>
    </row>
    <row r="30" spans="1:16" x14ac:dyDescent="0.25">
      <c r="A30" s="3">
        <v>1000000000000</v>
      </c>
      <c r="B30" s="3">
        <v>-3.192E-3</v>
      </c>
      <c r="C30" s="3">
        <v>1.7719999999999999E-3</v>
      </c>
      <c r="D30" s="3">
        <v>1.258E-3</v>
      </c>
      <c r="E30" s="3">
        <v>0</v>
      </c>
      <c r="F30" s="3">
        <v>0</v>
      </c>
      <c r="G30" s="3">
        <v>0</v>
      </c>
      <c r="H30" s="3">
        <v>1.1889868E-3</v>
      </c>
      <c r="I30" s="3">
        <v>2.9928925999999999E-4</v>
      </c>
      <c r="J30" s="3">
        <v>-2.3126840000000002E-3</v>
      </c>
      <c r="L30" s="3">
        <f t="shared" si="0"/>
        <v>2.5373608903020668</v>
      </c>
      <c r="M30" s="3"/>
      <c r="N30" s="2">
        <f>IF('Modell einstellen'!$B$1="Voll",H30/0.35,H30/0.35*2)</f>
        <v>3.3971051428571429E-3</v>
      </c>
      <c r="O30" s="2">
        <f>IF('Modell einstellen'!$B$1="Voll",J30/0.35,J30/0.35*2)</f>
        <v>-6.6076685714285726E-3</v>
      </c>
      <c r="P30" s="3">
        <f t="shared" si="1"/>
        <v>0.5141155471305201</v>
      </c>
    </row>
    <row r="31" spans="1:16" x14ac:dyDescent="0.25">
      <c r="A31" s="3">
        <v>10000000000000</v>
      </c>
      <c r="B31" s="3">
        <v>-3.3730000000000001E-3</v>
      </c>
      <c r="C31" s="3">
        <v>1.836E-3</v>
      </c>
      <c r="D31" s="3">
        <v>1.3760000000000001E-3</v>
      </c>
      <c r="E31" s="3">
        <v>0</v>
      </c>
      <c r="F31" s="3">
        <v>0</v>
      </c>
      <c r="G31" s="3">
        <v>0</v>
      </c>
      <c r="H31" s="3">
        <v>1.2423511999999999E-3</v>
      </c>
      <c r="I31" s="3">
        <v>3.1186852000000001E-4</v>
      </c>
      <c r="J31" s="3">
        <v>-2.4113423E-3</v>
      </c>
      <c r="L31" s="3">
        <f t="shared" si="0"/>
        <v>2.4513081395348837</v>
      </c>
      <c r="M31" s="3"/>
      <c r="N31" s="2">
        <f>IF('Modell einstellen'!$B$1="Voll",H31/0.35,H31/0.35*2)</f>
        <v>3.5495748571428569E-3</v>
      </c>
      <c r="O31" s="2">
        <f>IF('Modell einstellen'!$B$1="Voll",J31/0.35,J31/0.35*2)</f>
        <v>-6.8895494285714292E-3</v>
      </c>
      <c r="P31" s="3">
        <f t="shared" si="1"/>
        <v>0.51521146541492668</v>
      </c>
    </row>
    <row r="32" spans="1:16" x14ac:dyDescent="0.25">
      <c r="A32" s="3">
        <v>100000000000000</v>
      </c>
      <c r="B32" s="3">
        <v>-3.4039999999999999E-3</v>
      </c>
      <c r="C32" s="3">
        <v>1.8400000000000001E-3</v>
      </c>
      <c r="D32" s="3">
        <v>1.403E-3</v>
      </c>
      <c r="E32" s="3">
        <v>0</v>
      </c>
      <c r="F32" s="3">
        <v>0</v>
      </c>
      <c r="G32" s="3">
        <v>0</v>
      </c>
      <c r="H32" s="3">
        <v>1.2533123E-3</v>
      </c>
      <c r="I32" s="3">
        <v>3.1282346E-4</v>
      </c>
      <c r="J32" s="3">
        <v>-2.4257110000000001E-3</v>
      </c>
      <c r="L32" s="3">
        <f t="shared" si="0"/>
        <v>2.4262295081967213</v>
      </c>
      <c r="M32" s="3"/>
      <c r="N32" s="2">
        <f>IF('Modell einstellen'!$B$1="Voll",H32/0.35,H32/0.35*2)</f>
        <v>3.580892285714286E-3</v>
      </c>
      <c r="O32" s="2">
        <f>IF('Modell einstellen'!$B$1="Voll",J32/0.35,J32/0.35*2)</f>
        <v>-6.9306028571428577E-3</v>
      </c>
      <c r="P32" s="3">
        <f t="shared" si="1"/>
        <v>0.51667832647829848</v>
      </c>
    </row>
    <row r="33" spans="1:16" x14ac:dyDescent="0.25">
      <c r="A33" s="3">
        <v>1000000000000000</v>
      </c>
      <c r="B33" s="3">
        <v>-3.4060000000000002E-3</v>
      </c>
      <c r="C33" s="3">
        <v>1.843E-3</v>
      </c>
      <c r="D33" s="3">
        <v>1.402E-3</v>
      </c>
      <c r="E33" s="3">
        <v>0</v>
      </c>
      <c r="F33" s="3">
        <v>0</v>
      </c>
      <c r="G33" s="3">
        <v>0</v>
      </c>
      <c r="H33" s="3">
        <v>1.2532718000000001E-3</v>
      </c>
      <c r="I33" s="3">
        <v>3.1331966000000002E-4</v>
      </c>
      <c r="J33" s="3">
        <v>-2.4274638999999998E-3</v>
      </c>
      <c r="L33" s="3">
        <f t="shared" si="0"/>
        <v>2.4293865905848788</v>
      </c>
      <c r="M33" s="3"/>
      <c r="N33" s="2">
        <f>IF('Modell einstellen'!$B$1="Voll",H33/0.35,H33/0.35*2)</f>
        <v>3.5807765714285719E-3</v>
      </c>
      <c r="O33" s="2">
        <f>IF('Modell einstellen'!$B$1="Voll",J33/0.35,J33/0.35*2)</f>
        <v>-6.9356111428571432E-3</v>
      </c>
      <c r="P33" s="3">
        <f t="shared" si="1"/>
        <v>0.5162885429521733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1.103E-4</v>
      </c>
      <c r="C3" s="3">
        <v>1.595E-4</v>
      </c>
      <c r="D3" s="3">
        <v>-4.0099999999999999E-4</v>
      </c>
      <c r="E3" s="3">
        <v>0</v>
      </c>
      <c r="F3" s="3">
        <v>0</v>
      </c>
      <c r="G3" s="3">
        <v>0</v>
      </c>
      <c r="H3" s="3">
        <v>6.2444491000000004E-5</v>
      </c>
      <c r="I3" s="3">
        <v>1.6326941999999999E-5</v>
      </c>
      <c r="J3" s="3">
        <v>-1.5949523000000001E-4</v>
      </c>
      <c r="L3" s="3">
        <f>-B3/D3</f>
        <v>0.27506234413965086</v>
      </c>
      <c r="M3" s="3"/>
      <c r="N3" s="2">
        <f>IF('Modell einstellen'!$B$1="Voll",H3/0.35,H3/0.35*2)</f>
        <v>1.7841283142857144E-4</v>
      </c>
      <c r="O3" s="2">
        <f>IF('Modell einstellen'!$B$1="Voll",J3/0.35,J3/0.35*2)</f>
        <v>-4.5570065714285718E-4</v>
      </c>
      <c r="P3" s="3">
        <f>-N3/O3</f>
        <v>0.39151321954894824</v>
      </c>
    </row>
    <row r="4" spans="1:16" x14ac:dyDescent="0.25">
      <c r="A4" s="3">
        <v>1E-14</v>
      </c>
      <c r="B4" s="3">
        <v>1.114E-4</v>
      </c>
      <c r="C4" s="3">
        <v>1.6689999999999999E-4</v>
      </c>
      <c r="D4" s="3">
        <v>-4.1060000000000001E-4</v>
      </c>
      <c r="E4" s="3">
        <v>0</v>
      </c>
      <c r="F4" s="3">
        <v>0</v>
      </c>
      <c r="G4" s="3">
        <v>0</v>
      </c>
      <c r="H4" s="3">
        <v>6.6046517000000005E-5</v>
      </c>
      <c r="I4" s="3">
        <v>1.7168305999999999E-5</v>
      </c>
      <c r="J4" s="3">
        <v>-1.6625831999999999E-4</v>
      </c>
      <c r="L4" s="3">
        <f t="shared" ref="L4:L33" si="0">-B4/D4</f>
        <v>0.2713102776424744</v>
      </c>
      <c r="M4" s="3"/>
      <c r="N4" s="2">
        <f>IF('Modell einstellen'!$B$1="Voll",H4/0.35,H4/0.35*2)</f>
        <v>1.887043342857143E-4</v>
      </c>
      <c r="O4" s="2">
        <f>IF('Modell einstellen'!$B$1="Voll",J4/0.35,J4/0.35*2)</f>
        <v>-4.7502377142857145E-4</v>
      </c>
      <c r="P4" s="3">
        <f t="shared" ref="P4:P33" si="1">-N4/O4</f>
        <v>0.39725240216549768</v>
      </c>
    </row>
    <row r="5" spans="1:16" x14ac:dyDescent="0.25">
      <c r="A5" s="3">
        <v>1E-13</v>
      </c>
      <c r="B5" s="3">
        <v>1.12E-4</v>
      </c>
      <c r="C5" s="3">
        <v>1.7459999999999999E-4</v>
      </c>
      <c r="D5" s="3">
        <v>-4.2000000000000002E-4</v>
      </c>
      <c r="E5" s="3">
        <v>0</v>
      </c>
      <c r="F5" s="3">
        <v>0</v>
      </c>
      <c r="G5" s="3">
        <v>0</v>
      </c>
      <c r="H5" s="3">
        <v>6.9909023999999997E-5</v>
      </c>
      <c r="I5" s="3">
        <v>1.8051369E-5</v>
      </c>
      <c r="J5" s="3">
        <v>-1.7344259E-4</v>
      </c>
      <c r="L5" s="3">
        <f t="shared" si="0"/>
        <v>0.26666666666666666</v>
      </c>
      <c r="M5" s="3"/>
      <c r="N5" s="2">
        <f>IF('Modell einstellen'!$B$1="Voll",H5/0.35,H5/0.35*2)</f>
        <v>1.9974006857142857E-4</v>
      </c>
      <c r="O5" s="2">
        <f>IF('Modell einstellen'!$B$1="Voll",J5/0.35,J5/0.35*2)</f>
        <v>-4.9555025714285712E-4</v>
      </c>
      <c r="P5" s="3">
        <f t="shared" si="1"/>
        <v>0.40306722818195923</v>
      </c>
    </row>
    <row r="6" spans="1:16" x14ac:dyDescent="0.25">
      <c r="A6" s="3">
        <v>9.9999999999999998E-13</v>
      </c>
      <c r="B6" s="3">
        <v>1.12E-4</v>
      </c>
      <c r="C6" s="3">
        <v>1.8369999999999999E-4</v>
      </c>
      <c r="D6" s="3">
        <v>-4.305E-4</v>
      </c>
      <c r="E6" s="3">
        <v>0</v>
      </c>
      <c r="F6" s="3">
        <v>0</v>
      </c>
      <c r="G6" s="3">
        <v>0</v>
      </c>
      <c r="H6" s="3">
        <v>7.4676175000000007E-5</v>
      </c>
      <c r="I6" s="3">
        <v>1.9114200000000001E-5</v>
      </c>
      <c r="J6" s="3">
        <v>-1.8220595000000001E-4</v>
      </c>
      <c r="L6" s="3">
        <f t="shared" si="0"/>
        <v>0.26016260162601623</v>
      </c>
      <c r="M6" s="3"/>
      <c r="N6" s="2">
        <f>IF('Modell einstellen'!$B$1="Voll",H6/0.35,H6/0.35*2)</f>
        <v>2.1336050000000004E-4</v>
      </c>
      <c r="O6" s="2">
        <f>IF('Modell einstellen'!$B$1="Voll",J6/0.35,J6/0.35*2)</f>
        <v>-5.2058842857142867E-4</v>
      </c>
      <c r="P6" s="3">
        <f t="shared" si="1"/>
        <v>0.4098448760866481</v>
      </c>
    </row>
    <row r="7" spans="1:16" x14ac:dyDescent="0.25">
      <c r="A7" s="3">
        <v>9.9999999999999994E-12</v>
      </c>
      <c r="B7" s="3">
        <v>1.111E-4</v>
      </c>
      <c r="C7" s="3">
        <v>1.93E-4</v>
      </c>
      <c r="D7" s="3">
        <v>-4.4030000000000002E-4</v>
      </c>
      <c r="E7" s="3">
        <v>0</v>
      </c>
      <c r="F7" s="3">
        <v>0</v>
      </c>
      <c r="G7" s="3">
        <v>0</v>
      </c>
      <c r="H7" s="3">
        <v>7.9778361000000002E-5</v>
      </c>
      <c r="I7" s="3">
        <v>2.0217951000000001E-5</v>
      </c>
      <c r="J7" s="3">
        <v>-1.9145651999999999E-4</v>
      </c>
      <c r="L7" s="3">
        <f t="shared" si="0"/>
        <v>0.25232795821031112</v>
      </c>
      <c r="M7" s="3"/>
      <c r="N7" s="2">
        <f>IF('Modell einstellen'!$B$1="Voll",H7/0.35,H7/0.35*2)</f>
        <v>2.2793817428571432E-4</v>
      </c>
      <c r="O7" s="2">
        <f>IF('Modell einstellen'!$B$1="Voll",J7/0.35,J7/0.35*2)</f>
        <v>-5.4701862857142855E-4</v>
      </c>
      <c r="P7" s="3">
        <f t="shared" si="1"/>
        <v>0.41669179508746956</v>
      </c>
    </row>
    <row r="8" spans="1:16" x14ac:dyDescent="0.25">
      <c r="A8" s="3">
        <v>1E-10</v>
      </c>
      <c r="B8" s="3">
        <v>1.0950000000000001E-4</v>
      </c>
      <c r="C8" s="3">
        <v>2.009E-4</v>
      </c>
      <c r="D8" s="3">
        <v>-4.4779999999999999E-4</v>
      </c>
      <c r="E8" s="3">
        <v>0</v>
      </c>
      <c r="F8" s="3">
        <v>0</v>
      </c>
      <c r="G8" s="3">
        <v>0</v>
      </c>
      <c r="H8" s="3">
        <v>8.4287397000000001E-5</v>
      </c>
      <c r="I8" s="3">
        <v>2.1164523999999999E-5</v>
      </c>
      <c r="J8" s="3">
        <v>-1.9952225E-4</v>
      </c>
      <c r="L8" s="3">
        <f t="shared" si="0"/>
        <v>0.24452880750334974</v>
      </c>
      <c r="M8" s="3"/>
      <c r="N8" s="2">
        <f>IF('Modell einstellen'!$B$1="Voll",H8/0.35,H8/0.35*2)</f>
        <v>2.4082113428571431E-4</v>
      </c>
      <c r="O8" s="2">
        <f>IF('Modell einstellen'!$B$1="Voll",J8/0.35,J8/0.35*2)</f>
        <v>-5.7006357142857145E-4</v>
      </c>
      <c r="P8" s="3">
        <f t="shared" si="1"/>
        <v>0.42244610312884906</v>
      </c>
    </row>
    <row r="9" spans="1:16" x14ac:dyDescent="0.25">
      <c r="A9" s="3">
        <v>1.0000000000000001E-9</v>
      </c>
      <c r="B9" s="3">
        <v>1.072E-4</v>
      </c>
      <c r="C9" s="3">
        <v>2.0929999999999999E-4</v>
      </c>
      <c r="D9" s="3">
        <v>-4.55E-4</v>
      </c>
      <c r="E9" s="3">
        <v>0</v>
      </c>
      <c r="F9" s="3">
        <v>0</v>
      </c>
      <c r="G9" s="3">
        <v>0</v>
      </c>
      <c r="H9" s="3">
        <v>8.9255874000000003E-5</v>
      </c>
      <c r="I9" s="3">
        <v>2.2180876000000001E-5</v>
      </c>
      <c r="J9" s="3">
        <v>-2.0830976999999999E-4</v>
      </c>
      <c r="L9" s="3">
        <f t="shared" si="0"/>
        <v>0.23560439560439561</v>
      </c>
      <c r="M9" s="3"/>
      <c r="N9" s="2">
        <f>IF('Modell einstellen'!$B$1="Voll",H9/0.35,H9/0.35*2)</f>
        <v>2.5501678285714288E-4</v>
      </c>
      <c r="O9" s="2">
        <f>IF('Modell einstellen'!$B$1="Voll",J9/0.35,J9/0.35*2)</f>
        <v>-5.9517077142857142E-4</v>
      </c>
      <c r="P9" s="3">
        <f t="shared" si="1"/>
        <v>0.42847665762388393</v>
      </c>
    </row>
    <row r="10" spans="1:16" x14ac:dyDescent="0.25">
      <c r="A10" s="3">
        <v>1E-8</v>
      </c>
      <c r="B10" s="3">
        <v>1.0399999999999999E-4</v>
      </c>
      <c r="C10" s="3">
        <v>2.1770000000000001E-4</v>
      </c>
      <c r="D10" s="3">
        <v>-4.615E-4</v>
      </c>
      <c r="E10" s="3">
        <v>0</v>
      </c>
      <c r="F10" s="3">
        <v>0</v>
      </c>
      <c r="G10" s="3">
        <v>0</v>
      </c>
      <c r="H10" s="3">
        <v>9.4506358999999995E-5</v>
      </c>
      <c r="I10" s="3">
        <v>2.3222131000000001E-5</v>
      </c>
      <c r="J10" s="3">
        <v>-2.1747271999999999E-4</v>
      </c>
      <c r="L10" s="3">
        <f t="shared" si="0"/>
        <v>0.22535211267605632</v>
      </c>
      <c r="M10" s="3"/>
      <c r="N10" s="2">
        <f>IF('Modell einstellen'!$B$1="Voll",H10/0.35,H10/0.35*2)</f>
        <v>2.7001816857142859E-4</v>
      </c>
      <c r="O10" s="2">
        <f>IF('Modell einstellen'!$B$1="Voll",J10/0.35,J10/0.35*2)</f>
        <v>-6.2135062857142864E-4</v>
      </c>
      <c r="P10" s="3">
        <f t="shared" si="1"/>
        <v>0.43456650103056604</v>
      </c>
    </row>
    <row r="11" spans="1:16" x14ac:dyDescent="0.25">
      <c r="A11" s="3">
        <v>9.9999999999999995E-8</v>
      </c>
      <c r="B11" s="3">
        <v>9.9469999999999995E-5</v>
      </c>
      <c r="C11" s="3">
        <v>2.2709999999999999E-4</v>
      </c>
      <c r="D11" s="3">
        <v>-4.6769999999999998E-4</v>
      </c>
      <c r="E11" s="3">
        <v>0</v>
      </c>
      <c r="F11" s="3">
        <v>0</v>
      </c>
      <c r="G11" s="3">
        <v>0</v>
      </c>
      <c r="H11" s="3">
        <v>1.0066229E-4</v>
      </c>
      <c r="I11" s="3">
        <v>2.4403290999999999E-5</v>
      </c>
      <c r="J11" s="3">
        <v>-2.2806709999999999E-4</v>
      </c>
      <c r="L11" s="3">
        <f t="shared" si="0"/>
        <v>0.21267906777849049</v>
      </c>
      <c r="M11" s="3"/>
      <c r="N11" s="2">
        <f>IF('Modell einstellen'!$B$1="Voll",H11/0.35,H11/0.35*2)</f>
        <v>2.8760654285714285E-4</v>
      </c>
      <c r="O11" s="2">
        <f>IF('Modell einstellen'!$B$1="Voll",J11/0.35,J11/0.35*2)</f>
        <v>-6.5162028571428578E-4</v>
      </c>
      <c r="P11" s="3">
        <f t="shared" si="1"/>
        <v>0.44137137710787738</v>
      </c>
    </row>
    <row r="12" spans="1:16" x14ac:dyDescent="0.25">
      <c r="A12" s="3">
        <v>9.9999999999999995E-7</v>
      </c>
      <c r="B12" s="3">
        <v>9.3839999999999996E-5</v>
      </c>
      <c r="C12" s="3">
        <v>2.363E-4</v>
      </c>
      <c r="D12" s="3">
        <v>-4.7249999999999999E-4</v>
      </c>
      <c r="E12" s="3">
        <v>0</v>
      </c>
      <c r="F12" s="3">
        <v>0</v>
      </c>
      <c r="G12" s="3">
        <v>0</v>
      </c>
      <c r="H12" s="3">
        <v>1.0698536E-4</v>
      </c>
      <c r="I12" s="3">
        <v>2.5570647000000001E-5</v>
      </c>
      <c r="J12" s="3">
        <v>-2.3877685E-4</v>
      </c>
      <c r="L12" s="3">
        <f t="shared" si="0"/>
        <v>0.19860317460317459</v>
      </c>
      <c r="M12" s="3"/>
      <c r="N12" s="2">
        <f>IF('Modell einstellen'!$B$1="Voll",H12/0.35,H12/0.35*2)</f>
        <v>3.056724571428572E-4</v>
      </c>
      <c r="O12" s="2">
        <f>IF('Modell einstellen'!$B$1="Voll",J12/0.35,J12/0.35*2)</f>
        <v>-6.8221957142857142E-4</v>
      </c>
      <c r="P12" s="3">
        <f t="shared" si="1"/>
        <v>0.4480558312080925</v>
      </c>
    </row>
    <row r="13" spans="1:16" x14ac:dyDescent="0.25">
      <c r="A13" s="3">
        <v>1.0000000000000001E-5</v>
      </c>
      <c r="B13" s="3">
        <v>8.4580000000000007E-5</v>
      </c>
      <c r="C13" s="3">
        <v>2.4850000000000002E-4</v>
      </c>
      <c r="D13" s="3">
        <v>-4.773E-4</v>
      </c>
      <c r="E13" s="3">
        <v>0</v>
      </c>
      <c r="F13" s="3">
        <v>0</v>
      </c>
      <c r="G13" s="3">
        <v>0</v>
      </c>
      <c r="H13" s="3">
        <v>1.1596888000000001E-4</v>
      </c>
      <c r="I13" s="3">
        <v>2.7162527999999999E-5</v>
      </c>
      <c r="J13" s="3">
        <v>-2.5374354000000002E-4</v>
      </c>
      <c r="L13" s="3">
        <f t="shared" si="0"/>
        <v>0.17720511208883302</v>
      </c>
      <c r="M13" s="3"/>
      <c r="N13" s="2">
        <f>IF('Modell einstellen'!$B$1="Voll",H13/0.35,H13/0.35*2)</f>
        <v>3.3133965714285716E-4</v>
      </c>
      <c r="O13" s="2">
        <f>IF('Modell einstellen'!$B$1="Voll",J13/0.35,J13/0.35*2)</f>
        <v>-7.24981542857143E-4</v>
      </c>
      <c r="P13" s="3">
        <f t="shared" si="1"/>
        <v>0.45703185192419077</v>
      </c>
    </row>
    <row r="14" spans="1:16" x14ac:dyDescent="0.25">
      <c r="A14" s="3">
        <v>1E-4</v>
      </c>
      <c r="B14" s="3">
        <v>7.1359999999999994E-5</v>
      </c>
      <c r="C14" s="3">
        <v>2.6219999999999998E-4</v>
      </c>
      <c r="D14" s="3">
        <v>-4.797E-4</v>
      </c>
      <c r="E14" s="3">
        <v>0</v>
      </c>
      <c r="F14" s="3">
        <v>0</v>
      </c>
      <c r="G14" s="3">
        <v>0</v>
      </c>
      <c r="H14" s="3">
        <v>1.2684615000000001E-4</v>
      </c>
      <c r="I14" s="3">
        <v>2.8977692E-5</v>
      </c>
      <c r="J14" s="3">
        <v>-2.7144393999999999E-4</v>
      </c>
      <c r="L14" s="3">
        <f t="shared" si="0"/>
        <v>0.14875964144256826</v>
      </c>
      <c r="M14" s="3"/>
      <c r="N14" s="2">
        <f>IF('Modell einstellen'!$B$1="Voll",H14/0.35,H14/0.35*2)</f>
        <v>3.6241757142857148E-4</v>
      </c>
      <c r="O14" s="2">
        <f>IF('Modell einstellen'!$B$1="Voll",J14/0.35,J14/0.35*2)</f>
        <v>-7.7555411428571427E-4</v>
      </c>
      <c r="P14" s="3">
        <f t="shared" si="1"/>
        <v>0.46730146195195965</v>
      </c>
    </row>
    <row r="15" spans="1:16" x14ac:dyDescent="0.25">
      <c r="A15" s="3">
        <v>1E-3</v>
      </c>
      <c r="B15" s="3">
        <v>5.0529999999999999E-5</v>
      </c>
      <c r="C15" s="3">
        <v>2.7920000000000001E-4</v>
      </c>
      <c r="D15" s="3">
        <v>-4.7830000000000003E-4</v>
      </c>
      <c r="E15" s="3">
        <v>0</v>
      </c>
      <c r="F15" s="3">
        <v>0</v>
      </c>
      <c r="G15" s="3">
        <v>0</v>
      </c>
      <c r="H15" s="3">
        <v>1.4174869999999999E-4</v>
      </c>
      <c r="I15" s="3">
        <v>3.1301823999999998E-5</v>
      </c>
      <c r="J15" s="3">
        <v>-2.9508223000000001E-4</v>
      </c>
      <c r="L15" s="3">
        <f t="shared" si="0"/>
        <v>0.10564499268241688</v>
      </c>
      <c r="M15" s="3"/>
      <c r="N15" s="2">
        <f>IF('Modell einstellen'!$B$1="Voll",H15/0.35,H15/0.35*2)</f>
        <v>4.049962857142857E-4</v>
      </c>
      <c r="O15" s="2">
        <f>IF('Modell einstellen'!$B$1="Voll",J15/0.35,J15/0.35*2)</f>
        <v>-8.4309208571428575E-4</v>
      </c>
      <c r="P15" s="3">
        <f t="shared" si="1"/>
        <v>0.48037016664812376</v>
      </c>
    </row>
    <row r="16" spans="1:16" x14ac:dyDescent="0.25">
      <c r="A16" s="3">
        <v>0.01</v>
      </c>
      <c r="B16" s="3">
        <v>1.7790000000000001E-5</v>
      </c>
      <c r="C16" s="3">
        <v>3.0049999999999999E-4</v>
      </c>
      <c r="D16" s="3">
        <v>-4.6979999999999998E-4</v>
      </c>
      <c r="E16" s="3">
        <v>0</v>
      </c>
      <c r="F16" s="3">
        <v>0</v>
      </c>
      <c r="G16" s="3">
        <v>0</v>
      </c>
      <c r="H16" s="3">
        <v>1.6233824000000001E-4</v>
      </c>
      <c r="I16" s="3">
        <v>3.4326708E-5</v>
      </c>
      <c r="J16" s="3">
        <v>-3.2700344E-4</v>
      </c>
      <c r="L16" s="3">
        <f t="shared" si="0"/>
        <v>3.7867177522349936E-2</v>
      </c>
      <c r="M16" s="3"/>
      <c r="N16" s="2">
        <f>IF('Modell einstellen'!$B$1="Voll",H16/0.35,H16/0.35*2)</f>
        <v>4.638235428571429E-4</v>
      </c>
      <c r="O16" s="2">
        <f>IF('Modell einstellen'!$B$1="Voll",J16/0.35,J16/0.35*2)</f>
        <v>-9.3429554285714294E-4</v>
      </c>
      <c r="P16" s="3">
        <f t="shared" si="1"/>
        <v>0.49644199461632577</v>
      </c>
    </row>
    <row r="17" spans="1:16" x14ac:dyDescent="0.25">
      <c r="A17" s="3">
        <v>0.1</v>
      </c>
      <c r="B17" s="3">
        <v>-3.7110000000000002E-5</v>
      </c>
      <c r="C17" s="3">
        <v>3.3710000000000001E-4</v>
      </c>
      <c r="D17" s="3">
        <v>-4.5429999999999998E-4</v>
      </c>
      <c r="E17" s="3">
        <v>0</v>
      </c>
      <c r="F17" s="3">
        <v>0</v>
      </c>
      <c r="G17" s="3">
        <v>0</v>
      </c>
      <c r="H17" s="3">
        <v>1.9394641E-4</v>
      </c>
      <c r="I17" s="3">
        <v>3.9612917000000001E-5</v>
      </c>
      <c r="J17" s="3">
        <v>-3.7803716999999998E-4</v>
      </c>
      <c r="L17" s="3">
        <f t="shared" si="0"/>
        <v>-8.1686110499669826E-2</v>
      </c>
      <c r="M17" s="3"/>
      <c r="N17" s="2">
        <f>IF('Modell einstellen'!$B$1="Voll",H17/0.35,H17/0.35*2)</f>
        <v>5.5413260000000003E-4</v>
      </c>
      <c r="O17" s="2">
        <f>IF('Modell einstellen'!$B$1="Voll",J17/0.35,J17/0.35*2)</f>
        <v>-1.0801062E-3</v>
      </c>
      <c r="P17" s="3">
        <f t="shared" si="1"/>
        <v>0.51303529227033418</v>
      </c>
    </row>
    <row r="18" spans="1:16" x14ac:dyDescent="0.25">
      <c r="A18" s="3">
        <v>1</v>
      </c>
      <c r="B18" s="3">
        <v>-1.3119999999999999E-4</v>
      </c>
      <c r="C18" s="3">
        <v>4.1149999999999997E-4</v>
      </c>
      <c r="D18" s="3">
        <v>-4.3619999999999998E-4</v>
      </c>
      <c r="E18" s="3">
        <v>0</v>
      </c>
      <c r="F18" s="3">
        <v>0</v>
      </c>
      <c r="G18" s="3">
        <v>0</v>
      </c>
      <c r="H18" s="3">
        <v>2.4246074E-4</v>
      </c>
      <c r="I18" s="3">
        <v>5.0586617000000001E-5</v>
      </c>
      <c r="J18" s="3">
        <v>-4.6617001999999999E-4</v>
      </c>
      <c r="L18" s="3">
        <f t="shared" si="0"/>
        <v>-0.30077945896377806</v>
      </c>
      <c r="M18" s="3"/>
      <c r="N18" s="2">
        <f>IF('Modell einstellen'!$B$1="Voll",H18/0.35,H18/0.35*2)</f>
        <v>6.927449714285715E-4</v>
      </c>
      <c r="O18" s="2">
        <f>IF('Modell einstellen'!$B$1="Voll",J18/0.35,J18/0.35*2)</f>
        <v>-1.3319143428571429E-3</v>
      </c>
      <c r="P18" s="3">
        <f t="shared" si="1"/>
        <v>0.52011225432300434</v>
      </c>
    </row>
    <row r="19" spans="1:16" x14ac:dyDescent="0.25">
      <c r="A19" s="3">
        <v>10</v>
      </c>
      <c r="B19" s="3">
        <v>-3.3300000000000002E-4</v>
      </c>
      <c r="C19" s="3">
        <v>5.3910000000000004E-4</v>
      </c>
      <c r="D19" s="3">
        <v>-3.6380000000000001E-4</v>
      </c>
      <c r="E19" s="3">
        <v>0</v>
      </c>
      <c r="F19" s="3">
        <v>0</v>
      </c>
      <c r="G19" s="3">
        <v>0</v>
      </c>
      <c r="H19" s="3">
        <v>3.2665187000000001E-4</v>
      </c>
      <c r="I19" s="3">
        <v>7.0681114000000002E-5</v>
      </c>
      <c r="J19" s="3">
        <v>-6.2299014999999997E-4</v>
      </c>
      <c r="L19" s="3">
        <f t="shared" si="0"/>
        <v>-0.91533809785596487</v>
      </c>
      <c r="M19" s="3"/>
      <c r="N19" s="2">
        <f>IF('Modell einstellen'!$B$1="Voll",H19/0.35,H19/0.35*2)</f>
        <v>9.3329105714285722E-4</v>
      </c>
      <c r="O19" s="2">
        <f>IF('Modell einstellen'!$B$1="Voll",J19/0.35,J19/0.35*2)</f>
        <v>-1.7799718571428571E-3</v>
      </c>
      <c r="P19" s="3">
        <f t="shared" si="1"/>
        <v>0.52432910857418857</v>
      </c>
    </row>
    <row r="20" spans="1:16" x14ac:dyDescent="0.25">
      <c r="A20" s="3">
        <v>100</v>
      </c>
      <c r="B20" s="3">
        <v>-7.0129999999999997E-4</v>
      </c>
      <c r="C20" s="3">
        <v>7.1650000000000001E-4</v>
      </c>
      <c r="D20" s="3">
        <v>-1.749E-4</v>
      </c>
      <c r="E20" s="3">
        <v>0</v>
      </c>
      <c r="F20" s="3">
        <v>0</v>
      </c>
      <c r="G20" s="3">
        <v>0</v>
      </c>
      <c r="H20" s="3">
        <v>4.5564565999999998E-4</v>
      </c>
      <c r="I20" s="3">
        <v>1.0085202E-4</v>
      </c>
      <c r="J20" s="3">
        <v>-8.6135808000000001E-4</v>
      </c>
      <c r="L20" s="3">
        <f t="shared" si="0"/>
        <v>-4.0097198399085192</v>
      </c>
      <c r="M20" s="3"/>
      <c r="N20" s="2">
        <f>IF('Modell einstellen'!$B$1="Voll",H20/0.35,H20/0.35*2)</f>
        <v>1.3018447428571429E-3</v>
      </c>
      <c r="O20" s="2">
        <f>IF('Modell einstellen'!$B$1="Voll",J20/0.35,J20/0.35*2)</f>
        <v>-2.461023085714286E-3</v>
      </c>
      <c r="P20" s="3">
        <f t="shared" si="1"/>
        <v>0.52898518116878868</v>
      </c>
    </row>
    <row r="21" spans="1:16" x14ac:dyDescent="0.25">
      <c r="A21" s="3">
        <v>1000</v>
      </c>
      <c r="B21" s="3">
        <v>-1.294E-3</v>
      </c>
      <c r="C21" s="3">
        <v>9.5149999999999998E-4</v>
      </c>
      <c r="D21" s="3">
        <v>1.8039999999999999E-4</v>
      </c>
      <c r="E21" s="3">
        <v>0</v>
      </c>
      <c r="F21" s="3">
        <v>0</v>
      </c>
      <c r="G21" s="3">
        <v>0</v>
      </c>
      <c r="H21" s="3">
        <v>6.4216841999999998E-4</v>
      </c>
      <c r="I21" s="3">
        <v>1.4339718000000001E-4</v>
      </c>
      <c r="J21" s="3">
        <v>-1.2021969999999999E-3</v>
      </c>
      <c r="L21" s="3">
        <f t="shared" si="0"/>
        <v>7.1729490022172948</v>
      </c>
      <c r="M21" s="3"/>
      <c r="N21" s="2">
        <f>IF('Modell einstellen'!$B$1="Voll",H21/0.35,H21/0.35*2)</f>
        <v>1.8347669142857145E-3</v>
      </c>
      <c r="O21" s="2">
        <f>IF('Modell einstellen'!$B$1="Voll",J21/0.35,J21/0.35*2)</f>
        <v>-3.4348485714285715E-3</v>
      </c>
      <c r="P21" s="3">
        <f t="shared" si="1"/>
        <v>0.53416238769519475</v>
      </c>
    </row>
    <row r="22" spans="1:16" x14ac:dyDescent="0.25">
      <c r="A22" s="3">
        <v>10000</v>
      </c>
      <c r="B22" s="3">
        <v>-1.9139999999999999E-3</v>
      </c>
      <c r="C22" s="3">
        <v>1.1900000000000001E-3</v>
      </c>
      <c r="D22" s="3">
        <v>5.6130000000000004E-4</v>
      </c>
      <c r="E22" s="3">
        <v>0</v>
      </c>
      <c r="F22" s="3">
        <v>0</v>
      </c>
      <c r="G22" s="3">
        <v>0</v>
      </c>
      <c r="H22" s="3">
        <v>8.2254291000000005E-4</v>
      </c>
      <c r="I22" s="3">
        <v>1.8804573E-4</v>
      </c>
      <c r="J22" s="3">
        <v>-1.5442574E-3</v>
      </c>
      <c r="L22" s="3">
        <f t="shared" si="0"/>
        <v>3.409941207910208</v>
      </c>
      <c r="M22" s="3"/>
      <c r="N22" s="2">
        <f>IF('Modell einstellen'!$B$1="Voll",H22/0.35,H22/0.35*2)</f>
        <v>2.3501226000000003E-3</v>
      </c>
      <c r="O22" s="2">
        <f>IF('Modell einstellen'!$B$1="Voll",J22/0.35,J22/0.35*2)</f>
        <v>-4.4121640000000005E-3</v>
      </c>
      <c r="P22" s="3">
        <f t="shared" si="1"/>
        <v>0.53264624796358429</v>
      </c>
    </row>
    <row r="23" spans="1:16" x14ac:dyDescent="0.25">
      <c r="A23" s="3">
        <v>100000</v>
      </c>
      <c r="B23" s="3">
        <v>-2.4369999999999999E-3</v>
      </c>
      <c r="C23" s="3">
        <v>1.3990000000000001E-3</v>
      </c>
      <c r="D23" s="3">
        <v>8.7529999999999997E-4</v>
      </c>
      <c r="E23" s="3">
        <v>0</v>
      </c>
      <c r="F23" s="3">
        <v>0</v>
      </c>
      <c r="G23" s="3">
        <v>0</v>
      </c>
      <c r="H23" s="3">
        <v>9.6936389000000002E-4</v>
      </c>
      <c r="I23" s="3">
        <v>2.2769448E-4</v>
      </c>
      <c r="J23" s="3">
        <v>-1.8344587E-3</v>
      </c>
      <c r="L23" s="3">
        <f t="shared" si="0"/>
        <v>2.7841882783045815</v>
      </c>
      <c r="M23" s="3"/>
      <c r="N23" s="2">
        <f>IF('Modell einstellen'!$B$1="Voll",H23/0.35,H23/0.35*2)</f>
        <v>2.7696111142857145E-3</v>
      </c>
      <c r="O23" s="2">
        <f>IF('Modell einstellen'!$B$1="Voll",J23/0.35,J23/0.35*2)</f>
        <v>-5.2413105714285719E-3</v>
      </c>
      <c r="P23" s="3">
        <f t="shared" si="1"/>
        <v>0.52841957684847307</v>
      </c>
    </row>
    <row r="24" spans="1:16" x14ac:dyDescent="0.25">
      <c r="A24" s="3">
        <v>1000000</v>
      </c>
      <c r="B24" s="3">
        <v>-2.7100000000000002E-3</v>
      </c>
      <c r="C24" s="3">
        <v>1.531E-3</v>
      </c>
      <c r="D24" s="3">
        <v>1.0169999999999999E-3</v>
      </c>
      <c r="E24" s="3">
        <v>0</v>
      </c>
      <c r="F24" s="3">
        <v>0</v>
      </c>
      <c r="G24" s="3">
        <v>0</v>
      </c>
      <c r="H24" s="3">
        <v>1.0441262000000001E-3</v>
      </c>
      <c r="I24" s="3">
        <v>2.5285956000000001E-4</v>
      </c>
      <c r="J24" s="3">
        <v>-2.0001560999999999E-3</v>
      </c>
      <c r="L24" s="3">
        <f t="shared" si="0"/>
        <v>2.6647000983284173</v>
      </c>
      <c r="M24" s="3"/>
      <c r="N24" s="2">
        <f>IF('Modell einstellen'!$B$1="Voll",H24/0.35,H24/0.35*2)</f>
        <v>2.9832177142857146E-3</v>
      </c>
      <c r="O24" s="2">
        <f>IF('Modell einstellen'!$B$1="Voll",J24/0.35,J24/0.35*2)</f>
        <v>-5.7147317142857146E-3</v>
      </c>
      <c r="P24" s="3">
        <f t="shared" si="1"/>
        <v>0.52202235615510217</v>
      </c>
    </row>
    <row r="25" spans="1:16" x14ac:dyDescent="0.25">
      <c r="A25" s="3">
        <v>10000000</v>
      </c>
      <c r="B25" s="3">
        <v>-2.9320000000000001E-3</v>
      </c>
      <c r="C25" s="3">
        <v>1.6329999999999999E-3</v>
      </c>
      <c r="D25" s="3">
        <v>1.1379999999999999E-3</v>
      </c>
      <c r="E25" s="3">
        <v>0</v>
      </c>
      <c r="F25" s="3">
        <v>0</v>
      </c>
      <c r="G25" s="3">
        <v>0</v>
      </c>
      <c r="H25" s="3">
        <v>1.1071504E-3</v>
      </c>
      <c r="I25" s="3">
        <v>2.7232838000000001E-4</v>
      </c>
      <c r="J25" s="3">
        <v>-2.1334738000000002E-3</v>
      </c>
      <c r="L25" s="3">
        <f t="shared" si="0"/>
        <v>2.5764499121265381</v>
      </c>
      <c r="M25" s="3"/>
      <c r="N25" s="2">
        <f>IF('Modell einstellen'!$B$1="Voll",H25/0.35,H25/0.35*2)</f>
        <v>3.1632868571428575E-3</v>
      </c>
      <c r="O25" s="2">
        <f>IF('Modell einstellen'!$B$1="Voll",J25/0.35,J25/0.35*2)</f>
        <v>-6.0956394285714291E-3</v>
      </c>
      <c r="P25" s="3">
        <f t="shared" si="1"/>
        <v>0.51894258087444056</v>
      </c>
    </row>
    <row r="26" spans="1:16" x14ac:dyDescent="0.25">
      <c r="A26" s="3">
        <v>100000000</v>
      </c>
      <c r="B26" s="3">
        <v>-3.0609999999999999E-3</v>
      </c>
      <c r="C26" s="3">
        <v>1.684E-3</v>
      </c>
      <c r="D26" s="3">
        <v>1.2160000000000001E-3</v>
      </c>
      <c r="E26" s="3">
        <v>0</v>
      </c>
      <c r="F26" s="3">
        <v>0</v>
      </c>
      <c r="G26" s="3">
        <v>0</v>
      </c>
      <c r="H26" s="3">
        <v>1.1420193000000001E-3</v>
      </c>
      <c r="I26" s="3">
        <v>2.8238895000000001E-4</v>
      </c>
      <c r="J26" s="3">
        <v>-2.2046092999999998E-3</v>
      </c>
      <c r="L26" s="3">
        <f t="shared" si="0"/>
        <v>2.5172697368421049</v>
      </c>
      <c r="M26" s="3"/>
      <c r="N26" s="2">
        <f>IF('Modell einstellen'!$B$1="Voll",H26/0.35,H26/0.35*2)</f>
        <v>3.2629122857142862E-3</v>
      </c>
      <c r="O26" s="2">
        <f>IF('Modell einstellen'!$B$1="Voll",J26/0.35,J26/0.35*2)</f>
        <v>-6.2988837142857138E-3</v>
      </c>
      <c r="P26" s="3">
        <f t="shared" si="1"/>
        <v>0.51801437107246184</v>
      </c>
    </row>
    <row r="27" spans="1:16" x14ac:dyDescent="0.25">
      <c r="A27" s="3">
        <v>1000000000</v>
      </c>
      <c r="B27" s="3">
        <v>-3.137E-3</v>
      </c>
      <c r="C27" s="3">
        <v>1.7260000000000001E-3</v>
      </c>
      <c r="D27" s="3">
        <v>1.2489999999999999E-3</v>
      </c>
      <c r="E27" s="3">
        <v>0</v>
      </c>
      <c r="F27" s="3">
        <v>0</v>
      </c>
      <c r="G27" s="3">
        <v>0</v>
      </c>
      <c r="H27" s="3">
        <v>1.1621555E-3</v>
      </c>
      <c r="I27" s="3">
        <v>2.9047304000000003E-4</v>
      </c>
      <c r="J27" s="3">
        <v>-2.2539299999999999E-3</v>
      </c>
      <c r="L27" s="3">
        <f t="shared" si="0"/>
        <v>2.5116092874299443</v>
      </c>
      <c r="M27" s="3"/>
      <c r="N27" s="2">
        <f>IF('Modell einstellen'!$B$1="Voll",H27/0.35,H27/0.35*2)</f>
        <v>3.3204442857142857E-3</v>
      </c>
      <c r="O27" s="2">
        <f>IF('Modell einstellen'!$B$1="Voll",J27/0.35,J27/0.35*2)</f>
        <v>-6.4397999999999999E-3</v>
      </c>
      <c r="P27" s="3">
        <f t="shared" si="1"/>
        <v>0.51561295160009402</v>
      </c>
    </row>
    <row r="28" spans="1:16" x14ac:dyDescent="0.25">
      <c r="A28" s="3">
        <v>10000000000</v>
      </c>
      <c r="B28" s="3">
        <v>-3.359E-3</v>
      </c>
      <c r="C28" s="3">
        <v>1.8010000000000001E-3</v>
      </c>
      <c r="D28" s="3">
        <v>1.3960000000000001E-3</v>
      </c>
      <c r="E28" s="3">
        <v>0</v>
      </c>
      <c r="F28" s="3">
        <v>0</v>
      </c>
      <c r="G28" s="3">
        <v>0</v>
      </c>
      <c r="H28" s="3">
        <v>1.2265326E-3</v>
      </c>
      <c r="I28" s="3">
        <v>3.0539256000000002E-4</v>
      </c>
      <c r="J28" s="3">
        <v>-2.3720225999999999E-3</v>
      </c>
      <c r="L28" s="3">
        <f t="shared" si="0"/>
        <v>2.4061604584527219</v>
      </c>
      <c r="M28" s="3"/>
      <c r="N28" s="2">
        <f>IF('Modell einstellen'!$B$1="Voll",H28/0.35,H28/0.35*2)</f>
        <v>3.5043788571428574E-3</v>
      </c>
      <c r="O28" s="2">
        <f>IF('Modell einstellen'!$B$1="Voll",J28/0.35,J28/0.35*2)</f>
        <v>-6.7772074285714287E-3</v>
      </c>
      <c r="P28" s="3">
        <f t="shared" si="1"/>
        <v>0.51708301598812767</v>
      </c>
    </row>
    <row r="29" spans="1:16" x14ac:dyDescent="0.25">
      <c r="A29" s="3">
        <v>100000000000</v>
      </c>
      <c r="B29" s="3">
        <v>-3.431E-3</v>
      </c>
      <c r="C29" s="3">
        <v>1.841E-3</v>
      </c>
      <c r="D29" s="3">
        <v>1.4289999999999999E-3</v>
      </c>
      <c r="E29" s="3">
        <v>0</v>
      </c>
      <c r="F29" s="3">
        <v>0</v>
      </c>
      <c r="G29" s="3">
        <v>0</v>
      </c>
      <c r="H29" s="3">
        <v>1.2475000999999999E-3</v>
      </c>
      <c r="I29" s="3">
        <v>3.1287903E-4</v>
      </c>
      <c r="J29" s="3">
        <v>-2.4200068E-3</v>
      </c>
      <c r="L29" s="3">
        <f t="shared" si="0"/>
        <v>2.4009797060881737</v>
      </c>
      <c r="M29" s="3"/>
      <c r="N29" s="2">
        <f>IF('Modell einstellen'!$B$1="Voll",H29/0.35,H29/0.35*2)</f>
        <v>3.5642860000000003E-3</v>
      </c>
      <c r="O29" s="2">
        <f>IF('Modell einstellen'!$B$1="Voll",J29/0.35,J29/0.35*2)</f>
        <v>-6.9143051428571436E-3</v>
      </c>
      <c r="P29" s="3">
        <f t="shared" si="1"/>
        <v>0.51549446059407766</v>
      </c>
    </row>
    <row r="30" spans="1:16" x14ac:dyDescent="0.25">
      <c r="A30" s="3">
        <v>1000000000000</v>
      </c>
      <c r="B30" s="3">
        <v>-3.437E-3</v>
      </c>
      <c r="C30" s="3">
        <v>1.8439999999999999E-3</v>
      </c>
      <c r="D30" s="3">
        <v>1.431E-3</v>
      </c>
      <c r="E30" s="3">
        <v>0</v>
      </c>
      <c r="F30" s="3">
        <v>0</v>
      </c>
      <c r="G30" s="3">
        <v>0</v>
      </c>
      <c r="H30" s="3">
        <v>1.2499195999999999E-3</v>
      </c>
      <c r="I30" s="3">
        <v>3.1354031999999998E-4</v>
      </c>
      <c r="J30" s="3">
        <v>-2.4248068000000001E-3</v>
      </c>
      <c r="L30" s="3">
        <f t="shared" si="0"/>
        <v>2.4018169112508736</v>
      </c>
      <c r="M30" s="3"/>
      <c r="N30" s="2">
        <f>IF('Modell einstellen'!$B$1="Voll",H30/0.35,H30/0.35*2)</f>
        <v>3.5711988571428574E-3</v>
      </c>
      <c r="O30" s="2">
        <f>IF('Modell einstellen'!$B$1="Voll",J30/0.35,J30/0.35*2)</f>
        <v>-6.9280194285714298E-3</v>
      </c>
      <c r="P30" s="3">
        <f t="shared" si="1"/>
        <v>0.51547183058048163</v>
      </c>
    </row>
    <row r="31" spans="1:16" x14ac:dyDescent="0.25">
      <c r="A31" s="3">
        <v>10000000000000</v>
      </c>
      <c r="B31" s="3">
        <v>-3.4380000000000001E-3</v>
      </c>
      <c r="C31" s="3">
        <v>1.846E-3</v>
      </c>
      <c r="D31" s="3">
        <v>1.4300000000000001E-3</v>
      </c>
      <c r="E31" s="3">
        <v>0</v>
      </c>
      <c r="F31" s="3">
        <v>0</v>
      </c>
      <c r="G31" s="3">
        <v>0</v>
      </c>
      <c r="H31" s="3">
        <v>1.2504059999999999E-3</v>
      </c>
      <c r="I31" s="3">
        <v>3.1379478999999999E-4</v>
      </c>
      <c r="J31" s="3">
        <v>-2.4262153999999999E-3</v>
      </c>
      <c r="L31" s="3">
        <f t="shared" si="0"/>
        <v>2.4041958041958043</v>
      </c>
      <c r="M31" s="3"/>
      <c r="N31" s="2">
        <f>IF('Modell einstellen'!$B$1="Voll",H31/0.35,H31/0.35*2)</f>
        <v>3.5725885714285714E-3</v>
      </c>
      <c r="O31" s="2">
        <f>IF('Modell einstellen'!$B$1="Voll",J31/0.35,J31/0.35*2)</f>
        <v>-6.9320440000000001E-3</v>
      </c>
      <c r="P31" s="3">
        <f t="shared" si="1"/>
        <v>0.51537303736510776</v>
      </c>
    </row>
    <row r="32" spans="1:16" x14ac:dyDescent="0.25">
      <c r="A32" s="3">
        <v>100000000000000</v>
      </c>
      <c r="B32" s="3">
        <v>-3.4390000000000002E-3</v>
      </c>
      <c r="C32" s="3">
        <v>1.846E-3</v>
      </c>
      <c r="D32" s="3">
        <v>1.431E-3</v>
      </c>
      <c r="E32" s="3">
        <v>0</v>
      </c>
      <c r="F32" s="3">
        <v>0</v>
      </c>
      <c r="G32" s="3">
        <v>0</v>
      </c>
      <c r="H32" s="3">
        <v>1.2510918E-3</v>
      </c>
      <c r="I32" s="3">
        <v>3.1387020999999998E-4</v>
      </c>
      <c r="J32" s="3">
        <v>-2.4271774000000001E-3</v>
      </c>
      <c r="L32" s="3">
        <f t="shared" si="0"/>
        <v>2.4032145352900072</v>
      </c>
      <c r="M32" s="3"/>
      <c r="N32" s="2">
        <f>IF('Modell einstellen'!$B$1="Voll",H32/0.35,H32/0.35*2)</f>
        <v>3.5745480000000003E-3</v>
      </c>
      <c r="O32" s="2">
        <f>IF('Modell einstellen'!$B$1="Voll",J32/0.35,J32/0.35*2)</f>
        <v>-6.9347925714285724E-3</v>
      </c>
      <c r="P32" s="3">
        <f t="shared" si="1"/>
        <v>0.51545132218188916</v>
      </c>
    </row>
    <row r="33" spans="1:16" x14ac:dyDescent="0.25">
      <c r="A33" s="3">
        <v>1000000000000000</v>
      </c>
      <c r="B33" s="3">
        <v>-3.4399999999999999E-3</v>
      </c>
      <c r="C33" s="3">
        <v>1.8469999999999999E-3</v>
      </c>
      <c r="D33" s="3">
        <v>1.431E-3</v>
      </c>
      <c r="E33" s="3">
        <v>0</v>
      </c>
      <c r="F33" s="3">
        <v>0</v>
      </c>
      <c r="G33" s="3">
        <v>0</v>
      </c>
      <c r="H33" s="3">
        <v>1.2517467E-3</v>
      </c>
      <c r="I33" s="3">
        <v>3.1396454999999999E-4</v>
      </c>
      <c r="J33" s="3">
        <v>-2.4281709000000002E-3</v>
      </c>
      <c r="L33" s="3">
        <f t="shared" si="0"/>
        <v>2.4039133473095737</v>
      </c>
      <c r="M33" s="3"/>
      <c r="N33" s="2">
        <f>IF('Modell einstellen'!$B$1="Voll",H33/0.35,H33/0.35*2)</f>
        <v>3.5764191428571432E-3</v>
      </c>
      <c r="O33" s="2">
        <f>IF('Modell einstellen'!$B$1="Voll",J33/0.35,J33/0.35*2)</f>
        <v>-6.9376311428571442E-3</v>
      </c>
      <c r="P33" s="3">
        <f t="shared" si="1"/>
        <v>0.51551013151504277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2022-01-07T07:49:03Z</dcterms:modified>
</cp:coreProperties>
</file>