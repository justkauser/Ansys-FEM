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6"/>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N122" i="43" l="1"/>
  <c r="O33" i="11"/>
  <c r="N33" i="11"/>
  <c r="P33" i="11" s="1"/>
  <c r="O32" i="11"/>
  <c r="N32" i="11"/>
  <c r="O31" i="11"/>
  <c r="N31" i="11"/>
  <c r="P31" i="11" s="1"/>
  <c r="O30" i="11"/>
  <c r="N30" i="11"/>
  <c r="P30" i="11" s="1"/>
  <c r="P29" i="11"/>
  <c r="O29" i="11"/>
  <c r="N29" i="11"/>
  <c r="O28" i="11"/>
  <c r="N28" i="11"/>
  <c r="P27" i="11"/>
  <c r="O27" i="11"/>
  <c r="N27" i="11"/>
  <c r="O26" i="11"/>
  <c r="N26" i="11"/>
  <c r="P26" i="11" s="1"/>
  <c r="O25" i="11"/>
  <c r="N25" i="11"/>
  <c r="P25" i="11" s="1"/>
  <c r="O24" i="11"/>
  <c r="N24" i="11"/>
  <c r="P24" i="11" s="1"/>
  <c r="O23" i="11"/>
  <c r="N23" i="11"/>
  <c r="P23" i="11" s="1"/>
  <c r="O22" i="11"/>
  <c r="N22" i="11"/>
  <c r="O21" i="11"/>
  <c r="P21" i="11" s="1"/>
  <c r="N21" i="11"/>
  <c r="O20" i="11"/>
  <c r="N20" i="11"/>
  <c r="O19" i="11"/>
  <c r="N19" i="11"/>
  <c r="P19" i="11" s="1"/>
  <c r="O18" i="11"/>
  <c r="N18" i="11"/>
  <c r="P18" i="11" s="1"/>
  <c r="P17" i="11"/>
  <c r="O17" i="11"/>
  <c r="N17" i="11"/>
  <c r="O16" i="11"/>
  <c r="N16" i="11"/>
  <c r="P15" i="11"/>
  <c r="O15" i="11"/>
  <c r="N15" i="11"/>
  <c r="O14" i="11"/>
  <c r="N14" i="11"/>
  <c r="P14" i="11" s="1"/>
  <c r="O13" i="11"/>
  <c r="N13" i="11"/>
  <c r="P13" i="11" s="1"/>
  <c r="O12" i="11"/>
  <c r="N12" i="11"/>
  <c r="P12" i="11" s="1"/>
  <c r="O11" i="11"/>
  <c r="N11" i="11"/>
  <c r="P11" i="11" s="1"/>
  <c r="O10" i="11"/>
  <c r="N10" i="11"/>
  <c r="O9" i="11"/>
  <c r="P9" i="11" s="1"/>
  <c r="N9" i="11"/>
  <c r="O8" i="11"/>
  <c r="N8" i="11"/>
  <c r="O7" i="11"/>
  <c r="N7" i="11"/>
  <c r="P7" i="11" s="1"/>
  <c r="O6" i="11"/>
  <c r="N6" i="11"/>
  <c r="P6" i="11" s="1"/>
  <c r="P5" i="11"/>
  <c r="O5" i="11"/>
  <c r="N5" i="11"/>
  <c r="O4" i="11"/>
  <c r="N4" i="11"/>
  <c r="P3" i="11"/>
  <c r="O3" i="11"/>
  <c r="N3" i="11"/>
  <c r="P4" i="11" l="1"/>
  <c r="P16" i="11"/>
  <c r="P28" i="11"/>
  <c r="P10" i="11"/>
  <c r="P22"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P5" i="37"/>
  <c r="B30" i="39" s="1"/>
  <c r="R4" i="37"/>
  <c r="R5" i="37"/>
  <c r="R6" i="37"/>
  <c r="R7" i="37"/>
  <c r="P6" i="37" s="1"/>
  <c r="B31" i="39" s="1"/>
  <c r="R8" i="37"/>
  <c r="R9" i="37"/>
  <c r="P7" i="37" s="1"/>
  <c r="R10" i="37"/>
  <c r="R11" i="37"/>
  <c r="R12" i="37"/>
  <c r="R13" i="37"/>
  <c r="P9" i="37" s="1"/>
  <c r="B33" i="39" s="1"/>
  <c r="R14" i="37"/>
  <c r="R3" i="37"/>
  <c r="L4" i="37"/>
  <c r="L5" i="37"/>
  <c r="L6" i="37"/>
  <c r="L7" i="37"/>
  <c r="L8" i="37"/>
  <c r="L9" i="37"/>
  <c r="L10" i="37"/>
  <c r="L11" i="37"/>
  <c r="L12" i="37"/>
  <c r="L13" i="37"/>
  <c r="L14" i="37"/>
  <c r="L3" i="37"/>
  <c r="B7" i="44" l="1"/>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G403" i="43"/>
  <c r="C403" i="43"/>
  <c r="B403" i="43"/>
  <c r="D403" i="43"/>
  <c r="H403" i="43"/>
  <c r="E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H434" i="43" l="1"/>
  <c r="H418" i="43"/>
  <c r="H415" i="43"/>
  <c r="H410" i="43"/>
  <c r="H424" i="43"/>
  <c r="H405" i="43"/>
  <c r="H421" i="43"/>
  <c r="H433" i="43"/>
  <c r="H426" i="43"/>
  <c r="H412" i="43"/>
  <c r="H417" i="43"/>
  <c r="H414" i="43"/>
  <c r="H430" i="43"/>
  <c r="H423" i="43"/>
  <c r="H407" i="43"/>
  <c r="H431" i="43"/>
  <c r="H429" i="43"/>
  <c r="H416" i="43"/>
  <c r="H404" i="43"/>
  <c r="H413" i="43"/>
  <c r="H427" i="43"/>
  <c r="H409" i="43"/>
  <c r="H422" i="43"/>
  <c r="H428" i="43"/>
  <c r="H408" i="43"/>
  <c r="H420" i="43"/>
  <c r="H432" i="43"/>
  <c r="H425" i="43"/>
  <c r="H411" i="43"/>
  <c r="H419" i="43"/>
  <c r="H406" i="43"/>
  <c r="B405" i="43"/>
  <c r="B424" i="43"/>
  <c r="B425" i="43"/>
  <c r="B413" i="43"/>
  <c r="B414" i="43"/>
  <c r="B408" i="43"/>
  <c r="B407" i="43"/>
  <c r="B427" i="43"/>
  <c r="B430" i="43"/>
  <c r="B419" i="43"/>
  <c r="B433" i="43"/>
  <c r="B422" i="43"/>
  <c r="B415" i="43"/>
  <c r="B417" i="43"/>
  <c r="B409" i="43"/>
  <c r="B406" i="43"/>
  <c r="B429" i="43"/>
  <c r="B418" i="43"/>
  <c r="B421" i="43"/>
  <c r="B411" i="43"/>
  <c r="B416" i="43"/>
  <c r="B432" i="43"/>
  <c r="B404" i="43"/>
  <c r="B428" i="43"/>
  <c r="B410" i="43"/>
  <c r="B420" i="43"/>
  <c r="B434" i="43"/>
  <c r="B423" i="43"/>
  <c r="B426" i="43"/>
  <c r="B412" i="43"/>
  <c r="B431" i="43"/>
  <c r="D406" i="43"/>
  <c r="D417" i="43"/>
  <c r="D419" i="43"/>
  <c r="D430" i="43"/>
  <c r="D411" i="43"/>
  <c r="D416" i="43"/>
  <c r="D423" i="43"/>
  <c r="D428" i="43"/>
  <c r="D404" i="43"/>
  <c r="D421" i="43"/>
  <c r="D434" i="43"/>
  <c r="D414" i="43"/>
  <c r="D418" i="43"/>
  <c r="D425" i="43"/>
  <c r="D429" i="43"/>
  <c r="D432" i="43"/>
  <c r="D412" i="43"/>
  <c r="D420" i="43"/>
  <c r="D422" i="43"/>
  <c r="D431" i="43"/>
  <c r="D409" i="43"/>
  <c r="D407" i="43"/>
  <c r="D427" i="43"/>
  <c r="D410" i="43"/>
  <c r="D405" i="43"/>
  <c r="D408" i="43"/>
  <c r="D413" i="43"/>
  <c r="D415" i="43"/>
  <c r="D424" i="43"/>
  <c r="D433" i="43"/>
  <c r="D426" i="43"/>
  <c r="C406" i="43"/>
  <c r="C409" i="43"/>
  <c r="C421" i="43"/>
  <c r="C434" i="43"/>
  <c r="C418" i="43"/>
  <c r="C425" i="43"/>
  <c r="C429" i="43"/>
  <c r="C432" i="43"/>
  <c r="C410" i="43"/>
  <c r="C422" i="43"/>
  <c r="C408" i="43"/>
  <c r="C424" i="43"/>
  <c r="C407" i="43"/>
  <c r="C414" i="43"/>
  <c r="C427" i="43"/>
  <c r="C412" i="43"/>
  <c r="C420" i="43"/>
  <c r="C431" i="43"/>
  <c r="C405" i="43"/>
  <c r="C415" i="43"/>
  <c r="C433" i="43"/>
  <c r="C417" i="43"/>
  <c r="C419" i="43"/>
  <c r="C426" i="43"/>
  <c r="C430" i="43"/>
  <c r="C423" i="43"/>
  <c r="C428" i="43"/>
  <c r="C404" i="43"/>
  <c r="C413" i="43"/>
  <c r="C416" i="43"/>
  <c r="C411" i="43"/>
  <c r="G410" i="43"/>
  <c r="G413" i="43"/>
  <c r="G431" i="43"/>
  <c r="G416" i="43"/>
  <c r="G434" i="43"/>
  <c r="G428" i="43"/>
  <c r="G429" i="43"/>
  <c r="G411" i="43"/>
  <c r="G427" i="43"/>
  <c r="G409" i="43"/>
  <c r="G426" i="43"/>
  <c r="G424" i="43"/>
  <c r="G405" i="43"/>
  <c r="G407" i="43"/>
  <c r="G420" i="43"/>
  <c r="G433" i="43"/>
  <c r="G414" i="43"/>
  <c r="G422" i="43"/>
  <c r="G408" i="43"/>
  <c r="G417" i="43"/>
  <c r="G430" i="43"/>
  <c r="G406" i="43"/>
  <c r="G419" i="43"/>
  <c r="G423" i="43"/>
  <c r="G421" i="43"/>
  <c r="G404" i="43"/>
  <c r="G415" i="43"/>
  <c r="G425" i="43"/>
  <c r="G432" i="43"/>
  <c r="G412" i="43"/>
  <c r="G418" i="43"/>
  <c r="E405" i="43"/>
  <c r="E408" i="43"/>
  <c r="E413" i="43"/>
  <c r="E415" i="43"/>
  <c r="E424" i="43"/>
  <c r="E406" i="43"/>
  <c r="E417" i="43"/>
  <c r="E419" i="43"/>
  <c r="E426" i="43"/>
  <c r="E430" i="43"/>
  <c r="E416" i="43"/>
  <c r="E423" i="43"/>
  <c r="E404" i="43"/>
  <c r="E434" i="43"/>
  <c r="E427" i="43"/>
  <c r="E411" i="43"/>
  <c r="E418" i="43"/>
  <c r="E425" i="43"/>
  <c r="E429" i="43"/>
  <c r="E410" i="43"/>
  <c r="E420" i="43"/>
  <c r="E422" i="43"/>
  <c r="E431" i="43"/>
  <c r="E433" i="43"/>
  <c r="E407" i="43"/>
  <c r="E428" i="43"/>
  <c r="E421" i="43"/>
  <c r="E409" i="43"/>
  <c r="E432" i="43"/>
  <c r="E412" i="43"/>
  <c r="E414" i="43"/>
  <c r="F415" i="43"/>
  <c r="F410" i="43"/>
  <c r="F420" i="43"/>
  <c r="F424" i="43"/>
  <c r="F430" i="43"/>
  <c r="F434" i="43"/>
  <c r="F419" i="43"/>
  <c r="F416" i="43"/>
  <c r="F423" i="43"/>
  <c r="F404" i="43"/>
  <c r="F427" i="43"/>
  <c r="F431" i="43"/>
  <c r="F421" i="43"/>
  <c r="F425" i="43"/>
  <c r="F426" i="43"/>
  <c r="F412" i="43"/>
  <c r="F409" i="43"/>
  <c r="F408" i="43"/>
  <c r="F413" i="43"/>
  <c r="F417" i="43"/>
  <c r="F414" i="43"/>
  <c r="F422" i="43"/>
  <c r="F411" i="43"/>
  <c r="F405" i="43"/>
  <c r="F428" i="43"/>
  <c r="F433" i="43"/>
  <c r="F429" i="43"/>
  <c r="F406" i="43"/>
  <c r="F407" i="43"/>
  <c r="F432" i="43"/>
  <c r="F418"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BE31" i="8"/>
  <c r="BE30" i="8"/>
  <c r="AS29" i="8"/>
  <c r="P430" i="43" s="1"/>
  <c r="BE28" i="8"/>
  <c r="BE27" i="8"/>
  <c r="AS26" i="8"/>
  <c r="P427" i="43" s="1"/>
  <c r="BE25" i="8"/>
  <c r="BE24" i="8"/>
  <c r="BE23" i="8"/>
  <c r="BE22" i="8"/>
  <c r="BE21" i="8"/>
  <c r="AS20" i="8"/>
  <c r="P421" i="43" s="1"/>
  <c r="BE19" i="8"/>
  <c r="BE18" i="8"/>
  <c r="AS17" i="8"/>
  <c r="P418" i="43" s="1"/>
  <c r="BE16" i="8"/>
  <c r="BE15" i="8"/>
  <c r="AS14" i="8"/>
  <c r="P415" i="43"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S32" i="8"/>
  <c r="AQ32" i="8" s="1"/>
  <c r="N433" i="43" s="1"/>
  <c r="S31" i="8"/>
  <c r="AQ31" i="8" s="1"/>
  <c r="N432" i="43" s="1"/>
  <c r="S30" i="8"/>
  <c r="AQ30" i="8" s="1"/>
  <c r="N431" i="43" s="1"/>
  <c r="S29" i="8"/>
  <c r="AQ29" i="8" s="1"/>
  <c r="N430" i="43" s="1"/>
  <c r="S28" i="8"/>
  <c r="AQ28" i="8" s="1"/>
  <c r="N429" i="43" s="1"/>
  <c r="S27" i="8"/>
  <c r="AQ27" i="8" s="1"/>
  <c r="N428" i="43" s="1"/>
  <c r="S26" i="8"/>
  <c r="AQ26" i="8" s="1"/>
  <c r="N427" i="43" s="1"/>
  <c r="S25" i="8"/>
  <c r="AQ25" i="8" s="1"/>
  <c r="N426" i="43" s="1"/>
  <c r="S24" i="8"/>
  <c r="AQ24" i="8" s="1"/>
  <c r="N425" i="43" s="1"/>
  <c r="S23" i="8"/>
  <c r="AQ23" i="8" s="1"/>
  <c r="N424" i="43" s="1"/>
  <c r="S22" i="8"/>
  <c r="AQ22" i="8" s="1"/>
  <c r="N423" i="43" s="1"/>
  <c r="S21" i="8"/>
  <c r="AQ21" i="8" s="1"/>
  <c r="N422" i="43" s="1"/>
  <c r="S20" i="8"/>
  <c r="AQ20" i="8" s="1"/>
  <c r="N421" i="43" s="1"/>
  <c r="S19" i="8"/>
  <c r="AQ19" i="8" s="1"/>
  <c r="N420" i="43" s="1"/>
  <c r="S18" i="8"/>
  <c r="AQ18" i="8" s="1"/>
  <c r="N419" i="43" s="1"/>
  <c r="S17" i="8"/>
  <c r="AQ17" i="8" s="1"/>
  <c r="N418" i="43" s="1"/>
  <c r="S16" i="8"/>
  <c r="AQ16" i="8" s="1"/>
  <c r="N417" i="43" s="1"/>
  <c r="S15" i="8"/>
  <c r="AQ15" i="8" s="1"/>
  <c r="N416" i="43" s="1"/>
  <c r="S14" i="8"/>
  <c r="AQ14" i="8" s="1"/>
  <c r="N415" i="43" s="1"/>
  <c r="S13" i="8"/>
  <c r="AQ13" i="8" s="1"/>
  <c r="N414" i="43"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AS23" i="8"/>
  <c r="P424" i="43" s="1"/>
  <c r="AO4" i="8"/>
  <c r="L405" i="43" s="1"/>
  <c r="AO6" i="8"/>
  <c r="L407" i="43" s="1"/>
  <c r="AO10" i="8"/>
  <c r="L411" i="43" s="1"/>
  <c r="AO30" i="8"/>
  <c r="L431" i="43" s="1"/>
  <c r="BA13" i="8"/>
  <c r="BA15" i="8"/>
  <c r="BA19" i="8"/>
  <c r="AS28" i="8"/>
  <c r="P429" i="43" s="1"/>
  <c r="AS9" i="8"/>
  <c r="P410" i="43" s="1"/>
  <c r="AS5" i="8"/>
  <c r="P406" i="43" s="1"/>
  <c r="BE32" i="8"/>
  <c r="AS18" i="8"/>
  <c r="P419" i="43" s="1"/>
  <c r="AS7" i="8"/>
  <c r="P408" i="43" s="1"/>
  <c r="BA12" i="8"/>
  <c r="BA16" i="8"/>
  <c r="BA18" i="8"/>
  <c r="BA22" i="8"/>
  <c r="BA24" i="8"/>
  <c r="BA28" i="8"/>
  <c r="AO7" i="8"/>
  <c r="L408" i="43" s="1"/>
  <c r="AO9" i="8"/>
  <c r="L410" i="43" s="1"/>
  <c r="AO21" i="8"/>
  <c r="L422" i="43" s="1"/>
  <c r="AO25" i="8"/>
  <c r="L426" i="43" s="1"/>
  <c r="AO27" i="8"/>
  <c r="L428" i="43" s="1"/>
  <c r="AO31" i="8"/>
  <c r="L432" i="43" s="1"/>
  <c r="AO33" i="8"/>
  <c r="L434" i="43" s="1"/>
  <c r="AS15" i="8"/>
  <c r="P416" i="43" s="1"/>
  <c r="BE11" i="8"/>
  <c r="BE29" i="8"/>
  <c r="AS24" i="8"/>
  <c r="P425" i="43" s="1"/>
  <c r="AS13" i="8"/>
  <c r="P414" i="43" s="1"/>
  <c r="AS21" i="8"/>
  <c r="P422" i="43" s="1"/>
  <c r="AS30" i="8"/>
  <c r="P431" i="43" s="1"/>
  <c r="BE8" i="8"/>
  <c r="AS19" i="8"/>
  <c r="P420" i="43" s="1"/>
  <c r="AS27" i="8"/>
  <c r="P428" i="43" s="1"/>
  <c r="AS4" i="8"/>
  <c r="P405" i="43" s="1"/>
  <c r="BE20" i="8"/>
  <c r="BE17" i="8"/>
  <c r="AS31" i="8"/>
  <c r="P432" i="43" s="1"/>
  <c r="AS25" i="8"/>
  <c r="P426" i="43" s="1"/>
  <c r="AS33" i="8"/>
  <c r="P434" i="43" s="1"/>
  <c r="AS10" i="8"/>
  <c r="P411" i="43" s="1"/>
  <c r="AS6" i="8"/>
  <c r="P407" i="43" s="1"/>
  <c r="BE26" i="8"/>
  <c r="BE14" i="8"/>
  <c r="AS16" i="8"/>
  <c r="P417" i="43" s="1"/>
  <c r="AS12" i="8"/>
  <c r="P413" i="43" s="1"/>
  <c r="AR3" i="8"/>
  <c r="O404" i="43" s="1"/>
  <c r="BD3" i="8"/>
  <c r="T5" i="8"/>
  <c r="AR7" i="8"/>
  <c r="O408" i="43" s="1"/>
  <c r="BD7" i="8"/>
  <c r="AR9" i="8"/>
  <c r="O410" i="43" s="1"/>
  <c r="BD9" i="8"/>
  <c r="T11" i="8"/>
  <c r="AR13" i="8"/>
  <c r="O414" i="43" s="1"/>
  <c r="BD13" i="8"/>
  <c r="AR15" i="8"/>
  <c r="O416" i="43" s="1"/>
  <c r="BD15" i="8"/>
  <c r="T17" i="8"/>
  <c r="AR19" i="8"/>
  <c r="O420" i="43" s="1"/>
  <c r="BD19" i="8"/>
  <c r="AR21" i="8"/>
  <c r="O422" i="43" s="1"/>
  <c r="BD21" i="8"/>
  <c r="T23" i="8"/>
  <c r="AR25" i="8"/>
  <c r="O426" i="43" s="1"/>
  <c r="BD25" i="8"/>
  <c r="AR27" i="8"/>
  <c r="O428" i="43" s="1"/>
  <c r="BD27" i="8"/>
  <c r="T29" i="8"/>
  <c r="AR31" i="8"/>
  <c r="O432" i="43" s="1"/>
  <c r="BD31" i="8"/>
  <c r="AR33" i="8"/>
  <c r="O434" i="43" s="1"/>
  <c r="BD33" i="8"/>
  <c r="AR4" i="8"/>
  <c r="O405" i="43" s="1"/>
  <c r="BD4" i="8"/>
  <c r="AR6" i="8"/>
  <c r="O407" i="43" s="1"/>
  <c r="BD6" i="8"/>
  <c r="T8" i="8"/>
  <c r="AR10" i="8"/>
  <c r="O411" i="43" s="1"/>
  <c r="BD10" i="8"/>
  <c r="AR12" i="8"/>
  <c r="O413" i="43" s="1"/>
  <c r="BD12" i="8"/>
  <c r="T14" i="8"/>
  <c r="AR16" i="8"/>
  <c r="O417" i="43" s="1"/>
  <c r="BD16" i="8"/>
  <c r="AR18" i="8"/>
  <c r="O419" i="43" s="1"/>
  <c r="BD18" i="8"/>
  <c r="T20" i="8"/>
  <c r="AR22" i="8"/>
  <c r="O423" i="43" s="1"/>
  <c r="BD22" i="8"/>
  <c r="AR24" i="8"/>
  <c r="O425" i="43" s="1"/>
  <c r="BD24" i="8"/>
  <c r="T26" i="8"/>
  <c r="AR28" i="8"/>
  <c r="O429" i="43" s="1"/>
  <c r="BD28" i="8"/>
  <c r="AR30" i="8"/>
  <c r="O431" i="43"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BB21" i="8"/>
  <c r="AP4" i="8"/>
  <c r="M405" i="43" s="1"/>
  <c r="BB4" i="8"/>
  <c r="AP6" i="8"/>
  <c r="M407" i="43" s="1"/>
  <c r="BB6" i="8"/>
  <c r="AP8" i="8"/>
  <c r="M409" i="43" s="1"/>
  <c r="BB8" i="8"/>
  <c r="AP29" i="8"/>
  <c r="M430" i="43" s="1"/>
  <c r="BB29" i="8"/>
  <c r="AP31" i="8"/>
  <c r="M432" i="43" s="1"/>
  <c r="BB31" i="8"/>
  <c r="AP33" i="8"/>
  <c r="BB33" i="8"/>
  <c r="AP23" i="8"/>
  <c r="M424" i="43" s="1"/>
  <c r="BB23" i="8"/>
  <c r="AP10" i="8"/>
  <c r="M411" i="43" s="1"/>
  <c r="BB10" i="8"/>
  <c r="AP12" i="8"/>
  <c r="M413" i="43" s="1"/>
  <c r="BB12" i="8"/>
  <c r="AP14" i="8"/>
  <c r="M415" i="43" s="1"/>
  <c r="BB14" i="8"/>
  <c r="AP16" i="8"/>
  <c r="M417" i="43" s="1"/>
  <c r="BB16" i="8"/>
  <c r="AP18" i="8"/>
  <c r="M419" i="43" s="1"/>
  <c r="BB18" i="8"/>
  <c r="AP25" i="8"/>
  <c r="M426" i="43" s="1"/>
  <c r="BB25" i="8"/>
  <c r="AP20" i="8"/>
  <c r="M421" i="43" s="1"/>
  <c r="BB20" i="8"/>
  <c r="AP22" i="8"/>
  <c r="M423" i="43" s="1"/>
  <c r="BB22" i="8"/>
  <c r="AP24" i="8"/>
  <c r="M425" i="43" s="1"/>
  <c r="BB24" i="8"/>
  <c r="AP26" i="8"/>
  <c r="BB26" i="8"/>
  <c r="AP27" i="8"/>
  <c r="M428" i="43" s="1"/>
  <c r="BB27" i="8"/>
  <c r="AP3" i="8"/>
  <c r="M404" i="43" s="1"/>
  <c r="BB3" i="8"/>
  <c r="AP5" i="8"/>
  <c r="M406" i="43" s="1"/>
  <c r="BB5" i="8"/>
  <c r="AP7" i="8"/>
  <c r="M408" i="43" s="1"/>
  <c r="BB7" i="8"/>
  <c r="AP9" i="8"/>
  <c r="M410" i="43" s="1"/>
  <c r="BB9" i="8"/>
  <c r="AP28" i="8"/>
  <c r="M429" i="43" s="1"/>
  <c r="BB28" i="8"/>
  <c r="AP30" i="8"/>
  <c r="M431" i="43" s="1"/>
  <c r="BB30" i="8"/>
  <c r="AP32" i="8"/>
  <c r="M433" i="43" s="1"/>
  <c r="BB32" i="8"/>
  <c r="AP19" i="8"/>
  <c r="BB19" i="8"/>
  <c r="AP11" i="8"/>
  <c r="M412" i="43" s="1"/>
  <c r="BB11" i="8"/>
  <c r="AP13" i="8"/>
  <c r="M414" i="43" s="1"/>
  <c r="BB13" i="8"/>
  <c r="AP15" i="8"/>
  <c r="M416" i="43" s="1"/>
  <c r="BB15" i="8"/>
  <c r="AP17" i="8"/>
  <c r="M418" i="43" s="1"/>
  <c r="BB17" i="8"/>
  <c r="AO8" i="8"/>
  <c r="L409" i="43" s="1"/>
  <c r="BA8" i="8"/>
  <c r="BA7" i="8"/>
  <c r="BA9" i="8"/>
  <c r="AO12" i="8"/>
  <c r="L413" i="43" s="1"/>
  <c r="Q14" i="8"/>
  <c r="AO16" i="8"/>
  <c r="L417" i="43" s="1"/>
  <c r="AO18" i="8"/>
  <c r="L419" i="43" s="1"/>
  <c r="AO20" i="8"/>
  <c r="L421" i="43" s="1"/>
  <c r="BA20" i="8"/>
  <c r="BA30" i="8"/>
  <c r="Q23" i="8"/>
  <c r="AO22" i="8"/>
  <c r="L423" i="43" s="1"/>
  <c r="AO24" i="8"/>
  <c r="L425" i="43" s="1"/>
  <c r="AO26" i="8"/>
  <c r="BA26" i="8"/>
  <c r="AO28" i="8"/>
  <c r="L429" i="43" s="1"/>
  <c r="AO3" i="8"/>
  <c r="L404" i="43" s="1"/>
  <c r="BA3" i="8"/>
  <c r="AO11" i="8"/>
  <c r="L412" i="43" s="1"/>
  <c r="BA11" i="8"/>
  <c r="BA21" i="8"/>
  <c r="BA25" i="8"/>
  <c r="BA27" i="8"/>
  <c r="Q32" i="8"/>
  <c r="AO29" i="8"/>
  <c r="L430" i="43" s="1"/>
  <c r="BA29" i="8"/>
  <c r="Q5" i="8"/>
  <c r="BA4" i="8"/>
  <c r="BA6" i="8"/>
  <c r="BA10" i="8"/>
  <c r="AO13" i="8"/>
  <c r="L414" i="43" s="1"/>
  <c r="AO15" i="8"/>
  <c r="AO17" i="8"/>
  <c r="L418" i="43" s="1"/>
  <c r="BA17" i="8"/>
  <c r="AO19" i="8"/>
  <c r="L420" i="43" s="1"/>
  <c r="BA31" i="8"/>
  <c r="BA33" i="8"/>
  <c r="AN3" i="8"/>
  <c r="K404" i="43" s="1"/>
  <c r="AZ3" i="8"/>
  <c r="AN7" i="8"/>
  <c r="AZ7" i="8"/>
  <c r="AN9" i="8"/>
  <c r="AZ9" i="8"/>
  <c r="AN11" i="8"/>
  <c r="K412" i="43" s="1"/>
  <c r="AZ11" i="8"/>
  <c r="AN13" i="8"/>
  <c r="AZ13" i="8"/>
  <c r="AN15" i="8"/>
  <c r="AZ15" i="8"/>
  <c r="AN17" i="8"/>
  <c r="K418" i="43" s="1"/>
  <c r="AZ17" i="8"/>
  <c r="AN19" i="8"/>
  <c r="AZ19" i="8"/>
  <c r="AN21" i="8"/>
  <c r="K422" i="43" s="1"/>
  <c r="AZ21" i="8"/>
  <c r="AN23" i="8"/>
  <c r="K424" i="43" s="1"/>
  <c r="AZ23" i="8"/>
  <c r="AN25" i="8"/>
  <c r="K426" i="43" s="1"/>
  <c r="AZ25" i="8"/>
  <c r="AN27" i="8"/>
  <c r="AZ27" i="8"/>
  <c r="AN29" i="8"/>
  <c r="K430" i="43" s="1"/>
  <c r="AZ29" i="8"/>
  <c r="AN31" i="8"/>
  <c r="AZ31" i="8"/>
  <c r="AN33" i="8"/>
  <c r="K434" i="43" s="1"/>
  <c r="AZ33" i="8"/>
  <c r="AN5" i="8"/>
  <c r="AZ5" i="8"/>
  <c r="AN4" i="8"/>
  <c r="K405" i="43" s="1"/>
  <c r="AZ4" i="8"/>
  <c r="AN8" i="8"/>
  <c r="AZ8" i="8"/>
  <c r="AN10" i="8"/>
  <c r="K411" i="43" s="1"/>
  <c r="AZ10" i="8"/>
  <c r="AN12" i="8"/>
  <c r="AZ12" i="8"/>
  <c r="AN14" i="8"/>
  <c r="K415" i="43" s="1"/>
  <c r="AZ14" i="8"/>
  <c r="AN16" i="8"/>
  <c r="K417" i="43" s="1"/>
  <c r="AZ16" i="8"/>
  <c r="AN18" i="8"/>
  <c r="K419" i="43" s="1"/>
  <c r="AZ18" i="8"/>
  <c r="AN20" i="8"/>
  <c r="K421" i="43" s="1"/>
  <c r="AZ20" i="8"/>
  <c r="AN22" i="8"/>
  <c r="K423" i="43" s="1"/>
  <c r="AZ22" i="8"/>
  <c r="AN24" i="8"/>
  <c r="K425" i="43" s="1"/>
  <c r="AZ24" i="8"/>
  <c r="AN26" i="8"/>
  <c r="AZ26" i="8"/>
  <c r="AN28" i="8"/>
  <c r="K429" i="43" s="1"/>
  <c r="AZ28" i="8"/>
  <c r="AN30" i="8"/>
  <c r="K431" i="43" s="1"/>
  <c r="AZ30" i="8"/>
  <c r="AN32" i="8"/>
  <c r="K433" i="43" s="1"/>
  <c r="AZ32" i="8"/>
  <c r="AN6" i="8"/>
  <c r="K407" i="43" s="1"/>
  <c r="AZ6" i="8"/>
  <c r="C169" i="43"/>
  <c r="Y286" i="43" l="1"/>
  <c r="M427" i="43"/>
  <c r="R286" i="43"/>
  <c r="M420" i="43"/>
  <c r="AF286" i="43"/>
  <c r="M434" i="43"/>
  <c r="Y247" i="43"/>
  <c r="L427" i="43"/>
  <c r="N247" i="43"/>
  <c r="L416" i="43"/>
  <c r="G208" i="43"/>
  <c r="K409" i="43"/>
  <c r="Z169" i="43"/>
  <c r="K428" i="43"/>
  <c r="H169" i="43"/>
  <c r="K410" i="43"/>
  <c r="AD169" i="43"/>
  <c r="K432" i="43"/>
  <c r="R169" i="43"/>
  <c r="K420" i="43"/>
  <c r="L169" i="43"/>
  <c r="K414" i="43"/>
  <c r="F169" i="43"/>
  <c r="K408" i="43"/>
  <c r="D169" i="43"/>
  <c r="K406" i="43"/>
  <c r="Y169" i="43"/>
  <c r="K427" i="43"/>
  <c r="N169" i="43"/>
  <c r="K416" i="43"/>
  <c r="K208" i="43"/>
  <c r="K413" i="43"/>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BD29" i="8"/>
  <c r="AR23" i="8"/>
  <c r="O424" i="43" s="1"/>
  <c r="BD23" i="8"/>
  <c r="AR17" i="8"/>
  <c r="O418" i="43" s="1"/>
  <c r="BD17" i="8"/>
  <c r="AR11" i="8"/>
  <c r="O412" i="43" s="1"/>
  <c r="BD11" i="8"/>
  <c r="AR5" i="8"/>
  <c r="O406" i="43" s="1"/>
  <c r="BD5" i="8"/>
  <c r="AR32" i="8"/>
  <c r="O433" i="43" s="1"/>
  <c r="BD32" i="8"/>
  <c r="AR26" i="8"/>
  <c r="O427" i="43" s="1"/>
  <c r="BD26" i="8"/>
  <c r="AR20" i="8"/>
  <c r="BD20" i="8"/>
  <c r="AR14" i="8"/>
  <c r="O415" i="43" s="1"/>
  <c r="BD14" i="8"/>
  <c r="AR8" i="8"/>
  <c r="O409" i="43" s="1"/>
  <c r="BD8" i="8"/>
  <c r="AO5" i="8"/>
  <c r="BA5" i="8"/>
  <c r="AO23" i="8"/>
  <c r="BA23" i="8"/>
  <c r="AO32" i="8"/>
  <c r="BA32" i="8"/>
  <c r="AO14" i="8"/>
  <c r="BA14" i="8"/>
  <c r="W16" i="43" l="1"/>
  <c r="O421" i="43"/>
  <c r="V247" i="43"/>
  <c r="L424" i="43"/>
  <c r="M247" i="43"/>
  <c r="L415" i="43"/>
  <c r="D247" i="43"/>
  <c r="L406" i="43"/>
  <c r="AE247" i="43"/>
  <c r="L433" i="43"/>
  <c r="AD130" i="43"/>
  <c r="J432" i="43"/>
  <c r="O130" i="43"/>
  <c r="J417" i="43"/>
  <c r="F130" i="43"/>
  <c r="J408" i="43"/>
  <c r="R130" i="43"/>
  <c r="J420" i="43"/>
  <c r="N130" i="43"/>
  <c r="J416" i="43"/>
  <c r="Z130" i="43"/>
  <c r="J428" i="43"/>
  <c r="E130" i="43"/>
  <c r="J407" i="43"/>
  <c r="AB130" i="43"/>
  <c r="J430" i="43"/>
  <c r="AE130" i="43"/>
  <c r="J433" i="43"/>
  <c r="S130" i="43"/>
  <c r="J421" i="43"/>
  <c r="AF130" i="43"/>
  <c r="J434" i="43"/>
  <c r="I130" i="43"/>
  <c r="J411" i="43"/>
  <c r="X130" i="43"/>
  <c r="J426" i="43"/>
  <c r="M130" i="43"/>
  <c r="J415" i="43"/>
  <c r="P130" i="43"/>
  <c r="J418" i="43"/>
  <c r="W130" i="43"/>
  <c r="J425" i="43"/>
  <c r="C130" i="43"/>
  <c r="J405" i="43"/>
  <c r="V130" i="43"/>
  <c r="J424" i="43"/>
  <c r="K130" i="43"/>
  <c r="J413" i="43"/>
  <c r="Q130" i="43"/>
  <c r="J419" i="43"/>
  <c r="L130" i="43"/>
  <c r="J414" i="43"/>
  <c r="Y130" i="43"/>
  <c r="J427" i="43"/>
  <c r="G130" i="43"/>
  <c r="J409" i="43"/>
  <c r="T130" i="43"/>
  <c r="J422" i="43"/>
  <c r="J130" i="43"/>
  <c r="J412" i="43"/>
  <c r="AC130" i="43"/>
  <c r="J431" i="43"/>
  <c r="D130" i="43"/>
  <c r="J406" i="43"/>
  <c r="AA130" i="43"/>
  <c r="J429" i="43"/>
  <c r="H130" i="43"/>
  <c r="J410" i="43"/>
  <c r="U130" i="43"/>
  <c r="J423" i="43"/>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<sst xmlns="http://schemas.openxmlformats.org/spreadsheetml/2006/main" count="311" uniqueCount="164">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</sst>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-3.5999508571428571E-4</c:v>
                </c:pt>
                <c:pt idx="1">
                  <c:v>-3.6278599999999998E-4</c:v>
                </c:pt>
                <c:pt idx="2">
                  <c:v>-3.7324014285714294E-4</c:v>
                </c:pt>
                <c:pt idx="3">
                  <c:v>-3.806628857142857E-4</c:v>
                </c:pt>
                <c:pt idx="4">
                  <c:v>-3.878932285714286E-4</c:v>
                </c:pt>
                <c:pt idx="5">
                  <c:v>-3.9618314285714287E-4</c:v>
                </c:pt>
                <c:pt idx="6">
                  <c:v>-4.0530537142857145E-4</c:v>
                </c:pt>
                <c:pt idx="7">
                  <c:v>-4.1631285714285719E-4</c:v>
                </c:pt>
                <c:pt idx="8">
                  <c:v>-4.2841082857142859E-4</c:v>
                </c:pt>
                <c:pt idx="9">
                  <c:v>-4.4282602857142865E-4</c:v>
                </c:pt>
                <c:pt idx="10">
                  <c:v>-4.5658385714285717E-4</c:v>
                </c:pt>
                <c:pt idx="11">
                  <c:v>-4.7222405714285716E-4</c:v>
                </c:pt>
                <c:pt idx="12">
                  <c:v>-4.9287082857142855E-4</c:v>
                </c:pt>
                <c:pt idx="13">
                  <c:v>-5.1801585714285716E-4</c:v>
                </c:pt>
                <c:pt idx="14">
                  <c:v>-5.4382945714285722E-4</c:v>
                </c:pt>
                <c:pt idx="15">
                  <c:v>-5.6631957142857148E-4</c:v>
                </c:pt>
                <c:pt idx="16">
                  <c:v>-5.9135617142857145E-4</c:v>
                </c:pt>
                <c:pt idx="17">
                  <c:v>-6.1750360000000003E-4</c:v>
                </c:pt>
                <c:pt idx="18">
                  <c:v>-6.4772062857142859E-4</c:v>
                </c:pt>
                <c:pt idx="19">
                  <c:v>-6.7977485714285719E-4</c:v>
                </c:pt>
                <c:pt idx="20">
                  <c:v>-7.3137274285714287E-4</c:v>
                </c:pt>
                <c:pt idx="21">
                  <c:v>-8.0382091428571442E-4</c:v>
                </c:pt>
                <c:pt idx="22">
                  <c:v>-9.0442820000000005E-4</c:v>
                </c:pt>
                <c:pt idx="23">
                  <c:v>-1.0340307714285716E-3</c:v>
                </c:pt>
                <c:pt idx="24">
                  <c:v>-1.2221332857142858E-3</c:v>
                </c:pt>
                <c:pt idx="25">
                  <c:v>-1.5110083142857143E-3</c:v>
                </c:pt>
                <c:pt idx="26">
                  <c:v>-2.0067045714285713E-3</c:v>
                </c:pt>
                <c:pt idx="27">
                  <c:v>-2.7355667999999999E-3</c:v>
                </c:pt>
                <c:pt idx="28">
                  <c:v>-3.7568405714285716E-3</c:v>
                </c:pt>
                <c:pt idx="29">
                  <c:v>-4.6848757142857146E-3</c:v>
                </c:pt>
                <c:pt idx="30">
                  <c:v>-5.4542020000000009E-3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-3.6499157142857151E-4</c:v>
                </c:pt>
                <c:pt idx="1">
                  <c:v>-3.7702474285714288E-4</c:v>
                </c:pt>
                <c:pt idx="2">
                  <c:v>-3.8432448571428576E-4</c:v>
                </c:pt>
                <c:pt idx="3">
                  <c:v>-3.9200328571428571E-4</c:v>
                </c:pt>
                <c:pt idx="4">
                  <c:v>-4.0057774285714288E-4</c:v>
                </c:pt>
                <c:pt idx="5">
                  <c:v>-4.1050514285714286E-4</c:v>
                </c:pt>
                <c:pt idx="6">
                  <c:v>-4.2189285714285712E-4</c:v>
                </c:pt>
                <c:pt idx="7">
                  <c:v>-4.350891142857143E-4</c:v>
                </c:pt>
                <c:pt idx="8">
                  <c:v>-4.4929674285714289E-4</c:v>
                </c:pt>
                <c:pt idx="9">
                  <c:v>-4.6354088571428579E-4</c:v>
                </c:pt>
                <c:pt idx="10">
                  <c:v>-4.8108748571428574E-4</c:v>
                </c:pt>
                <c:pt idx="11">
                  <c:v>-5.0375437142857141E-4</c:v>
                </c:pt>
                <c:pt idx="12">
                  <c:v>-5.2969905714285719E-4</c:v>
                </c:pt>
                <c:pt idx="13">
                  <c:v>-5.5408702857142863E-4</c:v>
                </c:pt>
                <c:pt idx="14">
                  <c:v>-5.774936857142857E-4</c:v>
                </c:pt>
                <c:pt idx="15">
                  <c:v>-6.0290725714285721E-4</c:v>
                </c:pt>
                <c:pt idx="16">
                  <c:v>-6.3093077142857145E-4</c:v>
                </c:pt>
                <c:pt idx="17">
                  <c:v>-6.6142368571428577E-4</c:v>
                </c:pt>
                <c:pt idx="18">
                  <c:v>-7.0192851428571438E-4</c:v>
                </c:pt>
                <c:pt idx="19">
                  <c:v>-7.6508594285714293E-4</c:v>
                </c:pt>
                <c:pt idx="20">
                  <c:v>-8.4982022857142865E-4</c:v>
                </c:pt>
                <c:pt idx="21">
                  <c:v>-9.6031400000000009E-4</c:v>
                </c:pt>
                <c:pt idx="22">
                  <c:v>-1.1084513428571429E-3</c:v>
                </c:pt>
                <c:pt idx="23">
                  <c:v>-1.3287063714285715E-3</c:v>
                </c:pt>
                <c:pt idx="24">
                  <c:v>-1.6862730571428571E-3</c:v>
                </c:pt>
                <c:pt idx="25">
                  <c:v>-2.2753457428571428E-3</c:v>
                </c:pt>
                <c:pt idx="26">
                  <c:v>-3.1217257142857145E-3</c:v>
                </c:pt>
                <c:pt idx="27">
                  <c:v>-4.1663445714285718E-3</c:v>
                </c:pt>
                <c:pt idx="28">
                  <c:v>-5.0214025714285723E-3</c:v>
                </c:pt>
                <c:pt idx="29">
                  <c:v>-5.6401380000000003E-3</c:v>
                </c:pt>
                <c:pt idx="30">
                  <c:v>-5.9958525714285723E-3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-3.7633954285714287E-4</c:v>
                </c:pt>
                <c:pt idx="1">
                  <c:v>-3.8540391428571434E-4</c:v>
                </c:pt>
                <c:pt idx="2">
                  <c:v>-3.9335028571428572E-4</c:v>
                </c:pt>
                <c:pt idx="3">
                  <c:v>-4.0201937142857143E-4</c:v>
                </c:pt>
                <c:pt idx="4">
                  <c:v>-4.1216908571428576E-4</c:v>
                </c:pt>
                <c:pt idx="5">
                  <c:v>-4.2365497142857146E-4</c:v>
                </c:pt>
                <c:pt idx="6">
                  <c:v>-4.3714400000000004E-4</c:v>
                </c:pt>
                <c:pt idx="7">
                  <c:v>-4.5126900000000002E-4</c:v>
                </c:pt>
                <c:pt idx="8">
                  <c:v>-4.6570742857142861E-4</c:v>
                </c:pt>
                <c:pt idx="9">
                  <c:v>-4.8378871428571426E-4</c:v>
                </c:pt>
                <c:pt idx="10">
                  <c:v>-5.0694940000000006E-4</c:v>
                </c:pt>
                <c:pt idx="11">
                  <c:v>-5.3302717142857147E-4</c:v>
                </c:pt>
                <c:pt idx="12">
                  <c:v>-5.5704579999999999E-4</c:v>
                </c:pt>
                <c:pt idx="13">
                  <c:v>-5.8081520000000011E-4</c:v>
                </c:pt>
                <c:pt idx="14">
                  <c:v>-6.0632237142857145E-4</c:v>
                </c:pt>
                <c:pt idx="15">
                  <c:v>-6.3484974285714293E-4</c:v>
                </c:pt>
                <c:pt idx="16">
                  <c:v>-6.6514245714285717E-4</c:v>
                </c:pt>
                <c:pt idx="17">
                  <c:v>-7.0607157142857152E-4</c:v>
                </c:pt>
                <c:pt idx="18">
                  <c:v>-7.6816097142857142E-4</c:v>
                </c:pt>
                <c:pt idx="19">
                  <c:v>-8.5432602857142862E-4</c:v>
                </c:pt>
                <c:pt idx="20">
                  <c:v>-9.6764748571428582E-4</c:v>
                </c:pt>
                <c:pt idx="21">
                  <c:v>-1.1218572857142858E-3</c:v>
                </c:pt>
                <c:pt idx="22">
                  <c:v>-1.3513724571428572E-3</c:v>
                </c:pt>
                <c:pt idx="23">
                  <c:v>-1.7279395999999999E-3</c:v>
                </c:pt>
                <c:pt idx="24">
                  <c:v>-2.3361168857142858E-3</c:v>
                </c:pt>
                <c:pt idx="25">
                  <c:v>-3.210096E-3</c:v>
                </c:pt>
                <c:pt idx="26">
                  <c:v>-4.2436945714285712E-3</c:v>
                </c:pt>
                <c:pt idx="27">
                  <c:v>-5.0913620000000003E-3</c:v>
                </c:pt>
                <c:pt idx="28">
                  <c:v>-5.6714805714285716E-3</c:v>
                </c:pt>
                <c:pt idx="29">
                  <c:v>-6.0295740000000002E-3</c:v>
                </c:pt>
                <c:pt idx="30">
                  <c:v>-6.2946374285714288E-3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-3.8382265714285714E-4</c:v>
                </c:pt>
                <c:pt idx="1">
                  <c:v>-3.9338445714285714E-4</c:v>
                </c:pt>
                <c:pt idx="2">
                  <c:v>-4.0219902857142859E-4</c:v>
                </c:pt>
                <c:pt idx="3">
                  <c:v>-4.1229211428571433E-4</c:v>
                </c:pt>
                <c:pt idx="4">
                  <c:v>-4.237640857142858E-4</c:v>
                </c:pt>
                <c:pt idx="5">
                  <c:v>-4.3715760000000002E-4</c:v>
                </c:pt>
                <c:pt idx="6">
                  <c:v>-4.5135482857142859E-4</c:v>
                </c:pt>
                <c:pt idx="7">
                  <c:v>-4.6574105714285716E-4</c:v>
                </c:pt>
                <c:pt idx="8">
                  <c:v>-4.8362802857142864E-4</c:v>
                </c:pt>
                <c:pt idx="9">
                  <c:v>-5.0662740000000008E-4</c:v>
                </c:pt>
                <c:pt idx="10">
                  <c:v>-5.3271571428571435E-4</c:v>
                </c:pt>
                <c:pt idx="11">
                  <c:v>-5.569610571428572E-4</c:v>
                </c:pt>
                <c:pt idx="12">
                  <c:v>-5.8063117142857139E-4</c:v>
                </c:pt>
                <c:pt idx="13">
                  <c:v>-6.0616185714285715E-4</c:v>
                </c:pt>
                <c:pt idx="14">
                  <c:v>-6.3452037142857146E-4</c:v>
                </c:pt>
                <c:pt idx="15">
                  <c:v>-6.6471354285714285E-4</c:v>
                </c:pt>
                <c:pt idx="16">
                  <c:v>-7.0354954285714285E-4</c:v>
                </c:pt>
                <c:pt idx="17">
                  <c:v>-7.6183774285714279E-4</c:v>
                </c:pt>
                <c:pt idx="18">
                  <c:v>-8.4521674285714286E-4</c:v>
                </c:pt>
                <c:pt idx="19">
                  <c:v>-9.5746677142857144E-4</c:v>
                </c:pt>
                <c:pt idx="20">
                  <c:v>-1.1098411428571431E-3</c:v>
                </c:pt>
                <c:pt idx="21">
                  <c:v>-1.3359454857142859E-3</c:v>
                </c:pt>
                <c:pt idx="22">
                  <c:v>-1.7043230571428571E-3</c:v>
                </c:pt>
                <c:pt idx="23">
                  <c:v>-2.3040462857142857E-3</c:v>
                </c:pt>
                <c:pt idx="24">
                  <c:v>-3.1656362857142859E-3</c:v>
                </c:pt>
                <c:pt idx="25">
                  <c:v>-4.2048082857142864E-3</c:v>
                </c:pt>
                <c:pt idx="26">
                  <c:v>-5.0564605714285716E-3</c:v>
                </c:pt>
                <c:pt idx="27">
                  <c:v>-5.6548028571428571E-3</c:v>
                </c:pt>
                <c:pt idx="28">
                  <c:v>-6.0127154285714293E-3</c:v>
                </c:pt>
                <c:pt idx="29">
                  <c:v>-6.2865677142857146E-3</c:v>
                </c:pt>
                <c:pt idx="30">
                  <c:v>-6.4140320000000009E-3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-3.9366482857142865E-4</c:v>
                </c:pt>
                <c:pt idx="1">
                  <c:v>-4.0491805714285717E-4</c:v>
                </c:pt>
                <c:pt idx="2">
                  <c:v>-4.1571082857142861E-4</c:v>
                </c:pt>
                <c:pt idx="3">
                  <c:v>-4.2745811428571433E-4</c:v>
                </c:pt>
                <c:pt idx="4">
                  <c:v>-4.4150500000000002E-4</c:v>
                </c:pt>
                <c:pt idx="5">
                  <c:v>-4.554939428571429E-4</c:v>
                </c:pt>
                <c:pt idx="6">
                  <c:v>-4.7038757142857146E-4</c:v>
                </c:pt>
                <c:pt idx="7">
                  <c:v>-4.8958205714285719E-4</c:v>
                </c:pt>
                <c:pt idx="8">
                  <c:v>-5.1373637142857148E-4</c:v>
                </c:pt>
                <c:pt idx="9">
                  <c:v>-5.4002100000000001E-4</c:v>
                </c:pt>
                <c:pt idx="10">
                  <c:v>-5.6337371428571439E-4</c:v>
                </c:pt>
                <c:pt idx="11">
                  <c:v>-5.8787177142857142E-4</c:v>
                </c:pt>
                <c:pt idx="12">
                  <c:v>-6.1364405714285717E-4</c:v>
                </c:pt>
                <c:pt idx="13">
                  <c:v>-6.4314922857142858E-4</c:v>
                </c:pt>
                <c:pt idx="14">
                  <c:v>-6.7329702857142854E-4</c:v>
                </c:pt>
                <c:pt idx="15">
                  <c:v>-7.1481365714285718E-4</c:v>
                </c:pt>
                <c:pt idx="16">
                  <c:v>-7.7185057142857148E-4</c:v>
                </c:pt>
                <c:pt idx="17">
                  <c:v>-8.5811151428571433E-4</c:v>
                </c:pt>
                <c:pt idx="18">
                  <c:v>-9.7714334285714283E-4</c:v>
                </c:pt>
                <c:pt idx="19">
                  <c:v>-1.1450628000000001E-3</c:v>
                </c:pt>
                <c:pt idx="20">
                  <c:v>-1.3958689142857146E-3</c:v>
                </c:pt>
                <c:pt idx="21">
                  <c:v>-1.8148498000000002E-3</c:v>
                </c:pt>
                <c:pt idx="22">
                  <c:v>-2.464179485714286E-3</c:v>
                </c:pt>
                <c:pt idx="23">
                  <c:v>-3.3960300000000004E-3</c:v>
                </c:pt>
                <c:pt idx="24">
                  <c:v>-4.3980477142857143E-3</c:v>
                </c:pt>
                <c:pt idx="25">
                  <c:v>-5.2293177142857146E-3</c:v>
                </c:pt>
                <c:pt idx="26">
                  <c:v>-5.7320725714285724E-3</c:v>
                </c:pt>
                <c:pt idx="27">
                  <c:v>-6.0948040000000005E-3</c:v>
                </c:pt>
                <c:pt idx="28">
                  <c:v>-6.3178514285714285E-3</c:v>
                </c:pt>
                <c:pt idx="29">
                  <c:v>-6.4428497142857144E-3</c:v>
                </c:pt>
                <c:pt idx="30">
                  <c:v>-6.7568782857142864E-3</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-4.2099691428571434E-4</c:v>
                </c:pt>
                <c:pt idx="1">
                  <c:v>-4.3679314285714293E-4</c:v>
                </c:pt>
                <c:pt idx="2">
                  <c:v>-4.5152640000000003E-4</c:v>
                </c:pt>
                <c:pt idx="3">
                  <c:v>-4.6579128571428574E-4</c:v>
                </c:pt>
                <c:pt idx="4">
                  <c:v>-4.8305622857142865E-4</c:v>
                </c:pt>
                <c:pt idx="5">
                  <c:v>-5.0552008571428568E-4</c:v>
                </c:pt>
                <c:pt idx="6">
                  <c:v>-5.3161102857142862E-4</c:v>
                </c:pt>
                <c:pt idx="7">
                  <c:v>-5.5661174285714281E-4</c:v>
                </c:pt>
                <c:pt idx="8">
                  <c:v>-5.7996000000000002E-4</c:v>
                </c:pt>
                <c:pt idx="9">
                  <c:v>-6.0558114285714289E-4</c:v>
                </c:pt>
                <c:pt idx="10">
                  <c:v>-6.3340537142857146E-4</c:v>
                </c:pt>
                <c:pt idx="11">
                  <c:v>-6.6375940000000001E-4</c:v>
                </c:pt>
                <c:pt idx="12">
                  <c:v>-6.9877779999999998E-4</c:v>
                </c:pt>
                <c:pt idx="13">
                  <c:v>-7.4557468571428585E-4</c:v>
                </c:pt>
                <c:pt idx="14">
                  <c:v>-8.0384180000000007E-4</c:v>
                </c:pt>
                <c:pt idx="15">
                  <c:v>-8.9073805714285725E-4</c:v>
                </c:pt>
                <c:pt idx="16">
                  <c:v>-1.0281325428571429E-3</c:v>
                </c:pt>
                <c:pt idx="17">
                  <c:v>-1.2448388857142858E-3</c:v>
                </c:pt>
                <c:pt idx="18">
                  <c:v>-1.5896212285714288E-3</c:v>
                </c:pt>
                <c:pt idx="19">
                  <c:v>-2.1613843714285716E-3</c:v>
                </c:pt>
                <c:pt idx="20">
                  <c:v>-2.981823142857143E-3</c:v>
                </c:pt>
                <c:pt idx="21">
                  <c:v>-4.0335100000000006E-3</c:v>
                </c:pt>
                <c:pt idx="22">
                  <c:v>-4.9064134285714284E-3</c:v>
                </c:pt>
                <c:pt idx="23">
                  <c:v>-5.5716142857142863E-3</c:v>
                </c:pt>
                <c:pt idx="24">
                  <c:v>-5.9386188571428581E-3</c:v>
                </c:pt>
                <c:pt idx="25">
                  <c:v>-6.2464694285714285E-3</c:v>
                </c:pt>
                <c:pt idx="26">
                  <c:v>-6.358090857142857E-3</c:v>
                </c:pt>
                <c:pt idx="27">
                  <c:v>-6.6076685714285726E-3</c:v>
                </c:pt>
                <c:pt idx="28">
                  <c:v>-6.8895494285714292E-3</c:v>
                </c:pt>
                <c:pt idx="29">
                  <c:v>-6.9306028571428577E-3</c:v>
                </c:pt>
                <c:pt idx="30">
                  <c:v>-6.9356111428571432E-3</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-4.5570065714285718E-4</c:v>
                </c:pt>
                <c:pt idx="1">
                  <c:v>-4.7502377142857145E-4</c:v>
                </c:pt>
                <c:pt idx="2">
                  <c:v>-4.9555025714285712E-4</c:v>
                </c:pt>
                <c:pt idx="3">
                  <c:v>-5.2058842857142867E-4</c:v>
                </c:pt>
                <c:pt idx="4">
                  <c:v>-5.4701862857142855E-4</c:v>
                </c:pt>
                <c:pt idx="5">
                  <c:v>-5.7006357142857145E-4</c:v>
                </c:pt>
                <c:pt idx="6">
                  <c:v>-5.9517077142857142E-4</c:v>
                </c:pt>
                <c:pt idx="7">
                  <c:v>-6.2135062857142864E-4</c:v>
                </c:pt>
                <c:pt idx="8">
                  <c:v>-6.5162028571428578E-4</c:v>
                </c:pt>
                <c:pt idx="9">
                  <c:v>-6.8221957142857142E-4</c:v>
                </c:pt>
                <c:pt idx="10">
                  <c:v>-7.24981542857143E-4</c:v>
                </c:pt>
                <c:pt idx="11">
                  <c:v>-7.7555411428571427E-4</c:v>
                </c:pt>
                <c:pt idx="12">
                  <c:v>-8.4309208571428575E-4</c:v>
                </c:pt>
                <c:pt idx="13">
                  <c:v>-9.3429554285714294E-4</c:v>
                </c:pt>
                <c:pt idx="14">
                  <c:v>-1.0801062E-3</c:v>
                </c:pt>
                <c:pt idx="15">
                  <c:v>-1.3319143428571429E-3</c:v>
                </c:pt>
                <c:pt idx="16">
                  <c:v>-1.7799718571428571E-3</c:v>
                </c:pt>
                <c:pt idx="17">
                  <c:v>-2.461023085714286E-3</c:v>
                </c:pt>
                <c:pt idx="18">
                  <c:v>-3.4348485714285715E-3</c:v>
                </c:pt>
                <c:pt idx="19">
                  <c:v>-4.4121640000000005E-3</c:v>
                </c:pt>
                <c:pt idx="20">
                  <c:v>-5.2413105714285719E-3</c:v>
                </c:pt>
                <c:pt idx="21">
                  <c:v>-5.7147317142857146E-3</c:v>
                </c:pt>
                <c:pt idx="22">
                  <c:v>-6.0956394285714291E-3</c:v>
                </c:pt>
                <c:pt idx="23">
                  <c:v>-6.2988837142857138E-3</c:v>
                </c:pt>
                <c:pt idx="24">
                  <c:v>-6.4397999999999999E-3</c:v>
                </c:pt>
                <c:pt idx="25">
                  <c:v>-6.7772074285714287E-3</c:v>
                </c:pt>
                <c:pt idx="26">
                  <c:v>-6.9143051428571436E-3</c:v>
                </c:pt>
                <c:pt idx="27">
                  <c:v>-6.9280194285714298E-3</c:v>
                </c:pt>
                <c:pt idx="28">
                  <c:v>-6.9320440000000001E-3</c:v>
                </c:pt>
                <c:pt idx="29">
                  <c:v>-6.9347925714285724E-3</c:v>
                </c:pt>
                <c:pt idx="30">
                  <c:v>-6.9376311428571442E-3</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445451192"/>
        <c:axId val="44545158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54511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451584"/>
        <c:crossesAt val="-8.0000000000000019E-3"/>
        <c:crossBetween val="midCat"/>
      </c:valAx>
      <c:valAx>
        <c:axId val="4454515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4511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27778.156971666598</c:v>
                </c:pt>
                <c:pt idx="1">
                  <c:v>27564.45948851389</c:v>
                </c:pt>
                <c:pt idx="2">
                  <c:v>26792.4021340531</c:v>
                </c:pt>
                <c:pt idx="3">
                  <c:v>26269.963201786119</c:v>
                </c:pt>
                <c:pt idx="4">
                  <c:v>25780.290202097585</c:v>
                </c:pt>
                <c:pt idx="5">
                  <c:v>25240.85181384367</c:v>
                </c:pt>
                <c:pt idx="6">
                  <c:v>24672.754680633043</c:v>
                </c:pt>
                <c:pt idx="7">
                  <c:v>24020.396748324576</c:v>
                </c:pt>
                <c:pt idx="8">
                  <c:v>23342.080388924409</c:v>
                </c:pt>
                <c:pt idx="9">
                  <c:v>22582.231745185189</c:v>
                </c:pt>
                <c:pt idx="10">
                  <c:v>21901.781772523715</c:v>
                </c:pt>
                <c:pt idx="11">
                  <c:v>21176.388302840744</c:v>
                </c:pt>
                <c:pt idx="12">
                  <c:v>20289.291677060097</c:v>
                </c:pt>
                <c:pt idx="13">
                  <c:v>19304.428353130945</c:v>
                </c:pt>
                <c:pt idx="14">
                  <c:v>18388.117577406487</c:v>
                </c:pt>
                <c:pt idx="15">
                  <c:v>17657.874642711824</c:v>
                </c:pt>
                <c:pt idx="16">
                  <c:v>16910.282640396654</c:v>
                </c:pt>
                <c:pt idx="17">
                  <c:v>16194.23757205626</c:v>
                </c:pt>
                <c:pt idx="18">
                  <c:v>15438.754856480893</c:v>
                </c:pt>
                <c:pt idx="19">
                  <c:v>14710.752971992406</c:v>
                </c:pt>
                <c:pt idx="20">
                  <c:v>13672.918628242171</c:v>
                </c:pt>
                <c:pt idx="21">
                  <c:v>12440.582003127063</c:v>
                </c:pt>
                <c:pt idx="22">
                  <c:v>11056.709642622818</c:v>
                </c:pt>
                <c:pt idx="23">
                  <c:v>9670.892082045526</c:v>
                </c:pt>
                <c:pt idx="24">
                  <c:v>8182.4135852378968</c:v>
                </c:pt>
                <c:pt idx="25">
                  <c:v>6618.0972701842556</c:v>
                </c:pt>
                <c:pt idx="26">
                  <c:v>4983.2945727935466</c:v>
                </c:pt>
                <c:pt idx="27">
                  <c:v>3655.5495555802186</c:v>
                </c:pt>
                <c:pt idx="28">
                  <c:v>2661.8111175788895</c:v>
                </c:pt>
                <c:pt idx="29">
                  <c:v>2134.5283439444802</c:v>
                </c:pt>
                <c:pt idx="30">
                  <c:v>1833.4487794914817</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27397.892945473101</c:v>
                </c:pt>
                <c:pt idx="1">
                  <c:v>26523.458180008798</c:v>
                </c:pt>
                <c:pt idx="2">
                  <c:v>26019.67965016466</c:v>
                </c:pt>
                <c:pt idx="3">
                  <c:v>25509.990258828006</c:v>
                </c:pt>
                <c:pt idx="4">
                  <c:v>24963.943150396844</c:v>
                </c:pt>
                <c:pt idx="5">
                  <c:v>24360.23074010557</c:v>
                </c:pt>
                <c:pt idx="6">
                  <c:v>23702.700414797258</c:v>
                </c:pt>
                <c:pt idx="7">
                  <c:v>22983.797276603891</c:v>
                </c:pt>
                <c:pt idx="8">
                  <c:v>22257.005328835807</c:v>
                </c:pt>
                <c:pt idx="9">
                  <c:v>21573.070053120908</c:v>
                </c:pt>
                <c:pt idx="10">
                  <c:v>20786.240126684414</c:v>
                </c:pt>
                <c:pt idx="11">
                  <c:v>19850.944363304498</c:v>
                </c:pt>
                <c:pt idx="12">
                  <c:v>18878.644137935571</c:v>
                </c:pt>
                <c:pt idx="13">
                  <c:v>18047.706378874158</c:v>
                </c:pt>
                <c:pt idx="14">
                  <c:v>17316.206648443753</c:v>
                </c:pt>
                <c:pt idx="15">
                  <c:v>16586.298939889071</c:v>
                </c:pt>
                <c:pt idx="16">
                  <c:v>15849.59943760187</c:v>
                </c:pt>
                <c:pt idx="17">
                  <c:v>15118.902174180206</c:v>
                </c:pt>
                <c:pt idx="18">
                  <c:v>14246.464983939348</c:v>
                </c:pt>
                <c:pt idx="19">
                  <c:v>13070.427045955023</c:v>
                </c:pt>
                <c:pt idx="20">
                  <c:v>11767.194594567696</c:v>
                </c:pt>
                <c:pt idx="21">
                  <c:v>10413.260662658255</c:v>
                </c:pt>
                <c:pt idx="22">
                  <c:v>9021.5958187429424</c:v>
                </c:pt>
                <c:pt idx="23">
                  <c:v>7526.1172935058657</c:v>
                </c:pt>
                <c:pt idx="24">
                  <c:v>5930.2376668127145</c:v>
                </c:pt>
                <c:pt idx="25">
                  <c:v>4394.9364756509658</c:v>
                </c:pt>
                <c:pt idx="26">
                  <c:v>3203.3563852960447</c:v>
                </c:pt>
                <c:pt idx="27">
                  <c:v>2400.1855412000077</c:v>
                </c:pt>
                <c:pt idx="28">
                  <c:v>1991.4754608402236</c:v>
                </c:pt>
                <c:pt idx="29">
                  <c:v>1773.0062633219256</c:v>
                </c:pt>
                <c:pt idx="30">
                  <c:v>1667.8195270597521</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26571.749341248375</c:v>
                </c:pt>
                <c:pt idx="1">
                  <c:v>25946.804454577039</c:v>
                </c:pt>
                <c:pt idx="2">
                  <c:v>25422.633116538804</c:v>
                </c:pt>
                <c:pt idx="3">
                  <c:v>24874.423250962038</c:v>
                </c:pt>
                <c:pt idx="4">
                  <c:v>24261.887527712272</c:v>
                </c:pt>
                <c:pt idx="5">
                  <c:v>23604.113428150831</c:v>
                </c:pt>
                <c:pt idx="6">
                  <c:v>22875.757187562907</c:v>
                </c:pt>
                <c:pt idx="7">
                  <c:v>22159.731778606551</c:v>
                </c:pt>
                <c:pt idx="8">
                  <c:v>21472.708800620374</c:v>
                </c:pt>
                <c:pt idx="9">
                  <c:v>20670.180400475889</c:v>
                </c:pt>
                <c:pt idx="10">
                  <c:v>19725.834570471921</c:v>
                </c:pt>
                <c:pt idx="11">
                  <c:v>18760.769686841479</c:v>
                </c:pt>
                <c:pt idx="12">
                  <c:v>17951.845252221632</c:v>
                </c:pt>
                <c:pt idx="13">
                  <c:v>17217.180266632138</c:v>
                </c:pt>
                <c:pt idx="14">
                  <c:v>16492.876514582083</c:v>
                </c:pt>
                <c:pt idx="15">
                  <c:v>15751.758762624639</c:v>
                </c:pt>
                <c:pt idx="16">
                  <c:v>15034.373302458171</c:v>
                </c:pt>
                <c:pt idx="17">
                  <c:v>14162.870174431931</c:v>
                </c:pt>
                <c:pt idx="18">
                  <c:v>13018.104761821871</c:v>
                </c:pt>
                <c:pt idx="19">
                  <c:v>11705.13324605317</c:v>
                </c:pt>
                <c:pt idx="20">
                  <c:v>10334.341945422744</c:v>
                </c:pt>
                <c:pt idx="21">
                  <c:v>8913.7897728524422</c:v>
                </c:pt>
                <c:pt idx="22">
                  <c:v>7399.8844264907739</c:v>
                </c:pt>
                <c:pt idx="23">
                  <c:v>5787.2393224855778</c:v>
                </c:pt>
                <c:pt idx="24">
                  <c:v>4280.6077303543925</c:v>
                </c:pt>
                <c:pt idx="25">
                  <c:v>3115.1716334963194</c:v>
                </c:pt>
                <c:pt idx="26">
                  <c:v>2356.4372580738441</c:v>
                </c:pt>
                <c:pt idx="27">
                  <c:v>1964.1109785554434</c:v>
                </c:pt>
                <c:pt idx="28">
                  <c:v>1763.2080149189565</c:v>
                </c:pt>
                <c:pt idx="29">
                  <c:v>1658.491959796828</c:v>
                </c:pt>
                <c:pt idx="30">
                  <c:v>1588.6538523426129</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26053.699055806504</c:v>
                </c:pt>
                <c:pt idx="1">
                  <c:v>25420.424773845374</c:v>
                </c:pt>
                <c:pt idx="2">
                  <c:v>24863.312165419735</c:v>
                </c:pt>
                <c:pt idx="3">
                  <c:v>24254.64774489987</c:v>
                </c:pt>
                <c:pt idx="4">
                  <c:v>23598.035645574491</c:v>
                </c:pt>
                <c:pt idx="5">
                  <c:v>22875.045521340588</c:v>
                </c:pt>
                <c:pt idx="6">
                  <c:v>22155.517936189448</c:v>
                </c:pt>
                <c:pt idx="7">
                  <c:v>21471.158375742449</c:v>
                </c:pt>
                <c:pt idx="8">
                  <c:v>20677.048080812518</c:v>
                </c:pt>
                <c:pt idx="9">
                  <c:v>19738.371829079908</c:v>
                </c:pt>
                <c:pt idx="10">
                  <c:v>18771.738343420904</c:v>
                </c:pt>
                <c:pt idx="11">
                  <c:v>17954.576665195927</c:v>
                </c:pt>
                <c:pt idx="12">
                  <c:v>17222.637178428147</c:v>
                </c:pt>
                <c:pt idx="13">
                  <c:v>16497.243899731639</c:v>
                </c:pt>
                <c:pt idx="14">
                  <c:v>15759.935299611905</c:v>
                </c:pt>
                <c:pt idx="15">
                  <c:v>15044.074409883286</c:v>
                </c:pt>
                <c:pt idx="16">
                  <c:v>14213.640107546087</c:v>
                </c:pt>
                <c:pt idx="17">
                  <c:v>13126.154609374827</c:v>
                </c:pt>
                <c:pt idx="18">
                  <c:v>11831.284797076225</c:v>
                </c:pt>
                <c:pt idx="19">
                  <c:v>10444.226680660338</c:v>
                </c:pt>
                <c:pt idx="20">
                  <c:v>9010.2985137641299</c:v>
                </c:pt>
                <c:pt idx="21">
                  <c:v>7485.3353725382967</c:v>
                </c:pt>
                <c:pt idx="22">
                  <c:v>5867.432208987475</c:v>
                </c:pt>
                <c:pt idx="23">
                  <c:v>4340.1905864490318</c:v>
                </c:pt>
                <c:pt idx="24">
                  <c:v>3158.9225980026404</c:v>
                </c:pt>
                <c:pt idx="25">
                  <c:v>2378.2297123925264</c:v>
                </c:pt>
                <c:pt idx="26">
                  <c:v>1977.667947517439</c:v>
                </c:pt>
                <c:pt idx="27">
                  <c:v>1768.4082456329159</c:v>
                </c:pt>
                <c:pt idx="28">
                  <c:v>1663.1420726285587</c:v>
                </c:pt>
                <c:pt idx="29">
                  <c:v>1590.6931181661835</c:v>
                </c:pt>
                <c:pt idx="30">
                  <c:v>1559.0817133434941</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25402.320131795943</c:v>
                </c:pt>
                <c:pt idx="1">
                  <c:v>24696.354789808618</c:v>
                </c:pt>
                <c:pt idx="2">
                  <c:v>24055.182864407325</c:v>
                </c:pt>
                <c:pt idx="3">
                  <c:v>23394.104979642449</c:v>
                </c:pt>
                <c:pt idx="4">
                  <c:v>22649.800115513979</c:v>
                </c:pt>
                <c:pt idx="5">
                  <c:v>21954.188758853183</c:v>
                </c:pt>
                <c:pt idx="6">
                  <c:v>21259.065093131409</c:v>
                </c:pt>
                <c:pt idx="7">
                  <c:v>20425.585157999485</c:v>
                </c:pt>
                <c:pt idx="8">
                  <c:v>19465.236561298003</c:v>
                </c:pt>
                <c:pt idx="9">
                  <c:v>18517.798381914778</c:v>
                </c:pt>
                <c:pt idx="10">
                  <c:v>17750.206916697767</c:v>
                </c:pt>
                <c:pt idx="11">
                  <c:v>17010.512302196905</c:v>
                </c:pt>
                <c:pt idx="12">
                  <c:v>16296.091982965276</c:v>
                </c:pt>
                <c:pt idx="13">
                  <c:v>15548.491012283619</c:v>
                </c:pt>
                <c:pt idx="14">
                  <c:v>14852.2859535227</c:v>
                </c:pt>
                <c:pt idx="15">
                  <c:v>13989.659962528494</c:v>
                </c:pt>
                <c:pt idx="16">
                  <c:v>12955.875619152041</c:v>
                </c:pt>
                <c:pt idx="17">
                  <c:v>11653.497049650856</c:v>
                </c:pt>
                <c:pt idx="18">
                  <c:v>10233.913041622172</c:v>
                </c:pt>
                <c:pt idx="19">
                  <c:v>8733.14546590807</c:v>
                </c:pt>
                <c:pt idx="20">
                  <c:v>7163.9964882498571</c:v>
                </c:pt>
                <c:pt idx="21">
                  <c:v>5510.0978604400207</c:v>
                </c:pt>
                <c:pt idx="22">
                  <c:v>4058.1459499900525</c:v>
                </c:pt>
                <c:pt idx="23">
                  <c:v>2944.6147413303179</c:v>
                </c:pt>
                <c:pt idx="24">
                  <c:v>2273.7361324021235</c:v>
                </c:pt>
                <c:pt idx="25">
                  <c:v>1912.2953598098456</c:v>
                </c:pt>
                <c:pt idx="26">
                  <c:v>1744.5696779634031</c:v>
                </c:pt>
                <c:pt idx="27">
                  <c:v>1640.7418515837423</c:v>
                </c:pt>
                <c:pt idx="28">
                  <c:v>1582.8165814056135</c:v>
                </c:pt>
                <c:pt idx="29">
                  <c:v>1552.1082197256635</c:v>
                </c:pt>
                <c:pt idx="30">
                  <c:v>1479.9733807759237</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23753.143219509173</c:v>
                </c:pt>
                <c:pt idx="1">
                  <c:v>22894.132299303492</c:v>
                </c:pt>
                <c:pt idx="2">
                  <c:v>22147.099261527121</c:v>
                </c:pt>
                <c:pt idx="3">
                  <c:v>21468.84303484792</c:v>
                </c:pt>
                <c:pt idx="4">
                  <c:v>20701.523774103076</c:v>
                </c:pt>
                <c:pt idx="5">
                  <c:v>19781.607660297574</c:v>
                </c:pt>
                <c:pt idx="6">
                  <c:v>18810.745944967493</c:v>
                </c:pt>
                <c:pt idx="7">
                  <c:v>17965.844465783306</c:v>
                </c:pt>
                <c:pt idx="8">
                  <c:v>17242.568452996758</c:v>
                </c:pt>
                <c:pt idx="9">
                  <c:v>16513.063720610284</c:v>
                </c:pt>
                <c:pt idx="10">
                  <c:v>15787.67792487483</c:v>
                </c:pt>
                <c:pt idx="11">
                  <c:v>15065.700011178749</c:v>
                </c:pt>
                <c:pt idx="12">
                  <c:v>14310.70076925741</c:v>
                </c:pt>
                <c:pt idx="13">
                  <c:v>13412.472541794603</c:v>
                </c:pt>
                <c:pt idx="14">
                  <c:v>12440.258767334566</c:v>
                </c:pt>
                <c:pt idx="15">
                  <c:v>11226.645049922003</c:v>
                </c:pt>
                <c:pt idx="16">
                  <c:v>9726.3724112947184</c:v>
                </c:pt>
                <c:pt idx="17">
                  <c:v>8033.1680788249332</c:v>
                </c:pt>
                <c:pt idx="18">
                  <c:v>6290.8067785348248</c:v>
                </c:pt>
                <c:pt idx="19">
                  <c:v>4626.6643417017394</c:v>
                </c:pt>
                <c:pt idx="20">
                  <c:v>3353.6529569014392</c:v>
                </c:pt>
                <c:pt idx="21">
                  <c:v>2479.2302485924165</c:v>
                </c:pt>
                <c:pt idx="22">
                  <c:v>2038.148669202473</c:v>
                </c:pt>
                <c:pt idx="23">
                  <c:v>1794.8119678062012</c:v>
                </c:pt>
                <c:pt idx="24">
                  <c:v>1683.8932149976572</c:v>
                </c:pt>
                <c:pt idx="25">
                  <c:v>1600.9043371380121</c:v>
                </c:pt>
                <c:pt idx="26">
                  <c:v>1572.7991663984669</c:v>
                </c:pt>
                <c:pt idx="27">
                  <c:v>1513.3930965060508</c:v>
                </c:pt>
                <c:pt idx="28">
                  <c:v>1451.473728968301</c:v>
                </c:pt>
                <c:pt idx="29">
                  <c:v>1442.8759238013101</c:v>
                </c:pt>
                <c:pt idx="30">
                  <c:v>1441.8340062647276</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21944.22993088884</c:v>
                </c:pt>
                <c:pt idx="1">
                  <c:v>21051.578050349599</c:v>
                </c:pt>
                <c:pt idx="2">
                  <c:v>20179.587954723233</c:v>
                </c:pt>
                <c:pt idx="3">
                  <c:v>19209.032416339858</c:v>
                </c:pt>
                <c:pt idx="4">
                  <c:v>18280.913076243109</c:v>
                </c:pt>
                <c:pt idx="5">
                  <c:v>17541.903221319928</c:v>
                </c:pt>
                <c:pt idx="6">
                  <c:v>16801.90036213856</c:v>
                </c:pt>
                <c:pt idx="7">
                  <c:v>16093.972614128335</c:v>
                </c:pt>
                <c:pt idx="8">
                  <c:v>15346.360785926596</c:v>
                </c:pt>
                <c:pt idx="9">
                  <c:v>14658.037410243078</c:v>
                </c:pt>
                <c:pt idx="10">
                  <c:v>13793.454603809812</c:v>
                </c:pt>
                <c:pt idx="11">
                  <c:v>12894.006769869315</c:v>
                </c:pt>
                <c:pt idx="12">
                  <c:v>11861.100548142122</c:v>
                </c:pt>
                <c:pt idx="13">
                  <c:v>10703.251317478494</c:v>
                </c:pt>
                <c:pt idx="14">
                  <c:v>9258.3488549551894</c:v>
                </c:pt>
                <c:pt idx="15">
                  <c:v>7507.9903250749585</c:v>
                </c:pt>
                <c:pt idx="16">
                  <c:v>5618.0663530555021</c:v>
                </c:pt>
                <c:pt idx="17">
                  <c:v>4063.3507495512199</c:v>
                </c:pt>
                <c:pt idx="18">
                  <c:v>2911.3364947674963</c:v>
                </c:pt>
                <c:pt idx="19">
                  <c:v>2266.4615367878437</c:v>
                </c:pt>
                <c:pt idx="20">
                  <c:v>1907.9197585642019</c:v>
                </c:pt>
                <c:pt idx="21">
                  <c:v>1749.8634231598223</c:v>
                </c:pt>
                <c:pt idx="22">
                  <c:v>1640.5169822099524</c:v>
                </c:pt>
                <c:pt idx="23">
                  <c:v>1587.5828882695905</c:v>
                </c:pt>
                <c:pt idx="24">
                  <c:v>1552.8432560017393</c:v>
                </c:pt>
                <c:pt idx="25">
                  <c:v>1475.5340020790695</c:v>
                </c:pt>
                <c:pt idx="26">
                  <c:v>1446.2769278168969</c:v>
                </c:pt>
                <c:pt idx="27">
                  <c:v>1443.4139660116425</c:v>
                </c:pt>
                <c:pt idx="28">
                  <c:v>1442.5759559518087</c:v>
                </c:pt>
                <c:pt idx="29">
                  <c:v>1442.004197962621</c:v>
                </c:pt>
                <c:pt idx="30">
                  <c:v>1441.4141937044049</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445453936"/>
        <c:axId val="44545550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5453936"/>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455504"/>
        <c:crosses val="autoZero"/>
        <c:crossBetween val="midCat"/>
      </c:valAx>
      <c:valAx>
        <c:axId val="445455504"/>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453936"/>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32878.229128228493</c:v>
                </c:pt>
                <c:pt idx="1">
                  <c:v>32917.621395250077</c:v>
                </c:pt>
                <c:pt idx="2">
                  <c:v>33027.932534087544</c:v>
                </c:pt>
                <c:pt idx="3">
                  <c:v>33126.431322112228</c:v>
                </c:pt>
                <c:pt idx="4">
                  <c:v>33232.994377679985</c:v>
                </c:pt>
                <c:pt idx="5">
                  <c:v>33369.04393074676</c:v>
                </c:pt>
                <c:pt idx="6">
                  <c:v>33536.478154290198</c:v>
                </c:pt>
                <c:pt idx="7">
                  <c:v>33763.382357764502</c:v>
                </c:pt>
                <c:pt idx="8">
                  <c:v>34045.918294192881</c:v>
                </c:pt>
                <c:pt idx="9">
                  <c:v>34429.394077487086</c:v>
                </c:pt>
                <c:pt idx="10">
                  <c:v>34848.57319188078</c:v>
                </c:pt>
                <c:pt idx="11">
                  <c:v>35387.277658954059</c:v>
                </c:pt>
                <c:pt idx="12">
                  <c:v>36211.574088156383</c:v>
                </c:pt>
                <c:pt idx="13">
                  <c:v>37421.710840644082</c:v>
                </c:pt>
                <c:pt idx="14">
                  <c:v>38951.098987451682</c:v>
                </c:pt>
                <c:pt idx="15">
                  <c:v>40568.71496485774</c:v>
                </c:pt>
                <c:pt idx="16">
                  <c:v>42732.071838619653</c:v>
                </c:pt>
                <c:pt idx="17">
                  <c:v>45521.775796670132</c:v>
                </c:pt>
                <c:pt idx="18">
                  <c:v>49555.852135531619</c:v>
                </c:pt>
                <c:pt idx="19">
                  <c:v>54063.455668120841</c:v>
                </c:pt>
                <c:pt idx="20">
                  <c:v>55616.680936317942</c:v>
                </c:pt>
                <c:pt idx="21">
                  <c:v>47250.76168227828</c:v>
                </c:pt>
                <c:pt idx="22">
                  <c:v>38372.055671055496</c:v>
                </c:pt>
                <c:pt idx="23">
                  <c:v>32616.615817362534</c:v>
                </c:pt>
                <c:pt idx="24">
                  <c:v>29588.562583402756</c:v>
                </c:pt>
                <c:pt idx="25">
                  <c:v>28444.801602791398</c:v>
                </c:pt>
                <c:pt idx="26">
                  <c:v>30608.703926029837</c:v>
                </c:pt>
                <c:pt idx="27">
                  <c:v>42229.006211524982</c:v>
                </c:pt>
                <c:pt idx="28">
                  <c:v>266342.79382938251</c:v>
                </c:pt>
                <c:pt idx="29">
                  <c:v>-63610.38746722733</c:v>
                </c:pt>
                <c:pt idx="30">
                  <c:v>-31064.324097111163</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32845.136364466423</c:v>
                </c:pt>
                <c:pt idx="1">
                  <c:v>32978.697382158534</c:v>
                </c:pt>
                <c:pt idx="2">
                  <c:v>33070.809686995737</c:v>
                </c:pt>
                <c:pt idx="3">
                  <c:v>33179.420636882976</c:v>
                </c:pt>
                <c:pt idx="4">
                  <c:v>33315.643678415632</c:v>
                </c:pt>
                <c:pt idx="5">
                  <c:v>33492.716559024913</c:v>
                </c:pt>
                <c:pt idx="6">
                  <c:v>33723.038695529671</c:v>
                </c:pt>
                <c:pt idx="7">
                  <c:v>34026.110781900396</c:v>
                </c:pt>
                <c:pt idx="8">
                  <c:v>34401.191531464567</c:v>
                </c:pt>
                <c:pt idx="9">
                  <c:v>34828.548806220606</c:v>
                </c:pt>
                <c:pt idx="10">
                  <c:v>35428.816220000408</c:v>
                </c:pt>
                <c:pt idx="11">
                  <c:v>36343.440361027038</c:v>
                </c:pt>
                <c:pt idx="12">
                  <c:v>37619.06245170653</c:v>
                </c:pt>
                <c:pt idx="13">
                  <c:v>39089.155663069367</c:v>
                </c:pt>
                <c:pt idx="14">
                  <c:v>40779.668105699609</c:v>
                </c:pt>
                <c:pt idx="15">
                  <c:v>43006.671612679616</c:v>
                </c:pt>
                <c:pt idx="16">
                  <c:v>46027.517511892336</c:v>
                </c:pt>
                <c:pt idx="17">
                  <c:v>49809.634691869775</c:v>
                </c:pt>
                <c:pt idx="18">
                  <c:v>52072.08204417731</c:v>
                </c:pt>
                <c:pt idx="19">
                  <c:v>47000.747983332156</c:v>
                </c:pt>
                <c:pt idx="20">
                  <c:v>38796.5530925286</c:v>
                </c:pt>
                <c:pt idx="21">
                  <c:v>32906.823295623995</c:v>
                </c:pt>
                <c:pt idx="22">
                  <c:v>29413.630864815354</c:v>
                </c:pt>
                <c:pt idx="23">
                  <c:v>27574.064528195548</c:v>
                </c:pt>
                <c:pt idx="24">
                  <c:v>27347.875683433191</c:v>
                </c:pt>
                <c:pt idx="25">
                  <c:v>31039.620656814455</c:v>
                </c:pt>
                <c:pt idx="26">
                  <c:v>51039.931309002168</c:v>
                </c:pt>
                <c:pt idx="27">
                  <c:v>-469113.5630113699</c:v>
                </c:pt>
                <c:pt idx="28">
                  <c:v>-49053.038106922882</c:v>
                </c:pt>
                <c:pt idx="29">
                  <c:v>-30167.862606934468</c:v>
                </c:pt>
                <c:pt idx="30">
                  <c:v>-25394.116691045081</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32914.930027937065</c:v>
                </c:pt>
                <c:pt idx="1">
                  <c:v>33025.817678199324</c:v>
                </c:pt>
                <c:pt idx="2">
                  <c:v>33131.419105957953</c:v>
                </c:pt>
                <c:pt idx="3">
                  <c:v>33262.142844177419</c:v>
                </c:pt>
                <c:pt idx="4">
                  <c:v>33435.111723998991</c:v>
                </c:pt>
                <c:pt idx="5">
                  <c:v>33658.398452236819</c:v>
                </c:pt>
                <c:pt idx="6">
                  <c:v>33957.432127339969</c:v>
                </c:pt>
                <c:pt idx="7">
                  <c:v>34318.754197061076</c:v>
                </c:pt>
                <c:pt idx="8">
                  <c:v>34738.607265315688</c:v>
                </c:pt>
                <c:pt idx="9">
                  <c:v>35340.11895928318</c:v>
                </c:pt>
                <c:pt idx="10">
                  <c:v>36253.02790468061</c:v>
                </c:pt>
                <c:pt idx="11">
                  <c:v>37508.414208976021</c:v>
                </c:pt>
                <c:pt idx="12">
                  <c:v>38923.741206765451</c:v>
                </c:pt>
                <c:pt idx="13">
                  <c:v>40597.279235301292</c:v>
                </c:pt>
                <c:pt idx="14">
                  <c:v>42778.705220106953</c:v>
                </c:pt>
                <c:pt idx="15">
                  <c:v>45789.281754821095</c:v>
                </c:pt>
                <c:pt idx="16">
                  <c:v>49598.914832427879</c:v>
                </c:pt>
                <c:pt idx="17">
                  <c:v>52967.151739842295</c:v>
                </c:pt>
                <c:pt idx="18">
                  <c:v>49016.600942407204</c:v>
                </c:pt>
                <c:pt idx="19">
                  <c:v>40472.370380006629</c:v>
                </c:pt>
                <c:pt idx="20">
                  <c:v>33956.107753013719</c:v>
                </c:pt>
                <c:pt idx="21">
                  <c:v>30122.242082820478</c:v>
                </c:pt>
                <c:pt idx="22">
                  <c:v>28176.964864290905</c:v>
                </c:pt>
                <c:pt idx="23">
                  <c:v>28221.950968956324</c:v>
                </c:pt>
                <c:pt idx="24">
                  <c:v>32946.866588253128</c:v>
                </c:pt>
                <c:pt idx="25">
                  <c:v>60583.96712817868</c:v>
                </c:pt>
                <c:pt idx="26">
                  <c:v>-192085.0003567205</c:v>
                </c:pt>
                <c:pt idx="27">
                  <c:v>-43136.991005074786</c:v>
                </c:pt>
                <c:pt idx="28">
                  <c:v>-29067.25664892737</c:v>
                </c:pt>
                <c:pt idx="29">
                  <c:v>-24590.860771464442</c:v>
                </c:pt>
                <c:pt idx="30">
                  <c:v>-21808.361824400279</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32940.622758096513</c:v>
                </c:pt>
                <c:pt idx="1">
                  <c:v>33063.028902188402</c:v>
                </c:pt>
                <c:pt idx="2">
                  <c:v>33186.791838901372</c:v>
                </c:pt>
                <c:pt idx="3">
                  <c:v>33348.219978731839</c:v>
                </c:pt>
                <c:pt idx="4">
                  <c:v>33558.485844186886</c:v>
                </c:pt>
                <c:pt idx="5">
                  <c:v>33839.457530678323</c:v>
                </c:pt>
                <c:pt idx="6">
                  <c:v>34184.055314255194</c:v>
                </c:pt>
                <c:pt idx="7">
                  <c:v>34582.004544510135</c:v>
                </c:pt>
                <c:pt idx="8">
                  <c:v>35148.296991701412</c:v>
                </c:pt>
                <c:pt idx="9">
                  <c:v>36010.404414126533</c:v>
                </c:pt>
                <c:pt idx="10">
                  <c:v>37203.892360508056</c:v>
                </c:pt>
                <c:pt idx="11">
                  <c:v>38561.662334649511</c:v>
                </c:pt>
                <c:pt idx="12">
                  <c:v>40144.606838172716</c:v>
                </c:pt>
                <c:pt idx="13">
                  <c:v>42213.057405633284</c:v>
                </c:pt>
                <c:pt idx="14">
                  <c:v>45047.052160805426</c:v>
                </c:pt>
                <c:pt idx="15">
                  <c:v>48772.670582415376</c:v>
                </c:pt>
                <c:pt idx="16">
                  <c:v>53173.436252798107</c:v>
                </c:pt>
                <c:pt idx="17">
                  <c:v>52041.72318769533</c:v>
                </c:pt>
                <c:pt idx="18">
                  <c:v>43516.198345340119</c:v>
                </c:pt>
                <c:pt idx="19">
                  <c:v>35940.774942666772</c:v>
                </c:pt>
                <c:pt idx="20">
                  <c:v>31361.636224374335</c:v>
                </c:pt>
                <c:pt idx="21">
                  <c:v>29062.27497495657</c:v>
                </c:pt>
                <c:pt idx="22">
                  <c:v>29036.575549063033</c:v>
                </c:pt>
                <c:pt idx="23">
                  <c:v>34066.30392866247</c:v>
                </c:pt>
                <c:pt idx="24">
                  <c:v>63544.420636467767</c:v>
                </c:pt>
                <c:pt idx="25">
                  <c:v>-164849.55358741846</c:v>
                </c:pt>
                <c:pt idx="26">
                  <c:v>-42104.857938209301</c:v>
                </c:pt>
                <c:pt idx="27">
                  <c:v>-28492.115824520955</c:v>
                </c:pt>
                <c:pt idx="28">
                  <c:v>-24494.572002844325</c:v>
                </c:pt>
                <c:pt idx="29">
                  <c:v>-21714.596986386121</c:v>
                </c:pt>
                <c:pt idx="30">
                  <c:v>-20553.584368940563</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32980.582446509005</c:v>
                </c:pt>
                <c:pt idx="1">
                  <c:v>33133.758293663705</c:v>
                </c:pt>
                <c:pt idx="2">
                  <c:v>33298.683674492604</c:v>
                </c:pt>
                <c:pt idx="3">
                  <c:v>33506.339006837261</c:v>
                </c:pt>
                <c:pt idx="4">
                  <c:v>33792.339508352357</c:v>
                </c:pt>
                <c:pt idx="5">
                  <c:v>34123.407204660194</c:v>
                </c:pt>
                <c:pt idx="6">
                  <c:v>34524.750922170912</c:v>
                </c:pt>
                <c:pt idx="7">
                  <c:v>35121.061596903281</c:v>
                </c:pt>
                <c:pt idx="8">
                  <c:v>36018.391196364231</c:v>
                </c:pt>
                <c:pt idx="9">
                  <c:v>37216.102016523655</c:v>
                </c:pt>
                <c:pt idx="10">
                  <c:v>38513.469855000949</c:v>
                </c:pt>
                <c:pt idx="11">
                  <c:v>40131.860911409232</c:v>
                </c:pt>
                <c:pt idx="12">
                  <c:v>42202.398991753347</c:v>
                </c:pt>
                <c:pt idx="13">
                  <c:v>45141.120687391449</c:v>
                </c:pt>
                <c:pt idx="14">
                  <c:v>48935.430677929115</c:v>
                </c:pt>
                <c:pt idx="15">
                  <c:v>54828.632326397623</c:v>
                </c:pt>
                <c:pt idx="16">
                  <c:v>56926.730743394786</c:v>
                </c:pt>
                <c:pt idx="17">
                  <c:v>48788.518361001385</c:v>
                </c:pt>
                <c:pt idx="18">
                  <c:v>39424.36373864171</c:v>
                </c:pt>
                <c:pt idx="19">
                  <c:v>33786.14490047373</c:v>
                </c:pt>
                <c:pt idx="20">
                  <c:v>31209.015874510449</c:v>
                </c:pt>
                <c:pt idx="21">
                  <c:v>32327.943526223095</c:v>
                </c:pt>
                <c:pt idx="22">
                  <c:v>41843.0050450708</c:v>
                </c:pt>
                <c:pt idx="23">
                  <c:v>141567.54915832213</c:v>
                </c:pt>
                <c:pt idx="24">
                  <c:v>-71523.040227827194</c:v>
                </c:pt>
                <c:pt idx="25">
                  <c:v>-32457.590448640276</c:v>
                </c:pt>
                <c:pt idx="26">
                  <c:v>-26179.224466654621</c:v>
                </c:pt>
                <c:pt idx="27">
                  <c:v>-22743.458981196909</c:v>
                </c:pt>
                <c:pt idx="28">
                  <c:v>-20171.073758124621</c:v>
                </c:pt>
                <c:pt idx="29">
                  <c:v>-20359.75098279411</c:v>
                </c:pt>
                <c:pt idx="30">
                  <c:v>-17392.012991336898</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33227.321090717371</c:v>
                </c:pt>
                <c:pt idx="1">
                  <c:v>33498.180752086977</c:v>
                </c:pt>
                <c:pt idx="2">
                  <c:v>33793.796011339487</c:v>
                </c:pt>
                <c:pt idx="3">
                  <c:v>34125.219783478031</c:v>
                </c:pt>
                <c:pt idx="4">
                  <c:v>34587.007609971733</c:v>
                </c:pt>
                <c:pt idx="5">
                  <c:v>35299.121223334449</c:v>
                </c:pt>
                <c:pt idx="6">
                  <c:v>36308.978619094836</c:v>
                </c:pt>
                <c:pt idx="7">
                  <c:v>37495.949366155641</c:v>
                </c:pt>
                <c:pt idx="8">
                  <c:v>38820.179758727929</c:v>
                </c:pt>
                <c:pt idx="9">
                  <c:v>40566.356405900551</c:v>
                </c:pt>
                <c:pt idx="10">
                  <c:v>42888.725764683921</c:v>
                </c:pt>
                <c:pt idx="11">
                  <c:v>46092.228442039224</c:v>
                </c:pt>
                <c:pt idx="12">
                  <c:v>50930.507650562598</c:v>
                </c:pt>
                <c:pt idx="13">
                  <c:v>60352.173902547278</c:v>
                </c:pt>
                <c:pt idx="14">
                  <c:v>78389.055633608659</c:v>
                </c:pt>
                <c:pt idx="15">
                  <c:v>99064.323314250432</c:v>
                </c:pt>
                <c:pt idx="16">
                  <c:v>85015.362275963344</c:v>
                </c:pt>
                <c:pt idx="17">
                  <c:v>65511.382789934971</c:v>
                </c:pt>
                <c:pt idx="18">
                  <c:v>63327.291909685009</c:v>
                </c:pt>
                <c:pt idx="19">
                  <c:v>113713.19388197045</c:v>
                </c:pt>
                <c:pt idx="20">
                  <c:v>-146920.54536906688</c:v>
                </c:pt>
                <c:pt idx="21">
                  <c:v>-33019.011214577105</c:v>
                </c:pt>
                <c:pt idx="22">
                  <c:v>-22836.395106695516</c:v>
                </c:pt>
                <c:pt idx="23">
                  <c:v>-19672.912535355055</c:v>
                </c:pt>
                <c:pt idx="24">
                  <c:v>-20109.949713634411</c:v>
                </c:pt>
                <c:pt idx="25">
                  <c:v>-19267.218149499204</c:v>
                </c:pt>
                <c:pt idx="26">
                  <c:v>-13467.640338584128</c:v>
                </c:pt>
                <c:pt idx="27">
                  <c:v>-17869.104216700292</c:v>
                </c:pt>
                <c:pt idx="28">
                  <c:v>-15903.286209624497</c:v>
                </c:pt>
                <c:pt idx="29">
                  <c:v>-14418.672097974508</c:v>
                </c:pt>
                <c:pt idx="30">
                  <c:v>-14753.048717517431</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33712.602032634866</c:v>
                </c:pt>
                <c:pt idx="1">
                  <c:v>34147.721364506273</c:v>
                </c:pt>
                <c:pt idx="2">
                  <c:v>34696.879043487541</c:v>
                </c:pt>
                <c:pt idx="3">
                  <c:v>35511.075397115274</c:v>
                </c:pt>
                <c:pt idx="4">
                  <c:v>36572.854369380897</c:v>
                </c:pt>
                <c:pt idx="5">
                  <c:v>37698.306014771195</c:v>
                </c:pt>
                <c:pt idx="6">
                  <c:v>39152.486922342272</c:v>
                </c:pt>
                <c:pt idx="7">
                  <c:v>40993.203959250131</c:v>
                </c:pt>
                <c:pt idx="8">
                  <c:v>43625.906110069838</c:v>
                </c:pt>
                <c:pt idx="9">
                  <c:v>47031.385656153085</c:v>
                </c:pt>
                <c:pt idx="10">
                  <c:v>53502.634011104579</c:v>
                </c:pt>
                <c:pt idx="11">
                  <c:v>65721.627222423907</c:v>
                </c:pt>
                <c:pt idx="12">
                  <c:v>100706.41232255145</c:v>
                </c:pt>
                <c:pt idx="13">
                  <c:v>501369.45485383167</c:v>
                </c:pt>
                <c:pt idx="14">
                  <c:v>-118375.41579364783</c:v>
                </c:pt>
                <c:pt idx="15">
                  <c:v>-62217.37756242256</c:v>
                </c:pt>
                <c:pt idx="16">
                  <c:v>-38486.588578477997</c:v>
                </c:pt>
                <c:pt idx="17">
                  <c:v>-23364.529653326481</c:v>
                </c:pt>
                <c:pt idx="18">
                  <c:v>-14203.42024852575</c:v>
                </c:pt>
                <c:pt idx="19">
                  <c:v>-11570.811747984026</c:v>
                </c:pt>
                <c:pt idx="20">
                  <c:v>-11188.999333902882</c:v>
                </c:pt>
                <c:pt idx="21">
                  <c:v>-13243.083610397513</c:v>
                </c:pt>
                <c:pt idx="22">
                  <c:v>-14434.120611511818</c:v>
                </c:pt>
                <c:pt idx="23">
                  <c:v>-14688.114671370091</c:v>
                </c:pt>
                <c:pt idx="24">
                  <c:v>-16576.443453015301</c:v>
                </c:pt>
                <c:pt idx="25">
                  <c:v>-14395.721098121998</c:v>
                </c:pt>
                <c:pt idx="26">
                  <c:v>-15556.924564917272</c:v>
                </c:pt>
                <c:pt idx="27">
                  <c:v>-15548.838457342066</c:v>
                </c:pt>
                <c:pt idx="28">
                  <c:v>-15639.676160397003</c:v>
                </c:pt>
                <c:pt idx="29">
                  <c:v>-15554.269735924026</c:v>
                </c:pt>
                <c:pt idx="30">
                  <c:v>-15488.953057408791</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445449232"/>
        <c:axId val="12331130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44544923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3311304"/>
        <c:crosses val="autoZero"/>
        <c:crossBetween val="midCat"/>
        <c:majorUnit val="10000"/>
      </c:valAx>
      <c:valAx>
        <c:axId val="123311304"/>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449232"/>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0.35918667302442542</c:v>
                </c:pt>
                <c:pt idx="1">
                  <c:v>0.36043716445192803</c:v>
                </c:pt>
                <c:pt idx="2">
                  <c:v>0.36479927706444065</c:v>
                </c:pt>
                <c:pt idx="3">
                  <c:v>0.36782979555738898</c:v>
                </c:pt>
                <c:pt idx="4">
                  <c:v>0.37070936236282398</c:v>
                </c:pt>
                <c:pt idx="5">
                  <c:v>0.37393080112300153</c:v>
                </c:pt>
                <c:pt idx="6">
                  <c:v>0.37738349384252629</c:v>
                </c:pt>
                <c:pt idx="7">
                  <c:v>0.38142777238272035</c:v>
                </c:pt>
                <c:pt idx="8">
                  <c:v>0.38573236010641054</c:v>
                </c:pt>
                <c:pt idx="9">
                  <c:v>0.39068337123814695</c:v>
                </c:pt>
                <c:pt idx="10">
                  <c:v>0.39525261358655128</c:v>
                </c:pt>
                <c:pt idx="11">
                  <c:v>0.40026364603437042</c:v>
                </c:pt>
                <c:pt idx="12">
                  <c:v>0.40661691191299681</c:v>
                </c:pt>
                <c:pt idx="13">
                  <c:v>0.41402304562656794</c:v>
                </c:pt>
                <c:pt idx="14">
                  <c:v>0.4213196458490584</c:v>
                </c:pt>
                <c:pt idx="15">
                  <c:v>0.42745693055183126</c:v>
                </c:pt>
                <c:pt idx="16">
                  <c:v>0.43404531260010282</c:v>
                </c:pt>
                <c:pt idx="17">
                  <c:v>0.44070882455468396</c:v>
                </c:pt>
                <c:pt idx="18">
                  <c:v>0.44807624733449902</c:v>
                </c:pt>
                <c:pt idx="19">
                  <c:v>0.45464973276866461</c:v>
                </c:pt>
                <c:pt idx="20">
                  <c:v>0.45902632568126489</c:v>
                </c:pt>
                <c:pt idx="21">
                  <c:v>0.45611858391200993</c:v>
                </c:pt>
                <c:pt idx="22">
                  <c:v>0.45197586086514591</c:v>
                </c:pt>
                <c:pt idx="23">
                  <c:v>0.45058299867671792</c:v>
                </c:pt>
                <c:pt idx="24">
                  <c:v>0.45391004231126064</c:v>
                </c:pt>
                <c:pt idx="25">
                  <c:v>0.46122257321038468</c:v>
                </c:pt>
                <c:pt idx="26">
                  <c:v>0.47286559086354235</c:v>
                </c:pt>
                <c:pt idx="27">
                  <c:v>0.48557251723586398</c:v>
                </c:pt>
                <c:pt idx="28">
                  <c:v>0.49833434507506391</c:v>
                </c:pt>
                <c:pt idx="29">
                  <c:v>0.50559271430588337</c:v>
                </c:pt>
                <c:pt idx="30">
                  <c:v>0.50983684034542798</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0.36097437866471271</c:v>
                </c:pt>
                <c:pt idx="1">
                  <c:v>0.3659566109567951</c:v>
                </c:pt>
                <c:pt idx="2">
                  <c:v>0.36886885092708488</c:v>
                </c:pt>
                <c:pt idx="3">
                  <c:v>0.37185836999179678</c:v>
                </c:pt>
                <c:pt idx="4">
                  <c:v>0.37511400854522908</c:v>
                </c:pt>
                <c:pt idx="5">
                  <c:v>0.37877846666963633</c:v>
                </c:pt>
                <c:pt idx="6">
                  <c:v>0.38285604672818085</c:v>
                </c:pt>
                <c:pt idx="7">
                  <c:v>0.38742078388013651</c:v>
                </c:pt>
                <c:pt idx="8">
                  <c:v>0.39216940684317697</c:v>
                </c:pt>
                <c:pt idx="9">
                  <c:v>0.39676538934984368</c:v>
                </c:pt>
                <c:pt idx="10">
                  <c:v>0.40221594385387111</c:v>
                </c:pt>
                <c:pt idx="11">
                  <c:v>0.40896594559151084</c:v>
                </c:pt>
                <c:pt idx="12">
                  <c:v>0.41636047034146129</c:v>
                </c:pt>
                <c:pt idx="13">
                  <c:v>0.42304896301488693</c:v>
                </c:pt>
                <c:pt idx="14">
                  <c:v>0.42922859416298381</c:v>
                </c:pt>
                <c:pt idx="15">
                  <c:v>0.43572199258886246</c:v>
                </c:pt>
                <c:pt idx="16">
                  <c:v>0.44260824721679903</c:v>
                </c:pt>
                <c:pt idx="17">
                  <c:v>0.44941105180517749</c:v>
                </c:pt>
                <c:pt idx="18">
                  <c:v>0.45440146163846229</c:v>
                </c:pt>
                <c:pt idx="19">
                  <c:v>0.45365170553388434</c:v>
                </c:pt>
                <c:pt idx="20">
                  <c:v>0.44944914063841662</c:v>
                </c:pt>
                <c:pt idx="21">
                  <c:v>0.44725885789142183</c:v>
                </c:pt>
                <c:pt idx="22">
                  <c:v>0.4488808671722867</c:v>
                </c:pt>
                <c:pt idx="23">
                  <c:v>0.45450968496253596</c:v>
                </c:pt>
                <c:pt idx="24">
                  <c:v>0.46385924245415805</c:v>
                </c:pt>
                <c:pt idx="25">
                  <c:v>0.47640147021424106</c:v>
                </c:pt>
                <c:pt idx="26">
                  <c:v>0.48953970514477341</c:v>
                </c:pt>
                <c:pt idx="27">
                  <c:v>0.50085273791907747</c:v>
                </c:pt>
                <c:pt idx="28">
                  <c:v>0.50676640203371748</c:v>
                </c:pt>
                <c:pt idx="29">
                  <c:v>0.50979522638833097</c:v>
                </c:pt>
                <c:pt idx="30">
                  <c:v>0.51094623311999854</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0.36545239845719868</c:v>
                </c:pt>
                <c:pt idx="1">
                  <c:v>0.36905797605880936</c:v>
                </c:pt>
                <c:pt idx="2">
                  <c:v>0.37211216320458834</c:v>
                </c:pt>
                <c:pt idx="3">
                  <c:v>0.37536169188151419</c:v>
                </c:pt>
                <c:pt idx="4">
                  <c:v>0.37905983522157827</c:v>
                </c:pt>
                <c:pt idx="5">
                  <c:v>0.38311924852056162</c:v>
                </c:pt>
                <c:pt idx="6">
                  <c:v>0.38772336542910996</c:v>
                </c:pt>
                <c:pt idx="7">
                  <c:v>0.39238278847301405</c:v>
                </c:pt>
                <c:pt idx="8">
                  <c:v>0.39697961196974679</c:v>
                </c:pt>
                <c:pt idx="9">
                  <c:v>0.40251787010917695</c:v>
                </c:pt>
                <c:pt idx="10">
                  <c:v>0.4093140825720053</c:v>
                </c:pt>
                <c:pt idx="11">
                  <c:v>0.41663750617698336</c:v>
                </c:pt>
                <c:pt idx="12">
                  <c:v>0.42313240927150236</c:v>
                </c:pt>
                <c:pt idx="13">
                  <c:v>0.4293171833558862</c:v>
                </c:pt>
                <c:pt idx="14">
                  <c:v>0.43574343266615878</c:v>
                </c:pt>
                <c:pt idx="15">
                  <c:v>0.44266577184675554</c:v>
                </c:pt>
                <c:pt idx="16">
                  <c:v>0.44948016721315892</c:v>
                </c:pt>
                <c:pt idx="17">
                  <c:v>0.45543505201111745</c:v>
                </c:pt>
                <c:pt idx="18">
                  <c:v>0.4557357286050982</c:v>
                </c:pt>
                <c:pt idx="19">
                  <c:v>0.45179784325227995</c:v>
                </c:pt>
                <c:pt idx="20">
                  <c:v>0.44927597895597277</c:v>
                </c:pt>
                <c:pt idx="21">
                  <c:v>0.45067991204890967</c:v>
                </c:pt>
                <c:pt idx="22">
                  <c:v>0.45622970475983404</c:v>
                </c:pt>
                <c:pt idx="23">
                  <c:v>0.46582306134179358</c:v>
                </c:pt>
                <c:pt idx="24">
                  <c:v>0.47834590370484276</c:v>
                </c:pt>
                <c:pt idx="25">
                  <c:v>0.49143015393576134</c:v>
                </c:pt>
                <c:pt idx="26">
                  <c:v>0.50204461328205197</c:v>
                </c:pt>
                <c:pt idx="27">
                  <c:v>0.5075886570234055</c:v>
                </c:pt>
                <c:pt idx="28">
                  <c:v>0.51010993249331416</c:v>
                </c:pt>
                <c:pt idx="29">
                  <c:v>0.51124057141397672</c:v>
                </c:pt>
                <c:pt idx="30">
                  <c:v>0.51214101472586804</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0.36817847349590693</c:v>
                </c:pt>
                <c:pt idx="1">
                  <c:v>0.37185876179580335</c:v>
                </c:pt>
                <c:pt idx="2">
                  <c:v>0.3751344998631097</c:v>
                </c:pt>
                <c:pt idx="3">
                  <c:v>0.37878089764926726</c:v>
                </c:pt>
                <c:pt idx="4">
                  <c:v>0.38280144821818979</c:v>
                </c:pt>
                <c:pt idx="5">
                  <c:v>0.38733544019038313</c:v>
                </c:pt>
                <c:pt idx="6">
                  <c:v>0.39197927838718466</c:v>
                </c:pt>
                <c:pt idx="7">
                  <c:v>0.39652056197751084</c:v>
                </c:pt>
                <c:pt idx="8">
                  <c:v>0.40195329574718602</c:v>
                </c:pt>
                <c:pt idx="9">
                  <c:v>0.40864505157044401</c:v>
                </c:pt>
                <c:pt idx="10">
                  <c:v>0.41590602867785276</c:v>
                </c:pt>
                <c:pt idx="11">
                  <c:v>0.42239884737773664</c:v>
                </c:pt>
                <c:pt idx="12">
                  <c:v>0.42849750549783489</c:v>
                </c:pt>
                <c:pt idx="13">
                  <c:v>0.43486516213373472</c:v>
                </c:pt>
                <c:pt idx="14">
                  <c:v>0.44169083752934107</c:v>
                </c:pt>
                <c:pt idx="15">
                  <c:v>0.44859117401119813</c:v>
                </c:pt>
                <c:pt idx="16">
                  <c:v>0.45544880705730789</c:v>
                </c:pt>
                <c:pt idx="17">
                  <c:v>0.45796272104585001</c:v>
                </c:pt>
                <c:pt idx="18">
                  <c:v>0.45468628063821065</c:v>
                </c:pt>
                <c:pt idx="19">
                  <c:v>0.45156742030316488</c:v>
                </c:pt>
                <c:pt idx="20">
                  <c:v>0.45211613296523251</c:v>
                </c:pt>
                <c:pt idx="21">
                  <c:v>0.45707301315887733</c:v>
                </c:pt>
                <c:pt idx="22">
                  <c:v>0.46632160130204697</c:v>
                </c:pt>
                <c:pt idx="23">
                  <c:v>0.47876596477104505</c:v>
                </c:pt>
                <c:pt idx="24">
                  <c:v>0.49171466047854784</c:v>
                </c:pt>
                <c:pt idx="25">
                  <c:v>0.50240444459876499</c:v>
                </c:pt>
                <c:pt idx="26">
                  <c:v>0.50782834429865453</c:v>
                </c:pt>
                <c:pt idx="27">
                  <c:v>0.51034443034770449</c:v>
                </c:pt>
                <c:pt idx="28">
                  <c:v>0.5113163988089241</c:v>
                </c:pt>
                <c:pt idx="29">
                  <c:v>0.51220909233823575</c:v>
                </c:pt>
                <c:pt idx="30">
                  <c:v>0.51264241543273503</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0.3716299195494005</c:v>
                </c:pt>
                <c:pt idx="1">
                  <c:v>0.37577445651790431</c:v>
                </c:pt>
                <c:pt idx="2">
                  <c:v>0.37959892999797451</c:v>
                </c:pt>
                <c:pt idx="3">
                  <c:v>0.38363343736803218</c:v>
                </c:pt>
                <c:pt idx="4">
                  <c:v>0.38828927677570391</c:v>
                </c:pt>
                <c:pt idx="5">
                  <c:v>0.39277062991209288</c:v>
                </c:pt>
                <c:pt idx="6">
                  <c:v>0.39737282903186527</c:v>
                </c:pt>
                <c:pt idx="7">
                  <c:v>0.40307057821680203</c:v>
                </c:pt>
                <c:pt idx="8">
                  <c:v>0.40992917823944497</c:v>
                </c:pt>
                <c:pt idx="9">
                  <c:v>0.41707084936114919</c:v>
                </c:pt>
                <c:pt idx="10">
                  <c:v>0.42318615199857185</c:v>
                </c:pt>
                <c:pt idx="11">
                  <c:v>0.42935574580112512</c:v>
                </c:pt>
                <c:pt idx="12">
                  <c:v>0.43564310571479736</c:v>
                </c:pt>
                <c:pt idx="13">
                  <c:v>0.44259302540005935</c:v>
                </c:pt>
                <c:pt idx="14">
                  <c:v>0.4494153631027461</c:v>
                </c:pt>
                <c:pt idx="15">
                  <c:v>0.45747459138001917</c:v>
                </c:pt>
                <c:pt idx="16">
                  <c:v>0.4620685647147838</c:v>
                </c:pt>
                <c:pt idx="17">
                  <c:v>0.460190438785129</c:v>
                </c:pt>
                <c:pt idx="18">
                  <c:v>0.45673608875691496</c:v>
                </c:pt>
                <c:pt idx="19">
                  <c:v>0.45691949322405223</c:v>
                </c:pt>
                <c:pt idx="20">
                  <c:v>0.46174184346250108</c:v>
                </c:pt>
                <c:pt idx="21">
                  <c:v>0.47159269835206985</c:v>
                </c:pt>
                <c:pt idx="22">
                  <c:v>0.48383582494605387</c:v>
                </c:pt>
                <c:pt idx="23">
                  <c:v>0.49653332189140181</c:v>
                </c:pt>
                <c:pt idx="24">
                  <c:v>0.50529837687072454</c:v>
                </c:pt>
                <c:pt idx="25">
                  <c:v>0.50981945637048953</c:v>
                </c:pt>
                <c:pt idx="26">
                  <c:v>0.51110657855293817</c:v>
                </c:pt>
                <c:pt idx="27">
                  <c:v>0.51202354380176018</c:v>
                </c:pt>
                <c:pt idx="28">
                  <c:v>0.51307827073218382</c:v>
                </c:pt>
                <c:pt idx="29">
                  <c:v>0.51270569092452178</c:v>
                </c:pt>
                <c:pt idx="30">
                  <c:v>0.51418250033806812</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0.38085536018859178</c:v>
                </c:pt>
                <c:pt idx="1">
                  <c:v>0.38609265844047785</c:v>
                </c:pt>
                <c:pt idx="2">
                  <c:v>0.39077334759859633</c:v>
                </c:pt>
                <c:pt idx="3">
                  <c:v>0.39514674107563202</c:v>
                </c:pt>
                <c:pt idx="4">
                  <c:v>0.40024421883332356</c:v>
                </c:pt>
                <c:pt idx="5">
                  <c:v>0.40660009383264306</c:v>
                </c:pt>
                <c:pt idx="6">
                  <c:v>0.41365429589604341</c:v>
                </c:pt>
                <c:pt idx="7">
                  <c:v>0.42014317648757582</c:v>
                </c:pt>
                <c:pt idx="8">
                  <c:v>0.42597248578719715</c:v>
                </c:pt>
                <c:pt idx="9">
                  <c:v>0.43215616262820034</c:v>
                </c:pt>
                <c:pt idx="10">
                  <c:v>0.43864868663660572</c:v>
                </c:pt>
                <c:pt idx="11">
                  <c:v>0.44552335422400691</c:v>
                </c:pt>
                <c:pt idx="12">
                  <c:v>0.4531691925939425</c:v>
                </c:pt>
                <c:pt idx="13">
                  <c:v>0.46296053736343123</c:v>
                </c:pt>
                <c:pt idx="14">
                  <c:v>0.47355017936542809</c:v>
                </c:pt>
                <c:pt idx="15">
                  <c:v>0.48111219613962503</c:v>
                </c:pt>
                <c:pt idx="16">
                  <c:v>0.48093212773372551</c:v>
                </c:pt>
                <c:pt idx="17">
                  <c:v>0.47956292037425102</c:v>
                </c:pt>
                <c:pt idx="18">
                  <c:v>0.48344366599604865</c:v>
                </c:pt>
                <c:pt idx="19">
                  <c:v>0.49321881043621607</c:v>
                </c:pt>
                <c:pt idx="20">
                  <c:v>0.50380438391430893</c:v>
                </c:pt>
                <c:pt idx="21">
                  <c:v>0.51251415551928003</c:v>
                </c:pt>
                <c:pt idx="22">
                  <c:v>0.5148750029625947</c:v>
                </c:pt>
                <c:pt idx="23">
                  <c:v>0.51520544186988637</c:v>
                </c:pt>
                <c:pt idx="24">
                  <c:v>0.5139557220760228</c:v>
                </c:pt>
                <c:pt idx="25">
                  <c:v>0.5138482570474211</c:v>
                </c:pt>
                <c:pt idx="26">
                  <c:v>0.51946392892960958</c:v>
                </c:pt>
                <c:pt idx="27">
                  <c:v>0.5141155471305201</c:v>
                </c:pt>
                <c:pt idx="28">
                  <c:v>0.51521146541492668</c:v>
                </c:pt>
                <c:pt idx="29">
                  <c:v>0.51667832647829848</c:v>
                </c:pt>
                <c:pt idx="30">
                  <c:v>0.5162885429521733</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0.39151321954894824</c:v>
                </c:pt>
                <c:pt idx="1">
                  <c:v>0.39725240216549768</c:v>
                </c:pt>
                <c:pt idx="2">
                  <c:v>0.40306722818195923</c:v>
                </c:pt>
                <c:pt idx="3">
                  <c:v>0.4098448760866481</c:v>
                </c:pt>
                <c:pt idx="4">
                  <c:v>0.41669179508746956</c:v>
                </c:pt>
                <c:pt idx="5">
                  <c:v>0.42244610312884906</c:v>
                </c:pt>
                <c:pt idx="6">
                  <c:v>0.42847665762388393</c:v>
                </c:pt>
                <c:pt idx="7">
                  <c:v>0.43456650103056604</c:v>
                </c:pt>
                <c:pt idx="8">
                  <c:v>0.44137137710787738</c:v>
                </c:pt>
                <c:pt idx="9">
                  <c:v>0.4480558312080925</c:v>
                </c:pt>
                <c:pt idx="10">
                  <c:v>0.45703185192419077</c:v>
                </c:pt>
                <c:pt idx="11">
                  <c:v>0.46730146195195965</c:v>
                </c:pt>
                <c:pt idx="12">
                  <c:v>0.48037016664812376</c:v>
                </c:pt>
                <c:pt idx="13">
                  <c:v>0.49644199461632577</c:v>
                </c:pt>
                <c:pt idx="14">
                  <c:v>0.51303529227033418</c:v>
                </c:pt>
                <c:pt idx="15">
                  <c:v>0.52011225432300434</c:v>
                </c:pt>
                <c:pt idx="16">
                  <c:v>0.52432910857418857</c:v>
                </c:pt>
                <c:pt idx="17">
                  <c:v>0.52898518116878868</c:v>
                </c:pt>
                <c:pt idx="18">
                  <c:v>0.53416238769519475</c:v>
                </c:pt>
                <c:pt idx="19">
                  <c:v>0.53264624796358429</c:v>
                </c:pt>
                <c:pt idx="20">
                  <c:v>0.52841957684847307</c:v>
                </c:pt>
                <c:pt idx="21">
                  <c:v>0.52202235615510217</c:v>
                </c:pt>
                <c:pt idx="22">
                  <c:v>0.51894258087444056</c:v>
                </c:pt>
                <c:pt idx="23">
                  <c:v>0.51801437107246184</c:v>
                </c:pt>
                <c:pt idx="24">
                  <c:v>0.51561295160009402</c:v>
                </c:pt>
                <c:pt idx="25">
                  <c:v>0.51708301598812767</c:v>
                </c:pt>
                <c:pt idx="26">
                  <c:v>0.51549446059407766</c:v>
                </c:pt>
                <c:pt idx="27">
                  <c:v>0.51547183058048163</c:v>
                </c:pt>
                <c:pt idx="28">
                  <c:v>0.51537303736510776</c:v>
                </c:pt>
                <c:pt idx="29">
                  <c:v>0.51545132218188916</c:v>
                </c:pt>
                <c:pt idx="30">
                  <c:v>0.51551013151504277</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50370528"/>
        <c:axId val="45037092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037052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50370920"/>
        <c:crosses val="autoZero"/>
        <c:crossBetween val="midCat"/>
        <c:majorUnit val="10000"/>
      </c:valAx>
      <c:valAx>
        <c:axId val="450370920"/>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50370528"/>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10218.668827091791</c:v>
                </c:pt>
                <c:pt idx="1">
                  <c:v>10130.735990154546</c:v>
                </c:pt>
                <c:pt idx="2">
                  <c:v>9815.5100842671618</c:v>
                </c:pt>
                <c:pt idx="3">
                  <c:v>9602.7895017015398</c:v>
                </c:pt>
                <c:pt idx="4">
                  <c:v>9403.9958104822508</c:v>
                </c:pt>
                <c:pt idx="5">
                  <c:v>9185.6343104080297</c:v>
                </c:pt>
                <c:pt idx="6">
                  <c:v>8956.3853461764484</c:v>
                </c:pt>
                <c:pt idx="7">
                  <c:v>8694.0472851843733</c:v>
                </c:pt>
                <c:pt idx="8">
                  <c:v>8422.2902852365987</c:v>
                </c:pt>
                <c:pt idx="9">
                  <c:v>8119.1133122846923</c:v>
                </c:pt>
                <c:pt idx="10">
                  <c:v>7848.6797155048253</c:v>
                </c:pt>
                <c:pt idx="11">
                  <c:v>7561.5718378512247</c:v>
                </c:pt>
                <c:pt idx="12">
                  <c:v>7212.0886309644511</c:v>
                </c:pt>
                <c:pt idx="13">
                  <c:v>6826.065675816817</c:v>
                </c:pt>
                <c:pt idx="14">
                  <c:v>6468.6777640443843</c:v>
                </c:pt>
                <c:pt idx="15">
                  <c:v>6185.0814076350389</c:v>
                </c:pt>
                <c:pt idx="16">
                  <c:v>5896.0070828362468</c:v>
                </c:pt>
                <c:pt idx="17">
                  <c:v>5620.2326577203476</c:v>
                </c:pt>
                <c:pt idx="18">
                  <c:v>5330.7810569019748</c:v>
                </c:pt>
                <c:pt idx="19">
                  <c:v>5056.458830124393</c:v>
                </c:pt>
                <c:pt idx="20">
                  <c:v>4685.6312280238881</c:v>
                </c:pt>
                <c:pt idx="21">
                  <c:v>4271.8299665210579</c:v>
                </c:pt>
                <c:pt idx="22">
                  <c:v>3807.4701999642007</c:v>
                </c:pt>
                <c:pt idx="23">
                  <c:v>3333.4500993282409</c:v>
                </c:pt>
                <c:pt idx="24">
                  <c:v>2813.9339254547094</c:v>
                </c:pt>
                <c:pt idx="25">
                  <c:v>2264.5753602217969</c:v>
                </c:pt>
                <c:pt idx="26">
                  <c:v>1691.7003845109305</c:v>
                </c:pt>
                <c:pt idx="27">
                  <c:v>1230.3504248927311</c:v>
                </c:pt>
                <c:pt idx="28">
                  <c:v>888.25672531905332</c:v>
                </c:pt>
                <c:pt idx="29">
                  <c:v>708.86645626754114</c:v>
                </c:pt>
                <c:pt idx="30">
                  <c:v>607.16785102157667</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10065.543251576082</c:v>
                </c:pt>
                <c:pt idx="1">
                  <c:v>9708.7484211633309</c:v>
                </c:pt>
                <c:pt idx="2">
                  <c:v>9504.080552546171</c:v>
                </c:pt>
                <c:pt idx="3">
                  <c:v>9297.6034614201999</c:v>
                </c:pt>
                <c:pt idx="4">
                  <c:v>9077.0448832845814</c:v>
                </c:pt>
                <c:pt idx="5">
                  <c:v>8833.9901329277236</c:v>
                </c:pt>
                <c:pt idx="6">
                  <c:v>8570.1980588932365</c:v>
                </c:pt>
                <c:pt idx="7">
                  <c:v>8282.9223634397895</c:v>
                </c:pt>
                <c:pt idx="8">
                  <c:v>7993.641154385381</c:v>
                </c:pt>
                <c:pt idx="9">
                  <c:v>7722.5102431706819</c:v>
                </c:pt>
                <c:pt idx="10">
                  <c:v>7411.9254661857585</c:v>
                </c:pt>
                <c:pt idx="11">
                  <c:v>7044.5082173262499</c:v>
                </c:pt>
                <c:pt idx="12">
                  <c:v>6664.4913259208079</c:v>
                </c:pt>
                <c:pt idx="13">
                  <c:v>6341.2106146502829</c:v>
                </c:pt>
                <c:pt idx="14">
                  <c:v>6057.8856031721252</c:v>
                </c:pt>
                <c:pt idx="15">
                  <c:v>5776.2920069159836</c:v>
                </c:pt>
                <c:pt idx="16">
                  <c:v>5493.3830678495879</c:v>
                </c:pt>
                <c:pt idx="17">
                  <c:v>5215.5329419319251</c:v>
                </c:pt>
                <c:pt idx="18">
                  <c:v>4897.7071873573095</c:v>
                </c:pt>
                <c:pt idx="19">
                  <c:v>4495.7217042422935</c:v>
                </c:pt>
                <c:pt idx="20">
                  <c:v>4059.1954090175182</c:v>
                </c:pt>
                <c:pt idx="21">
                  <c:v>3597.5805592338243</c:v>
                </c:pt>
                <c:pt idx="22">
                  <c:v>3113.2980023229825</c:v>
                </c:pt>
                <c:pt idx="23">
                  <c:v>2587.1664421745386</c:v>
                </c:pt>
                <c:pt idx="24">
                  <c:v>2025.5491425769458</c:v>
                </c:pt>
                <c:pt idx="25">
                  <c:v>1488.3947775442189</c:v>
                </c:pt>
                <c:pt idx="26">
                  <c:v>1075.2839868020503</c:v>
                </c:pt>
                <c:pt idx="27">
                  <c:v>799.60727676982128</c:v>
                </c:pt>
                <c:pt idx="28">
                  <c:v>660.84412890819806</c:v>
                </c:pt>
                <c:pt idx="29">
                  <c:v>587.16779346403064</c:v>
                </c:pt>
                <c:pt idx="30">
                  <c:v>551.91226878266252</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9730.0167223959397</c:v>
                </c:pt>
                <c:pt idx="1">
                  <c:v>9476.1525473419642</c:v>
                </c:pt>
                <c:pt idx="2">
                  <c:v>9264.0506360514537</c:v>
                </c:pt>
                <c:pt idx="3">
                  <c:v>9042.8661048910981</c:v>
                </c:pt>
                <c:pt idx="4">
                  <c:v>8796.5318501985184</c:v>
                </c:pt>
                <c:pt idx="5">
                  <c:v>8532.9278199977016</c:v>
                </c:pt>
                <c:pt idx="6">
                  <c:v>8242.1892422663423</c:v>
                </c:pt>
                <c:pt idx="7">
                  <c:v>7957.4855284258747</c:v>
                </c:pt>
                <c:pt idx="8">
                  <c:v>7685.4052187432317</c:v>
                </c:pt>
                <c:pt idx="9">
                  <c:v>7368.9543787655439</c:v>
                </c:pt>
                <c:pt idx="10">
                  <c:v>6998.3812744112274</c:v>
                </c:pt>
                <c:pt idx="11">
                  <c:v>6621.5844226341051</c:v>
                </c:pt>
                <c:pt idx="12">
                  <c:v>6307.1591705971805</c:v>
                </c:pt>
                <c:pt idx="13">
                  <c:v>6022.8689849680577</c:v>
                </c:pt>
                <c:pt idx="14">
                  <c:v>5743.6712365645317</c:v>
                </c:pt>
                <c:pt idx="15">
                  <c:v>5459.2543435964462</c:v>
                </c:pt>
                <c:pt idx="16">
                  <c:v>5186.1259100095131</c:v>
                </c:pt>
                <c:pt idx="17">
                  <c:v>4865.5108844814831</c:v>
                </c:pt>
                <c:pt idx="18">
                  <c:v>4471.3145751722259</c:v>
                </c:pt>
                <c:pt idx="19">
                  <c:v>4031.2545236434685</c:v>
                </c:pt>
                <c:pt idx="20">
                  <c:v>3565.3464541885878</c:v>
                </c:pt>
                <c:pt idx="21">
                  <c:v>3072.2800042990852</c:v>
                </c:pt>
                <c:pt idx="22">
                  <c:v>2540.7682600840731</c:v>
                </c:pt>
                <c:pt idx="23">
                  <c:v>1974.0579457073152</c:v>
                </c:pt>
                <c:pt idx="24">
                  <c:v>1447.7693345065175</c:v>
                </c:pt>
                <c:pt idx="25">
                  <c:v>1044.3571981147218</c:v>
                </c:pt>
                <c:pt idx="26">
                  <c:v>784.40987612375113</c:v>
                </c:pt>
                <c:pt idx="27">
                  <c:v>651.40811766035665</c:v>
                </c:pt>
                <c:pt idx="28">
                  <c:v>583.80121108393644</c:v>
                </c:pt>
                <c:pt idx="29">
                  <c:v>548.71871201984641</c:v>
                </c:pt>
                <c:pt idx="30">
                  <c:v>525.29950476563715</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9521.3086452220268</c:v>
                </c:pt>
                <c:pt idx="1">
                  <c:v>9264.9569626866305</c:v>
                </c:pt>
                <c:pt idx="2">
                  <c:v>9040.3201170121174</c:v>
                </c:pt>
                <c:pt idx="3">
                  <c:v>8795.6860246078559</c:v>
                </c:pt>
                <c:pt idx="4">
                  <c:v>8532.6912536798991</c:v>
                </c:pt>
                <c:pt idx="5">
                  <c:v>8244.2374276121209</c:v>
                </c:pt>
                <c:pt idx="6">
                  <c:v>7958.2786468847135</c:v>
                </c:pt>
                <c:pt idx="7">
                  <c:v>7687.376383967704</c:v>
                </c:pt>
                <c:pt idx="8">
                  <c:v>7374.3712231841728</c:v>
                </c:pt>
                <c:pt idx="9">
                  <c:v>7006.1552436770207</c:v>
                </c:pt>
                <c:pt idx="10">
                  <c:v>6628.8785990090082</c:v>
                </c:pt>
                <c:pt idx="11">
                  <c:v>6311.3720523241727</c:v>
                </c:pt>
                <c:pt idx="12">
                  <c:v>6028.2349504089671</c:v>
                </c:pt>
                <c:pt idx="13">
                  <c:v>5748.7087759518809</c:v>
                </c:pt>
                <c:pt idx="14">
                  <c:v>5465.7818754747968</c:v>
                </c:pt>
                <c:pt idx="15">
                  <c:v>5192.657072535425</c:v>
                </c:pt>
                <c:pt idx="16">
                  <c:v>4882.9062343607484</c:v>
                </c:pt>
                <c:pt idx="17">
                  <c:v>4501.5398610325774</c:v>
                </c:pt>
                <c:pt idx="18">
                  <c:v>4066.6104281555185</c:v>
                </c:pt>
                <c:pt idx="19">
                  <c:v>3597.5685781370817</c:v>
                </c:pt>
                <c:pt idx="20">
                  <c:v>3102.4717339118838</c:v>
                </c:pt>
                <c:pt idx="21">
                  <c:v>2568.6205512482802</c:v>
                </c:pt>
                <c:pt idx="22">
                  <c:v>2000.7316961631682</c:v>
                </c:pt>
                <c:pt idx="23">
                  <c:v>1467.5042196825975</c:v>
                </c:pt>
                <c:pt idx="24">
                  <c:v>1058.8226695409851</c:v>
                </c:pt>
                <c:pt idx="25">
                  <c:v>791.47453302018846</c:v>
                </c:pt>
                <c:pt idx="26">
                  <c:v>655.80009654126911</c:v>
                </c:pt>
                <c:pt idx="27">
                  <c:v>585.43210743850034</c:v>
                </c:pt>
                <c:pt idx="28">
                  <c:v>550.22961238933465</c:v>
                </c:pt>
                <c:pt idx="29">
                  <c:v>525.95012363885235</c:v>
                </c:pt>
                <c:pt idx="30">
                  <c:v>515.3503886433972</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9259.9030429946288</c:v>
                </c:pt>
                <c:pt idx="1">
                  <c:v>8975.4373156175916</c:v>
                </c:pt>
                <c:pt idx="2">
                  <c:v>8718.1797337443004</c:v>
                </c:pt>
                <c:pt idx="3">
                  <c:v>8453.8665906134283</c:v>
                </c:pt>
                <c:pt idx="4">
                  <c:v>8157.4497816903277</c:v>
                </c:pt>
                <c:pt idx="5">
                  <c:v>7881.4803699008435</c:v>
                </c:pt>
                <c:pt idx="6">
                  <c:v>7606.797789198542</c:v>
                </c:pt>
                <c:pt idx="7">
                  <c:v>7278.8872759198184</c:v>
                </c:pt>
                <c:pt idx="8">
                  <c:v>6902.9128773701668</c:v>
                </c:pt>
                <c:pt idx="9">
                  <c:v>6533.8294095397778</c:v>
                </c:pt>
                <c:pt idx="10">
                  <c:v>6236.0805337275306</c:v>
                </c:pt>
                <c:pt idx="11">
                  <c:v>5950.4123980915811</c:v>
                </c:pt>
                <c:pt idx="12">
                  <c:v>5675.5372968728034</c:v>
                </c:pt>
                <c:pt idx="13">
                  <c:v>5389.077424650558</c:v>
                </c:pt>
                <c:pt idx="14">
                  <c:v>5123.5437168709832</c:v>
                </c:pt>
                <c:pt idx="15">
                  <c:v>4799.280908658001</c:v>
                </c:pt>
                <c:pt idx="16">
                  <c:v>4430.6662258617935</c:v>
                </c:pt>
                <c:pt idx="17">
                  <c:v>3990.4031488339651</c:v>
                </c:pt>
                <c:pt idx="18">
                  <c:v>3512.6173919241392</c:v>
                </c:pt>
                <c:pt idx="19">
                  <c:v>2997.1269883218743</c:v>
                </c:pt>
                <c:pt idx="20">
                  <c:v>2450.4999019800034</c:v>
                </c:pt>
                <c:pt idx="21">
                  <c:v>1872.1545257089074</c:v>
                </c:pt>
                <c:pt idx="22">
                  <c:v>1367.4511296212941</c:v>
                </c:pt>
                <c:pt idx="23">
                  <c:v>983.81195335121254</c:v>
                </c:pt>
                <c:pt idx="24">
                  <c:v>755.24433140254177</c:v>
                </c:pt>
                <c:pt idx="25">
                  <c:v>633.28610309701617</c:v>
                </c:pt>
                <c:pt idx="26">
                  <c:v>577.24905136540178</c:v>
                </c:pt>
                <c:pt idx="27">
                  <c:v>542.56491517927657</c:v>
                </c:pt>
                <c:pt idx="28">
                  <c:v>523.04517618896307</c:v>
                </c:pt>
                <c:pt idx="29">
                  <c:v>513.02385818918287</c:v>
                </c:pt>
                <c:pt idx="30">
                  <c:v>488.70376604058401</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8600.88026028485</c:v>
                </c:pt>
                <c:pt idx="1">
                  <c:v>8258.5143784911779</c:v>
                </c:pt>
                <c:pt idx="2">
                  <c:v>7962.1526037178537</c:v>
                </c:pt>
                <c:pt idx="3">
                  <c:v>7694.1164691736458</c:v>
                </c:pt>
                <c:pt idx="4">
                  <c:v>7392.1118529421537</c:v>
                </c:pt>
                <c:pt idx="5">
                  <c:v>7031.7099177768096</c:v>
                </c:pt>
                <c:pt idx="6">
                  <c:v>6653.2341038317008</c:v>
                </c:pt>
                <c:pt idx="7">
                  <c:v>6325.3637954371716</c:v>
                </c:pt>
                <c:pt idx="8">
                  <c:v>6045.8980186697399</c:v>
                </c:pt>
                <c:pt idx="9">
                  <c:v>5765.1058423358591</c:v>
                </c:pt>
                <c:pt idx="10">
                  <c:v>5486.9816625574504</c:v>
                </c:pt>
                <c:pt idx="11">
                  <c:v>5211.1575946368548</c:v>
                </c:pt>
                <c:pt idx="12">
                  <c:v>4923.9623445747775</c:v>
                </c:pt>
                <c:pt idx="13">
                  <c:v>4584.0172032140918</c:v>
                </c:pt>
                <c:pt idx="14">
                  <c:v>4221.1859974432145</c:v>
                </c:pt>
                <c:pt idx="15">
                  <c:v>3789.937412973562</c:v>
                </c:pt>
                <c:pt idx="16">
                  <c:v>3283.8683924627298</c:v>
                </c:pt>
                <c:pt idx="17">
                  <c:v>2714.7098539050189</c:v>
                </c:pt>
                <c:pt idx="18">
                  <c:v>2120.3389527808267</c:v>
                </c:pt>
                <c:pt idx="19">
                  <c:v>1549.2251736201158</c:v>
                </c:pt>
                <c:pt idx="20">
                  <c:v>1115.0562509241029</c:v>
                </c:pt>
                <c:pt idx="21">
                  <c:v>819.57257707159806</c:v>
                </c:pt>
                <c:pt idx="22">
                  <c:v>672.71182943032534</c:v>
                </c:pt>
                <c:pt idx="23">
                  <c:v>592.26686963031818</c:v>
                </c:pt>
                <c:pt idx="24">
                  <c:v>556.12366677692739</c:v>
                </c:pt>
                <c:pt idx="25">
                  <c:v>528.75323853804991</c:v>
                </c:pt>
                <c:pt idx="26">
                  <c:v>517.55067575260887</c:v>
                </c:pt>
                <c:pt idx="27">
                  <c:v>499.76142817308812</c:v>
                </c:pt>
                <c:pt idx="28">
                  <c:v>478.96737917397832</c:v>
                </c:pt>
                <c:pt idx="29">
                  <c:v>475.66972462501121</c:v>
                </c:pt>
                <c:pt idx="30">
                  <c:v>475.44842733478526</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7885.0238799750496</c:v>
                </c:pt>
                <c:pt idx="1">
                  <c:v>7533.2051738552464</c:v>
                </c:pt>
                <c:pt idx="2">
                  <c:v>7191.2405725815324</c:v>
                </c:pt>
                <c:pt idx="3">
                  <c:v>6812.4631092957497</c:v>
                </c:pt>
                <c:pt idx="4">
                  <c:v>6451.9725248759578</c:v>
                </c:pt>
                <c:pt idx="5">
                  <c:v>6166.1047060884439</c:v>
                </c:pt>
                <c:pt idx="6">
                  <c:v>5881.0552739751101</c:v>
                </c:pt>
                <c:pt idx="7">
                  <c:v>5609.3504910949478</c:v>
                </c:pt>
                <c:pt idx="8">
                  <c:v>5323.5276590267758</c:v>
                </c:pt>
                <c:pt idx="9">
                  <c:v>5061.2818561056738</c:v>
                </c:pt>
                <c:pt idx="10">
                  <c:v>4733.4087396901623</c:v>
                </c:pt>
                <c:pt idx="11">
                  <c:v>4393.7824312927287</c:v>
                </c:pt>
                <c:pt idx="12">
                  <c:v>4006.1265808261332</c:v>
                </c:pt>
                <c:pt idx="13">
                  <c:v>3576.233277328839</c:v>
                </c:pt>
                <c:pt idx="14">
                  <c:v>3059.5283871610445</c:v>
                </c:pt>
                <c:pt idx="15">
                  <c:v>2469.5512794279489</c:v>
                </c:pt>
                <c:pt idx="16">
                  <c:v>1842.799668868907</c:v>
                </c:pt>
                <c:pt idx="17">
                  <c:v>1328.7737512423464</c:v>
                </c:pt>
                <c:pt idx="18">
                  <c:v>948.83583319405307</c:v>
                </c:pt>
                <c:pt idx="19">
                  <c:v>739.39486681916139</c:v>
                </c:pt>
                <c:pt idx="20">
                  <c:v>624.14790659062351</c:v>
                </c:pt>
                <c:pt idx="21">
                  <c:v>574.84813415628378</c:v>
                </c:pt>
                <c:pt idx="22">
                  <c:v>540.01941971549797</c:v>
                </c:pt>
                <c:pt idx="23">
                  <c:v>522.91431442377564</c:v>
                </c:pt>
                <c:pt idx="24">
                  <c:v>512.28225991416207</c:v>
                </c:pt>
                <c:pt idx="25">
                  <c:v>486.30628203230003</c:v>
                </c:pt>
                <c:pt idx="26">
                  <c:v>477.16338311456207</c:v>
                </c:pt>
                <c:pt idx="27">
                  <c:v>476.22593072507385</c:v>
                </c:pt>
                <c:pt idx="28">
                  <c:v>475.98047490013522</c:v>
                </c:pt>
                <c:pt idx="29">
                  <c:v>475.76724400704541</c:v>
                </c:pt>
                <c:pt idx="30">
                  <c:v>475.55412653805064</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50369744"/>
        <c:axId val="45036935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0369744"/>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369352"/>
        <c:crosses val="autoZero"/>
        <c:crossBetween val="midCat"/>
        <c:majorUnit val="10000"/>
      </c:valAx>
      <c:valAx>
        <c:axId val="450369352"/>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369744"/>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8.5079508556004258E-3</c:v>
                </c:pt>
                <c:pt idx="1">
                  <c:v>1.1354301856226569E-2</c:v>
                </c:pt>
                <c:pt idx="2">
                  <c:v>3.0958330932795452E-3</c:v>
                </c:pt>
                <c:pt idx="3">
                  <c:v>5.2106393547567294E-4</c:v>
                </c:pt>
                <c:pt idx="4">
                  <c:v>7.2723621781048864E-5</c:v>
                </c:pt>
                <c:pt idx="5">
                  <c:v>9.6614199757789879E-6</c:v>
                </c:pt>
                <c:pt idx="6">
                  <c:v>1.5503560344094449E-5</c:v>
                </c:pt>
                <c:pt idx="7">
                  <c:v>4.9243580311463768E-5</c:v>
                </c:pt>
                <c:pt idx="8">
                  <c:v>1.2932939506291903E-4</c:v>
                </c:pt>
                <c:pt idx="9">
                  <c:v>2.7907384193715223E-4</c:v>
                </c:pt>
                <c:pt idx="10">
                  <c:v>4.9539778477034762E-4</c:v>
                </c:pt>
                <c:pt idx="11">
                  <c:v>7.5083844800129956E-4</c:v>
                </c:pt>
                <c:pt idx="12">
                  <c:v>9.7020276429723735E-4</c:v>
                </c:pt>
                <c:pt idx="13">
                  <c:v>1.0722676981492242E-3</c:v>
                </c:pt>
                <c:pt idx="14">
                  <c:v>1.0195286920897228E-3</c:v>
                </c:pt>
                <c:pt idx="15">
                  <c:v>8.4184851475131511E-4</c:v>
                </c:pt>
                <c:pt idx="16">
                  <c:v>5.9686695774754722E-4</c:v>
                </c:pt>
                <c:pt idx="17">
                  <c:v>3.7973850669969995E-4</c:v>
                </c:pt>
                <c:pt idx="18">
                  <c:v>2.2213776907079391E-4</c:v>
                </c:pt>
                <c:pt idx="19">
                  <c:v>1.1224531034270152E-4</c:v>
                </c:pt>
                <c:pt idx="20">
                  <c:v>5.1742248268266134E-5</c:v>
                </c:pt>
                <c:pt idx="21">
                  <c:v>2.7572542293909627E-5</c:v>
                </c:pt>
                <c:pt idx="22">
                  <c:v>1.0851536263840373E-5</c:v>
                </c:pt>
                <c:pt idx="23">
                  <c:v>2.858108917199607E-6</c:v>
                </c:pt>
                <c:pt idx="24">
                  <c:v>3.206023340305055E-5</c:v>
                </c:pt>
                <c:pt idx="25">
                  <c:v>1.4101511472885205E-4</c:v>
                </c:pt>
                <c:pt idx="26">
                  <c:v>2.9512499117395559E-4</c:v>
                </c:pt>
                <c:pt idx="27">
                  <c:v>4.1294051330453992E-4</c:v>
                </c:pt>
                <c:pt idx="28">
                  <c:v>5.0211216692947435E-4</c:v>
                </c:pt>
                <c:pt idx="29">
                  <c:v>6.1742350284039484E-4</c:v>
                </c:pt>
                <c:pt idx="30">
                  <c:v>3.6962371683565813E-4</c:v>
                </c:pt>
              </c:numCache>
            </c:numRef>
          </c:yVal>
          <c:smooth val="1"/>
        </c:ser>
        <c:dLbls>
          <c:showLegendKey val="0"/>
          <c:showVal val="0"/>
          <c:showCatName val="0"/>
          <c:showSerName val="0"/>
          <c:showPercent val="0"/>
          <c:showBubbleSize val="0"/>
        </c:dLbls>
        <c:axId val="450371704"/>
        <c:axId val="450376016"/>
      </c:scatterChart>
      <c:valAx>
        <c:axId val="45037170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376016"/>
        <c:crossesAt val="-1.5000000000000005E-3"/>
        <c:crossBetween val="midCat"/>
      </c:valAx>
      <c:valAx>
        <c:axId val="450376016"/>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371704"/>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9259.9030429946288</c:v>
                </c:pt>
                <c:pt idx="1">
                  <c:v>8975.4373156175916</c:v>
                </c:pt>
                <c:pt idx="2">
                  <c:v>8718.1797337443004</c:v>
                </c:pt>
                <c:pt idx="3">
                  <c:v>8453.8665906134283</c:v>
                </c:pt>
                <c:pt idx="4">
                  <c:v>8157.4497816903277</c:v>
                </c:pt>
                <c:pt idx="5">
                  <c:v>7881.4803699008435</c:v>
                </c:pt>
                <c:pt idx="6">
                  <c:v>7606.797789198542</c:v>
                </c:pt>
                <c:pt idx="7">
                  <c:v>7278.8872759198184</c:v>
                </c:pt>
                <c:pt idx="8">
                  <c:v>6902.9128773701668</c:v>
                </c:pt>
                <c:pt idx="9">
                  <c:v>6533.8294095397778</c:v>
                </c:pt>
                <c:pt idx="10">
                  <c:v>6236.0805337275306</c:v>
                </c:pt>
                <c:pt idx="11">
                  <c:v>5950.4123980915811</c:v>
                </c:pt>
                <c:pt idx="12">
                  <c:v>5675.5372968728034</c:v>
                </c:pt>
                <c:pt idx="13">
                  <c:v>5389.077424650558</c:v>
                </c:pt>
                <c:pt idx="14">
                  <c:v>5123.5437168709832</c:v>
                </c:pt>
                <c:pt idx="15">
                  <c:v>4799.280908658001</c:v>
                </c:pt>
                <c:pt idx="16">
                  <c:v>4430.6662258617935</c:v>
                </c:pt>
                <c:pt idx="17">
                  <c:v>3990.4031488339651</c:v>
                </c:pt>
                <c:pt idx="18">
                  <c:v>3512.6173919241392</c:v>
                </c:pt>
                <c:pt idx="19">
                  <c:v>2997.1269883218743</c:v>
                </c:pt>
                <c:pt idx="20">
                  <c:v>2450.4999019800034</c:v>
                </c:pt>
                <c:pt idx="21">
                  <c:v>1872.1545257089074</c:v>
                </c:pt>
                <c:pt idx="22">
                  <c:v>1367.4511296212941</c:v>
                </c:pt>
                <c:pt idx="23">
                  <c:v>983.81195335121254</c:v>
                </c:pt>
                <c:pt idx="24">
                  <c:v>755.24433140254177</c:v>
                </c:pt>
                <c:pt idx="25">
                  <c:v>633.28610309701617</c:v>
                </c:pt>
                <c:pt idx="26">
                  <c:v>577.24905136540178</c:v>
                </c:pt>
                <c:pt idx="27">
                  <c:v>542.56491517927657</c:v>
                </c:pt>
                <c:pt idx="28">
                  <c:v>523.04517618896307</c:v>
                </c:pt>
                <c:pt idx="29">
                  <c:v>513.02385818918287</c:v>
                </c:pt>
                <c:pt idx="30">
                  <c:v>488.70376604058401</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9181.1202429772056</c:v>
                </c:pt>
                <c:pt idx="1">
                  <c:v>9077.3471401907536</c:v>
                </c:pt>
                <c:pt idx="2">
                  <c:v>8691.1897044114157</c:v>
                </c:pt>
                <c:pt idx="3">
                  <c:v>8458.2715956091197</c:v>
                </c:pt>
                <c:pt idx="4">
                  <c:v>8156.8565423977061</c:v>
                </c:pt>
                <c:pt idx="5">
                  <c:v>7881.5565161927279</c:v>
                </c:pt>
                <c:pt idx="6">
                  <c:v>7606.6798567499918</c:v>
                </c:pt>
                <c:pt idx="7">
                  <c:v>7279.2457143899683</c:v>
                </c:pt>
                <c:pt idx="8">
                  <c:v>6902.0201278235645</c:v>
                </c:pt>
                <c:pt idx="9">
                  <c:v>6535.65283041566</c:v>
                </c:pt>
                <c:pt idx="10">
                  <c:v>6232.9911932454725</c:v>
                </c:pt>
                <c:pt idx="11">
                  <c:v>5954.8801965015318</c:v>
                </c:pt>
                <c:pt idx="12">
                  <c:v>5670.0308748985053</c:v>
                </c:pt>
                <c:pt idx="13">
                  <c:v>5394.855958295836</c:v>
                </c:pt>
                <c:pt idx="14">
                  <c:v>5118.3201170464572</c:v>
                </c:pt>
                <c:pt idx="15">
                  <c:v>4803.321176162829</c:v>
                </c:pt>
                <c:pt idx="16">
                  <c:v>4428.0217075907685</c:v>
                </c:pt>
                <c:pt idx="17">
                  <c:v>3991.9184585668331</c:v>
                </c:pt>
                <c:pt idx="18">
                  <c:v>3511.8371069330979</c:v>
                </c:pt>
                <c:pt idx="19">
                  <c:v>2997.4634017708149</c:v>
                </c:pt>
                <c:pt idx="20">
                  <c:v>2450.3731076056938</c:v>
                </c:pt>
                <c:pt idx="21">
                  <c:v>1872.2061457687482</c:v>
                </c:pt>
                <c:pt idx="22">
                  <c:v>1367.4362906757719</c:v>
                </c:pt>
                <c:pt idx="23">
                  <c:v>983.81476519292926</c:v>
                </c:pt>
                <c:pt idx="24">
                  <c:v>755.22011809300068</c:v>
                </c:pt>
                <c:pt idx="25">
                  <c:v>633.37540600950058</c:v>
                </c:pt>
                <c:pt idx="26">
                  <c:v>577.07869074421239</c:v>
                </c:pt>
                <c:pt idx="27">
                  <c:v>542.78896221385173</c:v>
                </c:pt>
                <c:pt idx="28">
                  <c:v>522.78254884214482</c:v>
                </c:pt>
                <c:pt idx="29">
                  <c:v>513.34061117674673</c:v>
                </c:pt>
                <c:pt idx="30">
                  <c:v>488.52312953814851</c:v>
                </c:pt>
              </c:numCache>
            </c:numRef>
          </c:yVal>
          <c:smooth val="1"/>
        </c:ser>
        <c:dLbls>
          <c:showLegendKey val="0"/>
          <c:showVal val="0"/>
          <c:showCatName val="0"/>
          <c:showSerName val="0"/>
          <c:showPercent val="0"/>
          <c:showBubbleSize val="0"/>
        </c:dLbls>
        <c:axId val="450372096"/>
        <c:axId val="450372880"/>
      </c:scatterChart>
      <c:valAx>
        <c:axId val="45037209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372880"/>
        <c:crosses val="autoZero"/>
        <c:crossBetween val="midCat"/>
      </c:valAx>
      <c:valAx>
        <c:axId val="45037288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372096"/>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0</c:v>
                </c:pt>
                <c:pt idx="1">
                  <c:v>0</c:v>
                </c:pt>
                <c:pt idx="2">
                  <c:v>0</c:v>
                </c:pt>
                <c:pt idx="3">
                  <c:v>0</c:v>
                </c:pt>
                <c:pt idx="4">
                  <c:v>0</c:v>
                </c:pt>
                <c:pt idx="5">
                  <c:v>0</c:v>
                </c:pt>
                <c:pt idx="6">
                  <c:v>0</c:v>
                </c:pt>
                <c:pt idx="7">
                  <c:v>0</c:v>
                </c:pt>
                <c:pt idx="8">
                  <c:v>0</c:v>
                </c:pt>
                <c:pt idx="9">
                  <c:v>0</c:v>
                </c:pt>
                <c:pt idx="10">
                  <c:v>2.3597111665747445E-3</c:v>
                </c:pt>
                <c:pt idx="11">
                  <c:v>1.7342905226746116E-3</c:v>
                </c:pt>
                <c:pt idx="12">
                  <c:v>7.0704325983006401E-4</c:v>
                </c:pt>
                <c:pt idx="13">
                  <c:v>6.2164166165538329E-4</c:v>
                </c:pt>
                <c:pt idx="14">
                  <c:v>8.6504035495277732E-4</c:v>
                </c:pt>
                <c:pt idx="15">
                  <c:v>1.7630736166325152E-3</c:v>
                </c:pt>
                <c:pt idx="16">
                  <c:v>2.9049964319842789E-4</c:v>
                </c:pt>
                <c:pt idx="17">
                  <c:v>1.964124914077233E-3</c:v>
                </c:pt>
                <c:pt idx="18">
                  <c:v>1.5389470207076818E-3</c:v>
                </c:pt>
                <c:pt idx="19">
                  <c:v>2.0932553010293578E-4</c:v>
                </c:pt>
                <c:pt idx="20">
                  <c:v>1.0111760600874898E-2</c:v>
                </c:pt>
                <c:pt idx="21">
                  <c:v>0</c:v>
                </c:pt>
                <c:pt idx="22">
                  <c:v>0</c:v>
                </c:pt>
                <c:pt idx="23">
                  <c:v>0</c:v>
                </c:pt>
                <c:pt idx="24">
                  <c:v>0</c:v>
                </c:pt>
                <c:pt idx="25">
                  <c:v>0</c:v>
                </c:pt>
                <c:pt idx="26">
                  <c:v>0</c:v>
                </c:pt>
                <c:pt idx="27">
                  <c:v>0</c:v>
                </c:pt>
                <c:pt idx="28">
                  <c:v>0</c:v>
                </c:pt>
                <c:pt idx="29">
                  <c:v>0</c:v>
                </c:pt>
                <c:pt idx="30">
                  <c:v>0</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3.4443547412840128E-2</c:v>
                </c:pt>
                <c:pt idx="1">
                  <c:v>8.4730373966399423E-3</c:v>
                </c:pt>
                <c:pt idx="2">
                  <c:v>9.0482103682675181E-3</c:v>
                </c:pt>
                <c:pt idx="3">
                  <c:v>1.6525198816584536E-3</c:v>
                </c:pt>
                <c:pt idx="4">
                  <c:v>1.9854424173243812E-3</c:v>
                </c:pt>
                <c:pt idx="5">
                  <c:v>1.0288242704138517E-3</c:v>
                </c:pt>
                <c:pt idx="6">
                  <c:v>9.2102432885038052E-4</c:v>
                </c:pt>
                <c:pt idx="7">
                  <c:v>9.3943451131720055E-4</c:v>
                </c:pt>
                <c:pt idx="8">
                  <c:v>6.8851867697972472E-4</c:v>
                </c:pt>
                <c:pt idx="9">
                  <c:v>5.9643721825667077E-4</c:v>
                </c:pt>
                <c:pt idx="10">
                  <c:v>6.4610278379696794E-4</c:v>
                </c:pt>
                <c:pt idx="11">
                  <c:v>1.6920392397372416E-3</c:v>
                </c:pt>
                <c:pt idx="12">
                  <c:v>9.5174169331321801E-4</c:v>
                </c:pt>
                <c:pt idx="13">
                  <c:v>2.0870958342132247E-3</c:v>
                </c:pt>
                <c:pt idx="14">
                  <c:v>2.1104171665112716E-3</c:v>
                </c:pt>
                <c:pt idx="15">
                  <c:v>2.1479001124777137E-3</c:v>
                </c:pt>
                <c:pt idx="16">
                  <c:v>1.487407844224322E-3</c:v>
                </c:pt>
                <c:pt idx="17">
                  <c:v>2.5241809089220912E-3</c:v>
                </c:pt>
                <c:pt idx="18">
                  <c:v>4.4382808929403815E-3</c:v>
                </c:pt>
                <c:pt idx="19">
                  <c:v>4.3095756559402166E-3</c:v>
                </c:pt>
                <c:pt idx="20">
                  <c:v>4.9575730418125437E-5</c:v>
                </c:pt>
                <c:pt idx="21">
                  <c:v>1.3536713680201821E-3</c:v>
                </c:pt>
                <c:pt idx="22">
                  <c:v>1.1289232254328803E-2</c:v>
                </c:pt>
                <c:pt idx="23">
                  <c:v>2.3293431100752878E-2</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0</c:v>
                </c:pt>
                <c:pt idx="1">
                  <c:v>0</c:v>
                </c:pt>
                <c:pt idx="2">
                  <c:v>0</c:v>
                </c:pt>
                <c:pt idx="3">
                  <c:v>0</c:v>
                </c:pt>
                <c:pt idx="4">
                  <c:v>0</c:v>
                </c:pt>
                <c:pt idx="5">
                  <c:v>0</c:v>
                </c:pt>
                <c:pt idx="6">
                  <c:v>0</c:v>
                </c:pt>
                <c:pt idx="7">
                  <c:v>0</c:v>
                </c:pt>
                <c:pt idx="8">
                  <c:v>0</c:v>
                </c:pt>
                <c:pt idx="9">
                  <c:v>0</c:v>
                </c:pt>
                <c:pt idx="10">
                  <c:v>4.7955108356792465E-4</c:v>
                </c:pt>
                <c:pt idx="11">
                  <c:v>7.6767684919482341E-4</c:v>
                </c:pt>
                <c:pt idx="12">
                  <c:v>9.5266552345789357E-4</c:v>
                </c:pt>
                <c:pt idx="13">
                  <c:v>1.088868800166375E-3</c:v>
                </c:pt>
                <c:pt idx="14">
                  <c:v>1.0008129553397971E-3</c:v>
                </c:pt>
                <c:pt idx="15">
                  <c:v>8.6470064269726415E-4</c:v>
                </c:pt>
                <c:pt idx="16">
                  <c:v>5.6811275097235121E-4</c:v>
                </c:pt>
                <c:pt idx="17">
                  <c:v>4.1376866240571628E-4</c:v>
                </c:pt>
                <c:pt idx="18">
                  <c:v>1.8096266409010865E-4</c:v>
                </c:pt>
                <c:pt idx="19">
                  <c:v>1.6034355238964839E-4</c:v>
                </c:pt>
                <c:pt idx="20">
                  <c:v>1.6554919884486191E-5</c:v>
                </c:pt>
                <c:pt idx="21">
                  <c:v>0</c:v>
                </c:pt>
                <c:pt idx="22">
                  <c:v>0</c:v>
                </c:pt>
                <c:pt idx="23">
                  <c:v>0</c:v>
                </c:pt>
                <c:pt idx="24">
                  <c:v>0</c:v>
                </c:pt>
                <c:pt idx="25">
                  <c:v>0</c:v>
                </c:pt>
                <c:pt idx="26">
                  <c:v>0</c:v>
                </c:pt>
                <c:pt idx="27">
                  <c:v>0</c:v>
                </c:pt>
                <c:pt idx="28">
                  <c:v>0</c:v>
                </c:pt>
                <c:pt idx="29">
                  <c:v>0</c:v>
                </c:pt>
                <c:pt idx="30">
                  <c:v>0</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0</c:v>
                </c:pt>
                <c:pt idx="1">
                  <c:v>0</c:v>
                </c:pt>
                <c:pt idx="2">
                  <c:v>0</c:v>
                </c:pt>
                <c:pt idx="3">
                  <c:v>0</c:v>
                </c:pt>
                <c:pt idx="4">
                  <c:v>0</c:v>
                </c:pt>
                <c:pt idx="5">
                  <c:v>0</c:v>
                </c:pt>
                <c:pt idx="6">
                  <c:v>0</c:v>
                </c:pt>
                <c:pt idx="7">
                  <c:v>0</c:v>
                </c:pt>
                <c:pt idx="8">
                  <c:v>0</c:v>
                </c:pt>
                <c:pt idx="9">
                  <c:v>0</c:v>
                </c:pt>
                <c:pt idx="10">
                  <c:v>1.4259752620857321E-2</c:v>
                </c:pt>
                <c:pt idx="11">
                  <c:v>7.1541385056189278E-3</c:v>
                </c:pt>
                <c:pt idx="12">
                  <c:v>4.2928330963582549E-3</c:v>
                </c:pt>
                <c:pt idx="13">
                  <c:v>1.8896608856863627E-2</c:v>
                </c:pt>
                <c:pt idx="14">
                  <c:v>2.1321652641609089E-2</c:v>
                </c:pt>
                <c:pt idx="15">
                  <c:v>9.2552611220423457E-3</c:v>
                </c:pt>
                <c:pt idx="16">
                  <c:v>1.4456502663574899E-2</c:v>
                </c:pt>
                <c:pt idx="17">
                  <c:v>2.6139012842918051E-2</c:v>
                </c:pt>
                <c:pt idx="18">
                  <c:v>3.4516384755974225E-2</c:v>
                </c:pt>
                <c:pt idx="19">
                  <c:v>1.9703073471331219E-2</c:v>
                </c:pt>
                <c:pt idx="20">
                  <c:v>1.3810203706601193E-2</c:v>
                </c:pt>
                <c:pt idx="21">
                  <c:v>0</c:v>
                </c:pt>
                <c:pt idx="22">
                  <c:v>0</c:v>
                </c:pt>
                <c:pt idx="23">
                  <c:v>0</c:v>
                </c:pt>
                <c:pt idx="24">
                  <c:v>0</c:v>
                </c:pt>
                <c:pt idx="25">
                  <c:v>0</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450373272"/>
        <c:axId val="450373664"/>
      </c:scatterChart>
      <c:valAx>
        <c:axId val="45037327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373664"/>
        <c:crossesAt val="1.0000000000000005E-9"/>
        <c:crossBetween val="midCat"/>
      </c:valAx>
      <c:valAx>
        <c:axId val="4503736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373272"/>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-11.075286108018116</c:v>
                </c:pt>
                <c:pt idx="1">
                  <c:v>-7.6140068110883616</c:v>
                </c:pt>
                <c:pt idx="2">
                  <c:v>-5.0324248356029004</c:v>
                </c:pt>
                <c:pt idx="3">
                  <c:v>-2.8351359473469957</c:v>
                </c:pt>
                <c:pt idx="4">
                  <c:v>0</c:v>
                </c:pt>
                <c:pt idx="5">
                  <c:v>5.8229860798278077</c:v>
                </c:pt>
                <c:pt idx="6">
                  <c:v>11.529070899829078</c:v>
                </c:pt>
              </c:numCache>
            </c:numRef>
          </c:yVal>
          <c:smooth val="0"/>
        </c:ser>
        <c:dLbls>
          <c:showLegendKey val="0"/>
          <c:showVal val="0"/>
          <c:showCatName val="0"/>
          <c:showSerName val="0"/>
          <c:showPercent val="0"/>
          <c:showBubbleSize val="0"/>
        </c:dLbls>
        <c:axId val="450374840"/>
        <c:axId val="450375232"/>
      </c:scatterChart>
      <c:valAx>
        <c:axId val="4503748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375232"/>
        <c:crossesAt val="-100"/>
        <c:crossBetween val="midCat"/>
      </c:valAx>
      <c:valAx>
        <c:axId val="4503752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374840"/>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10218.668827091791</c:v>
                </c:pt>
                <c:pt idx="1">
                  <c:v>10130.735990154546</c:v>
                </c:pt>
                <c:pt idx="2">
                  <c:v>9815.5100842671618</c:v>
                </c:pt>
                <c:pt idx="3">
                  <c:v>9602.7895017015398</c:v>
                </c:pt>
                <c:pt idx="4">
                  <c:v>9403.9958104822508</c:v>
                </c:pt>
                <c:pt idx="5">
                  <c:v>9185.6343104080297</c:v>
                </c:pt>
                <c:pt idx="6">
                  <c:v>8956.3853461764484</c:v>
                </c:pt>
                <c:pt idx="7">
                  <c:v>8694.0472851843733</c:v>
                </c:pt>
                <c:pt idx="8">
                  <c:v>8422.2902852365987</c:v>
                </c:pt>
                <c:pt idx="9">
                  <c:v>8119.1133122846923</c:v>
                </c:pt>
                <c:pt idx="10">
                  <c:v>7848.6797155048253</c:v>
                </c:pt>
                <c:pt idx="11">
                  <c:v>7561.5718378512247</c:v>
                </c:pt>
                <c:pt idx="12">
                  <c:v>7212.0886309644511</c:v>
                </c:pt>
                <c:pt idx="13">
                  <c:v>6826.065675816817</c:v>
                </c:pt>
                <c:pt idx="14">
                  <c:v>6468.6777640443843</c:v>
                </c:pt>
                <c:pt idx="15">
                  <c:v>6185.0814076350389</c:v>
                </c:pt>
                <c:pt idx="16">
                  <c:v>5896.0070828362468</c:v>
                </c:pt>
                <c:pt idx="17">
                  <c:v>5620.2326577203476</c:v>
                </c:pt>
                <c:pt idx="18">
                  <c:v>5330.7810569019748</c:v>
                </c:pt>
                <c:pt idx="19">
                  <c:v>5056.458830124393</c:v>
                </c:pt>
                <c:pt idx="20">
                  <c:v>4685.6312280238881</c:v>
                </c:pt>
                <c:pt idx="21">
                  <c:v>4271.8299665210579</c:v>
                </c:pt>
                <c:pt idx="22">
                  <c:v>3807.4701999642007</c:v>
                </c:pt>
                <c:pt idx="23">
                  <c:v>3333.4500993282409</c:v>
                </c:pt>
                <c:pt idx="24">
                  <c:v>2813.9339254547094</c:v>
                </c:pt>
                <c:pt idx="25">
                  <c:v>2264.5753602217969</c:v>
                </c:pt>
                <c:pt idx="26">
                  <c:v>1691.7003845109305</c:v>
                </c:pt>
                <c:pt idx="27">
                  <c:v>1230.3504248927311</c:v>
                </c:pt>
                <c:pt idx="28">
                  <c:v>888.25672531905332</c:v>
                </c:pt>
                <c:pt idx="29">
                  <c:v>708.86645626754114</c:v>
                </c:pt>
                <c:pt idx="30">
                  <c:v>607.16785102157667</c:v>
                </c:pt>
              </c:numCache>
            </c:numRef>
          </c:yVal>
          <c:smooth val="0"/>
        </c:ser>
        <c:dLbls>
          <c:showLegendKey val="0"/>
          <c:showVal val="0"/>
          <c:showCatName val="0"/>
          <c:showSerName val="0"/>
          <c:showPercent val="0"/>
          <c:showBubbleSize val="0"/>
        </c:dLbls>
        <c:axId val="445450016"/>
        <c:axId val="452591040"/>
      </c:scatterChart>
      <c:valAx>
        <c:axId val="445450016"/>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591040"/>
        <c:crosses val="autoZero"/>
        <c:crossBetween val="midCat"/>
      </c:valAx>
      <c:valAx>
        <c:axId val="452591040"/>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450016"/>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1.5490461539440107E-20</c:v>
                </c:pt>
                <c:pt idx="1">
                  <c:v>1.5490461539440105E-19</c:v>
                </c:pt>
                <c:pt idx="2">
                  <c:v>1.5490461539440106E-18</c:v>
                </c:pt>
                <c:pt idx="3">
                  <c:v>1.5490461539440104E-17</c:v>
                </c:pt>
                <c:pt idx="4">
                  <c:v>1.5490461539440104E-16</c:v>
                </c:pt>
                <c:pt idx="5">
                  <c:v>1.5490461539440106E-15</c:v>
                </c:pt>
                <c:pt idx="6">
                  <c:v>1.5490461539440105E-14</c:v>
                </c:pt>
                <c:pt idx="7">
                  <c:v>1.5490461539440105E-13</c:v>
                </c:pt>
                <c:pt idx="8">
                  <c:v>1.5490461539440104E-12</c:v>
                </c:pt>
                <c:pt idx="9">
                  <c:v>1.5490461539440105E-11</c:v>
                </c:pt>
                <c:pt idx="10">
                  <c:v>1.5490461539440107E-10</c:v>
                </c:pt>
                <c:pt idx="11">
                  <c:v>1.5490461539440106E-9</c:v>
                </c:pt>
                <c:pt idx="12">
                  <c:v>1.5490461539440106E-8</c:v>
                </c:pt>
                <c:pt idx="13">
                  <c:v>1.5490461539440107E-7</c:v>
                </c:pt>
                <c:pt idx="14">
                  <c:v>1.5490461539440105E-6</c:v>
                </c:pt>
                <c:pt idx="15">
                  <c:v>1.5490461539440105E-5</c:v>
                </c:pt>
                <c:pt idx="16">
                  <c:v>1.5490461539440105E-4</c:v>
                </c:pt>
                <c:pt idx="17">
                  <c:v>1.5490461539440106E-3</c:v>
                </c:pt>
                <c:pt idx="18">
                  <c:v>1.5490461539440106E-2</c:v>
                </c:pt>
                <c:pt idx="19">
                  <c:v>0.15490461539440106</c:v>
                </c:pt>
                <c:pt idx="20">
                  <c:v>1.5490461539440106</c:v>
                </c:pt>
                <c:pt idx="21">
                  <c:v>15.490461539440105</c:v>
                </c:pt>
                <c:pt idx="22">
                  <c:v>154.90461539440105</c:v>
                </c:pt>
                <c:pt idx="23">
                  <c:v>1549.0461539440105</c:v>
                </c:pt>
                <c:pt idx="24">
                  <c:v>15490.461539440106</c:v>
                </c:pt>
                <c:pt idx="25">
                  <c:v>154904.61539440104</c:v>
                </c:pt>
                <c:pt idx="26">
                  <c:v>1549046.1539440106</c:v>
                </c:pt>
                <c:pt idx="27">
                  <c:v>15490461.539440105</c:v>
                </c:pt>
                <c:pt idx="28">
                  <c:v>154904615.39440104</c:v>
                </c:pt>
                <c:pt idx="29">
                  <c:v>1549046153.9440105</c:v>
                </c:pt>
                <c:pt idx="30">
                  <c:v>15490461539.440105</c:v>
                </c:pt>
              </c:numCache>
            </c:numRef>
          </c:xVal>
          <c:yVal>
            <c:numRef>
              <c:f>'Mastercurve bestimmen'!$J$404:$J$434</c:f>
              <c:numCache>
                <c:formatCode>0.00E+00</c:formatCode>
                <c:ptCount val="31"/>
                <c:pt idx="0">
                  <c:v>10218.668827091791</c:v>
                </c:pt>
                <c:pt idx="1">
                  <c:v>10130.735990154546</c:v>
                </c:pt>
                <c:pt idx="2">
                  <c:v>9815.5100842671618</c:v>
                </c:pt>
                <c:pt idx="3">
                  <c:v>9602.7895017015398</c:v>
                </c:pt>
                <c:pt idx="4">
                  <c:v>9403.9958104822508</c:v>
                </c:pt>
                <c:pt idx="5">
                  <c:v>9185.6343104080297</c:v>
                </c:pt>
                <c:pt idx="6">
                  <c:v>8956.3853461764484</c:v>
                </c:pt>
                <c:pt idx="7">
                  <c:v>8694.0472851843733</c:v>
                </c:pt>
                <c:pt idx="8">
                  <c:v>8422.2902852365987</c:v>
                </c:pt>
                <c:pt idx="9">
                  <c:v>8119.1133122846923</c:v>
                </c:pt>
                <c:pt idx="10">
                  <c:v>7848.6797155048253</c:v>
                </c:pt>
                <c:pt idx="11">
                  <c:v>7561.5718378512247</c:v>
                </c:pt>
                <c:pt idx="12">
                  <c:v>7212.0886309644511</c:v>
                </c:pt>
                <c:pt idx="13">
                  <c:v>6826.065675816817</c:v>
                </c:pt>
                <c:pt idx="14">
                  <c:v>6468.6777640443843</c:v>
                </c:pt>
                <c:pt idx="15">
                  <c:v>6185.0814076350389</c:v>
                </c:pt>
                <c:pt idx="16">
                  <c:v>5896.0070828362468</c:v>
                </c:pt>
                <c:pt idx="17">
                  <c:v>5620.2326577203476</c:v>
                </c:pt>
                <c:pt idx="18">
                  <c:v>5330.7810569019748</c:v>
                </c:pt>
                <c:pt idx="19">
                  <c:v>5056.458830124393</c:v>
                </c:pt>
                <c:pt idx="20">
                  <c:v>4685.6312280238881</c:v>
                </c:pt>
                <c:pt idx="21">
                  <c:v>4271.8299665210579</c:v>
                </c:pt>
                <c:pt idx="22">
                  <c:v>3807.4701999642007</c:v>
                </c:pt>
                <c:pt idx="23">
                  <c:v>3333.4500993282409</c:v>
                </c:pt>
                <c:pt idx="24">
                  <c:v>2813.9339254547094</c:v>
                </c:pt>
                <c:pt idx="25">
                  <c:v>2264.5753602217969</c:v>
                </c:pt>
                <c:pt idx="26">
                  <c:v>1691.7003845109305</c:v>
                </c:pt>
                <c:pt idx="27">
                  <c:v>1230.3504248927311</c:v>
                </c:pt>
                <c:pt idx="28">
                  <c:v>888.25672531905332</c:v>
                </c:pt>
                <c:pt idx="29">
                  <c:v>708.86645626754114</c:v>
                </c:pt>
                <c:pt idx="30">
                  <c:v>607.16785102157667</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4.934905683193021E-19</c:v>
                </c:pt>
                <c:pt idx="1">
                  <c:v>4.9349056831930206E-18</c:v>
                </c:pt>
                <c:pt idx="2">
                  <c:v>4.934905683193021E-17</c:v>
                </c:pt>
                <c:pt idx="3">
                  <c:v>4.9349056831930212E-16</c:v>
                </c:pt>
                <c:pt idx="4">
                  <c:v>4.9349056831930206E-15</c:v>
                </c:pt>
                <c:pt idx="5">
                  <c:v>4.934905683193021E-14</c:v>
                </c:pt>
                <c:pt idx="6">
                  <c:v>4.9349056831930212E-13</c:v>
                </c:pt>
                <c:pt idx="7">
                  <c:v>4.9349056831930212E-12</c:v>
                </c:pt>
                <c:pt idx="8">
                  <c:v>4.9349056831930207E-11</c:v>
                </c:pt>
                <c:pt idx="9">
                  <c:v>4.9349056831930204E-10</c:v>
                </c:pt>
                <c:pt idx="10">
                  <c:v>4.9349056831930215E-9</c:v>
                </c:pt>
                <c:pt idx="11">
                  <c:v>4.934905683193021E-8</c:v>
                </c:pt>
                <c:pt idx="12">
                  <c:v>4.934905683193021E-7</c:v>
                </c:pt>
                <c:pt idx="13">
                  <c:v>4.9349056831930214E-6</c:v>
                </c:pt>
                <c:pt idx="14">
                  <c:v>4.9349056831930212E-5</c:v>
                </c:pt>
                <c:pt idx="15">
                  <c:v>4.9349056831930207E-4</c:v>
                </c:pt>
                <c:pt idx="16">
                  <c:v>4.9349056831930211E-3</c:v>
                </c:pt>
                <c:pt idx="17">
                  <c:v>4.9349056831930208E-2</c:v>
                </c:pt>
                <c:pt idx="18">
                  <c:v>0.4934905683193021</c:v>
                </c:pt>
                <c:pt idx="19">
                  <c:v>4.9349056831930209</c:v>
                </c:pt>
                <c:pt idx="20">
                  <c:v>49.349056831930206</c:v>
                </c:pt>
                <c:pt idx="21">
                  <c:v>493.4905683193021</c:v>
                </c:pt>
                <c:pt idx="22">
                  <c:v>4934.9056831930211</c:v>
                </c:pt>
                <c:pt idx="23">
                  <c:v>49349.056831930211</c:v>
                </c:pt>
                <c:pt idx="24">
                  <c:v>493490.56831930211</c:v>
                </c:pt>
                <c:pt idx="25">
                  <c:v>4934905.6831930205</c:v>
                </c:pt>
                <c:pt idx="26">
                  <c:v>49349056.831930205</c:v>
                </c:pt>
                <c:pt idx="27">
                  <c:v>493490568.31930208</c:v>
                </c:pt>
                <c:pt idx="28">
                  <c:v>4934905683.1930208</c:v>
                </c:pt>
                <c:pt idx="29">
                  <c:v>49349056831.930206</c:v>
                </c:pt>
                <c:pt idx="30">
                  <c:v>493490568319.30206</c:v>
                </c:pt>
              </c:numCache>
            </c:numRef>
          </c:xVal>
          <c:yVal>
            <c:numRef>
              <c:f>'Mastercurve bestimmen'!$K$404:$K$434</c:f>
              <c:numCache>
                <c:formatCode>0.00E+00</c:formatCode>
                <c:ptCount val="31"/>
                <c:pt idx="0">
                  <c:v>10065.543251576082</c:v>
                </c:pt>
                <c:pt idx="1">
                  <c:v>9708.7484211633309</c:v>
                </c:pt>
                <c:pt idx="2">
                  <c:v>9504.080552546171</c:v>
                </c:pt>
                <c:pt idx="3">
                  <c:v>9297.6034614201999</c:v>
                </c:pt>
                <c:pt idx="4">
                  <c:v>9077.0448832845814</c:v>
                </c:pt>
                <c:pt idx="5">
                  <c:v>8833.9901329277236</c:v>
                </c:pt>
                <c:pt idx="6">
                  <c:v>8570.1980588932365</c:v>
                </c:pt>
                <c:pt idx="7">
                  <c:v>8282.9223634397895</c:v>
                </c:pt>
                <c:pt idx="8">
                  <c:v>7993.641154385381</c:v>
                </c:pt>
                <c:pt idx="9">
                  <c:v>7722.5102431706819</c:v>
                </c:pt>
                <c:pt idx="10">
                  <c:v>7411.9254661857585</c:v>
                </c:pt>
                <c:pt idx="11">
                  <c:v>7044.5082173262499</c:v>
                </c:pt>
                <c:pt idx="12">
                  <c:v>6664.4913259208079</c:v>
                </c:pt>
                <c:pt idx="13">
                  <c:v>6341.2106146502829</c:v>
                </c:pt>
                <c:pt idx="14">
                  <c:v>6057.8856031721252</c:v>
                </c:pt>
                <c:pt idx="15">
                  <c:v>5776.2920069159836</c:v>
                </c:pt>
                <c:pt idx="16">
                  <c:v>5493.3830678495879</c:v>
                </c:pt>
                <c:pt idx="17">
                  <c:v>5215.5329419319251</c:v>
                </c:pt>
                <c:pt idx="18">
                  <c:v>4897.7071873573095</c:v>
                </c:pt>
                <c:pt idx="19">
                  <c:v>4495.7217042422935</c:v>
                </c:pt>
                <c:pt idx="20">
                  <c:v>4059.1954090175182</c:v>
                </c:pt>
                <c:pt idx="21">
                  <c:v>3597.5805592338243</c:v>
                </c:pt>
                <c:pt idx="22">
                  <c:v>3113.2980023229825</c:v>
                </c:pt>
                <c:pt idx="23">
                  <c:v>2587.1664421745386</c:v>
                </c:pt>
                <c:pt idx="24">
                  <c:v>2025.5491425769458</c:v>
                </c:pt>
                <c:pt idx="25">
                  <c:v>1488.3947775442189</c:v>
                </c:pt>
                <c:pt idx="26">
                  <c:v>1075.2839868020503</c:v>
                </c:pt>
                <c:pt idx="27">
                  <c:v>799.60727676982128</c:v>
                </c:pt>
                <c:pt idx="28">
                  <c:v>660.84412890819806</c:v>
                </c:pt>
                <c:pt idx="29">
                  <c:v>587.16779346403064</c:v>
                </c:pt>
                <c:pt idx="30">
                  <c:v>551.91226878266252</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6.5229742378881799E-18</c:v>
                </c:pt>
                <c:pt idx="1">
                  <c:v>6.5229742378881796E-17</c:v>
                </c:pt>
                <c:pt idx="2">
                  <c:v>6.5229742378881801E-16</c:v>
                </c:pt>
                <c:pt idx="3">
                  <c:v>6.5229742378881795E-15</c:v>
                </c:pt>
                <c:pt idx="4">
                  <c:v>6.5229742378881789E-14</c:v>
                </c:pt>
                <c:pt idx="5">
                  <c:v>6.5229742378881794E-13</c:v>
                </c:pt>
                <c:pt idx="6">
                  <c:v>6.52297423788818E-12</c:v>
                </c:pt>
                <c:pt idx="7">
                  <c:v>6.5229742378881792E-11</c:v>
                </c:pt>
                <c:pt idx="8">
                  <c:v>6.5229742378881797E-10</c:v>
                </c:pt>
                <c:pt idx="9">
                  <c:v>6.5229742378881791E-9</c:v>
                </c:pt>
                <c:pt idx="10">
                  <c:v>6.5229742378881807E-8</c:v>
                </c:pt>
                <c:pt idx="11">
                  <c:v>6.5229742378881802E-7</c:v>
                </c:pt>
                <c:pt idx="12">
                  <c:v>6.5229742378881798E-6</c:v>
                </c:pt>
                <c:pt idx="13">
                  <c:v>6.5229742378881793E-5</c:v>
                </c:pt>
                <c:pt idx="14">
                  <c:v>6.5229742378881798E-4</c:v>
                </c:pt>
                <c:pt idx="15">
                  <c:v>6.5229742378881796E-3</c:v>
                </c:pt>
                <c:pt idx="16">
                  <c:v>6.5229742378881794E-2</c:v>
                </c:pt>
                <c:pt idx="17">
                  <c:v>0.65229742378881794</c:v>
                </c:pt>
                <c:pt idx="18">
                  <c:v>6.5229742378881799</c:v>
                </c:pt>
                <c:pt idx="19">
                  <c:v>65.229742378881795</c:v>
                </c:pt>
                <c:pt idx="20">
                  <c:v>652.29742378881792</c:v>
                </c:pt>
                <c:pt idx="21">
                  <c:v>6522.9742378881792</c:v>
                </c:pt>
                <c:pt idx="22">
                  <c:v>65229.742378881798</c:v>
                </c:pt>
                <c:pt idx="23">
                  <c:v>652297.42378881795</c:v>
                </c:pt>
                <c:pt idx="24">
                  <c:v>6522974.2378881797</c:v>
                </c:pt>
                <c:pt idx="25">
                  <c:v>65229742.378881797</c:v>
                </c:pt>
                <c:pt idx="26">
                  <c:v>652297423.788818</c:v>
                </c:pt>
                <c:pt idx="27">
                  <c:v>6522974237.8881798</c:v>
                </c:pt>
                <c:pt idx="28">
                  <c:v>65229742378.881798</c:v>
                </c:pt>
                <c:pt idx="29">
                  <c:v>652297423788.81799</c:v>
                </c:pt>
                <c:pt idx="30">
                  <c:v>6522974237888.1797</c:v>
                </c:pt>
              </c:numCache>
            </c:numRef>
          </c:xVal>
          <c:yVal>
            <c:numRef>
              <c:f>'Mastercurve bestimmen'!$L$404:$L$434</c:f>
              <c:numCache>
                <c:formatCode>0.00E+00</c:formatCode>
                <c:ptCount val="31"/>
                <c:pt idx="0">
                  <c:v>9730.0167223959397</c:v>
                </c:pt>
                <c:pt idx="1">
                  <c:v>9476.1525473419642</c:v>
                </c:pt>
                <c:pt idx="2">
                  <c:v>9264.0506360514537</c:v>
                </c:pt>
                <c:pt idx="3">
                  <c:v>9042.8661048910981</c:v>
                </c:pt>
                <c:pt idx="4">
                  <c:v>8796.5318501985184</c:v>
                </c:pt>
                <c:pt idx="5">
                  <c:v>8532.9278199977016</c:v>
                </c:pt>
                <c:pt idx="6">
                  <c:v>8242.1892422663423</c:v>
                </c:pt>
                <c:pt idx="7">
                  <c:v>7957.4855284258747</c:v>
                </c:pt>
                <c:pt idx="8">
                  <c:v>7685.4052187432317</c:v>
                </c:pt>
                <c:pt idx="9">
                  <c:v>7368.9543787655439</c:v>
                </c:pt>
                <c:pt idx="10">
                  <c:v>6998.3812744112274</c:v>
                </c:pt>
                <c:pt idx="11">
                  <c:v>6621.5844226341051</c:v>
                </c:pt>
                <c:pt idx="12">
                  <c:v>6307.1591705971805</c:v>
                </c:pt>
                <c:pt idx="13">
                  <c:v>6022.8689849680577</c:v>
                </c:pt>
                <c:pt idx="14">
                  <c:v>5743.6712365645317</c:v>
                </c:pt>
                <c:pt idx="15">
                  <c:v>5459.2543435964462</c:v>
                </c:pt>
                <c:pt idx="16">
                  <c:v>5186.1259100095131</c:v>
                </c:pt>
                <c:pt idx="17">
                  <c:v>4865.5108844814831</c:v>
                </c:pt>
                <c:pt idx="18">
                  <c:v>4471.3145751722259</c:v>
                </c:pt>
                <c:pt idx="19">
                  <c:v>4031.2545236434685</c:v>
                </c:pt>
                <c:pt idx="20">
                  <c:v>3565.3464541885878</c:v>
                </c:pt>
                <c:pt idx="21">
                  <c:v>3072.2800042990852</c:v>
                </c:pt>
                <c:pt idx="22">
                  <c:v>2540.7682600840731</c:v>
                </c:pt>
                <c:pt idx="23">
                  <c:v>1974.0579457073152</c:v>
                </c:pt>
                <c:pt idx="24">
                  <c:v>1447.7693345065175</c:v>
                </c:pt>
                <c:pt idx="25">
                  <c:v>1044.3571981147218</c:v>
                </c:pt>
                <c:pt idx="26">
                  <c:v>784.40987612375113</c:v>
                </c:pt>
                <c:pt idx="27">
                  <c:v>651.40811766035665</c:v>
                </c:pt>
                <c:pt idx="28">
                  <c:v>583.80121108393644</c:v>
                </c:pt>
                <c:pt idx="29">
                  <c:v>548.71871201984641</c:v>
                </c:pt>
                <c:pt idx="30">
                  <c:v>525.29950476563715</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5.8710543748649615E-17</c:v>
                </c:pt>
                <c:pt idx="1">
                  <c:v>5.871054374864961E-16</c:v>
                </c:pt>
                <c:pt idx="2">
                  <c:v>5.871054374864961E-15</c:v>
                </c:pt>
                <c:pt idx="3">
                  <c:v>5.8710543748649604E-14</c:v>
                </c:pt>
                <c:pt idx="4">
                  <c:v>5.8710543748649612E-13</c:v>
                </c:pt>
                <c:pt idx="5">
                  <c:v>5.8710543748649614E-12</c:v>
                </c:pt>
                <c:pt idx="6">
                  <c:v>5.8710543748649617E-11</c:v>
                </c:pt>
                <c:pt idx="7">
                  <c:v>5.8710543748649612E-10</c:v>
                </c:pt>
                <c:pt idx="8">
                  <c:v>5.8710543748649608E-9</c:v>
                </c:pt>
                <c:pt idx="9">
                  <c:v>5.8710543748649606E-8</c:v>
                </c:pt>
                <c:pt idx="10">
                  <c:v>5.8710543748649611E-7</c:v>
                </c:pt>
                <c:pt idx="11">
                  <c:v>5.8710543748649615E-6</c:v>
                </c:pt>
                <c:pt idx="12">
                  <c:v>5.8710543748649614E-5</c:v>
                </c:pt>
                <c:pt idx="13">
                  <c:v>5.8710543748649612E-4</c:v>
                </c:pt>
                <c:pt idx="14">
                  <c:v>5.8710543748649617E-3</c:v>
                </c:pt>
                <c:pt idx="15">
                  <c:v>5.8710543748649612E-2</c:v>
                </c:pt>
                <c:pt idx="16">
                  <c:v>0.58710543748649613</c:v>
                </c:pt>
                <c:pt idx="17">
                  <c:v>5.8710543748649613</c:v>
                </c:pt>
                <c:pt idx="18">
                  <c:v>58.710543748649613</c:v>
                </c:pt>
                <c:pt idx="19">
                  <c:v>587.10543748649616</c:v>
                </c:pt>
                <c:pt idx="20">
                  <c:v>5871.0543748649616</c:v>
                </c:pt>
                <c:pt idx="21">
                  <c:v>58710.543748649608</c:v>
                </c:pt>
                <c:pt idx="22">
                  <c:v>587105.43748649617</c:v>
                </c:pt>
                <c:pt idx="23">
                  <c:v>5871054.374864961</c:v>
                </c:pt>
                <c:pt idx="24">
                  <c:v>58710543.748649612</c:v>
                </c:pt>
                <c:pt idx="25">
                  <c:v>587105437.48649609</c:v>
                </c:pt>
                <c:pt idx="26">
                  <c:v>5871054374.8649607</c:v>
                </c:pt>
                <c:pt idx="27">
                  <c:v>58710543748.649612</c:v>
                </c:pt>
                <c:pt idx="28">
                  <c:v>587105437486.49609</c:v>
                </c:pt>
                <c:pt idx="29">
                  <c:v>5871054374864.9609</c:v>
                </c:pt>
                <c:pt idx="30">
                  <c:v>58710543748649.609</c:v>
                </c:pt>
              </c:numCache>
            </c:numRef>
          </c:xVal>
          <c:yVal>
            <c:numRef>
              <c:f>'Mastercurve bestimmen'!$M$404:$M$434</c:f>
              <c:numCache>
                <c:formatCode>0.00E+00</c:formatCode>
                <c:ptCount val="31"/>
                <c:pt idx="0">
                  <c:v>9521.3086452220268</c:v>
                </c:pt>
                <c:pt idx="1">
                  <c:v>9264.9569626866305</c:v>
                </c:pt>
                <c:pt idx="2">
                  <c:v>9040.3201170121174</c:v>
                </c:pt>
                <c:pt idx="3">
                  <c:v>8795.6860246078559</c:v>
                </c:pt>
                <c:pt idx="4">
                  <c:v>8532.6912536798991</c:v>
                </c:pt>
                <c:pt idx="5">
                  <c:v>8244.2374276121209</c:v>
                </c:pt>
                <c:pt idx="6">
                  <c:v>7958.2786468847135</c:v>
                </c:pt>
                <c:pt idx="7">
                  <c:v>7687.376383967704</c:v>
                </c:pt>
                <c:pt idx="8">
                  <c:v>7374.3712231841728</c:v>
                </c:pt>
                <c:pt idx="9">
                  <c:v>7006.1552436770207</c:v>
                </c:pt>
                <c:pt idx="10">
                  <c:v>6628.8785990090082</c:v>
                </c:pt>
                <c:pt idx="11">
                  <c:v>6311.3720523241727</c:v>
                </c:pt>
                <c:pt idx="12">
                  <c:v>6028.2349504089671</c:v>
                </c:pt>
                <c:pt idx="13">
                  <c:v>5748.7087759518809</c:v>
                </c:pt>
                <c:pt idx="14">
                  <c:v>5465.7818754747968</c:v>
                </c:pt>
                <c:pt idx="15">
                  <c:v>5192.657072535425</c:v>
                </c:pt>
                <c:pt idx="16">
                  <c:v>4882.9062343607484</c:v>
                </c:pt>
                <c:pt idx="17">
                  <c:v>4501.5398610325774</c:v>
                </c:pt>
                <c:pt idx="18">
                  <c:v>4066.6104281555185</c:v>
                </c:pt>
                <c:pt idx="19">
                  <c:v>3597.5685781370817</c:v>
                </c:pt>
                <c:pt idx="20">
                  <c:v>3102.4717339118838</c:v>
                </c:pt>
                <c:pt idx="21">
                  <c:v>2568.6205512482802</c:v>
                </c:pt>
                <c:pt idx="22">
                  <c:v>2000.7316961631682</c:v>
                </c:pt>
                <c:pt idx="23">
                  <c:v>1467.5042196825975</c:v>
                </c:pt>
                <c:pt idx="24">
                  <c:v>1058.8226695409851</c:v>
                </c:pt>
                <c:pt idx="25">
                  <c:v>791.47453302018846</c:v>
                </c:pt>
                <c:pt idx="26">
                  <c:v>655.80009654126911</c:v>
                </c:pt>
                <c:pt idx="27">
                  <c:v>585.43210743850034</c:v>
                </c:pt>
                <c:pt idx="28">
                  <c:v>550.22961238933465</c:v>
                </c:pt>
                <c:pt idx="29">
                  <c:v>525.95012363885235</c:v>
                </c:pt>
                <c:pt idx="30">
                  <c:v>515.3503886433972</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9259.9030429946288</c:v>
                </c:pt>
                <c:pt idx="1">
                  <c:v>8975.4373156175916</c:v>
                </c:pt>
                <c:pt idx="2">
                  <c:v>8718.1797337443004</c:v>
                </c:pt>
                <c:pt idx="3">
                  <c:v>8453.8665906134283</c:v>
                </c:pt>
                <c:pt idx="4">
                  <c:v>8157.4497816903277</c:v>
                </c:pt>
                <c:pt idx="5">
                  <c:v>7881.4803699008435</c:v>
                </c:pt>
                <c:pt idx="6">
                  <c:v>7606.797789198542</c:v>
                </c:pt>
                <c:pt idx="7">
                  <c:v>7278.8872759198184</c:v>
                </c:pt>
                <c:pt idx="8">
                  <c:v>6902.9128773701668</c:v>
                </c:pt>
                <c:pt idx="9">
                  <c:v>6533.8294095397778</c:v>
                </c:pt>
                <c:pt idx="10">
                  <c:v>6236.0805337275306</c:v>
                </c:pt>
                <c:pt idx="11">
                  <c:v>5950.4123980915811</c:v>
                </c:pt>
                <c:pt idx="12">
                  <c:v>5675.5372968728034</c:v>
                </c:pt>
                <c:pt idx="13">
                  <c:v>5389.077424650558</c:v>
                </c:pt>
                <c:pt idx="14">
                  <c:v>5123.5437168709832</c:v>
                </c:pt>
                <c:pt idx="15">
                  <c:v>4799.280908658001</c:v>
                </c:pt>
                <c:pt idx="16">
                  <c:v>4430.6662258617935</c:v>
                </c:pt>
                <c:pt idx="17">
                  <c:v>3990.4031488339651</c:v>
                </c:pt>
                <c:pt idx="18">
                  <c:v>3512.6173919241392</c:v>
                </c:pt>
                <c:pt idx="19">
                  <c:v>2997.1269883218743</c:v>
                </c:pt>
                <c:pt idx="20">
                  <c:v>2450.4999019800034</c:v>
                </c:pt>
                <c:pt idx="21">
                  <c:v>1872.1545257089074</c:v>
                </c:pt>
                <c:pt idx="22">
                  <c:v>1367.4511296212941</c:v>
                </c:pt>
                <c:pt idx="23">
                  <c:v>983.81195335121254</c:v>
                </c:pt>
                <c:pt idx="24">
                  <c:v>755.24433140254177</c:v>
                </c:pt>
                <c:pt idx="25">
                  <c:v>633.28610309701617</c:v>
                </c:pt>
                <c:pt idx="26">
                  <c:v>577.24905136540178</c:v>
                </c:pt>
                <c:pt idx="27">
                  <c:v>542.56491517927657</c:v>
                </c:pt>
                <c:pt idx="28">
                  <c:v>523.04517618896307</c:v>
                </c:pt>
                <c:pt idx="29">
                  <c:v>513.02385818918287</c:v>
                </c:pt>
                <c:pt idx="30">
                  <c:v>488.70376604058401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3.3797978291319386E-13</c:v>
                </c:pt>
                <c:pt idx="1">
                  <c:v>3.3797978291319382E-12</c:v>
                </c:pt>
                <c:pt idx="2">
                  <c:v>3.3797978291319381E-11</c:v>
                </c:pt>
                <c:pt idx="3">
                  <c:v>3.379797829131938E-10</c:v>
                </c:pt>
                <c:pt idx="4">
                  <c:v>3.379797829131938E-9</c:v>
                </c:pt>
                <c:pt idx="5">
                  <c:v>3.3797978291319382E-8</c:v>
                </c:pt>
                <c:pt idx="6">
                  <c:v>3.3797978291319386E-7</c:v>
                </c:pt>
                <c:pt idx="7">
                  <c:v>3.3797978291319384E-6</c:v>
                </c:pt>
                <c:pt idx="8">
                  <c:v>3.3797978291319381E-5</c:v>
                </c:pt>
                <c:pt idx="9">
                  <c:v>3.3797978291319383E-4</c:v>
                </c:pt>
                <c:pt idx="10">
                  <c:v>3.3797978291319384E-3</c:v>
                </c:pt>
                <c:pt idx="11">
                  <c:v>3.3797978291319385E-2</c:v>
                </c:pt>
                <c:pt idx="12">
                  <c:v>0.3379797829131938</c:v>
                </c:pt>
                <c:pt idx="13">
                  <c:v>3.3797978291319382</c:v>
                </c:pt>
                <c:pt idx="14">
                  <c:v>33.797978291319382</c:v>
                </c:pt>
                <c:pt idx="15">
                  <c:v>337.97978291319384</c:v>
                </c:pt>
                <c:pt idx="16">
                  <c:v>3379.7978291319382</c:v>
                </c:pt>
                <c:pt idx="17">
                  <c:v>33797.978291319385</c:v>
                </c:pt>
                <c:pt idx="18">
                  <c:v>337979.78291319381</c:v>
                </c:pt>
                <c:pt idx="19">
                  <c:v>3379797.8291319381</c:v>
                </c:pt>
                <c:pt idx="20">
                  <c:v>33797978.291319385</c:v>
                </c:pt>
                <c:pt idx="21">
                  <c:v>337979782.91319382</c:v>
                </c:pt>
                <c:pt idx="22">
                  <c:v>3379797829.131938</c:v>
                </c:pt>
                <c:pt idx="23">
                  <c:v>33797978291.319382</c:v>
                </c:pt>
                <c:pt idx="24">
                  <c:v>337979782913.19385</c:v>
                </c:pt>
                <c:pt idx="25">
                  <c:v>3379797829131.938</c:v>
                </c:pt>
                <c:pt idx="26">
                  <c:v>33797978291319.383</c:v>
                </c:pt>
                <c:pt idx="27">
                  <c:v>337979782913193.81</c:v>
                </c:pt>
                <c:pt idx="28">
                  <c:v>3379797829131938</c:v>
                </c:pt>
                <c:pt idx="29">
                  <c:v>3.379797829131938E+16</c:v>
                </c:pt>
                <c:pt idx="30">
                  <c:v>3.3797978291319379E+17</c:v>
                </c:pt>
              </c:numCache>
            </c:numRef>
          </c:xVal>
          <c:yVal>
            <c:numRef>
              <c:f>'Mastercurve bestimmen'!$O$404:$O$434</c:f>
              <c:numCache>
                <c:formatCode>0.00E+00</c:formatCode>
                <c:ptCount val="31"/>
                <c:pt idx="0">
                  <c:v>8600.88026028485</c:v>
                </c:pt>
                <c:pt idx="1">
                  <c:v>8258.5143784911779</c:v>
                </c:pt>
                <c:pt idx="2">
                  <c:v>7962.1526037178537</c:v>
                </c:pt>
                <c:pt idx="3">
                  <c:v>7694.1164691736458</c:v>
                </c:pt>
                <c:pt idx="4">
                  <c:v>7392.1118529421537</c:v>
                </c:pt>
                <c:pt idx="5">
                  <c:v>7031.7099177768096</c:v>
                </c:pt>
                <c:pt idx="6">
                  <c:v>6653.2341038317008</c:v>
                </c:pt>
                <c:pt idx="7">
                  <c:v>6325.3637954371716</c:v>
                </c:pt>
                <c:pt idx="8">
                  <c:v>6045.8980186697399</c:v>
                </c:pt>
                <c:pt idx="9">
                  <c:v>5765.1058423358591</c:v>
                </c:pt>
                <c:pt idx="10">
                  <c:v>5486.9816625574504</c:v>
                </c:pt>
                <c:pt idx="11">
                  <c:v>5211.1575946368548</c:v>
                </c:pt>
                <c:pt idx="12">
                  <c:v>4923.9623445747775</c:v>
                </c:pt>
                <c:pt idx="13">
                  <c:v>4584.0172032140918</c:v>
                </c:pt>
                <c:pt idx="14">
                  <c:v>4221.1859974432145</c:v>
                </c:pt>
                <c:pt idx="15">
                  <c:v>3789.937412973562</c:v>
                </c:pt>
                <c:pt idx="16">
                  <c:v>3283.8683924627298</c:v>
                </c:pt>
                <c:pt idx="17">
                  <c:v>2714.7098539050189</c:v>
                </c:pt>
                <c:pt idx="18">
                  <c:v>2120.3389527808267</c:v>
                </c:pt>
                <c:pt idx="19">
                  <c:v>1549.2251736201158</c:v>
                </c:pt>
                <c:pt idx="20">
                  <c:v>1115.0562509241029</c:v>
                </c:pt>
                <c:pt idx="21">
                  <c:v>819.57257707159806</c:v>
                </c:pt>
                <c:pt idx="22">
                  <c:v>672.71182943032534</c:v>
                </c:pt>
                <c:pt idx="23">
                  <c:v>592.26686963031818</c:v>
                </c:pt>
                <c:pt idx="24">
                  <c:v>556.12366677692739</c:v>
                </c:pt>
                <c:pt idx="25">
                  <c:v>528.75323853804991</c:v>
                </c:pt>
                <c:pt idx="26">
                  <c:v>517.55067575260887</c:v>
                </c:pt>
                <c:pt idx="27">
                  <c:v>499.76142817308812</c:v>
                </c:pt>
                <c:pt idx="28">
                  <c:v>478.96737917397832</c:v>
                </c:pt>
                <c:pt idx="29">
                  <c:v>475.66972462501121</c:v>
                </c:pt>
                <c:pt idx="30">
                  <c:v>475.44842733478526</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1.0162764766847711E-10</c:v>
                </c:pt>
                <c:pt idx="1">
                  <c:v>1.0162764766847711E-9</c:v>
                </c:pt>
                <c:pt idx="2">
                  <c:v>1.0162764766847712E-8</c:v>
                </c:pt>
                <c:pt idx="3">
                  <c:v>1.0162764766847711E-7</c:v>
                </c:pt>
                <c:pt idx="4">
                  <c:v>1.016276476684771E-6</c:v>
                </c:pt>
                <c:pt idx="5">
                  <c:v>1.0162764766847711E-5</c:v>
                </c:pt>
                <c:pt idx="6">
                  <c:v>1.0162764766847711E-4</c:v>
                </c:pt>
                <c:pt idx="7">
                  <c:v>1.0162764766847711E-3</c:v>
                </c:pt>
                <c:pt idx="8">
                  <c:v>1.0162764766847712E-2</c:v>
                </c:pt>
                <c:pt idx="9">
                  <c:v>0.10162764766847711</c:v>
                </c:pt>
                <c:pt idx="10">
                  <c:v>1.0162764766847712</c:v>
                </c:pt>
                <c:pt idx="11">
                  <c:v>10.162764766847712</c:v>
                </c:pt>
                <c:pt idx="12">
                  <c:v>101.62764766847711</c:v>
                </c:pt>
                <c:pt idx="13">
                  <c:v>1016.2764766847712</c:v>
                </c:pt>
                <c:pt idx="14">
                  <c:v>10162.764766847711</c:v>
                </c:pt>
                <c:pt idx="15">
                  <c:v>101627.64766847712</c:v>
                </c:pt>
                <c:pt idx="16">
                  <c:v>1016276.4766847711</c:v>
                </c:pt>
                <c:pt idx="17">
                  <c:v>10162764.766847711</c:v>
                </c:pt>
                <c:pt idx="18">
                  <c:v>101627647.66847712</c:v>
                </c:pt>
                <c:pt idx="19">
                  <c:v>1016276476.6847711</c:v>
                </c:pt>
                <c:pt idx="20">
                  <c:v>10162764766.847712</c:v>
                </c:pt>
                <c:pt idx="21">
                  <c:v>101627647668.47711</c:v>
                </c:pt>
                <c:pt idx="22">
                  <c:v>1016276476684.7711</c:v>
                </c:pt>
                <c:pt idx="23">
                  <c:v>10162764766847.711</c:v>
                </c:pt>
                <c:pt idx="24">
                  <c:v>101627647668477.11</c:v>
                </c:pt>
                <c:pt idx="25">
                  <c:v>1016276476684771.1</c:v>
                </c:pt>
                <c:pt idx="26">
                  <c:v>1.0162764766847712E+16</c:v>
                </c:pt>
                <c:pt idx="27">
                  <c:v>1.016276476684771E+17</c:v>
                </c:pt>
                <c:pt idx="28">
                  <c:v>1.0162764766847711E+18</c:v>
                </c:pt>
                <c:pt idx="29">
                  <c:v>1.0162764766847711E+19</c:v>
                </c:pt>
                <c:pt idx="30">
                  <c:v>1.0162764766847712E+20</c:v>
                </c:pt>
              </c:numCache>
            </c:numRef>
          </c:xVal>
          <c:yVal>
            <c:numRef>
              <c:f>'Mastercurve bestimmen'!$P$404:$P$434</c:f>
              <c:numCache>
                <c:formatCode>0.00E+00</c:formatCode>
                <c:ptCount val="31"/>
                <c:pt idx="0">
                  <c:v>7885.0238799750496</c:v>
                </c:pt>
                <c:pt idx="1">
                  <c:v>7533.2051738552464</c:v>
                </c:pt>
                <c:pt idx="2">
                  <c:v>7191.2405725815324</c:v>
                </c:pt>
                <c:pt idx="3">
                  <c:v>6812.4631092957497</c:v>
                </c:pt>
                <c:pt idx="4">
                  <c:v>6451.9725248759578</c:v>
                </c:pt>
                <c:pt idx="5">
                  <c:v>6166.1047060884439</c:v>
                </c:pt>
                <c:pt idx="6">
                  <c:v>5881.0552739751101</c:v>
                </c:pt>
                <c:pt idx="7">
                  <c:v>5609.3504910949478</c:v>
                </c:pt>
                <c:pt idx="8">
                  <c:v>5323.5276590267758</c:v>
                </c:pt>
                <c:pt idx="9">
                  <c:v>5061.2818561056738</c:v>
                </c:pt>
                <c:pt idx="10">
                  <c:v>4733.4087396901623</c:v>
                </c:pt>
                <c:pt idx="11">
                  <c:v>4393.7824312927287</c:v>
                </c:pt>
                <c:pt idx="12">
                  <c:v>4006.1265808261332</c:v>
                </c:pt>
                <c:pt idx="13">
                  <c:v>3576.233277328839</c:v>
                </c:pt>
                <c:pt idx="14">
                  <c:v>3059.5283871610445</c:v>
                </c:pt>
                <c:pt idx="15">
                  <c:v>2469.5512794279489</c:v>
                </c:pt>
                <c:pt idx="16">
                  <c:v>1842.799668868907</c:v>
                </c:pt>
                <c:pt idx="17">
                  <c:v>1328.7737512423464</c:v>
                </c:pt>
                <c:pt idx="18">
                  <c:v>948.83583319405307</c:v>
                </c:pt>
                <c:pt idx="19">
                  <c:v>739.39486681916139</c:v>
                </c:pt>
                <c:pt idx="20">
                  <c:v>624.14790659062351</c:v>
                </c:pt>
                <c:pt idx="21">
                  <c:v>574.84813415628378</c:v>
                </c:pt>
                <c:pt idx="22">
                  <c:v>540.01941971549797</c:v>
                </c:pt>
                <c:pt idx="23">
                  <c:v>522.91431442377564</c:v>
                </c:pt>
                <c:pt idx="24">
                  <c:v>512.28225991416207</c:v>
                </c:pt>
                <c:pt idx="25">
                  <c:v>486.30628203230003</c:v>
                </c:pt>
                <c:pt idx="26">
                  <c:v>477.16338311456207</c:v>
                </c:pt>
                <c:pt idx="27">
                  <c:v>476.22593072507385</c:v>
                </c:pt>
                <c:pt idx="28">
                  <c:v>475.98047490013522</c:v>
                </c:pt>
                <c:pt idx="29">
                  <c:v>475.76724400704541</c:v>
                </c:pt>
                <c:pt idx="30">
                  <c:v>475.55412653805064</c:v>
                </c:pt>
              </c:numCache>
            </c:numRef>
          </c:yVal>
          <c:smooth val="1"/>
        </c:ser>
        <c:dLbls>
          <c:showLegendKey val="0"/>
          <c:showVal val="0"/>
          <c:showCatName val="0"/>
          <c:showSerName val="0"/>
          <c:showPercent val="0"/>
          <c:showBubbleSize val="0"/>
        </c:dLbls>
        <c:axId val="452591824"/>
        <c:axId val="452595352"/>
      </c:scatterChart>
      <c:valAx>
        <c:axId val="452591824"/>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595352"/>
        <c:crosses val="autoZero"/>
        <c:crossBetween val="midCat"/>
      </c:valAx>
      <c:valAx>
        <c:axId val="4525953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591824"/>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1.5490461539440107E-20</c:v>
                </c:pt>
                <c:pt idx="1">
                  <c:v>1.5490461539440105E-19</c:v>
                </c:pt>
                <c:pt idx="2">
                  <c:v>1.5490461539440106E-18</c:v>
                </c:pt>
                <c:pt idx="3">
                  <c:v>1.5490461539440104E-17</c:v>
                </c:pt>
                <c:pt idx="4">
                  <c:v>1.5490461539440104E-16</c:v>
                </c:pt>
                <c:pt idx="5">
                  <c:v>1.5490461539440106E-15</c:v>
                </c:pt>
                <c:pt idx="6">
                  <c:v>1.5490461539440105E-14</c:v>
                </c:pt>
                <c:pt idx="7">
                  <c:v>1.5490461539440105E-13</c:v>
                </c:pt>
                <c:pt idx="8">
                  <c:v>1.5490461539440104E-12</c:v>
                </c:pt>
                <c:pt idx="9">
                  <c:v>1.5490461539440105E-11</c:v>
                </c:pt>
                <c:pt idx="10">
                  <c:v>1.5490461539440107E-10</c:v>
                </c:pt>
                <c:pt idx="11">
                  <c:v>1.5490461539440106E-9</c:v>
                </c:pt>
                <c:pt idx="12">
                  <c:v>1.5490461539440106E-8</c:v>
                </c:pt>
                <c:pt idx="13">
                  <c:v>1.5490461539440107E-7</c:v>
                </c:pt>
                <c:pt idx="14">
                  <c:v>1.5490461539440105E-6</c:v>
                </c:pt>
                <c:pt idx="15">
                  <c:v>1.5490461539440105E-5</c:v>
                </c:pt>
                <c:pt idx="16">
                  <c:v>1.5490461539440105E-4</c:v>
                </c:pt>
                <c:pt idx="17">
                  <c:v>1.5490461539440106E-3</c:v>
                </c:pt>
                <c:pt idx="18">
                  <c:v>1.5490461539440106E-2</c:v>
                </c:pt>
                <c:pt idx="19">
                  <c:v>0.15490461539440106</c:v>
                </c:pt>
                <c:pt idx="20">
                  <c:v>1.5490461539440106</c:v>
                </c:pt>
                <c:pt idx="21">
                  <c:v>15.490461539440105</c:v>
                </c:pt>
                <c:pt idx="22">
                  <c:v>154.90461539440105</c:v>
                </c:pt>
                <c:pt idx="23">
                  <c:v>1549.0461539440105</c:v>
                </c:pt>
                <c:pt idx="24">
                  <c:v>15490.461539440106</c:v>
                </c:pt>
                <c:pt idx="25">
                  <c:v>154904.61539440104</c:v>
                </c:pt>
                <c:pt idx="26">
                  <c:v>1549046.1539440106</c:v>
                </c:pt>
                <c:pt idx="27">
                  <c:v>15490461.539440105</c:v>
                </c:pt>
                <c:pt idx="28">
                  <c:v>154904615.39440104</c:v>
                </c:pt>
                <c:pt idx="29">
                  <c:v>1549046153.9440105</c:v>
                </c:pt>
                <c:pt idx="30">
                  <c:v>15490461539.440105</c:v>
                </c:pt>
              </c:numCache>
            </c:numRef>
          </c:xVal>
          <c:yVal>
            <c:numRef>
              <c:f>'Mastercurve bestimmen'!$J$404:$J$434</c:f>
              <c:numCache>
                <c:formatCode>0.00E+00</c:formatCode>
                <c:ptCount val="31"/>
                <c:pt idx="0">
                  <c:v>10218.668827091791</c:v>
                </c:pt>
                <c:pt idx="1">
                  <c:v>10130.735990154546</c:v>
                </c:pt>
                <c:pt idx="2">
                  <c:v>9815.5100842671618</c:v>
                </c:pt>
                <c:pt idx="3">
                  <c:v>9602.7895017015398</c:v>
                </c:pt>
                <c:pt idx="4">
                  <c:v>9403.9958104822508</c:v>
                </c:pt>
                <c:pt idx="5">
                  <c:v>9185.6343104080297</c:v>
                </c:pt>
                <c:pt idx="6">
                  <c:v>8956.3853461764484</c:v>
                </c:pt>
                <c:pt idx="7">
                  <c:v>8694.0472851843733</c:v>
                </c:pt>
                <c:pt idx="8">
                  <c:v>8422.2902852365987</c:v>
                </c:pt>
                <c:pt idx="9">
                  <c:v>8119.1133122846923</c:v>
                </c:pt>
                <c:pt idx="10">
                  <c:v>7848.6797155048253</c:v>
                </c:pt>
                <c:pt idx="11">
                  <c:v>7561.5718378512247</c:v>
                </c:pt>
                <c:pt idx="12">
                  <c:v>7212.0886309644511</c:v>
                </c:pt>
                <c:pt idx="13">
                  <c:v>6826.065675816817</c:v>
                </c:pt>
                <c:pt idx="14">
                  <c:v>6468.6777640443843</c:v>
                </c:pt>
                <c:pt idx="15">
                  <c:v>6185.0814076350389</c:v>
                </c:pt>
                <c:pt idx="16">
                  <c:v>5896.0070828362468</c:v>
                </c:pt>
                <c:pt idx="17">
                  <c:v>5620.2326577203476</c:v>
                </c:pt>
                <c:pt idx="18">
                  <c:v>5330.7810569019748</c:v>
                </c:pt>
                <c:pt idx="19">
                  <c:v>5056.458830124393</c:v>
                </c:pt>
                <c:pt idx="20">
                  <c:v>4685.6312280238881</c:v>
                </c:pt>
                <c:pt idx="21">
                  <c:v>4271.8299665210579</c:v>
                </c:pt>
                <c:pt idx="22">
                  <c:v>3807.4701999642007</c:v>
                </c:pt>
                <c:pt idx="23">
                  <c:v>3333.4500993282409</c:v>
                </c:pt>
                <c:pt idx="24">
                  <c:v>2813.9339254547094</c:v>
                </c:pt>
                <c:pt idx="25">
                  <c:v>2264.5753602217969</c:v>
                </c:pt>
                <c:pt idx="26">
                  <c:v>1691.7003845109305</c:v>
                </c:pt>
                <c:pt idx="27">
                  <c:v>1230.3504248927311</c:v>
                </c:pt>
                <c:pt idx="28">
                  <c:v>888.25672531905332</c:v>
                </c:pt>
                <c:pt idx="29">
                  <c:v>708.86645626754114</c:v>
                </c:pt>
                <c:pt idx="30">
                  <c:v>607.16785102157667</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4.934905683193021E-19</c:v>
                </c:pt>
                <c:pt idx="1">
                  <c:v>4.9349056831930206E-18</c:v>
                </c:pt>
                <c:pt idx="2">
                  <c:v>4.934905683193021E-17</c:v>
                </c:pt>
                <c:pt idx="3">
                  <c:v>4.9349056831930212E-16</c:v>
                </c:pt>
                <c:pt idx="4">
                  <c:v>4.9349056831930206E-15</c:v>
                </c:pt>
                <c:pt idx="5">
                  <c:v>4.934905683193021E-14</c:v>
                </c:pt>
                <c:pt idx="6">
                  <c:v>4.9349056831930212E-13</c:v>
                </c:pt>
                <c:pt idx="7">
                  <c:v>4.9349056831930212E-12</c:v>
                </c:pt>
                <c:pt idx="8">
                  <c:v>4.9349056831930207E-11</c:v>
                </c:pt>
                <c:pt idx="9">
                  <c:v>4.9349056831930204E-10</c:v>
                </c:pt>
                <c:pt idx="10">
                  <c:v>4.9349056831930215E-9</c:v>
                </c:pt>
                <c:pt idx="11">
                  <c:v>4.934905683193021E-8</c:v>
                </c:pt>
                <c:pt idx="12">
                  <c:v>4.934905683193021E-7</c:v>
                </c:pt>
                <c:pt idx="13">
                  <c:v>4.9349056831930214E-6</c:v>
                </c:pt>
                <c:pt idx="14">
                  <c:v>4.9349056831930212E-5</c:v>
                </c:pt>
                <c:pt idx="15">
                  <c:v>4.9349056831930207E-4</c:v>
                </c:pt>
                <c:pt idx="16">
                  <c:v>4.9349056831930211E-3</c:v>
                </c:pt>
                <c:pt idx="17">
                  <c:v>4.9349056831930208E-2</c:v>
                </c:pt>
                <c:pt idx="18">
                  <c:v>0.4934905683193021</c:v>
                </c:pt>
                <c:pt idx="19">
                  <c:v>4.9349056831930209</c:v>
                </c:pt>
                <c:pt idx="20">
                  <c:v>49.349056831930206</c:v>
                </c:pt>
                <c:pt idx="21">
                  <c:v>493.4905683193021</c:v>
                </c:pt>
                <c:pt idx="22">
                  <c:v>4934.9056831930211</c:v>
                </c:pt>
                <c:pt idx="23">
                  <c:v>49349.056831930211</c:v>
                </c:pt>
                <c:pt idx="24">
                  <c:v>493490.56831930211</c:v>
                </c:pt>
                <c:pt idx="25">
                  <c:v>4934905.6831930205</c:v>
                </c:pt>
                <c:pt idx="26">
                  <c:v>49349056.831930205</c:v>
                </c:pt>
                <c:pt idx="27">
                  <c:v>493490568.31930208</c:v>
                </c:pt>
                <c:pt idx="28">
                  <c:v>4934905683.1930208</c:v>
                </c:pt>
                <c:pt idx="29">
                  <c:v>49349056831.930206</c:v>
                </c:pt>
                <c:pt idx="30">
                  <c:v>493490568319.30206</c:v>
                </c:pt>
              </c:numCache>
            </c:numRef>
          </c:xVal>
          <c:yVal>
            <c:numRef>
              <c:f>'Mastercurve bestimmen'!$K$404:$K$434</c:f>
              <c:numCache>
                <c:formatCode>0.00E+00</c:formatCode>
                <c:ptCount val="31"/>
                <c:pt idx="0">
                  <c:v>10065.543251576082</c:v>
                </c:pt>
                <c:pt idx="1">
                  <c:v>9708.7484211633309</c:v>
                </c:pt>
                <c:pt idx="2">
                  <c:v>9504.080552546171</c:v>
                </c:pt>
                <c:pt idx="3">
                  <c:v>9297.6034614201999</c:v>
                </c:pt>
                <c:pt idx="4">
                  <c:v>9077.0448832845814</c:v>
                </c:pt>
                <c:pt idx="5">
                  <c:v>8833.9901329277236</c:v>
                </c:pt>
                <c:pt idx="6">
                  <c:v>8570.1980588932365</c:v>
                </c:pt>
                <c:pt idx="7">
                  <c:v>8282.9223634397895</c:v>
                </c:pt>
                <c:pt idx="8">
                  <c:v>7993.641154385381</c:v>
                </c:pt>
                <c:pt idx="9">
                  <c:v>7722.5102431706819</c:v>
                </c:pt>
                <c:pt idx="10">
                  <c:v>7411.9254661857585</c:v>
                </c:pt>
                <c:pt idx="11">
                  <c:v>7044.5082173262499</c:v>
                </c:pt>
                <c:pt idx="12">
                  <c:v>6664.4913259208079</c:v>
                </c:pt>
                <c:pt idx="13">
                  <c:v>6341.2106146502829</c:v>
                </c:pt>
                <c:pt idx="14">
                  <c:v>6057.8856031721252</c:v>
                </c:pt>
                <c:pt idx="15">
                  <c:v>5776.2920069159836</c:v>
                </c:pt>
                <c:pt idx="16">
                  <c:v>5493.3830678495879</c:v>
                </c:pt>
                <c:pt idx="17">
                  <c:v>5215.5329419319251</c:v>
                </c:pt>
                <c:pt idx="18">
                  <c:v>4897.7071873573095</c:v>
                </c:pt>
                <c:pt idx="19">
                  <c:v>4495.7217042422935</c:v>
                </c:pt>
                <c:pt idx="20">
                  <c:v>4059.1954090175182</c:v>
                </c:pt>
                <c:pt idx="21">
                  <c:v>3597.5805592338243</c:v>
                </c:pt>
                <c:pt idx="22">
                  <c:v>3113.2980023229825</c:v>
                </c:pt>
                <c:pt idx="23">
                  <c:v>2587.1664421745386</c:v>
                </c:pt>
                <c:pt idx="24">
                  <c:v>2025.5491425769458</c:v>
                </c:pt>
                <c:pt idx="25">
                  <c:v>1488.3947775442189</c:v>
                </c:pt>
                <c:pt idx="26">
                  <c:v>1075.2839868020503</c:v>
                </c:pt>
                <c:pt idx="27">
                  <c:v>799.60727676982128</c:v>
                </c:pt>
                <c:pt idx="28">
                  <c:v>660.84412890819806</c:v>
                </c:pt>
                <c:pt idx="29">
                  <c:v>587.16779346403064</c:v>
                </c:pt>
                <c:pt idx="30">
                  <c:v>551.91226878266252</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6.5229742378881799E-18</c:v>
                </c:pt>
                <c:pt idx="1">
                  <c:v>6.5229742378881796E-17</c:v>
                </c:pt>
                <c:pt idx="2">
                  <c:v>6.5229742378881801E-16</c:v>
                </c:pt>
                <c:pt idx="3">
                  <c:v>6.5229742378881795E-15</c:v>
                </c:pt>
                <c:pt idx="4">
                  <c:v>6.5229742378881789E-14</c:v>
                </c:pt>
                <c:pt idx="5">
                  <c:v>6.5229742378881794E-13</c:v>
                </c:pt>
                <c:pt idx="6">
                  <c:v>6.52297423788818E-12</c:v>
                </c:pt>
                <c:pt idx="7">
                  <c:v>6.5229742378881792E-11</c:v>
                </c:pt>
                <c:pt idx="8">
                  <c:v>6.5229742378881797E-10</c:v>
                </c:pt>
                <c:pt idx="9">
                  <c:v>6.5229742378881791E-9</c:v>
                </c:pt>
                <c:pt idx="10">
                  <c:v>6.5229742378881807E-8</c:v>
                </c:pt>
                <c:pt idx="11">
                  <c:v>6.5229742378881802E-7</c:v>
                </c:pt>
                <c:pt idx="12">
                  <c:v>6.5229742378881798E-6</c:v>
                </c:pt>
                <c:pt idx="13">
                  <c:v>6.5229742378881793E-5</c:v>
                </c:pt>
                <c:pt idx="14">
                  <c:v>6.5229742378881798E-4</c:v>
                </c:pt>
                <c:pt idx="15">
                  <c:v>6.5229742378881796E-3</c:v>
                </c:pt>
                <c:pt idx="16">
                  <c:v>6.5229742378881794E-2</c:v>
                </c:pt>
                <c:pt idx="17">
                  <c:v>0.65229742378881794</c:v>
                </c:pt>
                <c:pt idx="18">
                  <c:v>6.5229742378881799</c:v>
                </c:pt>
                <c:pt idx="19">
                  <c:v>65.229742378881795</c:v>
                </c:pt>
                <c:pt idx="20">
                  <c:v>652.29742378881792</c:v>
                </c:pt>
                <c:pt idx="21">
                  <c:v>6522.9742378881792</c:v>
                </c:pt>
                <c:pt idx="22">
                  <c:v>65229.742378881798</c:v>
                </c:pt>
                <c:pt idx="23">
                  <c:v>652297.42378881795</c:v>
                </c:pt>
                <c:pt idx="24">
                  <c:v>6522974.2378881797</c:v>
                </c:pt>
                <c:pt idx="25">
                  <c:v>65229742.378881797</c:v>
                </c:pt>
                <c:pt idx="26">
                  <c:v>652297423.788818</c:v>
                </c:pt>
                <c:pt idx="27">
                  <c:v>6522974237.8881798</c:v>
                </c:pt>
                <c:pt idx="28">
                  <c:v>65229742378.881798</c:v>
                </c:pt>
                <c:pt idx="29">
                  <c:v>652297423788.81799</c:v>
                </c:pt>
                <c:pt idx="30">
                  <c:v>6522974237888.1797</c:v>
                </c:pt>
              </c:numCache>
            </c:numRef>
          </c:xVal>
          <c:yVal>
            <c:numRef>
              <c:f>'Mastercurve bestimmen'!$L$404:$L$434</c:f>
              <c:numCache>
                <c:formatCode>0.00E+00</c:formatCode>
                <c:ptCount val="31"/>
                <c:pt idx="0">
                  <c:v>9730.0167223959397</c:v>
                </c:pt>
                <c:pt idx="1">
                  <c:v>9476.1525473419642</c:v>
                </c:pt>
                <c:pt idx="2">
                  <c:v>9264.0506360514537</c:v>
                </c:pt>
                <c:pt idx="3">
                  <c:v>9042.8661048910981</c:v>
                </c:pt>
                <c:pt idx="4">
                  <c:v>8796.5318501985184</c:v>
                </c:pt>
                <c:pt idx="5">
                  <c:v>8532.9278199977016</c:v>
                </c:pt>
                <c:pt idx="6">
                  <c:v>8242.1892422663423</c:v>
                </c:pt>
                <c:pt idx="7">
                  <c:v>7957.4855284258747</c:v>
                </c:pt>
                <c:pt idx="8">
                  <c:v>7685.4052187432317</c:v>
                </c:pt>
                <c:pt idx="9">
                  <c:v>7368.9543787655439</c:v>
                </c:pt>
                <c:pt idx="10">
                  <c:v>6998.3812744112274</c:v>
                </c:pt>
                <c:pt idx="11">
                  <c:v>6621.5844226341051</c:v>
                </c:pt>
                <c:pt idx="12">
                  <c:v>6307.1591705971805</c:v>
                </c:pt>
                <c:pt idx="13">
                  <c:v>6022.8689849680577</c:v>
                </c:pt>
                <c:pt idx="14">
                  <c:v>5743.6712365645317</c:v>
                </c:pt>
                <c:pt idx="15">
                  <c:v>5459.2543435964462</c:v>
                </c:pt>
                <c:pt idx="16">
                  <c:v>5186.1259100095131</c:v>
                </c:pt>
                <c:pt idx="17">
                  <c:v>4865.5108844814831</c:v>
                </c:pt>
                <c:pt idx="18">
                  <c:v>4471.3145751722259</c:v>
                </c:pt>
                <c:pt idx="19">
                  <c:v>4031.2545236434685</c:v>
                </c:pt>
                <c:pt idx="20">
                  <c:v>3565.3464541885878</c:v>
                </c:pt>
                <c:pt idx="21">
                  <c:v>3072.2800042990852</c:v>
                </c:pt>
                <c:pt idx="22">
                  <c:v>2540.7682600840731</c:v>
                </c:pt>
                <c:pt idx="23">
                  <c:v>1974.0579457073152</c:v>
                </c:pt>
                <c:pt idx="24">
                  <c:v>1447.7693345065175</c:v>
                </c:pt>
                <c:pt idx="25">
                  <c:v>1044.3571981147218</c:v>
                </c:pt>
                <c:pt idx="26">
                  <c:v>784.40987612375113</c:v>
                </c:pt>
                <c:pt idx="27">
                  <c:v>651.40811766035665</c:v>
                </c:pt>
                <c:pt idx="28">
                  <c:v>583.80121108393644</c:v>
                </c:pt>
                <c:pt idx="29">
                  <c:v>548.71871201984641</c:v>
                </c:pt>
                <c:pt idx="30">
                  <c:v>525.29950476563715</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5.8710543748649615E-17</c:v>
                </c:pt>
                <c:pt idx="1">
                  <c:v>5.871054374864961E-16</c:v>
                </c:pt>
                <c:pt idx="2">
                  <c:v>5.871054374864961E-15</c:v>
                </c:pt>
                <c:pt idx="3">
                  <c:v>5.8710543748649604E-14</c:v>
                </c:pt>
                <c:pt idx="4">
                  <c:v>5.8710543748649612E-13</c:v>
                </c:pt>
                <c:pt idx="5">
                  <c:v>5.8710543748649614E-12</c:v>
                </c:pt>
                <c:pt idx="6">
                  <c:v>5.8710543748649617E-11</c:v>
                </c:pt>
                <c:pt idx="7">
                  <c:v>5.8710543748649612E-10</c:v>
                </c:pt>
                <c:pt idx="8">
                  <c:v>5.8710543748649608E-9</c:v>
                </c:pt>
                <c:pt idx="9">
                  <c:v>5.8710543748649606E-8</c:v>
                </c:pt>
                <c:pt idx="10">
                  <c:v>5.8710543748649611E-7</c:v>
                </c:pt>
                <c:pt idx="11">
                  <c:v>5.8710543748649615E-6</c:v>
                </c:pt>
                <c:pt idx="12">
                  <c:v>5.8710543748649614E-5</c:v>
                </c:pt>
                <c:pt idx="13">
                  <c:v>5.8710543748649612E-4</c:v>
                </c:pt>
                <c:pt idx="14">
                  <c:v>5.8710543748649617E-3</c:v>
                </c:pt>
                <c:pt idx="15">
                  <c:v>5.8710543748649612E-2</c:v>
                </c:pt>
                <c:pt idx="16">
                  <c:v>0.58710543748649613</c:v>
                </c:pt>
                <c:pt idx="17">
                  <c:v>5.8710543748649613</c:v>
                </c:pt>
                <c:pt idx="18">
                  <c:v>58.710543748649613</c:v>
                </c:pt>
                <c:pt idx="19">
                  <c:v>587.10543748649616</c:v>
                </c:pt>
                <c:pt idx="20">
                  <c:v>5871.0543748649616</c:v>
                </c:pt>
                <c:pt idx="21">
                  <c:v>58710.543748649608</c:v>
                </c:pt>
                <c:pt idx="22">
                  <c:v>587105.43748649617</c:v>
                </c:pt>
                <c:pt idx="23">
                  <c:v>5871054.374864961</c:v>
                </c:pt>
                <c:pt idx="24">
                  <c:v>58710543.748649612</c:v>
                </c:pt>
                <c:pt idx="25">
                  <c:v>587105437.48649609</c:v>
                </c:pt>
                <c:pt idx="26">
                  <c:v>5871054374.8649607</c:v>
                </c:pt>
                <c:pt idx="27">
                  <c:v>58710543748.649612</c:v>
                </c:pt>
                <c:pt idx="28">
                  <c:v>587105437486.49609</c:v>
                </c:pt>
                <c:pt idx="29">
                  <c:v>5871054374864.9609</c:v>
                </c:pt>
                <c:pt idx="30">
                  <c:v>58710543748649.609</c:v>
                </c:pt>
              </c:numCache>
            </c:numRef>
          </c:xVal>
          <c:yVal>
            <c:numRef>
              <c:f>'Mastercurve bestimmen'!$M$404:$M$434</c:f>
              <c:numCache>
                <c:formatCode>0.00E+00</c:formatCode>
                <c:ptCount val="31"/>
                <c:pt idx="0">
                  <c:v>9521.3086452220268</c:v>
                </c:pt>
                <c:pt idx="1">
                  <c:v>9264.9569626866305</c:v>
                </c:pt>
                <c:pt idx="2">
                  <c:v>9040.3201170121174</c:v>
                </c:pt>
                <c:pt idx="3">
                  <c:v>8795.6860246078559</c:v>
                </c:pt>
                <c:pt idx="4">
                  <c:v>8532.6912536798991</c:v>
                </c:pt>
                <c:pt idx="5">
                  <c:v>8244.2374276121209</c:v>
                </c:pt>
                <c:pt idx="6">
                  <c:v>7958.2786468847135</c:v>
                </c:pt>
                <c:pt idx="7">
                  <c:v>7687.376383967704</c:v>
                </c:pt>
                <c:pt idx="8">
                  <c:v>7374.3712231841728</c:v>
                </c:pt>
                <c:pt idx="9">
                  <c:v>7006.1552436770207</c:v>
                </c:pt>
                <c:pt idx="10">
                  <c:v>6628.8785990090082</c:v>
                </c:pt>
                <c:pt idx="11">
                  <c:v>6311.3720523241727</c:v>
                </c:pt>
                <c:pt idx="12">
                  <c:v>6028.2349504089671</c:v>
                </c:pt>
                <c:pt idx="13">
                  <c:v>5748.7087759518809</c:v>
                </c:pt>
                <c:pt idx="14">
                  <c:v>5465.7818754747968</c:v>
                </c:pt>
                <c:pt idx="15">
                  <c:v>5192.657072535425</c:v>
                </c:pt>
                <c:pt idx="16">
                  <c:v>4882.9062343607484</c:v>
                </c:pt>
                <c:pt idx="17">
                  <c:v>4501.5398610325774</c:v>
                </c:pt>
                <c:pt idx="18">
                  <c:v>4066.6104281555185</c:v>
                </c:pt>
                <c:pt idx="19">
                  <c:v>3597.5685781370817</c:v>
                </c:pt>
                <c:pt idx="20">
                  <c:v>3102.4717339118838</c:v>
                </c:pt>
                <c:pt idx="21">
                  <c:v>2568.6205512482802</c:v>
                </c:pt>
                <c:pt idx="22">
                  <c:v>2000.7316961631682</c:v>
                </c:pt>
                <c:pt idx="23">
                  <c:v>1467.5042196825975</c:v>
                </c:pt>
                <c:pt idx="24">
                  <c:v>1058.8226695409851</c:v>
                </c:pt>
                <c:pt idx="25">
                  <c:v>791.47453302018846</c:v>
                </c:pt>
                <c:pt idx="26">
                  <c:v>655.80009654126911</c:v>
                </c:pt>
                <c:pt idx="27">
                  <c:v>585.43210743850034</c:v>
                </c:pt>
                <c:pt idx="28">
                  <c:v>550.22961238933465</c:v>
                </c:pt>
                <c:pt idx="29">
                  <c:v>525.95012363885235</c:v>
                </c:pt>
                <c:pt idx="30">
                  <c:v>515.3503886433972</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9259.9030429946288</c:v>
                </c:pt>
                <c:pt idx="1">
                  <c:v>8975.4373156175916</c:v>
                </c:pt>
                <c:pt idx="2">
                  <c:v>8718.1797337443004</c:v>
                </c:pt>
                <c:pt idx="3">
                  <c:v>8453.8665906134283</c:v>
                </c:pt>
                <c:pt idx="4">
                  <c:v>8157.4497816903277</c:v>
                </c:pt>
                <c:pt idx="5">
                  <c:v>7881.4803699008435</c:v>
                </c:pt>
                <c:pt idx="6">
                  <c:v>7606.797789198542</c:v>
                </c:pt>
                <c:pt idx="7">
                  <c:v>7278.8872759198184</c:v>
                </c:pt>
                <c:pt idx="8">
                  <c:v>6902.9128773701668</c:v>
                </c:pt>
                <c:pt idx="9">
                  <c:v>6533.8294095397778</c:v>
                </c:pt>
                <c:pt idx="10">
                  <c:v>6236.0805337275306</c:v>
                </c:pt>
                <c:pt idx="11">
                  <c:v>5950.4123980915811</c:v>
                </c:pt>
                <c:pt idx="12">
                  <c:v>5675.5372968728034</c:v>
                </c:pt>
                <c:pt idx="13">
                  <c:v>5389.077424650558</c:v>
                </c:pt>
                <c:pt idx="14">
                  <c:v>5123.5437168709832</c:v>
                </c:pt>
                <c:pt idx="15">
                  <c:v>4799.280908658001</c:v>
                </c:pt>
                <c:pt idx="16">
                  <c:v>4430.6662258617935</c:v>
                </c:pt>
                <c:pt idx="17">
                  <c:v>3990.4031488339651</c:v>
                </c:pt>
                <c:pt idx="18">
                  <c:v>3512.6173919241392</c:v>
                </c:pt>
                <c:pt idx="19">
                  <c:v>2997.1269883218743</c:v>
                </c:pt>
                <c:pt idx="20">
                  <c:v>2450.4999019800034</c:v>
                </c:pt>
                <c:pt idx="21">
                  <c:v>1872.1545257089074</c:v>
                </c:pt>
                <c:pt idx="22">
                  <c:v>1367.4511296212941</c:v>
                </c:pt>
                <c:pt idx="23">
                  <c:v>983.81195335121254</c:v>
                </c:pt>
                <c:pt idx="24">
                  <c:v>755.24433140254177</c:v>
                </c:pt>
                <c:pt idx="25">
                  <c:v>633.28610309701617</c:v>
                </c:pt>
                <c:pt idx="26">
                  <c:v>577.24905136540178</c:v>
                </c:pt>
                <c:pt idx="27">
                  <c:v>542.56491517927657</c:v>
                </c:pt>
                <c:pt idx="28">
                  <c:v>523.04517618896307</c:v>
                </c:pt>
                <c:pt idx="29">
                  <c:v>513.02385818918287</c:v>
                </c:pt>
                <c:pt idx="30">
                  <c:v>488.70376604058401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3.3797978291319386E-13</c:v>
                </c:pt>
                <c:pt idx="1">
                  <c:v>3.3797978291319382E-12</c:v>
                </c:pt>
                <c:pt idx="2">
                  <c:v>3.3797978291319381E-11</c:v>
                </c:pt>
                <c:pt idx="3">
                  <c:v>3.379797829131938E-10</c:v>
                </c:pt>
                <c:pt idx="4">
                  <c:v>3.379797829131938E-9</c:v>
                </c:pt>
                <c:pt idx="5">
                  <c:v>3.3797978291319382E-8</c:v>
                </c:pt>
                <c:pt idx="6">
                  <c:v>3.3797978291319386E-7</c:v>
                </c:pt>
                <c:pt idx="7">
                  <c:v>3.3797978291319384E-6</c:v>
                </c:pt>
                <c:pt idx="8">
                  <c:v>3.3797978291319381E-5</c:v>
                </c:pt>
                <c:pt idx="9">
                  <c:v>3.3797978291319383E-4</c:v>
                </c:pt>
                <c:pt idx="10">
                  <c:v>3.3797978291319384E-3</c:v>
                </c:pt>
                <c:pt idx="11">
                  <c:v>3.3797978291319385E-2</c:v>
                </c:pt>
                <c:pt idx="12">
                  <c:v>0.3379797829131938</c:v>
                </c:pt>
                <c:pt idx="13">
                  <c:v>3.3797978291319382</c:v>
                </c:pt>
                <c:pt idx="14">
                  <c:v>33.797978291319382</c:v>
                </c:pt>
                <c:pt idx="15">
                  <c:v>337.97978291319384</c:v>
                </c:pt>
                <c:pt idx="16">
                  <c:v>3379.7978291319382</c:v>
                </c:pt>
                <c:pt idx="17">
                  <c:v>33797.978291319385</c:v>
                </c:pt>
                <c:pt idx="18">
                  <c:v>337979.78291319381</c:v>
                </c:pt>
                <c:pt idx="19">
                  <c:v>3379797.8291319381</c:v>
                </c:pt>
                <c:pt idx="20">
                  <c:v>33797978.291319385</c:v>
                </c:pt>
                <c:pt idx="21">
                  <c:v>337979782.91319382</c:v>
                </c:pt>
                <c:pt idx="22">
                  <c:v>3379797829.131938</c:v>
                </c:pt>
                <c:pt idx="23">
                  <c:v>33797978291.319382</c:v>
                </c:pt>
                <c:pt idx="24">
                  <c:v>337979782913.19385</c:v>
                </c:pt>
                <c:pt idx="25">
                  <c:v>3379797829131.938</c:v>
                </c:pt>
                <c:pt idx="26">
                  <c:v>33797978291319.383</c:v>
                </c:pt>
                <c:pt idx="27">
                  <c:v>337979782913193.81</c:v>
                </c:pt>
                <c:pt idx="28">
                  <c:v>3379797829131938</c:v>
                </c:pt>
                <c:pt idx="29">
                  <c:v>3.379797829131938E+16</c:v>
                </c:pt>
                <c:pt idx="30">
                  <c:v>3.3797978291319379E+17</c:v>
                </c:pt>
              </c:numCache>
            </c:numRef>
          </c:xVal>
          <c:yVal>
            <c:numRef>
              <c:f>'Mastercurve bestimmen'!$O$404:$O$434</c:f>
              <c:numCache>
                <c:formatCode>0.00E+00</c:formatCode>
                <c:ptCount val="31"/>
                <c:pt idx="0">
                  <c:v>8600.88026028485</c:v>
                </c:pt>
                <c:pt idx="1">
                  <c:v>8258.5143784911779</c:v>
                </c:pt>
                <c:pt idx="2">
                  <c:v>7962.1526037178537</c:v>
                </c:pt>
                <c:pt idx="3">
                  <c:v>7694.1164691736458</c:v>
                </c:pt>
                <c:pt idx="4">
                  <c:v>7392.1118529421537</c:v>
                </c:pt>
                <c:pt idx="5">
                  <c:v>7031.7099177768096</c:v>
                </c:pt>
                <c:pt idx="6">
                  <c:v>6653.2341038317008</c:v>
                </c:pt>
                <c:pt idx="7">
                  <c:v>6325.3637954371716</c:v>
                </c:pt>
                <c:pt idx="8">
                  <c:v>6045.8980186697399</c:v>
                </c:pt>
                <c:pt idx="9">
                  <c:v>5765.1058423358591</c:v>
                </c:pt>
                <c:pt idx="10">
                  <c:v>5486.9816625574504</c:v>
                </c:pt>
                <c:pt idx="11">
                  <c:v>5211.1575946368548</c:v>
                </c:pt>
                <c:pt idx="12">
                  <c:v>4923.9623445747775</c:v>
                </c:pt>
                <c:pt idx="13">
                  <c:v>4584.0172032140918</c:v>
                </c:pt>
                <c:pt idx="14">
                  <c:v>4221.1859974432145</c:v>
                </c:pt>
                <c:pt idx="15">
                  <c:v>3789.937412973562</c:v>
                </c:pt>
                <c:pt idx="16">
                  <c:v>3283.8683924627298</c:v>
                </c:pt>
                <c:pt idx="17">
                  <c:v>2714.7098539050189</c:v>
                </c:pt>
                <c:pt idx="18">
                  <c:v>2120.3389527808267</c:v>
                </c:pt>
                <c:pt idx="19">
                  <c:v>1549.2251736201158</c:v>
                </c:pt>
                <c:pt idx="20">
                  <c:v>1115.0562509241029</c:v>
                </c:pt>
                <c:pt idx="21">
                  <c:v>819.57257707159806</c:v>
                </c:pt>
                <c:pt idx="22">
                  <c:v>672.71182943032534</c:v>
                </c:pt>
                <c:pt idx="23">
                  <c:v>592.26686963031818</c:v>
                </c:pt>
                <c:pt idx="24">
                  <c:v>556.12366677692739</c:v>
                </c:pt>
                <c:pt idx="25">
                  <c:v>528.75323853804991</c:v>
                </c:pt>
                <c:pt idx="26">
                  <c:v>517.55067575260887</c:v>
                </c:pt>
                <c:pt idx="27">
                  <c:v>499.76142817308812</c:v>
                </c:pt>
                <c:pt idx="28">
                  <c:v>478.96737917397832</c:v>
                </c:pt>
                <c:pt idx="29">
                  <c:v>475.66972462501121</c:v>
                </c:pt>
                <c:pt idx="30">
                  <c:v>475.44842733478526</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1.0162764766847711E-10</c:v>
                </c:pt>
                <c:pt idx="1">
                  <c:v>1.0162764766847711E-9</c:v>
                </c:pt>
                <c:pt idx="2">
                  <c:v>1.0162764766847712E-8</c:v>
                </c:pt>
                <c:pt idx="3">
                  <c:v>1.0162764766847711E-7</c:v>
                </c:pt>
                <c:pt idx="4">
                  <c:v>1.016276476684771E-6</c:v>
                </c:pt>
                <c:pt idx="5">
                  <c:v>1.0162764766847711E-5</c:v>
                </c:pt>
                <c:pt idx="6">
                  <c:v>1.0162764766847711E-4</c:v>
                </c:pt>
                <c:pt idx="7">
                  <c:v>1.0162764766847711E-3</c:v>
                </c:pt>
                <c:pt idx="8">
                  <c:v>1.0162764766847712E-2</c:v>
                </c:pt>
                <c:pt idx="9">
                  <c:v>0.10162764766847711</c:v>
                </c:pt>
                <c:pt idx="10">
                  <c:v>1.0162764766847712</c:v>
                </c:pt>
                <c:pt idx="11">
                  <c:v>10.162764766847712</c:v>
                </c:pt>
                <c:pt idx="12">
                  <c:v>101.62764766847711</c:v>
                </c:pt>
                <c:pt idx="13">
                  <c:v>1016.2764766847712</c:v>
                </c:pt>
                <c:pt idx="14">
                  <c:v>10162.764766847711</c:v>
                </c:pt>
                <c:pt idx="15">
                  <c:v>101627.64766847712</c:v>
                </c:pt>
                <c:pt idx="16">
                  <c:v>1016276.4766847711</c:v>
                </c:pt>
                <c:pt idx="17">
                  <c:v>10162764.766847711</c:v>
                </c:pt>
                <c:pt idx="18">
                  <c:v>101627647.66847712</c:v>
                </c:pt>
                <c:pt idx="19">
                  <c:v>1016276476.6847711</c:v>
                </c:pt>
                <c:pt idx="20">
                  <c:v>10162764766.847712</c:v>
                </c:pt>
                <c:pt idx="21">
                  <c:v>101627647668.47711</c:v>
                </c:pt>
                <c:pt idx="22">
                  <c:v>1016276476684.7711</c:v>
                </c:pt>
                <c:pt idx="23">
                  <c:v>10162764766847.711</c:v>
                </c:pt>
                <c:pt idx="24">
                  <c:v>101627647668477.11</c:v>
                </c:pt>
                <c:pt idx="25">
                  <c:v>1016276476684771.1</c:v>
                </c:pt>
                <c:pt idx="26">
                  <c:v>1.0162764766847712E+16</c:v>
                </c:pt>
                <c:pt idx="27">
                  <c:v>1.016276476684771E+17</c:v>
                </c:pt>
                <c:pt idx="28">
                  <c:v>1.0162764766847711E+18</c:v>
                </c:pt>
                <c:pt idx="29">
                  <c:v>1.0162764766847711E+19</c:v>
                </c:pt>
                <c:pt idx="30">
                  <c:v>1.0162764766847712E+20</c:v>
                </c:pt>
              </c:numCache>
            </c:numRef>
          </c:xVal>
          <c:yVal>
            <c:numRef>
              <c:f>'Mastercurve bestimmen'!$P$404:$P$434</c:f>
              <c:numCache>
                <c:formatCode>0.00E+00</c:formatCode>
                <c:ptCount val="31"/>
                <c:pt idx="0">
                  <c:v>7885.0238799750496</c:v>
                </c:pt>
                <c:pt idx="1">
                  <c:v>7533.2051738552464</c:v>
                </c:pt>
                <c:pt idx="2">
                  <c:v>7191.2405725815324</c:v>
                </c:pt>
                <c:pt idx="3">
                  <c:v>6812.4631092957497</c:v>
                </c:pt>
                <c:pt idx="4">
                  <c:v>6451.9725248759578</c:v>
                </c:pt>
                <c:pt idx="5">
                  <c:v>6166.1047060884439</c:v>
                </c:pt>
                <c:pt idx="6">
                  <c:v>5881.0552739751101</c:v>
                </c:pt>
                <c:pt idx="7">
                  <c:v>5609.3504910949478</c:v>
                </c:pt>
                <c:pt idx="8">
                  <c:v>5323.5276590267758</c:v>
                </c:pt>
                <c:pt idx="9">
                  <c:v>5061.2818561056738</c:v>
                </c:pt>
                <c:pt idx="10">
                  <c:v>4733.4087396901623</c:v>
                </c:pt>
                <c:pt idx="11">
                  <c:v>4393.7824312927287</c:v>
                </c:pt>
                <c:pt idx="12">
                  <c:v>4006.1265808261332</c:v>
                </c:pt>
                <c:pt idx="13">
                  <c:v>3576.233277328839</c:v>
                </c:pt>
                <c:pt idx="14">
                  <c:v>3059.5283871610445</c:v>
                </c:pt>
                <c:pt idx="15">
                  <c:v>2469.5512794279489</c:v>
                </c:pt>
                <c:pt idx="16">
                  <c:v>1842.799668868907</c:v>
                </c:pt>
                <c:pt idx="17">
                  <c:v>1328.7737512423464</c:v>
                </c:pt>
                <c:pt idx="18">
                  <c:v>948.83583319405307</c:v>
                </c:pt>
                <c:pt idx="19">
                  <c:v>739.39486681916139</c:v>
                </c:pt>
                <c:pt idx="20">
                  <c:v>624.14790659062351</c:v>
                </c:pt>
                <c:pt idx="21">
                  <c:v>574.84813415628378</c:v>
                </c:pt>
                <c:pt idx="22">
                  <c:v>540.01941971549797</c:v>
                </c:pt>
                <c:pt idx="23">
                  <c:v>522.91431442377564</c:v>
                </c:pt>
                <c:pt idx="24">
                  <c:v>512.28225991416207</c:v>
                </c:pt>
                <c:pt idx="25">
                  <c:v>486.30628203230003</c:v>
                </c:pt>
                <c:pt idx="26">
                  <c:v>477.16338311456207</c:v>
                </c:pt>
                <c:pt idx="27">
                  <c:v>476.22593072507385</c:v>
                </c:pt>
                <c:pt idx="28">
                  <c:v>475.98047490013522</c:v>
                </c:pt>
                <c:pt idx="29">
                  <c:v>475.76724400704541</c:v>
                </c:pt>
                <c:pt idx="30">
                  <c:v>475.55412653805064</c:v>
                </c:pt>
              </c:numCache>
            </c:numRef>
          </c:yVal>
          <c:smooth val="1"/>
        </c:ser>
        <c:dLbls>
          <c:showLegendKey val="0"/>
          <c:showVal val="0"/>
          <c:showCatName val="0"/>
          <c:showSerName val="0"/>
          <c:showPercent val="0"/>
          <c:showBubbleSize val="0"/>
        </c:dLbls>
        <c:axId val="452590648"/>
        <c:axId val="452595744"/>
      </c:scatterChart>
      <c:valAx>
        <c:axId val="452590648"/>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595744"/>
        <c:crosses val="autoZero"/>
        <c:crossBetween val="midCat"/>
      </c:valAx>
      <c:valAx>
        <c:axId val="4525957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590648"/>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-11.075286108018116</c:v>
                </c:pt>
                <c:pt idx="1">
                  <c:v>-11.015479897451616</c:v>
                </c:pt>
                <c:pt idx="2">
                  <c:v>-10.955573402562955</c:v>
                </c:pt>
                <c:pt idx="3">
                  <c:v>-10.895466339029964</c:v>
                </c:pt>
                <c:pt idx="4">
                  <c:v>-10.83505842253048</c:v>
                </c:pt>
                <c:pt idx="5">
                  <c:v>-10.774249368742339</c:v>
                </c:pt>
                <c:pt idx="6">
                  <c:v>-10.712938893343379</c:v>
                </c:pt>
                <c:pt idx="7">
                  <c:v>-10.651026712011433</c:v>
                </c:pt>
                <c:pt idx="8">
                  <c:v>-10.588412540424338</c:v>
                </c:pt>
                <c:pt idx="9">
                  <c:v>-10.524996094259929</c:v>
                </c:pt>
                <c:pt idx="10">
                  <c:v>-10.460677089196047</c:v>
                </c:pt>
                <c:pt idx="11">
                  <c:v>-10.395355240910517</c:v>
                </c:pt>
                <c:pt idx="12">
                  <c:v>-10.328930265081187</c:v>
                </c:pt>
                <c:pt idx="13">
                  <c:v>-10.261301877385884</c:v>
                </c:pt>
                <c:pt idx="14">
                  <c:v>-10.192369793502447</c:v>
                </c:pt>
                <c:pt idx="15">
                  <c:v>-10.122033729108713</c:v>
                </c:pt>
                <c:pt idx="16">
                  <c:v>-10.050193399882518</c:v>
                </c:pt>
                <c:pt idx="17">
                  <c:v>-9.9767485215016958</c:v>
                </c:pt>
                <c:pt idx="18">
                  <c:v>-9.9015988096440815</c:v>
                </c:pt>
                <c:pt idx="19">
                  <c:v>-9.8246439799875134</c:v>
                </c:pt>
                <c:pt idx="20">
                  <c:v>-9.7457837482098277</c:v>
                </c:pt>
                <c:pt idx="21">
                  <c:v>-9.6649178299888572</c:v>
                </c:pt>
                <c:pt idx="22">
                  <c:v>-9.5819459410024415</c:v>
                </c:pt>
                <c:pt idx="23">
                  <c:v>-9.4967677969284132</c:v>
                </c:pt>
                <c:pt idx="24">
                  <c:v>-9.4092831134446087</c:v>
                </c:pt>
                <c:pt idx="25">
                  <c:v>-9.3193916062288675</c:v>
                </c:pt>
                <c:pt idx="26">
                  <c:v>-9.2269929909590207</c:v>
                </c:pt>
                <c:pt idx="27">
                  <c:v>-9.1319869833129061</c:v>
                </c:pt>
                <c:pt idx="28">
                  <c:v>-9.0342732989683601</c:v>
                </c:pt>
                <c:pt idx="29">
                  <c:v>-8.9337516536032169</c:v>
                </c:pt>
                <c:pt idx="30">
                  <c:v>-8.8303217628953146</c:v>
                </c:pt>
                <c:pt idx="31">
                  <c:v>-8.7238833425224875</c:v>
                </c:pt>
                <c:pt idx="32">
                  <c:v>-8.614336108162572</c:v>
                </c:pt>
                <c:pt idx="33">
                  <c:v>-8.5015797754934042</c:v>
                </c:pt>
                <c:pt idx="34">
                  <c:v>-8.3855140601928184</c:v>
                </c:pt>
                <c:pt idx="35">
                  <c:v>-8.2660386779386528</c:v>
                </c:pt>
                <c:pt idx="36">
                  <c:v>-8.1430533444087416</c:v>
                </c:pt>
                <c:pt idx="37">
                  <c:v>-8.0164577752809212</c:v>
                </c:pt>
                <c:pt idx="38">
                  <c:v>-7.8861516862330259</c:v>
                </c:pt>
                <c:pt idx="39">
                  <c:v>-7.7520347929428954</c:v>
                </c:pt>
                <c:pt idx="40">
                  <c:v>-7.6140068110883616</c:v>
                </c:pt>
                <c:pt idx="41">
                  <c:v>-7.5336012600480515</c:v>
                </c:pt>
                <c:pt idx="42">
                  <c:v>-7.4494274009929038</c:v>
                </c:pt>
                <c:pt idx="43">
                  <c:v>-7.3617282987946462</c:v>
                </c:pt>
                <c:pt idx="44">
                  <c:v>-7.2707470183250047</c:v>
                </c:pt>
                <c:pt idx="45">
                  <c:v>-7.1767266244557097</c:v>
                </c:pt>
                <c:pt idx="46">
                  <c:v>-7.0799101820584847</c:v>
                </c:pt>
                <c:pt idx="47">
                  <c:v>-6.9805407560050625</c:v>
                </c:pt>
                <c:pt idx="48">
                  <c:v>-6.8788614111671667</c:v>
                </c:pt>
                <c:pt idx="49">
                  <c:v>-6.7751152124165284</c:v>
                </c:pt>
                <c:pt idx="50">
                  <c:v>-6.6695452246248728</c:v>
                </c:pt>
                <c:pt idx="51">
                  <c:v>-6.5623945126639285</c:v>
                </c:pt>
                <c:pt idx="52">
                  <c:v>-6.4539061414054224</c:v>
                </c:pt>
                <c:pt idx="53">
                  <c:v>-6.3443231757210832</c:v>
                </c:pt>
                <c:pt idx="54">
                  <c:v>-6.2338886804826394</c:v>
                </c:pt>
                <c:pt idx="55">
                  <c:v>-6.1228457205618172</c:v>
                </c:pt>
                <c:pt idx="56">
                  <c:v>-6.0114373608303442</c:v>
                </c:pt>
                <c:pt idx="57">
                  <c:v>-5.8999066661599491</c:v>
                </c:pt>
                <c:pt idx="58">
                  <c:v>-5.7884967014223587</c:v>
                </c:pt>
                <c:pt idx="59">
                  <c:v>-5.6774505314893009</c:v>
                </c:pt>
                <c:pt idx="60">
                  <c:v>-5.5670112212325051</c:v>
                </c:pt>
                <c:pt idx="61">
                  <c:v>-5.4574218355236965</c:v>
                </c:pt>
                <c:pt idx="62">
                  <c:v>-5.3489254392346046</c:v>
                </c:pt>
                <c:pt idx="63">
                  <c:v>-5.2417650972369554</c:v>
                </c:pt>
                <c:pt idx="64">
                  <c:v>-5.1361838744024793</c:v>
                </c:pt>
                <c:pt idx="65">
                  <c:v>-5.0324248356029004</c:v>
                </c:pt>
                <c:pt idx="66">
                  <c:v>-4.9306730305112678</c:v>
                </c:pt>
                <c:pt idx="67">
                  <c:v>-4.8308814480058935</c:v>
                </c:pt>
                <c:pt idx="68">
                  <c:v>-4.7329450617664151</c:v>
                </c:pt>
                <c:pt idx="69">
                  <c:v>-4.6367588454724613</c:v>
                </c:pt>
                <c:pt idx="70">
                  <c:v>-4.5422177728036699</c:v>
                </c:pt>
                <c:pt idx="71">
                  <c:v>-4.4492168174396713</c:v>
                </c:pt>
                <c:pt idx="72">
                  <c:v>-4.3576509530601006</c:v>
                </c:pt>
                <c:pt idx="73">
                  <c:v>-4.267415153344591</c:v>
                </c:pt>
                <c:pt idx="74">
                  <c:v>-4.1784043919727747</c:v>
                </c:pt>
                <c:pt idx="75">
                  <c:v>-4.0905136426242867</c:v>
                </c:pt>
                <c:pt idx="76">
                  <c:v>-4.0036378789787594</c:v>
                </c:pt>
                <c:pt idx="77">
                  <c:v>-3.9176720747158269</c:v>
                </c:pt>
                <c:pt idx="78">
                  <c:v>-3.8325112035151219</c:v>
                </c:pt>
                <c:pt idx="79">
                  <c:v>-3.748050239056278</c:v>
                </c:pt>
                <c:pt idx="80">
                  <c:v>-3.6641841550189289</c:v>
                </c:pt>
                <c:pt idx="81">
                  <c:v>-3.5808079250827078</c:v>
                </c:pt>
                <c:pt idx="82">
                  <c:v>-3.4978165229272484</c:v>
                </c:pt>
                <c:pt idx="83">
                  <c:v>-3.4151049222321839</c:v>
                </c:pt>
                <c:pt idx="84">
                  <c:v>-3.3325680966771474</c:v>
                </c:pt>
                <c:pt idx="85">
                  <c:v>-3.2501010199417726</c:v>
                </c:pt>
                <c:pt idx="86">
                  <c:v>-3.1675986657056936</c:v>
                </c:pt>
                <c:pt idx="87">
                  <c:v>-3.0849560076485427</c:v>
                </c:pt>
                <c:pt idx="88">
                  <c:v>-3.0020680194499541</c:v>
                </c:pt>
                <c:pt idx="89">
                  <c:v>-2.9188296747895603</c:v>
                </c:pt>
                <c:pt idx="90">
                  <c:v>-2.8351359473469957</c:v>
                </c:pt>
                <c:pt idx="91">
                  <c:v>-2.7508969352248065</c:v>
                </c:pt>
                <c:pt idx="92">
                  <c:v>-2.6660832342171923</c:v>
                </c:pt>
                <c:pt idx="93">
                  <c:v>-2.5806805645412663</c:v>
                </c:pt>
                <c:pt idx="94">
                  <c:v>-2.4946746464141412</c:v>
                </c:pt>
                <c:pt idx="95">
                  <c:v>-2.4080512000529306</c:v>
                </c:pt>
                <c:pt idx="96">
                  <c:v>-2.3207959456747465</c:v>
                </c:pt>
                <c:pt idx="97">
                  <c:v>-2.2328946034967019</c:v>
                </c:pt>
                <c:pt idx="98">
                  <c:v>-2.1443328937359105</c:v>
                </c:pt>
                <c:pt idx="99">
                  <c:v>-2.0550965366094847</c:v>
                </c:pt>
                <c:pt idx="100">
                  <c:v>-1.9651712523345373</c:v>
                </c:pt>
                <c:pt idx="101">
                  <c:v>-1.8745427611281813</c:v>
                </c:pt>
                <c:pt idx="102">
                  <c:v>-1.7831967832075297</c:v>
                </c:pt>
                <c:pt idx="103">
                  <c:v>-1.6911190387896957</c:v>
                </c:pt>
                <c:pt idx="104">
                  <c:v>-1.598295248091792</c:v>
                </c:pt>
                <c:pt idx="105">
                  <c:v>-1.5047111313309316</c:v>
                </c:pt>
                <c:pt idx="106">
                  <c:v>-1.410352408724227</c:v>
                </c:pt>
                <c:pt idx="107">
                  <c:v>-1.3152048004887917</c:v>
                </c:pt>
                <c:pt idx="108">
                  <c:v>-1.2192540268417382</c:v>
                </c:pt>
                <c:pt idx="109">
                  <c:v>-1.1224858080001798</c:v>
                </c:pt>
                <c:pt idx="110">
                  <c:v>-1.0248858641812295</c:v>
                </c:pt>
                <c:pt idx="111">
                  <c:v>-0.92643991560199968</c:v>
                </c:pt>
                <c:pt idx="112">
                  <c:v>-0.8271336824796035</c:v>
                </c:pt>
                <c:pt idx="113">
                  <c:v>-0.72695288503115418</c:v>
                </c:pt>
                <c:pt idx="114">
                  <c:v>-0.62588324347376423</c:v>
                </c:pt>
                <c:pt idx="115">
                  <c:v>-0.52391047802454693</c:v>
                </c:pt>
                <c:pt idx="116">
                  <c:v>-0.42102030890061498</c:v>
                </c:pt>
                <c:pt idx="117">
                  <c:v>-0.31719845631908139</c:v>
                </c:pt>
                <c:pt idx="118">
                  <c:v>-0.21243064049705906</c:v>
                </c:pt>
                <c:pt idx="119">
                  <c:v>-0.10670258165166097</c:v>
                </c:pt>
                <c:pt idx="120">
                  <c:v>0</c:v>
                </c:pt>
                <c:pt idx="121">
                  <c:v>0.10768898305695912</c:v>
                </c:pt>
                <c:pt idx="122">
                  <c:v>0.21636664138284467</c:v>
                </c:pt>
                <c:pt idx="123">
                  <c:v>0.32603284765743296</c:v>
                </c:pt>
                <c:pt idx="124">
                  <c:v>0.4366874745605005</c:v>
                </c:pt>
                <c:pt idx="125">
                  <c:v>0.54833039477182366</c:v>
                </c:pt>
                <c:pt idx="126">
                  <c:v>0.66096148097117902</c:v>
                </c:pt>
                <c:pt idx="127">
                  <c:v>0.77458060583834276</c:v>
                </c:pt>
                <c:pt idx="128">
                  <c:v>0.88918764205309153</c:v>
                </c:pt>
                <c:pt idx="129">
                  <c:v>1.0047824622952017</c:v>
                </c:pt>
                <c:pt idx="130">
                  <c:v>1.1213649392444496</c:v>
                </c:pt>
                <c:pt idx="131">
                  <c:v>1.2389349455806118</c:v>
                </c:pt>
                <c:pt idx="132">
                  <c:v>1.3574923539834647</c:v>
                </c:pt>
                <c:pt idx="133">
                  <c:v>1.4770370371327846</c:v>
                </c:pt>
                <c:pt idx="134">
                  <c:v>1.5975688677083479</c:v>
                </c:pt>
                <c:pt idx="135">
                  <c:v>1.7190877183899314</c:v>
                </c:pt>
                <c:pt idx="136">
                  <c:v>1.8415934618573111</c:v>
                </c:pt>
                <c:pt idx="137">
                  <c:v>1.9650859707902637</c:v>
                </c:pt>
                <c:pt idx="138">
                  <c:v>2.0895651178685659</c:v>
                </c:pt>
                <c:pt idx="139">
                  <c:v>2.2150307757719934</c:v>
                </c:pt>
                <c:pt idx="140">
                  <c:v>2.341482817180323</c:v>
                </c:pt>
                <c:pt idx="141">
                  <c:v>2.4689211147733308</c:v>
                </c:pt>
                <c:pt idx="142">
                  <c:v>2.5973455412307942</c:v>
                </c:pt>
                <c:pt idx="143">
                  <c:v>2.7267559692324892</c:v>
                </c:pt>
                <c:pt idx="144">
                  <c:v>2.8571522714581912</c:v>
                </c:pt>
                <c:pt idx="145">
                  <c:v>2.9885343205876778</c:v>
                </c:pt>
                <c:pt idx="146">
                  <c:v>3.1209019893007253</c:v>
                </c:pt>
                <c:pt idx="147">
                  <c:v>3.25425515027711</c:v>
                </c:pt>
                <c:pt idx="148">
                  <c:v>3.3885936761966078</c:v>
                </c:pt>
                <c:pt idx="149">
                  <c:v>3.5239174397389954</c:v>
                </c:pt>
                <c:pt idx="150">
                  <c:v>3.66022631358405</c:v>
                </c:pt>
                <c:pt idx="151">
                  <c:v>3.7975201704115475</c:v>
                </c:pt>
                <c:pt idx="152">
                  <c:v>3.9357988829012638</c:v>
                </c:pt>
                <c:pt idx="153">
                  <c:v>4.0750623237329764</c:v>
                </c:pt>
                <c:pt idx="154">
                  <c:v>4.2153103655864603</c:v>
                </c:pt>
                <c:pt idx="155">
                  <c:v>4.3565428811414941</c:v>
                </c:pt>
                <c:pt idx="156">
                  <c:v>4.4987597430778514</c:v>
                </c:pt>
                <c:pt idx="157">
                  <c:v>4.6419608240753103</c:v>
                </c:pt>
                <c:pt idx="158">
                  <c:v>4.7861459968136479</c:v>
                </c:pt>
                <c:pt idx="159">
                  <c:v>4.9313151339726398</c:v>
                </c:pt>
                <c:pt idx="160">
                  <c:v>5.0774681082320612</c:v>
                </c:pt>
                <c:pt idx="161">
                  <c:v>5.2246047922716903</c:v>
                </c:pt>
                <c:pt idx="162">
                  <c:v>5.3727250587713034</c:v>
                </c:pt>
                <c:pt idx="163">
                  <c:v>5.5218287804106767</c:v>
                </c:pt>
                <c:pt idx="164">
                  <c:v>5.6719158298695858</c:v>
                </c:pt>
                <c:pt idx="165">
                  <c:v>5.8229860798278077</c:v>
                </c:pt>
                <c:pt idx="166">
                  <c:v>5.9750347428843043</c:v>
                </c:pt>
                <c:pt idx="167">
                  <c:v>6.1280383913147718</c:v>
                </c:pt>
                <c:pt idx="168">
                  <c:v>6.2819689373140966</c:v>
                </c:pt>
                <c:pt idx="169">
                  <c:v>6.4367982930771586</c:v>
                </c:pt>
                <c:pt idx="170">
                  <c:v>6.5924983707988432</c:v>
                </c:pt>
                <c:pt idx="171">
                  <c:v>6.7490410826740339</c:v>
                </c:pt>
                <c:pt idx="172">
                  <c:v>6.9063983408976117</c:v>
                </c:pt>
                <c:pt idx="173">
                  <c:v>7.064542057664462</c:v>
                </c:pt>
                <c:pt idx="174">
                  <c:v>7.2234441451694646</c:v>
                </c:pt>
                <c:pt idx="175">
                  <c:v>7.3830765156075069</c:v>
                </c:pt>
                <c:pt idx="176">
                  <c:v>7.5434110811734705</c:v>
                </c:pt>
                <c:pt idx="177">
                  <c:v>7.7044197540622363</c:v>
                </c:pt>
                <c:pt idx="178">
                  <c:v>7.8660744464686907</c:v>
                </c:pt>
                <c:pt idx="179">
                  <c:v>8.0283470705877154</c:v>
                </c:pt>
                <c:pt idx="180">
                  <c:v>8.1912095386141939</c:v>
                </c:pt>
                <c:pt idx="181">
                  <c:v>8.3546337627430098</c:v>
                </c:pt>
                <c:pt idx="182">
                  <c:v>8.5185916551690433</c:v>
                </c:pt>
                <c:pt idx="183">
                  <c:v>8.6830551280871813</c:v>
                </c:pt>
                <c:pt idx="184">
                  <c:v>8.8479960936923057</c:v>
                </c:pt>
                <c:pt idx="185">
                  <c:v>9.0133864641792982</c:v>
                </c:pt>
                <c:pt idx="186">
                  <c:v>9.1791981517430443</c:v>
                </c:pt>
                <c:pt idx="187">
                  <c:v>9.3454030685784275</c:v>
                </c:pt>
                <c:pt idx="188">
                  <c:v>9.5119731268803278</c:v>
                </c:pt>
                <c:pt idx="189">
                  <c:v>9.6788802388436306</c:v>
                </c:pt>
                <c:pt idx="190">
                  <c:v>9.8460963166632176</c:v>
                </c:pt>
                <c:pt idx="191">
                  <c:v>10.013593272533974</c:v>
                </c:pt>
                <c:pt idx="192">
                  <c:v>10.181343018650782</c:v>
                </c:pt>
                <c:pt idx="193">
                  <c:v>10.349317467208525</c:v>
                </c:pt>
                <c:pt idx="194">
                  <c:v>10.517488530402085</c:v>
                </c:pt>
                <c:pt idx="195">
                  <c:v>10.685828120426345</c:v>
                </c:pt>
                <c:pt idx="196">
                  <c:v>10.854308149476191</c:v>
                </c:pt>
                <c:pt idx="197">
                  <c:v>11.022900529746504</c:v>
                </c:pt>
                <c:pt idx="198">
                  <c:v>11.191577173432169</c:v>
                </c:pt>
                <c:pt idx="199">
                  <c:v>11.360309992728066</c:v>
                </c:pt>
                <c:pt idx="200">
                  <c:v>11.529070899829078</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-11.075286108018116</c:v>
                </c:pt>
                <c:pt idx="1">
                  <c:v>-7.6140068110883616</c:v>
                </c:pt>
                <c:pt idx="2">
                  <c:v>-5.0324248356029004</c:v>
                </c:pt>
                <c:pt idx="3">
                  <c:v>-2.8351359473469957</c:v>
                </c:pt>
                <c:pt idx="4">
                  <c:v>0</c:v>
                </c:pt>
                <c:pt idx="5">
                  <c:v>5.8229860798278077</c:v>
                </c:pt>
                <c:pt idx="6">
                  <c:v>11.529070899829078</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-120</c:v>
                </c:pt>
                <c:pt idx="1">
                  <c:v>-119</c:v>
                </c:pt>
                <c:pt idx="2">
                  <c:v>-118</c:v>
                </c:pt>
                <c:pt idx="3">
                  <c:v>-117</c:v>
                </c:pt>
                <c:pt idx="4">
                  <c:v>-116</c:v>
                </c:pt>
                <c:pt idx="5">
                  <c:v>-115</c:v>
                </c:pt>
                <c:pt idx="6">
                  <c:v>-114</c:v>
                </c:pt>
                <c:pt idx="7">
                  <c:v>-113</c:v>
                </c:pt>
                <c:pt idx="8">
                  <c:v>-112</c:v>
                </c:pt>
                <c:pt idx="9">
                  <c:v>-111</c:v>
                </c:pt>
                <c:pt idx="10">
                  <c:v>-110</c:v>
                </c:pt>
                <c:pt idx="11">
                  <c:v>-109</c:v>
                </c:pt>
                <c:pt idx="12">
                  <c:v>-108</c:v>
                </c:pt>
                <c:pt idx="13">
                  <c:v>-107</c:v>
                </c:pt>
                <c:pt idx="14">
                  <c:v>-106</c:v>
                </c:pt>
                <c:pt idx="15">
                  <c:v>-105</c:v>
                </c:pt>
                <c:pt idx="16">
                  <c:v>-104</c:v>
                </c:pt>
                <c:pt idx="17">
                  <c:v>-103</c:v>
                </c:pt>
                <c:pt idx="18">
                  <c:v>-102</c:v>
                </c:pt>
                <c:pt idx="19">
                  <c:v>-101</c:v>
                </c:pt>
                <c:pt idx="20">
                  <c:v>-100</c:v>
                </c:pt>
                <c:pt idx="21">
                  <c:v>-99</c:v>
                </c:pt>
                <c:pt idx="22">
                  <c:v>-98</c:v>
                </c:pt>
                <c:pt idx="23">
                  <c:v>-97</c:v>
                </c:pt>
                <c:pt idx="24">
                  <c:v>-96</c:v>
                </c:pt>
                <c:pt idx="25">
                  <c:v>-95</c:v>
                </c:pt>
                <c:pt idx="26">
                  <c:v>-94</c:v>
                </c:pt>
                <c:pt idx="27">
                  <c:v>-93</c:v>
                </c:pt>
                <c:pt idx="28">
                  <c:v>-92</c:v>
                </c:pt>
                <c:pt idx="29">
                  <c:v>-91</c:v>
                </c:pt>
                <c:pt idx="30">
                  <c:v>-90</c:v>
                </c:pt>
                <c:pt idx="31">
                  <c:v>-89</c:v>
                </c:pt>
                <c:pt idx="32">
                  <c:v>-88</c:v>
                </c:pt>
                <c:pt idx="33">
                  <c:v>-87</c:v>
                </c:pt>
                <c:pt idx="34">
                  <c:v>-86</c:v>
                </c:pt>
                <c:pt idx="35">
                  <c:v>-85</c:v>
                </c:pt>
                <c:pt idx="36">
                  <c:v>-84</c:v>
                </c:pt>
                <c:pt idx="37">
                  <c:v>-83</c:v>
                </c:pt>
                <c:pt idx="38">
                  <c:v>-82</c:v>
                </c:pt>
                <c:pt idx="39">
                  <c:v>-81</c:v>
                </c:pt>
                <c:pt idx="40">
                  <c:v>-80</c:v>
                </c:pt>
                <c:pt idx="41">
                  <c:v>-79</c:v>
                </c:pt>
                <c:pt idx="42">
                  <c:v>-78</c:v>
                </c:pt>
                <c:pt idx="43">
                  <c:v>-77</c:v>
                </c:pt>
                <c:pt idx="44">
                  <c:v>-76</c:v>
                </c:pt>
                <c:pt idx="45">
                  <c:v>-75</c:v>
                </c:pt>
                <c:pt idx="46">
                  <c:v>-74</c:v>
                </c:pt>
                <c:pt idx="47">
                  <c:v>-73</c:v>
                </c:pt>
                <c:pt idx="48">
                  <c:v>-72</c:v>
                </c:pt>
                <c:pt idx="49">
                  <c:v>-71</c:v>
                </c:pt>
                <c:pt idx="50">
                  <c:v>-70</c:v>
                </c:pt>
                <c:pt idx="51">
                  <c:v>-69</c:v>
                </c:pt>
                <c:pt idx="52">
                  <c:v>-68</c:v>
                </c:pt>
                <c:pt idx="53">
                  <c:v>-67</c:v>
                </c:pt>
                <c:pt idx="54">
                  <c:v>-66</c:v>
                </c:pt>
                <c:pt idx="55">
                  <c:v>-65</c:v>
                </c:pt>
                <c:pt idx="56">
                  <c:v>-64</c:v>
                </c:pt>
                <c:pt idx="57">
                  <c:v>-63</c:v>
                </c:pt>
                <c:pt idx="58">
                  <c:v>-62</c:v>
                </c:pt>
                <c:pt idx="59">
                  <c:v>-61</c:v>
                </c:pt>
                <c:pt idx="60">
                  <c:v>-60</c:v>
                </c:pt>
                <c:pt idx="61">
                  <c:v>-59</c:v>
                </c:pt>
                <c:pt idx="62">
                  <c:v>-58</c:v>
                </c:pt>
                <c:pt idx="63">
                  <c:v>-57</c:v>
                </c:pt>
                <c:pt idx="64">
                  <c:v>-56</c:v>
                </c:pt>
                <c:pt idx="65">
                  <c:v>-55</c:v>
                </c:pt>
                <c:pt idx="66">
                  <c:v>-54</c:v>
                </c:pt>
                <c:pt idx="67">
                  <c:v>-53</c:v>
                </c:pt>
                <c:pt idx="68">
                  <c:v>-52</c:v>
                </c:pt>
                <c:pt idx="69">
                  <c:v>-51</c:v>
                </c:pt>
                <c:pt idx="70">
                  <c:v>-50</c:v>
                </c:pt>
                <c:pt idx="71">
                  <c:v>-49</c:v>
                </c:pt>
                <c:pt idx="72">
                  <c:v>-48</c:v>
                </c:pt>
                <c:pt idx="73">
                  <c:v>-47</c:v>
                </c:pt>
                <c:pt idx="74">
                  <c:v>-46</c:v>
                </c:pt>
                <c:pt idx="75">
                  <c:v>-45</c:v>
                </c:pt>
                <c:pt idx="76">
                  <c:v>-44</c:v>
                </c:pt>
                <c:pt idx="77">
                  <c:v>-43</c:v>
                </c:pt>
                <c:pt idx="78">
                  <c:v>-42</c:v>
                </c:pt>
                <c:pt idx="79">
                  <c:v>-41</c:v>
                </c:pt>
                <c:pt idx="80">
                  <c:v>-40</c:v>
                </c:pt>
                <c:pt idx="81">
                  <c:v>-39</c:v>
                </c:pt>
                <c:pt idx="82">
                  <c:v>-38</c:v>
                </c:pt>
                <c:pt idx="83">
                  <c:v>-37</c:v>
                </c:pt>
                <c:pt idx="84">
                  <c:v>-36</c:v>
                </c:pt>
                <c:pt idx="85">
                  <c:v>-35</c:v>
                </c:pt>
                <c:pt idx="86">
                  <c:v>-34</c:v>
                </c:pt>
                <c:pt idx="87">
                  <c:v>-33</c:v>
                </c:pt>
                <c:pt idx="88">
                  <c:v>-32</c:v>
                </c:pt>
                <c:pt idx="89">
                  <c:v>-31</c:v>
                </c:pt>
                <c:pt idx="90">
                  <c:v>-30</c:v>
                </c:pt>
                <c:pt idx="91">
                  <c:v>-29</c:v>
                </c:pt>
                <c:pt idx="92">
                  <c:v>-28</c:v>
                </c:pt>
                <c:pt idx="93">
                  <c:v>-27</c:v>
                </c:pt>
                <c:pt idx="94">
                  <c:v>-26</c:v>
                </c:pt>
                <c:pt idx="95">
                  <c:v>-25</c:v>
                </c:pt>
                <c:pt idx="96">
                  <c:v>-24</c:v>
                </c:pt>
                <c:pt idx="97">
                  <c:v>-23</c:v>
                </c:pt>
                <c:pt idx="98">
                  <c:v>-22</c:v>
                </c:pt>
                <c:pt idx="99">
                  <c:v>-21</c:v>
                </c:pt>
                <c:pt idx="100">
                  <c:v>-20</c:v>
                </c:pt>
                <c:pt idx="101">
                  <c:v>-19</c:v>
                </c:pt>
                <c:pt idx="102">
                  <c:v>-18</c:v>
                </c:pt>
                <c:pt idx="103">
                  <c:v>-17</c:v>
                </c:pt>
                <c:pt idx="104">
                  <c:v>-16</c:v>
                </c:pt>
                <c:pt idx="105">
                  <c:v>-15</c:v>
                </c:pt>
                <c:pt idx="106">
                  <c:v>-14</c:v>
                </c:pt>
                <c:pt idx="107">
                  <c:v>-13</c:v>
                </c:pt>
                <c:pt idx="108">
                  <c:v>-12</c:v>
                </c:pt>
                <c:pt idx="109">
                  <c:v>-11</c:v>
                </c:pt>
                <c:pt idx="110">
                  <c:v>-10</c:v>
                </c:pt>
                <c:pt idx="111">
                  <c:v>-9</c:v>
                </c:pt>
                <c:pt idx="112">
                  <c:v>-8</c:v>
                </c:pt>
                <c:pt idx="113">
                  <c:v>-7</c:v>
                </c:pt>
                <c:pt idx="114">
                  <c:v>-6</c:v>
                </c:pt>
                <c:pt idx="115">
                  <c:v>-5</c:v>
                </c:pt>
                <c:pt idx="116">
                  <c:v>-4</c:v>
                </c:pt>
                <c:pt idx="117">
                  <c:v>-3</c:v>
                </c:pt>
                <c:pt idx="118">
                  <c:v>-2</c:v>
                </c:pt>
                <c:pt idx="119">
                  <c:v>-1</c:v>
                </c:pt>
                <c:pt idx="120">
                  <c:v>0</c:v>
                </c:pt>
                <c:pt idx="121">
                  <c:v>1</c:v>
                </c:pt>
                <c:pt idx="122">
                  <c:v>2</c:v>
                </c:pt>
                <c:pt idx="123">
                  <c:v>3</c:v>
                </c:pt>
                <c:pt idx="124">
                  <c:v>4</c:v>
                </c:pt>
                <c:pt idx="125">
                  <c:v>5</c:v>
                </c:pt>
                <c:pt idx="126">
                  <c:v>6</c:v>
                </c:pt>
                <c:pt idx="127">
                  <c:v>7</c:v>
                </c:pt>
                <c:pt idx="128">
                  <c:v>8</c:v>
                </c:pt>
                <c:pt idx="129">
                  <c:v>9</c:v>
                </c:pt>
                <c:pt idx="130">
                  <c:v>10</c:v>
                </c:pt>
                <c:pt idx="131">
                  <c:v>11</c:v>
                </c:pt>
                <c:pt idx="132">
                  <c:v>12</c:v>
                </c:pt>
                <c:pt idx="133">
                  <c:v>13</c:v>
                </c:pt>
                <c:pt idx="134">
                  <c:v>14</c:v>
                </c:pt>
                <c:pt idx="135">
                  <c:v>15</c:v>
                </c:pt>
                <c:pt idx="136">
                  <c:v>16</c:v>
                </c:pt>
                <c:pt idx="137">
                  <c:v>17</c:v>
                </c:pt>
                <c:pt idx="138">
                  <c:v>18</c:v>
                </c:pt>
                <c:pt idx="139">
                  <c:v>19</c:v>
                </c:pt>
                <c:pt idx="140">
                  <c:v>20</c:v>
                </c:pt>
                <c:pt idx="141">
                  <c:v>21</c:v>
                </c:pt>
                <c:pt idx="142">
                  <c:v>22</c:v>
                </c:pt>
                <c:pt idx="143">
                  <c:v>23</c:v>
                </c:pt>
                <c:pt idx="144">
                  <c:v>24</c:v>
                </c:pt>
                <c:pt idx="145">
                  <c:v>25</c:v>
                </c:pt>
                <c:pt idx="146">
                  <c:v>26</c:v>
                </c:pt>
                <c:pt idx="147">
                  <c:v>27</c:v>
                </c:pt>
                <c:pt idx="148">
                  <c:v>28</c:v>
                </c:pt>
                <c:pt idx="149">
                  <c:v>29</c:v>
                </c:pt>
                <c:pt idx="150">
                  <c:v>30</c:v>
                </c:pt>
                <c:pt idx="151">
                  <c:v>31</c:v>
                </c:pt>
                <c:pt idx="152">
                  <c:v>32</c:v>
                </c:pt>
                <c:pt idx="153">
                  <c:v>33</c:v>
                </c:pt>
                <c:pt idx="154">
                  <c:v>34</c:v>
                </c:pt>
                <c:pt idx="155">
                  <c:v>35</c:v>
                </c:pt>
                <c:pt idx="156">
                  <c:v>36</c:v>
                </c:pt>
                <c:pt idx="157">
                  <c:v>37</c:v>
                </c:pt>
                <c:pt idx="158">
                  <c:v>38</c:v>
                </c:pt>
                <c:pt idx="159">
                  <c:v>39</c:v>
                </c:pt>
                <c:pt idx="160">
                  <c:v>40</c:v>
                </c:pt>
                <c:pt idx="161">
                  <c:v>41</c:v>
                </c:pt>
                <c:pt idx="162">
                  <c:v>42</c:v>
                </c:pt>
                <c:pt idx="163">
                  <c:v>43</c:v>
                </c:pt>
                <c:pt idx="164">
                  <c:v>44</c:v>
                </c:pt>
                <c:pt idx="165">
                  <c:v>45</c:v>
                </c:pt>
                <c:pt idx="166">
                  <c:v>46</c:v>
                </c:pt>
                <c:pt idx="167">
                  <c:v>47</c:v>
                </c:pt>
                <c:pt idx="168">
                  <c:v>48</c:v>
                </c:pt>
                <c:pt idx="169">
                  <c:v>49</c:v>
                </c:pt>
                <c:pt idx="170">
                  <c:v>50</c:v>
                </c:pt>
                <c:pt idx="171">
                  <c:v>51</c:v>
                </c:pt>
                <c:pt idx="172">
                  <c:v>52</c:v>
                </c:pt>
                <c:pt idx="173">
                  <c:v>53</c:v>
                </c:pt>
                <c:pt idx="174">
                  <c:v>54</c:v>
                </c:pt>
                <c:pt idx="175">
                  <c:v>55</c:v>
                </c:pt>
                <c:pt idx="176">
                  <c:v>56</c:v>
                </c:pt>
                <c:pt idx="177">
                  <c:v>57</c:v>
                </c:pt>
                <c:pt idx="178">
                  <c:v>58</c:v>
                </c:pt>
                <c:pt idx="179">
                  <c:v>59</c:v>
                </c:pt>
                <c:pt idx="180">
                  <c:v>60</c:v>
                </c:pt>
                <c:pt idx="181">
                  <c:v>61</c:v>
                </c:pt>
                <c:pt idx="182">
                  <c:v>62</c:v>
                </c:pt>
                <c:pt idx="183">
                  <c:v>63</c:v>
                </c:pt>
                <c:pt idx="184">
                  <c:v>64</c:v>
                </c:pt>
                <c:pt idx="185">
                  <c:v>65</c:v>
                </c:pt>
                <c:pt idx="186">
                  <c:v>66</c:v>
                </c:pt>
                <c:pt idx="187">
                  <c:v>67</c:v>
                </c:pt>
                <c:pt idx="188">
                  <c:v>68</c:v>
                </c:pt>
                <c:pt idx="189">
                  <c:v>69</c:v>
                </c:pt>
                <c:pt idx="190">
                  <c:v>70</c:v>
                </c:pt>
                <c:pt idx="191">
                  <c:v>71</c:v>
                </c:pt>
                <c:pt idx="192">
                  <c:v>72</c:v>
                </c:pt>
                <c:pt idx="193">
                  <c:v>73</c:v>
                </c:pt>
                <c:pt idx="194">
                  <c:v>74</c:v>
                </c:pt>
                <c:pt idx="195">
                  <c:v>75</c:v>
                </c:pt>
                <c:pt idx="196">
                  <c:v>76</c:v>
                </c:pt>
                <c:pt idx="197">
                  <c:v>77</c:v>
                </c:pt>
                <c:pt idx="198">
                  <c:v>78</c:v>
                </c:pt>
                <c:pt idx="199">
                  <c:v>79</c:v>
                </c:pt>
                <c:pt idx="200">
                  <c:v>80</c:v>
                </c:pt>
              </c:numCache>
            </c:numRef>
          </c:xVal>
          <c:yVal>
            <c:numRef>
              <c:f>'Shiftfunktion bestimmen'!$F$222:$F$422</c:f>
              <c:numCache>
                <c:formatCode>General</c:formatCode>
                <c:ptCount val="201"/>
                <c:pt idx="0">
                  <c:v>-11.07133466550976</c:v>
                </c:pt>
                <c:pt idx="1">
                  <c:v>-11.009637729956061</c:v>
                </c:pt>
                <c:pt idx="2">
                  <c:v>-10.949475831514093</c:v>
                </c:pt>
                <c:pt idx="3">
                  <c:v>-10.890333216874883</c:v>
                </c:pt>
                <c:pt idx="4">
                  <c:v>-10.831743176631473</c:v>
                </c:pt>
                <c:pt idx="5">
                  <c:v>-10.773285326861801</c:v>
                </c:pt>
                <c:pt idx="6">
                  <c:v>-10.714582986080002</c:v>
                </c:pt>
                <c:pt idx="7">
                  <c:v>-10.65530064554696</c:v>
                </c:pt>
                <c:pt idx="8">
                  <c:v>-10.595141530951034</c:v>
                </c:pt>
                <c:pt idx="9">
                  <c:v>-10.533845253489226</c:v>
                </c:pt>
                <c:pt idx="10">
                  <c:v>-10.471185548398967</c:v>
                </c:pt>
                <c:pt idx="11">
                  <c:v>-10.406968099010445</c:v>
                </c:pt>
                <c:pt idx="12">
                  <c:v>-10.341028444408947</c:v>
                </c:pt>
                <c:pt idx="13">
                  <c:v>-10.27322996881659</c:v>
                </c:pt>
                <c:pt idx="14">
                  <c:v>-10.203461970822428</c:v>
                </c:pt>
                <c:pt idx="15">
                  <c:v>-10.131637810609607</c:v>
                </c:pt>
                <c:pt idx="16">
                  <c:v>-10.057693133348089</c:v>
                </c:pt>
                <c:pt idx="17">
                  <c:v>-9.9815841669410332</c:v>
                </c:pt>
                <c:pt idx="18">
                  <c:v>-9.9032860923327597</c:v>
                </c:pt>
                <c:pt idx="19">
                  <c:v>-9.8227914846058351</c:v>
                </c:pt>
                <c:pt idx="20">
                  <c:v>-9.7401088231146318</c:v>
                </c:pt>
                <c:pt idx="21">
                  <c:v>-9.6552610689223286</c:v>
                </c:pt>
                <c:pt idx="22">
                  <c:v>-9.5682843078281792</c:v>
                </c:pt>
                <c:pt idx="23">
                  <c:v>-9.4792264572913876</c:v>
                </c:pt>
                <c:pt idx="24">
                  <c:v>-9.3881460355778223</c:v>
                </c:pt>
                <c:pt idx="25">
                  <c:v>-9.2951109914755072</c:v>
                </c:pt>
                <c:pt idx="26">
                  <c:v>-9.200197592944388</c:v>
                </c:pt>
                <c:pt idx="27">
                  <c:v>-9.1034893730857522</c:v>
                </c:pt>
                <c:pt idx="28">
                  <c:v>-9.0050761318363364</c:v>
                </c:pt>
                <c:pt idx="29">
                  <c:v>-8.9050529918118606</c:v>
                </c:pt>
                <c:pt idx="30">
                  <c:v>-8.8035195067444665</c:v>
                </c:pt>
                <c:pt idx="31">
                  <c:v>-8.7005788209782366</c:v>
                </c:pt>
                <c:pt idx="32">
                  <c:v>-8.5963368785067082</c:v>
                </c:pt>
                <c:pt idx="33">
                  <c:v>-8.4909016800559733</c:v>
                </c:pt>
                <c:pt idx="34">
                  <c:v>-8.3843825867367237</c:v>
                </c:pt>
                <c:pt idx="35">
                  <c:v>-8.2768896688082858</c:v>
                </c:pt>
                <c:pt idx="36">
                  <c:v>-8.168533098117404</c:v>
                </c:pt>
                <c:pt idx="37">
                  <c:v>-8.0594225827942587</c:v>
                </c:pt>
                <c:pt idx="38">
                  <c:v>-7.9496668428079067</c:v>
                </c:pt>
                <c:pt idx="39">
                  <c:v>-7.8393731250031005</c:v>
                </c:pt>
                <c:pt idx="40">
                  <c:v>-7.7286467562600407</c:v>
                </c:pt>
                <c:pt idx="41">
                  <c:v>-7.6175907334384991</c:v>
                </c:pt>
                <c:pt idx="42">
                  <c:v>-7.5063053487873059</c:v>
                </c:pt>
                <c:pt idx="43">
                  <c:v>-7.3948878495200221</c:v>
                </c:pt>
                <c:pt idx="44">
                  <c:v>-7.2834321302772693</c:v>
                </c:pt>
                <c:pt idx="45">
                  <c:v>-7.1720284572159461</c:v>
                </c:pt>
                <c:pt idx="46">
                  <c:v>-7.0607632224852539</c:v>
                </c:pt>
                <c:pt idx="47">
                  <c:v>-6.9497187278691772</c:v>
                </c:pt>
                <c:pt idx="48">
                  <c:v>-6.8389729963947747</c:v>
                </c:pt>
                <c:pt idx="49">
                  <c:v>-6.7285996107253858</c:v>
                </c:pt>
                <c:pt idx="50">
                  <c:v>-6.618667577177491</c:v>
                </c:pt>
                <c:pt idx="51">
                  <c:v>-6.5092412142198182</c:v>
                </c:pt>
                <c:pt idx="52">
                  <c:v>-6.4003800643328299</c:v>
                </c:pt>
                <c:pt idx="53">
                  <c:v>-6.2921388281266148</c:v>
                </c:pt>
                <c:pt idx="54">
                  <c:v>-6.1845673196347946</c:v>
                </c:pt>
                <c:pt idx="55">
                  <c:v>-6.0777104417218357</c:v>
                </c:pt>
                <c:pt idx="56">
                  <c:v>-5.9716081805608709</c:v>
                </c:pt>
                <c:pt idx="57">
                  <c:v>-5.8662956181588113</c:v>
                </c:pt>
                <c:pt idx="58">
                  <c:v>-5.7618029619253077</c:v>
                </c:pt>
                <c:pt idx="59">
                  <c:v>-5.6581555903017708</c:v>
                </c:pt>
                <c:pt idx="60">
                  <c:v>-5.5553741134864261</c:v>
                </c:pt>
                <c:pt idx="61">
                  <c:v>-5.4534744483110789</c:v>
                </c:pt>
                <c:pt idx="62">
                  <c:v>-5.3524679063449607</c:v>
                </c:pt>
                <c:pt idx="63">
                  <c:v>-5.252361294320794</c:v>
                </c:pt>
                <c:pt idx="64">
                  <c:v>-5.1531570259978619</c:v>
                </c:pt>
                <c:pt idx="65">
                  <c:v>-5.0548532445966545</c:v>
                </c:pt>
                <c:pt idx="66">
                  <c:v>-4.9574439549593263</c:v>
                </c:pt>
                <c:pt idx="67">
                  <c:v>-4.8609191646099417</c:v>
                </c:pt>
                <c:pt idx="68">
                  <c:v>-4.7652650329081991</c:v>
                </c:pt>
                <c:pt idx="69">
                  <c:v>-4.6704640275100475</c:v>
                </c:pt>
                <c:pt idx="70">
                  <c:v>-4.5764950873682793</c:v>
                </c:pt>
                <c:pt idx="71">
                  <c:v>-4.4833337915259959</c:v>
                </c:pt>
                <c:pt idx="72">
                  <c:v>-4.3909525329754295</c:v>
                </c:pt>
                <c:pt idx="73">
                  <c:v>-4.2993206968744628</c:v>
                </c:pt>
                <c:pt idx="74">
                  <c:v>-4.2084048424327598</c:v>
                </c:pt>
                <c:pt idx="75">
                  <c:v>-4.1181688877992846</c:v>
                </c:pt>
                <c:pt idx="76">
                  <c:v>-4.0285742973025505</c:v>
                </c:pt>
                <c:pt idx="77">
                  <c:v>-3.9395802704148006</c:v>
                </c:pt>
                <c:pt idx="78">
                  <c:v>-3.8511439318309231</c:v>
                </c:pt>
                <c:pt idx="79">
                  <c:v>-3.7632205220727033</c:v>
                </c:pt>
                <c:pt idx="80">
                  <c:v>-3.6757635880486657</c:v>
                </c:pt>
                <c:pt idx="81">
                  <c:v>-3.5887251730195318</c:v>
                </c:pt>
                <c:pt idx="82">
                  <c:v>-3.5020560054389906</c:v>
                </c:pt>
                <c:pt idx="83">
                  <c:v>-3.4157056861592316</c:v>
                </c:pt>
                <c:pt idx="84">
                  <c:v>-3.3296228735103726</c:v>
                </c:pt>
                <c:pt idx="85">
                  <c:v>-3.2437554657826517</c:v>
                </c:pt>
                <c:pt idx="86">
                  <c:v>-3.1580507806599885</c:v>
                </c:pt>
                <c:pt idx="87">
                  <c:v>-3.0724557311731617</c:v>
                </c:pt>
                <c:pt idx="88">
                  <c:v>-2.9869169977606749</c:v>
                </c:pt>
                <c:pt idx="89">
                  <c:v>-2.9013811960449969</c:v>
                </c:pt>
                <c:pt idx="90">
                  <c:v>-2.8157950399516483</c:v>
                </c:pt>
                <c:pt idx="91">
                  <c:v>-2.730105499818285</c:v>
                </c:pt>
                <c:pt idx="92">
                  <c:v>-2.6442599551606643</c:v>
                </c:pt>
                <c:pt idx="93">
                  <c:v>-2.5582063417820908</c:v>
                </c:pt>
                <c:pt idx="94">
                  <c:v>-2.4718932929326378</c:v>
                </c:pt>
                <c:pt idx="95">
                  <c:v>-2.3852702742442013</c:v>
                </c:pt>
                <c:pt idx="96">
                  <c:v>-2.2982877121871037</c:v>
                </c:pt>
                <c:pt idx="97">
                  <c:v>-2.2108971158137214</c:v>
                </c:pt>
                <c:pt idx="98">
                  <c:v>-2.1230511915743149</c:v>
                </c:pt>
                <c:pt idx="99">
                  <c:v>-2.034703951009952</c:v>
                </c:pt>
                <c:pt idx="100">
                  <c:v>-1.9458108111471231</c:v>
                </c:pt>
                <c:pt idx="101">
                  <c:v>-1.8563286874383975</c:v>
                </c:pt>
                <c:pt idx="102">
                  <c:v>-1.7662160791131454</c:v>
                </c:pt>
                <c:pt idx="103">
                  <c:v>-1.6754331468220867</c:v>
                </c:pt>
                <c:pt idx="104">
                  <c:v>-1.5839417824791517</c:v>
                </c:pt>
                <c:pt idx="105">
                  <c:v>-1.4917056712238261</c:v>
                </c:pt>
                <c:pt idx="106">
                  <c:v>-1.3986903454469153</c:v>
                </c:pt>
                <c:pt idx="107">
                  <c:v>-1.3048632308423203</c:v>
                </c:pt>
                <c:pt idx="108">
                  <c:v>-1.2101936844671937</c:v>
                </c:pt>
                <c:pt idx="109">
                  <c:v>-1.114653024812513</c:v>
                </c:pt>
                <c:pt idx="110">
                  <c:v>-1.0182145539058554</c:v>
                </c:pt>
                <c:pt idx="111">
                  <c:v>-0.9208535714878554</c:v>
                </c:pt>
                <c:pt idx="112">
                  <c:v>-0.8225473813235572</c:v>
                </c:pt>
                <c:pt idx="113">
                  <c:v>-0.72327528972958077</c:v>
                </c:pt>
                <c:pt idx="114">
                  <c:v>-0.62301859641773927</c:v>
                </c:pt>
                <c:pt idx="115">
                  <c:v>-0.52176057777546114</c:v>
                </c:pt>
                <c:pt idx="116">
                  <c:v>-0.41948646272309359</c:v>
                </c:pt>
                <c:pt idx="117">
                  <c:v>-0.31618340130786632</c:v>
                </c:pt>
                <c:pt idx="118">
                  <c:v>-0.21184042621402438</c:v>
                </c:pt>
                <c:pt idx="119">
                  <c:v>-0.10644840738834903</c:v>
                </c:pt>
                <c:pt idx="120">
                  <c:v>0</c:v>
                </c:pt>
                <c:pt idx="121">
                  <c:v>0.10751041402666521</c:v>
                </c:pt>
                <c:pt idx="122">
                  <c:v>0.21608679064792874</c:v>
                </c:pt>
                <c:pt idx="123">
                  <c:v>0.32573149422712061</c:v>
                </c:pt>
                <c:pt idx="124">
                  <c:v>0.43644537365379682</c:v>
                </c:pt>
                <c:pt idx="125">
                  <c:v>0.54822784373816968</c:v>
                </c:pt>
                <c:pt idx="126">
                  <c:v>0.66107697154355671</c:v>
                </c:pt>
                <c:pt idx="127">
                  <c:v>0.77498956729989776</c:v>
                </c:pt>
                <c:pt idx="128">
                  <c:v>0.88996127952167459</c:v>
                </c:pt>
                <c:pt idx="129">
                  <c:v>1.0059866939338484</c:v>
                </c:pt>
                <c:pt idx="130">
                  <c:v>1.123059435789719</c:v>
                </c:pt>
                <c:pt idx="131">
                  <c:v>1.2411722751448875</c:v>
                </c:pt>
                <c:pt idx="132">
                  <c:v>1.3603172346317931</c:v>
                </c:pt>
                <c:pt idx="133">
                  <c:v>1.4804856992595739</c:v>
                </c:pt>
                <c:pt idx="134">
                  <c:v>1.6016685277442892</c:v>
                </c:pt>
                <c:pt idx="135">
                  <c:v>1.7238561648548221</c:v>
                </c:pt>
                <c:pt idx="136">
                  <c:v>1.8470387542400648</c:v>
                </c:pt>
                <c:pt idx="137">
                  <c:v>1.9712062511832762</c:v>
                </c:pt>
                <c:pt idx="138">
                  <c:v>2.0963485347097732</c:v>
                </c:pt>
                <c:pt idx="139">
                  <c:v>2.2224555184544288</c:v>
                </c:pt>
                <c:pt idx="140">
                  <c:v>2.3495172596756917</c:v>
                </c:pt>
                <c:pt idx="141">
                  <c:v>2.4775240657831628</c:v>
                </c:pt>
                <c:pt idx="142">
                  <c:v>2.6064665977260368</c:v>
                </c:pt>
                <c:pt idx="143">
                  <c:v>2.7363359695699838</c:v>
                </c:pt>
                <c:pt idx="144">
                  <c:v>2.8671238435703583</c:v>
                </c:pt>
                <c:pt idx="145">
                  <c:v>2.9988225200298824</c:v>
                </c:pt>
                <c:pt idx="146">
                  <c:v>3.1314250212092478</c:v>
                </c:pt>
                <c:pt idx="147">
                  <c:v>3.2649251685393557</c:v>
                </c:pt>
                <c:pt idx="148">
                  <c:v>3.3993176523642097</c:v>
                </c:pt>
                <c:pt idx="149">
                  <c:v>3.5345980934237455</c:v>
                </c:pt>
                <c:pt idx="150">
                  <c:v>3.6707630952661749</c:v>
                </c:pt>
                <c:pt idx="151">
                  <c:v>3.8078102867597012</c:v>
                </c:pt>
                <c:pt idx="152">
                  <c:v>3.9457383538537556</c:v>
                </c:pt>
                <c:pt idx="153">
                  <c:v>4.0845470597201663</c:v>
                </c:pt>
                <c:pt idx="154">
                  <c:v>4.2242372523849809</c:v>
                </c:pt>
                <c:pt idx="155">
                  <c:v>4.3648108589419401</c:v>
                </c:pt>
                <c:pt idx="156">
                  <c:v>4.5062708654188546</c:v>
                </c:pt>
                <c:pt idx="157">
                  <c:v>4.6486212813484808</c:v>
                </c:pt>
                <c:pt idx="158">
                  <c:v>4.791867088075711</c:v>
                </c:pt>
                <c:pt idx="159">
                  <c:v>4.9360141698132241</c:v>
                </c:pt>
                <c:pt idx="160">
                  <c:v>5.0810692264379913</c:v>
                </c:pt>
                <c:pt idx="161">
                  <c:v>5.2270396670013604</c:v>
                </c:pt>
                <c:pt idx="162">
                  <c:v>5.3739334829056515</c:v>
                </c:pt>
                <c:pt idx="163">
                  <c:v>5.5217590996805859</c:v>
                </c:pt>
                <c:pt idx="164">
                  <c:v>5.6705252062730453</c:v>
                </c:pt>
                <c:pt idx="165">
                  <c:v>5.820240560744014</c:v>
                </c:pt>
                <c:pt idx="166">
                  <c:v>5.9709137712468108</c:v>
                </c:pt>
                <c:pt idx="167">
                  <c:v>6.1225530511410193</c:v>
                </c:pt>
                <c:pt idx="168">
                  <c:v>6.2751659470767853</c:v>
                </c:pt>
                <c:pt idx="169">
                  <c:v>6.428759038864448</c:v>
                </c:pt>
                <c:pt idx="170">
                  <c:v>6.5833376099247616</c:v>
                </c:pt>
                <c:pt idx="171">
                  <c:v>6.7389052870952257</c:v>
                </c:pt>
                <c:pt idx="172">
                  <c:v>6.8954636485483674</c:v>
                </c:pt>
                <c:pt idx="173">
                  <c:v>7.053011798558031</c:v>
                </c:pt>
                <c:pt idx="174">
                  <c:v>7.2115459078301063</c:v>
                </c:pt>
                <c:pt idx="175">
                  <c:v>7.3710587180943277</c:v>
                </c:pt>
                <c:pt idx="176">
                  <c:v>7.5315390096341126</c:v>
                </c:pt>
                <c:pt idx="177">
                  <c:v>7.6929710304116696</c:v>
                </c:pt>
                <c:pt idx="178">
                  <c:v>7.8553338854258934</c:v>
                </c:pt>
                <c:pt idx="179">
                  <c:v>8.0186008849208328</c:v>
                </c:pt>
                <c:pt idx="180">
                  <c:v>8.1827388500428704</c:v>
                </c:pt>
                <c:pt idx="181">
                  <c:v>8.3477073745249015</c:v>
                </c:pt>
                <c:pt idx="182">
                  <c:v>8.5134580409562535</c:v>
                </c:pt>
                <c:pt idx="183">
                  <c:v>8.6799335901771837</c:v>
                </c:pt>
                <c:pt idx="184">
                  <c:v>8.8470670423172919</c:v>
                </c:pt>
                <c:pt idx="185">
                  <c:v>9.0147807679772463</c:v>
                </c:pt>
                <c:pt idx="186">
                  <c:v>9.1829855080336689</c:v>
                </c:pt>
                <c:pt idx="187">
                  <c:v>9.3515793405272518</c:v>
                </c:pt>
                <c:pt idx="188">
                  <c:v>9.5204465930744036</c:v>
                </c:pt>
                <c:pt idx="189">
                  <c:v>9.6894566992231574</c:v>
                </c:pt>
                <c:pt idx="190">
                  <c:v>9.8584629971541808</c:v>
                </c:pt>
                <c:pt idx="191">
                  <c:v>10.027301469108124</c:v>
                </c:pt>
                <c:pt idx="192">
                  <c:v>10.195789419900812</c:v>
                </c:pt>
                <c:pt idx="193">
                  <c:v>10.363724092868026</c:v>
                </c:pt>
                <c:pt idx="194">
                  <c:v>10.53088122156195</c:v>
                </c:pt>
                <c:pt idx="195">
                  <c:v>10.697013515501622</c:v>
                </c:pt>
                <c:pt idx="196">
                  <c:v>10.861849078259992</c:v>
                </c:pt>
                <c:pt idx="197">
                  <c:v>11.025089756150544</c:v>
                </c:pt>
                <c:pt idx="198">
                  <c:v>11.186409415756607</c:v>
                </c:pt>
                <c:pt idx="199">
                  <c:v>11.345452148526908</c:v>
                </c:pt>
                <c:pt idx="200">
                  <c:v>11.50183040064103</c:v>
                </c:pt>
              </c:numCache>
            </c:numRef>
          </c:yVal>
          <c:smooth val="1"/>
        </c:ser>
        <c:dLbls>
          <c:showLegendKey val="0"/>
          <c:showVal val="0"/>
          <c:showCatName val="0"/>
          <c:showSerName val="0"/>
          <c:showPercent val="0"/>
          <c:showBubbleSize val="0"/>
        </c:dLbls>
        <c:axId val="452597704"/>
        <c:axId val="452592216"/>
      </c:scatterChart>
      <c:valAx>
        <c:axId val="452597704"/>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592216"/>
        <c:crossesAt val="-1000"/>
        <c:crossBetween val="midCat"/>
      </c:valAx>
      <c:valAx>
        <c:axId val="4525922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597704"/>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11" t="s">
        <v>107</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151</v>
      </c>
    </row>
    <row r="22" spans="1:2" s="11" customFormat="1" x14ac:dyDescent="0.25">
      <c r="A22" s="61" t="s">
        <v>157</v>
      </c>
      <c r="B22" s="99">
        <f>CTE!N8-0.5</f>
        <v>161</v>
      </c>
    </row>
    <row r="23" spans="1:2" s="11" customFormat="1" x14ac:dyDescent="0.25">
      <c r="A23" s="61" t="s">
        <v>158</v>
      </c>
      <c r="B23" s="99">
        <f>CTE!N9</f>
        <v>180.5</v>
      </c>
    </row>
    <row r="24" spans="1:2" s="11" customFormat="1" x14ac:dyDescent="0.25"/>
    <row r="25" spans="1:2" s="11" customFormat="1" x14ac:dyDescent="0.25">
      <c r="A25" s="61" t="s">
        <v>147</v>
      </c>
      <c r="B25" s="53">
        <f>CTE!O5</f>
        <v>1.9178677428571428E-5</v>
      </c>
    </row>
    <row r="26" spans="1:2" s="11" customFormat="1" x14ac:dyDescent="0.25">
      <c r="A26" s="61" t="s">
        <v>148</v>
      </c>
      <c r="B26" s="53">
        <f>CTE!O6</f>
        <v>2.1154238571428571E-5</v>
      </c>
    </row>
    <row r="27" spans="1:2" s="11" customFormat="1" x14ac:dyDescent="0.25">
      <c r="A27" s="61" t="s">
        <v>149</v>
      </c>
      <c r="B27" s="53">
        <f>CTE!O8</f>
        <v>5.9200051428571433E-5</v>
      </c>
    </row>
    <row r="28" spans="1:2" s="11" customFormat="1" x14ac:dyDescent="0.25">
      <c r="A28" s="61" t="s">
        <v>150</v>
      </c>
      <c r="B28" s="53">
        <f>CTE!O9</f>
        <v>5.9157857142857142E-5</v>
      </c>
    </row>
    <row r="29" spans="1:2" s="11" customFormat="1" x14ac:dyDescent="0.25">
      <c r="A29" s="61"/>
    </row>
    <row r="30" spans="1:2" s="11" customFormat="1" x14ac:dyDescent="0.25">
      <c r="A30" s="61" t="s">
        <v>151</v>
      </c>
      <c r="B30" s="52">
        <f>CTE!P5</f>
        <v>1.9777143684210526E-5</v>
      </c>
    </row>
    <row r="31" spans="1:2" s="11" customFormat="1" x14ac:dyDescent="0.25">
      <c r="A31" s="61" t="s">
        <v>152</v>
      </c>
      <c r="B31" s="52">
        <f>CTE!P6</f>
        <v>2.1845439578947371E-5</v>
      </c>
    </row>
    <row r="32" spans="1:2" s="11" customFormat="1" x14ac:dyDescent="0.25">
      <c r="A32" s="61" t="s">
        <v>153</v>
      </c>
      <c r="B32" s="52">
        <f>CTE!P8</f>
        <v>6.052054E-5</v>
      </c>
    </row>
    <row r="33" spans="1:2" s="11" customFormat="1" x14ac:dyDescent="0.25">
      <c r="A33" s="61" t="s">
        <v>154</v>
      </c>
      <c r="B33" s="52">
        <f>CTE!P9</f>
        <v>6.0679988421052626E-5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353.15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0.10697861512627423</v>
      </c>
      <c r="D59" s="55">
        <v>1</v>
      </c>
    </row>
    <row r="60" spans="1:4" s="11" customFormat="1" x14ac:dyDescent="0.25">
      <c r="A60" s="54">
        <v>2</v>
      </c>
      <c r="B60" s="56">
        <f>'Shiftfunktion bestimmen'!N2</f>
        <v>5.310726068744378E-4</v>
      </c>
      <c r="D60" s="55">
        <v>2</v>
      </c>
    </row>
    <row r="61" spans="1:4" s="11" customFormat="1" x14ac:dyDescent="0.25">
      <c r="A61" s="54">
        <v>3</v>
      </c>
      <c r="B61" s="56">
        <f>'Shiftfunktion bestimmen'!N3</f>
        <v>7.9501731416279246E-7</v>
      </c>
      <c r="D61" s="55">
        <v>3</v>
      </c>
    </row>
    <row r="62" spans="1:4" s="11" customFormat="1" x14ac:dyDescent="0.25">
      <c r="A62" s="54">
        <v>4</v>
      </c>
      <c r="B62" s="56">
        <f>'Shiftfunktion bestimmen'!N4</f>
        <v>-6.9295904053095754E-8</v>
      </c>
      <c r="D62" s="55">
        <v>4</v>
      </c>
    </row>
    <row r="63" spans="1:4" s="11" customFormat="1" x14ac:dyDescent="0.25">
      <c r="A63" s="54">
        <v>5</v>
      </c>
      <c r="B63" s="56">
        <f>'Shiftfunktion bestimmen'!N5</f>
        <v>5.6397586461418594E-10</v>
      </c>
      <c r="D63" s="55">
        <v>5</v>
      </c>
    </row>
    <row r="64" spans="1:4" s="11" customFormat="1" x14ac:dyDescent="0.25">
      <c r="A64" s="54">
        <v>6</v>
      </c>
      <c r="B64" s="56">
        <f>'Shiftfunktion bestimmen'!N6</f>
        <v>8.188194592910787E-12</v>
      </c>
      <c r="D64" s="55">
        <v>6</v>
      </c>
    </row>
    <row r="65" spans="1:5" s="11" customFormat="1" x14ac:dyDescent="0.25">
      <c r="A65" s="54">
        <v>7</v>
      </c>
      <c r="B65" s="56">
        <f>'Shiftfunktion bestimmen'!N7</f>
        <v>-5.7131557925725807E-14</v>
      </c>
      <c r="D65" s="55">
        <v>7</v>
      </c>
    </row>
    <row r="66" spans="1:5" x14ac:dyDescent="0.25">
      <c r="A66" s="54">
        <v>8</v>
      </c>
      <c r="B66" s="56">
        <f>'Shiftfunktion bestimmen'!N8</f>
        <v>-4.8899573991007246E-16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9.7490694711522885E-2</v>
      </c>
      <c r="D74" s="51">
        <v>1</v>
      </c>
      <c r="E74" s="56">
        <f>'Mastercurve bestimmen'!A18</f>
        <v>1.0000000000000001E-20</v>
      </c>
    </row>
    <row r="75" spans="1:5" x14ac:dyDescent="0.25">
      <c r="A75" s="50">
        <f>A74+1</f>
        <v>2</v>
      </c>
      <c r="B75" s="56">
        <f>'Mastercurve bestimmen'!C19</f>
        <v>4.8505406706093171E-2</v>
      </c>
      <c r="D75" s="51">
        <v>2</v>
      </c>
      <c r="E75" s="56">
        <f>'Mastercurve bestimmen'!A19</f>
        <v>3.9038946506297401E-14</v>
      </c>
    </row>
    <row r="76" spans="1:5" x14ac:dyDescent="0.25">
      <c r="A76" s="50">
        <f t="shared" ref="A76:A104" si="0">A75+1</f>
        <v>3</v>
      </c>
      <c r="B76" s="56">
        <f>'Mastercurve bestimmen'!C20</f>
        <v>1.8704296990626069E-2</v>
      </c>
      <c r="D76" s="51">
        <v>3</v>
      </c>
      <c r="E76" s="56">
        <f>'Mastercurve bestimmen'!A20</f>
        <v>4.3276437088188502E-13</v>
      </c>
    </row>
    <row r="77" spans="1:5" x14ac:dyDescent="0.25">
      <c r="A77" s="50">
        <f t="shared" si="0"/>
        <v>4</v>
      </c>
      <c r="B77" s="56">
        <f>'Mastercurve bestimmen'!C21</f>
        <v>3.356713742657344E-2</v>
      </c>
      <c r="D77" s="51">
        <v>4</v>
      </c>
      <c r="E77" s="56">
        <f>'Mastercurve bestimmen'!A21</f>
        <v>4.7973886968128502E-12</v>
      </c>
    </row>
    <row r="78" spans="1:5" x14ac:dyDescent="0.25">
      <c r="A78" s="50">
        <f t="shared" si="0"/>
        <v>5</v>
      </c>
      <c r="B78" s="56">
        <f>'Mastercurve bestimmen'!C22</f>
        <v>2.744387375669366E-2</v>
      </c>
      <c r="D78" s="51">
        <v>5</v>
      </c>
      <c r="E78" s="56">
        <f>'Mastercurve bestimmen'!A22</f>
        <v>5.31812225239524E-11</v>
      </c>
    </row>
    <row r="79" spans="1:5" x14ac:dyDescent="0.25">
      <c r="A79" s="50">
        <f t="shared" si="0"/>
        <v>6</v>
      </c>
      <c r="B79" s="56">
        <f>'Mastercurve bestimmen'!C23</f>
        <v>2.7096252710296413E-2</v>
      </c>
      <c r="D79" s="51">
        <v>6</v>
      </c>
      <c r="E79" s="56">
        <f>'Mastercurve bestimmen'!A23</f>
        <v>5.8953789402578301E-10</v>
      </c>
    </row>
    <row r="80" spans="1:5" x14ac:dyDescent="0.25">
      <c r="A80" s="50">
        <f t="shared" si="0"/>
        <v>7</v>
      </c>
      <c r="B80" s="56">
        <f>'Mastercurve bestimmen'!C24</f>
        <v>3.4309182593985812E-2</v>
      </c>
      <c r="D80" s="51">
        <v>7</v>
      </c>
      <c r="E80" s="56">
        <f>'Mastercurve bestimmen'!A24</f>
        <v>6.5352940755699598E-9</v>
      </c>
    </row>
    <row r="81" spans="1:5" x14ac:dyDescent="0.25">
      <c r="A81" s="50">
        <f t="shared" si="0"/>
        <v>8</v>
      </c>
      <c r="B81" s="56">
        <f>'Mastercurve bestimmen'!C25</f>
        <v>4.0815760599025495E-2</v>
      </c>
      <c r="D81" s="51">
        <v>8</v>
      </c>
      <c r="E81" s="56">
        <f>'Mastercurve bestimmen'!A25</f>
        <v>7.2446689325643296E-8</v>
      </c>
    </row>
    <row r="82" spans="1:5" x14ac:dyDescent="0.25">
      <c r="A82" s="50">
        <f t="shared" si="0"/>
        <v>9</v>
      </c>
      <c r="B82" s="56">
        <f>'Mastercurve bestimmen'!C26</f>
        <v>3.8220700834171027E-2</v>
      </c>
      <c r="D82" s="51">
        <f>A82</f>
        <v>9</v>
      </c>
      <c r="E82" s="56">
        <f>'Mastercurve bestimmen'!A26</f>
        <v>8.03104303120212E-7</v>
      </c>
    </row>
    <row r="83" spans="1:5" x14ac:dyDescent="0.25">
      <c r="A83" s="50">
        <f t="shared" si="0"/>
        <v>10</v>
      </c>
      <c r="B83" s="56">
        <f>'Mastercurve bestimmen'!C27</f>
        <v>2.8050318372560411E-2</v>
      </c>
      <c r="C83" s="11"/>
      <c r="D83" s="51">
        <f t="shared" ref="D83:D104" si="1">A83</f>
        <v>10</v>
      </c>
      <c r="E83" s="56">
        <f>'Mastercurve bestimmen'!A27</f>
        <v>8.9027742702096099E-6</v>
      </c>
    </row>
    <row r="84" spans="1:5" x14ac:dyDescent="0.25">
      <c r="A84" s="50">
        <f t="shared" si="0"/>
        <v>11</v>
      </c>
      <c r="B84" s="56">
        <f>'Mastercurve bestimmen'!C28</f>
        <v>2.8871537480058749E-2</v>
      </c>
      <c r="C84" s="11"/>
      <c r="D84" s="51">
        <f t="shared" si="1"/>
        <v>11</v>
      </c>
      <c r="E84" s="56">
        <f>'Mastercurve bestimmen'!A28</f>
        <v>9.86912775817142E-5</v>
      </c>
    </row>
    <row r="85" spans="1:5" x14ac:dyDescent="0.25">
      <c r="A85" s="50">
        <f t="shared" si="0"/>
        <v>12</v>
      </c>
      <c r="B85" s="56">
        <f>'Mastercurve bestimmen'!C29</f>
        <v>3.0036426105565315E-2</v>
      </c>
      <c r="C85" s="11"/>
      <c r="D85" s="51">
        <f t="shared" si="1"/>
        <v>12</v>
      </c>
      <c r="E85" s="56">
        <f>'Mastercurve bestimmen'!A29</f>
        <v>1.0940374286813801E-3</v>
      </c>
    </row>
    <row r="86" spans="1:5" x14ac:dyDescent="0.25">
      <c r="A86" s="50">
        <f t="shared" si="0"/>
        <v>13</v>
      </c>
      <c r="B86" s="56">
        <f>'Mastercurve bestimmen'!C30</f>
        <v>2.6672376514959441E-2</v>
      </c>
      <c r="C86" s="11"/>
      <c r="D86" s="51">
        <f t="shared" si="1"/>
        <v>13</v>
      </c>
      <c r="E86" s="56">
        <f>'Mastercurve bestimmen'!A30</f>
        <v>1.2127899493091E-2</v>
      </c>
    </row>
    <row r="87" spans="1:5" x14ac:dyDescent="0.25">
      <c r="A87" s="50">
        <f t="shared" si="0"/>
        <v>14</v>
      </c>
      <c r="B87" s="56">
        <f>'Mastercurve bestimmen'!C31</f>
        <v>2.9125900591015351E-2</v>
      </c>
      <c r="C87" s="11"/>
      <c r="D87" s="51">
        <f t="shared" si="1"/>
        <v>14</v>
      </c>
      <c r="E87" s="56">
        <f>'Mastercurve bestimmen'!A31</f>
        <v>0.13444324870292301</v>
      </c>
    </row>
    <row r="88" spans="1:5" x14ac:dyDescent="0.25">
      <c r="A88" s="50">
        <f t="shared" si="0"/>
        <v>15</v>
      </c>
      <c r="B88" s="56">
        <f>'Mastercurve bestimmen'!C32</f>
        <v>3.443427503760723E-2</v>
      </c>
      <c r="C88" s="11"/>
      <c r="D88" s="51">
        <f t="shared" si="1"/>
        <v>15</v>
      </c>
      <c r="E88" s="56">
        <f>'Mastercurve bestimmen'!A32</f>
        <v>1.49036419143257</v>
      </c>
    </row>
    <row r="89" spans="1:5" x14ac:dyDescent="0.25">
      <c r="A89" s="50">
        <f t="shared" si="0"/>
        <v>16</v>
      </c>
      <c r="B89" s="56">
        <f>'Mastercurve bestimmen'!C33</f>
        <v>4.2428216345217838E-2</v>
      </c>
      <c r="C89" s="11"/>
      <c r="D89" s="51">
        <f t="shared" si="1"/>
        <v>16</v>
      </c>
      <c r="E89" s="56">
        <f>'Mastercurve bestimmen'!A33</f>
        <v>16.521360830937301</v>
      </c>
    </row>
    <row r="90" spans="1:5" x14ac:dyDescent="0.25">
      <c r="A90" s="50">
        <f t="shared" si="0"/>
        <v>17</v>
      </c>
      <c r="B90" s="56">
        <f>'Mastercurve bestimmen'!C34</f>
        <v>4.683073576792781E-2</v>
      </c>
      <c r="C90" s="11"/>
      <c r="D90" s="51">
        <f t="shared" si="1"/>
        <v>17</v>
      </c>
      <c r="E90" s="56">
        <f>'Mastercurve bestimmen'!A34</f>
        <v>183.146753843879</v>
      </c>
    </row>
    <row r="91" spans="1:5" x14ac:dyDescent="0.25">
      <c r="A91" s="50">
        <f t="shared" si="0"/>
        <v>18</v>
      </c>
      <c r="B91" s="56">
        <f>'Mastercurve bestimmen'!C35</f>
        <v>5.2334789148442605E-2</v>
      </c>
      <c r="C91" s="11"/>
      <c r="D91" s="51">
        <f t="shared" si="1"/>
        <v>18</v>
      </c>
      <c r="E91" s="56">
        <f>'Mastercurve bestimmen'!A35</f>
        <v>2030.26456396616</v>
      </c>
    </row>
    <row r="92" spans="1:5" x14ac:dyDescent="0.25">
      <c r="A92" s="50">
        <f t="shared" si="0"/>
        <v>19</v>
      </c>
      <c r="B92" s="56">
        <f>'Mastercurve bestimmen'!C36</f>
        <v>5.1279668394799138E-2</v>
      </c>
      <c r="C92" s="11"/>
      <c r="D92" s="51">
        <f t="shared" si="1"/>
        <v>19</v>
      </c>
      <c r="E92" s="56">
        <f>'Mastercurve bestimmen'!A36</f>
        <v>22506.400540467101</v>
      </c>
    </row>
    <row r="93" spans="1:5" x14ac:dyDescent="0.25">
      <c r="A93" s="50">
        <f t="shared" si="0"/>
        <v>20</v>
      </c>
      <c r="B93" s="56">
        <f>'Mastercurve bestimmen'!C37</f>
        <v>6.7593769214043364E-2</v>
      </c>
      <c r="C93" s="11"/>
      <c r="D93" s="51">
        <f t="shared" si="1"/>
        <v>20</v>
      </c>
      <c r="E93" s="56">
        <f>'Mastercurve bestimmen'!A37</f>
        <v>249493.62476110301</v>
      </c>
    </row>
    <row r="94" spans="1:5" x14ac:dyDescent="0.25">
      <c r="A94" s="50">
        <f t="shared" si="0"/>
        <v>21</v>
      </c>
      <c r="B94" s="56">
        <f>'Mastercurve bestimmen'!C38</f>
        <v>2.8423077323280126E-2</v>
      </c>
      <c r="C94" s="11"/>
      <c r="D94" s="51">
        <f t="shared" si="1"/>
        <v>21</v>
      </c>
      <c r="E94" s="56">
        <f>'Mastercurve bestimmen'!A38</f>
        <v>2765749.6224023802</v>
      </c>
    </row>
    <row r="95" spans="1:5" x14ac:dyDescent="0.25">
      <c r="A95" s="50">
        <f t="shared" si="0"/>
        <v>22</v>
      </c>
      <c r="B95" s="56">
        <f>'Mastercurve bestimmen'!C39</f>
        <v>4.9146519309700876E-2</v>
      </c>
      <c r="C95" s="11"/>
      <c r="D95" s="51">
        <f t="shared" si="1"/>
        <v>22</v>
      </c>
      <c r="E95" s="56">
        <f>'Mastercurve bestimmen'!A39</f>
        <v>10000000</v>
      </c>
    </row>
    <row r="96" spans="1:5" x14ac:dyDescent="0.25">
      <c r="A96" s="50">
        <f t="shared" si="0"/>
        <v>23</v>
      </c>
      <c r="B96" s="56">
        <f>'Mastercurve bestimmen'!C40</f>
        <v>3.1963681817399746E-2</v>
      </c>
      <c r="C96" s="11"/>
      <c r="D96" s="51">
        <f t="shared" si="1"/>
        <v>23</v>
      </c>
      <c r="E96" s="56">
        <f>'Mastercurve bestimmen'!A40</f>
        <v>100000000</v>
      </c>
    </row>
    <row r="97" spans="1:5" x14ac:dyDescent="0.25">
      <c r="A97" s="50">
        <f t="shared" si="0"/>
        <v>24</v>
      </c>
      <c r="B97" s="56">
        <f>'Mastercurve bestimmen'!C41</f>
        <v>1.8386856006952675E-2</v>
      </c>
      <c r="C97" s="11"/>
      <c r="D97" s="51">
        <f t="shared" si="1"/>
        <v>24</v>
      </c>
      <c r="E97" s="56">
        <f>'Mastercurve bestimmen'!A41</f>
        <v>1000000000</v>
      </c>
    </row>
    <row r="98" spans="1:5" x14ac:dyDescent="0.25">
      <c r="A98" s="50">
        <f t="shared" si="0"/>
        <v>25</v>
      </c>
      <c r="B98" s="56">
        <f>'Mastercurve bestimmen'!C42</f>
        <v>9.0608848838832357E-3</v>
      </c>
      <c r="C98" s="11"/>
      <c r="D98" s="51">
        <f t="shared" si="1"/>
        <v>25</v>
      </c>
      <c r="E98" s="56">
        <f>'Mastercurve bestimmen'!A42</f>
        <v>10000000000</v>
      </c>
    </row>
    <row r="99" spans="1:5" x14ac:dyDescent="0.25">
      <c r="A99" s="50">
        <f t="shared" si="0"/>
        <v>26</v>
      </c>
      <c r="B99" s="56">
        <f>'Mastercurve bestimmen'!C43</f>
        <v>3.4752911115110466E-3</v>
      </c>
      <c r="C99" s="11"/>
      <c r="D99" s="51">
        <f t="shared" si="1"/>
        <v>26</v>
      </c>
      <c r="E99" s="56">
        <f>'Mastercurve bestimmen'!A43</f>
        <v>100000000000</v>
      </c>
    </row>
    <row r="100" spans="1:5" x14ac:dyDescent="0.25">
      <c r="A100" s="50">
        <f t="shared" si="0"/>
        <v>27</v>
      </c>
      <c r="B100" s="56">
        <f>'Mastercurve bestimmen'!C44</f>
        <v>3.7189183043806369E-3</v>
      </c>
      <c r="C100" s="11"/>
      <c r="D100" s="51">
        <f t="shared" si="1"/>
        <v>27</v>
      </c>
      <c r="E100" s="56">
        <f>'Mastercurve bestimmen'!A44</f>
        <v>1000000000000</v>
      </c>
    </row>
    <row r="101" spans="1:5" x14ac:dyDescent="0.25">
      <c r="A101" s="50">
        <f t="shared" si="0"/>
        <v>28</v>
      </c>
      <c r="B101" s="56">
        <f>'Mastercurve bestimmen'!C45</f>
        <v>9.6569507815885117E-4</v>
      </c>
      <c r="C101" s="11"/>
      <c r="D101" s="51">
        <f t="shared" si="1"/>
        <v>28</v>
      </c>
      <c r="E101" s="56">
        <f>'Mastercurve bestimmen'!A45</f>
        <v>10000000000000</v>
      </c>
    </row>
    <row r="102" spans="1:5" x14ac:dyDescent="0.25">
      <c r="A102" s="50">
        <f t="shared" si="0"/>
        <v>29</v>
      </c>
      <c r="B102" s="56">
        <f>'Mastercurve bestimmen'!C46</f>
        <v>6.3325792141422034E-4</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2.585470347840544E-2</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27691.328000000001</v>
      </c>
    </row>
    <row r="108" spans="1:5" s="11" customFormat="1" x14ac:dyDescent="0.25">
      <c r="A108" s="61" t="str">
        <f>STUTT!B3</f>
        <v>mp,PRXY,MatID,</v>
      </c>
      <c r="B108" s="52">
        <f>STUTT!C3</f>
        <v>0.35195679000000002</v>
      </c>
    </row>
    <row r="109" spans="1:5" s="11" customFormat="1" x14ac:dyDescent="0.25">
      <c r="A109" s="61" t="str">
        <f>STUTT!B4</f>
        <v>mp,ey,MatID,</v>
      </c>
      <c r="B109" s="52">
        <f>STUTT!C4</f>
        <v>27960.883999999998</v>
      </c>
    </row>
    <row r="110" spans="1:5" s="11" customFormat="1" x14ac:dyDescent="0.25">
      <c r="A110" s="61" t="str">
        <f>STUTT!B5</f>
        <v>mp,PRYZ,MatID,</v>
      </c>
      <c r="B110" s="52">
        <f>STUTT!C5</f>
        <v>0.35541003999999998</v>
      </c>
    </row>
    <row r="111" spans="1:5" s="11" customFormat="1" x14ac:dyDescent="0.25">
      <c r="A111" s="61" t="str">
        <f>STUTT!B6</f>
        <v>mp,ez,MatID,</v>
      </c>
      <c r="B111" s="52">
        <f>STUTT!C6</f>
        <v>27691.328000000001</v>
      </c>
    </row>
    <row r="112" spans="1:5" s="11" customFormat="1" x14ac:dyDescent="0.25">
      <c r="A112" s="61" t="str">
        <f>STUTT!B7</f>
        <v>mp,PRXZ,MatID,</v>
      </c>
      <c r="B112" s="52">
        <f>STUTT!C7</f>
        <v>0.35911014000000002</v>
      </c>
    </row>
    <row r="113" spans="1:4" s="11" customFormat="1" x14ac:dyDescent="0.25">
      <c r="A113" s="61" t="str">
        <f>STUTT!B8</f>
        <v>MP,GXZ,</v>
      </c>
      <c r="B113" s="52" t="str">
        <f>STUTT!C8</f>
        <v>MatID,</v>
      </c>
      <c r="C113" s="112">
        <f>STUTT!D8</f>
        <v>10187.300999999999</v>
      </c>
      <c r="D113" s="112"/>
    </row>
    <row r="114" spans="1:4" s="11" customFormat="1" x14ac:dyDescent="0.25">
      <c r="A114" s="61" t="str">
        <f>STUTT!B9</f>
        <v>MP,GXY,</v>
      </c>
      <c r="B114" s="52" t="str">
        <f>STUTT!C9</f>
        <v>MatID,</v>
      </c>
      <c r="C114" s="112">
        <f>STUTT!D9</f>
        <v>10360.254000000001</v>
      </c>
      <c r="D114" s="112"/>
    </row>
    <row r="115" spans="1:4" x14ac:dyDescent="0.25">
      <c r="A115" s="61" t="str">
        <f>STUTT!B10</f>
        <v>MP,GYZ,</v>
      </c>
      <c r="B115" s="52" t="str">
        <f>STUTT!C10</f>
        <v>MatID,</v>
      </c>
      <c r="C115" s="112">
        <f>STUTT!D10</f>
        <v>10360.254000000001</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1.0879999999999999E-7</v>
      </c>
      <c r="C3" s="3">
        <v>3.8299999999999999E-8</v>
      </c>
      <c r="D3" s="3">
        <v>1.0879999999999999E-7</v>
      </c>
      <c r="E3" s="3">
        <v>-1.0000000000000001E-5</v>
      </c>
      <c r="F3" s="3">
        <v>-1.0000000000000001E-5</v>
      </c>
      <c r="G3" s="3">
        <v>-1.0000000000000001E-5</v>
      </c>
      <c r="H3" s="3">
        <v>-3.3571118E-6</v>
      </c>
      <c r="I3" s="3">
        <v>-9.3909650000000005E-7</v>
      </c>
      <c r="J3" s="3">
        <v>-3.3571118E-6</v>
      </c>
      <c r="L3" s="48">
        <f>ABS(H3/(-0.5)/$L$1)</f>
        <v>1.9183496000000003E-5</v>
      </c>
      <c r="R3">
        <f>ABS(I3/(-0.5)/$R$1)</f>
        <v>1.9770452631578948E-5</v>
      </c>
    </row>
    <row r="4" spans="1:18" x14ac:dyDescent="0.25">
      <c r="A4">
        <v>-39</v>
      </c>
      <c r="B4" s="3">
        <v>-1.0879999999999999E-7</v>
      </c>
      <c r="C4" s="3">
        <v>-3.8229999999999999E-8</v>
      </c>
      <c r="D4" s="3">
        <v>-1.0879999999999999E-7</v>
      </c>
      <c r="E4" s="3">
        <v>1.0000000000000001E-5</v>
      </c>
      <c r="F4" s="3">
        <v>1.0000000000000001E-5</v>
      </c>
      <c r="G4" s="3">
        <v>1.0000000000000001E-5</v>
      </c>
      <c r="H4" s="3">
        <v>3.3570912999999998E-6</v>
      </c>
      <c r="I4" s="3">
        <v>9.3910432999999997E-7</v>
      </c>
      <c r="J4" s="3">
        <v>3.3570912999999998E-6</v>
      </c>
      <c r="L4" s="48">
        <f t="shared" ref="L4:L14" si="0">ABS(H4/(-0.5)/$L$1)</f>
        <v>1.9183378857142858E-5</v>
      </c>
      <c r="N4" s="39" t="s">
        <v>27</v>
      </c>
      <c r="O4" s="39" t="s">
        <v>131</v>
      </c>
      <c r="P4" s="85" t="s">
        <v>132</v>
      </c>
      <c r="R4" s="11">
        <f t="shared" ref="R4:R14" si="1">ABS(I4/(-0.5)/$R$1)</f>
        <v>1.9770617473684209E-5</v>
      </c>
    </row>
    <row r="5" spans="1:18" x14ac:dyDescent="0.25">
      <c r="A5">
        <v>0</v>
      </c>
      <c r="B5" s="3">
        <v>1.1000000000000001E-7</v>
      </c>
      <c r="C5" s="3">
        <v>3.5479999999999997E-8</v>
      </c>
      <c r="D5" s="3">
        <v>1.1000000000000001E-7</v>
      </c>
      <c r="E5" s="3">
        <v>-1.0000000000000001E-5</v>
      </c>
      <c r="F5" s="3">
        <v>-1.0000000000000001E-5</v>
      </c>
      <c r="G5" s="3">
        <v>-1.0000000000000001E-5</v>
      </c>
      <c r="H5" s="3">
        <v>-3.3562790999999999E-6</v>
      </c>
      <c r="I5" s="3">
        <v>-9.3941038999999995E-7</v>
      </c>
      <c r="J5" s="3">
        <v>-3.3562790999999999E-6</v>
      </c>
      <c r="L5" s="48">
        <f t="shared" si="0"/>
        <v>1.9178737714285714E-5</v>
      </c>
      <c r="M5" s="48"/>
      <c r="N5" s="10">
        <f>(INDEX(A:A,ROW(A2)*2+1)+INDEX(A:A,ROW(A2)*2+2))/2</f>
        <v>0.5</v>
      </c>
      <c r="O5" s="89">
        <f>(INDEX(L:L,ROW(L2)*2+1)+INDEX(L:L,ROW(L2)*2+2))/2</f>
        <v>1.9178677428571428E-5</v>
      </c>
      <c r="P5" s="89">
        <f>(INDEX(R:R,ROW(M2)*2+1)+INDEX(R:R,ROW(R2)*2+2))/2</f>
        <v>1.9777143684210526E-5</v>
      </c>
      <c r="R5" s="11">
        <f t="shared" si="1"/>
        <v>1.9777060842105263E-5</v>
      </c>
    </row>
    <row r="6" spans="1:18" x14ac:dyDescent="0.25">
      <c r="A6">
        <v>1</v>
      </c>
      <c r="B6" s="3">
        <v>-1.1000000000000001E-7</v>
      </c>
      <c r="C6" s="3">
        <v>-3.5409999999999997E-8</v>
      </c>
      <c r="D6" s="3">
        <v>-1.1000000000000001E-7</v>
      </c>
      <c r="E6" s="3">
        <v>1.0000000000000001E-5</v>
      </c>
      <c r="F6" s="3">
        <v>1.0000000000000001E-5</v>
      </c>
      <c r="G6" s="3">
        <v>1.0000000000000001E-5</v>
      </c>
      <c r="H6" s="3">
        <v>3.3562580000000001E-6</v>
      </c>
      <c r="I6" s="3">
        <v>9.3941826000000002E-7</v>
      </c>
      <c r="J6" s="3">
        <v>3.3562580000000001E-6</v>
      </c>
      <c r="L6" s="48">
        <f t="shared" si="0"/>
        <v>1.9178617142857144E-5</v>
      </c>
      <c r="M6" s="49"/>
      <c r="N6" s="10">
        <f>(INDEX(A:A,ROW(A3)*2+1)+INDEX(A:A,ROW(A3)*2+2))/2</f>
        <v>151.5</v>
      </c>
      <c r="O6" s="89">
        <f t="shared" ref="O6:O7" si="2">(INDEX(L:L,ROW(L3)*2+1)+INDEX(L:L,ROW(L3)*2+2))/2</f>
        <v>2.1154238571428571E-5</v>
      </c>
      <c r="P6" s="89">
        <f t="shared" ref="P6:P9" si="3">(INDEX(R:R,ROW(M3)*2+1)+INDEX(R:R,ROW(R3)*2+2))/2</f>
        <v>2.1845439578947371E-5</v>
      </c>
      <c r="R6" s="11">
        <f t="shared" si="1"/>
        <v>1.9777226526315789E-5</v>
      </c>
    </row>
    <row r="7" spans="1:18" x14ac:dyDescent="0.25">
      <c r="A7">
        <v>151</v>
      </c>
      <c r="B7" s="3">
        <v>1.268E-7</v>
      </c>
      <c r="C7" s="3">
        <v>1.7590000000000001E-7</v>
      </c>
      <c r="D7" s="3">
        <v>1.268E-7</v>
      </c>
      <c r="E7" s="3">
        <v>-1.0689999999999999E-5</v>
      </c>
      <c r="F7" s="3">
        <v>-1.0689999999999999E-5</v>
      </c>
      <c r="G7" s="3">
        <v>-1.0689999999999999E-5</v>
      </c>
      <c r="H7" s="3">
        <v>-3.5274511000000002E-6</v>
      </c>
      <c r="I7" s="3">
        <v>-9.8912186000000008E-7</v>
      </c>
      <c r="J7" s="3">
        <v>-3.5274511000000002E-6</v>
      </c>
      <c r="L7" s="48">
        <f t="shared" si="0"/>
        <v>2.015686342857143E-5</v>
      </c>
      <c r="M7" s="48"/>
      <c r="N7" s="10">
        <f>(INDEX(A:A,ROW(A4)*2+1)+INDEX(A:A,ROW(A4)*2+2))/2</f>
        <v>156.5</v>
      </c>
      <c r="O7" s="89">
        <f t="shared" si="2"/>
        <v>4.1120605142857142E-5</v>
      </c>
      <c r="P7" s="89">
        <f t="shared" si="3"/>
        <v>4.226697684210527E-5</v>
      </c>
      <c r="R7" s="11">
        <f t="shared" si="1"/>
        <v>2.082361810526316E-5</v>
      </c>
    </row>
    <row r="8" spans="1:18" x14ac:dyDescent="0.25">
      <c r="A8">
        <v>152</v>
      </c>
      <c r="B8" s="3">
        <v>-1.515E-7</v>
      </c>
      <c r="C8" s="3">
        <v>-4.7759999999999999E-7</v>
      </c>
      <c r="D8" s="3">
        <v>-1.515E-7</v>
      </c>
      <c r="E8" s="3">
        <v>1.206E-5</v>
      </c>
      <c r="F8" s="3">
        <v>1.206E-5</v>
      </c>
      <c r="G8" s="3">
        <v>1.206E-5</v>
      </c>
      <c r="H8" s="3">
        <v>3.8765323999999999E-6</v>
      </c>
      <c r="I8" s="3">
        <v>1.0861949E-6</v>
      </c>
      <c r="J8" s="3">
        <v>3.8765323999999999E-6</v>
      </c>
      <c r="L8" s="48">
        <f t="shared" si="0"/>
        <v>2.2151613714285715E-5</v>
      </c>
      <c r="M8" s="49"/>
      <c r="N8" s="10">
        <f>(INDEX(A:A,ROW(A5)*2+1)+INDEX(A:A,ROW(A5)*2+2))/2</f>
        <v>161.5</v>
      </c>
      <c r="O8" s="89">
        <f t="shared" ref="O8:O9" si="4">(INDEX(L:L,ROW(L5)*2+1)+INDEX(L:L,ROW(L5)*2+2))/2</f>
        <v>5.9200051428571433E-5</v>
      </c>
      <c r="P8" s="89">
        <f t="shared" si="3"/>
        <v>6.052054E-5</v>
      </c>
      <c r="R8" s="11">
        <f t="shared" si="1"/>
        <v>2.2867261052631578E-5</v>
      </c>
    </row>
    <row r="9" spans="1:18" x14ac:dyDescent="0.25">
      <c r="A9">
        <v>156</v>
      </c>
      <c r="B9" s="3">
        <v>3.7329999999999999E-7</v>
      </c>
      <c r="C9" s="3">
        <v>3.1930000000000002E-6</v>
      </c>
      <c r="D9" s="3">
        <v>3.7329999999999999E-7</v>
      </c>
      <c r="E9" s="3">
        <v>-2.444E-5</v>
      </c>
      <c r="F9" s="3">
        <v>-2.444E-5</v>
      </c>
      <c r="G9" s="3">
        <v>-2.444E-5</v>
      </c>
      <c r="H9" s="3">
        <v>-7.0206212999999999E-6</v>
      </c>
      <c r="I9" s="3">
        <v>-1.9594163000000001E-6</v>
      </c>
      <c r="J9" s="3">
        <v>-7.0206212999999999E-6</v>
      </c>
      <c r="L9" s="48">
        <f t="shared" si="0"/>
        <v>4.0117836000000003E-5</v>
      </c>
      <c r="M9" s="48"/>
      <c r="N9" s="10">
        <f>(INDEX(A:A,ROW(A6)*2+1)+INDEX(A:A,ROW(A6)*2+2))/2</f>
        <v>180.5</v>
      </c>
      <c r="O9" s="89">
        <f t="shared" si="4"/>
        <v>5.9157857142857142E-5</v>
      </c>
      <c r="P9" s="89">
        <f t="shared" si="3"/>
        <v>6.0679988421052626E-5</v>
      </c>
      <c r="R9" s="11">
        <f t="shared" si="1"/>
        <v>4.1250869473684213E-5</v>
      </c>
    </row>
    <row r="10" spans="1:18" x14ac:dyDescent="0.25">
      <c r="A10">
        <v>157</v>
      </c>
      <c r="B10" s="3">
        <v>-3.967E-7</v>
      </c>
      <c r="C10" s="3">
        <v>-3.4979999999999998E-6</v>
      </c>
      <c r="D10" s="3">
        <v>-3.967E-7</v>
      </c>
      <c r="E10" s="3">
        <v>2.5809999999999999E-5</v>
      </c>
      <c r="F10" s="3">
        <v>2.5809999999999999E-5</v>
      </c>
      <c r="G10" s="3">
        <v>2.5809999999999999E-5</v>
      </c>
      <c r="H10" s="3">
        <v>7.3715904999999997E-6</v>
      </c>
      <c r="I10" s="3">
        <v>2.0559465000000002E-6</v>
      </c>
      <c r="J10" s="3">
        <v>7.3715904999999997E-6</v>
      </c>
      <c r="L10" s="48">
        <f t="shared" si="0"/>
        <v>4.2123374285714289E-5</v>
      </c>
      <c r="M10" s="49"/>
      <c r="N10" s="10"/>
      <c r="O10" s="3"/>
      <c r="R10" s="11">
        <f t="shared" si="1"/>
        <v>4.3283084210526321E-5</v>
      </c>
    </row>
    <row r="11" spans="1:18" x14ac:dyDescent="0.25">
      <c r="A11">
        <v>161</v>
      </c>
      <c r="B11" s="3">
        <v>5.7840000000000004E-7</v>
      </c>
      <c r="C11" s="3">
        <v>6.117E-6</v>
      </c>
      <c r="D11" s="3">
        <v>5.7840000000000004E-7</v>
      </c>
      <c r="E11" s="3">
        <v>-3.7499999999999997E-5</v>
      </c>
      <c r="F11" s="3">
        <v>-3.7499999999999997E-5</v>
      </c>
      <c r="G11" s="3">
        <v>-3.7499999999999997E-5</v>
      </c>
      <c r="H11" s="3">
        <v>-1.0360211E-5</v>
      </c>
      <c r="I11" s="3">
        <v>-2.8745259000000001E-6</v>
      </c>
      <c r="J11" s="3">
        <v>-1.0360211E-5</v>
      </c>
      <c r="L11" s="48">
        <f t="shared" si="0"/>
        <v>5.9201205714285719E-5</v>
      </c>
      <c r="M11" s="48"/>
      <c r="N11" s="10"/>
      <c r="O11" s="3"/>
      <c r="R11" s="11">
        <f t="shared" si="1"/>
        <v>6.0516334736842108E-5</v>
      </c>
    </row>
    <row r="12" spans="1:18" x14ac:dyDescent="0.25">
      <c r="A12">
        <v>162</v>
      </c>
      <c r="B12" s="3">
        <v>-5.7950000000000002E-7</v>
      </c>
      <c r="C12" s="3">
        <v>-6.1129999999999997E-6</v>
      </c>
      <c r="D12" s="3">
        <v>-5.7950000000000002E-7</v>
      </c>
      <c r="E12" s="3">
        <v>3.7499999999999997E-5</v>
      </c>
      <c r="F12" s="3">
        <v>3.7499999999999997E-5</v>
      </c>
      <c r="G12" s="3">
        <v>3.7499999999999997E-5</v>
      </c>
      <c r="H12" s="3">
        <v>1.0359806999999999E-5</v>
      </c>
      <c r="I12" s="3">
        <v>2.8749254E-6</v>
      </c>
      <c r="J12" s="3">
        <v>1.0359806999999999E-5</v>
      </c>
      <c r="L12" s="48">
        <f t="shared" si="0"/>
        <v>5.9198897142857147E-5</v>
      </c>
      <c r="M12" s="49"/>
      <c r="N12" s="10"/>
      <c r="O12" s="3"/>
      <c r="R12" s="11">
        <f t="shared" si="1"/>
        <v>6.0524745263157893E-5</v>
      </c>
    </row>
    <row r="13" spans="1:18" x14ac:dyDescent="0.25">
      <c r="A13">
        <v>180</v>
      </c>
      <c r="B13" s="3">
        <v>6.0019999999999999E-7</v>
      </c>
      <c r="C13" s="3">
        <v>6.0449999999999997E-6</v>
      </c>
      <c r="D13" s="3">
        <v>6.0019999999999999E-7</v>
      </c>
      <c r="E13" s="3">
        <v>-3.7499999999999997E-5</v>
      </c>
      <c r="F13" s="3">
        <v>-3.7499999999999997E-5</v>
      </c>
      <c r="G13" s="3">
        <v>-3.7499999999999997E-5</v>
      </c>
      <c r="H13" s="3">
        <v>-1.035282E-5</v>
      </c>
      <c r="I13" s="3">
        <v>-2.8820989000000001E-6</v>
      </c>
      <c r="J13" s="3">
        <v>-1.035282E-5</v>
      </c>
      <c r="L13" s="48">
        <f t="shared" si="0"/>
        <v>5.9158971428571432E-5</v>
      </c>
      <c r="M13" s="48"/>
      <c r="N13" s="10"/>
      <c r="O13" s="3"/>
      <c r="R13" s="11">
        <f t="shared" si="1"/>
        <v>6.0675766315789475E-5</v>
      </c>
    </row>
    <row r="14" spans="1:18" x14ac:dyDescent="0.25">
      <c r="A14" s="11">
        <v>181</v>
      </c>
      <c r="B14" s="3">
        <v>-6.0129999999999996E-7</v>
      </c>
      <c r="C14" s="3">
        <v>-6.0410000000000003E-6</v>
      </c>
      <c r="D14" s="3">
        <v>-6.0129999999999996E-7</v>
      </c>
      <c r="E14" s="3">
        <v>3.7499999999999997E-5</v>
      </c>
      <c r="F14" s="3">
        <v>3.7499999999999997E-5</v>
      </c>
      <c r="G14" s="3">
        <v>3.7499999999999997E-5</v>
      </c>
      <c r="H14" s="3">
        <v>1.035243E-5</v>
      </c>
      <c r="I14" s="3">
        <v>2.8824999999999999E-6</v>
      </c>
      <c r="J14" s="3">
        <v>1.035243E-5</v>
      </c>
      <c r="L14" s="48">
        <f t="shared" si="0"/>
        <v>5.9156742857142859E-5</v>
      </c>
      <c r="M14" s="49"/>
      <c r="N14" s="10"/>
      <c r="O14" s="3"/>
      <c r="R14" s="11">
        <f t="shared" si="1"/>
        <v>6.0684210526315785E-5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27691.328000000001</v>
      </c>
    </row>
    <row r="3" spans="2:4" x14ac:dyDescent="0.25">
      <c r="B3" t="s">
        <v>119</v>
      </c>
      <c r="C3" s="3">
        <v>0.35195679000000002</v>
      </c>
    </row>
    <row r="4" spans="2:4" x14ac:dyDescent="0.25">
      <c r="B4" t="s">
        <v>120</v>
      </c>
      <c r="C4" s="3">
        <v>27960.883999999998</v>
      </c>
    </row>
    <row r="5" spans="2:4" x14ac:dyDescent="0.25">
      <c r="B5" t="s">
        <v>121</v>
      </c>
      <c r="C5" s="3">
        <v>0.35541003999999998</v>
      </c>
    </row>
    <row r="6" spans="2:4" x14ac:dyDescent="0.25">
      <c r="B6" t="s">
        <v>122</v>
      </c>
      <c r="C6" s="3">
        <v>27691.328000000001</v>
      </c>
    </row>
    <row r="7" spans="2:4" x14ac:dyDescent="0.25">
      <c r="B7" t="s">
        <v>123</v>
      </c>
      <c r="C7" s="3">
        <v>0.35911014000000002</v>
      </c>
    </row>
    <row r="8" spans="2:4" x14ac:dyDescent="0.25">
      <c r="B8" t="s">
        <v>124</v>
      </c>
      <c r="C8" t="s">
        <v>125</v>
      </c>
      <c r="D8" s="3">
        <v>10187.300999999999</v>
      </c>
    </row>
    <row r="9" spans="2:4" x14ac:dyDescent="0.25">
      <c r="B9" t="s">
        <v>126</v>
      </c>
      <c r="C9" t="s">
        <v>125</v>
      </c>
      <c r="D9" s="3">
        <v>10360.254000000001</v>
      </c>
    </row>
    <row r="10" spans="2:4" x14ac:dyDescent="0.25">
      <c r="B10" t="s">
        <v>127</v>
      </c>
      <c r="C10" t="s">
        <v>125</v>
      </c>
      <c r="D10" s="3">
        <v>10360.254000000001</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-3.5999508571428571E-4</v>
      </c>
      <c r="C3" s="2">
        <f>IF('Modell einstellen'!$B$2="Ja",creep_res0!O3,creep_res0!C3)</f>
        <v>-3.6499157142857151E-4</v>
      </c>
      <c r="D3" s="2">
        <f>IF('Modell einstellen'!$B$2="Ja",creep_res25!O3,creep_res25!C3)</f>
        <v>-3.7633954285714287E-4</v>
      </c>
      <c r="E3" s="2">
        <f>IF('Modell einstellen'!$B$2="Ja",creep_res50!O3,creep_res50!C3)</f>
        <v>-3.8382265714285714E-4</v>
      </c>
      <c r="F3" s="2">
        <f>IF('Modell einstellen'!$B$2="Ja",creep_res80!O3,creep_res80!C3)</f>
        <v>-3.9366482857142865E-4</v>
      </c>
      <c r="G3" s="2">
        <f>IF('Modell einstellen'!$B$2="Ja",creep_res125!O3,creep_res125!C3)</f>
        <v>-4.2099691428571434E-4</v>
      </c>
      <c r="H3" s="2">
        <f>IF('Modell einstellen'!$B$2="Ja",creep_res160!O3,creep_res160!C3)</f>
        <v>-4.5570065714285718E-4</v>
      </c>
      <c r="M3" s="9">
        <v>-10</v>
      </c>
      <c r="N3" s="2">
        <f t="shared" ref="N3:N33" si="4">A3</f>
        <v>1.0000000000000001E-15</v>
      </c>
      <c r="O3" s="2">
        <f t="shared" ref="O3:O33" si="5">$M$3/B3</f>
        <v>27778.156971666598</v>
      </c>
      <c r="P3" s="2">
        <f t="shared" ref="P3:P33" si="6">$M$3/C3</f>
        <v>27397.892945473101</v>
      </c>
      <c r="Q3" s="2">
        <f t="shared" ref="Q3:Q33" si="7">$M$3/D3</f>
        <v>26571.749341248375</v>
      </c>
      <c r="R3" s="2">
        <f t="shared" ref="R3:R33" si="8">$M$3/E3</f>
        <v>26053.699055806504</v>
      </c>
      <c r="S3" s="2">
        <f t="shared" ref="S3:S33" si="9">$M$3/F3</f>
        <v>25402.320131795943</v>
      </c>
      <c r="T3" s="2">
        <f t="shared" ref="T3:T33" si="10">$M$3/G3</f>
        <v>23753.143219509173</v>
      </c>
      <c r="U3" s="2">
        <f t="shared" ref="U3:U33" si="11">$M$3/H3</f>
        <v>21944.22993088884</v>
      </c>
      <c r="Z3" s="2">
        <v>1.0000000000000001E-15</v>
      </c>
      <c r="AA3" s="3">
        <f>IF('Modell einstellen'!$B$2="Ja",'creep_res-40'!P3,'creep_res-40'!L3)</f>
        <v>0.35918667302442542</v>
      </c>
      <c r="AB3" s="2">
        <f>IF('Modell einstellen'!$B$2="Ja",creep_res0!P3,creep_res0!L3)</f>
        <v>0.36097437866471271</v>
      </c>
      <c r="AC3" s="2">
        <f>IF('Modell einstellen'!$B$2="Ja",creep_res25!P3,creep_res25!L3)</f>
        <v>0.36545239845719868</v>
      </c>
      <c r="AD3" s="2">
        <f>IF('Modell einstellen'!$B$2="Ja",creep_res50!P3,creep_res50!L3)</f>
        <v>0.36817847349590693</v>
      </c>
      <c r="AE3" s="2">
        <f>IF('Modell einstellen'!$B$2="Ja",creep_res80!P3,creep_res80!L3)</f>
        <v>0.3716299195494005</v>
      </c>
      <c r="AF3" s="2">
        <f>IF('Modell einstellen'!$B$2="Ja",creep_res125!P3,creep_res125!L3)</f>
        <v>0.38085536018859178</v>
      </c>
      <c r="AG3" s="2">
        <f>IF('Modell einstellen'!$B$2="Ja",creep_res160!P3,creep_res160!L3)</f>
        <v>0.39151321954894824</v>
      </c>
      <c r="AL3" s="2">
        <f t="shared" ref="AL3:AL33" si="12">Z3</f>
        <v>1.0000000000000001E-15</v>
      </c>
      <c r="AM3" s="2">
        <f t="shared" ref="AM3:AM33" si="13">O3/(2*(1+AA3))</f>
        <v>10218.668827091791</v>
      </c>
      <c r="AN3" s="2">
        <f t="shared" ref="AN3:AN33" si="14">P3/(2*(1+AB3))</f>
        <v>10065.543251576082</v>
      </c>
      <c r="AO3" s="2">
        <f t="shared" ref="AO3:AO33" si="15">Q3/(2*(1+AC3))</f>
        <v>9730.0167223959397</v>
      </c>
      <c r="AP3" s="2">
        <f t="shared" ref="AP3:AP33" si="16">R3/(2*(1+AD3))</f>
        <v>9521.3086452220268</v>
      </c>
      <c r="AQ3" s="2">
        <f t="shared" ref="AQ3:AQ33" si="17">S3/(2*(1+AE3))</f>
        <v>9259.9030429946288</v>
      </c>
      <c r="AR3" s="2">
        <f t="shared" ref="AR3:AR33" si="18">T3/(2*(1+AF3))</f>
        <v>8600.88026028485</v>
      </c>
      <c r="AS3" s="2">
        <f t="shared" ref="AS3:AS33" si="19">U3/(2*(1+AG3))</f>
        <v>7885.0238799750496</v>
      </c>
      <c r="AX3" s="2">
        <f>AL3</f>
        <v>1.0000000000000001E-15</v>
      </c>
      <c r="AY3" s="37">
        <f t="shared" ref="AY3:AY33" si="20">O3/(3*(1-(2*AA3)))</f>
        <v>32878.229128228493</v>
      </c>
      <c r="AZ3" s="37">
        <f t="shared" ref="AZ3:AZ33" si="21">P3/(3*(1-(2*AB3)))</f>
        <v>32845.136364466423</v>
      </c>
      <c r="BA3" s="37">
        <f t="shared" ref="BA3:BA33" si="22">Q3/(3*(1-(2*AC3)))</f>
        <v>32914.930027937065</v>
      </c>
      <c r="BB3" s="37">
        <f t="shared" ref="BB3:BB33" si="23">R3/(3*(1-(2*AD3)))</f>
        <v>32940.622758096513</v>
      </c>
      <c r="BC3" s="37">
        <f t="shared" ref="BC3:BC33" si="24">S3/(3*(1-(2*AE3)))</f>
        <v>32980.582446509005</v>
      </c>
      <c r="BD3" s="37">
        <f t="shared" ref="BD3:BD33" si="25">T3/(3*(1-(2*AF3)))</f>
        <v>33227.321090717371</v>
      </c>
      <c r="BE3" s="37">
        <f t="shared" ref="BE3:BE33" si="26">U3/(3*(1-(2*AG3)))</f>
        <v>33712.602032634866</v>
      </c>
    </row>
    <row r="4" spans="1:308" x14ac:dyDescent="0.25">
      <c r="A4" s="2">
        <f>'creep_res-40'!A4</f>
        <v>1E-14</v>
      </c>
      <c r="B4" s="3">
        <f>'creep_res-40'!O4</f>
        <v>-3.6278599999999998E-4</v>
      </c>
      <c r="C4" s="2">
        <f>IF('Modell einstellen'!$B$2="Ja",creep_res0!O4,creep_res0!C4)</f>
        <v>-3.7702474285714288E-4</v>
      </c>
      <c r="D4" s="2">
        <f>IF('Modell einstellen'!$B$2="Ja",creep_res25!O4,creep_res25!C4)</f>
        <v>-3.8540391428571434E-4</v>
      </c>
      <c r="E4" s="2">
        <f>IF('Modell einstellen'!$B$2="Ja",creep_res50!O4,creep_res50!C4)</f>
        <v>-3.9338445714285714E-4</v>
      </c>
      <c r="F4" s="2">
        <f>IF('Modell einstellen'!$B$2="Ja",creep_res80!O4,creep_res80!C4)</f>
        <v>-4.0491805714285717E-4</v>
      </c>
      <c r="G4" s="2">
        <f>IF('Modell einstellen'!$B$2="Ja",creep_res125!O4,creep_res125!C4)</f>
        <v>-4.3679314285714293E-4</v>
      </c>
      <c r="H4" s="2">
        <f>IF('Modell einstellen'!$B$2="Ja",creep_res160!O4,creep_res160!C4)</f>
        <v>-4.7502377142857145E-4</v>
      </c>
      <c r="M4" s="9">
        <f t="shared" ref="M4:M31" si="27">M3</f>
        <v>-10</v>
      </c>
      <c r="N4" s="2">
        <f t="shared" si="4"/>
        <v>1E-14</v>
      </c>
      <c r="O4" s="2">
        <f t="shared" si="5"/>
        <v>27564.45948851389</v>
      </c>
      <c r="P4" s="2">
        <f t="shared" si="6"/>
        <v>26523.458180008798</v>
      </c>
      <c r="Q4" s="2">
        <f t="shared" si="7"/>
        <v>25946.804454577039</v>
      </c>
      <c r="R4" s="2">
        <f t="shared" si="8"/>
        <v>25420.424773845374</v>
      </c>
      <c r="S4" s="2">
        <f t="shared" si="9"/>
        <v>24696.354789808618</v>
      </c>
      <c r="T4" s="2">
        <f t="shared" si="10"/>
        <v>22894.132299303492</v>
      </c>
      <c r="U4" s="2">
        <f t="shared" si="11"/>
        <v>21051.578050349599</v>
      </c>
      <c r="Z4" s="2">
        <v>1E-14</v>
      </c>
      <c r="AA4" s="3">
        <f>IF('Modell einstellen'!$B$2="Ja",'creep_res-40'!P4,'creep_res-40'!L4)</f>
        <v>0.36043716445192803</v>
      </c>
      <c r="AB4" s="2">
        <f>IF('Modell einstellen'!$B$2="Ja",creep_res0!P4,creep_res0!L4)</f>
        <v>0.3659566109567951</v>
      </c>
      <c r="AC4" s="2">
        <f>IF('Modell einstellen'!$B$2="Ja",creep_res25!P4,creep_res25!L4)</f>
        <v>0.36905797605880936</v>
      </c>
      <c r="AD4" s="2">
        <f>IF('Modell einstellen'!$B$2="Ja",creep_res50!P4,creep_res50!L4)</f>
        <v>0.37185876179580335</v>
      </c>
      <c r="AE4" s="2">
        <f>IF('Modell einstellen'!$B$2="Ja",creep_res80!P4,creep_res80!L4)</f>
        <v>0.37577445651790431</v>
      </c>
      <c r="AF4" s="2">
        <f>IF('Modell einstellen'!$B$2="Ja",creep_res125!P4,creep_res125!L4)</f>
        <v>0.38609265844047785</v>
      </c>
      <c r="AG4" s="2">
        <f>IF('Modell einstellen'!$B$2="Ja",creep_res160!P4,creep_res160!L4)</f>
        <v>0.39725240216549768</v>
      </c>
      <c r="AL4" s="2">
        <f t="shared" si="12"/>
        <v>1E-14</v>
      </c>
      <c r="AM4" s="2">
        <f t="shared" si="13"/>
        <v>10130.735990154546</v>
      </c>
      <c r="AN4" s="2">
        <f t="shared" si="14"/>
        <v>9708.7484211633309</v>
      </c>
      <c r="AO4" s="2">
        <f t="shared" si="15"/>
        <v>9476.1525473419642</v>
      </c>
      <c r="AP4" s="2">
        <f t="shared" si="16"/>
        <v>9264.9569626866305</v>
      </c>
      <c r="AQ4" s="2">
        <f t="shared" si="17"/>
        <v>8975.4373156175916</v>
      </c>
      <c r="AR4" s="2">
        <f t="shared" si="18"/>
        <v>8258.5143784911779</v>
      </c>
      <c r="AS4" s="2">
        <f t="shared" si="19"/>
        <v>7533.2051738552464</v>
      </c>
      <c r="AX4" s="2">
        <f t="shared" ref="AX4:AX32" si="28">AL4</f>
        <v>1E-14</v>
      </c>
      <c r="AY4" s="37">
        <f t="shared" si="20"/>
        <v>32917.621395250077</v>
      </c>
      <c r="AZ4" s="37">
        <f t="shared" si="21"/>
        <v>32978.697382158534</v>
      </c>
      <c r="BA4" s="37">
        <f t="shared" si="22"/>
        <v>33025.817678199324</v>
      </c>
      <c r="BB4" s="37">
        <f t="shared" si="23"/>
        <v>33063.028902188402</v>
      </c>
      <c r="BC4" s="37">
        <f t="shared" si="24"/>
        <v>33133.758293663705</v>
      </c>
      <c r="BD4" s="37">
        <f t="shared" si="25"/>
        <v>33498.180752086977</v>
      </c>
      <c r="BE4" s="37">
        <f t="shared" si="26"/>
        <v>34147.721364506273</v>
      </c>
      <c r="BF4" s="5"/>
      <c r="BG4" s="5"/>
    </row>
    <row r="5" spans="1:308" x14ac:dyDescent="0.25">
      <c r="A5" s="2">
        <f>'creep_res-40'!A5</f>
        <v>1E-13</v>
      </c>
      <c r="B5" s="3">
        <f>'creep_res-40'!O5</f>
        <v>-3.7324014285714294E-4</v>
      </c>
      <c r="C5" s="2">
        <f>IF('Modell einstellen'!$B$2="Ja",creep_res0!O5,creep_res0!C5)</f>
        <v>-3.8432448571428576E-4</v>
      </c>
      <c r="D5" s="2">
        <f>IF('Modell einstellen'!$B$2="Ja",creep_res25!O5,creep_res25!C5)</f>
        <v>-3.9335028571428572E-4</v>
      </c>
      <c r="E5" s="2">
        <f>IF('Modell einstellen'!$B$2="Ja",creep_res50!O5,creep_res50!C5)</f>
        <v>-4.0219902857142859E-4</v>
      </c>
      <c r="F5" s="2">
        <f>IF('Modell einstellen'!$B$2="Ja",creep_res80!O5,creep_res80!C5)</f>
        <v>-4.1571082857142861E-4</v>
      </c>
      <c r="G5" s="2">
        <f>IF('Modell einstellen'!$B$2="Ja",creep_res125!O5,creep_res125!C5)</f>
        <v>-4.5152640000000003E-4</v>
      </c>
      <c r="H5" s="2">
        <f>IF('Modell einstellen'!$B$2="Ja",creep_res160!O5,creep_res160!C5)</f>
        <v>-4.9555025714285712E-4</v>
      </c>
      <c r="M5" s="9">
        <f t="shared" si="27"/>
        <v>-10</v>
      </c>
      <c r="N5" s="2">
        <f t="shared" si="4"/>
        <v>1E-13</v>
      </c>
      <c r="O5" s="2">
        <f t="shared" si="5"/>
        <v>26792.4021340531</v>
      </c>
      <c r="P5" s="2">
        <f t="shared" si="6"/>
        <v>26019.67965016466</v>
      </c>
      <c r="Q5" s="2">
        <f t="shared" si="7"/>
        <v>25422.633116538804</v>
      </c>
      <c r="R5" s="2">
        <f t="shared" si="8"/>
        <v>24863.312165419735</v>
      </c>
      <c r="S5" s="2">
        <f t="shared" si="9"/>
        <v>24055.182864407325</v>
      </c>
      <c r="T5" s="2">
        <f t="shared" si="10"/>
        <v>22147.099261527121</v>
      </c>
      <c r="U5" s="2">
        <f t="shared" si="11"/>
        <v>20179.587954723233</v>
      </c>
      <c r="Z5" s="2">
        <v>1E-13</v>
      </c>
      <c r="AA5" s="3">
        <f>IF('Modell einstellen'!$B$2="Ja",'creep_res-40'!P5,'creep_res-40'!L5)</f>
        <v>0.36479927706444065</v>
      </c>
      <c r="AB5" s="2">
        <f>IF('Modell einstellen'!$B$2="Ja",creep_res0!P5,creep_res0!L5)</f>
        <v>0.36886885092708488</v>
      </c>
      <c r="AC5" s="2">
        <f>IF('Modell einstellen'!$B$2="Ja",creep_res25!P5,creep_res25!L5)</f>
        <v>0.37211216320458834</v>
      </c>
      <c r="AD5" s="2">
        <f>IF('Modell einstellen'!$B$2="Ja",creep_res50!P5,creep_res50!L5)</f>
        <v>0.3751344998631097</v>
      </c>
      <c r="AE5" s="2">
        <f>IF('Modell einstellen'!$B$2="Ja",creep_res80!P5,creep_res80!L5)</f>
        <v>0.37959892999797451</v>
      </c>
      <c r="AF5" s="2">
        <f>IF('Modell einstellen'!$B$2="Ja",creep_res125!P5,creep_res125!L5)</f>
        <v>0.39077334759859633</v>
      </c>
      <c r="AG5" s="2">
        <f>IF('Modell einstellen'!$B$2="Ja",creep_res160!P5,creep_res160!L5)</f>
        <v>0.40306722818195923</v>
      </c>
      <c r="AL5" s="2">
        <f t="shared" si="12"/>
        <v>1E-13</v>
      </c>
      <c r="AM5" s="2">
        <f t="shared" si="13"/>
        <v>9815.5100842671618</v>
      </c>
      <c r="AN5" s="2">
        <f t="shared" si="14"/>
        <v>9504.080552546171</v>
      </c>
      <c r="AO5" s="2">
        <f t="shared" si="15"/>
        <v>9264.0506360514537</v>
      </c>
      <c r="AP5" s="2">
        <f t="shared" si="16"/>
        <v>9040.3201170121174</v>
      </c>
      <c r="AQ5" s="2">
        <f t="shared" si="17"/>
        <v>8718.1797337443004</v>
      </c>
      <c r="AR5" s="2">
        <f t="shared" si="18"/>
        <v>7962.1526037178537</v>
      </c>
      <c r="AS5" s="2">
        <f t="shared" si="19"/>
        <v>7191.2405725815324</v>
      </c>
      <c r="AX5" s="2">
        <f t="shared" si="28"/>
        <v>1E-13</v>
      </c>
      <c r="AY5" s="37">
        <f t="shared" si="20"/>
        <v>33027.932534087544</v>
      </c>
      <c r="AZ5" s="37">
        <f t="shared" si="21"/>
        <v>33070.809686995737</v>
      </c>
      <c r="BA5" s="37">
        <f t="shared" si="22"/>
        <v>33131.419105957953</v>
      </c>
      <c r="BB5" s="37">
        <f t="shared" si="23"/>
        <v>33186.791838901372</v>
      </c>
      <c r="BC5" s="37">
        <f t="shared" si="24"/>
        <v>33298.683674492604</v>
      </c>
      <c r="BD5" s="37">
        <f t="shared" si="25"/>
        <v>33793.796011339487</v>
      </c>
      <c r="BE5" s="37">
        <f t="shared" si="26"/>
        <v>34696.879043487541</v>
      </c>
    </row>
    <row r="6" spans="1:308" x14ac:dyDescent="0.25">
      <c r="A6" s="2">
        <f>'creep_res-40'!A6</f>
        <v>9.9999999999999998E-13</v>
      </c>
      <c r="B6" s="3">
        <f>'creep_res-40'!O6</f>
        <v>-3.806628857142857E-4</v>
      </c>
      <c r="C6" s="2">
        <f>IF('Modell einstellen'!$B$2="Ja",creep_res0!O6,creep_res0!C6)</f>
        <v>-3.9200328571428571E-4</v>
      </c>
      <c r="D6" s="2">
        <f>IF('Modell einstellen'!$B$2="Ja",creep_res25!O6,creep_res25!C6)</f>
        <v>-4.0201937142857143E-4</v>
      </c>
      <c r="E6" s="2">
        <f>IF('Modell einstellen'!$B$2="Ja",creep_res50!O6,creep_res50!C6)</f>
        <v>-4.1229211428571433E-4</v>
      </c>
      <c r="F6" s="2">
        <f>IF('Modell einstellen'!$B$2="Ja",creep_res80!O6,creep_res80!C6)</f>
        <v>-4.2745811428571433E-4</v>
      </c>
      <c r="G6" s="2">
        <f>IF('Modell einstellen'!$B$2="Ja",creep_res125!O6,creep_res125!C6)</f>
        <v>-4.6579128571428574E-4</v>
      </c>
      <c r="H6" s="2">
        <f>IF('Modell einstellen'!$B$2="Ja",creep_res160!O6,creep_res160!C6)</f>
        <v>-5.2058842857142867E-4</v>
      </c>
      <c r="M6" s="9">
        <f t="shared" si="27"/>
        <v>-10</v>
      </c>
      <c r="N6" s="2">
        <f t="shared" si="4"/>
        <v>9.9999999999999998E-13</v>
      </c>
      <c r="O6" s="2">
        <f t="shared" si="5"/>
        <v>26269.963201786119</v>
      </c>
      <c r="P6" s="2">
        <f t="shared" si="6"/>
        <v>25509.990258828006</v>
      </c>
      <c r="Q6" s="2">
        <f t="shared" si="7"/>
        <v>24874.423250962038</v>
      </c>
      <c r="R6" s="2">
        <f t="shared" si="8"/>
        <v>24254.64774489987</v>
      </c>
      <c r="S6" s="2">
        <f t="shared" si="9"/>
        <v>23394.104979642449</v>
      </c>
      <c r="T6" s="2">
        <f t="shared" si="10"/>
        <v>21468.84303484792</v>
      </c>
      <c r="U6" s="2">
        <f t="shared" si="11"/>
        <v>19209.032416339858</v>
      </c>
      <c r="Z6" s="2">
        <v>9.9999999999999998E-13</v>
      </c>
      <c r="AA6" s="3">
        <f>IF('Modell einstellen'!$B$2="Ja",'creep_res-40'!P6,'creep_res-40'!L6)</f>
        <v>0.36782979555738898</v>
      </c>
      <c r="AB6" s="2">
        <f>IF('Modell einstellen'!$B$2="Ja",creep_res0!P6,creep_res0!L6)</f>
        <v>0.37185836999179678</v>
      </c>
      <c r="AC6" s="2">
        <f>IF('Modell einstellen'!$B$2="Ja",creep_res25!P6,creep_res25!L6)</f>
        <v>0.37536169188151419</v>
      </c>
      <c r="AD6" s="2">
        <f>IF('Modell einstellen'!$B$2="Ja",creep_res50!P6,creep_res50!L6)</f>
        <v>0.37878089764926726</v>
      </c>
      <c r="AE6" s="2">
        <f>IF('Modell einstellen'!$B$2="Ja",creep_res80!P6,creep_res80!L6)</f>
        <v>0.38363343736803218</v>
      </c>
      <c r="AF6" s="2">
        <f>IF('Modell einstellen'!$B$2="Ja",creep_res125!P6,creep_res125!L6)</f>
        <v>0.39514674107563202</v>
      </c>
      <c r="AG6" s="2">
        <f>IF('Modell einstellen'!$B$2="Ja",creep_res160!P6,creep_res160!L6)</f>
        <v>0.4098448760866481</v>
      </c>
      <c r="AL6" s="2">
        <f t="shared" si="12"/>
        <v>9.9999999999999998E-13</v>
      </c>
      <c r="AM6" s="2">
        <f t="shared" si="13"/>
        <v>9602.7895017015398</v>
      </c>
      <c r="AN6" s="2">
        <f t="shared" si="14"/>
        <v>9297.6034614201999</v>
      </c>
      <c r="AO6" s="2">
        <f t="shared" si="15"/>
        <v>9042.8661048910981</v>
      </c>
      <c r="AP6" s="2">
        <f t="shared" si="16"/>
        <v>8795.6860246078559</v>
      </c>
      <c r="AQ6" s="2">
        <f t="shared" si="17"/>
        <v>8453.8665906134283</v>
      </c>
      <c r="AR6" s="2">
        <f t="shared" si="18"/>
        <v>7694.1164691736458</v>
      </c>
      <c r="AS6" s="2">
        <f t="shared" si="19"/>
        <v>6812.4631092957497</v>
      </c>
      <c r="AX6" s="2">
        <f t="shared" si="28"/>
        <v>9.9999999999999998E-13</v>
      </c>
      <c r="AY6" s="37">
        <f t="shared" si="20"/>
        <v>33126.431322112228</v>
      </c>
      <c r="AZ6" s="37">
        <f t="shared" si="21"/>
        <v>33179.420636882976</v>
      </c>
      <c r="BA6" s="37">
        <f t="shared" si="22"/>
        <v>33262.142844177419</v>
      </c>
      <c r="BB6" s="37">
        <f t="shared" si="23"/>
        <v>33348.219978731839</v>
      </c>
      <c r="BC6" s="37">
        <f t="shared" si="24"/>
        <v>33506.339006837261</v>
      </c>
      <c r="BD6" s="37">
        <f t="shared" si="25"/>
        <v>34125.219783478031</v>
      </c>
      <c r="BE6" s="37">
        <f t="shared" si="26"/>
        <v>35511.075397115274</v>
      </c>
    </row>
    <row r="7" spans="1:308" x14ac:dyDescent="0.25">
      <c r="A7" s="2">
        <f>'creep_res-40'!A7</f>
        <v>9.9999999999999994E-12</v>
      </c>
      <c r="B7" s="3">
        <f>'creep_res-40'!O7</f>
        <v>-3.878932285714286E-4</v>
      </c>
      <c r="C7" s="2">
        <f>IF('Modell einstellen'!$B$2="Ja",creep_res0!O7,creep_res0!C7)</f>
        <v>-4.0057774285714288E-4</v>
      </c>
      <c r="D7" s="2">
        <f>IF('Modell einstellen'!$B$2="Ja",creep_res25!O7,creep_res25!C7)</f>
        <v>-4.1216908571428576E-4</v>
      </c>
      <c r="E7" s="2">
        <f>IF('Modell einstellen'!$B$2="Ja",creep_res50!O7,creep_res50!C7)</f>
        <v>-4.237640857142858E-4</v>
      </c>
      <c r="F7" s="2">
        <f>IF('Modell einstellen'!$B$2="Ja",creep_res80!O7,creep_res80!C7)</f>
        <v>-4.4150500000000002E-4</v>
      </c>
      <c r="G7" s="2">
        <f>IF('Modell einstellen'!$B$2="Ja",creep_res125!O7,creep_res125!C7)</f>
        <v>-4.8305622857142865E-4</v>
      </c>
      <c r="H7" s="2">
        <f>IF('Modell einstellen'!$B$2="Ja",creep_res160!O7,creep_res160!C7)</f>
        <v>-5.4701862857142855E-4</v>
      </c>
      <c r="M7" s="9">
        <f t="shared" si="27"/>
        <v>-10</v>
      </c>
      <c r="N7" s="2">
        <f t="shared" si="4"/>
        <v>9.9999999999999994E-12</v>
      </c>
      <c r="O7" s="2">
        <f t="shared" si="5"/>
        <v>25780.290202097585</v>
      </c>
      <c r="P7" s="2">
        <f t="shared" si="6"/>
        <v>24963.943150396844</v>
      </c>
      <c r="Q7" s="2">
        <f t="shared" si="7"/>
        <v>24261.887527712272</v>
      </c>
      <c r="R7" s="2">
        <f t="shared" si="8"/>
        <v>23598.035645574491</v>
      </c>
      <c r="S7" s="2">
        <f t="shared" si="9"/>
        <v>22649.800115513979</v>
      </c>
      <c r="T7" s="2">
        <f t="shared" si="10"/>
        <v>20701.523774103076</v>
      </c>
      <c r="U7" s="2">
        <f t="shared" si="11"/>
        <v>18280.913076243109</v>
      </c>
      <c r="Z7" s="2">
        <v>9.9999999999999994E-12</v>
      </c>
      <c r="AA7" s="3">
        <f>IF('Modell einstellen'!$B$2="Ja",'creep_res-40'!P7,'creep_res-40'!L7)</f>
        <v>0.37070936236282398</v>
      </c>
      <c r="AB7" s="2">
        <f>IF('Modell einstellen'!$B$2="Ja",creep_res0!P7,creep_res0!L7)</f>
        <v>0.37511400854522908</v>
      </c>
      <c r="AC7" s="2">
        <f>IF('Modell einstellen'!$B$2="Ja",creep_res25!P7,creep_res25!L7)</f>
        <v>0.37905983522157827</v>
      </c>
      <c r="AD7" s="2">
        <f>IF('Modell einstellen'!$B$2="Ja",creep_res50!P7,creep_res50!L7)</f>
        <v>0.38280144821818979</v>
      </c>
      <c r="AE7" s="2">
        <f>IF('Modell einstellen'!$B$2="Ja",creep_res80!P7,creep_res80!L7)</f>
        <v>0.38828927677570391</v>
      </c>
      <c r="AF7" s="2">
        <f>IF('Modell einstellen'!$B$2="Ja",creep_res125!P7,creep_res125!L7)</f>
        <v>0.40024421883332356</v>
      </c>
      <c r="AG7" s="2">
        <f>IF('Modell einstellen'!$B$2="Ja",creep_res160!P7,creep_res160!L7)</f>
        <v>0.41669179508746956</v>
      </c>
      <c r="AL7" s="2">
        <f t="shared" si="12"/>
        <v>9.9999999999999994E-12</v>
      </c>
      <c r="AM7" s="2">
        <f t="shared" si="13"/>
        <v>9403.9958104822508</v>
      </c>
      <c r="AN7" s="2">
        <f t="shared" si="14"/>
        <v>9077.0448832845814</v>
      </c>
      <c r="AO7" s="2">
        <f t="shared" si="15"/>
        <v>8796.5318501985184</v>
      </c>
      <c r="AP7" s="2">
        <f t="shared" si="16"/>
        <v>8532.6912536798991</v>
      </c>
      <c r="AQ7" s="2">
        <f t="shared" si="17"/>
        <v>8157.4497816903277</v>
      </c>
      <c r="AR7" s="2">
        <f t="shared" si="18"/>
        <v>7392.1118529421537</v>
      </c>
      <c r="AS7" s="2">
        <f t="shared" si="19"/>
        <v>6451.9725248759578</v>
      </c>
      <c r="AX7" s="2">
        <f t="shared" si="28"/>
        <v>9.9999999999999994E-12</v>
      </c>
      <c r="AY7" s="37">
        <f t="shared" si="20"/>
        <v>33232.994377679985</v>
      </c>
      <c r="AZ7" s="37">
        <f t="shared" si="21"/>
        <v>33315.643678415632</v>
      </c>
      <c r="BA7" s="37">
        <f t="shared" si="22"/>
        <v>33435.111723998991</v>
      </c>
      <c r="BB7" s="37">
        <f t="shared" si="23"/>
        <v>33558.485844186886</v>
      </c>
      <c r="BC7" s="37">
        <f t="shared" si="24"/>
        <v>33792.339508352357</v>
      </c>
      <c r="BD7" s="37">
        <f t="shared" si="25"/>
        <v>34587.007609971733</v>
      </c>
      <c r="BE7" s="37">
        <f t="shared" si="26"/>
        <v>36572.854369380897</v>
      </c>
    </row>
    <row r="8" spans="1:308" x14ac:dyDescent="0.25">
      <c r="A8" s="2">
        <f>'creep_res-40'!A8</f>
        <v>1E-10</v>
      </c>
      <c r="B8" s="3">
        <f>'creep_res-40'!O8</f>
        <v>-3.9618314285714287E-4</v>
      </c>
      <c r="C8" s="2">
        <f>IF('Modell einstellen'!$B$2="Ja",creep_res0!O8,creep_res0!C8)</f>
        <v>-4.1050514285714286E-4</v>
      </c>
      <c r="D8" s="2">
        <f>IF('Modell einstellen'!$B$2="Ja",creep_res25!O8,creep_res25!C8)</f>
        <v>-4.2365497142857146E-4</v>
      </c>
      <c r="E8" s="2">
        <f>IF('Modell einstellen'!$B$2="Ja",creep_res50!O8,creep_res50!C8)</f>
        <v>-4.3715760000000002E-4</v>
      </c>
      <c r="F8" s="2">
        <f>IF('Modell einstellen'!$B$2="Ja",creep_res80!O8,creep_res80!C8)</f>
        <v>-4.554939428571429E-4</v>
      </c>
      <c r="G8" s="2">
        <f>IF('Modell einstellen'!$B$2="Ja",creep_res125!O8,creep_res125!C8)</f>
        <v>-5.0552008571428568E-4</v>
      </c>
      <c r="H8" s="2">
        <f>IF('Modell einstellen'!$B$2="Ja",creep_res160!O8,creep_res160!C8)</f>
        <v>-5.7006357142857145E-4</v>
      </c>
      <c r="M8" s="9">
        <f t="shared" si="27"/>
        <v>-10</v>
      </c>
      <c r="N8" s="2">
        <f t="shared" si="4"/>
        <v>1E-10</v>
      </c>
      <c r="O8" s="2">
        <f t="shared" si="5"/>
        <v>25240.85181384367</v>
      </c>
      <c r="P8" s="2">
        <f t="shared" si="6"/>
        <v>24360.23074010557</v>
      </c>
      <c r="Q8" s="2">
        <f t="shared" si="7"/>
        <v>23604.113428150831</v>
      </c>
      <c r="R8" s="2">
        <f t="shared" si="8"/>
        <v>22875.045521340588</v>
      </c>
      <c r="S8" s="2">
        <f t="shared" si="9"/>
        <v>21954.188758853183</v>
      </c>
      <c r="T8" s="2">
        <f t="shared" si="10"/>
        <v>19781.607660297574</v>
      </c>
      <c r="U8" s="2">
        <f t="shared" si="11"/>
        <v>17541.903221319928</v>
      </c>
      <c r="Z8" s="2">
        <v>1E-10</v>
      </c>
      <c r="AA8" s="3">
        <f>IF('Modell einstellen'!$B$2="Ja",'creep_res-40'!P8,'creep_res-40'!L8)</f>
        <v>0.37393080112300153</v>
      </c>
      <c r="AB8" s="2">
        <f>IF('Modell einstellen'!$B$2="Ja",creep_res0!P8,creep_res0!L8)</f>
        <v>0.37877846666963633</v>
      </c>
      <c r="AC8" s="2">
        <f>IF('Modell einstellen'!$B$2="Ja",creep_res25!P8,creep_res25!L8)</f>
        <v>0.38311924852056162</v>
      </c>
      <c r="AD8" s="2">
        <f>IF('Modell einstellen'!$B$2="Ja",creep_res50!P8,creep_res50!L8)</f>
        <v>0.38733544019038313</v>
      </c>
      <c r="AE8" s="2">
        <f>IF('Modell einstellen'!$B$2="Ja",creep_res80!P8,creep_res80!L8)</f>
        <v>0.39277062991209288</v>
      </c>
      <c r="AF8" s="2">
        <f>IF('Modell einstellen'!$B$2="Ja",creep_res125!P8,creep_res125!L8)</f>
        <v>0.40660009383264306</v>
      </c>
      <c r="AG8" s="2">
        <f>IF('Modell einstellen'!$B$2="Ja",creep_res160!P8,creep_res160!L8)</f>
        <v>0.42244610312884906</v>
      </c>
      <c r="AL8" s="2">
        <f t="shared" si="12"/>
        <v>1E-10</v>
      </c>
      <c r="AM8" s="2">
        <f t="shared" si="13"/>
        <v>9185.6343104080297</v>
      </c>
      <c r="AN8" s="2">
        <f t="shared" si="14"/>
        <v>8833.9901329277236</v>
      </c>
      <c r="AO8" s="2">
        <f t="shared" si="15"/>
        <v>8532.9278199977016</v>
      </c>
      <c r="AP8" s="2">
        <f t="shared" si="16"/>
        <v>8244.2374276121209</v>
      </c>
      <c r="AQ8" s="2">
        <f t="shared" si="17"/>
        <v>7881.4803699008435</v>
      </c>
      <c r="AR8" s="2">
        <f t="shared" si="18"/>
        <v>7031.7099177768096</v>
      </c>
      <c r="AS8" s="2">
        <f t="shared" si="19"/>
        <v>6166.1047060884439</v>
      </c>
      <c r="AX8" s="2">
        <f t="shared" si="28"/>
        <v>1E-10</v>
      </c>
      <c r="AY8" s="37">
        <f t="shared" si="20"/>
        <v>33369.04393074676</v>
      </c>
      <c r="AZ8" s="37">
        <f t="shared" si="21"/>
        <v>33492.716559024913</v>
      </c>
      <c r="BA8" s="37">
        <f t="shared" si="22"/>
        <v>33658.398452236819</v>
      </c>
      <c r="BB8" s="37">
        <f t="shared" si="23"/>
        <v>33839.457530678323</v>
      </c>
      <c r="BC8" s="37">
        <f t="shared" si="24"/>
        <v>34123.407204660194</v>
      </c>
      <c r="BD8" s="37">
        <f t="shared" si="25"/>
        <v>35299.121223334449</v>
      </c>
      <c r="BE8" s="37">
        <f t="shared" si="26"/>
        <v>37698.306014771195</v>
      </c>
    </row>
    <row r="9" spans="1:308" x14ac:dyDescent="0.25">
      <c r="A9" s="2">
        <f>'creep_res-40'!A9</f>
        <v>1.0000000000000001E-9</v>
      </c>
      <c r="B9" s="3">
        <f>'creep_res-40'!O9</f>
        <v>-4.0530537142857145E-4</v>
      </c>
      <c r="C9" s="2">
        <f>IF('Modell einstellen'!$B$2="Ja",creep_res0!O9,creep_res0!C9)</f>
        <v>-4.2189285714285712E-4</v>
      </c>
      <c r="D9" s="2">
        <f>IF('Modell einstellen'!$B$2="Ja",creep_res25!O9,creep_res25!C9)</f>
        <v>-4.3714400000000004E-4</v>
      </c>
      <c r="E9" s="2">
        <f>IF('Modell einstellen'!$B$2="Ja",creep_res50!O9,creep_res50!C9)</f>
        <v>-4.5135482857142859E-4</v>
      </c>
      <c r="F9" s="2">
        <f>IF('Modell einstellen'!$B$2="Ja",creep_res80!O9,creep_res80!C9)</f>
        <v>-4.7038757142857146E-4</v>
      </c>
      <c r="G9" s="2">
        <f>IF('Modell einstellen'!$B$2="Ja",creep_res125!O9,creep_res125!C9)</f>
        <v>-5.3161102857142862E-4</v>
      </c>
      <c r="H9" s="2">
        <f>IF('Modell einstellen'!$B$2="Ja",creep_res160!O9,creep_res160!C9)</f>
        <v>-5.9517077142857142E-4</v>
      </c>
      <c r="M9" s="9">
        <f t="shared" si="27"/>
        <v>-10</v>
      </c>
      <c r="N9" s="2">
        <f t="shared" si="4"/>
        <v>1.0000000000000001E-9</v>
      </c>
      <c r="O9" s="2">
        <f t="shared" si="5"/>
        <v>24672.754680633043</v>
      </c>
      <c r="P9" s="2">
        <f t="shared" si="6"/>
        <v>23702.700414797258</v>
      </c>
      <c r="Q9" s="2">
        <f t="shared" si="7"/>
        <v>22875.757187562907</v>
      </c>
      <c r="R9" s="2">
        <f t="shared" si="8"/>
        <v>22155.517936189448</v>
      </c>
      <c r="S9" s="2">
        <f t="shared" si="9"/>
        <v>21259.065093131409</v>
      </c>
      <c r="T9" s="2">
        <f t="shared" si="10"/>
        <v>18810.745944967493</v>
      </c>
      <c r="U9" s="2">
        <f t="shared" si="11"/>
        <v>16801.90036213856</v>
      </c>
      <c r="Z9" s="2">
        <v>1.0000000000000001E-9</v>
      </c>
      <c r="AA9" s="3">
        <f>IF('Modell einstellen'!$B$2="Ja",'creep_res-40'!P9,'creep_res-40'!L9)</f>
        <v>0.37738349384252629</v>
      </c>
      <c r="AB9" s="2">
        <f>IF('Modell einstellen'!$B$2="Ja",creep_res0!P9,creep_res0!L9)</f>
        <v>0.38285604672818085</v>
      </c>
      <c r="AC9" s="2">
        <f>IF('Modell einstellen'!$B$2="Ja",creep_res25!P9,creep_res25!L9)</f>
        <v>0.38772336542910996</v>
      </c>
      <c r="AD9" s="2">
        <f>IF('Modell einstellen'!$B$2="Ja",creep_res50!P9,creep_res50!L9)</f>
        <v>0.39197927838718466</v>
      </c>
      <c r="AE9" s="2">
        <f>IF('Modell einstellen'!$B$2="Ja",creep_res80!P9,creep_res80!L9)</f>
        <v>0.39737282903186527</v>
      </c>
      <c r="AF9" s="2">
        <f>IF('Modell einstellen'!$B$2="Ja",creep_res125!P9,creep_res125!L9)</f>
        <v>0.41365429589604341</v>
      </c>
      <c r="AG9" s="2">
        <f>IF('Modell einstellen'!$B$2="Ja",creep_res160!P9,creep_res160!L9)</f>
        <v>0.42847665762388393</v>
      </c>
      <c r="AL9" s="2">
        <f t="shared" si="12"/>
        <v>1.0000000000000001E-9</v>
      </c>
      <c r="AM9" s="2">
        <f t="shared" si="13"/>
        <v>8956.3853461764484</v>
      </c>
      <c r="AN9" s="2">
        <f t="shared" si="14"/>
        <v>8570.1980588932365</v>
      </c>
      <c r="AO9" s="2">
        <f t="shared" si="15"/>
        <v>8242.1892422663423</v>
      </c>
      <c r="AP9" s="2">
        <f t="shared" si="16"/>
        <v>7958.2786468847135</v>
      </c>
      <c r="AQ9" s="2">
        <f t="shared" si="17"/>
        <v>7606.797789198542</v>
      </c>
      <c r="AR9" s="2">
        <f t="shared" si="18"/>
        <v>6653.2341038317008</v>
      </c>
      <c r="AS9" s="2">
        <f t="shared" si="19"/>
        <v>5881.0552739751101</v>
      </c>
      <c r="AX9" s="2">
        <f t="shared" si="28"/>
        <v>1.0000000000000001E-9</v>
      </c>
      <c r="AY9" s="37">
        <f t="shared" si="20"/>
        <v>33536.478154290198</v>
      </c>
      <c r="AZ9" s="37">
        <f t="shared" si="21"/>
        <v>33723.038695529671</v>
      </c>
      <c r="BA9" s="37">
        <f t="shared" si="22"/>
        <v>33957.432127339969</v>
      </c>
      <c r="BB9" s="37">
        <f t="shared" si="23"/>
        <v>34184.055314255194</v>
      </c>
      <c r="BC9" s="37">
        <f t="shared" si="24"/>
        <v>34524.750922170912</v>
      </c>
      <c r="BD9" s="37">
        <f t="shared" si="25"/>
        <v>36308.978619094836</v>
      </c>
      <c r="BE9" s="37">
        <f t="shared" si="26"/>
        <v>39152.486922342272</v>
      </c>
    </row>
    <row r="10" spans="1:308" x14ac:dyDescent="0.25">
      <c r="A10" s="2">
        <f>'creep_res-40'!A10</f>
        <v>1E-8</v>
      </c>
      <c r="B10" s="3">
        <f>'creep_res-40'!O10</f>
        <v>-4.1631285714285719E-4</v>
      </c>
      <c r="C10" s="2">
        <f>IF('Modell einstellen'!$B$2="Ja",creep_res0!O10,creep_res0!C10)</f>
        <v>-4.350891142857143E-4</v>
      </c>
      <c r="D10" s="2">
        <f>IF('Modell einstellen'!$B$2="Ja",creep_res25!O10,creep_res25!C10)</f>
        <v>-4.5126900000000002E-4</v>
      </c>
      <c r="E10" s="2">
        <f>IF('Modell einstellen'!$B$2="Ja",creep_res50!O10,creep_res50!C10)</f>
        <v>-4.6574105714285716E-4</v>
      </c>
      <c r="F10" s="2">
        <f>IF('Modell einstellen'!$B$2="Ja",creep_res80!O10,creep_res80!C10)</f>
        <v>-4.8958205714285719E-4</v>
      </c>
      <c r="G10" s="2">
        <f>IF('Modell einstellen'!$B$2="Ja",creep_res125!O10,creep_res125!C10)</f>
        <v>-5.5661174285714281E-4</v>
      </c>
      <c r="H10" s="2">
        <f>IF('Modell einstellen'!$B$2="Ja",creep_res160!O10,creep_res160!C10)</f>
        <v>-6.2135062857142864E-4</v>
      </c>
      <c r="M10" s="9">
        <f t="shared" si="27"/>
        <v>-10</v>
      </c>
      <c r="N10" s="2">
        <f t="shared" si="4"/>
        <v>1E-8</v>
      </c>
      <c r="O10" s="2">
        <f t="shared" si="5"/>
        <v>24020.396748324576</v>
      </c>
      <c r="P10" s="2">
        <f t="shared" si="6"/>
        <v>22983.797276603891</v>
      </c>
      <c r="Q10" s="2">
        <f t="shared" si="7"/>
        <v>22159.731778606551</v>
      </c>
      <c r="R10" s="2">
        <f t="shared" si="8"/>
        <v>21471.158375742449</v>
      </c>
      <c r="S10" s="2">
        <f t="shared" si="9"/>
        <v>20425.585157999485</v>
      </c>
      <c r="T10" s="2">
        <f t="shared" si="10"/>
        <v>17965.844465783306</v>
      </c>
      <c r="U10" s="2">
        <f t="shared" si="11"/>
        <v>16093.972614128335</v>
      </c>
      <c r="Z10" s="2">
        <v>1E-8</v>
      </c>
      <c r="AA10" s="3">
        <f>IF('Modell einstellen'!$B$2="Ja",'creep_res-40'!P10,'creep_res-40'!L10)</f>
        <v>0.38142777238272035</v>
      </c>
      <c r="AB10" s="2">
        <f>IF('Modell einstellen'!$B$2="Ja",creep_res0!P10,creep_res0!L10)</f>
        <v>0.38742078388013651</v>
      </c>
      <c r="AC10" s="2">
        <f>IF('Modell einstellen'!$B$2="Ja",creep_res25!P10,creep_res25!L10)</f>
        <v>0.39238278847301405</v>
      </c>
      <c r="AD10" s="2">
        <f>IF('Modell einstellen'!$B$2="Ja",creep_res50!P10,creep_res50!L10)</f>
        <v>0.39652056197751084</v>
      </c>
      <c r="AE10" s="2">
        <f>IF('Modell einstellen'!$B$2="Ja",creep_res80!P10,creep_res80!L10)</f>
        <v>0.40307057821680203</v>
      </c>
      <c r="AF10" s="2">
        <f>IF('Modell einstellen'!$B$2="Ja",creep_res125!P10,creep_res125!L10)</f>
        <v>0.42014317648757582</v>
      </c>
      <c r="AG10" s="2">
        <f>IF('Modell einstellen'!$B$2="Ja",creep_res160!P10,creep_res160!L10)</f>
        <v>0.43456650103056604</v>
      </c>
      <c r="AL10" s="2">
        <f t="shared" si="12"/>
        <v>1E-8</v>
      </c>
      <c r="AM10" s="2">
        <f t="shared" si="13"/>
        <v>8694.0472851843733</v>
      </c>
      <c r="AN10" s="2">
        <f t="shared" si="14"/>
        <v>8282.9223634397895</v>
      </c>
      <c r="AO10" s="2">
        <f t="shared" si="15"/>
        <v>7957.4855284258747</v>
      </c>
      <c r="AP10" s="2">
        <f t="shared" si="16"/>
        <v>7687.376383967704</v>
      </c>
      <c r="AQ10" s="2">
        <f t="shared" si="17"/>
        <v>7278.8872759198184</v>
      </c>
      <c r="AR10" s="2">
        <f t="shared" si="18"/>
        <v>6325.3637954371716</v>
      </c>
      <c r="AS10" s="2">
        <f t="shared" si="19"/>
        <v>5609.3504910949478</v>
      </c>
      <c r="AX10" s="2">
        <f t="shared" si="28"/>
        <v>1E-8</v>
      </c>
      <c r="AY10" s="37">
        <f t="shared" si="20"/>
        <v>33763.382357764502</v>
      </c>
      <c r="AZ10" s="37">
        <f t="shared" si="21"/>
        <v>34026.110781900396</v>
      </c>
      <c r="BA10" s="37">
        <f t="shared" si="22"/>
        <v>34318.754197061076</v>
      </c>
      <c r="BB10" s="37">
        <f t="shared" si="23"/>
        <v>34582.004544510135</v>
      </c>
      <c r="BC10" s="37">
        <f t="shared" si="24"/>
        <v>35121.061596903281</v>
      </c>
      <c r="BD10" s="37">
        <f t="shared" si="25"/>
        <v>37495.949366155641</v>
      </c>
      <c r="BE10" s="37">
        <f t="shared" si="26"/>
        <v>40993.203959250131</v>
      </c>
    </row>
    <row r="11" spans="1:308" x14ac:dyDescent="0.25">
      <c r="A11" s="2">
        <f>'creep_res-40'!A11</f>
        <v>9.9999999999999995E-8</v>
      </c>
      <c r="B11" s="3">
        <f>'creep_res-40'!O11</f>
        <v>-4.2841082857142859E-4</v>
      </c>
      <c r="C11" s="2">
        <f>IF('Modell einstellen'!$B$2="Ja",creep_res0!O11,creep_res0!C11)</f>
        <v>-4.4929674285714289E-4</v>
      </c>
      <c r="D11" s="2">
        <f>IF('Modell einstellen'!$B$2="Ja",creep_res25!O11,creep_res25!C11)</f>
        <v>-4.6570742857142861E-4</v>
      </c>
      <c r="E11" s="2">
        <f>IF('Modell einstellen'!$B$2="Ja",creep_res50!O11,creep_res50!C11)</f>
        <v>-4.8362802857142864E-4</v>
      </c>
      <c r="F11" s="2">
        <f>IF('Modell einstellen'!$B$2="Ja",creep_res80!O11,creep_res80!C11)</f>
        <v>-5.1373637142857148E-4</v>
      </c>
      <c r="G11" s="2">
        <f>IF('Modell einstellen'!$B$2="Ja",creep_res125!O11,creep_res125!C11)</f>
        <v>-5.7996000000000002E-4</v>
      </c>
      <c r="H11" s="2">
        <f>IF('Modell einstellen'!$B$2="Ja",creep_res160!O11,creep_res160!C11)</f>
        <v>-6.5162028571428578E-4</v>
      </c>
      <c r="M11" s="9">
        <f t="shared" si="27"/>
        <v>-10</v>
      </c>
      <c r="N11" s="2">
        <f t="shared" si="4"/>
        <v>9.9999999999999995E-8</v>
      </c>
      <c r="O11" s="2">
        <f t="shared" si="5"/>
        <v>23342.080388924409</v>
      </c>
      <c r="P11" s="2">
        <f t="shared" si="6"/>
        <v>22257.005328835807</v>
      </c>
      <c r="Q11" s="2">
        <f t="shared" si="7"/>
        <v>21472.708800620374</v>
      </c>
      <c r="R11" s="2">
        <f t="shared" si="8"/>
        <v>20677.048080812518</v>
      </c>
      <c r="S11" s="2">
        <f t="shared" si="9"/>
        <v>19465.236561298003</v>
      </c>
      <c r="T11" s="2">
        <f t="shared" si="10"/>
        <v>17242.568452996758</v>
      </c>
      <c r="U11" s="2">
        <f t="shared" si="11"/>
        <v>15346.360785926596</v>
      </c>
      <c r="Z11" s="2">
        <v>9.9999999999999995E-8</v>
      </c>
      <c r="AA11" s="3">
        <f>IF('Modell einstellen'!$B$2="Ja",'creep_res-40'!P11,'creep_res-40'!L11)</f>
        <v>0.38573236010641054</v>
      </c>
      <c r="AB11" s="2">
        <f>IF('Modell einstellen'!$B$2="Ja",creep_res0!P11,creep_res0!L11)</f>
        <v>0.39216940684317697</v>
      </c>
      <c r="AC11" s="2">
        <f>IF('Modell einstellen'!$B$2="Ja",creep_res25!P11,creep_res25!L11)</f>
        <v>0.39697961196974679</v>
      </c>
      <c r="AD11" s="2">
        <f>IF('Modell einstellen'!$B$2="Ja",creep_res50!P11,creep_res50!L11)</f>
        <v>0.40195329574718602</v>
      </c>
      <c r="AE11" s="2">
        <f>IF('Modell einstellen'!$B$2="Ja",creep_res80!P11,creep_res80!L11)</f>
        <v>0.40992917823944497</v>
      </c>
      <c r="AF11" s="2">
        <f>IF('Modell einstellen'!$B$2="Ja",creep_res125!P11,creep_res125!L11)</f>
        <v>0.42597248578719715</v>
      </c>
      <c r="AG11" s="2">
        <f>IF('Modell einstellen'!$B$2="Ja",creep_res160!P11,creep_res160!L11)</f>
        <v>0.44137137710787738</v>
      </c>
      <c r="AL11" s="2">
        <f t="shared" si="12"/>
        <v>9.9999999999999995E-8</v>
      </c>
      <c r="AM11" s="2">
        <f t="shared" si="13"/>
        <v>8422.2902852365987</v>
      </c>
      <c r="AN11" s="2">
        <f t="shared" si="14"/>
        <v>7993.641154385381</v>
      </c>
      <c r="AO11" s="2">
        <f t="shared" si="15"/>
        <v>7685.4052187432317</v>
      </c>
      <c r="AP11" s="2">
        <f t="shared" si="16"/>
        <v>7374.3712231841728</v>
      </c>
      <c r="AQ11" s="2">
        <f t="shared" si="17"/>
        <v>6902.9128773701668</v>
      </c>
      <c r="AR11" s="2">
        <f t="shared" si="18"/>
        <v>6045.8980186697399</v>
      </c>
      <c r="AS11" s="2">
        <f t="shared" si="19"/>
        <v>5323.5276590267758</v>
      </c>
      <c r="AX11" s="2">
        <f t="shared" si="28"/>
        <v>9.9999999999999995E-8</v>
      </c>
      <c r="AY11" s="37">
        <f t="shared" si="20"/>
        <v>34045.918294192881</v>
      </c>
      <c r="AZ11" s="37">
        <f t="shared" si="21"/>
        <v>34401.191531464567</v>
      </c>
      <c r="BA11" s="37">
        <f t="shared" si="22"/>
        <v>34738.607265315688</v>
      </c>
      <c r="BB11" s="37">
        <f t="shared" si="23"/>
        <v>35148.296991701412</v>
      </c>
      <c r="BC11" s="37">
        <f t="shared" si="24"/>
        <v>36018.391196364231</v>
      </c>
      <c r="BD11" s="37">
        <f t="shared" si="25"/>
        <v>38820.179758727929</v>
      </c>
      <c r="BE11" s="37">
        <f t="shared" si="26"/>
        <v>43625.906110069838</v>
      </c>
    </row>
    <row r="12" spans="1:308" x14ac:dyDescent="0.25">
      <c r="A12" s="2">
        <f>'creep_res-40'!A12</f>
        <v>9.9999999999999995E-7</v>
      </c>
      <c r="B12" s="3">
        <f>'creep_res-40'!O12</f>
        <v>-4.4282602857142865E-4</v>
      </c>
      <c r="C12" s="2">
        <f>IF('Modell einstellen'!$B$2="Ja",creep_res0!O12,creep_res0!C12)</f>
        <v>-4.6354088571428579E-4</v>
      </c>
      <c r="D12" s="2">
        <f>IF('Modell einstellen'!$B$2="Ja",creep_res25!O12,creep_res25!C12)</f>
        <v>-4.8378871428571426E-4</v>
      </c>
      <c r="E12" s="2">
        <f>IF('Modell einstellen'!$B$2="Ja",creep_res50!O12,creep_res50!C12)</f>
        <v>-5.0662740000000008E-4</v>
      </c>
      <c r="F12" s="2">
        <f>IF('Modell einstellen'!$B$2="Ja",creep_res80!O12,creep_res80!C12)</f>
        <v>-5.4002100000000001E-4</v>
      </c>
      <c r="G12" s="2">
        <f>IF('Modell einstellen'!$B$2="Ja",creep_res125!O12,creep_res125!C12)</f>
        <v>-6.0558114285714289E-4</v>
      </c>
      <c r="H12" s="2">
        <f>IF('Modell einstellen'!$B$2="Ja",creep_res160!O12,creep_res160!C12)</f>
        <v>-6.8221957142857142E-4</v>
      </c>
      <c r="M12" s="9">
        <f t="shared" si="27"/>
        <v>-10</v>
      </c>
      <c r="N12" s="2">
        <f t="shared" si="4"/>
        <v>9.9999999999999995E-7</v>
      </c>
      <c r="O12" s="2">
        <f t="shared" si="5"/>
        <v>22582.231745185189</v>
      </c>
      <c r="P12" s="2">
        <f t="shared" si="6"/>
        <v>21573.070053120908</v>
      </c>
      <c r="Q12" s="2">
        <f t="shared" si="7"/>
        <v>20670.180400475889</v>
      </c>
      <c r="R12" s="2">
        <f t="shared" si="8"/>
        <v>19738.371829079908</v>
      </c>
      <c r="S12" s="2">
        <f t="shared" si="9"/>
        <v>18517.798381914778</v>
      </c>
      <c r="T12" s="2">
        <f t="shared" si="10"/>
        <v>16513.063720610284</v>
      </c>
      <c r="U12" s="2">
        <f t="shared" si="11"/>
        <v>14658.037410243078</v>
      </c>
      <c r="Z12" s="2">
        <v>9.9999999999999995E-7</v>
      </c>
      <c r="AA12" s="3">
        <f>IF('Modell einstellen'!$B$2="Ja",'creep_res-40'!P12,'creep_res-40'!L12)</f>
        <v>0.39068337123814695</v>
      </c>
      <c r="AB12" s="2">
        <f>IF('Modell einstellen'!$B$2="Ja",creep_res0!P12,creep_res0!L12)</f>
        <v>0.39676538934984368</v>
      </c>
      <c r="AC12" s="2">
        <f>IF('Modell einstellen'!$B$2="Ja",creep_res25!P12,creep_res25!L12)</f>
        <v>0.40251787010917695</v>
      </c>
      <c r="AD12" s="2">
        <f>IF('Modell einstellen'!$B$2="Ja",creep_res50!P12,creep_res50!L12)</f>
        <v>0.40864505157044401</v>
      </c>
      <c r="AE12" s="2">
        <f>IF('Modell einstellen'!$B$2="Ja",creep_res80!P12,creep_res80!L12)</f>
        <v>0.41707084936114919</v>
      </c>
      <c r="AF12" s="2">
        <f>IF('Modell einstellen'!$B$2="Ja",creep_res125!P12,creep_res125!L12)</f>
        <v>0.43215616262820034</v>
      </c>
      <c r="AG12" s="2">
        <f>IF('Modell einstellen'!$B$2="Ja",creep_res160!P12,creep_res160!L12)</f>
        <v>0.4480558312080925</v>
      </c>
      <c r="AL12" s="2">
        <f t="shared" si="12"/>
        <v>9.9999999999999995E-7</v>
      </c>
      <c r="AM12" s="2">
        <f t="shared" si="13"/>
        <v>8119.1133122846923</v>
      </c>
      <c r="AN12" s="2">
        <f t="shared" si="14"/>
        <v>7722.5102431706819</v>
      </c>
      <c r="AO12" s="2">
        <f t="shared" si="15"/>
        <v>7368.9543787655439</v>
      </c>
      <c r="AP12" s="2">
        <f t="shared" si="16"/>
        <v>7006.1552436770207</v>
      </c>
      <c r="AQ12" s="2">
        <f t="shared" si="17"/>
        <v>6533.8294095397778</v>
      </c>
      <c r="AR12" s="2">
        <f t="shared" si="18"/>
        <v>5765.1058423358591</v>
      </c>
      <c r="AS12" s="2">
        <f t="shared" si="19"/>
        <v>5061.2818561056738</v>
      </c>
      <c r="AX12" s="2">
        <f t="shared" si="28"/>
        <v>9.9999999999999995E-7</v>
      </c>
      <c r="AY12" s="37">
        <f t="shared" si="20"/>
        <v>34429.394077487086</v>
      </c>
      <c r="AZ12" s="37">
        <f t="shared" si="21"/>
        <v>34828.548806220606</v>
      </c>
      <c r="BA12" s="37">
        <f t="shared" si="22"/>
        <v>35340.11895928318</v>
      </c>
      <c r="BB12" s="37">
        <f t="shared" si="23"/>
        <v>36010.404414126533</v>
      </c>
      <c r="BC12" s="37">
        <f t="shared" si="24"/>
        <v>37216.102016523655</v>
      </c>
      <c r="BD12" s="37">
        <f t="shared" si="25"/>
        <v>40566.356405900551</v>
      </c>
      <c r="BE12" s="37">
        <f t="shared" si="26"/>
        <v>47031.385656153085</v>
      </c>
    </row>
    <row r="13" spans="1:308" x14ac:dyDescent="0.25">
      <c r="A13" s="2">
        <f>'creep_res-40'!A13</f>
        <v>1.0000000000000001E-5</v>
      </c>
      <c r="B13" s="3">
        <f>'creep_res-40'!O13</f>
        <v>-4.5658385714285717E-4</v>
      </c>
      <c r="C13" s="2">
        <f>IF('Modell einstellen'!$B$2="Ja",creep_res0!O13,creep_res0!C13)</f>
        <v>-4.8108748571428574E-4</v>
      </c>
      <c r="D13" s="2">
        <f>IF('Modell einstellen'!$B$2="Ja",creep_res25!O13,creep_res25!C13)</f>
        <v>-5.0694940000000006E-4</v>
      </c>
      <c r="E13" s="2">
        <f>IF('Modell einstellen'!$B$2="Ja",creep_res50!O13,creep_res50!C13)</f>
        <v>-5.3271571428571435E-4</v>
      </c>
      <c r="F13" s="2">
        <f>IF('Modell einstellen'!$B$2="Ja",creep_res80!O13,creep_res80!C13)</f>
        <v>-5.6337371428571439E-4</v>
      </c>
      <c r="G13" s="2">
        <f>IF('Modell einstellen'!$B$2="Ja",creep_res125!O13,creep_res125!C13)</f>
        <v>-6.3340537142857146E-4</v>
      </c>
      <c r="H13" s="2">
        <f>IF('Modell einstellen'!$B$2="Ja",creep_res160!O13,creep_res160!C13)</f>
        <v>-7.24981542857143E-4</v>
      </c>
      <c r="M13" s="9">
        <f t="shared" si="27"/>
        <v>-10</v>
      </c>
      <c r="N13" s="2">
        <f t="shared" si="4"/>
        <v>1.0000000000000001E-5</v>
      </c>
      <c r="O13" s="2">
        <f t="shared" si="5"/>
        <v>21901.781772523715</v>
      </c>
      <c r="P13" s="2">
        <f t="shared" si="6"/>
        <v>20786.240126684414</v>
      </c>
      <c r="Q13" s="2">
        <f t="shared" si="7"/>
        <v>19725.834570471921</v>
      </c>
      <c r="R13" s="2">
        <f t="shared" si="8"/>
        <v>18771.738343420904</v>
      </c>
      <c r="S13" s="2">
        <f t="shared" si="9"/>
        <v>17750.206916697767</v>
      </c>
      <c r="T13" s="2">
        <f t="shared" si="10"/>
        <v>15787.67792487483</v>
      </c>
      <c r="U13" s="2">
        <f t="shared" si="11"/>
        <v>13793.454603809812</v>
      </c>
      <c r="Z13" s="2">
        <v>1.0000000000000001E-5</v>
      </c>
      <c r="AA13" s="3">
        <f>IF('Modell einstellen'!$B$2="Ja",'creep_res-40'!P13,'creep_res-40'!L13)</f>
        <v>0.39525261358655128</v>
      </c>
      <c r="AB13" s="2">
        <f>IF('Modell einstellen'!$B$2="Ja",creep_res0!P13,creep_res0!L13)</f>
        <v>0.40221594385387111</v>
      </c>
      <c r="AC13" s="2">
        <f>IF('Modell einstellen'!$B$2="Ja",creep_res25!P13,creep_res25!L13)</f>
        <v>0.4093140825720053</v>
      </c>
      <c r="AD13" s="2">
        <f>IF('Modell einstellen'!$B$2="Ja",creep_res50!P13,creep_res50!L13)</f>
        <v>0.41590602867785276</v>
      </c>
      <c r="AE13" s="2">
        <f>IF('Modell einstellen'!$B$2="Ja",creep_res80!P13,creep_res80!L13)</f>
        <v>0.42318615199857185</v>
      </c>
      <c r="AF13" s="2">
        <f>IF('Modell einstellen'!$B$2="Ja",creep_res125!P13,creep_res125!L13)</f>
        <v>0.43864868663660572</v>
      </c>
      <c r="AG13" s="2">
        <f>IF('Modell einstellen'!$B$2="Ja",creep_res160!P13,creep_res160!L13)</f>
        <v>0.45703185192419077</v>
      </c>
      <c r="AL13" s="2">
        <f t="shared" si="12"/>
        <v>1.0000000000000001E-5</v>
      </c>
      <c r="AM13" s="2">
        <f t="shared" si="13"/>
        <v>7848.6797155048253</v>
      </c>
      <c r="AN13" s="2">
        <f t="shared" si="14"/>
        <v>7411.9254661857585</v>
      </c>
      <c r="AO13" s="2">
        <f t="shared" si="15"/>
        <v>6998.3812744112274</v>
      </c>
      <c r="AP13" s="2">
        <f t="shared" si="16"/>
        <v>6628.8785990090082</v>
      </c>
      <c r="AQ13" s="2">
        <f t="shared" si="17"/>
        <v>6236.0805337275306</v>
      </c>
      <c r="AR13" s="2">
        <f t="shared" si="18"/>
        <v>5486.9816625574504</v>
      </c>
      <c r="AS13" s="2">
        <f t="shared" si="19"/>
        <v>4733.4087396901623</v>
      </c>
      <c r="AX13" s="2">
        <f t="shared" si="28"/>
        <v>1.0000000000000001E-5</v>
      </c>
      <c r="AY13" s="37">
        <f t="shared" si="20"/>
        <v>34848.57319188078</v>
      </c>
      <c r="AZ13" s="37">
        <f t="shared" si="21"/>
        <v>35428.816220000408</v>
      </c>
      <c r="BA13" s="37">
        <f t="shared" si="22"/>
        <v>36253.02790468061</v>
      </c>
      <c r="BB13" s="37">
        <f t="shared" si="23"/>
        <v>37203.892360508056</v>
      </c>
      <c r="BC13" s="37">
        <f t="shared" si="24"/>
        <v>38513.469855000949</v>
      </c>
      <c r="BD13" s="37">
        <f t="shared" si="25"/>
        <v>42888.725764683921</v>
      </c>
      <c r="BE13" s="37">
        <f t="shared" si="26"/>
        <v>53502.634011104579</v>
      </c>
    </row>
    <row r="14" spans="1:308" x14ac:dyDescent="0.25">
      <c r="A14" s="2">
        <f>'creep_res-40'!A14</f>
        <v>1E-4</v>
      </c>
      <c r="B14" s="3">
        <f>'creep_res-40'!O14</f>
        <v>-4.7222405714285716E-4</v>
      </c>
      <c r="C14" s="2">
        <f>IF('Modell einstellen'!$B$2="Ja",creep_res0!O14,creep_res0!C14)</f>
        <v>-5.0375437142857141E-4</v>
      </c>
      <c r="D14" s="2">
        <f>IF('Modell einstellen'!$B$2="Ja",creep_res25!O14,creep_res25!C14)</f>
        <v>-5.3302717142857147E-4</v>
      </c>
      <c r="E14" s="2">
        <f>IF('Modell einstellen'!$B$2="Ja",creep_res50!O14,creep_res50!C14)</f>
        <v>-5.569610571428572E-4</v>
      </c>
      <c r="F14" s="2">
        <f>IF('Modell einstellen'!$B$2="Ja",creep_res80!O14,creep_res80!C14)</f>
        <v>-5.8787177142857142E-4</v>
      </c>
      <c r="G14" s="2">
        <f>IF('Modell einstellen'!$B$2="Ja",creep_res125!O14,creep_res125!C14)</f>
        <v>-6.6375940000000001E-4</v>
      </c>
      <c r="H14" s="2">
        <f>IF('Modell einstellen'!$B$2="Ja",creep_res160!O14,creep_res160!C14)</f>
        <v>-7.7555411428571427E-4</v>
      </c>
      <c r="M14" s="9">
        <f t="shared" si="27"/>
        <v>-10</v>
      </c>
      <c r="N14" s="2">
        <f t="shared" si="4"/>
        <v>1E-4</v>
      </c>
      <c r="O14" s="2">
        <f t="shared" si="5"/>
        <v>21176.388302840744</v>
      </c>
      <c r="P14" s="2">
        <f t="shared" si="6"/>
        <v>19850.944363304498</v>
      </c>
      <c r="Q14" s="2">
        <f t="shared" si="7"/>
        <v>18760.769686841479</v>
      </c>
      <c r="R14" s="2">
        <f t="shared" si="8"/>
        <v>17954.576665195927</v>
      </c>
      <c r="S14" s="2">
        <f t="shared" si="9"/>
        <v>17010.512302196905</v>
      </c>
      <c r="T14" s="2">
        <f t="shared" si="10"/>
        <v>15065.700011178749</v>
      </c>
      <c r="U14" s="2">
        <f t="shared" si="11"/>
        <v>12894.006769869315</v>
      </c>
      <c r="Z14" s="2">
        <v>1E-4</v>
      </c>
      <c r="AA14" s="3">
        <f>IF('Modell einstellen'!$B$2="Ja",'creep_res-40'!P14,'creep_res-40'!L14)</f>
        <v>0.40026364603437042</v>
      </c>
      <c r="AB14" s="2">
        <f>IF('Modell einstellen'!$B$2="Ja",creep_res0!P14,creep_res0!L14)</f>
        <v>0.40896594559151084</v>
      </c>
      <c r="AC14" s="2">
        <f>IF('Modell einstellen'!$B$2="Ja",creep_res25!P14,creep_res25!L14)</f>
        <v>0.41663750617698336</v>
      </c>
      <c r="AD14" s="2">
        <f>IF('Modell einstellen'!$B$2="Ja",creep_res50!P14,creep_res50!L14)</f>
        <v>0.42239884737773664</v>
      </c>
      <c r="AE14" s="2">
        <f>IF('Modell einstellen'!$B$2="Ja",creep_res80!P14,creep_res80!L14)</f>
        <v>0.42935574580112512</v>
      </c>
      <c r="AF14" s="2">
        <f>IF('Modell einstellen'!$B$2="Ja",creep_res125!P14,creep_res125!L14)</f>
        <v>0.44552335422400691</v>
      </c>
      <c r="AG14" s="2">
        <f>IF('Modell einstellen'!$B$2="Ja",creep_res160!P14,creep_res160!L14)</f>
        <v>0.46730146195195965</v>
      </c>
      <c r="AL14" s="2">
        <f t="shared" si="12"/>
        <v>1E-4</v>
      </c>
      <c r="AM14" s="2">
        <f t="shared" si="13"/>
        <v>7561.5718378512247</v>
      </c>
      <c r="AN14" s="2">
        <f t="shared" si="14"/>
        <v>7044.5082173262499</v>
      </c>
      <c r="AO14" s="2">
        <f t="shared" si="15"/>
        <v>6621.5844226341051</v>
      </c>
      <c r="AP14" s="2">
        <f t="shared" si="16"/>
        <v>6311.3720523241727</v>
      </c>
      <c r="AQ14" s="2">
        <f t="shared" si="17"/>
        <v>5950.4123980915811</v>
      </c>
      <c r="AR14" s="2">
        <f t="shared" si="18"/>
        <v>5211.1575946368548</v>
      </c>
      <c r="AS14" s="2">
        <f t="shared" si="19"/>
        <v>4393.7824312927287</v>
      </c>
      <c r="AX14" s="2">
        <f t="shared" si="28"/>
        <v>1E-4</v>
      </c>
      <c r="AY14" s="37">
        <f t="shared" si="20"/>
        <v>35387.277658954059</v>
      </c>
      <c r="AZ14" s="37">
        <f t="shared" si="21"/>
        <v>36343.440361027038</v>
      </c>
      <c r="BA14" s="37">
        <f t="shared" si="22"/>
        <v>37508.414208976021</v>
      </c>
      <c r="BB14" s="37">
        <f t="shared" si="23"/>
        <v>38561.662334649511</v>
      </c>
      <c r="BC14" s="37">
        <f t="shared" si="24"/>
        <v>40131.860911409232</v>
      </c>
      <c r="BD14" s="37">
        <f t="shared" si="25"/>
        <v>46092.228442039224</v>
      </c>
      <c r="BE14" s="37">
        <f t="shared" si="26"/>
        <v>65721.627222423907</v>
      </c>
    </row>
    <row r="15" spans="1:308" x14ac:dyDescent="0.25">
      <c r="A15" s="2">
        <f>'creep_res-40'!A15</f>
        <v>1E-3</v>
      </c>
      <c r="B15" s="3">
        <f>'creep_res-40'!O15</f>
        <v>-4.9287082857142855E-4</v>
      </c>
      <c r="C15" s="2">
        <f>IF('Modell einstellen'!$B$2="Ja",creep_res0!O15,creep_res0!C15)</f>
        <v>-5.2969905714285719E-4</v>
      </c>
      <c r="D15" s="2">
        <f>IF('Modell einstellen'!$B$2="Ja",creep_res25!O15,creep_res25!C15)</f>
        <v>-5.5704579999999999E-4</v>
      </c>
      <c r="E15" s="2">
        <f>IF('Modell einstellen'!$B$2="Ja",creep_res50!O15,creep_res50!C15)</f>
        <v>-5.8063117142857139E-4</v>
      </c>
      <c r="F15" s="2">
        <f>IF('Modell einstellen'!$B$2="Ja",creep_res80!O15,creep_res80!C15)</f>
        <v>-6.1364405714285717E-4</v>
      </c>
      <c r="G15" s="2">
        <f>IF('Modell einstellen'!$B$2="Ja",creep_res125!O15,creep_res125!C15)</f>
        <v>-6.9877779999999998E-4</v>
      </c>
      <c r="H15" s="2">
        <f>IF('Modell einstellen'!$B$2="Ja",creep_res160!O15,creep_res160!C15)</f>
        <v>-8.4309208571428575E-4</v>
      </c>
      <c r="M15" s="9">
        <f t="shared" si="27"/>
        <v>-10</v>
      </c>
      <c r="N15" s="2">
        <f t="shared" si="4"/>
        <v>1E-3</v>
      </c>
      <c r="O15" s="2">
        <f t="shared" si="5"/>
        <v>20289.291677060097</v>
      </c>
      <c r="P15" s="2">
        <f t="shared" si="6"/>
        <v>18878.644137935571</v>
      </c>
      <c r="Q15" s="2">
        <f t="shared" si="7"/>
        <v>17951.845252221632</v>
      </c>
      <c r="R15" s="2">
        <f t="shared" si="8"/>
        <v>17222.637178428147</v>
      </c>
      <c r="S15" s="2">
        <f t="shared" si="9"/>
        <v>16296.091982965276</v>
      </c>
      <c r="T15" s="2">
        <f t="shared" si="10"/>
        <v>14310.70076925741</v>
      </c>
      <c r="U15" s="2">
        <f t="shared" si="11"/>
        <v>11861.100548142122</v>
      </c>
      <c r="Z15" s="2">
        <v>1E-3</v>
      </c>
      <c r="AA15" s="3">
        <f>IF('Modell einstellen'!$B$2="Ja",'creep_res-40'!P15,'creep_res-40'!L15)</f>
        <v>0.40661691191299681</v>
      </c>
      <c r="AB15" s="2">
        <f>IF('Modell einstellen'!$B$2="Ja",creep_res0!P15,creep_res0!L15)</f>
        <v>0.41636047034146129</v>
      </c>
      <c r="AC15" s="2">
        <f>IF('Modell einstellen'!$B$2="Ja",creep_res25!P15,creep_res25!L15)</f>
        <v>0.42313240927150236</v>
      </c>
      <c r="AD15" s="2">
        <f>IF('Modell einstellen'!$B$2="Ja",creep_res50!P15,creep_res50!L15)</f>
        <v>0.42849750549783489</v>
      </c>
      <c r="AE15" s="2">
        <f>IF('Modell einstellen'!$B$2="Ja",creep_res80!P15,creep_res80!L15)</f>
        <v>0.43564310571479736</v>
      </c>
      <c r="AF15" s="2">
        <f>IF('Modell einstellen'!$B$2="Ja",creep_res125!P15,creep_res125!L15)</f>
        <v>0.4531691925939425</v>
      </c>
      <c r="AG15" s="2">
        <f>IF('Modell einstellen'!$B$2="Ja",creep_res160!P15,creep_res160!L15)</f>
        <v>0.48037016664812376</v>
      </c>
      <c r="AL15" s="2">
        <f t="shared" si="12"/>
        <v>1E-3</v>
      </c>
      <c r="AM15" s="2">
        <f t="shared" si="13"/>
        <v>7212.0886309644511</v>
      </c>
      <c r="AN15" s="2">
        <f t="shared" si="14"/>
        <v>6664.4913259208079</v>
      </c>
      <c r="AO15" s="2">
        <f t="shared" si="15"/>
        <v>6307.1591705971805</v>
      </c>
      <c r="AP15" s="2">
        <f t="shared" si="16"/>
        <v>6028.2349504089671</v>
      </c>
      <c r="AQ15" s="2">
        <f t="shared" si="17"/>
        <v>5675.5372968728034</v>
      </c>
      <c r="AR15" s="2">
        <f t="shared" si="18"/>
        <v>4923.9623445747775</v>
      </c>
      <c r="AS15" s="2">
        <f t="shared" si="19"/>
        <v>4006.1265808261332</v>
      </c>
      <c r="AX15" s="2">
        <f t="shared" si="28"/>
        <v>1E-3</v>
      </c>
      <c r="AY15" s="37">
        <f t="shared" si="20"/>
        <v>36211.574088156383</v>
      </c>
      <c r="AZ15" s="37">
        <f t="shared" si="21"/>
        <v>37619.06245170653</v>
      </c>
      <c r="BA15" s="37">
        <f t="shared" si="22"/>
        <v>38923.741206765451</v>
      </c>
      <c r="BB15" s="37">
        <f t="shared" si="23"/>
        <v>40144.606838172716</v>
      </c>
      <c r="BC15" s="37">
        <f t="shared" si="24"/>
        <v>42202.398991753347</v>
      </c>
      <c r="BD15" s="37">
        <f t="shared" si="25"/>
        <v>50930.507650562598</v>
      </c>
      <c r="BE15" s="37">
        <f t="shared" si="26"/>
        <v>100706.41232255145</v>
      </c>
    </row>
    <row r="16" spans="1:308" x14ac:dyDescent="0.25">
      <c r="A16" s="2">
        <f>'creep_res-40'!A16</f>
        <v>0.01</v>
      </c>
      <c r="B16" s="3">
        <f>'creep_res-40'!O16</f>
        <v>-5.1801585714285716E-4</v>
      </c>
      <c r="C16" s="2">
        <f>IF('Modell einstellen'!$B$2="Ja",creep_res0!O16,creep_res0!C16)</f>
        <v>-5.5408702857142863E-4</v>
      </c>
      <c r="D16" s="2">
        <f>IF('Modell einstellen'!$B$2="Ja",creep_res25!O16,creep_res25!C16)</f>
        <v>-5.8081520000000011E-4</v>
      </c>
      <c r="E16" s="2">
        <f>IF('Modell einstellen'!$B$2="Ja",creep_res50!O16,creep_res50!C16)</f>
        <v>-6.0616185714285715E-4</v>
      </c>
      <c r="F16" s="2">
        <f>IF('Modell einstellen'!$B$2="Ja",creep_res80!O16,creep_res80!C16)</f>
        <v>-6.4314922857142858E-4</v>
      </c>
      <c r="G16" s="2">
        <f>IF('Modell einstellen'!$B$2="Ja",creep_res125!O16,creep_res125!C16)</f>
        <v>-7.4557468571428585E-4</v>
      </c>
      <c r="H16" s="2">
        <f>IF('Modell einstellen'!$B$2="Ja",creep_res160!O16,creep_res160!C16)</f>
        <v>-9.3429554285714294E-4</v>
      </c>
      <c r="M16" s="9">
        <f t="shared" si="27"/>
        <v>-10</v>
      </c>
      <c r="N16" s="2">
        <f t="shared" si="4"/>
        <v>0.01</v>
      </c>
      <c r="O16" s="2">
        <f t="shared" si="5"/>
        <v>19304.428353130945</v>
      </c>
      <c r="P16" s="2">
        <f t="shared" si="6"/>
        <v>18047.706378874158</v>
      </c>
      <c r="Q16" s="2">
        <f t="shared" si="7"/>
        <v>17217.180266632138</v>
      </c>
      <c r="R16" s="2">
        <f t="shared" si="8"/>
        <v>16497.243899731639</v>
      </c>
      <c r="S16" s="2">
        <f t="shared" si="9"/>
        <v>15548.491012283619</v>
      </c>
      <c r="T16" s="2">
        <f t="shared" si="10"/>
        <v>13412.472541794603</v>
      </c>
      <c r="U16" s="2">
        <f t="shared" si="11"/>
        <v>10703.251317478494</v>
      </c>
      <c r="Z16" s="2">
        <v>0.01</v>
      </c>
      <c r="AA16" s="3">
        <f>IF('Modell einstellen'!$B$2="Ja",'creep_res-40'!P16,'creep_res-40'!L16)</f>
        <v>0.41402304562656794</v>
      </c>
      <c r="AB16" s="2">
        <f>IF('Modell einstellen'!$B$2="Ja",creep_res0!P16,creep_res0!L16)</f>
        <v>0.42304896301488693</v>
      </c>
      <c r="AC16" s="2">
        <f>IF('Modell einstellen'!$B$2="Ja",creep_res25!P16,creep_res25!L16)</f>
        <v>0.4293171833558862</v>
      </c>
      <c r="AD16" s="2">
        <f>IF('Modell einstellen'!$B$2="Ja",creep_res50!P16,creep_res50!L16)</f>
        <v>0.43486516213373472</v>
      </c>
      <c r="AE16" s="2">
        <f>IF('Modell einstellen'!$B$2="Ja",creep_res80!P16,creep_res80!L16)</f>
        <v>0.44259302540005935</v>
      </c>
      <c r="AF16" s="2">
        <f>IF('Modell einstellen'!$B$2="Ja",creep_res125!P16,creep_res125!L16)</f>
        <v>0.46296053736343123</v>
      </c>
      <c r="AG16" s="2">
        <f>IF('Modell einstellen'!$B$2="Ja",creep_res160!P16,creep_res160!L16)</f>
        <v>0.49644199461632577</v>
      </c>
      <c r="AL16" s="2">
        <f t="shared" si="12"/>
        <v>0.01</v>
      </c>
      <c r="AM16" s="2">
        <f t="shared" si="13"/>
        <v>6826.065675816817</v>
      </c>
      <c r="AN16" s="2">
        <f t="shared" si="14"/>
        <v>6341.2106146502829</v>
      </c>
      <c r="AO16" s="2">
        <f t="shared" si="15"/>
        <v>6022.8689849680577</v>
      </c>
      <c r="AP16" s="2">
        <f t="shared" si="16"/>
        <v>5748.7087759518809</v>
      </c>
      <c r="AQ16" s="2">
        <f t="shared" si="17"/>
        <v>5389.077424650558</v>
      </c>
      <c r="AR16" s="2">
        <f t="shared" si="18"/>
        <v>4584.0172032140918</v>
      </c>
      <c r="AS16" s="2">
        <f t="shared" si="19"/>
        <v>3576.233277328839</v>
      </c>
      <c r="AX16" s="2">
        <f t="shared" si="28"/>
        <v>0.01</v>
      </c>
      <c r="AY16" s="37">
        <f t="shared" si="20"/>
        <v>37421.710840644082</v>
      </c>
      <c r="AZ16" s="37">
        <f t="shared" si="21"/>
        <v>39089.155663069367</v>
      </c>
      <c r="BA16" s="37">
        <f t="shared" si="22"/>
        <v>40597.279235301292</v>
      </c>
      <c r="BB16" s="37">
        <f t="shared" si="23"/>
        <v>42213.057405633284</v>
      </c>
      <c r="BC16" s="37">
        <f t="shared" si="24"/>
        <v>45141.120687391449</v>
      </c>
      <c r="BD16" s="37">
        <f t="shared" si="25"/>
        <v>60352.173902547278</v>
      </c>
      <c r="BE16" s="37">
        <f t="shared" si="26"/>
        <v>501369.45485383167</v>
      </c>
    </row>
    <row r="17" spans="1:57" x14ac:dyDescent="0.25">
      <c r="A17" s="2">
        <f>'creep_res-40'!A17</f>
        <v>0.1</v>
      </c>
      <c r="B17" s="3">
        <f>'creep_res-40'!O17</f>
        <v>-5.4382945714285722E-4</v>
      </c>
      <c r="C17" s="2">
        <f>IF('Modell einstellen'!$B$2="Ja",creep_res0!O17,creep_res0!C17)</f>
        <v>-5.774936857142857E-4</v>
      </c>
      <c r="D17" s="2">
        <f>IF('Modell einstellen'!$B$2="Ja",creep_res25!O17,creep_res25!C17)</f>
        <v>-6.0632237142857145E-4</v>
      </c>
      <c r="E17" s="2">
        <f>IF('Modell einstellen'!$B$2="Ja",creep_res50!O17,creep_res50!C17)</f>
        <v>-6.3452037142857146E-4</v>
      </c>
      <c r="F17" s="2">
        <f>IF('Modell einstellen'!$B$2="Ja",creep_res80!O17,creep_res80!C17)</f>
        <v>-6.7329702857142854E-4</v>
      </c>
      <c r="G17" s="2">
        <f>IF('Modell einstellen'!$B$2="Ja",creep_res125!O17,creep_res125!C17)</f>
        <v>-8.0384180000000007E-4</v>
      </c>
      <c r="H17" s="2">
        <f>IF('Modell einstellen'!$B$2="Ja",creep_res160!O17,creep_res160!C17)</f>
        <v>-1.0801062E-3</v>
      </c>
      <c r="M17" s="9">
        <f t="shared" si="27"/>
        <v>-10</v>
      </c>
      <c r="N17" s="2">
        <f t="shared" si="4"/>
        <v>0.1</v>
      </c>
      <c r="O17" s="2">
        <f t="shared" si="5"/>
        <v>18388.117577406487</v>
      </c>
      <c r="P17" s="2">
        <f t="shared" si="6"/>
        <v>17316.206648443753</v>
      </c>
      <c r="Q17" s="2">
        <f t="shared" si="7"/>
        <v>16492.876514582083</v>
      </c>
      <c r="R17" s="2">
        <f t="shared" si="8"/>
        <v>15759.935299611905</v>
      </c>
      <c r="S17" s="2">
        <f t="shared" si="9"/>
        <v>14852.2859535227</v>
      </c>
      <c r="T17" s="2">
        <f t="shared" si="10"/>
        <v>12440.258767334566</v>
      </c>
      <c r="U17" s="2">
        <f t="shared" si="11"/>
        <v>9258.3488549551894</v>
      </c>
      <c r="Z17" s="2">
        <v>0.1</v>
      </c>
      <c r="AA17" s="3">
        <f>IF('Modell einstellen'!$B$2="Ja",'creep_res-40'!P17,'creep_res-40'!L17)</f>
        <v>0.4213196458490584</v>
      </c>
      <c r="AB17" s="2">
        <f>IF('Modell einstellen'!$B$2="Ja",creep_res0!P17,creep_res0!L17)</f>
        <v>0.42922859416298381</v>
      </c>
      <c r="AC17" s="2">
        <f>IF('Modell einstellen'!$B$2="Ja",creep_res25!P17,creep_res25!L17)</f>
        <v>0.43574343266615878</v>
      </c>
      <c r="AD17" s="2">
        <f>IF('Modell einstellen'!$B$2="Ja",creep_res50!P17,creep_res50!L17)</f>
        <v>0.44169083752934107</v>
      </c>
      <c r="AE17" s="2">
        <f>IF('Modell einstellen'!$B$2="Ja",creep_res80!P17,creep_res80!L17)</f>
        <v>0.4494153631027461</v>
      </c>
      <c r="AF17" s="2">
        <f>IF('Modell einstellen'!$B$2="Ja",creep_res125!P17,creep_res125!L17)</f>
        <v>0.47355017936542809</v>
      </c>
      <c r="AG17" s="2">
        <f>IF('Modell einstellen'!$B$2="Ja",creep_res160!P17,creep_res160!L17)</f>
        <v>0.51303529227033418</v>
      </c>
      <c r="AL17" s="2">
        <f t="shared" si="12"/>
        <v>0.1</v>
      </c>
      <c r="AM17" s="2">
        <f t="shared" si="13"/>
        <v>6468.6777640443843</v>
      </c>
      <c r="AN17" s="2">
        <f t="shared" si="14"/>
        <v>6057.8856031721252</v>
      </c>
      <c r="AO17" s="2">
        <f t="shared" si="15"/>
        <v>5743.6712365645317</v>
      </c>
      <c r="AP17" s="2">
        <f t="shared" si="16"/>
        <v>5465.7818754747968</v>
      </c>
      <c r="AQ17" s="2">
        <f t="shared" si="17"/>
        <v>5123.5437168709832</v>
      </c>
      <c r="AR17" s="2">
        <f t="shared" si="18"/>
        <v>4221.1859974432145</v>
      </c>
      <c r="AS17" s="2">
        <f t="shared" si="19"/>
        <v>3059.5283871610445</v>
      </c>
      <c r="AX17" s="2">
        <f t="shared" si="28"/>
        <v>0.1</v>
      </c>
      <c r="AY17" s="37">
        <f t="shared" si="20"/>
        <v>38951.098987451682</v>
      </c>
      <c r="AZ17" s="37">
        <f t="shared" si="21"/>
        <v>40779.668105699609</v>
      </c>
      <c r="BA17" s="37">
        <f t="shared" si="22"/>
        <v>42778.705220106953</v>
      </c>
      <c r="BB17" s="37">
        <f t="shared" si="23"/>
        <v>45047.052160805426</v>
      </c>
      <c r="BC17" s="37">
        <f t="shared" si="24"/>
        <v>48935.430677929115</v>
      </c>
      <c r="BD17" s="37">
        <f t="shared" si="25"/>
        <v>78389.055633608659</v>
      </c>
      <c r="BE17" s="37">
        <f t="shared" si="26"/>
        <v>-118375.41579364783</v>
      </c>
    </row>
    <row r="18" spans="1:57" x14ac:dyDescent="0.25">
      <c r="A18" s="2">
        <f>'creep_res-40'!A18</f>
        <v>1</v>
      </c>
      <c r="B18" s="3">
        <f>'creep_res-40'!O18</f>
        <v>-5.6631957142857148E-4</v>
      </c>
      <c r="C18" s="2">
        <f>IF('Modell einstellen'!$B$2="Ja",creep_res0!O18,creep_res0!C18)</f>
        <v>-6.0290725714285721E-4</v>
      </c>
      <c r="D18" s="2">
        <f>IF('Modell einstellen'!$B$2="Ja",creep_res25!O18,creep_res25!C18)</f>
        <v>-6.3484974285714293E-4</v>
      </c>
      <c r="E18" s="2">
        <f>IF('Modell einstellen'!$B$2="Ja",creep_res50!O18,creep_res50!C18)</f>
        <v>-6.6471354285714285E-4</v>
      </c>
      <c r="F18" s="2">
        <f>IF('Modell einstellen'!$B$2="Ja",creep_res80!O18,creep_res80!C18)</f>
        <v>-7.1481365714285718E-4</v>
      </c>
      <c r="G18" s="2">
        <f>IF('Modell einstellen'!$B$2="Ja",creep_res125!O18,creep_res125!C18)</f>
        <v>-8.9073805714285725E-4</v>
      </c>
      <c r="H18" s="2">
        <f>IF('Modell einstellen'!$B$2="Ja",creep_res160!O18,creep_res160!C18)</f>
        <v>-1.3319143428571429E-3</v>
      </c>
      <c r="M18" s="9">
        <f t="shared" si="27"/>
        <v>-10</v>
      </c>
      <c r="N18" s="2">
        <f t="shared" si="4"/>
        <v>1</v>
      </c>
      <c r="O18" s="2">
        <f t="shared" si="5"/>
        <v>17657.874642711824</v>
      </c>
      <c r="P18" s="2">
        <f t="shared" si="6"/>
        <v>16586.298939889071</v>
      </c>
      <c r="Q18" s="2">
        <f t="shared" si="7"/>
        <v>15751.758762624639</v>
      </c>
      <c r="R18" s="2">
        <f t="shared" si="8"/>
        <v>15044.074409883286</v>
      </c>
      <c r="S18" s="2">
        <f t="shared" si="9"/>
        <v>13989.659962528494</v>
      </c>
      <c r="T18" s="2">
        <f t="shared" si="10"/>
        <v>11226.645049922003</v>
      </c>
      <c r="U18" s="2">
        <f t="shared" si="11"/>
        <v>7507.9903250749585</v>
      </c>
      <c r="Z18" s="2">
        <v>1</v>
      </c>
      <c r="AA18" s="3">
        <f>IF('Modell einstellen'!$B$2="Ja",'creep_res-40'!P18,'creep_res-40'!L18)</f>
        <v>0.42745693055183126</v>
      </c>
      <c r="AB18" s="2">
        <f>IF('Modell einstellen'!$B$2="Ja",creep_res0!P18,creep_res0!L18)</f>
        <v>0.43572199258886246</v>
      </c>
      <c r="AC18" s="2">
        <f>IF('Modell einstellen'!$B$2="Ja",creep_res25!P18,creep_res25!L18)</f>
        <v>0.44266577184675554</v>
      </c>
      <c r="AD18" s="2">
        <f>IF('Modell einstellen'!$B$2="Ja",creep_res50!P18,creep_res50!L18)</f>
        <v>0.44859117401119813</v>
      </c>
      <c r="AE18" s="2">
        <f>IF('Modell einstellen'!$B$2="Ja",creep_res80!P18,creep_res80!L18)</f>
        <v>0.45747459138001917</v>
      </c>
      <c r="AF18" s="2">
        <f>IF('Modell einstellen'!$B$2="Ja",creep_res125!P18,creep_res125!L18)</f>
        <v>0.48111219613962503</v>
      </c>
      <c r="AG18" s="2">
        <f>IF('Modell einstellen'!$B$2="Ja",creep_res160!P18,creep_res160!L18)</f>
        <v>0.52011225432300434</v>
      </c>
      <c r="AL18" s="2">
        <f t="shared" si="12"/>
        <v>1</v>
      </c>
      <c r="AM18" s="2">
        <f t="shared" si="13"/>
        <v>6185.0814076350389</v>
      </c>
      <c r="AN18" s="2">
        <f t="shared" si="14"/>
        <v>5776.2920069159836</v>
      </c>
      <c r="AO18" s="2">
        <f t="shared" si="15"/>
        <v>5459.2543435964462</v>
      </c>
      <c r="AP18" s="2">
        <f t="shared" si="16"/>
        <v>5192.657072535425</v>
      </c>
      <c r="AQ18" s="2">
        <f t="shared" si="17"/>
        <v>4799.280908658001</v>
      </c>
      <c r="AR18" s="2">
        <f t="shared" si="18"/>
        <v>3789.937412973562</v>
      </c>
      <c r="AS18" s="2">
        <f t="shared" si="19"/>
        <v>2469.5512794279489</v>
      </c>
      <c r="AX18" s="2">
        <f t="shared" si="28"/>
        <v>1</v>
      </c>
      <c r="AY18" s="37">
        <f t="shared" si="20"/>
        <v>40568.71496485774</v>
      </c>
      <c r="AZ18" s="37">
        <f t="shared" si="21"/>
        <v>43006.671612679616</v>
      </c>
      <c r="BA18" s="37">
        <f t="shared" si="22"/>
        <v>45789.281754821095</v>
      </c>
      <c r="BB18" s="37">
        <f t="shared" si="23"/>
        <v>48772.670582415376</v>
      </c>
      <c r="BC18" s="37">
        <f t="shared" si="24"/>
        <v>54828.632326397623</v>
      </c>
      <c r="BD18" s="37">
        <f t="shared" si="25"/>
        <v>99064.323314250432</v>
      </c>
      <c r="BE18" s="37">
        <f t="shared" si="26"/>
        <v>-62217.37756242256</v>
      </c>
    </row>
    <row r="19" spans="1:57" x14ac:dyDescent="0.25">
      <c r="A19" s="2">
        <f>'creep_res-40'!A19</f>
        <v>10</v>
      </c>
      <c r="B19" s="3">
        <f>'creep_res-40'!O19</f>
        <v>-5.9135617142857145E-4</v>
      </c>
      <c r="C19" s="2">
        <f>IF('Modell einstellen'!$B$2="Ja",creep_res0!O19,creep_res0!C19)</f>
        <v>-6.3093077142857145E-4</v>
      </c>
      <c r="D19" s="2">
        <f>IF('Modell einstellen'!$B$2="Ja",creep_res25!O19,creep_res25!C19)</f>
        <v>-6.6514245714285717E-4</v>
      </c>
      <c r="E19" s="2">
        <f>IF('Modell einstellen'!$B$2="Ja",creep_res50!O19,creep_res50!C19)</f>
        <v>-7.0354954285714285E-4</v>
      </c>
      <c r="F19" s="2">
        <f>IF('Modell einstellen'!$B$2="Ja",creep_res80!O19,creep_res80!C19)</f>
        <v>-7.7185057142857148E-4</v>
      </c>
      <c r="G19" s="2">
        <f>IF('Modell einstellen'!$B$2="Ja",creep_res125!O19,creep_res125!C19)</f>
        <v>-1.0281325428571429E-3</v>
      </c>
      <c r="H19" s="2">
        <f>IF('Modell einstellen'!$B$2="Ja",creep_res160!O19,creep_res160!C19)</f>
        <v>-1.7799718571428571E-3</v>
      </c>
      <c r="M19" s="9">
        <f t="shared" si="27"/>
        <v>-10</v>
      </c>
      <c r="N19" s="2">
        <f t="shared" si="4"/>
        <v>10</v>
      </c>
      <c r="O19" s="2">
        <f t="shared" si="5"/>
        <v>16910.282640396654</v>
      </c>
      <c r="P19" s="2">
        <f t="shared" si="6"/>
        <v>15849.59943760187</v>
      </c>
      <c r="Q19" s="2">
        <f t="shared" si="7"/>
        <v>15034.373302458171</v>
      </c>
      <c r="R19" s="2">
        <f t="shared" si="8"/>
        <v>14213.640107546087</v>
      </c>
      <c r="S19" s="2">
        <f t="shared" si="9"/>
        <v>12955.875619152041</v>
      </c>
      <c r="T19" s="2">
        <f t="shared" si="10"/>
        <v>9726.3724112947184</v>
      </c>
      <c r="U19" s="2">
        <f t="shared" si="11"/>
        <v>5618.0663530555021</v>
      </c>
      <c r="Z19" s="2">
        <v>10</v>
      </c>
      <c r="AA19" s="3">
        <f>IF('Modell einstellen'!$B$2="Ja",'creep_res-40'!P19,'creep_res-40'!L19)</f>
        <v>0.43404531260010282</v>
      </c>
      <c r="AB19" s="2">
        <f>IF('Modell einstellen'!$B$2="Ja",creep_res0!P19,creep_res0!L19)</f>
        <v>0.44260824721679903</v>
      </c>
      <c r="AC19" s="2">
        <f>IF('Modell einstellen'!$B$2="Ja",creep_res25!P19,creep_res25!L19)</f>
        <v>0.44948016721315892</v>
      </c>
      <c r="AD19" s="2">
        <f>IF('Modell einstellen'!$B$2="Ja",creep_res50!P19,creep_res50!L19)</f>
        <v>0.45544880705730789</v>
      </c>
      <c r="AE19" s="2">
        <f>IF('Modell einstellen'!$B$2="Ja",creep_res80!P19,creep_res80!L19)</f>
        <v>0.4620685647147838</v>
      </c>
      <c r="AF19" s="2">
        <f>IF('Modell einstellen'!$B$2="Ja",creep_res125!P19,creep_res125!L19)</f>
        <v>0.48093212773372551</v>
      </c>
      <c r="AG19" s="2">
        <f>IF('Modell einstellen'!$B$2="Ja",creep_res160!P19,creep_res160!L19)</f>
        <v>0.52432910857418857</v>
      </c>
      <c r="AL19" s="2">
        <f t="shared" si="12"/>
        <v>10</v>
      </c>
      <c r="AM19" s="2">
        <f t="shared" si="13"/>
        <v>5896.0070828362468</v>
      </c>
      <c r="AN19" s="2">
        <f t="shared" si="14"/>
        <v>5493.3830678495879</v>
      </c>
      <c r="AO19" s="2">
        <f t="shared" si="15"/>
        <v>5186.1259100095131</v>
      </c>
      <c r="AP19" s="2">
        <f t="shared" si="16"/>
        <v>4882.9062343607484</v>
      </c>
      <c r="AQ19" s="2">
        <f t="shared" si="17"/>
        <v>4430.6662258617935</v>
      </c>
      <c r="AR19" s="2">
        <f t="shared" si="18"/>
        <v>3283.8683924627298</v>
      </c>
      <c r="AS19" s="2">
        <f t="shared" si="19"/>
        <v>1842.799668868907</v>
      </c>
      <c r="AX19" s="2">
        <f t="shared" si="28"/>
        <v>10</v>
      </c>
      <c r="AY19" s="37">
        <f t="shared" si="20"/>
        <v>42732.071838619653</v>
      </c>
      <c r="AZ19" s="37">
        <f t="shared" si="21"/>
        <v>46027.517511892336</v>
      </c>
      <c r="BA19" s="37">
        <f t="shared" si="22"/>
        <v>49598.914832427879</v>
      </c>
      <c r="BB19" s="37">
        <f t="shared" si="23"/>
        <v>53173.436252798107</v>
      </c>
      <c r="BC19" s="37">
        <f t="shared" si="24"/>
        <v>56926.730743394786</v>
      </c>
      <c r="BD19" s="37">
        <f t="shared" si="25"/>
        <v>85015.362275963344</v>
      </c>
      <c r="BE19" s="37">
        <f t="shared" si="26"/>
        <v>-38486.588578477997</v>
      </c>
    </row>
    <row r="20" spans="1:57" x14ac:dyDescent="0.25">
      <c r="A20" s="2">
        <f>'creep_res-40'!A20</f>
        <v>100</v>
      </c>
      <c r="B20" s="3">
        <f>'creep_res-40'!O20</f>
        <v>-6.1750360000000003E-4</v>
      </c>
      <c r="C20" s="2">
        <f>IF('Modell einstellen'!$B$2="Ja",creep_res0!O20,creep_res0!C20)</f>
        <v>-6.6142368571428577E-4</v>
      </c>
      <c r="D20" s="2">
        <f>IF('Modell einstellen'!$B$2="Ja",creep_res25!O20,creep_res25!C20)</f>
        <v>-7.0607157142857152E-4</v>
      </c>
      <c r="E20" s="2">
        <f>IF('Modell einstellen'!$B$2="Ja",creep_res50!O20,creep_res50!C20)</f>
        <v>-7.6183774285714279E-4</v>
      </c>
      <c r="F20" s="2">
        <f>IF('Modell einstellen'!$B$2="Ja",creep_res80!O20,creep_res80!C20)</f>
        <v>-8.5811151428571433E-4</v>
      </c>
      <c r="G20" s="2">
        <f>IF('Modell einstellen'!$B$2="Ja",creep_res125!O20,creep_res125!C20)</f>
        <v>-1.2448388857142858E-3</v>
      </c>
      <c r="H20" s="2">
        <f>IF('Modell einstellen'!$B$2="Ja",creep_res160!O20,creep_res160!C20)</f>
        <v>-2.461023085714286E-3</v>
      </c>
      <c r="M20" s="9">
        <f t="shared" si="27"/>
        <v>-10</v>
      </c>
      <c r="N20" s="2">
        <f t="shared" si="4"/>
        <v>100</v>
      </c>
      <c r="O20" s="2">
        <f t="shared" si="5"/>
        <v>16194.23757205626</v>
      </c>
      <c r="P20" s="2">
        <f t="shared" si="6"/>
        <v>15118.902174180206</v>
      </c>
      <c r="Q20" s="2">
        <f t="shared" si="7"/>
        <v>14162.870174431931</v>
      </c>
      <c r="R20" s="2">
        <f t="shared" si="8"/>
        <v>13126.154609374827</v>
      </c>
      <c r="S20" s="2">
        <f t="shared" si="9"/>
        <v>11653.497049650856</v>
      </c>
      <c r="T20" s="2">
        <f t="shared" si="10"/>
        <v>8033.1680788249332</v>
      </c>
      <c r="U20" s="2">
        <f t="shared" si="11"/>
        <v>4063.3507495512199</v>
      </c>
      <c r="Z20" s="2">
        <v>100</v>
      </c>
      <c r="AA20" s="3">
        <f>IF('Modell einstellen'!$B$2="Ja",'creep_res-40'!P20,'creep_res-40'!L20)</f>
        <v>0.44070882455468396</v>
      </c>
      <c r="AB20" s="2">
        <f>IF('Modell einstellen'!$B$2="Ja",creep_res0!P20,creep_res0!L20)</f>
        <v>0.44941105180517749</v>
      </c>
      <c r="AC20" s="2">
        <f>IF('Modell einstellen'!$B$2="Ja",creep_res25!P20,creep_res25!L20)</f>
        <v>0.45543505201111745</v>
      </c>
      <c r="AD20" s="2">
        <f>IF('Modell einstellen'!$B$2="Ja",creep_res50!P20,creep_res50!L20)</f>
        <v>0.45796272104585001</v>
      </c>
      <c r="AE20" s="2">
        <f>IF('Modell einstellen'!$B$2="Ja",creep_res80!P20,creep_res80!L20)</f>
        <v>0.460190438785129</v>
      </c>
      <c r="AF20" s="2">
        <f>IF('Modell einstellen'!$B$2="Ja",creep_res125!P20,creep_res125!L20)</f>
        <v>0.47956292037425102</v>
      </c>
      <c r="AG20" s="2">
        <f>IF('Modell einstellen'!$B$2="Ja",creep_res160!P20,creep_res160!L20)</f>
        <v>0.52898518116878868</v>
      </c>
      <c r="AL20" s="2">
        <f t="shared" si="12"/>
        <v>100</v>
      </c>
      <c r="AM20" s="2">
        <f t="shared" si="13"/>
        <v>5620.2326577203476</v>
      </c>
      <c r="AN20" s="2">
        <f t="shared" si="14"/>
        <v>5215.5329419319251</v>
      </c>
      <c r="AO20" s="2">
        <f t="shared" si="15"/>
        <v>4865.5108844814831</v>
      </c>
      <c r="AP20" s="2">
        <f t="shared" si="16"/>
        <v>4501.5398610325774</v>
      </c>
      <c r="AQ20" s="2">
        <f t="shared" si="17"/>
        <v>3990.4031488339651</v>
      </c>
      <c r="AR20" s="2">
        <f t="shared" si="18"/>
        <v>2714.7098539050189</v>
      </c>
      <c r="AS20" s="2">
        <f t="shared" si="19"/>
        <v>1328.7737512423464</v>
      </c>
      <c r="AX20" s="2">
        <f t="shared" si="28"/>
        <v>100</v>
      </c>
      <c r="AY20" s="37">
        <f t="shared" si="20"/>
        <v>45521.775796670132</v>
      </c>
      <c r="AZ20" s="37">
        <f t="shared" si="21"/>
        <v>49809.634691869775</v>
      </c>
      <c r="BA20" s="37">
        <f t="shared" si="22"/>
        <v>52967.151739842295</v>
      </c>
      <c r="BB20" s="37">
        <f t="shared" si="23"/>
        <v>52041.72318769533</v>
      </c>
      <c r="BC20" s="37">
        <f t="shared" si="24"/>
        <v>48788.518361001385</v>
      </c>
      <c r="BD20" s="37">
        <f t="shared" si="25"/>
        <v>65511.382789934971</v>
      </c>
      <c r="BE20" s="37">
        <f t="shared" si="26"/>
        <v>-23364.529653326481</v>
      </c>
    </row>
    <row r="21" spans="1:57" x14ac:dyDescent="0.25">
      <c r="A21" s="2">
        <f>'creep_res-40'!A21</f>
        <v>1000</v>
      </c>
      <c r="B21" s="3">
        <f>'creep_res-40'!O21</f>
        <v>-6.4772062857142859E-4</v>
      </c>
      <c r="C21" s="2">
        <f>IF('Modell einstellen'!$B$2="Ja",creep_res0!O21,creep_res0!C21)</f>
        <v>-7.0192851428571438E-4</v>
      </c>
      <c r="D21" s="2">
        <f>IF('Modell einstellen'!$B$2="Ja",creep_res25!O21,creep_res25!C21)</f>
        <v>-7.6816097142857142E-4</v>
      </c>
      <c r="E21" s="2">
        <f>IF('Modell einstellen'!$B$2="Ja",creep_res50!O21,creep_res50!C21)</f>
        <v>-8.4521674285714286E-4</v>
      </c>
      <c r="F21" s="2">
        <f>IF('Modell einstellen'!$B$2="Ja",creep_res80!O21,creep_res80!C21)</f>
        <v>-9.7714334285714283E-4</v>
      </c>
      <c r="G21" s="2">
        <f>IF('Modell einstellen'!$B$2="Ja",creep_res125!O21,creep_res125!C21)</f>
        <v>-1.5896212285714288E-3</v>
      </c>
      <c r="H21" s="2">
        <f>IF('Modell einstellen'!$B$2="Ja",creep_res160!O21,creep_res160!C21)</f>
        <v>-3.4348485714285715E-3</v>
      </c>
      <c r="M21" s="9">
        <f t="shared" si="27"/>
        <v>-10</v>
      </c>
      <c r="N21" s="2">
        <f t="shared" si="4"/>
        <v>1000</v>
      </c>
      <c r="O21" s="2">
        <f t="shared" si="5"/>
        <v>15438.754856480893</v>
      </c>
      <c r="P21" s="2">
        <f t="shared" si="6"/>
        <v>14246.464983939348</v>
      </c>
      <c r="Q21" s="2">
        <f t="shared" si="7"/>
        <v>13018.104761821871</v>
      </c>
      <c r="R21" s="2">
        <f t="shared" si="8"/>
        <v>11831.284797076225</v>
      </c>
      <c r="S21" s="2">
        <f t="shared" si="9"/>
        <v>10233.913041622172</v>
      </c>
      <c r="T21" s="2">
        <f t="shared" si="10"/>
        <v>6290.8067785348248</v>
      </c>
      <c r="U21" s="2">
        <f t="shared" si="11"/>
        <v>2911.3364947674963</v>
      </c>
      <c r="Z21" s="2">
        <v>1000</v>
      </c>
      <c r="AA21" s="3">
        <f>IF('Modell einstellen'!$B$2="Ja",'creep_res-40'!P21,'creep_res-40'!L21)</f>
        <v>0.44807624733449902</v>
      </c>
      <c r="AB21" s="2">
        <f>IF('Modell einstellen'!$B$2="Ja",creep_res0!P21,creep_res0!L21)</f>
        <v>0.45440146163846229</v>
      </c>
      <c r="AC21" s="2">
        <f>IF('Modell einstellen'!$B$2="Ja",creep_res25!P21,creep_res25!L21)</f>
        <v>0.4557357286050982</v>
      </c>
      <c r="AD21" s="2">
        <f>IF('Modell einstellen'!$B$2="Ja",creep_res50!P21,creep_res50!L21)</f>
        <v>0.45468628063821065</v>
      </c>
      <c r="AE21" s="2">
        <f>IF('Modell einstellen'!$B$2="Ja",creep_res80!P21,creep_res80!L21)</f>
        <v>0.45673608875691496</v>
      </c>
      <c r="AF21" s="2">
        <f>IF('Modell einstellen'!$B$2="Ja",creep_res125!P21,creep_res125!L21)</f>
        <v>0.48344366599604865</v>
      </c>
      <c r="AG21" s="2">
        <f>IF('Modell einstellen'!$B$2="Ja",creep_res160!P21,creep_res160!L21)</f>
        <v>0.53416238769519475</v>
      </c>
      <c r="AL21" s="2">
        <f t="shared" si="12"/>
        <v>1000</v>
      </c>
      <c r="AM21" s="2">
        <f t="shared" si="13"/>
        <v>5330.7810569019748</v>
      </c>
      <c r="AN21" s="2">
        <f t="shared" si="14"/>
        <v>4897.7071873573095</v>
      </c>
      <c r="AO21" s="2">
        <f t="shared" si="15"/>
        <v>4471.3145751722259</v>
      </c>
      <c r="AP21" s="2">
        <f t="shared" si="16"/>
        <v>4066.6104281555185</v>
      </c>
      <c r="AQ21" s="2">
        <f t="shared" si="17"/>
        <v>3512.6173919241392</v>
      </c>
      <c r="AR21" s="2">
        <f t="shared" si="18"/>
        <v>2120.3389527808267</v>
      </c>
      <c r="AS21" s="2">
        <f t="shared" si="19"/>
        <v>948.83583319405307</v>
      </c>
      <c r="AX21" s="2">
        <f t="shared" si="28"/>
        <v>1000</v>
      </c>
      <c r="AY21" s="37">
        <f t="shared" si="20"/>
        <v>49555.852135531619</v>
      </c>
      <c r="AZ21" s="37">
        <f t="shared" si="21"/>
        <v>52072.08204417731</v>
      </c>
      <c r="BA21" s="37">
        <f t="shared" si="22"/>
        <v>49016.600942407204</v>
      </c>
      <c r="BB21" s="37">
        <f t="shared" si="23"/>
        <v>43516.198345340119</v>
      </c>
      <c r="BC21" s="37">
        <f t="shared" si="24"/>
        <v>39424.36373864171</v>
      </c>
      <c r="BD21" s="37">
        <f t="shared" si="25"/>
        <v>63327.291909685009</v>
      </c>
      <c r="BE21" s="37">
        <f t="shared" si="26"/>
        <v>-14203.42024852575</v>
      </c>
    </row>
    <row r="22" spans="1:57" x14ac:dyDescent="0.25">
      <c r="A22" s="2">
        <f>'creep_res-40'!A22</f>
        <v>10000</v>
      </c>
      <c r="B22" s="3">
        <f>'creep_res-40'!O22</f>
        <v>-6.7977485714285719E-4</v>
      </c>
      <c r="C22" s="2">
        <f>IF('Modell einstellen'!$B$2="Ja",creep_res0!O22,creep_res0!C22)</f>
        <v>-7.6508594285714293E-4</v>
      </c>
      <c r="D22" s="2">
        <f>IF('Modell einstellen'!$B$2="Ja",creep_res25!O22,creep_res25!C22)</f>
        <v>-8.5432602857142862E-4</v>
      </c>
      <c r="E22" s="2">
        <f>IF('Modell einstellen'!$B$2="Ja",creep_res50!O22,creep_res50!C22)</f>
        <v>-9.5746677142857144E-4</v>
      </c>
      <c r="F22" s="2">
        <f>IF('Modell einstellen'!$B$2="Ja",creep_res80!O22,creep_res80!C22)</f>
        <v>-1.1450628000000001E-3</v>
      </c>
      <c r="G22" s="2">
        <f>IF('Modell einstellen'!$B$2="Ja",creep_res125!O22,creep_res125!C22)</f>
        <v>-2.1613843714285716E-3</v>
      </c>
      <c r="H22" s="2">
        <f>IF('Modell einstellen'!$B$2="Ja",creep_res160!O22,creep_res160!C22)</f>
        <v>-4.4121640000000005E-3</v>
      </c>
      <c r="M22" s="9">
        <f t="shared" si="27"/>
        <v>-10</v>
      </c>
      <c r="N22" s="2">
        <f t="shared" si="4"/>
        <v>10000</v>
      </c>
      <c r="O22" s="2">
        <f t="shared" si="5"/>
        <v>14710.752971992406</v>
      </c>
      <c r="P22" s="2">
        <f t="shared" si="6"/>
        <v>13070.427045955023</v>
      </c>
      <c r="Q22" s="2">
        <f t="shared" si="7"/>
        <v>11705.13324605317</v>
      </c>
      <c r="R22" s="2">
        <f t="shared" si="8"/>
        <v>10444.226680660338</v>
      </c>
      <c r="S22" s="2">
        <f t="shared" si="9"/>
        <v>8733.14546590807</v>
      </c>
      <c r="T22" s="2">
        <f t="shared" si="10"/>
        <v>4626.6643417017394</v>
      </c>
      <c r="U22" s="2">
        <f t="shared" si="11"/>
        <v>2266.4615367878437</v>
      </c>
      <c r="Z22" s="2">
        <v>10000</v>
      </c>
      <c r="AA22" s="3">
        <f>IF('Modell einstellen'!$B$2="Ja",'creep_res-40'!P22,'creep_res-40'!L22)</f>
        <v>0.45464973276866461</v>
      </c>
      <c r="AB22" s="2">
        <f>IF('Modell einstellen'!$B$2="Ja",creep_res0!P22,creep_res0!L22)</f>
        <v>0.45365170553388434</v>
      </c>
      <c r="AC22" s="2">
        <f>IF('Modell einstellen'!$B$2="Ja",creep_res25!P22,creep_res25!L22)</f>
        <v>0.45179784325227995</v>
      </c>
      <c r="AD22" s="2">
        <f>IF('Modell einstellen'!$B$2="Ja",creep_res50!P22,creep_res50!L22)</f>
        <v>0.45156742030316488</v>
      </c>
      <c r="AE22" s="2">
        <f>IF('Modell einstellen'!$B$2="Ja",creep_res80!P22,creep_res80!L22)</f>
        <v>0.45691949322405223</v>
      </c>
      <c r="AF22" s="2">
        <f>IF('Modell einstellen'!$B$2="Ja",creep_res125!P22,creep_res125!L22)</f>
        <v>0.49321881043621607</v>
      </c>
      <c r="AG22" s="2">
        <f>IF('Modell einstellen'!$B$2="Ja",creep_res160!P22,creep_res160!L22)</f>
        <v>0.53264624796358429</v>
      </c>
      <c r="AL22" s="2">
        <f t="shared" si="12"/>
        <v>10000</v>
      </c>
      <c r="AM22" s="2">
        <f t="shared" si="13"/>
        <v>5056.458830124393</v>
      </c>
      <c r="AN22" s="2">
        <f t="shared" si="14"/>
        <v>4495.7217042422935</v>
      </c>
      <c r="AO22" s="2">
        <f t="shared" si="15"/>
        <v>4031.2545236434685</v>
      </c>
      <c r="AP22" s="2">
        <f t="shared" si="16"/>
        <v>3597.5685781370817</v>
      </c>
      <c r="AQ22" s="2">
        <f t="shared" si="17"/>
        <v>2997.1269883218743</v>
      </c>
      <c r="AR22" s="2">
        <f t="shared" si="18"/>
        <v>1549.2251736201158</v>
      </c>
      <c r="AS22" s="2">
        <f t="shared" si="19"/>
        <v>739.39486681916139</v>
      </c>
      <c r="AX22" s="2">
        <f t="shared" si="28"/>
        <v>10000</v>
      </c>
      <c r="AY22" s="37">
        <f t="shared" si="20"/>
        <v>54063.455668120841</v>
      </c>
      <c r="AZ22" s="37">
        <f t="shared" si="21"/>
        <v>47000.747983332156</v>
      </c>
      <c r="BA22" s="37">
        <f t="shared" si="22"/>
        <v>40472.370380006629</v>
      </c>
      <c r="BB22" s="37">
        <f t="shared" si="23"/>
        <v>35940.774942666772</v>
      </c>
      <c r="BC22" s="37">
        <f t="shared" si="24"/>
        <v>33786.14490047373</v>
      </c>
      <c r="BD22" s="37">
        <f t="shared" si="25"/>
        <v>113713.19388197045</v>
      </c>
      <c r="BE22" s="37">
        <f t="shared" si="26"/>
        <v>-11570.811747984026</v>
      </c>
    </row>
    <row r="23" spans="1:57" x14ac:dyDescent="0.25">
      <c r="A23" s="2">
        <f>'creep_res-40'!A23</f>
        <v>100000</v>
      </c>
      <c r="B23" s="3">
        <f>'creep_res-40'!O23</f>
        <v>-7.3137274285714287E-4</v>
      </c>
      <c r="C23" s="2">
        <f>IF('Modell einstellen'!$B$2="Ja",creep_res0!O23,creep_res0!C23)</f>
        <v>-8.4982022857142865E-4</v>
      </c>
      <c r="D23" s="2">
        <f>IF('Modell einstellen'!$B$2="Ja",creep_res25!O23,creep_res25!C23)</f>
        <v>-9.6764748571428582E-4</v>
      </c>
      <c r="E23" s="2">
        <f>IF('Modell einstellen'!$B$2="Ja",creep_res50!O23,creep_res50!C23)</f>
        <v>-1.1098411428571431E-3</v>
      </c>
      <c r="F23" s="2">
        <f>IF('Modell einstellen'!$B$2="Ja",creep_res80!O23,creep_res80!C23)</f>
        <v>-1.3958689142857146E-3</v>
      </c>
      <c r="G23" s="2">
        <f>IF('Modell einstellen'!$B$2="Ja",creep_res125!O23,creep_res125!C23)</f>
        <v>-2.981823142857143E-3</v>
      </c>
      <c r="H23" s="2">
        <f>IF('Modell einstellen'!$B$2="Ja",creep_res160!O23,creep_res160!C23)</f>
        <v>-5.2413105714285719E-3</v>
      </c>
      <c r="M23" s="9">
        <f t="shared" si="27"/>
        <v>-10</v>
      </c>
      <c r="N23" s="2">
        <f t="shared" si="4"/>
        <v>100000</v>
      </c>
      <c r="O23" s="2">
        <f t="shared" si="5"/>
        <v>13672.918628242171</v>
      </c>
      <c r="P23" s="2">
        <f t="shared" si="6"/>
        <v>11767.194594567696</v>
      </c>
      <c r="Q23" s="2">
        <f t="shared" si="7"/>
        <v>10334.341945422744</v>
      </c>
      <c r="R23" s="2">
        <f t="shared" si="8"/>
        <v>9010.2985137641299</v>
      </c>
      <c r="S23" s="2">
        <f t="shared" si="9"/>
        <v>7163.9964882498571</v>
      </c>
      <c r="T23" s="2">
        <f t="shared" si="10"/>
        <v>3353.6529569014392</v>
      </c>
      <c r="U23" s="2">
        <f t="shared" si="11"/>
        <v>1907.9197585642019</v>
      </c>
      <c r="Z23" s="2">
        <v>100000</v>
      </c>
      <c r="AA23" s="3">
        <f>IF('Modell einstellen'!$B$2="Ja",'creep_res-40'!P23,'creep_res-40'!L23)</f>
        <v>0.45902632568126489</v>
      </c>
      <c r="AB23" s="2">
        <f>IF('Modell einstellen'!$B$2="Ja",creep_res0!P23,creep_res0!L23)</f>
        <v>0.44944914063841662</v>
      </c>
      <c r="AC23" s="2">
        <f>IF('Modell einstellen'!$B$2="Ja",creep_res25!P23,creep_res25!L23)</f>
        <v>0.44927597895597277</v>
      </c>
      <c r="AD23" s="2">
        <f>IF('Modell einstellen'!$B$2="Ja",creep_res50!P23,creep_res50!L23)</f>
        <v>0.45211613296523251</v>
      </c>
      <c r="AE23" s="2">
        <f>IF('Modell einstellen'!$B$2="Ja",creep_res80!P23,creep_res80!L23)</f>
        <v>0.46174184346250108</v>
      </c>
      <c r="AF23" s="2">
        <f>IF('Modell einstellen'!$B$2="Ja",creep_res125!P23,creep_res125!L23)</f>
        <v>0.50380438391430893</v>
      </c>
      <c r="AG23" s="2">
        <f>IF('Modell einstellen'!$B$2="Ja",creep_res160!P23,creep_res160!L23)</f>
        <v>0.52841957684847307</v>
      </c>
      <c r="AL23" s="2">
        <f t="shared" si="12"/>
        <v>100000</v>
      </c>
      <c r="AM23" s="2">
        <f t="shared" si="13"/>
        <v>4685.6312280238881</v>
      </c>
      <c r="AN23" s="2">
        <f t="shared" si="14"/>
        <v>4059.1954090175182</v>
      </c>
      <c r="AO23" s="2">
        <f t="shared" si="15"/>
        <v>3565.3464541885878</v>
      </c>
      <c r="AP23" s="2">
        <f t="shared" si="16"/>
        <v>3102.4717339118838</v>
      </c>
      <c r="AQ23" s="2">
        <f t="shared" si="17"/>
        <v>2450.4999019800034</v>
      </c>
      <c r="AR23" s="2">
        <f t="shared" si="18"/>
        <v>1115.0562509241029</v>
      </c>
      <c r="AS23" s="2">
        <f t="shared" si="19"/>
        <v>624.14790659062351</v>
      </c>
      <c r="AX23" s="2">
        <f t="shared" si="28"/>
        <v>100000</v>
      </c>
      <c r="AY23" s="37">
        <f t="shared" si="20"/>
        <v>55616.680936317942</v>
      </c>
      <c r="AZ23" s="37">
        <f t="shared" si="21"/>
        <v>38796.5530925286</v>
      </c>
      <c r="BA23" s="37">
        <f t="shared" si="22"/>
        <v>33956.107753013719</v>
      </c>
      <c r="BB23" s="37">
        <f t="shared" si="23"/>
        <v>31361.636224374335</v>
      </c>
      <c r="BC23" s="37">
        <f t="shared" si="24"/>
        <v>31209.015874510449</v>
      </c>
      <c r="BD23" s="37">
        <f t="shared" si="25"/>
        <v>-146920.54536906688</v>
      </c>
      <c r="BE23" s="37">
        <f t="shared" si="26"/>
        <v>-11188.999333902882</v>
      </c>
    </row>
    <row r="24" spans="1:57" x14ac:dyDescent="0.25">
      <c r="A24" s="2">
        <f>'creep_res-40'!A24</f>
        <v>1000000</v>
      </c>
      <c r="B24" s="3">
        <f>'creep_res-40'!O24</f>
        <v>-8.0382091428571442E-4</v>
      </c>
      <c r="C24" s="2">
        <f>IF('Modell einstellen'!$B$2="Ja",creep_res0!O24,creep_res0!C24)</f>
        <v>-9.6031400000000009E-4</v>
      </c>
      <c r="D24" s="2">
        <f>IF('Modell einstellen'!$B$2="Ja",creep_res25!O24,creep_res25!C24)</f>
        <v>-1.1218572857142858E-3</v>
      </c>
      <c r="E24" s="2">
        <f>IF('Modell einstellen'!$B$2="Ja",creep_res50!O24,creep_res50!C24)</f>
        <v>-1.3359454857142859E-3</v>
      </c>
      <c r="F24" s="2">
        <f>IF('Modell einstellen'!$B$2="Ja",creep_res80!O24,creep_res80!C24)</f>
        <v>-1.8148498000000002E-3</v>
      </c>
      <c r="G24" s="2">
        <f>IF('Modell einstellen'!$B$2="Ja",creep_res125!O24,creep_res125!C24)</f>
        <v>-4.0335100000000006E-3</v>
      </c>
      <c r="H24" s="2">
        <f>IF('Modell einstellen'!$B$2="Ja",creep_res160!O24,creep_res160!C24)</f>
        <v>-5.7147317142857146E-3</v>
      </c>
      <c r="M24" s="9">
        <f t="shared" si="27"/>
        <v>-10</v>
      </c>
      <c r="N24" s="2">
        <f t="shared" si="4"/>
        <v>1000000</v>
      </c>
      <c r="O24" s="2">
        <f t="shared" si="5"/>
        <v>12440.582003127063</v>
      </c>
      <c r="P24" s="2">
        <f t="shared" si="6"/>
        <v>10413.260662658255</v>
      </c>
      <c r="Q24" s="2">
        <f t="shared" si="7"/>
        <v>8913.7897728524422</v>
      </c>
      <c r="R24" s="2">
        <f t="shared" si="8"/>
        <v>7485.3353725382967</v>
      </c>
      <c r="S24" s="2">
        <f t="shared" si="9"/>
        <v>5510.0978604400207</v>
      </c>
      <c r="T24" s="2">
        <f t="shared" si="10"/>
        <v>2479.2302485924165</v>
      </c>
      <c r="U24" s="2">
        <f t="shared" si="11"/>
        <v>1749.8634231598223</v>
      </c>
      <c r="Z24" s="2">
        <v>1000000</v>
      </c>
      <c r="AA24" s="3">
        <f>IF('Modell einstellen'!$B$2="Ja",'creep_res-40'!P24,'creep_res-40'!L24)</f>
        <v>0.45611858391200993</v>
      </c>
      <c r="AB24" s="2">
        <f>IF('Modell einstellen'!$B$2="Ja",creep_res0!P24,creep_res0!L24)</f>
        <v>0.44725885789142183</v>
      </c>
      <c r="AC24" s="2">
        <f>IF('Modell einstellen'!$B$2="Ja",creep_res25!P24,creep_res25!L24)</f>
        <v>0.45067991204890967</v>
      </c>
      <c r="AD24" s="2">
        <f>IF('Modell einstellen'!$B$2="Ja",creep_res50!P24,creep_res50!L24)</f>
        <v>0.45707301315887733</v>
      </c>
      <c r="AE24" s="2">
        <f>IF('Modell einstellen'!$B$2="Ja",creep_res80!P24,creep_res80!L24)</f>
        <v>0.47159269835206985</v>
      </c>
      <c r="AF24" s="2">
        <f>IF('Modell einstellen'!$B$2="Ja",creep_res125!P24,creep_res125!L24)</f>
        <v>0.51251415551928003</v>
      </c>
      <c r="AG24" s="2">
        <f>IF('Modell einstellen'!$B$2="Ja",creep_res160!P24,creep_res160!L24)</f>
        <v>0.52202235615510217</v>
      </c>
      <c r="AL24" s="2">
        <f t="shared" si="12"/>
        <v>1000000</v>
      </c>
      <c r="AM24" s="2">
        <f t="shared" si="13"/>
        <v>4271.8299665210579</v>
      </c>
      <c r="AN24" s="2">
        <f t="shared" si="14"/>
        <v>3597.5805592338243</v>
      </c>
      <c r="AO24" s="2">
        <f t="shared" si="15"/>
        <v>3072.2800042990852</v>
      </c>
      <c r="AP24" s="2">
        <f t="shared" si="16"/>
        <v>2568.6205512482802</v>
      </c>
      <c r="AQ24" s="2">
        <f t="shared" si="17"/>
        <v>1872.1545257089074</v>
      </c>
      <c r="AR24" s="2">
        <f t="shared" si="18"/>
        <v>819.57257707159806</v>
      </c>
      <c r="AS24" s="2">
        <f t="shared" si="19"/>
        <v>574.84813415628378</v>
      </c>
      <c r="AX24" s="2">
        <f t="shared" si="28"/>
        <v>1000000</v>
      </c>
      <c r="AY24" s="37">
        <f t="shared" si="20"/>
        <v>47250.76168227828</v>
      </c>
      <c r="AZ24" s="37">
        <f t="shared" si="21"/>
        <v>32906.823295623995</v>
      </c>
      <c r="BA24" s="37">
        <f t="shared" si="22"/>
        <v>30122.242082820478</v>
      </c>
      <c r="BB24" s="37">
        <f t="shared" si="23"/>
        <v>29062.27497495657</v>
      </c>
      <c r="BC24" s="37">
        <f t="shared" si="24"/>
        <v>32327.943526223095</v>
      </c>
      <c r="BD24" s="37">
        <f t="shared" si="25"/>
        <v>-33019.011214577105</v>
      </c>
      <c r="BE24" s="37">
        <f t="shared" si="26"/>
        <v>-13243.083610397513</v>
      </c>
    </row>
    <row r="25" spans="1:57" x14ac:dyDescent="0.25">
      <c r="A25" s="2">
        <f>'creep_res-40'!A25</f>
        <v>10000000</v>
      </c>
      <c r="B25" s="3">
        <f>'creep_res-40'!O25</f>
        <v>-9.0442820000000005E-4</v>
      </c>
      <c r="C25" s="2">
        <f>IF('Modell einstellen'!$B$2="Ja",creep_res0!O25,creep_res0!C25)</f>
        <v>-1.1084513428571429E-3</v>
      </c>
      <c r="D25" s="2">
        <f>IF('Modell einstellen'!$B$2="Ja",creep_res25!O25,creep_res25!C25)</f>
        <v>-1.3513724571428572E-3</v>
      </c>
      <c r="E25" s="2">
        <f>IF('Modell einstellen'!$B$2="Ja",creep_res50!O25,creep_res50!C25)</f>
        <v>-1.7043230571428571E-3</v>
      </c>
      <c r="F25" s="2">
        <f>IF('Modell einstellen'!$B$2="Ja",creep_res80!O25,creep_res80!C25)</f>
        <v>-2.464179485714286E-3</v>
      </c>
      <c r="G25" s="2">
        <f>IF('Modell einstellen'!$B$2="Ja",creep_res125!O25,creep_res125!C25)</f>
        <v>-4.9064134285714284E-3</v>
      </c>
      <c r="H25" s="2">
        <f>IF('Modell einstellen'!$B$2="Ja",creep_res160!O25,creep_res160!C25)</f>
        <v>-6.0956394285714291E-3</v>
      </c>
      <c r="M25" s="9">
        <f t="shared" si="27"/>
        <v>-10</v>
      </c>
      <c r="N25" s="2">
        <f t="shared" si="4"/>
        <v>10000000</v>
      </c>
      <c r="O25" s="2">
        <f t="shared" si="5"/>
        <v>11056.709642622818</v>
      </c>
      <c r="P25" s="2">
        <f t="shared" si="6"/>
        <v>9021.5958187429424</v>
      </c>
      <c r="Q25" s="2">
        <f t="shared" si="7"/>
        <v>7399.8844264907739</v>
      </c>
      <c r="R25" s="2">
        <f t="shared" si="8"/>
        <v>5867.432208987475</v>
      </c>
      <c r="S25" s="2">
        <f t="shared" si="9"/>
        <v>4058.1459499900525</v>
      </c>
      <c r="T25" s="2">
        <f t="shared" si="10"/>
        <v>2038.148669202473</v>
      </c>
      <c r="U25" s="2">
        <f t="shared" si="11"/>
        <v>1640.5169822099524</v>
      </c>
      <c r="Z25" s="2">
        <v>10000000</v>
      </c>
      <c r="AA25" s="3">
        <f>IF('Modell einstellen'!$B$2="Ja",'creep_res-40'!P25,'creep_res-40'!L25)</f>
        <v>0.45197586086514591</v>
      </c>
      <c r="AB25" s="2">
        <f>IF('Modell einstellen'!$B$2="Ja",creep_res0!P25,creep_res0!L25)</f>
        <v>0.4488808671722867</v>
      </c>
      <c r="AC25" s="2">
        <f>IF('Modell einstellen'!$B$2="Ja",creep_res25!P25,creep_res25!L25)</f>
        <v>0.45622970475983404</v>
      </c>
      <c r="AD25" s="2">
        <f>IF('Modell einstellen'!$B$2="Ja",creep_res50!P25,creep_res50!L25)</f>
        <v>0.46632160130204697</v>
      </c>
      <c r="AE25" s="2">
        <f>IF('Modell einstellen'!$B$2="Ja",creep_res80!P25,creep_res80!L25)</f>
        <v>0.48383582494605387</v>
      </c>
      <c r="AF25" s="2">
        <f>IF('Modell einstellen'!$B$2="Ja",creep_res125!P25,creep_res125!L25)</f>
        <v>0.5148750029625947</v>
      </c>
      <c r="AG25" s="2">
        <f>IF('Modell einstellen'!$B$2="Ja",creep_res160!P25,creep_res160!L25)</f>
        <v>0.51894258087444056</v>
      </c>
      <c r="AL25" s="2">
        <f t="shared" si="12"/>
        <v>10000000</v>
      </c>
      <c r="AM25" s="2">
        <f t="shared" si="13"/>
        <v>3807.4701999642007</v>
      </c>
      <c r="AN25" s="2">
        <f t="shared" si="14"/>
        <v>3113.2980023229825</v>
      </c>
      <c r="AO25" s="2">
        <f t="shared" si="15"/>
        <v>2540.7682600840731</v>
      </c>
      <c r="AP25" s="2">
        <f t="shared" si="16"/>
        <v>2000.7316961631682</v>
      </c>
      <c r="AQ25" s="2">
        <f t="shared" si="17"/>
        <v>1367.4511296212941</v>
      </c>
      <c r="AR25" s="2">
        <f t="shared" si="18"/>
        <v>672.71182943032534</v>
      </c>
      <c r="AS25" s="2">
        <f t="shared" si="19"/>
        <v>540.01941971549797</v>
      </c>
      <c r="AX25" s="2">
        <f t="shared" si="28"/>
        <v>10000000</v>
      </c>
      <c r="AY25" s="37">
        <f t="shared" si="20"/>
        <v>38372.055671055496</v>
      </c>
      <c r="AZ25" s="37">
        <f t="shared" si="21"/>
        <v>29413.630864815354</v>
      </c>
      <c r="BA25" s="37">
        <f t="shared" si="22"/>
        <v>28176.964864290905</v>
      </c>
      <c r="BB25" s="37">
        <f t="shared" si="23"/>
        <v>29036.575549063033</v>
      </c>
      <c r="BC25" s="37">
        <f t="shared" si="24"/>
        <v>41843.0050450708</v>
      </c>
      <c r="BD25" s="37">
        <f t="shared" si="25"/>
        <v>-22836.395106695516</v>
      </c>
      <c r="BE25" s="37">
        <f t="shared" si="26"/>
        <v>-14434.120611511818</v>
      </c>
    </row>
    <row r="26" spans="1:57" x14ac:dyDescent="0.25">
      <c r="A26" s="2">
        <f>'creep_res-40'!A26</f>
        <v>100000000</v>
      </c>
      <c r="B26" s="3">
        <f>'creep_res-40'!O26</f>
        <v>-1.0340307714285716E-3</v>
      </c>
      <c r="C26" s="2">
        <f>IF('Modell einstellen'!$B$2="Ja",creep_res0!O26,creep_res0!C26)</f>
        <v>-1.3287063714285715E-3</v>
      </c>
      <c r="D26" s="2">
        <f>IF('Modell einstellen'!$B$2="Ja",creep_res25!O26,creep_res25!C26)</f>
        <v>-1.7279395999999999E-3</v>
      </c>
      <c r="E26" s="2">
        <f>IF('Modell einstellen'!$B$2="Ja",creep_res50!O26,creep_res50!C26)</f>
        <v>-2.3040462857142857E-3</v>
      </c>
      <c r="F26" s="2">
        <f>IF('Modell einstellen'!$B$2="Ja",creep_res80!O26,creep_res80!C26)</f>
        <v>-3.3960300000000004E-3</v>
      </c>
      <c r="G26" s="2">
        <f>IF('Modell einstellen'!$B$2="Ja",creep_res125!O26,creep_res125!C26)</f>
        <v>-5.5716142857142863E-3</v>
      </c>
      <c r="H26" s="2">
        <f>IF('Modell einstellen'!$B$2="Ja",creep_res160!O26,creep_res160!C26)</f>
        <v>-6.2988837142857138E-3</v>
      </c>
      <c r="M26" s="9">
        <f t="shared" si="27"/>
        <v>-10</v>
      </c>
      <c r="N26" s="2">
        <f t="shared" si="4"/>
        <v>100000000</v>
      </c>
      <c r="O26" s="2">
        <f t="shared" si="5"/>
        <v>9670.892082045526</v>
      </c>
      <c r="P26" s="2">
        <f t="shared" si="6"/>
        <v>7526.1172935058657</v>
      </c>
      <c r="Q26" s="2">
        <f t="shared" si="7"/>
        <v>5787.2393224855778</v>
      </c>
      <c r="R26" s="2">
        <f t="shared" si="8"/>
        <v>4340.1905864490318</v>
      </c>
      <c r="S26" s="2">
        <f t="shared" si="9"/>
        <v>2944.6147413303179</v>
      </c>
      <c r="T26" s="2">
        <f t="shared" si="10"/>
        <v>1794.8119678062012</v>
      </c>
      <c r="U26" s="2">
        <f t="shared" si="11"/>
        <v>1587.5828882695905</v>
      </c>
      <c r="Z26" s="2">
        <v>100000000</v>
      </c>
      <c r="AA26" s="3">
        <f>IF('Modell einstellen'!$B$2="Ja",'creep_res-40'!P26,'creep_res-40'!L26)</f>
        <v>0.45058299867671792</v>
      </c>
      <c r="AB26" s="2">
        <f>IF('Modell einstellen'!$B$2="Ja",creep_res0!P26,creep_res0!L26)</f>
        <v>0.45450968496253596</v>
      </c>
      <c r="AC26" s="2">
        <f>IF('Modell einstellen'!$B$2="Ja",creep_res25!P26,creep_res25!L26)</f>
        <v>0.46582306134179358</v>
      </c>
      <c r="AD26" s="2">
        <f>IF('Modell einstellen'!$B$2="Ja",creep_res50!P26,creep_res50!L26)</f>
        <v>0.47876596477104505</v>
      </c>
      <c r="AE26" s="2">
        <f>IF('Modell einstellen'!$B$2="Ja",creep_res80!P26,creep_res80!L26)</f>
        <v>0.49653332189140181</v>
      </c>
      <c r="AF26" s="2">
        <f>IF('Modell einstellen'!$B$2="Ja",creep_res125!P26,creep_res125!L26)</f>
        <v>0.51520544186988637</v>
      </c>
      <c r="AG26" s="2">
        <f>IF('Modell einstellen'!$B$2="Ja",creep_res160!P26,creep_res160!L26)</f>
        <v>0.51801437107246184</v>
      </c>
      <c r="AL26" s="2">
        <f t="shared" si="12"/>
        <v>100000000</v>
      </c>
      <c r="AM26" s="2">
        <f t="shared" si="13"/>
        <v>3333.4500993282409</v>
      </c>
      <c r="AN26" s="2">
        <f t="shared" si="14"/>
        <v>2587.1664421745386</v>
      </c>
      <c r="AO26" s="2">
        <f t="shared" si="15"/>
        <v>1974.0579457073152</v>
      </c>
      <c r="AP26" s="2">
        <f t="shared" si="16"/>
        <v>1467.5042196825975</v>
      </c>
      <c r="AQ26" s="2">
        <f t="shared" si="17"/>
        <v>983.81195335121254</v>
      </c>
      <c r="AR26" s="2">
        <f t="shared" si="18"/>
        <v>592.26686963031818</v>
      </c>
      <c r="AS26" s="2">
        <f t="shared" si="19"/>
        <v>522.91431442377564</v>
      </c>
      <c r="AX26" s="2">
        <f t="shared" si="28"/>
        <v>100000000</v>
      </c>
      <c r="AY26" s="37">
        <f t="shared" si="20"/>
        <v>32616.615817362534</v>
      </c>
      <c r="AZ26" s="37">
        <f t="shared" si="21"/>
        <v>27574.064528195548</v>
      </c>
      <c r="BA26" s="37">
        <f t="shared" si="22"/>
        <v>28221.950968956324</v>
      </c>
      <c r="BB26" s="37">
        <f t="shared" si="23"/>
        <v>34066.30392866247</v>
      </c>
      <c r="BC26" s="37">
        <f t="shared" si="24"/>
        <v>141567.54915832213</v>
      </c>
      <c r="BD26" s="37">
        <f t="shared" si="25"/>
        <v>-19672.912535355055</v>
      </c>
      <c r="BE26" s="37">
        <f t="shared" si="26"/>
        <v>-14688.114671370091</v>
      </c>
    </row>
    <row r="27" spans="1:57" x14ac:dyDescent="0.25">
      <c r="A27" s="2">
        <f>'creep_res-40'!A27</f>
        <v>1000000000</v>
      </c>
      <c r="B27" s="3">
        <f>'creep_res-40'!O27</f>
        <v>-1.2221332857142858E-3</v>
      </c>
      <c r="C27" s="2">
        <f>IF('Modell einstellen'!$B$2="Ja",creep_res0!O27,creep_res0!C27)</f>
        <v>-1.6862730571428571E-3</v>
      </c>
      <c r="D27" s="2">
        <f>IF('Modell einstellen'!$B$2="Ja",creep_res25!O27,creep_res25!C27)</f>
        <v>-2.3361168857142858E-3</v>
      </c>
      <c r="E27" s="2">
        <f>IF('Modell einstellen'!$B$2="Ja",creep_res50!O27,creep_res50!C27)</f>
        <v>-3.1656362857142859E-3</v>
      </c>
      <c r="F27" s="2">
        <f>IF('Modell einstellen'!$B$2="Ja",creep_res80!O27,creep_res80!C27)</f>
        <v>-4.3980477142857143E-3</v>
      </c>
      <c r="G27" s="2">
        <f>IF('Modell einstellen'!$B$2="Ja",creep_res125!O27,creep_res125!C27)</f>
        <v>-5.9386188571428581E-3</v>
      </c>
      <c r="H27" s="2">
        <f>IF('Modell einstellen'!$B$2="Ja",creep_res160!O27,creep_res160!C27)</f>
        <v>-6.4397999999999999E-3</v>
      </c>
      <c r="M27" s="9">
        <f t="shared" si="27"/>
        <v>-10</v>
      </c>
      <c r="N27" s="2">
        <f t="shared" si="4"/>
        <v>1000000000</v>
      </c>
      <c r="O27" s="2">
        <f t="shared" si="5"/>
        <v>8182.4135852378968</v>
      </c>
      <c r="P27" s="2">
        <f t="shared" si="6"/>
        <v>5930.2376668127145</v>
      </c>
      <c r="Q27" s="2">
        <f t="shared" si="7"/>
        <v>4280.6077303543925</v>
      </c>
      <c r="R27" s="2">
        <f t="shared" si="8"/>
        <v>3158.9225980026404</v>
      </c>
      <c r="S27" s="2">
        <f t="shared" si="9"/>
        <v>2273.7361324021235</v>
      </c>
      <c r="T27" s="2">
        <f t="shared" si="10"/>
        <v>1683.8932149976572</v>
      </c>
      <c r="U27" s="2">
        <f t="shared" si="11"/>
        <v>1552.8432560017393</v>
      </c>
      <c r="Z27" s="2">
        <v>1000000000</v>
      </c>
      <c r="AA27" s="3">
        <f>IF('Modell einstellen'!$B$2="Ja",'creep_res-40'!P27,'creep_res-40'!L27)</f>
        <v>0.45391004231126064</v>
      </c>
      <c r="AB27" s="2">
        <f>IF('Modell einstellen'!$B$2="Ja",creep_res0!P27,creep_res0!L27)</f>
        <v>0.46385924245415805</v>
      </c>
      <c r="AC27" s="2">
        <f>IF('Modell einstellen'!$B$2="Ja",creep_res25!P27,creep_res25!L27)</f>
        <v>0.47834590370484276</v>
      </c>
      <c r="AD27" s="2">
        <f>IF('Modell einstellen'!$B$2="Ja",creep_res50!P27,creep_res50!L27)</f>
        <v>0.49171466047854784</v>
      </c>
      <c r="AE27" s="2">
        <f>IF('Modell einstellen'!$B$2="Ja",creep_res80!P27,creep_res80!L27)</f>
        <v>0.50529837687072454</v>
      </c>
      <c r="AF27" s="2">
        <f>IF('Modell einstellen'!$B$2="Ja",creep_res125!P27,creep_res125!L27)</f>
        <v>0.5139557220760228</v>
      </c>
      <c r="AG27" s="2">
        <f>IF('Modell einstellen'!$B$2="Ja",creep_res160!P27,creep_res160!L27)</f>
        <v>0.51561295160009402</v>
      </c>
      <c r="AL27" s="2">
        <f t="shared" si="12"/>
        <v>1000000000</v>
      </c>
      <c r="AM27" s="2">
        <f t="shared" si="13"/>
        <v>2813.9339254547094</v>
      </c>
      <c r="AN27" s="2">
        <f t="shared" si="14"/>
        <v>2025.5491425769458</v>
      </c>
      <c r="AO27" s="2">
        <f t="shared" si="15"/>
        <v>1447.7693345065175</v>
      </c>
      <c r="AP27" s="2">
        <f t="shared" si="16"/>
        <v>1058.8226695409851</v>
      </c>
      <c r="AQ27" s="2">
        <f t="shared" si="17"/>
        <v>755.24433140254177</v>
      </c>
      <c r="AR27" s="2">
        <f t="shared" si="18"/>
        <v>556.12366677692739</v>
      </c>
      <c r="AS27" s="2">
        <f t="shared" si="19"/>
        <v>512.28225991416207</v>
      </c>
      <c r="AX27" s="2">
        <f t="shared" si="28"/>
        <v>1000000000</v>
      </c>
      <c r="AY27" s="37">
        <f t="shared" si="20"/>
        <v>29588.562583402756</v>
      </c>
      <c r="AZ27" s="37">
        <f t="shared" si="21"/>
        <v>27347.875683433191</v>
      </c>
      <c r="BA27" s="37">
        <f t="shared" si="22"/>
        <v>32946.866588253128</v>
      </c>
      <c r="BB27" s="37">
        <f t="shared" si="23"/>
        <v>63544.420636467767</v>
      </c>
      <c r="BC27" s="37">
        <f t="shared" si="24"/>
        <v>-71523.040227827194</v>
      </c>
      <c r="BD27" s="37">
        <f t="shared" si="25"/>
        <v>-20109.949713634411</v>
      </c>
      <c r="BE27" s="37">
        <f t="shared" si="26"/>
        <v>-16576.443453015301</v>
      </c>
    </row>
    <row r="28" spans="1:57" x14ac:dyDescent="0.25">
      <c r="A28" s="2">
        <f>'creep_res-40'!A28</f>
        <v>10000000000</v>
      </c>
      <c r="B28" s="3">
        <f>'creep_res-40'!O28</f>
        <v>-1.5110083142857143E-3</v>
      </c>
      <c r="C28" s="2">
        <f>IF('Modell einstellen'!$B$2="Ja",creep_res0!O28,creep_res0!C28)</f>
        <v>-2.2753457428571428E-3</v>
      </c>
      <c r="D28" s="2">
        <f>IF('Modell einstellen'!$B$2="Ja",creep_res25!O28,creep_res25!C28)</f>
        <v>-3.210096E-3</v>
      </c>
      <c r="E28" s="2">
        <f>IF('Modell einstellen'!$B$2="Ja",creep_res50!O28,creep_res50!C28)</f>
        <v>-4.2048082857142864E-3</v>
      </c>
      <c r="F28" s="2">
        <f>IF('Modell einstellen'!$B$2="Ja",creep_res80!O28,creep_res80!C28)</f>
        <v>-5.2293177142857146E-3</v>
      </c>
      <c r="G28" s="2">
        <f>IF('Modell einstellen'!$B$2="Ja",creep_res125!O28,creep_res125!C28)</f>
        <v>-6.2464694285714285E-3</v>
      </c>
      <c r="H28" s="2">
        <f>IF('Modell einstellen'!$B$2="Ja",creep_res160!O28,creep_res160!C28)</f>
        <v>-6.7772074285714287E-3</v>
      </c>
      <c r="M28" s="9">
        <f t="shared" si="27"/>
        <v>-10</v>
      </c>
      <c r="N28" s="2">
        <f t="shared" si="4"/>
        <v>10000000000</v>
      </c>
      <c r="O28" s="2">
        <f t="shared" si="5"/>
        <v>6618.0972701842556</v>
      </c>
      <c r="P28" s="2">
        <f t="shared" si="6"/>
        <v>4394.9364756509658</v>
      </c>
      <c r="Q28" s="2">
        <f t="shared" si="7"/>
        <v>3115.1716334963194</v>
      </c>
      <c r="R28" s="2">
        <f t="shared" si="8"/>
        <v>2378.2297123925264</v>
      </c>
      <c r="S28" s="2">
        <f t="shared" si="9"/>
        <v>1912.2953598098456</v>
      </c>
      <c r="T28" s="2">
        <f t="shared" si="10"/>
        <v>1600.9043371380121</v>
      </c>
      <c r="U28" s="2">
        <f t="shared" si="11"/>
        <v>1475.5340020790695</v>
      </c>
      <c r="Z28" s="2">
        <v>10000000000</v>
      </c>
      <c r="AA28" s="3">
        <f>IF('Modell einstellen'!$B$2="Ja",'creep_res-40'!P28,'creep_res-40'!L28)</f>
        <v>0.46122257321038468</v>
      </c>
      <c r="AB28" s="2">
        <f>IF('Modell einstellen'!$B$2="Ja",creep_res0!P28,creep_res0!L28)</f>
        <v>0.47640147021424106</v>
      </c>
      <c r="AC28" s="2">
        <f>IF('Modell einstellen'!$B$2="Ja",creep_res25!P28,creep_res25!L28)</f>
        <v>0.49143015393576134</v>
      </c>
      <c r="AD28" s="2">
        <f>IF('Modell einstellen'!$B$2="Ja",creep_res50!P28,creep_res50!L28)</f>
        <v>0.50240444459876499</v>
      </c>
      <c r="AE28" s="2">
        <f>IF('Modell einstellen'!$B$2="Ja",creep_res80!P28,creep_res80!L28)</f>
        <v>0.50981945637048953</v>
      </c>
      <c r="AF28" s="2">
        <f>IF('Modell einstellen'!$B$2="Ja",creep_res125!P28,creep_res125!L28)</f>
        <v>0.5138482570474211</v>
      </c>
      <c r="AG28" s="2">
        <f>IF('Modell einstellen'!$B$2="Ja",creep_res160!P28,creep_res160!L28)</f>
        <v>0.51708301598812767</v>
      </c>
      <c r="AL28" s="2">
        <f t="shared" si="12"/>
        <v>10000000000</v>
      </c>
      <c r="AM28" s="2">
        <f t="shared" si="13"/>
        <v>2264.5753602217969</v>
      </c>
      <c r="AN28" s="2">
        <f t="shared" si="14"/>
        <v>1488.3947775442189</v>
      </c>
      <c r="AO28" s="2">
        <f t="shared" si="15"/>
        <v>1044.3571981147218</v>
      </c>
      <c r="AP28" s="2">
        <f t="shared" si="16"/>
        <v>791.47453302018846</v>
      </c>
      <c r="AQ28" s="2">
        <f t="shared" si="17"/>
        <v>633.28610309701617</v>
      </c>
      <c r="AR28" s="2">
        <f t="shared" si="18"/>
        <v>528.75323853804991</v>
      </c>
      <c r="AS28" s="2">
        <f t="shared" si="19"/>
        <v>486.30628203230003</v>
      </c>
      <c r="AX28" s="2">
        <f t="shared" si="28"/>
        <v>10000000000</v>
      </c>
      <c r="AY28" s="37">
        <f t="shared" si="20"/>
        <v>28444.801602791398</v>
      </c>
      <c r="AZ28" s="37">
        <f t="shared" si="21"/>
        <v>31039.620656814455</v>
      </c>
      <c r="BA28" s="37">
        <f t="shared" si="22"/>
        <v>60583.96712817868</v>
      </c>
      <c r="BB28" s="37">
        <f t="shared" si="23"/>
        <v>-164849.55358741846</v>
      </c>
      <c r="BC28" s="37">
        <f t="shared" si="24"/>
        <v>-32457.590448640276</v>
      </c>
      <c r="BD28" s="37">
        <f t="shared" si="25"/>
        <v>-19267.218149499204</v>
      </c>
      <c r="BE28" s="37">
        <f t="shared" si="26"/>
        <v>-14395.721098121998</v>
      </c>
    </row>
    <row r="29" spans="1:57" x14ac:dyDescent="0.25">
      <c r="A29" s="2">
        <f>'creep_res-40'!A29</f>
        <v>100000000000</v>
      </c>
      <c r="B29" s="3">
        <f>'creep_res-40'!O29</f>
        <v>-2.0067045714285713E-3</v>
      </c>
      <c r="C29" s="2">
        <f>IF('Modell einstellen'!$B$2="Ja",creep_res0!O29,creep_res0!C29)</f>
        <v>-3.1217257142857145E-3</v>
      </c>
      <c r="D29" s="2">
        <f>IF('Modell einstellen'!$B$2="Ja",creep_res25!O29,creep_res25!C29)</f>
        <v>-4.2436945714285712E-3</v>
      </c>
      <c r="E29" s="2">
        <f>IF('Modell einstellen'!$B$2="Ja",creep_res50!O29,creep_res50!C29)</f>
        <v>-5.0564605714285716E-3</v>
      </c>
      <c r="F29" s="2">
        <f>IF('Modell einstellen'!$B$2="Ja",creep_res80!O29,creep_res80!C29)</f>
        <v>-5.7320725714285724E-3</v>
      </c>
      <c r="G29" s="2">
        <f>IF('Modell einstellen'!$B$2="Ja",creep_res125!O29,creep_res125!C29)</f>
        <v>-6.358090857142857E-3</v>
      </c>
      <c r="H29" s="2">
        <f>IF('Modell einstellen'!$B$2="Ja",creep_res160!O29,creep_res160!C29)</f>
        <v>-6.9143051428571436E-3</v>
      </c>
      <c r="M29" s="9">
        <f t="shared" si="27"/>
        <v>-10</v>
      </c>
      <c r="N29" s="2">
        <f t="shared" si="4"/>
        <v>100000000000</v>
      </c>
      <c r="O29" s="2">
        <f t="shared" si="5"/>
        <v>4983.2945727935466</v>
      </c>
      <c r="P29" s="2">
        <f t="shared" si="6"/>
        <v>3203.3563852960447</v>
      </c>
      <c r="Q29" s="2">
        <f t="shared" si="7"/>
        <v>2356.4372580738441</v>
      </c>
      <c r="R29" s="2">
        <f t="shared" si="8"/>
        <v>1977.667947517439</v>
      </c>
      <c r="S29" s="2">
        <f t="shared" si="9"/>
        <v>1744.5696779634031</v>
      </c>
      <c r="T29" s="2">
        <f t="shared" si="10"/>
        <v>1572.7991663984669</v>
      </c>
      <c r="U29" s="2">
        <f t="shared" si="11"/>
        <v>1446.2769278168969</v>
      </c>
      <c r="Z29" s="2">
        <v>100000000000</v>
      </c>
      <c r="AA29" s="3">
        <f>IF('Modell einstellen'!$B$2="Ja",'creep_res-40'!P29,'creep_res-40'!L29)</f>
        <v>0.47286559086354235</v>
      </c>
      <c r="AB29" s="2">
        <f>IF('Modell einstellen'!$B$2="Ja",creep_res0!P29,creep_res0!L29)</f>
        <v>0.48953970514477341</v>
      </c>
      <c r="AC29" s="2">
        <f>IF('Modell einstellen'!$B$2="Ja",creep_res25!P29,creep_res25!L29)</f>
        <v>0.50204461328205197</v>
      </c>
      <c r="AD29" s="2">
        <f>IF('Modell einstellen'!$B$2="Ja",creep_res50!P29,creep_res50!L29)</f>
        <v>0.50782834429865453</v>
      </c>
      <c r="AE29" s="2">
        <f>IF('Modell einstellen'!$B$2="Ja",creep_res80!P29,creep_res80!L29)</f>
        <v>0.51110657855293817</v>
      </c>
      <c r="AF29" s="2">
        <f>IF('Modell einstellen'!$B$2="Ja",creep_res125!P29,creep_res125!L29)</f>
        <v>0.51946392892960958</v>
      </c>
      <c r="AG29" s="2">
        <f>IF('Modell einstellen'!$B$2="Ja",creep_res160!P29,creep_res160!L29)</f>
        <v>0.51549446059407766</v>
      </c>
      <c r="AL29" s="2">
        <f t="shared" si="12"/>
        <v>100000000000</v>
      </c>
      <c r="AM29" s="2">
        <f t="shared" si="13"/>
        <v>1691.7003845109305</v>
      </c>
      <c r="AN29" s="2">
        <f t="shared" si="14"/>
        <v>1075.2839868020503</v>
      </c>
      <c r="AO29" s="2">
        <f t="shared" si="15"/>
        <v>784.40987612375113</v>
      </c>
      <c r="AP29" s="2">
        <f t="shared" si="16"/>
        <v>655.80009654126911</v>
      </c>
      <c r="AQ29" s="2">
        <f t="shared" si="17"/>
        <v>577.24905136540178</v>
      </c>
      <c r="AR29" s="2">
        <f t="shared" si="18"/>
        <v>517.55067575260887</v>
      </c>
      <c r="AS29" s="2">
        <f t="shared" si="19"/>
        <v>477.16338311456207</v>
      </c>
      <c r="AX29" s="2">
        <f t="shared" si="28"/>
        <v>100000000000</v>
      </c>
      <c r="AY29" s="37">
        <f t="shared" si="20"/>
        <v>30608.703926029837</v>
      </c>
      <c r="AZ29" s="37">
        <f t="shared" si="21"/>
        <v>51039.931309002168</v>
      </c>
      <c r="BA29" s="37">
        <f t="shared" si="22"/>
        <v>-192085.0003567205</v>
      </c>
      <c r="BB29" s="37">
        <f t="shared" si="23"/>
        <v>-42104.857938209301</v>
      </c>
      <c r="BC29" s="37">
        <f t="shared" si="24"/>
        <v>-26179.224466654621</v>
      </c>
      <c r="BD29" s="37">
        <f t="shared" si="25"/>
        <v>-13467.640338584128</v>
      </c>
      <c r="BE29" s="37">
        <f t="shared" si="26"/>
        <v>-15556.924564917272</v>
      </c>
    </row>
    <row r="30" spans="1:57" x14ac:dyDescent="0.25">
      <c r="A30" s="2">
        <f>'creep_res-40'!A30</f>
        <v>1000000000000</v>
      </c>
      <c r="B30" s="3">
        <f>'creep_res-40'!O30</f>
        <v>-2.7355667999999999E-3</v>
      </c>
      <c r="C30" s="2">
        <f>IF('Modell einstellen'!$B$2="Ja",creep_res0!O30,creep_res0!C30)</f>
        <v>-4.1663445714285718E-3</v>
      </c>
      <c r="D30" s="2">
        <f>IF('Modell einstellen'!$B$2="Ja",creep_res25!O30,creep_res25!C30)</f>
        <v>-5.0913620000000003E-3</v>
      </c>
      <c r="E30" s="2">
        <f>IF('Modell einstellen'!$B$2="Ja",creep_res50!O30,creep_res50!C30)</f>
        <v>-5.6548028571428571E-3</v>
      </c>
      <c r="F30" s="2">
        <f>IF('Modell einstellen'!$B$2="Ja",creep_res80!O30,creep_res80!C30)</f>
        <v>-6.0948040000000005E-3</v>
      </c>
      <c r="G30" s="2">
        <f>IF('Modell einstellen'!$B$2="Ja",creep_res125!O30,creep_res125!C30)</f>
        <v>-6.6076685714285726E-3</v>
      </c>
      <c r="H30" s="2">
        <f>IF('Modell einstellen'!$B$2="Ja",creep_res160!O30,creep_res160!C30)</f>
        <v>-6.9280194285714298E-3</v>
      </c>
      <c r="M30" s="9">
        <f t="shared" si="27"/>
        <v>-10</v>
      </c>
      <c r="N30" s="2">
        <f t="shared" si="4"/>
        <v>1000000000000</v>
      </c>
      <c r="O30" s="2">
        <f t="shared" si="5"/>
        <v>3655.5495555802186</v>
      </c>
      <c r="P30" s="2">
        <f t="shared" si="6"/>
        <v>2400.1855412000077</v>
      </c>
      <c r="Q30" s="2">
        <f t="shared" si="7"/>
        <v>1964.1109785554434</v>
      </c>
      <c r="R30" s="2">
        <f t="shared" si="8"/>
        <v>1768.4082456329159</v>
      </c>
      <c r="S30" s="2">
        <f t="shared" si="9"/>
        <v>1640.7418515837423</v>
      </c>
      <c r="T30" s="2">
        <f t="shared" si="10"/>
        <v>1513.3930965060508</v>
      </c>
      <c r="U30" s="2">
        <f t="shared" si="11"/>
        <v>1443.4139660116425</v>
      </c>
      <c r="Z30" s="2">
        <v>1000000000000</v>
      </c>
      <c r="AA30" s="3">
        <f>IF('Modell einstellen'!$B$2="Ja",'creep_res-40'!P30,'creep_res-40'!L30)</f>
        <v>0.48557251723586398</v>
      </c>
      <c r="AB30" s="2">
        <f>IF('Modell einstellen'!$B$2="Ja",creep_res0!P30,creep_res0!L30)</f>
        <v>0.50085273791907747</v>
      </c>
      <c r="AC30" s="2">
        <f>IF('Modell einstellen'!$B$2="Ja",creep_res25!P30,creep_res25!L30)</f>
        <v>0.5075886570234055</v>
      </c>
      <c r="AD30" s="2">
        <f>IF('Modell einstellen'!$B$2="Ja",creep_res50!P30,creep_res50!L30)</f>
        <v>0.51034443034770449</v>
      </c>
      <c r="AE30" s="2">
        <f>IF('Modell einstellen'!$B$2="Ja",creep_res80!P30,creep_res80!L30)</f>
        <v>0.51202354380176018</v>
      </c>
      <c r="AF30" s="2">
        <f>IF('Modell einstellen'!$B$2="Ja",creep_res125!P30,creep_res125!L30)</f>
        <v>0.5141155471305201</v>
      </c>
      <c r="AG30" s="2">
        <f>IF('Modell einstellen'!$B$2="Ja",creep_res160!P30,creep_res160!L30)</f>
        <v>0.51547183058048163</v>
      </c>
      <c r="AL30" s="2">
        <f t="shared" si="12"/>
        <v>1000000000000</v>
      </c>
      <c r="AM30" s="2">
        <f t="shared" si="13"/>
        <v>1230.3504248927311</v>
      </c>
      <c r="AN30" s="2">
        <f t="shared" si="14"/>
        <v>799.60727676982128</v>
      </c>
      <c r="AO30" s="2">
        <f t="shared" si="15"/>
        <v>651.40811766035665</v>
      </c>
      <c r="AP30" s="2">
        <f t="shared" si="16"/>
        <v>585.43210743850034</v>
      </c>
      <c r="AQ30" s="2">
        <f t="shared" si="17"/>
        <v>542.56491517927657</v>
      </c>
      <c r="AR30" s="2">
        <f t="shared" si="18"/>
        <v>499.76142817308812</v>
      </c>
      <c r="AS30" s="2">
        <f t="shared" si="19"/>
        <v>476.22593072507385</v>
      </c>
      <c r="AX30" s="2">
        <f t="shared" si="28"/>
        <v>1000000000000</v>
      </c>
      <c r="AY30" s="37">
        <f t="shared" si="20"/>
        <v>42229.006211524982</v>
      </c>
      <c r="AZ30" s="37">
        <f t="shared" si="21"/>
        <v>-469113.5630113699</v>
      </c>
      <c r="BA30" s="37">
        <f t="shared" si="22"/>
        <v>-43136.991005074786</v>
      </c>
      <c r="BB30" s="37">
        <f t="shared" si="23"/>
        <v>-28492.115824520955</v>
      </c>
      <c r="BC30" s="37">
        <f t="shared" si="24"/>
        <v>-22743.458981196909</v>
      </c>
      <c r="BD30" s="37">
        <f t="shared" si="25"/>
        <v>-17869.104216700292</v>
      </c>
      <c r="BE30" s="37">
        <f t="shared" si="26"/>
        <v>-15548.838457342066</v>
      </c>
    </row>
    <row r="31" spans="1:57" x14ac:dyDescent="0.25">
      <c r="A31" s="2">
        <f>'creep_res-40'!A31</f>
        <v>10000000000000</v>
      </c>
      <c r="B31" s="3">
        <f>'creep_res-40'!O31</f>
        <v>-3.7568405714285716E-3</v>
      </c>
      <c r="C31" s="2">
        <f>IF('Modell einstellen'!$B$2="Ja",creep_res0!O31,creep_res0!C31)</f>
        <v>-5.0214025714285723E-3</v>
      </c>
      <c r="D31" s="2">
        <f>IF('Modell einstellen'!$B$2="Ja",creep_res25!O31,creep_res25!C31)</f>
        <v>-5.6714805714285716E-3</v>
      </c>
      <c r="E31" s="2">
        <f>IF('Modell einstellen'!$B$2="Ja",creep_res50!O31,creep_res50!C31)</f>
        <v>-6.0127154285714293E-3</v>
      </c>
      <c r="F31" s="2">
        <f>IF('Modell einstellen'!$B$2="Ja",creep_res80!O31,creep_res80!C31)</f>
        <v>-6.3178514285714285E-3</v>
      </c>
      <c r="G31" s="2">
        <f>IF('Modell einstellen'!$B$2="Ja",creep_res125!O31,creep_res125!C31)</f>
        <v>-6.8895494285714292E-3</v>
      </c>
      <c r="H31" s="2">
        <f>IF('Modell einstellen'!$B$2="Ja",creep_res160!O31,creep_res160!C31)</f>
        <v>-6.9320440000000001E-3</v>
      </c>
      <c r="M31" s="9">
        <f t="shared" si="27"/>
        <v>-10</v>
      </c>
      <c r="N31" s="2">
        <f t="shared" si="4"/>
        <v>10000000000000</v>
      </c>
      <c r="O31" s="2">
        <f t="shared" si="5"/>
        <v>2661.8111175788895</v>
      </c>
      <c r="P31" s="2">
        <f t="shared" si="6"/>
        <v>1991.4754608402236</v>
      </c>
      <c r="Q31" s="2">
        <f t="shared" si="7"/>
        <v>1763.2080149189565</v>
      </c>
      <c r="R31" s="2">
        <f t="shared" si="8"/>
        <v>1663.1420726285587</v>
      </c>
      <c r="S31" s="2">
        <f t="shared" si="9"/>
        <v>1582.8165814056135</v>
      </c>
      <c r="T31" s="2">
        <f t="shared" si="10"/>
        <v>1451.473728968301</v>
      </c>
      <c r="U31" s="2">
        <f t="shared" si="11"/>
        <v>1442.5759559518087</v>
      </c>
      <c r="Z31" s="2">
        <v>10000000000000</v>
      </c>
      <c r="AA31" s="3">
        <f>IF('Modell einstellen'!$B$2="Ja",'creep_res-40'!P31,'creep_res-40'!L31)</f>
        <v>0.49833434507506391</v>
      </c>
      <c r="AB31" s="2">
        <f>IF('Modell einstellen'!$B$2="Ja",creep_res0!P31,creep_res0!L31)</f>
        <v>0.50676640203371748</v>
      </c>
      <c r="AC31" s="2">
        <f>IF('Modell einstellen'!$B$2="Ja",creep_res25!P31,creep_res25!L31)</f>
        <v>0.51010993249331416</v>
      </c>
      <c r="AD31" s="2">
        <f>IF('Modell einstellen'!$B$2="Ja",creep_res50!P31,creep_res50!L31)</f>
        <v>0.5113163988089241</v>
      </c>
      <c r="AE31" s="2">
        <f>IF('Modell einstellen'!$B$2="Ja",creep_res80!P31,creep_res80!L31)</f>
        <v>0.51307827073218382</v>
      </c>
      <c r="AF31" s="2">
        <f>IF('Modell einstellen'!$B$2="Ja",creep_res125!P31,creep_res125!L31)</f>
        <v>0.51521146541492668</v>
      </c>
      <c r="AG31" s="2">
        <f>IF('Modell einstellen'!$B$2="Ja",creep_res160!P31,creep_res160!L31)</f>
        <v>0.51537303736510776</v>
      </c>
      <c r="AL31" s="2">
        <f t="shared" si="12"/>
        <v>10000000000000</v>
      </c>
      <c r="AM31" s="2">
        <f t="shared" si="13"/>
        <v>888.25672531905332</v>
      </c>
      <c r="AN31" s="2">
        <f t="shared" si="14"/>
        <v>660.84412890819806</v>
      </c>
      <c r="AO31" s="2">
        <f t="shared" si="15"/>
        <v>583.80121108393644</v>
      </c>
      <c r="AP31" s="2">
        <f t="shared" si="16"/>
        <v>550.22961238933465</v>
      </c>
      <c r="AQ31" s="2">
        <f t="shared" si="17"/>
        <v>523.04517618896307</v>
      </c>
      <c r="AR31" s="2">
        <f t="shared" si="18"/>
        <v>478.96737917397832</v>
      </c>
      <c r="AS31" s="2">
        <f t="shared" si="19"/>
        <v>475.98047490013522</v>
      </c>
      <c r="AX31" s="2">
        <f t="shared" si="28"/>
        <v>10000000000000</v>
      </c>
      <c r="AY31" s="37">
        <f t="shared" si="20"/>
        <v>266342.79382938251</v>
      </c>
      <c r="AZ31" s="37">
        <f t="shared" si="21"/>
        <v>-49053.038106922882</v>
      </c>
      <c r="BA31" s="37">
        <f t="shared" si="22"/>
        <v>-29067.25664892737</v>
      </c>
      <c r="BB31" s="37">
        <f t="shared" si="23"/>
        <v>-24494.572002844325</v>
      </c>
      <c r="BC31" s="37">
        <f t="shared" si="24"/>
        <v>-20171.073758124621</v>
      </c>
      <c r="BD31" s="37">
        <f t="shared" si="25"/>
        <v>-15903.286209624497</v>
      </c>
      <c r="BE31" s="37">
        <f t="shared" si="26"/>
        <v>-15639.676160397003</v>
      </c>
    </row>
    <row r="32" spans="1:57" x14ac:dyDescent="0.25">
      <c r="A32" s="2">
        <f>'creep_res-40'!A32</f>
        <v>100000000000000</v>
      </c>
      <c r="B32" s="3">
        <f>'creep_res-40'!O32</f>
        <v>-4.6848757142857146E-3</v>
      </c>
      <c r="C32" s="2">
        <f>IF('Modell einstellen'!$B$2="Ja",creep_res0!O32,creep_res0!C32)</f>
        <v>-5.6401380000000003E-3</v>
      </c>
      <c r="D32" s="2">
        <f>IF('Modell einstellen'!$B$2="Ja",creep_res25!O32,creep_res25!C32)</f>
        <v>-6.0295740000000002E-3</v>
      </c>
      <c r="E32" s="2">
        <f>IF('Modell einstellen'!$B$2="Ja",creep_res50!O32,creep_res50!C32)</f>
        <v>-6.2865677142857146E-3</v>
      </c>
      <c r="F32" s="2">
        <f>IF('Modell einstellen'!$B$2="Ja",creep_res80!O32,creep_res80!C32)</f>
        <v>-6.4428497142857144E-3</v>
      </c>
      <c r="G32" s="2">
        <f>IF('Modell einstellen'!$B$2="Ja",creep_res125!O32,creep_res125!C32)</f>
        <v>-6.9306028571428577E-3</v>
      </c>
      <c r="H32" s="2">
        <f>IF('Modell einstellen'!$B$2="Ja",creep_res160!O32,creep_res160!C32)</f>
        <v>-6.9347925714285724E-3</v>
      </c>
      <c r="M32" s="9">
        <v>-1</v>
      </c>
      <c r="N32" s="2">
        <f t="shared" si="4"/>
        <v>100000000000000</v>
      </c>
      <c r="O32" s="2">
        <f t="shared" si="5"/>
        <v>2134.5283439444802</v>
      </c>
      <c r="P32" s="2">
        <f t="shared" si="6"/>
        <v>1773.0062633219256</v>
      </c>
      <c r="Q32" s="2">
        <f t="shared" si="7"/>
        <v>1658.491959796828</v>
      </c>
      <c r="R32" s="2">
        <f t="shared" si="8"/>
        <v>1590.6931181661835</v>
      </c>
      <c r="S32" s="2">
        <f t="shared" si="9"/>
        <v>1552.1082197256635</v>
      </c>
      <c r="T32" s="2">
        <f t="shared" si="10"/>
        <v>1442.8759238013101</v>
      </c>
      <c r="U32" s="2">
        <f t="shared" si="11"/>
        <v>1442.004197962621</v>
      </c>
      <c r="Z32" s="2">
        <v>100000000000000</v>
      </c>
      <c r="AA32" s="3">
        <f>IF('Modell einstellen'!$B$2="Ja",'creep_res-40'!P32,'creep_res-40'!L32)</f>
        <v>0.50559271430588337</v>
      </c>
      <c r="AB32" s="2">
        <f>IF('Modell einstellen'!$B$2="Ja",creep_res0!P32,creep_res0!L32)</f>
        <v>0.50979522638833097</v>
      </c>
      <c r="AC32" s="2">
        <f>IF('Modell einstellen'!$B$2="Ja",creep_res25!P32,creep_res25!L32)</f>
        <v>0.51124057141397672</v>
      </c>
      <c r="AD32" s="2">
        <f>IF('Modell einstellen'!$B$2="Ja",creep_res50!P32,creep_res50!L32)</f>
        <v>0.51220909233823575</v>
      </c>
      <c r="AE32" s="2">
        <f>IF('Modell einstellen'!$B$2="Ja",creep_res80!P32,creep_res80!L32)</f>
        <v>0.51270569092452178</v>
      </c>
      <c r="AF32" s="2">
        <f>IF('Modell einstellen'!$B$2="Ja",creep_res125!P32,creep_res125!L32)</f>
        <v>0.51667832647829848</v>
      </c>
      <c r="AG32" s="2">
        <f>IF('Modell einstellen'!$B$2="Ja",creep_res160!P32,creep_res160!L32)</f>
        <v>0.51545132218188916</v>
      </c>
      <c r="AL32" s="2">
        <f t="shared" si="12"/>
        <v>100000000000000</v>
      </c>
      <c r="AM32" s="2">
        <f t="shared" si="13"/>
        <v>708.86645626754114</v>
      </c>
      <c r="AN32" s="2">
        <f t="shared" si="14"/>
        <v>587.16779346403064</v>
      </c>
      <c r="AO32" s="2">
        <f t="shared" si="15"/>
        <v>548.71871201984641</v>
      </c>
      <c r="AP32" s="2">
        <f t="shared" si="16"/>
        <v>525.95012363885235</v>
      </c>
      <c r="AQ32" s="2">
        <f t="shared" si="17"/>
        <v>513.02385818918287</v>
      </c>
      <c r="AR32" s="2">
        <f t="shared" si="18"/>
        <v>475.66972462501121</v>
      </c>
      <c r="AS32" s="2">
        <f t="shared" si="19"/>
        <v>475.76724400704541</v>
      </c>
      <c r="AX32" s="2">
        <f t="shared" si="28"/>
        <v>100000000000000</v>
      </c>
      <c r="AY32" s="37">
        <f t="shared" si="20"/>
        <v>-63610.38746722733</v>
      </c>
      <c r="AZ32" s="37">
        <f t="shared" si="21"/>
        <v>-30167.862606934468</v>
      </c>
      <c r="BA32" s="37">
        <f t="shared" si="22"/>
        <v>-24590.860771464442</v>
      </c>
      <c r="BB32" s="37">
        <f t="shared" si="23"/>
        <v>-21714.596986386121</v>
      </c>
      <c r="BC32" s="37">
        <f t="shared" si="24"/>
        <v>-20359.75098279411</v>
      </c>
      <c r="BD32" s="37">
        <f t="shared" si="25"/>
        <v>-14418.672097974508</v>
      </c>
      <c r="BE32" s="37">
        <f t="shared" si="26"/>
        <v>-15554.269735924026</v>
      </c>
    </row>
    <row r="33" spans="1:60" x14ac:dyDescent="0.25">
      <c r="A33" s="2">
        <f>'creep_res-40'!A33</f>
        <v>1000000000000000</v>
      </c>
      <c r="B33" s="3">
        <f>'creep_res-40'!O33</f>
        <v>-5.4542020000000009E-3</v>
      </c>
      <c r="C33" s="2">
        <f>IF('Modell einstellen'!$B$2="Ja",creep_res0!O33,creep_res0!C33)</f>
        <v>-5.9958525714285723E-3</v>
      </c>
      <c r="D33" s="2">
        <f>IF('Modell einstellen'!$B$2="Ja",creep_res25!O33,creep_res25!C33)</f>
        <v>-6.2946374285714288E-3</v>
      </c>
      <c r="E33" s="2">
        <f>IF('Modell einstellen'!$B$2="Ja",creep_res50!O33,creep_res50!C33)</f>
        <v>-6.4140320000000009E-3</v>
      </c>
      <c r="F33" s="2">
        <f>IF('Modell einstellen'!$B$2="Ja",creep_res80!O33,creep_res80!C33)</f>
        <v>-6.7568782857142864E-3</v>
      </c>
      <c r="G33" s="2">
        <f>IF('Modell einstellen'!$B$2="Ja",creep_res125!O33,creep_res125!C33)</f>
        <v>-6.9356111428571432E-3</v>
      </c>
      <c r="H33" s="2">
        <f>IF('Modell einstellen'!$B$2="Ja",creep_res160!O33,creep_res160!C33)</f>
        <v>-6.9376311428571442E-3</v>
      </c>
      <c r="M33" s="9">
        <f>M31</f>
        <v>-10</v>
      </c>
      <c r="N33" s="2">
        <f t="shared" si="4"/>
        <v>1000000000000000</v>
      </c>
      <c r="O33" s="2">
        <f t="shared" si="5"/>
        <v>1833.4487794914817</v>
      </c>
      <c r="P33" s="2">
        <f t="shared" si="6"/>
        <v>1667.8195270597521</v>
      </c>
      <c r="Q33" s="2">
        <f t="shared" si="7"/>
        <v>1588.6538523426129</v>
      </c>
      <c r="R33" s="2">
        <f t="shared" si="8"/>
        <v>1559.0817133434941</v>
      </c>
      <c r="S33" s="2">
        <f t="shared" si="9"/>
        <v>1479.9733807759237</v>
      </c>
      <c r="T33" s="2">
        <f t="shared" si="10"/>
        <v>1441.8340062647276</v>
      </c>
      <c r="U33" s="2">
        <f t="shared" si="11"/>
        <v>1441.4141937044049</v>
      </c>
      <c r="Z33" s="2">
        <v>1000000000000000</v>
      </c>
      <c r="AA33" s="3">
        <f>IF('Modell einstellen'!$B$2="Ja",'creep_res-40'!P33,'creep_res-40'!L33)</f>
        <v>0.50983684034542798</v>
      </c>
      <c r="AB33" s="2">
        <f>IF('Modell einstellen'!$B$2="Ja",creep_res0!P33,creep_res0!L33)</f>
        <v>0.51094623311999854</v>
      </c>
      <c r="AC33" s="2">
        <f>IF('Modell einstellen'!$B$2="Ja",creep_res25!P33,creep_res25!L33)</f>
        <v>0.51214101472586804</v>
      </c>
      <c r="AD33" s="2">
        <f>IF('Modell einstellen'!$B$2="Ja",creep_res50!P33,creep_res50!L33)</f>
        <v>0.51264241543273503</v>
      </c>
      <c r="AE33" s="2">
        <f>IF('Modell einstellen'!$B$2="Ja",creep_res80!P33,creep_res80!L33)</f>
        <v>0.51418250033806812</v>
      </c>
      <c r="AF33" s="2">
        <f>IF('Modell einstellen'!$B$2="Ja",creep_res125!P33,creep_res125!L33)</f>
        <v>0.5162885429521733</v>
      </c>
      <c r="AG33" s="2">
        <f>IF('Modell einstellen'!$B$2="Ja",creep_res160!P33,creep_res160!L33)</f>
        <v>0.51551013151504277</v>
      </c>
      <c r="AL33" s="2">
        <f t="shared" si="12"/>
        <v>1000000000000000</v>
      </c>
      <c r="AM33" s="2">
        <f t="shared" si="13"/>
        <v>607.16785102157667</v>
      </c>
      <c r="AN33" s="2">
        <f t="shared" si="14"/>
        <v>551.91226878266252</v>
      </c>
      <c r="AO33" s="2">
        <f t="shared" si="15"/>
        <v>525.29950476563715</v>
      </c>
      <c r="AP33" s="2">
        <f t="shared" si="16"/>
        <v>515.3503886433972</v>
      </c>
      <c r="AQ33" s="2">
        <f t="shared" si="17"/>
        <v>488.70376604058401</v>
      </c>
      <c r="AR33" s="2">
        <f t="shared" si="18"/>
        <v>475.44842733478526</v>
      </c>
      <c r="AS33" s="2">
        <f t="shared" si="19"/>
        <v>475.55412653805064</v>
      </c>
      <c r="AX33" s="2">
        <f>AL33</f>
        <v>1000000000000000</v>
      </c>
      <c r="AY33" s="37">
        <f t="shared" si="20"/>
        <v>-31064.324097111163</v>
      </c>
      <c r="AZ33" s="37">
        <f t="shared" si="21"/>
        <v>-25394.116691045081</v>
      </c>
      <c r="BA33" s="37">
        <f t="shared" si="22"/>
        <v>-21808.361824400279</v>
      </c>
      <c r="BB33" s="37">
        <f t="shared" si="23"/>
        <v>-20553.584368940563</v>
      </c>
      <c r="BC33" s="37">
        <f t="shared" si="24"/>
        <v>-17392.012991336898</v>
      </c>
      <c r="BD33" s="37">
        <f t="shared" si="25"/>
        <v>-14753.048717517431</v>
      </c>
      <c r="BE33" s="37">
        <f t="shared" si="26"/>
        <v>-15488.953057408791</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107" zoomScale="120" zoomScaleNormal="120" zoomScaleSheetLayoutView="110" workbookViewId="0">
      <selection activeCell="B68" sqref="B68"/>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80</v>
      </c>
      <c r="D2" s="11">
        <f>1</f>
        <v>1</v>
      </c>
      <c r="E2" s="11">
        <f>D2+1</f>
        <v>2</v>
      </c>
      <c r="F2" s="11">
        <f t="shared" ref="F2:J2" si="0">E2+1</f>
        <v>3</v>
      </c>
      <c r="G2" s="11">
        <f t="shared" si="0"/>
        <v>4</v>
      </c>
      <c r="H2" s="11">
        <f t="shared" si="0"/>
        <v>5</v>
      </c>
      <c r="I2" s="11">
        <f t="shared" si="0"/>
        <v>6</v>
      </c>
      <c r="J2" s="11">
        <f t="shared" si="0"/>
        <v>7</v>
      </c>
    </row>
    <row r="3" spans="1:36" x14ac:dyDescent="0.25">
      <c r="A3" s="11" t="s">
        <v>111</v>
      </c>
      <c r="B3" s="35">
        <v>5</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7" t="s">
        <v>26</v>
      </c>
      <c r="B15" s="117"/>
      <c r="C15" s="117"/>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9259.9030429946288</v>
      </c>
      <c r="G16" s="26">
        <f>INDEX(Comparison!$AM$3:$AS$33,G14,$B$3)</f>
        <v>8975.4373156175916</v>
      </c>
      <c r="H16" s="26">
        <f>INDEX(Comparison!$AM$3:$AS$33,H14,$B$3)</f>
        <v>8718.1797337443004</v>
      </c>
      <c r="I16" s="26">
        <f>INDEX(Comparison!$AM$3:$AS$33,I14,$B$3)</f>
        <v>8453.8665906134283</v>
      </c>
      <c r="J16" s="26">
        <f>INDEX(Comparison!$AM$3:$AS$33,J14,$B$3)</f>
        <v>8157.4497816903277</v>
      </c>
      <c r="K16" s="26">
        <f>INDEX(Comparison!$AM$3:$AS$33,K14,$B$3)</f>
        <v>7881.4803699008435</v>
      </c>
      <c r="L16" s="26">
        <f>INDEX(Comparison!$AM$3:$AS$33,L14,$B$3)</f>
        <v>7606.797789198542</v>
      </c>
      <c r="M16" s="26">
        <f>INDEX(Comparison!$AM$3:$AS$33,M14,$B$3)</f>
        <v>7278.8872759198184</v>
      </c>
      <c r="N16" s="26">
        <f>INDEX(Comparison!$AM$3:$AS$33,N14,$B$3)</f>
        <v>6902.9128773701668</v>
      </c>
      <c r="O16" s="26">
        <f>INDEX(Comparison!$AM$3:$AS$33,O14,$B$3)</f>
        <v>6533.8294095397778</v>
      </c>
      <c r="P16" s="26">
        <f>INDEX(Comparison!$AM$3:$AS$33,P14,$B$3)</f>
        <v>6236.0805337275306</v>
      </c>
      <c r="Q16" s="26">
        <f>INDEX(Comparison!$AM$3:$AS$33,Q14,$B$3)</f>
        <v>5950.4123980915811</v>
      </c>
      <c r="R16" s="26">
        <f>INDEX(Comparison!$AM$3:$AS$33,R14,$B$3)</f>
        <v>5675.5372968728034</v>
      </c>
      <c r="S16" s="26">
        <f>INDEX(Comparison!$AM$3:$AS$33,S14,$B$3)</f>
        <v>5389.077424650558</v>
      </c>
      <c r="T16" s="26">
        <f>INDEX(Comparison!$AM$3:$AS$33,T14,$B$3)</f>
        <v>5123.5437168709832</v>
      </c>
      <c r="U16" s="26">
        <f>INDEX(Comparison!$AM$3:$AS$33,U14,$B$3)</f>
        <v>4799.280908658001</v>
      </c>
      <c r="V16" s="26">
        <f>INDEX(Comparison!$AM$3:$AS$33,V14,$B$3)</f>
        <v>4430.6662258617935</v>
      </c>
      <c r="W16" s="26">
        <f>INDEX(Comparison!$AM$3:$AS$33,W14,$B$3)</f>
        <v>3990.4031488339651</v>
      </c>
      <c r="X16" s="26">
        <f>INDEX(Comparison!$AM$3:$AS$33,X14,$B$3)</f>
        <v>3512.6173919241392</v>
      </c>
      <c r="Y16" s="26">
        <f>INDEX(Comparison!$AM$3:$AS$33,Y14,$B$3)</f>
        <v>2997.1269883218743</v>
      </c>
      <c r="Z16" s="26">
        <f>INDEX(Comparison!$AM$3:$AS$33,Z14,$B$3)</f>
        <v>2450.4999019800034</v>
      </c>
      <c r="AA16" s="26">
        <f>INDEX(Comparison!$AM$3:$AS$33,AA14,$B$3)</f>
        <v>1872.1545257089074</v>
      </c>
      <c r="AB16" s="26">
        <f>INDEX(Comparison!$AM$3:$AS$33,AB14,$B$3)</f>
        <v>1367.4511296212941</v>
      </c>
      <c r="AC16" s="26">
        <f>INDEX(Comparison!$AM$3:$AS$33,AC14,$B$3)</f>
        <v>983.81195335121254</v>
      </c>
      <c r="AD16" s="26">
        <f>INDEX(Comparison!$AM$3:$AS$33,AD14,$B$3)</f>
        <v>755.24433140254177</v>
      </c>
      <c r="AE16" s="26">
        <f>INDEX(Comparison!$AM$3:$AS$33,AE14,$B$3)</f>
        <v>633.28610309701617</v>
      </c>
      <c r="AF16" s="26">
        <f>INDEX(Comparison!$AM$3:$AS$33,AF14,$B$3)</f>
        <v>577.24905136540178</v>
      </c>
      <c r="AG16" s="26">
        <f>INDEX(Comparison!$AM$3:$AS$33,AG14,$B$3)</f>
        <v>542.56491517927657</v>
      </c>
      <c r="AH16" s="26">
        <f>INDEX(Comparison!$AM$3:$AS$33,AH14,$B$3)</f>
        <v>523.04517618896307</v>
      </c>
      <c r="AI16" s="26">
        <f>INDEX(Comparison!$AM$3:$AS$33,AI14,$B$3)</f>
        <v>513.02385818918287</v>
      </c>
      <c r="AJ16" s="26">
        <f>INDEX(Comparison!$AM$3:$AS$33,AJ14,$B$3)</f>
        <v>488.70376604058401</v>
      </c>
    </row>
    <row r="17" spans="1:36" x14ac:dyDescent="0.25">
      <c r="A17" s="14" t="s">
        <v>20</v>
      </c>
      <c r="B17" s="105">
        <v>2.3430282439706213E-2</v>
      </c>
      <c r="C17" s="18">
        <f t="shared" ref="C17:C48" si="3">ABS(B17/$B$49)</f>
        <v>2.4559795463728072E-2</v>
      </c>
      <c r="D17" s="66"/>
      <c r="E17" s="65" t="s">
        <v>22</v>
      </c>
      <c r="F17" s="27">
        <f>($C$17+SUM(F18:F48))*$B$51</f>
        <v>9181.1202429772056</v>
      </c>
      <c r="G17" s="27">
        <f t="shared" ref="G17:M17" si="4">($C$17+SUM(G18:G48))*$B$51</f>
        <v>9077.3471401907536</v>
      </c>
      <c r="H17" s="27">
        <f t="shared" si="4"/>
        <v>8691.1897044114157</v>
      </c>
      <c r="I17" s="27">
        <f t="shared" si="4"/>
        <v>8458.2715956091197</v>
      </c>
      <c r="J17" s="27">
        <f t="shared" si="4"/>
        <v>8156.8565423977061</v>
      </c>
      <c r="K17" s="27">
        <f t="shared" si="4"/>
        <v>7881.5565161927279</v>
      </c>
      <c r="L17" s="27">
        <f t="shared" si="4"/>
        <v>7606.6798567499918</v>
      </c>
      <c r="M17" s="27">
        <f t="shared" si="4"/>
        <v>7279.2457143899683</v>
      </c>
      <c r="N17" s="27">
        <f t="shared" ref="N17" si="5">($C$17+SUM(N18:N48))*$B$51</f>
        <v>6902.0201278235645</v>
      </c>
      <c r="O17" s="27">
        <f t="shared" ref="O17" si="6">($C$17+SUM(O18:O48))*$B$51</f>
        <v>6535.65283041566</v>
      </c>
      <c r="P17" s="27">
        <f t="shared" ref="P17" si="7">($C$17+SUM(P18:P48))*$B$51</f>
        <v>6232.9911932454725</v>
      </c>
      <c r="Q17" s="27">
        <f t="shared" ref="Q17" si="8">($C$17+SUM(Q18:Q48))*$B$51</f>
        <v>5954.8801965015318</v>
      </c>
      <c r="R17" s="27">
        <f t="shared" ref="R17" si="9">($C$17+SUM(R18:R48))*$B$51</f>
        <v>5670.0308748985053</v>
      </c>
      <c r="S17" s="27">
        <f t="shared" ref="S17:T17" si="10">($C$17+SUM(S18:S48))*$B$51</f>
        <v>5394.855958295836</v>
      </c>
      <c r="T17" s="27">
        <f t="shared" si="10"/>
        <v>5118.3201170464572</v>
      </c>
      <c r="U17" s="27">
        <f t="shared" ref="U17" si="11">($C$17+SUM(U18:U48))*$B$51</f>
        <v>4803.321176162829</v>
      </c>
      <c r="V17" s="27">
        <f t="shared" ref="V17" si="12">($C$17+SUM(V18:V48))*$B$51</f>
        <v>4428.0217075907685</v>
      </c>
      <c r="W17" s="27">
        <f t="shared" ref="W17" si="13">($C$17+SUM(W18:W48))*$B$51</f>
        <v>3991.9184585668331</v>
      </c>
      <c r="X17" s="27">
        <f t="shared" ref="X17" si="14">($C$17+SUM(X18:X48))*$B$51</f>
        <v>3511.8371069330979</v>
      </c>
      <c r="Y17" s="27">
        <f t="shared" ref="Y17" si="15">($C$17+SUM(Y18:Y48))*$B$51</f>
        <v>2997.4634017708149</v>
      </c>
      <c r="Z17" s="27">
        <f t="shared" ref="Z17:AA17" si="16">($C$17+SUM(Z18:Z48))*$B$51</f>
        <v>2450.3731076056938</v>
      </c>
      <c r="AA17" s="27">
        <f t="shared" si="16"/>
        <v>1872.2061457687482</v>
      </c>
      <c r="AB17" s="27">
        <f t="shared" ref="AB17" si="17">($C$17+SUM(AB18:AB48))*$B$51</f>
        <v>1367.4362906757719</v>
      </c>
      <c r="AC17" s="27">
        <f t="shared" ref="AC17" si="18">($C$17+SUM(AC18:AC48))*$B$51</f>
        <v>983.81476519292926</v>
      </c>
      <c r="AD17" s="27">
        <f t="shared" ref="AD17" si="19">($C$17+SUM(AD18:AD48))*$B$51</f>
        <v>755.22011809300068</v>
      </c>
      <c r="AE17" s="27">
        <f t="shared" ref="AE17" si="20">($C$17+SUM(AE18:AE48))*$B$51</f>
        <v>633.37540600950058</v>
      </c>
      <c r="AF17" s="27">
        <f t="shared" ref="AF17" si="21">($C$17+SUM(AF18:AF48))*$B$51</f>
        <v>577.07869074421239</v>
      </c>
      <c r="AG17" s="27">
        <f t="shared" ref="AG17:AH17" si="22">($C$17+SUM(AG18:AG48))*$B$51</f>
        <v>542.78896221385173</v>
      </c>
      <c r="AH17" s="27">
        <f t="shared" si="22"/>
        <v>522.78254884214482</v>
      </c>
      <c r="AI17" s="27">
        <f t="shared" ref="AI17" si="23">($C$17+SUM(AI18:AI48))*$B$51</f>
        <v>513.34061117674673</v>
      </c>
      <c r="AJ17" s="27">
        <f t="shared" ref="AJ17" si="24">($C$17+SUM(AJ18:AJ48))*$B$51</f>
        <v>488.52312953814851</v>
      </c>
    </row>
    <row r="18" spans="1:36" x14ac:dyDescent="0.25">
      <c r="A18" s="3">
        <f>0.000000000000001/10^5</f>
        <v>1.0000000000000001E-20</v>
      </c>
      <c r="B18" s="106">
        <v>9.3007065783902776E-2</v>
      </c>
      <c r="C18" s="18">
        <f t="shared" si="3"/>
        <v>9.7490694711522885E-2</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4.6274627191217964E-2</v>
      </c>
      <c r="C19" s="18">
        <f t="shared" si="3"/>
        <v>4.8505406706093171E-2</v>
      </c>
      <c r="D19" s="17"/>
      <c r="F19" s="3">
        <f t="shared" si="25"/>
        <v>4.7278697537993956E-2</v>
      </c>
      <c r="G19" s="3">
        <f t="shared" si="25"/>
        <v>3.7544271759745423E-2</v>
      </c>
      <c r="H19" s="3">
        <f t="shared" si="25"/>
        <v>3.7439108134465706E-3</v>
      </c>
      <c r="I19" s="3">
        <f t="shared" si="25"/>
        <v>3.6403537807935516E-13</v>
      </c>
      <c r="J19" s="3">
        <f t="shared" si="25"/>
        <v>2.749948523011041E-113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1.784408025603287E-2</v>
      </c>
      <c r="C20" s="18">
        <f t="shared" si="3"/>
        <v>1.8704296990626069E-2</v>
      </c>
      <c r="D20" s="17"/>
      <c r="F20" s="3">
        <f t="shared" si="25"/>
        <v>1.8661126377174521E-2</v>
      </c>
      <c r="G20" s="3">
        <f t="shared" si="25"/>
        <v>1.8277047183936475E-2</v>
      </c>
      <c r="H20" s="3">
        <f t="shared" si="25"/>
        <v>1.4845260501789623E-2</v>
      </c>
      <c r="I20" s="3">
        <f t="shared" si="25"/>
        <v>1.8552640190360845E-3</v>
      </c>
      <c r="J20" s="3">
        <f t="shared" si="25"/>
        <v>1.7241883740229E-12</v>
      </c>
      <c r="K20" s="3">
        <f t="shared" si="25"/>
        <v>8.2865664356151818E-103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3.2023373800429175E-2</v>
      </c>
      <c r="C21" s="18">
        <f t="shared" si="3"/>
        <v>3.356713742657344E-2</v>
      </c>
      <c r="D21" s="17"/>
      <c r="F21" s="3">
        <f t="shared" si="25"/>
        <v>3.3560141195642247E-2</v>
      </c>
      <c r="G21" s="3">
        <f t="shared" si="25"/>
        <v>3.3497240699331438E-2</v>
      </c>
      <c r="H21" s="3">
        <f t="shared" si="25"/>
        <v>3.2874683474490185E-2</v>
      </c>
      <c r="I21" s="3">
        <f t="shared" si="25"/>
        <v>2.7251288455057122E-2</v>
      </c>
      <c r="J21" s="3">
        <f t="shared" si="25"/>
        <v>4.1748574216323615E-3</v>
      </c>
      <c r="K21" s="3">
        <f t="shared" si="25"/>
        <v>2.9729508026529257E-11</v>
      </c>
      <c r="L21" s="3">
        <f t="shared" si="25"/>
        <v>9.9689281234004997E-93</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2.6181721028932636E-2</v>
      </c>
      <c r="C22" s="18">
        <f t="shared" si="3"/>
        <v>2.744387375669366E-2</v>
      </c>
      <c r="D22" s="17"/>
      <c r="F22" s="3">
        <f t="shared" si="25"/>
        <v>2.7443357717113644E-2</v>
      </c>
      <c r="G22" s="3">
        <f t="shared" si="25"/>
        <v>2.7438713797521247E-2</v>
      </c>
      <c r="H22" s="3">
        <f t="shared" si="25"/>
        <v>2.7392317800664871E-2</v>
      </c>
      <c r="I22" s="3">
        <f t="shared" si="25"/>
        <v>2.6932650811303367E-2</v>
      </c>
      <c r="J22" s="3">
        <f t="shared" si="25"/>
        <v>2.2739572090572844E-2</v>
      </c>
      <c r="K22" s="3">
        <f t="shared" si="25"/>
        <v>4.1861439991778661E-3</v>
      </c>
      <c r="L22" s="3">
        <f t="shared" si="25"/>
        <v>1.8712547666802569E-10</v>
      </c>
      <c r="M22" s="3">
        <f t="shared" si="25"/>
        <v>5.9610186481659244E-84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2.5850087188125502E-2</v>
      </c>
      <c r="C23" s="18">
        <f t="shared" si="3"/>
        <v>2.7096252710296413E-2</v>
      </c>
      <c r="D23" s="17"/>
      <c r="F23" s="3">
        <f t="shared" si="25"/>
        <v>2.7096206748484619E-2</v>
      </c>
      <c r="G23" s="3">
        <f t="shared" si="25"/>
        <v>2.7095793095686785E-2</v>
      </c>
      <c r="H23" s="3">
        <f t="shared" si="25"/>
        <v>2.7091656915009588E-2</v>
      </c>
      <c r="I23" s="3">
        <f t="shared" si="25"/>
        <v>2.7050329818744393E-2</v>
      </c>
      <c r="J23" s="3">
        <f t="shared" si="25"/>
        <v>2.6640510380375366E-2</v>
      </c>
      <c r="K23" s="3">
        <f t="shared" si="25"/>
        <v>2.2868743408320659E-2</v>
      </c>
      <c r="L23" s="3">
        <f t="shared" si="25"/>
        <v>4.9686672137172162E-3</v>
      </c>
      <c r="M23" s="3">
        <f t="shared" si="25"/>
        <v>1.1647051435437076E-9</v>
      </c>
      <c r="N23" s="3">
        <f t="shared" si="25"/>
        <v>5.8341397437104819E-76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3.273129206795581E-2</v>
      </c>
      <c r="C24" s="18">
        <f t="shared" si="3"/>
        <v>3.4309182593985812E-2</v>
      </c>
      <c r="D24" s="17"/>
      <c r="F24" s="3">
        <f t="shared" si="25"/>
        <v>3.4309177344156262E-2</v>
      </c>
      <c r="G24" s="3">
        <f t="shared" si="25"/>
        <v>3.4309130095726441E-2</v>
      </c>
      <c r="H24" s="3">
        <f t="shared" si="25"/>
        <v>3.4308657615006947E-2</v>
      </c>
      <c r="I24" s="3">
        <f t="shared" si="25"/>
        <v>3.4303933165663811E-2</v>
      </c>
      <c r="J24" s="3">
        <f t="shared" si="25"/>
        <v>3.4256724439186537E-2</v>
      </c>
      <c r="K24" s="3">
        <f t="shared" si="25"/>
        <v>3.3788195712030997E-2</v>
      </c>
      <c r="L24" s="3">
        <f t="shared" si="25"/>
        <v>2.9441278785886215E-2</v>
      </c>
      <c r="M24" s="3">
        <f t="shared" si="25"/>
        <v>7.4280249864186326E-3</v>
      </c>
      <c r="N24" s="3">
        <f t="shared" si="25"/>
        <v>7.7631900519056702E-9</v>
      </c>
      <c r="O24" s="3">
        <f t="shared" si="25"/>
        <v>1.2070043688867921E-68</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3.8938630423000831E-2</v>
      </c>
      <c r="C25" s="18">
        <f t="shared" si="3"/>
        <v>4.0815760599025495E-2</v>
      </c>
      <c r="D25" s="17"/>
      <c r="F25" s="3">
        <f t="shared" si="25"/>
        <v>4.0815760035635217E-2</v>
      </c>
      <c r="G25" s="3">
        <f t="shared" si="25"/>
        <v>4.0815754965123081E-2</v>
      </c>
      <c r="H25" s="3">
        <f t="shared" si="25"/>
        <v>4.0815704260036362E-2</v>
      </c>
      <c r="I25" s="3">
        <f t="shared" si="25"/>
        <v>4.0815197212633582E-2</v>
      </c>
      <c r="J25" s="3">
        <f t="shared" si="25"/>
        <v>4.08101270850365E-2</v>
      </c>
      <c r="K25" s="3">
        <f t="shared" si="25"/>
        <v>4.0759460436214416E-2</v>
      </c>
      <c r="L25" s="3">
        <f t="shared" si="25"/>
        <v>4.0256240799306994E-2</v>
      </c>
      <c r="M25" s="3">
        <f t="shared" si="25"/>
        <v>3.5553399000093591E-2</v>
      </c>
      <c r="N25" s="3">
        <f t="shared" si="25"/>
        <v>1.0265029977776296E-2</v>
      </c>
      <c r="O25" s="3">
        <f t="shared" si="25"/>
        <v>4.1319130559893029E-8</v>
      </c>
      <c r="P25" s="3">
        <f t="shared" si="25"/>
        <v>4.6138205519382318E-62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3.6462918305273442E-2</v>
      </c>
      <c r="C26" s="18">
        <f t="shared" si="3"/>
        <v>3.8220700834171027E-2</v>
      </c>
      <c r="D26" s="17"/>
      <c r="F26" s="3">
        <f t="shared" si="25"/>
        <v>3.8220700786579825E-2</v>
      </c>
      <c r="G26" s="3">
        <f t="shared" si="25"/>
        <v>3.8220700358258988E-2</v>
      </c>
      <c r="H26" s="3">
        <f t="shared" si="25"/>
        <v>3.8220696075050908E-2</v>
      </c>
      <c r="I26" s="3">
        <f t="shared" si="25"/>
        <v>3.8220653242996519E-2</v>
      </c>
      <c r="J26" s="3">
        <f t="shared" si="25"/>
        <v>3.8220224925092583E-2</v>
      </c>
      <c r="K26" s="3">
        <f t="shared" si="25"/>
        <v>3.821594201004018E-2</v>
      </c>
      <c r="L26" s="3">
        <f t="shared" si="25"/>
        <v>3.8173139247267389E-2</v>
      </c>
      <c r="M26" s="3">
        <f t="shared" si="25"/>
        <v>3.7747739485937348E-2</v>
      </c>
      <c r="N26" s="3">
        <f t="shared" si="25"/>
        <v>3.3745951276951722E-2</v>
      </c>
      <c r="O26" s="3">
        <f t="shared" si="25"/>
        <v>1.1003451542707718E-2</v>
      </c>
      <c r="P26" s="3">
        <f t="shared" si="25"/>
        <v>1.494863494267373E-7</v>
      </c>
      <c r="Q26" s="3">
        <f t="shared" si="25"/>
        <v>3.2013086343596758E-56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2.676027505861836E-2</v>
      </c>
      <c r="C27" s="18">
        <f t="shared" si="3"/>
        <v>2.8050318372560411E-2</v>
      </c>
      <c r="D27" s="17"/>
      <c r="F27" s="3">
        <f t="shared" si="25"/>
        <v>2.8050318369409674E-2</v>
      </c>
      <c r="G27" s="3">
        <f t="shared" si="25"/>
        <v>2.805031834105302E-2</v>
      </c>
      <c r="H27" s="3">
        <f t="shared" si="25"/>
        <v>2.805031805748651E-2</v>
      </c>
      <c r="I27" s="3">
        <f t="shared" si="25"/>
        <v>2.8050315221821557E-2</v>
      </c>
      <c r="J27" s="3">
        <f t="shared" si="25"/>
        <v>2.8050286865187801E-2</v>
      </c>
      <c r="K27" s="3">
        <f t="shared" si="25"/>
        <v>2.8050003300426885E-2</v>
      </c>
      <c r="L27" s="3">
        <f t="shared" si="25"/>
        <v>2.8047167810475976E-2</v>
      </c>
      <c r="M27" s="3">
        <f t="shared" si="25"/>
        <v>2.801882867089743E-2</v>
      </c>
      <c r="N27" s="3">
        <f t="shared" si="25"/>
        <v>2.7737007389219897E-2</v>
      </c>
      <c r="O27" s="3">
        <f t="shared" si="25"/>
        <v>2.5070088564456659E-2</v>
      </c>
      <c r="P27" s="3">
        <f t="shared" si="25"/>
        <v>9.1225977975218833E-3</v>
      </c>
      <c r="Q27" s="3">
        <f t="shared" si="25"/>
        <v>3.7131724931539774E-7</v>
      </c>
      <c r="R27" s="3">
        <f t="shared" si="25"/>
        <v>4.6345875626207966E-51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2.7543726030837851E-2</v>
      </c>
      <c r="C28" s="18">
        <f t="shared" si="3"/>
        <v>2.8871537480058749E-2</v>
      </c>
      <c r="D28" s="17"/>
      <c r="F28" s="3">
        <f t="shared" si="25"/>
        <v>2.8871537479766205E-2</v>
      </c>
      <c r="G28" s="3">
        <f t="shared" si="25"/>
        <v>2.8871537477133311E-2</v>
      </c>
      <c r="H28" s="3">
        <f t="shared" si="25"/>
        <v>2.8871537450804351E-2</v>
      </c>
      <c r="I28" s="3">
        <f t="shared" si="25"/>
        <v>2.8871537187514788E-2</v>
      </c>
      <c r="J28" s="3">
        <f t="shared" si="25"/>
        <v>2.8871534554619264E-2</v>
      </c>
      <c r="K28" s="3">
        <f t="shared" si="25"/>
        <v>2.8871508225677248E-2</v>
      </c>
      <c r="L28" s="3">
        <f t="shared" si="25"/>
        <v>2.8871244937577631E-2</v>
      </c>
      <c r="M28" s="3">
        <f t="shared" si="25"/>
        <v>2.8868612188633097E-2</v>
      </c>
      <c r="N28" s="3">
        <f t="shared" si="25"/>
        <v>2.8842297899897128E-2</v>
      </c>
      <c r="O28" s="3">
        <f t="shared" si="25"/>
        <v>2.8580470640189492E-2</v>
      </c>
      <c r="P28" s="3">
        <f t="shared" si="25"/>
        <v>2.6089427886649804E-2</v>
      </c>
      <c r="Q28" s="3">
        <f t="shared" si="25"/>
        <v>1.0481328925029822E-2</v>
      </c>
      <c r="R28" s="3">
        <f t="shared" si="25"/>
        <v>1.1479799331193167E-6</v>
      </c>
      <c r="S28" s="3">
        <f t="shared" si="25"/>
        <v>2.851765168384504E-46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2.8655041047558144E-2</v>
      </c>
      <c r="C29" s="18">
        <f t="shared" si="3"/>
        <v>3.0036426105565315E-2</v>
      </c>
      <c r="D29" s="17"/>
      <c r="F29" s="3">
        <f t="shared" si="25"/>
        <v>3.0036426105537861E-2</v>
      </c>
      <c r="G29" s="3">
        <f t="shared" si="25"/>
        <v>3.0036426105290767E-2</v>
      </c>
      <c r="H29" s="3">
        <f t="shared" si="25"/>
        <v>3.0036426102819848E-2</v>
      </c>
      <c r="I29" s="3">
        <f t="shared" si="25"/>
        <v>3.0036426078110655E-2</v>
      </c>
      <c r="J29" s="3">
        <f t="shared" si="25"/>
        <v>3.0036425831018711E-2</v>
      </c>
      <c r="K29" s="3">
        <f t="shared" si="25"/>
        <v>3.0036423360099398E-2</v>
      </c>
      <c r="L29" s="3">
        <f t="shared" si="25"/>
        <v>3.003639865091743E-2</v>
      </c>
      <c r="M29" s="3">
        <f t="shared" si="25"/>
        <v>3.0036151560215722E-2</v>
      </c>
      <c r="N29" s="3">
        <f t="shared" si="25"/>
        <v>3.0033680764992226E-2</v>
      </c>
      <c r="O29" s="3">
        <f t="shared" si="25"/>
        <v>3.0008983988714665E-2</v>
      </c>
      <c r="P29" s="3">
        <f t="shared" si="25"/>
        <v>2.976313042744342E-2</v>
      </c>
      <c r="Q29" s="3">
        <f t="shared" si="25"/>
        <v>2.741269692768096E-2</v>
      </c>
      <c r="R29" s="3">
        <f t="shared" si="25"/>
        <v>1.2041576118156982E-2</v>
      </c>
      <c r="S29" s="3">
        <f t="shared" si="25"/>
        <v>3.2210616901892434E-6</v>
      </c>
      <c r="T29" s="3">
        <f t="shared" si="25"/>
        <v>6.0416576875521103E-42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2.544570519761255E-2</v>
      </c>
      <c r="C30" s="18">
        <f t="shared" si="3"/>
        <v>2.6672376514959441E-2</v>
      </c>
      <c r="D30" s="17"/>
      <c r="F30" s="3">
        <f t="shared" si="25"/>
        <v>2.6672376514957241E-2</v>
      </c>
      <c r="G30" s="3">
        <f t="shared" si="25"/>
        <v>2.6672376514937448E-2</v>
      </c>
      <c r="H30" s="3">
        <f t="shared" si="25"/>
        <v>2.6672376514739516E-2</v>
      </c>
      <c r="I30" s="3">
        <f t="shared" si="25"/>
        <v>2.6672376512760183E-2</v>
      </c>
      <c r="J30" s="3">
        <f t="shared" si="25"/>
        <v>2.6672376492966863E-2</v>
      </c>
      <c r="K30" s="3">
        <f t="shared" si="25"/>
        <v>2.6672376295033669E-2</v>
      </c>
      <c r="L30" s="3">
        <f t="shared" si="25"/>
        <v>2.6672374315701818E-2</v>
      </c>
      <c r="M30" s="3">
        <f t="shared" si="25"/>
        <v>2.6672354522391369E-2</v>
      </c>
      <c r="N30" s="3">
        <f t="shared" si="25"/>
        <v>2.6672156590094729E-2</v>
      </c>
      <c r="O30" s="3">
        <f t="shared" si="25"/>
        <v>2.6670177347912292E-2</v>
      </c>
      <c r="P30" s="3">
        <f t="shared" si="25"/>
        <v>2.6650393002263555E-2</v>
      </c>
      <c r="Q30" s="3">
        <f t="shared" si="25"/>
        <v>2.6453354950230931E-2</v>
      </c>
      <c r="R30" s="3">
        <f t="shared" si="25"/>
        <v>2.4561346660360899E-2</v>
      </c>
      <c r="S30" s="3">
        <f t="shared" si="25"/>
        <v>1.1694087248264266E-2</v>
      </c>
      <c r="T30" s="3">
        <f t="shared" si="25"/>
        <v>7.0001585870919329E-6</v>
      </c>
      <c r="U30" s="3">
        <f t="shared" si="25"/>
        <v>4.1354556851598431E-38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2.7786390899149048E-2</v>
      </c>
      <c r="C31" s="18">
        <f t="shared" si="3"/>
        <v>2.9125900591015351E-2</v>
      </c>
      <c r="D31" s="17"/>
      <c r="F31" s="3">
        <f t="shared" si="25"/>
        <v>2.9125900591015136E-2</v>
      </c>
      <c r="G31" s="3">
        <f t="shared" si="25"/>
        <v>2.9125900591013186E-2</v>
      </c>
      <c r="H31" s="3">
        <f t="shared" si="25"/>
        <v>2.9125900590993684E-2</v>
      </c>
      <c r="I31" s="3">
        <f t="shared" si="25"/>
        <v>2.9125900590798712E-2</v>
      </c>
      <c r="J31" s="3">
        <f t="shared" si="25"/>
        <v>2.9125900588848942E-2</v>
      </c>
      <c r="K31" s="3">
        <f t="shared" si="25"/>
        <v>2.9125900569351267E-2</v>
      </c>
      <c r="L31" s="3">
        <f t="shared" si="25"/>
        <v>2.9125900374374493E-2</v>
      </c>
      <c r="M31" s="3">
        <f t="shared" si="25"/>
        <v>2.9125898424606864E-2</v>
      </c>
      <c r="N31" s="3">
        <f t="shared" si="25"/>
        <v>2.9125878926937729E-2</v>
      </c>
      <c r="O31" s="3">
        <f t="shared" si="25"/>
        <v>2.9125683950964237E-2</v>
      </c>
      <c r="P31" s="3">
        <f t="shared" si="25"/>
        <v>2.9123734263014907E-2</v>
      </c>
      <c r="Q31" s="3">
        <f t="shared" si="25"/>
        <v>2.9104244560300366E-2</v>
      </c>
      <c r="R31" s="3">
        <f t="shared" si="25"/>
        <v>2.891006343660751E-2</v>
      </c>
      <c r="S31" s="3">
        <f t="shared" si="25"/>
        <v>2.7038100641497611E-2</v>
      </c>
      <c r="T31" s="3">
        <f t="shared" si="25"/>
        <v>1.3843552000624773E-2</v>
      </c>
      <c r="U31" s="3">
        <f t="shared" si="25"/>
        <v>1.7138037856127837E-5</v>
      </c>
      <c r="V31" s="3">
        <f t="shared" si="26"/>
        <v>1.4490945129634108E-34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3.2850631469191933E-2</v>
      </c>
      <c r="C32" s="18">
        <f t="shared" si="3"/>
        <v>3.443427503760723E-2</v>
      </c>
      <c r="D32" s="17"/>
      <c r="F32" s="3">
        <f t="shared" si="25"/>
        <v>3.4434275037607209E-2</v>
      </c>
      <c r="G32" s="3">
        <f t="shared" si="25"/>
        <v>3.4434275037607001E-2</v>
      </c>
      <c r="H32" s="3">
        <f t="shared" si="25"/>
        <v>3.4434275037604919E-2</v>
      </c>
      <c r="I32" s="3">
        <f t="shared" si="25"/>
        <v>3.4434275037584124E-2</v>
      </c>
      <c r="J32" s="3">
        <f t="shared" si="25"/>
        <v>3.4434275037376186E-2</v>
      </c>
      <c r="K32" s="3">
        <f t="shared" si="25"/>
        <v>3.4434275035296773E-2</v>
      </c>
      <c r="L32" s="3">
        <f t="shared" si="25"/>
        <v>3.4434275014502629E-2</v>
      </c>
      <c r="M32" s="3">
        <f t="shared" si="25"/>
        <v>3.4434274806561187E-2</v>
      </c>
      <c r="N32" s="3">
        <f t="shared" si="25"/>
        <v>3.4434272727146872E-2</v>
      </c>
      <c r="O32" s="3">
        <f t="shared" si="25"/>
        <v>3.4434251933010591E-2</v>
      </c>
      <c r="P32" s="3">
        <f t="shared" si="25"/>
        <v>3.443404399233848E-2</v>
      </c>
      <c r="Q32" s="3">
        <f t="shared" si="25"/>
        <v>3.4431964654679945E-2</v>
      </c>
      <c r="R32" s="3">
        <f t="shared" si="25"/>
        <v>3.4411178182813862E-2</v>
      </c>
      <c r="S32" s="3">
        <f t="shared" si="25"/>
        <v>3.4204002395807807E-2</v>
      </c>
      <c r="T32" s="3">
        <f t="shared" si="25"/>
        <v>3.2199622923109565E-2</v>
      </c>
      <c r="U32" s="3">
        <f t="shared" si="25"/>
        <v>1.7603108377874505E-2</v>
      </c>
      <c r="V32" s="3">
        <f t="shared" si="26"/>
        <v>4.1973494927152436E-5</v>
      </c>
      <c r="W32" s="3">
        <f t="shared" si="26"/>
        <v>2.4936346669539383E-31</v>
      </c>
      <c r="X32" s="3">
        <f t="shared" si="26"/>
        <v>1.3658712809014358E-293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4.0476928802179554E-2</v>
      </c>
      <c r="C33" s="18">
        <f t="shared" si="3"/>
        <v>4.2428216345217838E-2</v>
      </c>
      <c r="D33" s="17"/>
      <c r="F33" s="3">
        <f t="shared" si="25"/>
        <v>4.2428216345217831E-2</v>
      </c>
      <c r="G33" s="3">
        <f t="shared" si="25"/>
        <v>4.2428216345217817E-2</v>
      </c>
      <c r="H33" s="3">
        <f t="shared" si="25"/>
        <v>4.2428216345217581E-2</v>
      </c>
      <c r="I33" s="3">
        <f t="shared" si="25"/>
        <v>4.2428216345215271E-2</v>
      </c>
      <c r="J33" s="3">
        <f t="shared" si="25"/>
        <v>4.2428216345192157E-2</v>
      </c>
      <c r="K33" s="3">
        <f t="shared" si="25"/>
        <v>4.242821634496103E-2</v>
      </c>
      <c r="L33" s="3">
        <f t="shared" si="25"/>
        <v>4.2428216342649754E-2</v>
      </c>
      <c r="M33" s="3">
        <f t="shared" si="25"/>
        <v>4.2428216319537013E-2</v>
      </c>
      <c r="N33" s="3">
        <f t="shared" si="25"/>
        <v>4.2428216088409597E-2</v>
      </c>
      <c r="O33" s="3">
        <f t="shared" si="25"/>
        <v>4.2428213777135494E-2</v>
      </c>
      <c r="P33" s="3">
        <f t="shared" si="25"/>
        <v>4.2428190664401386E-2</v>
      </c>
      <c r="Q33" s="3">
        <f t="shared" si="25"/>
        <v>4.2427959537752788E-2</v>
      </c>
      <c r="R33" s="3">
        <f t="shared" si="25"/>
        <v>4.2425648340513863E-2</v>
      </c>
      <c r="S33" s="3">
        <f t="shared" si="25"/>
        <v>4.2402543291431644E-2</v>
      </c>
      <c r="T33" s="3">
        <f t="shared" si="25"/>
        <v>4.217218373790247E-2</v>
      </c>
      <c r="U33" s="3">
        <f t="shared" ref="P33:AE48" si="27">$C33*EXP(-U$15/$A33)</f>
        <v>3.993630935746232E-2</v>
      </c>
      <c r="V33" s="3">
        <f t="shared" si="27"/>
        <v>2.3162546606820104E-2</v>
      </c>
      <c r="W33" s="3">
        <f t="shared" si="27"/>
        <v>9.9763135373969237E-5</v>
      </c>
      <c r="X33" s="3">
        <f t="shared" si="27"/>
        <v>2.1918353425309161E-28</v>
      </c>
      <c r="Y33" s="3">
        <f t="shared" si="27"/>
        <v>5.7436277178098293E-265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4.46769749170884E-2</v>
      </c>
      <c r="C34" s="18">
        <f t="shared" si="3"/>
        <v>4.683073576792781E-2</v>
      </c>
      <c r="D34" s="17"/>
      <c r="F34" s="3">
        <f t="shared" ref="F34:O48" si="28">$C34*EXP(-F$15/$A34)</f>
        <v>4.683073576792781E-2</v>
      </c>
      <c r="G34" s="3">
        <f t="shared" si="28"/>
        <v>4.683073576792781E-2</v>
      </c>
      <c r="H34" s="3">
        <f t="shared" si="28"/>
        <v>4.6830735767927782E-2</v>
      </c>
      <c r="I34" s="3">
        <f t="shared" si="28"/>
        <v>4.6830735767927553E-2</v>
      </c>
      <c r="J34" s="3">
        <f t="shared" si="28"/>
        <v>4.683073576792525E-2</v>
      </c>
      <c r="K34" s="3">
        <f t="shared" si="28"/>
        <v>4.683073576790224E-2</v>
      </c>
      <c r="L34" s="3">
        <f t="shared" si="28"/>
        <v>4.6830735767672112E-2</v>
      </c>
      <c r="M34" s="3">
        <f t="shared" si="28"/>
        <v>4.6830735765370807E-2</v>
      </c>
      <c r="N34" s="3">
        <f t="shared" si="28"/>
        <v>4.683073574235775E-2</v>
      </c>
      <c r="O34" s="3">
        <f t="shared" si="28"/>
        <v>4.6830735512227203E-2</v>
      </c>
      <c r="P34" s="3">
        <f t="shared" si="27"/>
        <v>4.6830733210921835E-2</v>
      </c>
      <c r="Q34" s="3">
        <f t="shared" si="27"/>
        <v>4.6830710197874284E-2</v>
      </c>
      <c r="R34" s="3">
        <f t="shared" si="27"/>
        <v>4.6830480068020847E-2</v>
      </c>
      <c r="S34" s="3">
        <f t="shared" si="27"/>
        <v>4.6828178831683769E-2</v>
      </c>
      <c r="T34" s="3">
        <f t="shared" si="27"/>
        <v>4.680517268691127E-2</v>
      </c>
      <c r="U34" s="3">
        <f t="shared" si="27"/>
        <v>4.6575731969826943E-2</v>
      </c>
      <c r="V34" s="3">
        <f t="shared" si="27"/>
        <v>4.4342283923500078E-2</v>
      </c>
      <c r="W34" s="3">
        <f t="shared" si="27"/>
        <v>2.7126999163780197E-2</v>
      </c>
      <c r="X34" s="3">
        <f t="shared" si="27"/>
        <v>1.9917678127602626E-4</v>
      </c>
      <c r="Y34" s="3">
        <f t="shared" si="27"/>
        <v>9.0700204896323288E-26</v>
      </c>
      <c r="Z34" s="3">
        <f t="shared" si="27"/>
        <v>3.4777939797933591E-239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4.9927895082899326E-2</v>
      </c>
      <c r="C35" s="18">
        <f t="shared" si="3"/>
        <v>5.2334789148442605E-2</v>
      </c>
      <c r="D35" s="17"/>
      <c r="F35" s="3">
        <f t="shared" si="28"/>
        <v>5.2334789148442605E-2</v>
      </c>
      <c r="G35" s="3">
        <f t="shared" si="28"/>
        <v>5.2334789148442605E-2</v>
      </c>
      <c r="H35" s="3">
        <f t="shared" si="28"/>
        <v>5.2334789148442605E-2</v>
      </c>
      <c r="I35" s="3">
        <f t="shared" si="28"/>
        <v>5.2334789148442584E-2</v>
      </c>
      <c r="J35" s="3">
        <f t="shared" si="28"/>
        <v>5.2334789148442348E-2</v>
      </c>
      <c r="K35" s="3">
        <f t="shared" si="28"/>
        <v>5.2334789148440024E-2</v>
      </c>
      <c r="L35" s="3">
        <f t="shared" si="28"/>
        <v>5.2334789148416827E-2</v>
      </c>
      <c r="M35" s="3">
        <f t="shared" si="28"/>
        <v>5.2334789148184832E-2</v>
      </c>
      <c r="N35" s="3">
        <f t="shared" si="28"/>
        <v>5.2334789145864868E-2</v>
      </c>
      <c r="O35" s="3">
        <f t="shared" si="28"/>
        <v>5.233478912266528E-2</v>
      </c>
      <c r="P35" s="3">
        <f t="shared" si="27"/>
        <v>5.2334788890669358E-2</v>
      </c>
      <c r="Q35" s="3">
        <f t="shared" si="27"/>
        <v>5.2334786570710182E-2</v>
      </c>
      <c r="R35" s="3">
        <f t="shared" si="27"/>
        <v>5.2334763371124124E-2</v>
      </c>
      <c r="S35" s="3">
        <f t="shared" si="27"/>
        <v>5.233453137582917E-2</v>
      </c>
      <c r="T35" s="3">
        <f t="shared" si="27"/>
        <v>5.2332211479441622E-2</v>
      </c>
      <c r="U35" s="3">
        <f t="shared" si="27"/>
        <v>5.2309018170841715E-2</v>
      </c>
      <c r="V35" s="3">
        <f t="shared" si="27"/>
        <v>5.2077649685933695E-2</v>
      </c>
      <c r="W35" s="3">
        <f t="shared" si="27"/>
        <v>4.9819509776350239E-2</v>
      </c>
      <c r="X35" s="3">
        <f t="shared" si="27"/>
        <v>3.1980127336192703E-2</v>
      </c>
      <c r="Y35" s="3">
        <f t="shared" si="27"/>
        <v>3.799159943037121E-4</v>
      </c>
      <c r="Z35" s="3">
        <f t="shared" si="27"/>
        <v>2.1269705001815056E-23</v>
      </c>
      <c r="AA35" s="3">
        <f t="shared" si="27"/>
        <v>6.4342859296843046E-216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4.8921299677722872E-2</v>
      </c>
      <c r="C36" s="18">
        <f t="shared" si="3"/>
        <v>5.1279668394799138E-2</v>
      </c>
      <c r="D36" s="17"/>
      <c r="F36" s="3">
        <f t="shared" si="28"/>
        <v>5.1279668394799138E-2</v>
      </c>
      <c r="G36" s="3">
        <f t="shared" si="28"/>
        <v>5.1279668394799138E-2</v>
      </c>
      <c r="H36" s="3">
        <f t="shared" si="28"/>
        <v>5.1279668394799138E-2</v>
      </c>
      <c r="I36" s="3">
        <f t="shared" si="28"/>
        <v>5.1279668394799138E-2</v>
      </c>
      <c r="J36" s="3">
        <f t="shared" si="28"/>
        <v>5.1279668394799117E-2</v>
      </c>
      <c r="K36" s="3">
        <f t="shared" si="28"/>
        <v>5.1279668394798909E-2</v>
      </c>
      <c r="L36" s="3">
        <f t="shared" si="28"/>
        <v>5.1279668394796862E-2</v>
      </c>
      <c r="M36" s="3">
        <f t="shared" si="28"/>
        <v>5.1279668394776351E-2</v>
      </c>
      <c r="N36" s="3">
        <f t="shared" si="28"/>
        <v>5.1279668394571293E-2</v>
      </c>
      <c r="O36" s="3">
        <f t="shared" si="28"/>
        <v>5.127966839252069E-2</v>
      </c>
      <c r="P36" s="3">
        <f t="shared" si="27"/>
        <v>5.1279668372014656E-2</v>
      </c>
      <c r="Q36" s="3">
        <f t="shared" si="27"/>
        <v>5.1279668166954319E-2</v>
      </c>
      <c r="R36" s="3">
        <f t="shared" si="27"/>
        <v>5.1279666116350965E-2</v>
      </c>
      <c r="S36" s="3">
        <f t="shared" si="27"/>
        <v>5.1279645610321938E-2</v>
      </c>
      <c r="T36" s="3">
        <f t="shared" si="27"/>
        <v>5.1279440550482676E-2</v>
      </c>
      <c r="U36" s="3">
        <f t="shared" si="27"/>
        <v>5.127738999718974E-2</v>
      </c>
      <c r="V36" s="3">
        <f t="shared" si="27"/>
        <v>5.1256888973563584E-2</v>
      </c>
      <c r="W36" s="3">
        <f t="shared" si="27"/>
        <v>5.1052329001144557E-2</v>
      </c>
      <c r="X36" s="3">
        <f t="shared" si="27"/>
        <v>4.9051096526133771E-2</v>
      </c>
      <c r="Y36" s="3">
        <f t="shared" si="27"/>
        <v>3.2883673751918481E-2</v>
      </c>
      <c r="Z36" s="3">
        <f t="shared" si="27"/>
        <v>6.0297101363003872E-4</v>
      </c>
      <c r="AA36" s="3">
        <f t="shared" si="27"/>
        <v>2.5909407218980364E-21</v>
      </c>
      <c r="AB36" s="3">
        <f t="shared" si="27"/>
        <v>5.5599117185709723E-195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6.4485109665850179E-2</v>
      </c>
      <c r="C37" s="18">
        <f t="shared" si="3"/>
        <v>6.7593769214043364E-2</v>
      </c>
      <c r="D37" s="17"/>
      <c r="F37" s="3">
        <f t="shared" si="28"/>
        <v>6.7593769214043364E-2</v>
      </c>
      <c r="G37" s="3">
        <f t="shared" si="28"/>
        <v>6.7593769214043364E-2</v>
      </c>
      <c r="H37" s="3">
        <f t="shared" si="28"/>
        <v>6.7593769214043364E-2</v>
      </c>
      <c r="I37" s="3">
        <f t="shared" si="28"/>
        <v>6.7593769214043364E-2</v>
      </c>
      <c r="J37" s="3">
        <f t="shared" si="28"/>
        <v>6.7593769214043364E-2</v>
      </c>
      <c r="K37" s="3">
        <f t="shared" si="28"/>
        <v>6.7593769214043337E-2</v>
      </c>
      <c r="L37" s="3">
        <f t="shared" si="28"/>
        <v>6.7593769214043101E-2</v>
      </c>
      <c r="M37" s="3">
        <f t="shared" si="28"/>
        <v>6.7593769214040658E-2</v>
      </c>
      <c r="N37" s="3">
        <f t="shared" si="28"/>
        <v>6.7593769214016275E-2</v>
      </c>
      <c r="O37" s="3">
        <f t="shared" si="28"/>
        <v>6.7593769213772442E-2</v>
      </c>
      <c r="P37" s="3">
        <f t="shared" si="27"/>
        <v>6.7593769211334129E-2</v>
      </c>
      <c r="Q37" s="3">
        <f t="shared" si="27"/>
        <v>6.759376918695098E-2</v>
      </c>
      <c r="R37" s="3">
        <f t="shared" si="27"/>
        <v>6.7593768943119539E-2</v>
      </c>
      <c r="S37" s="3">
        <f t="shared" si="27"/>
        <v>6.7593766504805086E-2</v>
      </c>
      <c r="T37" s="3">
        <f t="shared" si="27"/>
        <v>6.7593742121665454E-2</v>
      </c>
      <c r="U37" s="3">
        <f t="shared" si="27"/>
        <v>6.7593498290752979E-2</v>
      </c>
      <c r="V37" s="3">
        <f t="shared" si="27"/>
        <v>6.7591060030003994E-2</v>
      </c>
      <c r="W37" s="3">
        <f t="shared" si="27"/>
        <v>6.7566682259458152E-2</v>
      </c>
      <c r="X37" s="3">
        <f t="shared" si="27"/>
        <v>6.7323387603438159E-2</v>
      </c>
      <c r="Y37" s="3">
        <f t="shared" si="27"/>
        <v>6.4938107433026387E-2</v>
      </c>
      <c r="Z37" s="3">
        <f t="shared" si="27"/>
        <v>4.5272689171673264E-2</v>
      </c>
      <c r="AA37" s="3">
        <f t="shared" si="27"/>
        <v>1.228012930834417E-3</v>
      </c>
      <c r="AB37" s="3">
        <f t="shared" si="27"/>
        <v>2.6477039166138206E-19</v>
      </c>
      <c r="AC37" s="3">
        <f t="shared" si="27"/>
        <v>5.7482308015610493E-176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2.7115890703308495E-2</v>
      </c>
      <c r="C38" s="18">
        <f t="shared" si="3"/>
        <v>2.8423077323280126E-2</v>
      </c>
      <c r="D38" s="17"/>
      <c r="F38" s="3">
        <f t="shared" si="28"/>
        <v>2.8423077323280126E-2</v>
      </c>
      <c r="G38" s="3">
        <f t="shared" si="28"/>
        <v>2.8423077323280126E-2</v>
      </c>
      <c r="H38" s="3">
        <f t="shared" si="28"/>
        <v>2.8423077323280126E-2</v>
      </c>
      <c r="I38" s="3">
        <f t="shared" si="28"/>
        <v>2.8423077323280126E-2</v>
      </c>
      <c r="J38" s="3">
        <f t="shared" si="28"/>
        <v>2.8423077323280126E-2</v>
      </c>
      <c r="K38" s="3">
        <f t="shared" si="28"/>
        <v>2.8423077323280126E-2</v>
      </c>
      <c r="L38" s="3">
        <f t="shared" si="28"/>
        <v>2.8423077323280116E-2</v>
      </c>
      <c r="M38" s="3">
        <f t="shared" si="28"/>
        <v>2.8423077323280022E-2</v>
      </c>
      <c r="N38" s="3">
        <f t="shared" si="28"/>
        <v>2.8423077323279096E-2</v>
      </c>
      <c r="O38" s="3">
        <f t="shared" si="28"/>
        <v>2.842307732326985E-2</v>
      </c>
      <c r="P38" s="3">
        <f t="shared" si="27"/>
        <v>2.8423077323177358E-2</v>
      </c>
      <c r="Q38" s="3">
        <f t="shared" si="27"/>
        <v>2.8423077322252448E-2</v>
      </c>
      <c r="R38" s="3">
        <f t="shared" si="27"/>
        <v>2.8423077313003319E-2</v>
      </c>
      <c r="S38" s="3">
        <f t="shared" si="27"/>
        <v>2.8423077220512048E-2</v>
      </c>
      <c r="T38" s="3">
        <f t="shared" si="27"/>
        <v>2.8423076295599363E-2</v>
      </c>
      <c r="U38" s="3">
        <f t="shared" si="27"/>
        <v>2.8423067046474175E-2</v>
      </c>
      <c r="V38" s="3">
        <f t="shared" si="27"/>
        <v>2.8422974555387802E-2</v>
      </c>
      <c r="W38" s="3">
        <f t="shared" si="27"/>
        <v>2.8422049661077486E-2</v>
      </c>
      <c r="X38" s="3">
        <f t="shared" si="27"/>
        <v>2.8412802373115286E-2</v>
      </c>
      <c r="Y38" s="3">
        <f t="shared" si="27"/>
        <v>2.8320494808480218E-2</v>
      </c>
      <c r="Z38" s="3">
        <f t="shared" si="27"/>
        <v>2.7413753339964101E-2</v>
      </c>
      <c r="AA38" s="3">
        <f t="shared" si="27"/>
        <v>1.9799085874632017E-2</v>
      </c>
      <c r="AB38" s="3">
        <f t="shared" si="27"/>
        <v>7.6455991423941567E-4</v>
      </c>
      <c r="AC38" s="3">
        <f t="shared" si="27"/>
        <v>5.637354864874334E-18</v>
      </c>
      <c r="AD38" s="3">
        <f t="shared" si="27"/>
        <v>2.6774037740842042E-159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4.6886254816552585E-2</v>
      </c>
      <c r="C39" s="18">
        <f t="shared" si="3"/>
        <v>4.9146519309700876E-2</v>
      </c>
      <c r="D39" s="17"/>
      <c r="F39" s="3">
        <f t="shared" si="28"/>
        <v>4.9146519309700876E-2</v>
      </c>
      <c r="G39" s="3">
        <f t="shared" si="28"/>
        <v>4.9146519309700876E-2</v>
      </c>
      <c r="H39" s="3">
        <f t="shared" si="28"/>
        <v>4.9146519309700876E-2</v>
      </c>
      <c r="I39" s="3">
        <f t="shared" si="28"/>
        <v>4.9146519309700876E-2</v>
      </c>
      <c r="J39" s="3">
        <f t="shared" si="28"/>
        <v>4.9146519309700876E-2</v>
      </c>
      <c r="K39" s="3">
        <f t="shared" si="28"/>
        <v>4.9146519309700876E-2</v>
      </c>
      <c r="L39" s="3">
        <f t="shared" si="28"/>
        <v>4.9146519309700869E-2</v>
      </c>
      <c r="M39" s="3">
        <f t="shared" si="28"/>
        <v>4.9146519309700827E-2</v>
      </c>
      <c r="N39" s="3">
        <f t="shared" si="28"/>
        <v>4.9146519309700383E-2</v>
      </c>
      <c r="O39" s="3">
        <f t="shared" si="28"/>
        <v>4.9146519309695963E-2</v>
      </c>
      <c r="P39" s="3">
        <f t="shared" si="27"/>
        <v>4.9146519309651727E-2</v>
      </c>
      <c r="Q39" s="3">
        <f t="shared" si="27"/>
        <v>4.9146519309209408E-2</v>
      </c>
      <c r="R39" s="3">
        <f t="shared" si="27"/>
        <v>4.9146519304786224E-2</v>
      </c>
      <c r="S39" s="3">
        <f t="shared" si="27"/>
        <v>4.9146519260554355E-2</v>
      </c>
      <c r="T39" s="3">
        <f t="shared" si="27"/>
        <v>4.9146518818235688E-2</v>
      </c>
      <c r="U39" s="3">
        <f t="shared" si="27"/>
        <v>4.914651439504919E-2</v>
      </c>
      <c r="V39" s="3">
        <f t="shared" si="27"/>
        <v>4.9146470163206141E-2</v>
      </c>
      <c r="W39" s="3">
        <f t="shared" si="27"/>
        <v>4.9146027846965097E-2</v>
      </c>
      <c r="X39" s="3">
        <f t="shared" si="27"/>
        <v>4.9141604903494313E-2</v>
      </c>
      <c r="Y39" s="3">
        <f t="shared" si="27"/>
        <v>4.9097397355461793E-2</v>
      </c>
      <c r="Z39" s="3">
        <f t="shared" si="27"/>
        <v>4.865750327191963E-2</v>
      </c>
      <c r="AA39" s="3">
        <f t="shared" si="27"/>
        <v>4.4469609637644167E-2</v>
      </c>
      <c r="AB39" s="3">
        <f t="shared" si="27"/>
        <v>1.8079994059174258E-2</v>
      </c>
      <c r="AC39" s="3">
        <f t="shared" si="27"/>
        <v>2.2312485247310252E-6</v>
      </c>
      <c r="AD39" s="3">
        <f t="shared" si="27"/>
        <v>1.8282878578906236E-45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3.0493661639024717E-2</v>
      </c>
      <c r="C40" s="18">
        <f t="shared" si="3"/>
        <v>3.1963681817399746E-2</v>
      </c>
      <c r="D40" s="17"/>
      <c r="F40" s="3">
        <f t="shared" si="28"/>
        <v>3.1963681817399746E-2</v>
      </c>
      <c r="G40" s="3">
        <f t="shared" si="28"/>
        <v>3.1963681817399746E-2</v>
      </c>
      <c r="H40" s="3">
        <f t="shared" si="28"/>
        <v>3.1963681817399746E-2</v>
      </c>
      <c r="I40" s="3">
        <f t="shared" si="28"/>
        <v>3.1963681817399746E-2</v>
      </c>
      <c r="J40" s="3">
        <f t="shared" si="28"/>
        <v>3.1963681817399746E-2</v>
      </c>
      <c r="K40" s="3">
        <f t="shared" si="28"/>
        <v>3.1963681817399746E-2</v>
      </c>
      <c r="L40" s="3">
        <f t="shared" si="28"/>
        <v>3.1963681817399746E-2</v>
      </c>
      <c r="M40" s="3">
        <f t="shared" si="28"/>
        <v>3.1963681817399739E-2</v>
      </c>
      <c r="N40" s="3">
        <f t="shared" si="28"/>
        <v>3.1963681817399711E-2</v>
      </c>
      <c r="O40" s="3">
        <f t="shared" si="28"/>
        <v>3.1963681817399427E-2</v>
      </c>
      <c r="P40" s="3">
        <f t="shared" si="27"/>
        <v>3.1963681817396547E-2</v>
      </c>
      <c r="Q40" s="3">
        <f t="shared" si="27"/>
        <v>3.1963681817367785E-2</v>
      </c>
      <c r="R40" s="3">
        <f t="shared" si="27"/>
        <v>3.1963681817080106E-2</v>
      </c>
      <c r="S40" s="3">
        <f t="shared" si="27"/>
        <v>3.1963681814203379E-2</v>
      </c>
      <c r="T40" s="3">
        <f t="shared" si="27"/>
        <v>3.1963681785436064E-2</v>
      </c>
      <c r="U40" s="3">
        <f t="shared" si="27"/>
        <v>3.1963681497762929E-2</v>
      </c>
      <c r="V40" s="3">
        <f t="shared" si="27"/>
        <v>3.1963678621031728E-2</v>
      </c>
      <c r="W40" s="3">
        <f t="shared" si="27"/>
        <v>3.1963649853733914E-2</v>
      </c>
      <c r="X40" s="3">
        <f t="shared" si="27"/>
        <v>3.1963362182179753E-2</v>
      </c>
      <c r="Y40" s="3">
        <f t="shared" si="27"/>
        <v>3.1960485609031086E-2</v>
      </c>
      <c r="Z40" s="3">
        <f t="shared" si="27"/>
        <v>3.1931734112097307E-2</v>
      </c>
      <c r="AA40" s="3">
        <f t="shared" si="27"/>
        <v>3.1645637869327926E-2</v>
      </c>
      <c r="AB40" s="3">
        <f t="shared" si="27"/>
        <v>2.8921935326578933E-2</v>
      </c>
      <c r="AC40" s="3">
        <f t="shared" si="27"/>
        <v>1.1758781404766811E-2</v>
      </c>
      <c r="AD40" s="3">
        <f t="shared" si="27"/>
        <v>1.4511489094603627E-6</v>
      </c>
      <c r="AE40" s="3">
        <f t="shared" si="27"/>
        <v>1.1890732483408281E-45</v>
      </c>
      <c r="AF40" s="3">
        <f t="shared" si="29"/>
        <v>0</v>
      </c>
      <c r="AG40" s="3">
        <f t="shared" si="29"/>
        <v>0</v>
      </c>
      <c r="AH40" s="3">
        <f t="shared" si="29"/>
        <v>0</v>
      </c>
      <c r="AI40" s="3">
        <f t="shared" si="29"/>
        <v>0</v>
      </c>
      <c r="AJ40" s="3">
        <f t="shared" si="29"/>
        <v>0</v>
      </c>
    </row>
    <row r="41" spans="1:36" x14ac:dyDescent="0.25">
      <c r="A41" s="3">
        <f t="shared" si="30"/>
        <v>1000000000</v>
      </c>
      <c r="B41" s="106">
        <v>1.7541238486996541E-2</v>
      </c>
      <c r="C41" s="18">
        <f t="shared" si="3"/>
        <v>1.8386856006952675E-2</v>
      </c>
      <c r="D41" s="17"/>
      <c r="F41" s="3">
        <f t="shared" si="28"/>
        <v>1.8386856006952675E-2</v>
      </c>
      <c r="G41" s="3">
        <f t="shared" si="28"/>
        <v>1.8386856006952675E-2</v>
      </c>
      <c r="H41" s="3">
        <f t="shared" si="28"/>
        <v>1.8386856006952675E-2</v>
      </c>
      <c r="I41" s="3">
        <f t="shared" si="28"/>
        <v>1.8386856006952675E-2</v>
      </c>
      <c r="J41" s="3">
        <f t="shared" si="28"/>
        <v>1.8386856006952675E-2</v>
      </c>
      <c r="K41" s="3">
        <f t="shared" si="28"/>
        <v>1.8386856006952675E-2</v>
      </c>
      <c r="L41" s="3">
        <f t="shared" si="28"/>
        <v>1.8386856006952675E-2</v>
      </c>
      <c r="M41" s="3">
        <f t="shared" si="28"/>
        <v>1.8386856006952675E-2</v>
      </c>
      <c r="N41" s="3">
        <f t="shared" si="28"/>
        <v>1.8386856006952671E-2</v>
      </c>
      <c r="O41" s="3">
        <f t="shared" si="28"/>
        <v>1.8386856006952657E-2</v>
      </c>
      <c r="P41" s="3">
        <f t="shared" si="27"/>
        <v>1.8386856006952491E-2</v>
      </c>
      <c r="Q41" s="3">
        <f t="shared" si="27"/>
        <v>1.8386856006950836E-2</v>
      </c>
      <c r="R41" s="3">
        <f t="shared" si="27"/>
        <v>1.8386856006934287E-2</v>
      </c>
      <c r="S41" s="3">
        <f t="shared" si="27"/>
        <v>1.8386856006768804E-2</v>
      </c>
      <c r="T41" s="3">
        <f t="shared" si="27"/>
        <v>1.8386856005113989E-2</v>
      </c>
      <c r="U41" s="3">
        <f t="shared" si="27"/>
        <v>1.838685598856582E-2</v>
      </c>
      <c r="V41" s="3">
        <f t="shared" si="27"/>
        <v>1.8386855823084115E-2</v>
      </c>
      <c r="W41" s="3">
        <f t="shared" si="27"/>
        <v>1.8386854168267165E-2</v>
      </c>
      <c r="X41" s="3">
        <f t="shared" si="27"/>
        <v>1.8386837620105862E-2</v>
      </c>
      <c r="Y41" s="3">
        <f t="shared" si="27"/>
        <v>1.8386672139311944E-2</v>
      </c>
      <c r="Z41" s="3">
        <f t="shared" si="27"/>
        <v>1.8385017413283196E-2</v>
      </c>
      <c r="AA41" s="3">
        <f t="shared" si="27"/>
        <v>1.8368478341310016E-2</v>
      </c>
      <c r="AB41" s="3">
        <f t="shared" si="27"/>
        <v>1.820390373285339E-2</v>
      </c>
      <c r="AC41" s="3">
        <f t="shared" si="27"/>
        <v>1.6637115315130031E-2</v>
      </c>
      <c r="AD41" s="3">
        <f t="shared" si="27"/>
        <v>6.7641463127375272E-3</v>
      </c>
      <c r="AE41" s="3">
        <f t="shared" si="27"/>
        <v>8.3476197126857418E-7</v>
      </c>
      <c r="AF41" s="3">
        <f t="shared" si="29"/>
        <v>6.8400501306019042E-46</v>
      </c>
      <c r="AG41" s="3">
        <f t="shared" si="29"/>
        <v>0</v>
      </c>
      <c r="AH41" s="3">
        <f t="shared" si="29"/>
        <v>0</v>
      </c>
      <c r="AI41" s="3">
        <f t="shared" si="29"/>
        <v>0</v>
      </c>
      <c r="AJ41" s="3">
        <f t="shared" si="29"/>
        <v>0</v>
      </c>
    </row>
    <row r="42" spans="1:36" x14ac:dyDescent="0.25">
      <c r="A42" s="3">
        <f t="shared" si="30"/>
        <v>10000000000</v>
      </c>
      <c r="B42" s="106">
        <v>8.6441718253146525E-3</v>
      </c>
      <c r="C42" s="18">
        <f t="shared" si="3"/>
        <v>9.0608848838832357E-3</v>
      </c>
      <c r="D42" s="17"/>
      <c r="F42" s="3">
        <f t="shared" si="28"/>
        <v>9.0608848838832357E-3</v>
      </c>
      <c r="G42" s="3">
        <f t="shared" si="28"/>
        <v>9.0608848838832357E-3</v>
      </c>
      <c r="H42" s="3">
        <f t="shared" si="28"/>
        <v>9.0608848838832357E-3</v>
      </c>
      <c r="I42" s="3">
        <f t="shared" si="28"/>
        <v>9.0608848838832357E-3</v>
      </c>
      <c r="J42" s="3">
        <f t="shared" si="28"/>
        <v>9.0608848838832357E-3</v>
      </c>
      <c r="K42" s="3">
        <f t="shared" si="28"/>
        <v>9.0608848838832357E-3</v>
      </c>
      <c r="L42" s="3">
        <f t="shared" si="28"/>
        <v>9.0608848838832357E-3</v>
      </c>
      <c r="M42" s="3">
        <f t="shared" si="28"/>
        <v>9.0608848838832357E-3</v>
      </c>
      <c r="N42" s="3">
        <f t="shared" si="28"/>
        <v>9.0608848838832357E-3</v>
      </c>
      <c r="O42" s="3">
        <f t="shared" si="28"/>
        <v>9.0608848838832339E-3</v>
      </c>
      <c r="P42" s="3">
        <f t="shared" si="27"/>
        <v>9.060884883883227E-3</v>
      </c>
      <c r="Q42" s="3">
        <f t="shared" si="27"/>
        <v>9.0608848838831454E-3</v>
      </c>
      <c r="R42" s="3">
        <f t="shared" si="27"/>
        <v>9.0608848838823301E-3</v>
      </c>
      <c r="S42" s="3">
        <f t="shared" si="27"/>
        <v>9.0608848838741752E-3</v>
      </c>
      <c r="T42" s="3">
        <f t="shared" si="27"/>
        <v>9.0608848837926276E-3</v>
      </c>
      <c r="U42" s="3">
        <f t="shared" si="27"/>
        <v>9.0608848829771479E-3</v>
      </c>
      <c r="V42" s="3">
        <f t="shared" si="27"/>
        <v>9.0608848748223517E-3</v>
      </c>
      <c r="W42" s="3">
        <f t="shared" si="27"/>
        <v>9.0608847932743871E-3</v>
      </c>
      <c r="X42" s="3">
        <f t="shared" si="27"/>
        <v>9.0608839777947935E-3</v>
      </c>
      <c r="Y42" s="3">
        <f t="shared" si="27"/>
        <v>9.0608758230028823E-3</v>
      </c>
      <c r="Z42" s="3">
        <f t="shared" si="27"/>
        <v>9.0607942754874389E-3</v>
      </c>
      <c r="AA42" s="3">
        <f t="shared" si="27"/>
        <v>9.0599788406977612E-3</v>
      </c>
      <c r="AB42" s="3">
        <f t="shared" si="27"/>
        <v>9.0518285279320241E-3</v>
      </c>
      <c r="AC42" s="3">
        <f t="shared" si="27"/>
        <v>8.9707275729089472E-3</v>
      </c>
      <c r="AD42" s="3">
        <f t="shared" si="27"/>
        <v>8.1986276834539618E-3</v>
      </c>
      <c r="AE42" s="3">
        <f t="shared" si="27"/>
        <v>3.3333132676017338E-3</v>
      </c>
      <c r="AF42" s="3">
        <f t="shared" si="29"/>
        <v>4.1136353731425962E-7</v>
      </c>
      <c r="AG42" s="3">
        <f t="shared" si="29"/>
        <v>3.3707180178024368E-46</v>
      </c>
      <c r="AH42" s="3">
        <f t="shared" si="29"/>
        <v>0</v>
      </c>
      <c r="AI42" s="3">
        <f t="shared" si="29"/>
        <v>0</v>
      </c>
      <c r="AJ42" s="3">
        <f t="shared" si="29"/>
        <v>0</v>
      </c>
    </row>
    <row r="43" spans="1:36" x14ac:dyDescent="0.25">
      <c r="A43" s="3">
        <f t="shared" si="30"/>
        <v>100000000000</v>
      </c>
      <c r="B43" s="106">
        <v>3.315461336930209E-3</v>
      </c>
      <c r="C43" s="18">
        <f t="shared" si="3"/>
        <v>3.4752911115110466E-3</v>
      </c>
      <c r="D43" s="17"/>
      <c r="F43" s="3">
        <f t="shared" si="28"/>
        <v>3.4752911115110466E-3</v>
      </c>
      <c r="G43" s="3">
        <f t="shared" si="28"/>
        <v>3.4752911115110466E-3</v>
      </c>
      <c r="H43" s="3">
        <f t="shared" si="28"/>
        <v>3.4752911115110466E-3</v>
      </c>
      <c r="I43" s="3">
        <f t="shared" si="28"/>
        <v>3.4752911115110466E-3</v>
      </c>
      <c r="J43" s="3">
        <f t="shared" si="28"/>
        <v>3.4752911115110466E-3</v>
      </c>
      <c r="K43" s="3">
        <f t="shared" si="28"/>
        <v>3.4752911115110466E-3</v>
      </c>
      <c r="L43" s="3">
        <f t="shared" si="28"/>
        <v>3.4752911115110466E-3</v>
      </c>
      <c r="M43" s="3">
        <f t="shared" si="28"/>
        <v>3.4752911115110466E-3</v>
      </c>
      <c r="N43" s="3">
        <f t="shared" si="28"/>
        <v>3.4752911115110466E-3</v>
      </c>
      <c r="O43" s="3">
        <f t="shared" si="28"/>
        <v>3.4752911115110466E-3</v>
      </c>
      <c r="P43" s="3">
        <f t="shared" si="27"/>
        <v>3.4752911115110462E-3</v>
      </c>
      <c r="Q43" s="3">
        <f t="shared" si="27"/>
        <v>3.4752911115110432E-3</v>
      </c>
      <c r="R43" s="3">
        <f t="shared" si="27"/>
        <v>3.4752911115110119E-3</v>
      </c>
      <c r="S43" s="3">
        <f t="shared" si="27"/>
        <v>3.4752911115106988E-3</v>
      </c>
      <c r="T43" s="3">
        <f t="shared" si="27"/>
        <v>3.4752911115075715E-3</v>
      </c>
      <c r="U43" s="3">
        <f t="shared" si="27"/>
        <v>3.4752911114762936E-3</v>
      </c>
      <c r="V43" s="3">
        <f t="shared" si="27"/>
        <v>3.4752911111635173E-3</v>
      </c>
      <c r="W43" s="3">
        <f t="shared" si="27"/>
        <v>3.4752911080357558E-3</v>
      </c>
      <c r="X43" s="3">
        <f t="shared" si="27"/>
        <v>3.4752910767581356E-3</v>
      </c>
      <c r="Y43" s="3">
        <f t="shared" si="27"/>
        <v>3.475290763981953E-3</v>
      </c>
      <c r="Z43" s="3">
        <f t="shared" si="27"/>
        <v>3.4752876362216726E-3</v>
      </c>
      <c r="AA43" s="3">
        <f t="shared" si="27"/>
        <v>3.4752563587736956E-3</v>
      </c>
      <c r="AB43" s="3">
        <f t="shared" si="27"/>
        <v>3.4749435997757719E-3</v>
      </c>
      <c r="AC43" s="3">
        <f t="shared" si="27"/>
        <v>3.4718175574660211E-3</v>
      </c>
      <c r="AD43" s="3">
        <f t="shared" si="27"/>
        <v>3.4407113871814735E-3</v>
      </c>
      <c r="AE43" s="3">
        <f t="shared" si="27"/>
        <v>3.1445734362629753E-3</v>
      </c>
      <c r="AF43" s="3">
        <f t="shared" si="29"/>
        <v>1.2784881520107646E-3</v>
      </c>
      <c r="AG43" s="3">
        <f t="shared" si="29"/>
        <v>1.5777797236678944E-7</v>
      </c>
      <c r="AH43" s="3">
        <f t="shared" si="29"/>
        <v>1.2928346973610993E-46</v>
      </c>
      <c r="AI43" s="3">
        <f t="shared" si="29"/>
        <v>0</v>
      </c>
      <c r="AJ43" s="3">
        <f t="shared" si="29"/>
        <v>0</v>
      </c>
    </row>
    <row r="44" spans="1:36" x14ac:dyDescent="0.25">
      <c r="A44" s="3">
        <f t="shared" si="30"/>
        <v>1000000000000</v>
      </c>
      <c r="B44" s="106">
        <v>3.5478840355376829E-3</v>
      </c>
      <c r="C44" s="18">
        <f t="shared" si="3"/>
        <v>3.7189183043806369E-3</v>
      </c>
      <c r="D44" s="17"/>
      <c r="F44" s="3">
        <f t="shared" si="28"/>
        <v>3.7189183043806369E-3</v>
      </c>
      <c r="G44" s="3">
        <f t="shared" si="28"/>
        <v>3.7189183043806369E-3</v>
      </c>
      <c r="H44" s="3">
        <f t="shared" si="28"/>
        <v>3.7189183043806369E-3</v>
      </c>
      <c r="I44" s="3">
        <f t="shared" si="28"/>
        <v>3.7189183043806369E-3</v>
      </c>
      <c r="J44" s="3">
        <f t="shared" si="28"/>
        <v>3.7189183043806369E-3</v>
      </c>
      <c r="K44" s="3">
        <f t="shared" si="28"/>
        <v>3.7189183043806369E-3</v>
      </c>
      <c r="L44" s="3">
        <f t="shared" si="28"/>
        <v>3.7189183043806369E-3</v>
      </c>
      <c r="M44" s="3">
        <f t="shared" si="28"/>
        <v>3.7189183043806369E-3</v>
      </c>
      <c r="N44" s="3">
        <f t="shared" si="28"/>
        <v>3.7189183043806369E-3</v>
      </c>
      <c r="O44" s="3">
        <f t="shared" si="28"/>
        <v>3.7189183043806369E-3</v>
      </c>
      <c r="P44" s="3">
        <f t="shared" si="27"/>
        <v>3.7189183043806369E-3</v>
      </c>
      <c r="Q44" s="3">
        <f t="shared" si="27"/>
        <v>3.7189183043806365E-3</v>
      </c>
      <c r="R44" s="3">
        <f t="shared" si="27"/>
        <v>3.718918304380633E-3</v>
      </c>
      <c r="S44" s="3">
        <f t="shared" si="27"/>
        <v>3.7189183043805996E-3</v>
      </c>
      <c r="T44" s="3">
        <f t="shared" si="27"/>
        <v>3.7189183043802648E-3</v>
      </c>
      <c r="U44" s="3">
        <f t="shared" si="27"/>
        <v>3.7189183043769181E-3</v>
      </c>
      <c r="V44" s="3">
        <f t="shared" si="27"/>
        <v>3.7189183043434479E-3</v>
      </c>
      <c r="W44" s="3">
        <f t="shared" si="27"/>
        <v>3.7189183040087451E-3</v>
      </c>
      <c r="X44" s="3">
        <f t="shared" si="27"/>
        <v>3.7189183006617185E-3</v>
      </c>
      <c r="Y44" s="3">
        <f t="shared" si="27"/>
        <v>3.7189182671914542E-3</v>
      </c>
      <c r="Z44" s="3">
        <f t="shared" si="27"/>
        <v>3.7189179324888253E-3</v>
      </c>
      <c r="AA44" s="3">
        <f t="shared" si="27"/>
        <v>3.7189145854641921E-3</v>
      </c>
      <c r="AB44" s="3">
        <f t="shared" si="27"/>
        <v>3.7188811153835385E-3</v>
      </c>
      <c r="AC44" s="3">
        <f t="shared" si="27"/>
        <v>3.7185464311441704E-3</v>
      </c>
      <c r="AD44" s="3">
        <f t="shared" si="27"/>
        <v>3.7152012449157439E-3</v>
      </c>
      <c r="AE44" s="3">
        <f t="shared" si="27"/>
        <v>3.6819144489787878E-3</v>
      </c>
      <c r="AF44" s="3">
        <f t="shared" si="29"/>
        <v>3.3650164364224439E-3</v>
      </c>
      <c r="AG44" s="3">
        <f t="shared" si="29"/>
        <v>1.3681135875777965E-3</v>
      </c>
      <c r="AH44" s="3">
        <f t="shared" si="29"/>
        <v>1.6883862981130017E-7</v>
      </c>
      <c r="AI44" s="3">
        <f t="shared" si="29"/>
        <v>1.3834658640910551E-46</v>
      </c>
      <c r="AJ44" s="3">
        <f t="shared" si="29"/>
        <v>0</v>
      </c>
    </row>
    <row r="45" spans="1:36" x14ac:dyDescent="0.25">
      <c r="A45" s="3">
        <f t="shared" si="30"/>
        <v>10000000000000</v>
      </c>
      <c r="B45" s="106">
        <v>9.2128244574808194E-4</v>
      </c>
      <c r="C45" s="18">
        <f t="shared" si="3"/>
        <v>9.6569507815885117E-4</v>
      </c>
      <c r="D45" s="17"/>
      <c r="F45" s="3">
        <f t="shared" si="28"/>
        <v>9.6569507815885117E-4</v>
      </c>
      <c r="G45" s="3">
        <f t="shared" si="28"/>
        <v>9.6569507815885117E-4</v>
      </c>
      <c r="H45" s="3">
        <f t="shared" si="28"/>
        <v>9.6569507815885117E-4</v>
      </c>
      <c r="I45" s="3">
        <f t="shared" si="28"/>
        <v>9.6569507815885117E-4</v>
      </c>
      <c r="J45" s="3">
        <f t="shared" si="28"/>
        <v>9.6569507815885117E-4</v>
      </c>
      <c r="K45" s="3">
        <f t="shared" si="28"/>
        <v>9.6569507815885117E-4</v>
      </c>
      <c r="L45" s="3">
        <f t="shared" si="28"/>
        <v>9.6569507815885117E-4</v>
      </c>
      <c r="M45" s="3">
        <f t="shared" si="28"/>
        <v>9.6569507815885117E-4</v>
      </c>
      <c r="N45" s="3">
        <f t="shared" si="28"/>
        <v>9.6569507815885117E-4</v>
      </c>
      <c r="O45" s="3">
        <f t="shared" si="28"/>
        <v>9.6569507815885117E-4</v>
      </c>
      <c r="P45" s="3">
        <f t="shared" si="27"/>
        <v>9.6569507815885117E-4</v>
      </c>
      <c r="Q45" s="3">
        <f t="shared" si="27"/>
        <v>9.6569507815885117E-4</v>
      </c>
      <c r="R45" s="3">
        <f t="shared" si="27"/>
        <v>9.6569507815885106E-4</v>
      </c>
      <c r="S45" s="3">
        <f t="shared" si="27"/>
        <v>9.6569507815885019E-4</v>
      </c>
      <c r="T45" s="3">
        <f t="shared" si="27"/>
        <v>9.6569507815884152E-4</v>
      </c>
      <c r="U45" s="3">
        <f t="shared" si="27"/>
        <v>9.6569507815875456E-4</v>
      </c>
      <c r="V45" s="3">
        <f t="shared" si="27"/>
        <v>9.6569507815788547E-4</v>
      </c>
      <c r="W45" s="3">
        <f t="shared" si="27"/>
        <v>9.6569507814919418E-4</v>
      </c>
      <c r="X45" s="3">
        <f t="shared" si="27"/>
        <v>9.656950780622816E-4</v>
      </c>
      <c r="Y45" s="3">
        <f t="shared" si="27"/>
        <v>9.6569507719315609E-4</v>
      </c>
      <c r="Z45" s="3">
        <f t="shared" si="27"/>
        <v>9.6569506850190047E-4</v>
      </c>
      <c r="AA45" s="3">
        <f t="shared" si="27"/>
        <v>9.6569498158934823E-4</v>
      </c>
      <c r="AB45" s="3">
        <f t="shared" si="27"/>
        <v>9.6569411246425591E-4</v>
      </c>
      <c r="AC45" s="3">
        <f t="shared" si="27"/>
        <v>9.6568542125635422E-4</v>
      </c>
      <c r="AD45" s="3">
        <f t="shared" si="27"/>
        <v>9.6559851347934977E-4</v>
      </c>
      <c r="AE45" s="3">
        <f t="shared" si="27"/>
        <v>9.6472986576732252E-4</v>
      </c>
      <c r="AF45" s="3">
        <f t="shared" si="29"/>
        <v>9.560862515835605E-4</v>
      </c>
      <c r="AG45" s="3">
        <f t="shared" si="29"/>
        <v>8.7379704113128896E-4</v>
      </c>
      <c r="AH45" s="3">
        <f t="shared" si="29"/>
        <v>3.552593656950905E-4</v>
      </c>
      <c r="AI45" s="3">
        <f t="shared" si="29"/>
        <v>4.3842488720389167E-8</v>
      </c>
      <c r="AJ45" s="3">
        <f t="shared" si="29"/>
        <v>3.5924590604203059E-47</v>
      </c>
    </row>
    <row r="46" spans="1:36" x14ac:dyDescent="0.25">
      <c r="A46" s="3">
        <f t="shared" si="30"/>
        <v>100000000000000</v>
      </c>
      <c r="B46" s="106">
        <v>6.0413418254356293E-4</v>
      </c>
      <c r="C46" s="18">
        <f t="shared" si="3"/>
        <v>6.3325792141422034E-4</v>
      </c>
      <c r="D46" s="17"/>
      <c r="F46" s="3">
        <f t="shared" si="28"/>
        <v>6.3325792141422034E-4</v>
      </c>
      <c r="G46" s="3">
        <f t="shared" si="28"/>
        <v>6.3325792141422034E-4</v>
      </c>
      <c r="H46" s="3">
        <f t="shared" si="28"/>
        <v>6.3325792141422034E-4</v>
      </c>
      <c r="I46" s="3">
        <f t="shared" si="28"/>
        <v>6.3325792141422034E-4</v>
      </c>
      <c r="J46" s="3">
        <f t="shared" si="28"/>
        <v>6.3325792141422034E-4</v>
      </c>
      <c r="K46" s="3">
        <f t="shared" si="28"/>
        <v>6.3325792141422034E-4</v>
      </c>
      <c r="L46" s="3">
        <f t="shared" si="28"/>
        <v>6.3325792141422034E-4</v>
      </c>
      <c r="M46" s="3">
        <f t="shared" si="28"/>
        <v>6.3325792141422034E-4</v>
      </c>
      <c r="N46" s="3">
        <f t="shared" si="28"/>
        <v>6.3325792141422034E-4</v>
      </c>
      <c r="O46" s="3">
        <f t="shared" si="28"/>
        <v>6.3325792141422034E-4</v>
      </c>
      <c r="P46" s="3">
        <f t="shared" si="27"/>
        <v>6.3325792141422034E-4</v>
      </c>
      <c r="Q46" s="3">
        <f t="shared" si="27"/>
        <v>6.3325792141422034E-4</v>
      </c>
      <c r="R46" s="3">
        <f t="shared" si="27"/>
        <v>6.3325792141422034E-4</v>
      </c>
      <c r="S46" s="3">
        <f t="shared" si="27"/>
        <v>6.3325792141422023E-4</v>
      </c>
      <c r="T46" s="3">
        <f t="shared" si="27"/>
        <v>6.3325792141421969E-4</v>
      </c>
      <c r="U46" s="3">
        <f t="shared" si="27"/>
        <v>6.3325792141421405E-4</v>
      </c>
      <c r="V46" s="3">
        <f t="shared" si="27"/>
        <v>6.3325792141415702E-4</v>
      </c>
      <c r="W46" s="3">
        <f t="shared" si="27"/>
        <v>6.3325792141358706E-4</v>
      </c>
      <c r="X46" s="3">
        <f t="shared" si="27"/>
        <v>6.3325792140788773E-4</v>
      </c>
      <c r="Y46" s="3">
        <f t="shared" si="27"/>
        <v>6.3325792135089458E-4</v>
      </c>
      <c r="Z46" s="3">
        <f t="shared" si="27"/>
        <v>6.3325792078096246E-4</v>
      </c>
      <c r="AA46" s="3">
        <f t="shared" si="27"/>
        <v>6.3325791508164113E-4</v>
      </c>
      <c r="AB46" s="3">
        <f t="shared" si="27"/>
        <v>6.3325785808843139E-4</v>
      </c>
      <c r="AC46" s="3">
        <f t="shared" si="27"/>
        <v>6.3325728815661556E-4</v>
      </c>
      <c r="AD46" s="3">
        <f t="shared" si="27"/>
        <v>6.3325158886666901E-4</v>
      </c>
      <c r="AE46" s="3">
        <f t="shared" si="27"/>
        <v>6.3319459878826301E-4</v>
      </c>
      <c r="AF46" s="3">
        <f t="shared" si="29"/>
        <v>6.3262498001625026E-4</v>
      </c>
      <c r="AG46" s="3">
        <f t="shared" si="29"/>
        <v>6.269568998164926E-4</v>
      </c>
      <c r="AH46" s="3">
        <f t="shared" si="29"/>
        <v>5.7299546256326165E-4</v>
      </c>
      <c r="AI46" s="3">
        <f t="shared" si="29"/>
        <v>2.3296257024725252E-4</v>
      </c>
      <c r="AJ46" s="3">
        <f t="shared" si="29"/>
        <v>2.8749865153742756E-8</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2.4665637211375165E-2</v>
      </c>
      <c r="C48" s="18">
        <f t="shared" si="3"/>
        <v>2.585470347840544E-2</v>
      </c>
      <c r="D48" s="17"/>
      <c r="F48" s="3">
        <f t="shared" si="28"/>
        <v>2.585470347840544E-2</v>
      </c>
      <c r="G48" s="3">
        <f t="shared" si="28"/>
        <v>2.585470347840544E-2</v>
      </c>
      <c r="H48" s="3">
        <f t="shared" si="28"/>
        <v>2.585470347840544E-2</v>
      </c>
      <c r="I48" s="3">
        <f t="shared" si="28"/>
        <v>2.585470347840544E-2</v>
      </c>
      <c r="J48" s="3">
        <f t="shared" si="28"/>
        <v>2.585470347840544E-2</v>
      </c>
      <c r="K48" s="3">
        <f t="shared" si="28"/>
        <v>2.585470347840544E-2</v>
      </c>
      <c r="L48" s="3">
        <f t="shared" si="28"/>
        <v>2.585470347840544E-2</v>
      </c>
      <c r="M48" s="3">
        <f t="shared" si="28"/>
        <v>2.585470347840544E-2</v>
      </c>
      <c r="N48" s="3">
        <f t="shared" si="28"/>
        <v>2.585470347840544E-2</v>
      </c>
      <c r="O48" s="3">
        <f t="shared" si="28"/>
        <v>2.585470347840544E-2</v>
      </c>
      <c r="P48" s="3">
        <f t="shared" si="27"/>
        <v>2.585470347840544E-2</v>
      </c>
      <c r="Q48" s="3">
        <f t="shared" si="27"/>
        <v>2.585470347840544E-2</v>
      </c>
      <c r="R48" s="3">
        <f t="shared" si="27"/>
        <v>2.585470347840544E-2</v>
      </c>
      <c r="S48" s="3">
        <f t="shared" si="27"/>
        <v>2.585470347840544E-2</v>
      </c>
      <c r="T48" s="3">
        <f t="shared" si="27"/>
        <v>2.585470347840544E-2</v>
      </c>
      <c r="U48" s="3">
        <f t="shared" si="27"/>
        <v>2.5854703478405437E-2</v>
      </c>
      <c r="V48" s="3">
        <f t="shared" si="27"/>
        <v>2.5854703478405416E-2</v>
      </c>
      <c r="W48" s="3">
        <f t="shared" si="27"/>
        <v>2.5854703478405183E-2</v>
      </c>
      <c r="X48" s="3">
        <f t="shared" si="27"/>
        <v>2.5854703478402855E-2</v>
      </c>
      <c r="Y48" s="3">
        <f t="shared" si="27"/>
        <v>2.5854703478379586E-2</v>
      </c>
      <c r="Z48" s="3">
        <f t="shared" si="27"/>
        <v>2.5854703478146893E-2</v>
      </c>
      <c r="AA48" s="3">
        <f t="shared" si="27"/>
        <v>2.585470347581997E-2</v>
      </c>
      <c r="AB48" s="3">
        <f t="shared" si="27"/>
        <v>2.5854703452550736E-2</v>
      </c>
      <c r="AC48" s="3">
        <f t="shared" si="27"/>
        <v>2.5854703219858405E-2</v>
      </c>
      <c r="AD48" s="3">
        <f t="shared" si="27"/>
        <v>2.5854700892935224E-2</v>
      </c>
      <c r="AE48" s="3">
        <f t="shared" si="27"/>
        <v>2.5854677623714888E-2</v>
      </c>
      <c r="AF48" s="3">
        <f t="shared" si="29"/>
        <v>2.5854444932663388E-2</v>
      </c>
      <c r="AG48" s="3">
        <f t="shared" si="29"/>
        <v>2.5852118137326806E-2</v>
      </c>
      <c r="AH48" s="3">
        <f t="shared" si="29"/>
        <v>2.5828861697970735E-2</v>
      </c>
      <c r="AI48" s="3">
        <f t="shared" si="29"/>
        <v>2.5597444880429344E-2</v>
      </c>
      <c r="AJ48" s="3">
        <f t="shared" si="29"/>
        <v>2.339430313948572E-2</v>
      </c>
    </row>
    <row r="49" spans="1:36" x14ac:dyDescent="0.25">
      <c r="B49" s="16">
        <f>SUM(B17:B48)</f>
        <v>0.95400967301661699</v>
      </c>
      <c r="C49" s="18">
        <f>SUM(C17:C48)</f>
        <v>1</v>
      </c>
      <c r="F49" s="3">
        <f t="shared" ref="F49:AJ49" si="31">F16-F17</f>
        <v>78.782800017423142</v>
      </c>
      <c r="G49" s="3">
        <f t="shared" si="31"/>
        <v>-101.90982457316204</v>
      </c>
      <c r="H49" s="3">
        <f t="shared" si="31"/>
        <v>26.99002933288466</v>
      </c>
      <c r="I49" s="3">
        <f t="shared" si="31"/>
        <v>-4.4050049956913426</v>
      </c>
      <c r="J49" s="3">
        <f t="shared" si="31"/>
        <v>0.59323929262154707</v>
      </c>
      <c r="K49" s="3">
        <f t="shared" si="31"/>
        <v>-7.6146291884469974E-2</v>
      </c>
      <c r="L49" s="3">
        <f t="shared" si="31"/>
        <v>0.11793244855016383</v>
      </c>
      <c r="M49" s="3">
        <f t="shared" si="31"/>
        <v>-0.35843847014984931</v>
      </c>
      <c r="N49" s="3">
        <f t="shared" si="31"/>
        <v>0.89274954660231742</v>
      </c>
      <c r="O49" s="3">
        <f t="shared" si="31"/>
        <v>-1.8234208758822206</v>
      </c>
      <c r="P49" s="3">
        <f t="shared" si="31"/>
        <v>3.0893404820581054</v>
      </c>
      <c r="Q49" s="3">
        <f t="shared" si="31"/>
        <v>-4.4677984099507739</v>
      </c>
      <c r="R49" s="3">
        <f t="shared" si="31"/>
        <v>5.506421974298064</v>
      </c>
      <c r="S49" s="3">
        <f t="shared" si="31"/>
        <v>-5.778533645278003</v>
      </c>
      <c r="T49" s="3">
        <f t="shared" si="31"/>
        <v>5.2235998245259907</v>
      </c>
      <c r="U49" s="3">
        <f t="shared" si="31"/>
        <v>-4.0402675048280798</v>
      </c>
      <c r="V49" s="3">
        <f t="shared" si="31"/>
        <v>2.6445182710249355</v>
      </c>
      <c r="W49" s="3">
        <f t="shared" si="31"/>
        <v>-1.5153097328679905</v>
      </c>
      <c r="X49" s="3">
        <f t="shared" si="31"/>
        <v>0.78028499104129878</v>
      </c>
      <c r="Y49" s="3">
        <f t="shared" si="31"/>
        <v>-0.33641344894067515</v>
      </c>
      <c r="Z49" s="3">
        <f t="shared" si="31"/>
        <v>0.12679437430961116</v>
      </c>
      <c r="AA49" s="3">
        <f t="shared" si="31"/>
        <v>-5.1620059840843169E-2</v>
      </c>
      <c r="AB49" s="3">
        <f t="shared" si="31"/>
        <v>1.4838945522114955E-2</v>
      </c>
      <c r="AC49" s="3">
        <f t="shared" si="31"/>
        <v>-2.8118417167206644E-3</v>
      </c>
      <c r="AD49" s="3">
        <f t="shared" si="31"/>
        <v>2.4213309541096351E-2</v>
      </c>
      <c r="AE49" s="3">
        <f t="shared" si="31"/>
        <v>-8.9302912484413355E-2</v>
      </c>
      <c r="AF49" s="3">
        <f t="shared" si="31"/>
        <v>0.17036062118938844</v>
      </c>
      <c r="AG49" s="3">
        <f t="shared" si="31"/>
        <v>-0.22404703457516462</v>
      </c>
      <c r="AH49" s="3">
        <f t="shared" si="31"/>
        <v>0.26262734681824895</v>
      </c>
      <c r="AI49" s="3">
        <f t="shared" si="31"/>
        <v>-0.31675298756385928</v>
      </c>
      <c r="AJ49" s="3">
        <f t="shared" si="31"/>
        <v>0.18063650243550455</v>
      </c>
    </row>
    <row r="50" spans="1:36" x14ac:dyDescent="0.25">
      <c r="F50" s="57">
        <f t="shared" ref="F50:AJ50" si="32">F49/F17</f>
        <v>8.5809572179043666E-3</v>
      </c>
      <c r="G50" s="57">
        <f t="shared" si="32"/>
        <v>-1.1226829050301196E-2</v>
      </c>
      <c r="H50" s="57">
        <f t="shared" si="32"/>
        <v>3.1054470389922846E-3</v>
      </c>
      <c r="I50" s="57">
        <f t="shared" si="32"/>
        <v>-5.2079256924997307E-4</v>
      </c>
      <c r="J50" s="57">
        <f t="shared" si="32"/>
        <v>7.2728910890857044E-5</v>
      </c>
      <c r="K50" s="57">
        <f t="shared" si="32"/>
        <v>-9.6613266336448577E-6</v>
      </c>
      <c r="L50" s="57">
        <f t="shared" si="32"/>
        <v>1.550380070820429E-5</v>
      </c>
      <c r="M50" s="57">
        <f t="shared" si="32"/>
        <v>-4.9241155500668242E-5</v>
      </c>
      <c r="N50" s="57">
        <f t="shared" si="32"/>
        <v>1.2934612331880159E-4</v>
      </c>
      <c r="O50" s="57">
        <f t="shared" si="32"/>
        <v>-2.7899598145672208E-4</v>
      </c>
      <c r="P50" s="57">
        <f t="shared" si="32"/>
        <v>4.9564332537577497E-4</v>
      </c>
      <c r="Q50" s="57">
        <f t="shared" si="32"/>
        <v>-7.5027511260018082E-4</v>
      </c>
      <c r="R50" s="57">
        <f t="shared" si="32"/>
        <v>9.7114497183344354E-4</v>
      </c>
      <c r="S50" s="57">
        <f t="shared" si="32"/>
        <v>-1.0711191716605841E-3</v>
      </c>
      <c r="T50" s="57">
        <f t="shared" si="32"/>
        <v>1.0205691916628859E-3</v>
      </c>
      <c r="U50" s="57">
        <f t="shared" si="32"/>
        <v>-8.4114040195323338E-4</v>
      </c>
      <c r="V50" s="57">
        <f t="shared" si="32"/>
        <v>5.9722342067374033E-4</v>
      </c>
      <c r="W50" s="57">
        <f t="shared" si="32"/>
        <v>-3.7959436010424235E-4</v>
      </c>
      <c r="X50" s="57">
        <f t="shared" si="32"/>
        <v>2.2218712522310721E-4</v>
      </c>
      <c r="Y50" s="57">
        <f t="shared" si="32"/>
        <v>-1.1223271274702864E-4</v>
      </c>
      <c r="Z50" s="57">
        <f t="shared" si="32"/>
        <v>5.1744925667056622E-5</v>
      </c>
      <c r="AA50" s="57">
        <f t="shared" si="32"/>
        <v>-2.7571782069782389E-5</v>
      </c>
      <c r="AB50" s="57">
        <f t="shared" si="32"/>
        <v>1.0851654020957503E-5</v>
      </c>
      <c r="AC50" s="57">
        <f t="shared" si="32"/>
        <v>-2.8581007484363719E-6</v>
      </c>
      <c r="AD50" s="57">
        <f t="shared" si="32"/>
        <v>3.206126129457085E-5</v>
      </c>
      <c r="AE50" s="57">
        <f t="shared" si="32"/>
        <v>-1.4099523226999728E-4</v>
      </c>
      <c r="AF50" s="57">
        <f t="shared" si="32"/>
        <v>2.9521211564698037E-4</v>
      </c>
      <c r="AG50" s="57">
        <f t="shared" si="32"/>
        <v>-4.1277006382250828E-4</v>
      </c>
      <c r="AH50" s="57">
        <f t="shared" si="32"/>
        <v>5.0236441021207421E-4</v>
      </c>
      <c r="AI50" s="57">
        <f t="shared" si="32"/>
        <v>-6.1704252628241613E-4</v>
      </c>
      <c r="AJ50" s="57">
        <f t="shared" si="32"/>
        <v>3.6976038904499556E-4</v>
      </c>
    </row>
    <row r="51" spans="1:36" x14ac:dyDescent="0.25">
      <c r="A51" s="13" t="s">
        <v>21</v>
      </c>
      <c r="B51" s="3">
        <f>STUTT!D8</f>
        <v>10187.300999999999</v>
      </c>
      <c r="E51" s="11" t="s">
        <v>24</v>
      </c>
      <c r="F51" s="20">
        <f t="shared" ref="F51:AJ51" si="33">(F16-F17)^2</f>
        <v>6206.7295785852875</v>
      </c>
      <c r="G51" s="20">
        <f t="shared" si="33"/>
        <v>10385.612344532661</v>
      </c>
      <c r="H51" s="20">
        <f t="shared" si="33"/>
        <v>728.46168338997438</v>
      </c>
      <c r="I51" s="20">
        <f t="shared" si="33"/>
        <v>19.404069012065687</v>
      </c>
      <c r="J51" s="20">
        <f t="shared" si="33"/>
        <v>0.35193285831011356</v>
      </c>
      <c r="K51" s="20">
        <f t="shared" si="33"/>
        <v>5.7982577677548981E-3</v>
      </c>
      <c r="L51" s="20">
        <f t="shared" si="33"/>
        <v>1.3908062421037037E-2</v>
      </c>
      <c r="M51" s="20">
        <f t="shared" si="33"/>
        <v>0.1284781368833644</v>
      </c>
      <c r="N51" s="20">
        <f t="shared" si="33"/>
        <v>0.79700175295864328</v>
      </c>
      <c r="O51" s="20">
        <f t="shared" si="33"/>
        <v>3.3248636906030846</v>
      </c>
      <c r="P51" s="20">
        <f t="shared" si="33"/>
        <v>9.544024614083007</v>
      </c>
      <c r="Q51" s="20">
        <f t="shared" si="33"/>
        <v>19.961222631958663</v>
      </c>
      <c r="R51" s="20">
        <f t="shared" si="33"/>
        <v>30.320682959032588</v>
      </c>
      <c r="S51" s="20">
        <f t="shared" si="33"/>
        <v>33.391451089609888</v>
      </c>
      <c r="T51" s="20">
        <f t="shared" si="33"/>
        <v>27.285995126787959</v>
      </c>
      <c r="U51" s="20">
        <f t="shared" si="33"/>
        <v>16.323761510569717</v>
      </c>
      <c r="V51" s="20">
        <f t="shared" si="33"/>
        <v>6.9934768857847143</v>
      </c>
      <c r="W51" s="20">
        <f t="shared" si="33"/>
        <v>2.296163586524461</v>
      </c>
      <c r="X51" s="20">
        <f t="shared" si="33"/>
        <v>0.60884466724431974</v>
      </c>
      <c r="Y51" s="20">
        <f t="shared" si="33"/>
        <v>0.11317400862816025</v>
      </c>
      <c r="Z51" s="20">
        <f t="shared" si="33"/>
        <v>1.6076813356565783E-2</v>
      </c>
      <c r="AA51" s="20">
        <f t="shared" si="33"/>
        <v>2.6646305779722298E-3</v>
      </c>
      <c r="AB51" s="20">
        <f t="shared" si="33"/>
        <v>2.2019430420829546E-4</v>
      </c>
      <c r="AC51" s="20">
        <f t="shared" si="33"/>
        <v>7.9064538398906123E-6</v>
      </c>
      <c r="AD51" s="20">
        <f t="shared" si="33"/>
        <v>5.8628435893294756E-4</v>
      </c>
      <c r="AE51" s="20">
        <f t="shared" si="33"/>
        <v>7.9750101781987902E-3</v>
      </c>
      <c r="AF51" s="20">
        <f t="shared" si="33"/>
        <v>2.9022741252034304E-2</v>
      </c>
      <c r="AG51" s="20">
        <f t="shared" si="33"/>
        <v>5.0197073701925006E-2</v>
      </c>
      <c r="AH51" s="20">
        <f t="shared" si="33"/>
        <v>6.8973123296792824E-2</v>
      </c>
      <c r="AI51" s="20">
        <f t="shared" si="33"/>
        <v>0.1003324551306304</v>
      </c>
      <c r="AJ51" s="20">
        <f t="shared" si="33"/>
        <v>3.2629546012132041E-2</v>
      </c>
    </row>
    <row r="52" spans="1:36" x14ac:dyDescent="0.25">
      <c r="A52" s="13"/>
    </row>
    <row r="53" spans="1:36" x14ac:dyDescent="0.25">
      <c r="E53" s="118" t="s">
        <v>25</v>
      </c>
      <c r="F53" s="118"/>
      <c r="G53" s="104">
        <f>SUM(F51:AJ51)</f>
        <v>17491.977141137777</v>
      </c>
      <c r="I53" s="3">
        <f>G53+C123</f>
        <v>17491.977141137777</v>
      </c>
      <c r="K53" s="3">
        <f>SUM(Z51:AJ51)</f>
        <v>0.30868577862323249</v>
      </c>
    </row>
    <row r="55" spans="1:36" x14ac:dyDescent="0.25">
      <c r="E55" s="30" t="s">
        <v>30</v>
      </c>
      <c r="F55" s="31">
        <f t="shared" ref="F55:AJ55" si="34">ABS(F17-F16)/F16</f>
        <v>8.5079508556004258E-3</v>
      </c>
      <c r="G55" s="31">
        <f t="shared" si="34"/>
        <v>1.1354301856226569E-2</v>
      </c>
      <c r="H55" s="31">
        <f t="shared" si="34"/>
        <v>3.0958330932795452E-3</v>
      </c>
      <c r="I55" s="31">
        <f t="shared" si="34"/>
        <v>5.2106393547567294E-4</v>
      </c>
      <c r="J55" s="31">
        <f t="shared" si="34"/>
        <v>7.2723621781048864E-5</v>
      </c>
      <c r="K55" s="31">
        <f t="shared" si="34"/>
        <v>9.6614199757789879E-6</v>
      </c>
      <c r="L55" s="31">
        <f t="shared" si="34"/>
        <v>1.5503560344094449E-5</v>
      </c>
      <c r="M55" s="31">
        <f t="shared" si="34"/>
        <v>4.9243580311463768E-5</v>
      </c>
      <c r="N55" s="31">
        <f t="shared" si="34"/>
        <v>1.2932939506291903E-4</v>
      </c>
      <c r="O55" s="31">
        <f t="shared" si="34"/>
        <v>2.7907384193715223E-4</v>
      </c>
      <c r="P55" s="31">
        <f t="shared" si="34"/>
        <v>4.9539778477034762E-4</v>
      </c>
      <c r="Q55" s="31">
        <f t="shared" si="34"/>
        <v>7.5083844800129956E-4</v>
      </c>
      <c r="R55" s="31">
        <f t="shared" si="34"/>
        <v>9.7020276429723735E-4</v>
      </c>
      <c r="S55" s="31">
        <f t="shared" si="34"/>
        <v>1.0722676981492242E-3</v>
      </c>
      <c r="T55" s="31">
        <f t="shared" si="34"/>
        <v>1.0195286920897228E-3</v>
      </c>
      <c r="U55" s="31">
        <f t="shared" si="34"/>
        <v>8.4184851475131511E-4</v>
      </c>
      <c r="V55" s="31">
        <f t="shared" si="34"/>
        <v>5.9686695774754722E-4</v>
      </c>
      <c r="W55" s="31">
        <f t="shared" si="34"/>
        <v>3.7973850669969995E-4</v>
      </c>
      <c r="X55" s="31">
        <f t="shared" si="34"/>
        <v>2.2213776907079391E-4</v>
      </c>
      <c r="Y55" s="31">
        <f t="shared" si="34"/>
        <v>1.1224531034270152E-4</v>
      </c>
      <c r="Z55" s="31">
        <f t="shared" si="34"/>
        <v>5.1742248268266134E-5</v>
      </c>
      <c r="AA55" s="31">
        <f t="shared" si="34"/>
        <v>2.7572542293909627E-5</v>
      </c>
      <c r="AB55" s="31">
        <f t="shared" si="34"/>
        <v>1.0851536263840373E-5</v>
      </c>
      <c r="AC55" s="31">
        <f t="shared" si="34"/>
        <v>2.858108917199607E-6</v>
      </c>
      <c r="AD55" s="31">
        <f t="shared" si="34"/>
        <v>3.206023340305055E-5</v>
      </c>
      <c r="AE55" s="31">
        <f t="shared" si="34"/>
        <v>1.4101511472885205E-4</v>
      </c>
      <c r="AF55" s="31">
        <f t="shared" si="34"/>
        <v>2.9512499117395559E-4</v>
      </c>
      <c r="AG55" s="31">
        <f t="shared" si="34"/>
        <v>4.1294051330453992E-4</v>
      </c>
      <c r="AH55" s="31">
        <f t="shared" si="34"/>
        <v>5.0211216692947435E-4</v>
      </c>
      <c r="AI55" s="31">
        <f t="shared" si="34"/>
        <v>6.1742350284039484E-4</v>
      </c>
      <c r="AJ55" s="31">
        <f t="shared" si="34"/>
        <v>3.6962371683565813E-4</v>
      </c>
    </row>
    <row r="56" spans="1:36" x14ac:dyDescent="0.25">
      <c r="E56" s="13" t="s">
        <v>31</v>
      </c>
      <c r="F56" s="32">
        <f>AVERAGE(F55:AJ55)</f>
        <v>1.0631962026088292E-3</v>
      </c>
    </row>
    <row r="57" spans="1:36" x14ac:dyDescent="0.25">
      <c r="A57" s="42"/>
      <c r="B57" s="15"/>
      <c r="C57" s="15"/>
      <c r="D57" s="15"/>
      <c r="F57" s="60">
        <f>AVERAGE(S55:X55)</f>
        <v>6.887313564180505E-4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19"/>
      <c r="D63" s="119"/>
      <c r="E63" s="119"/>
      <c r="F63" s="119"/>
      <c r="G63" s="119"/>
      <c r="H63" s="119"/>
      <c r="I63" s="119"/>
    </row>
    <row r="64" spans="1:36" x14ac:dyDescent="0.25">
      <c r="A64" s="42">
        <f>10^A65</f>
        <v>1.0000000000000001E-5</v>
      </c>
      <c r="B64" s="42">
        <f>10^B65</f>
        <v>100000</v>
      </c>
      <c r="C64" s="15"/>
      <c r="D64" s="15"/>
      <c r="E64" s="15"/>
      <c r="F64" s="15"/>
      <c r="G64" s="15"/>
      <c r="H64" s="15"/>
      <c r="I64" s="15"/>
    </row>
    <row r="65" spans="1:13" x14ac:dyDescent="0.25">
      <c r="A65" s="15">
        <f>-A67</f>
        <v>-5</v>
      </c>
      <c r="B65" s="101">
        <f>A67</f>
        <v>5</v>
      </c>
      <c r="C65" s="15"/>
      <c r="D65" s="15"/>
      <c r="E65" s="15"/>
      <c r="F65" s="15"/>
      <c r="G65" s="15"/>
      <c r="H65" s="15"/>
      <c r="I65" s="15"/>
    </row>
    <row r="66" spans="1:13" x14ac:dyDescent="0.25">
      <c r="A66" s="15"/>
      <c r="B66" s="15"/>
      <c r="C66" s="15"/>
      <c r="D66" s="15"/>
      <c r="E66" s="15"/>
      <c r="F66" s="15"/>
      <c r="G66" s="15"/>
      <c r="H66" s="15"/>
      <c r="I66" s="15"/>
    </row>
    <row r="67" spans="1:13" x14ac:dyDescent="0.25">
      <c r="A67" s="102">
        <v>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0"/>
    </row>
    <row r="101" spans="1:9" x14ac:dyDescent="0.25">
      <c r="A101" s="12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-11.075286108018116</v>
      </c>
    </row>
    <row r="119" spans="1:14" x14ac:dyDescent="0.25">
      <c r="L119" s="11">
        <f>L118+1</f>
        <v>2</v>
      </c>
      <c r="M119" s="11">
        <f t="shared" ref="M119:M124" si="35">INDEX($B$125:$K$126,1,L119)</f>
        <v>0</v>
      </c>
      <c r="N119" s="11">
        <f t="shared" ref="N119:N124" si="36">IF(L119=$B$3,0,INDEX($B$125:$K$126,2,L119))</f>
        <v>-7.6140068110883616</v>
      </c>
    </row>
    <row r="120" spans="1:14" x14ac:dyDescent="0.25">
      <c r="L120" s="11">
        <f t="shared" ref="L120:L124" si="37">L119+1</f>
        <v>3</v>
      </c>
      <c r="M120" s="11">
        <f t="shared" si="35"/>
        <v>25</v>
      </c>
      <c r="N120" s="11">
        <f t="shared" si="36"/>
        <v>-5.0324248356029004</v>
      </c>
    </row>
    <row r="121" spans="1:14" x14ac:dyDescent="0.25">
      <c r="A121" s="103">
        <f>(A165+A204+A243+A282+A321+A360+A399)*10^9</f>
        <v>176485833296473.72</v>
      </c>
      <c r="L121" s="11">
        <f t="shared" si="37"/>
        <v>4</v>
      </c>
      <c r="M121" s="11">
        <f t="shared" si="35"/>
        <v>50</v>
      </c>
      <c r="N121" s="11">
        <f t="shared" si="36"/>
        <v>-2.8351359473469957</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0</v>
      </c>
    </row>
    <row r="123" spans="1:14" x14ac:dyDescent="0.25">
      <c r="A123" s="118"/>
      <c r="B123" s="118"/>
      <c r="C123" s="3"/>
      <c r="D123" s="3"/>
      <c r="E123" s="3"/>
      <c r="F123" s="3"/>
      <c r="G123" s="3"/>
      <c r="H123" s="3"/>
      <c r="I123" s="3"/>
      <c r="J123" s="3"/>
      <c r="K123" s="3"/>
      <c r="L123" s="11">
        <f t="shared" si="37"/>
        <v>6</v>
      </c>
      <c r="M123" s="11">
        <f t="shared" si="35"/>
        <v>125</v>
      </c>
      <c r="N123" s="11">
        <f t="shared" si="36"/>
        <v>5.8229860798278077</v>
      </c>
    </row>
    <row r="124" spans="1:14" x14ac:dyDescent="0.25">
      <c r="B124" s="3"/>
      <c r="C124" s="3"/>
      <c r="D124" s="3"/>
      <c r="E124" s="3"/>
      <c r="F124" s="3"/>
      <c r="G124" s="3"/>
      <c r="H124" s="3"/>
      <c r="I124" s="3"/>
      <c r="J124" s="3"/>
      <c r="K124" s="3"/>
      <c r="L124" s="11">
        <f t="shared" si="37"/>
        <v>7</v>
      </c>
      <c r="M124" s="11">
        <f t="shared" si="35"/>
        <v>160</v>
      </c>
      <c r="N124" s="11">
        <f t="shared" si="36"/>
        <v>11.529070899829078</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-11.075286108018116</v>
      </c>
      <c r="C126" s="107">
        <v>-7.6140068110883616</v>
      </c>
      <c r="D126" s="107">
        <v>-5.0324248356029004</v>
      </c>
      <c r="E126" s="107">
        <v>-2.8351359473469957</v>
      </c>
      <c r="F126" s="107">
        <v>-7.3553629926565768E-4</v>
      </c>
      <c r="G126" s="107">
        <v>5.8229860798278077</v>
      </c>
      <c r="H126" s="107">
        <v>11.529070899829078</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10218.668827091791</v>
      </c>
      <c r="C130" s="26">
        <f>INDEX(Comparison!$AM$3:$AS$33,G14,$B$122)</f>
        <v>10130.735990154546</v>
      </c>
      <c r="D130" s="26">
        <f>INDEX(Comparison!$AM$3:$AS$33,H14,$B$122)</f>
        <v>9815.5100842671618</v>
      </c>
      <c r="E130" s="26">
        <f>INDEX(Comparison!$AM$3:$AS$33,I14,$B$122)</f>
        <v>9602.7895017015398</v>
      </c>
      <c r="F130" s="26">
        <f>INDEX(Comparison!$AM$3:$AS$33,J14,$B$122)</f>
        <v>9403.9958104822508</v>
      </c>
      <c r="G130" s="26">
        <f>INDEX(Comparison!$AM$3:$AS$33,K14,$B$122)</f>
        <v>9185.6343104080297</v>
      </c>
      <c r="H130" s="26">
        <f>INDEX(Comparison!$AM$3:$AS$33,L14,$B$122)</f>
        <v>8956.3853461764484</v>
      </c>
      <c r="I130" s="26">
        <f>INDEX(Comparison!$AM$3:$AS$33,M14,$B$122)</f>
        <v>8694.0472851843733</v>
      </c>
      <c r="J130" s="26">
        <f>INDEX(Comparison!$AM$3:$AS$33,N14,$B$122)</f>
        <v>8422.2902852365987</v>
      </c>
      <c r="K130" s="26">
        <f>INDEX(Comparison!$AM$3:$AS$33,O14,$B$122)</f>
        <v>8119.1133122846923</v>
      </c>
      <c r="L130" s="26">
        <f>INDEX(Comparison!$AM$3:$AS$33,P14,$B$122)</f>
        <v>7848.6797155048253</v>
      </c>
      <c r="M130" s="26">
        <f>INDEX(Comparison!$AM$3:$AS$33,Q14,$B$122)</f>
        <v>7561.5718378512247</v>
      </c>
      <c r="N130" s="26">
        <f>INDEX(Comparison!$AM$3:$AS$33,R14,$B$122)</f>
        <v>7212.0886309644511</v>
      </c>
      <c r="O130" s="26">
        <f>INDEX(Comparison!$AM$3:$AS$33,S14,$B$122)</f>
        <v>6826.065675816817</v>
      </c>
      <c r="P130" s="26">
        <f>INDEX(Comparison!$AM$3:$AS$33,T14,$B$122)</f>
        <v>6468.6777640443843</v>
      </c>
      <c r="Q130" s="26">
        <f>INDEX(Comparison!$AM$3:$AS$33,U14,$B$122)</f>
        <v>6185.0814076350389</v>
      </c>
      <c r="R130" s="26">
        <f>INDEX(Comparison!$AM$3:$AS$33,V14,$B$122)</f>
        <v>5896.0070828362468</v>
      </c>
      <c r="S130" s="26">
        <f>INDEX(Comparison!$AM$3:$AS$33,W14,$B$122)</f>
        <v>5620.2326577203476</v>
      </c>
      <c r="T130" s="26">
        <f>INDEX(Comparison!$AM$3:$AS$33,X14,$B$122)</f>
        <v>5330.7810569019748</v>
      </c>
      <c r="U130" s="26">
        <f>INDEX(Comparison!$AM$3:$AS$33,Y14,$B$122)</f>
        <v>5056.458830124393</v>
      </c>
      <c r="V130" s="26">
        <f>INDEX(Comparison!$AM$3:$AS$33,Z14,$B$122)</f>
        <v>4685.6312280238881</v>
      </c>
      <c r="W130" s="26">
        <f>INDEX(Comparison!$AM$3:$AS$33,AA14,$B$122)</f>
        <v>4271.8299665210579</v>
      </c>
      <c r="X130" s="26">
        <f>INDEX(Comparison!$AM$3:$AS$33,AB14,$B$122)</f>
        <v>3807.4701999642007</v>
      </c>
      <c r="Y130" s="26">
        <f>INDEX(Comparison!$AM$3:$AS$33,AC14,$B$122)</f>
        <v>3333.4500993282409</v>
      </c>
      <c r="Z130" s="26">
        <f>INDEX(Comparison!$AM$3:$AS$33,AD14,$B$122)</f>
        <v>2813.9339254547094</v>
      </c>
      <c r="AA130" s="26">
        <f>INDEX(Comparison!$AM$3:$AS$33,AE14,$B$122)</f>
        <v>2264.5753602217969</v>
      </c>
      <c r="AB130" s="26">
        <f>INDEX(Comparison!$AM$3:$AS$33,AF14,$B$122)</f>
        <v>1691.7003845109305</v>
      </c>
      <c r="AC130" s="26">
        <f>INDEX(Comparison!$AM$3:$AS$33,AG14,$B$122)</f>
        <v>1230.3504248927311</v>
      </c>
      <c r="AD130" s="26">
        <f>INDEX(Comparison!$AM$3:$AS$33,AH14,$B$122)</f>
        <v>888.25672531905332</v>
      </c>
      <c r="AE130" s="26">
        <f>INDEX(Comparison!$AM$3:$AS$33,AI14,$B$122)</f>
        <v>708.86645626754114</v>
      </c>
      <c r="AF130" s="26">
        <f>INDEX(Comparison!$AM$3:$AS$33,AJ14,$B$122)</f>
        <v>607.16785102157667</v>
      </c>
    </row>
    <row r="131" spans="1:33" x14ac:dyDescent="0.25">
      <c r="A131" s="68" t="s">
        <v>22</v>
      </c>
      <c r="B131" s="27">
        <f>($C$17+SUM(B132:B162))*$B$51</f>
        <v>9405.1326030627552</v>
      </c>
      <c r="C131" s="27">
        <f t="shared" ref="C131:AF131" si="40">($C$17+SUM(C132:C162))*$B$51</f>
        <v>9194.1320934537289</v>
      </c>
      <c r="D131" s="27">
        <f t="shared" si="40"/>
        <v>9194.1135400427011</v>
      </c>
      <c r="E131" s="27">
        <f t="shared" si="40"/>
        <v>9193.9299010721024</v>
      </c>
      <c r="F131" s="27">
        <f t="shared" si="40"/>
        <v>9192.0969833249783</v>
      </c>
      <c r="G131" s="27">
        <f t="shared" si="40"/>
        <v>9174.1104707827562</v>
      </c>
      <c r="H131" s="27">
        <f t="shared" si="40"/>
        <v>9024.3976272695709</v>
      </c>
      <c r="I131" s="27">
        <f t="shared" si="40"/>
        <v>8640.2469938119066</v>
      </c>
      <c r="J131" s="27">
        <f t="shared" si="40"/>
        <v>8411.5570767186164</v>
      </c>
      <c r="K131" s="27">
        <f t="shared" si="40"/>
        <v>8102.3011573485637</v>
      </c>
      <c r="L131" s="27">
        <f t="shared" si="40"/>
        <v>7830.1590983372798</v>
      </c>
      <c r="M131" s="27">
        <f t="shared" si="40"/>
        <v>7548.4578754763161</v>
      </c>
      <c r="N131" s="27">
        <f t="shared" si="40"/>
        <v>7206.9893723086307</v>
      </c>
      <c r="O131" s="27">
        <f t="shared" si="40"/>
        <v>6821.8223090075335</v>
      </c>
      <c r="P131" s="27">
        <f t="shared" si="40"/>
        <v>6463.0820967353002</v>
      </c>
      <c r="Q131" s="27">
        <f t="shared" si="40"/>
        <v>6174.1766537885132</v>
      </c>
      <c r="R131" s="27">
        <f t="shared" si="40"/>
        <v>5894.2942948823875</v>
      </c>
      <c r="S131" s="27">
        <f t="shared" si="40"/>
        <v>5609.1938187344085</v>
      </c>
      <c r="T131" s="27">
        <f t="shared" si="40"/>
        <v>5338.984846527539</v>
      </c>
      <c r="U131" s="27">
        <f t="shared" si="40"/>
        <v>5057.5172760494524</v>
      </c>
      <c r="V131" s="27">
        <f t="shared" si="40"/>
        <v>4733.0112092656491</v>
      </c>
      <c r="W131" s="27">
        <f t="shared" si="40"/>
        <v>4345.9697394987179</v>
      </c>
      <c r="X131" s="27">
        <f t="shared" si="40"/>
        <v>3904.389196884079</v>
      </c>
      <c r="Y131" s="27">
        <f t="shared" si="40"/>
        <v>3419.0760900138903</v>
      </c>
      <c r="Z131" s="27">
        <f t="shared" si="40"/>
        <v>2906.069285347779</v>
      </c>
      <c r="AA131" s="27">
        <f t="shared" si="40"/>
        <v>2345.2699355631112</v>
      </c>
      <c r="AB131" s="27">
        <f t="shared" si="40"/>
        <v>1798.6887598855851</v>
      </c>
      <c r="AC131" s="27">
        <f t="shared" si="40"/>
        <v>1266.0896816033073</v>
      </c>
      <c r="AD131" s="27">
        <f t="shared" si="40"/>
        <v>923.60407419353351</v>
      </c>
      <c r="AE131" s="27">
        <f t="shared" si="40"/>
        <v>721.41621915053759</v>
      </c>
      <c r="AF131" s="27">
        <f t="shared" si="40"/>
        <v>617.09721099392902</v>
      </c>
    </row>
    <row r="132" spans="1:33" x14ac:dyDescent="0.25">
      <c r="B132" s="3">
        <f t="shared" ref="B132:Z133" si="41">$C18*EXP(-B$129/$A18/EXP(-$B$126))</f>
        <v>2.0711949011257051E-2</v>
      </c>
      <c r="C132" s="3">
        <f t="shared" ref="C132:AF132" si="42">$C18*EXP(-C$129/$A18/EXP(-$B$126))</f>
        <v>1.8261699682474505E-8</v>
      </c>
      <c r="D132" s="3">
        <f t="shared" si="42"/>
        <v>5.1849369306529499E-69</v>
      </c>
      <c r="E132" s="3">
        <f t="shared" si="42"/>
        <v>0</v>
      </c>
      <c r="F132" s="3">
        <f t="shared" si="42"/>
        <v>0</v>
      </c>
      <c r="G132" s="3">
        <f t="shared" si="42"/>
        <v>0</v>
      </c>
      <c r="H132" s="3">
        <f t="shared" si="42"/>
        <v>0</v>
      </c>
      <c r="I132" s="3">
        <f t="shared" si="42"/>
        <v>0</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4.8505387459390703E-2</v>
      </c>
      <c r="C133" s="3">
        <f t="shared" si="41"/>
        <v>4.8505214239412182E-2</v>
      </c>
      <c r="D133" s="3">
        <f t="shared" si="41"/>
        <v>4.8503482073649275E-2</v>
      </c>
      <c r="E133" s="3">
        <f t="shared" si="41"/>
        <v>4.8486163817803456E-2</v>
      </c>
      <c r="F133" s="3">
        <f t="shared" si="41"/>
        <v>4.8313320988610964E-2</v>
      </c>
      <c r="G133" s="3">
        <f t="shared" si="41"/>
        <v>4.6618420985319438E-2</v>
      </c>
      <c r="H133" s="3">
        <f t="shared" si="41"/>
        <v>3.261851916072727E-2</v>
      </c>
      <c r="I133" s="3">
        <f t="shared" si="41"/>
        <v>9.1734152671208509E-4</v>
      </c>
      <c r="J133" s="3">
        <f t="shared" si="41"/>
        <v>2.8392209098885499E-19</v>
      </c>
      <c r="K133" s="3">
        <f t="shared" si="41"/>
        <v>2.2902373567293058E-174</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1.8704296321120428E-2</v>
      </c>
      <c r="C134" s="3">
        <f t="shared" si="44"/>
        <v>1.870429029557073E-2</v>
      </c>
      <c r="D134" s="3">
        <f t="shared" si="44"/>
        <v>1.870423004018049E-2</v>
      </c>
      <c r="E134" s="3">
        <f t="shared" si="44"/>
        <v>1.8703627496954141E-2</v>
      </c>
      <c r="F134" s="3">
        <f t="shared" si="44"/>
        <v>1.8697603132164623E-2</v>
      </c>
      <c r="G134" s="3">
        <f t="shared" si="44"/>
        <v>1.8637466104540441E-2</v>
      </c>
      <c r="H134" s="3">
        <f t="shared" si="44"/>
        <v>1.8046631857309561E-2</v>
      </c>
      <c r="I134" s="3">
        <f t="shared" si="44"/>
        <v>1.3076426680055134E-2</v>
      </c>
      <c r="J134" s="3">
        <f t="shared" si="44"/>
        <v>5.2169698067081093E-4</v>
      </c>
      <c r="K134" s="3">
        <f t="shared" si="44"/>
        <v>5.3297977019897503E-18</v>
      </c>
      <c r="L134" s="3">
        <f t="shared" si="44"/>
        <v>6.6013801844727131E-158</v>
      </c>
      <c r="M134" s="3">
        <f t="shared" si="44"/>
        <v>0</v>
      </c>
      <c r="N134" s="3">
        <f t="shared" si="44"/>
        <v>0</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3.35671373181873E-2</v>
      </c>
      <c r="C135" s="3">
        <f t="shared" si="47"/>
        <v>3.3567136342712044E-2</v>
      </c>
      <c r="D135" s="3">
        <f t="shared" si="47"/>
        <v>3.3567126587961016E-2</v>
      </c>
      <c r="E135" s="3">
        <f t="shared" si="47"/>
        <v>3.3567029040606683E-2</v>
      </c>
      <c r="F135" s="3">
        <f t="shared" si="47"/>
        <v>3.3566053582654402E-2</v>
      </c>
      <c r="G135" s="3">
        <f t="shared" si="47"/>
        <v>3.3556300562070311E-2</v>
      </c>
      <c r="H135" s="3">
        <f t="shared" si="47"/>
        <v>3.3458926082604347E-2</v>
      </c>
      <c r="I135" s="3">
        <f t="shared" si="47"/>
        <v>3.2500587776487941E-2</v>
      </c>
      <c r="J135" s="3">
        <f t="shared" si="47"/>
        <v>2.4304315466170283E-2</v>
      </c>
      <c r="K135" s="3">
        <f t="shared" si="47"/>
        <v>1.3292454328994667E-3</v>
      </c>
      <c r="L135" s="3">
        <f t="shared" si="47"/>
        <v>3.1829001058621776E-16</v>
      </c>
      <c r="M135" s="3">
        <f t="shared" si="47"/>
        <v>1.9724287636609968E-142</v>
      </c>
      <c r="N135" s="3">
        <f t="shared" si="47"/>
        <v>0</v>
      </c>
      <c r="O135" s="3">
        <f t="shared" si="47"/>
        <v>0</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2.7443873748699894E-2</v>
      </c>
      <c r="C136" s="3">
        <f t="shared" si="49"/>
        <v>2.7443873676755996E-2</v>
      </c>
      <c r="D136" s="3">
        <f t="shared" si="49"/>
        <v>2.7443872957317029E-2</v>
      </c>
      <c r="E136" s="3">
        <f t="shared" si="49"/>
        <v>2.7443865762928402E-2</v>
      </c>
      <c r="F136" s="3">
        <f t="shared" si="49"/>
        <v>2.7443793819145853E-2</v>
      </c>
      <c r="G136" s="3">
        <f t="shared" si="49"/>
        <v>2.744307439169329E-2</v>
      </c>
      <c r="H136" s="3">
        <f t="shared" si="49"/>
        <v>2.7435881154357841E-2</v>
      </c>
      <c r="I136" s="3">
        <f t="shared" si="49"/>
        <v>2.736405239949017E-2</v>
      </c>
      <c r="J136" s="3">
        <f t="shared" si="49"/>
        <v>2.6656026895391642E-2</v>
      </c>
      <c r="K136" s="3">
        <f t="shared" si="49"/>
        <v>2.0509046194320018E-2</v>
      </c>
      <c r="L136" s="3">
        <f t="shared" si="49"/>
        <v>1.490891081908819E-3</v>
      </c>
      <c r="M136" s="3">
        <f t="shared" si="49"/>
        <v>6.1439893372884105E-15</v>
      </c>
      <c r="N136" s="3">
        <f t="shared" si="49"/>
        <v>8.6795221790782702E-129</v>
      </c>
      <c r="O136" s="3">
        <f t="shared" si="49"/>
        <v>0</v>
      </c>
      <c r="P136" s="3">
        <f t="shared" si="49"/>
        <v>0</v>
      </c>
      <c r="Q136" s="3">
        <f t="shared" si="49"/>
        <v>0</v>
      </c>
      <c r="R136" s="3">
        <f t="shared" si="49"/>
        <v>0</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2.7096252709584441E-2</v>
      </c>
      <c r="C137" s="3">
        <f t="shared" si="51"/>
        <v>2.7096252703176709E-2</v>
      </c>
      <c r="D137" s="3">
        <f t="shared" si="51"/>
        <v>2.7096252639099386E-2</v>
      </c>
      <c r="E137" s="3">
        <f t="shared" si="51"/>
        <v>2.7096251998326142E-2</v>
      </c>
      <c r="F137" s="3">
        <f t="shared" si="51"/>
        <v>2.7096245590594533E-2</v>
      </c>
      <c r="G137" s="3">
        <f t="shared" si="51"/>
        <v>2.7096181513361781E-2</v>
      </c>
      <c r="H137" s="3">
        <f t="shared" si="51"/>
        <v>2.7095540749368374E-2</v>
      </c>
      <c r="I137" s="3">
        <f t="shared" si="51"/>
        <v>2.7089133942769968E-2</v>
      </c>
      <c r="J137" s="3">
        <f t="shared" si="51"/>
        <v>2.7025149137486659E-2</v>
      </c>
      <c r="K137" s="3">
        <f t="shared" si="51"/>
        <v>2.6393554762018604E-2</v>
      </c>
      <c r="L137" s="3">
        <f t="shared" si="51"/>
        <v>2.0835107987965146E-2</v>
      </c>
      <c r="M137" s="3">
        <f t="shared" si="51"/>
        <v>1.9578276194189689E-3</v>
      </c>
      <c r="N137" s="3">
        <f t="shared" si="51"/>
        <v>1.0509000248989226E-13</v>
      </c>
      <c r="O137" s="3">
        <f t="shared" si="51"/>
        <v>2.0865601883201708E-116</v>
      </c>
      <c r="P137" s="3">
        <f t="shared" si="51"/>
        <v>0</v>
      </c>
      <c r="Q137" s="3">
        <f t="shared" si="51"/>
        <v>0</v>
      </c>
      <c r="R137" s="3">
        <f t="shared" si="51"/>
        <v>0</v>
      </c>
      <c r="S137" s="3">
        <f t="shared" si="51"/>
        <v>0</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3.4309182593904489E-2</v>
      </c>
      <c r="C138" s="3">
        <f t="shared" si="53"/>
        <v>3.4309182593172588E-2</v>
      </c>
      <c r="D138" s="3">
        <f t="shared" si="53"/>
        <v>3.4309182585853581E-2</v>
      </c>
      <c r="E138" s="3">
        <f t="shared" si="53"/>
        <v>3.4309182512663523E-2</v>
      </c>
      <c r="F138" s="3">
        <f t="shared" si="53"/>
        <v>3.4309181780762935E-2</v>
      </c>
      <c r="G138" s="3">
        <f t="shared" si="53"/>
        <v>3.430917446175788E-2</v>
      </c>
      <c r="H138" s="3">
        <f t="shared" si="53"/>
        <v>3.4309101271793201E-2</v>
      </c>
      <c r="I138" s="3">
        <f t="shared" si="53"/>
        <v>3.43083693807337E-2</v>
      </c>
      <c r="J138" s="3">
        <f t="shared" si="53"/>
        <v>3.4301051328793096E-2</v>
      </c>
      <c r="K138" s="3">
        <f t="shared" si="53"/>
        <v>3.4227956607099611E-2</v>
      </c>
      <c r="L138" s="3">
        <f t="shared" si="53"/>
        <v>3.3505521825759867E-2</v>
      </c>
      <c r="M138" s="3">
        <f t="shared" si="53"/>
        <v>2.7068894564198493E-2</v>
      </c>
      <c r="N138" s="3">
        <f t="shared" si="53"/>
        <v>3.2063569108437052E-3</v>
      </c>
      <c r="O138" s="3">
        <f t="shared" si="53"/>
        <v>1.7435134191966881E-12</v>
      </c>
      <c r="P138" s="3">
        <f t="shared" si="53"/>
        <v>3.9405750399659859E-105</v>
      </c>
      <c r="Q138" s="3">
        <f t="shared" si="53"/>
        <v>0</v>
      </c>
      <c r="R138" s="3">
        <f t="shared" si="53"/>
        <v>0</v>
      </c>
      <c r="S138" s="3">
        <f t="shared" si="53"/>
        <v>0</v>
      </c>
      <c r="T138" s="3">
        <f t="shared" si="53"/>
        <v>0</v>
      </c>
      <c r="U138" s="3">
        <f t="shared" si="53"/>
        <v>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4.0815760599016766E-2</v>
      </c>
      <c r="C139" s="3">
        <f t="shared" si="55"/>
        <v>4.0815760598938225E-2</v>
      </c>
      <c r="D139" s="3">
        <f t="shared" si="55"/>
        <v>4.0815760598152777E-2</v>
      </c>
      <c r="E139" s="3">
        <f t="shared" si="55"/>
        <v>4.0815760590298324E-2</v>
      </c>
      <c r="F139" s="3">
        <f t="shared" si="55"/>
        <v>4.0815760511753743E-2</v>
      </c>
      <c r="G139" s="3">
        <f t="shared" si="55"/>
        <v>4.0815759726307958E-2</v>
      </c>
      <c r="H139" s="3">
        <f t="shared" si="55"/>
        <v>4.0815751871850964E-2</v>
      </c>
      <c r="I139" s="3">
        <f t="shared" si="55"/>
        <v>4.0815673327364126E-2</v>
      </c>
      <c r="J139" s="3">
        <f t="shared" si="55"/>
        <v>4.0814887890808879E-2</v>
      </c>
      <c r="K139" s="3">
        <f t="shared" si="55"/>
        <v>4.0807034356508738E-2</v>
      </c>
      <c r="L139" s="3">
        <f t="shared" si="55"/>
        <v>4.0728582079583651E-2</v>
      </c>
      <c r="M139" s="3">
        <f t="shared" si="55"/>
        <v>3.9952307076757565E-2</v>
      </c>
      <c r="N139" s="3">
        <f t="shared" si="55"/>
        <v>3.2958511143331815E-2</v>
      </c>
      <c r="O139" s="3">
        <f t="shared" si="55"/>
        <v>4.8108830804934003E-3</v>
      </c>
      <c r="P139" s="3">
        <f t="shared" si="55"/>
        <v>2.1125012642214677E-11</v>
      </c>
      <c r="Q139" s="3">
        <f t="shared" si="55"/>
        <v>5.630133976701466E-95</v>
      </c>
      <c r="R139" s="3">
        <f t="shared" si="55"/>
        <v>0</v>
      </c>
      <c r="S139" s="3">
        <f t="shared" si="55"/>
        <v>0</v>
      </c>
      <c r="T139" s="3">
        <f t="shared" si="55"/>
        <v>0</v>
      </c>
      <c r="U139" s="3">
        <f t="shared" si="55"/>
        <v>0</v>
      </c>
      <c r="V139" s="3">
        <f t="shared" si="55"/>
        <v>0</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3.8220700834170292E-2</v>
      </c>
      <c r="C140" s="3">
        <f t="shared" si="57"/>
        <v>3.8220700834163658E-2</v>
      </c>
      <c r="D140" s="3">
        <f t="shared" si="57"/>
        <v>3.8220700834097308E-2</v>
      </c>
      <c r="E140" s="3">
        <f t="shared" si="57"/>
        <v>3.8220700833433818E-2</v>
      </c>
      <c r="F140" s="3">
        <f t="shared" si="57"/>
        <v>3.8220700826798931E-2</v>
      </c>
      <c r="G140" s="3">
        <f t="shared" si="57"/>
        <v>3.8220700760450053E-2</v>
      </c>
      <c r="H140" s="3">
        <f t="shared" si="57"/>
        <v>3.8220700096961317E-2</v>
      </c>
      <c r="I140" s="3">
        <f t="shared" si="57"/>
        <v>3.8220693462074566E-2</v>
      </c>
      <c r="J140" s="3">
        <f t="shared" si="57"/>
        <v>3.8220627113270393E-2</v>
      </c>
      <c r="K140" s="3">
        <f t="shared" si="57"/>
        <v>3.8219963631563394E-2</v>
      </c>
      <c r="L140" s="3">
        <f t="shared" si="57"/>
        <v>3.8213329447925687E-2</v>
      </c>
      <c r="M140" s="3">
        <f t="shared" si="57"/>
        <v>3.8147050914107236E-2</v>
      </c>
      <c r="N140" s="3">
        <f t="shared" si="57"/>
        <v>3.7490555360780956E-2</v>
      </c>
      <c r="O140" s="3">
        <f t="shared" si="57"/>
        <v>3.1515987687273601E-2</v>
      </c>
      <c r="P140" s="3">
        <f t="shared" si="57"/>
        <v>5.5541986075979943E-3</v>
      </c>
      <c r="Q140" s="3">
        <f t="shared" si="57"/>
        <v>1.6051892265957391E-10</v>
      </c>
      <c r="R140" s="3">
        <f t="shared" si="57"/>
        <v>6.5249103115784741E-86</v>
      </c>
      <c r="S140" s="3">
        <f t="shared" si="57"/>
        <v>0</v>
      </c>
      <c r="T140" s="3">
        <f t="shared" si="57"/>
        <v>0</v>
      </c>
      <c r="U140" s="3">
        <f t="shared" si="57"/>
        <v>0</v>
      </c>
      <c r="V140" s="3">
        <f t="shared" si="57"/>
        <v>0</v>
      </c>
      <c r="W140" s="3">
        <f t="shared" si="57"/>
        <v>0</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2.8050318372560362E-2</v>
      </c>
      <c r="C141" s="3">
        <f t="shared" si="59"/>
        <v>2.8050318372559922E-2</v>
      </c>
      <c r="D141" s="3">
        <f t="shared" si="59"/>
        <v>2.8050318372555529E-2</v>
      </c>
      <c r="E141" s="3">
        <f t="shared" si="59"/>
        <v>2.8050318372511606E-2</v>
      </c>
      <c r="F141" s="3">
        <f t="shared" si="59"/>
        <v>2.8050318372072346E-2</v>
      </c>
      <c r="G141" s="3">
        <f t="shared" si="59"/>
        <v>2.805031836767977E-2</v>
      </c>
      <c r="H141" s="3">
        <f t="shared" si="59"/>
        <v>2.8050318323754007E-2</v>
      </c>
      <c r="I141" s="3">
        <f t="shared" si="59"/>
        <v>2.8050317884496398E-2</v>
      </c>
      <c r="J141" s="3">
        <f t="shared" si="59"/>
        <v>2.8050313491920657E-2</v>
      </c>
      <c r="K141" s="3">
        <f t="shared" si="59"/>
        <v>2.8050269566201099E-2</v>
      </c>
      <c r="L141" s="3">
        <f t="shared" si="59"/>
        <v>2.804983031278872E-2</v>
      </c>
      <c r="M141" s="3">
        <f t="shared" si="59"/>
        <v>2.8045438156964236E-2</v>
      </c>
      <c r="N141" s="3">
        <f t="shared" si="59"/>
        <v>2.8001554406739512E-2</v>
      </c>
      <c r="O141" s="3">
        <f t="shared" si="59"/>
        <v>2.7566475891757418E-2</v>
      </c>
      <c r="P141" s="3">
        <f t="shared" si="59"/>
        <v>2.3570692325668378E-2</v>
      </c>
      <c r="Q141" s="3">
        <f t="shared" si="59"/>
        <v>4.9236053562500279E-3</v>
      </c>
      <c r="R141" s="3">
        <f t="shared" si="59"/>
        <v>7.7873949422218022E-10</v>
      </c>
      <c r="S141" s="3">
        <f t="shared" si="59"/>
        <v>7.6292501259870432E-78</v>
      </c>
      <c r="T141" s="3">
        <f t="shared" si="59"/>
        <v>0</v>
      </c>
      <c r="U141" s="3">
        <f t="shared" si="59"/>
        <v>0</v>
      </c>
      <c r="V141" s="3">
        <f t="shared" si="59"/>
        <v>0</v>
      </c>
      <c r="W141" s="3">
        <f t="shared" si="59"/>
        <v>0</v>
      </c>
      <c r="X141" s="3">
        <f t="shared" si="59"/>
        <v>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2.8871537480058745E-2</v>
      </c>
      <c r="C142" s="3">
        <f t="shared" si="61"/>
        <v>2.8871537480058704E-2</v>
      </c>
      <c r="D142" s="3">
        <f t="shared" si="61"/>
        <v>2.8871537480058298E-2</v>
      </c>
      <c r="E142" s="3">
        <f t="shared" si="61"/>
        <v>2.8871537480054218E-2</v>
      </c>
      <c r="F142" s="3">
        <f t="shared" si="61"/>
        <v>2.8871537480013431E-2</v>
      </c>
      <c r="G142" s="3">
        <f t="shared" si="61"/>
        <v>2.8871537479605584E-2</v>
      </c>
      <c r="H142" s="3">
        <f t="shared" si="61"/>
        <v>2.8871537475527106E-2</v>
      </c>
      <c r="I142" s="3">
        <f t="shared" si="61"/>
        <v>2.8871537434742339E-2</v>
      </c>
      <c r="J142" s="3">
        <f t="shared" si="61"/>
        <v>2.8871537026894649E-2</v>
      </c>
      <c r="K142" s="3">
        <f t="shared" si="61"/>
        <v>2.8871532948418096E-2</v>
      </c>
      <c r="L142" s="3">
        <f t="shared" si="61"/>
        <v>2.8871492163684204E-2</v>
      </c>
      <c r="M142" s="3">
        <f t="shared" si="61"/>
        <v>2.8871084319514032E-2</v>
      </c>
      <c r="N142" s="3">
        <f t="shared" si="61"/>
        <v>2.8867006194669521E-2</v>
      </c>
      <c r="O142" s="3">
        <f t="shared" si="61"/>
        <v>2.8826256615388839E-2</v>
      </c>
      <c r="P142" s="3">
        <f t="shared" si="61"/>
        <v>2.8421911248777257E-2</v>
      </c>
      <c r="Q142" s="3">
        <f t="shared" si="61"/>
        <v>2.4677637706419703E-2</v>
      </c>
      <c r="R142" s="3">
        <f t="shared" si="61"/>
        <v>6.0090613049729692E-3</v>
      </c>
      <c r="S142" s="3">
        <f t="shared" si="61"/>
        <v>4.4038968866244997E-9</v>
      </c>
      <c r="T142" s="3">
        <f t="shared" si="61"/>
        <v>1.9685307911624601E-70</v>
      </c>
      <c r="U142" s="3">
        <f t="shared" si="61"/>
        <v>0</v>
      </c>
      <c r="V142" s="3">
        <f t="shared" si="61"/>
        <v>0</v>
      </c>
      <c r="W142" s="3">
        <f t="shared" si="61"/>
        <v>0</v>
      </c>
      <c r="X142" s="3">
        <f t="shared" si="61"/>
        <v>0</v>
      </c>
      <c r="Y142" s="3">
        <f t="shared" si="61"/>
        <v>0</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3.0036426105565315E-2</v>
      </c>
      <c r="C143" s="3">
        <f t="shared" si="63"/>
        <v>3.0036426105565311E-2</v>
      </c>
      <c r="D143" s="3">
        <f t="shared" si="63"/>
        <v>3.0036426105565273E-2</v>
      </c>
      <c r="E143" s="3">
        <f t="shared" si="63"/>
        <v>3.0036426105564888E-2</v>
      </c>
      <c r="F143" s="3">
        <f t="shared" si="63"/>
        <v>3.0036426105561065E-2</v>
      </c>
      <c r="G143" s="3">
        <f t="shared" si="63"/>
        <v>3.0036426105522786E-2</v>
      </c>
      <c r="H143" s="3">
        <f t="shared" si="63"/>
        <v>3.003642610514003E-2</v>
      </c>
      <c r="I143" s="3">
        <f t="shared" si="63"/>
        <v>3.0036426101312463E-2</v>
      </c>
      <c r="J143" s="3">
        <f t="shared" si="63"/>
        <v>3.0036426063036779E-2</v>
      </c>
      <c r="K143" s="3">
        <f t="shared" si="63"/>
        <v>3.0036425680279956E-2</v>
      </c>
      <c r="L143" s="3">
        <f t="shared" si="63"/>
        <v>3.0036421852711999E-2</v>
      </c>
      <c r="M143" s="3">
        <f t="shared" si="63"/>
        <v>3.0036383577059272E-2</v>
      </c>
      <c r="N143" s="3">
        <f t="shared" si="63"/>
        <v>3.0036000823214587E-2</v>
      </c>
      <c r="O143" s="3">
        <f t="shared" si="63"/>
        <v>3.003217355301642E-2</v>
      </c>
      <c r="P143" s="3">
        <f t="shared" si="63"/>
        <v>2.9993927663257761E-2</v>
      </c>
      <c r="Q143" s="3">
        <f t="shared" si="63"/>
        <v>2.9614137389138449E-2</v>
      </c>
      <c r="R143" s="3">
        <f t="shared" si="63"/>
        <v>2.607093208252257E-2</v>
      </c>
      <c r="S143" s="3">
        <f t="shared" si="63"/>
        <v>7.2900628404281411E-3</v>
      </c>
      <c r="T143" s="3">
        <f t="shared" si="63"/>
        <v>2.1304846477141721E-8</v>
      </c>
      <c r="U143" s="3">
        <f t="shared" si="63"/>
        <v>9.681658943065469E-64</v>
      </c>
      <c r="V143" s="3">
        <f t="shared" si="63"/>
        <v>0</v>
      </c>
      <c r="W143" s="3">
        <f t="shared" si="63"/>
        <v>0</v>
      </c>
      <c r="X143" s="3">
        <f t="shared" si="63"/>
        <v>0</v>
      </c>
      <c r="Y143" s="3">
        <f t="shared" si="63"/>
        <v>0</v>
      </c>
      <c r="Z143" s="3">
        <f t="shared" si="63"/>
        <v>0</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2.6672376514959441E-2</v>
      </c>
      <c r="C144" s="3">
        <f t="shared" si="65"/>
        <v>2.6672376514959441E-2</v>
      </c>
      <c r="D144" s="3">
        <f t="shared" si="65"/>
        <v>2.6672376514959437E-2</v>
      </c>
      <c r="E144" s="3">
        <f t="shared" si="65"/>
        <v>2.6672376514959406E-2</v>
      </c>
      <c r="F144" s="3">
        <f t="shared" si="65"/>
        <v>2.6672376514959101E-2</v>
      </c>
      <c r="G144" s="3">
        <f t="shared" si="65"/>
        <v>2.6672376514956034E-2</v>
      </c>
      <c r="H144" s="3">
        <f t="shared" si="65"/>
        <v>2.6672376514925371E-2</v>
      </c>
      <c r="I144" s="3">
        <f t="shared" si="65"/>
        <v>2.6672376514618765E-2</v>
      </c>
      <c r="J144" s="3">
        <f t="shared" si="65"/>
        <v>2.667237651155269E-2</v>
      </c>
      <c r="K144" s="3">
        <f t="shared" si="65"/>
        <v>2.6672376480891925E-2</v>
      </c>
      <c r="L144" s="3">
        <f t="shared" si="65"/>
        <v>2.6672376174284272E-2</v>
      </c>
      <c r="M144" s="3">
        <f t="shared" si="65"/>
        <v>2.6672373108207956E-2</v>
      </c>
      <c r="N144" s="3">
        <f t="shared" si="65"/>
        <v>2.6672342447464165E-2</v>
      </c>
      <c r="O144" s="3">
        <f t="shared" si="65"/>
        <v>2.6672035841964738E-2</v>
      </c>
      <c r="P144" s="3">
        <f t="shared" si="65"/>
        <v>2.6668969980811863E-2</v>
      </c>
      <c r="Q144" s="3">
        <f t="shared" si="65"/>
        <v>2.6638330745176464E-2</v>
      </c>
      <c r="R144" s="3">
        <f t="shared" si="65"/>
        <v>2.6333867762344049E-2</v>
      </c>
      <c r="S144" s="3">
        <f t="shared" si="65"/>
        <v>2.3474215408014774E-2</v>
      </c>
      <c r="T144" s="3">
        <f t="shared" si="65"/>
        <v>7.4362749098556393E-3</v>
      </c>
      <c r="U144" s="3">
        <f t="shared" si="65"/>
        <v>7.5683106324279911E-8</v>
      </c>
      <c r="V144" s="3">
        <f t="shared" si="65"/>
        <v>9.0247269380114025E-58</v>
      </c>
      <c r="W144" s="3">
        <f t="shared" si="65"/>
        <v>0</v>
      </c>
      <c r="X144" s="3">
        <f t="shared" si="65"/>
        <v>0</v>
      </c>
      <c r="Y144" s="3">
        <f t="shared" si="65"/>
        <v>0</v>
      </c>
      <c r="Z144" s="3">
        <f t="shared" si="65"/>
        <v>0</v>
      </c>
      <c r="AA144" s="3">
        <f t="shared" ref="AA144" si="66">$C30*EXP(-AA$129/$A30/EXP(-$B$126))</f>
        <v>0</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2.9125900591015351E-2</v>
      </c>
      <c r="C145" s="3">
        <f t="shared" si="68"/>
        <v>2.9125900591015351E-2</v>
      </c>
      <c r="D145" s="3">
        <f t="shared" si="68"/>
        <v>2.9125900591015351E-2</v>
      </c>
      <c r="E145" s="3">
        <f t="shared" si="68"/>
        <v>2.9125900591015347E-2</v>
      </c>
      <c r="F145" s="3">
        <f t="shared" si="68"/>
        <v>2.912590059101532E-2</v>
      </c>
      <c r="G145" s="3">
        <f t="shared" si="68"/>
        <v>2.9125900591015014E-2</v>
      </c>
      <c r="H145" s="3">
        <f t="shared" si="68"/>
        <v>2.9125900591011996E-2</v>
      </c>
      <c r="I145" s="3">
        <f t="shared" si="68"/>
        <v>2.9125900590981791E-2</v>
      </c>
      <c r="J145" s="3">
        <f t="shared" si="68"/>
        <v>2.9125900590679765E-2</v>
      </c>
      <c r="K145" s="3">
        <f t="shared" si="68"/>
        <v>2.9125900587659487E-2</v>
      </c>
      <c r="L145" s="3">
        <f t="shared" si="68"/>
        <v>2.9125900557456681E-2</v>
      </c>
      <c r="M145" s="3">
        <f t="shared" si="68"/>
        <v>2.9125900255428668E-2</v>
      </c>
      <c r="N145" s="3">
        <f t="shared" si="68"/>
        <v>2.9125897235148683E-2</v>
      </c>
      <c r="O145" s="3">
        <f t="shared" si="68"/>
        <v>2.9125867032366082E-2</v>
      </c>
      <c r="P145" s="3">
        <f t="shared" si="68"/>
        <v>2.9125565006262621E-2</v>
      </c>
      <c r="Q145" s="3">
        <f t="shared" si="68"/>
        <v>2.9122544917478049E-2</v>
      </c>
      <c r="R145" s="3">
        <f t="shared" si="68"/>
        <v>2.909236124802703E-2</v>
      </c>
      <c r="S145" s="3">
        <f t="shared" si="68"/>
        <v>2.8792239804915323E-2</v>
      </c>
      <c r="T145" s="3">
        <f t="shared" si="68"/>
        <v>2.5956148014598314E-2</v>
      </c>
      <c r="U145" s="3">
        <f t="shared" si="68"/>
        <v>9.2021255529411011E-3</v>
      </c>
      <c r="V145" s="3">
        <f t="shared" si="68"/>
        <v>2.8864715302930917E-7</v>
      </c>
      <c r="W145" s="3">
        <f t="shared" si="68"/>
        <v>2.6616964008827348E-52</v>
      </c>
      <c r="X145" s="3">
        <f t="shared" si="68"/>
        <v>0</v>
      </c>
      <c r="Y145" s="3">
        <f t="shared" si="68"/>
        <v>0</v>
      </c>
      <c r="Z145" s="3">
        <f t="shared" si="68"/>
        <v>0</v>
      </c>
      <c r="AA145" s="3">
        <f t="shared" ref="AA145" si="69">$C31*EXP(-AA$129/$A31/EXP(-$B$126))</f>
        <v>0</v>
      </c>
      <c r="AB145" s="3">
        <f t="shared" si="67"/>
        <v>0</v>
      </c>
      <c r="AC145" s="3">
        <f t="shared" si="67"/>
        <v>0</v>
      </c>
      <c r="AD145" s="3">
        <f t="shared" si="67"/>
        <v>0</v>
      </c>
      <c r="AE145" s="3">
        <f t="shared" si="67"/>
        <v>0</v>
      </c>
      <c r="AF145" s="3">
        <f t="shared" si="67"/>
        <v>0</v>
      </c>
    </row>
    <row r="146" spans="1:32" x14ac:dyDescent="0.25">
      <c r="B146" s="3">
        <f t="shared" ref="B146:Z146" si="70">$C32*EXP(-B$129/$A32/EXP(-$B$126))</f>
        <v>3.443427503760723E-2</v>
      </c>
      <c r="C146" s="3">
        <f t="shared" si="70"/>
        <v>3.443427503760723E-2</v>
      </c>
      <c r="D146" s="3">
        <f t="shared" si="70"/>
        <v>3.443427503760723E-2</v>
      </c>
      <c r="E146" s="3">
        <f t="shared" si="70"/>
        <v>3.443427503760723E-2</v>
      </c>
      <c r="F146" s="3">
        <f t="shared" si="70"/>
        <v>3.4434275037607223E-2</v>
      </c>
      <c r="G146" s="3">
        <f t="shared" si="70"/>
        <v>3.4434275037607195E-2</v>
      </c>
      <c r="H146" s="3">
        <f t="shared" si="70"/>
        <v>3.4434275037606869E-2</v>
      </c>
      <c r="I146" s="3">
        <f t="shared" si="70"/>
        <v>3.443427503760365E-2</v>
      </c>
      <c r="J146" s="3">
        <f t="shared" si="70"/>
        <v>3.4434275037571439E-2</v>
      </c>
      <c r="K146" s="3">
        <f t="shared" si="70"/>
        <v>3.4434275037249329E-2</v>
      </c>
      <c r="L146" s="3">
        <f t="shared" si="70"/>
        <v>3.4434275034028218E-2</v>
      </c>
      <c r="M146" s="3">
        <f t="shared" si="70"/>
        <v>3.443427500181713E-2</v>
      </c>
      <c r="N146" s="3">
        <f t="shared" si="70"/>
        <v>3.4434274679706244E-2</v>
      </c>
      <c r="O146" s="3">
        <f t="shared" si="70"/>
        <v>3.4434271458597558E-2</v>
      </c>
      <c r="P146" s="3">
        <f t="shared" si="70"/>
        <v>3.4434239247527261E-2</v>
      </c>
      <c r="Q146" s="3">
        <f t="shared" si="70"/>
        <v>3.4433917138481526E-2</v>
      </c>
      <c r="R146" s="3">
        <f t="shared" si="70"/>
        <v>3.4430696213740702E-2</v>
      </c>
      <c r="S146" s="3">
        <f t="shared" si="70"/>
        <v>3.4398503532252045E-2</v>
      </c>
      <c r="T146" s="3">
        <f t="shared" si="70"/>
        <v>3.4078227589985972E-2</v>
      </c>
      <c r="U146" s="3">
        <f t="shared" si="70"/>
        <v>3.1034981735782056E-2</v>
      </c>
      <c r="V146" s="3">
        <f t="shared" si="70"/>
        <v>1.2178574170490964E-2</v>
      </c>
      <c r="W146" s="3">
        <f t="shared" si="70"/>
        <v>1.0544984806706089E-6</v>
      </c>
      <c r="X146" s="3">
        <f t="shared" si="70"/>
        <v>2.4977046792941789E-47</v>
      </c>
      <c r="Y146" s="3">
        <f t="shared" si="70"/>
        <v>0</v>
      </c>
      <c r="Z146" s="3">
        <f t="shared" si="70"/>
        <v>0</v>
      </c>
      <c r="AA146" s="3">
        <f t="shared" ref="AA146" si="71">$C32*EXP(-AA$129/$A32/EXP(-$B$126))</f>
        <v>0</v>
      </c>
      <c r="AB146" s="3">
        <f t="shared" si="67"/>
        <v>0</v>
      </c>
      <c r="AC146" s="3">
        <f t="shared" si="67"/>
        <v>0</v>
      </c>
      <c r="AD146" s="3">
        <f t="shared" si="67"/>
        <v>0</v>
      </c>
      <c r="AE146" s="3">
        <f t="shared" si="67"/>
        <v>0</v>
      </c>
      <c r="AF146" s="3">
        <f t="shared" si="67"/>
        <v>0</v>
      </c>
    </row>
    <row r="147" spans="1:32" x14ac:dyDescent="0.25">
      <c r="B147" s="3">
        <f t="shared" ref="B147:Z147" si="72">$C33*EXP(-B$129/$A33/EXP(-$B$126))</f>
        <v>4.2428216345217838E-2</v>
      </c>
      <c r="C147" s="3">
        <f t="shared" si="72"/>
        <v>4.2428216345217838E-2</v>
      </c>
      <c r="D147" s="3">
        <f t="shared" si="72"/>
        <v>4.2428216345217838E-2</v>
      </c>
      <c r="E147" s="3">
        <f t="shared" si="72"/>
        <v>4.2428216345217838E-2</v>
      </c>
      <c r="F147" s="3">
        <f t="shared" si="72"/>
        <v>4.2428216345217838E-2</v>
      </c>
      <c r="G147" s="3">
        <f t="shared" si="72"/>
        <v>4.2428216345217831E-2</v>
      </c>
      <c r="H147" s="3">
        <f t="shared" si="72"/>
        <v>4.2428216345217803E-2</v>
      </c>
      <c r="I147" s="3">
        <f t="shared" si="72"/>
        <v>4.2428216345217443E-2</v>
      </c>
      <c r="J147" s="3">
        <f t="shared" si="72"/>
        <v>4.2428216345213855E-2</v>
      </c>
      <c r="K147" s="3">
        <f t="shared" si="72"/>
        <v>4.2428216345178058E-2</v>
      </c>
      <c r="L147" s="3">
        <f t="shared" si="72"/>
        <v>4.2428216344820031E-2</v>
      </c>
      <c r="M147" s="3">
        <f t="shared" si="72"/>
        <v>4.2428216341239756E-2</v>
      </c>
      <c r="N147" s="3">
        <f t="shared" si="72"/>
        <v>4.2428216305437055E-2</v>
      </c>
      <c r="O147" s="3">
        <f t="shared" si="72"/>
        <v>4.2428215947410024E-2</v>
      </c>
      <c r="P147" s="3">
        <f t="shared" si="72"/>
        <v>4.2428212367139825E-2</v>
      </c>
      <c r="Q147" s="3">
        <f t="shared" si="72"/>
        <v>4.2428176564454488E-2</v>
      </c>
      <c r="R147" s="3">
        <f t="shared" si="72"/>
        <v>4.2427818539262807E-2</v>
      </c>
      <c r="S147" s="3">
        <f t="shared" si="72"/>
        <v>4.2424238453505181E-2</v>
      </c>
      <c r="T147" s="3">
        <f t="shared" si="72"/>
        <v>4.2388454206666371E-2</v>
      </c>
      <c r="U147" s="3">
        <f t="shared" si="72"/>
        <v>4.2032267637477035E-2</v>
      </c>
      <c r="V147" s="3">
        <f t="shared" si="72"/>
        <v>3.8630936423632529E-2</v>
      </c>
      <c r="W147" s="3">
        <f t="shared" si="72"/>
        <v>1.6613433009122203E-2</v>
      </c>
      <c r="X147" s="3">
        <f t="shared" si="72"/>
        <v>3.5950163806738943E-6</v>
      </c>
      <c r="Y147" s="3">
        <f t="shared" si="72"/>
        <v>8.0931159695563111E-43</v>
      </c>
      <c r="Z147" s="3">
        <f t="shared" si="72"/>
        <v>0</v>
      </c>
      <c r="AA147" s="3">
        <f t="shared" ref="AA147" si="73">$C33*EXP(-AA$129/$A33/EXP(-$B$126))</f>
        <v>0</v>
      </c>
      <c r="AB147" s="3">
        <f t="shared" si="67"/>
        <v>0</v>
      </c>
      <c r="AC147" s="3">
        <f t="shared" si="67"/>
        <v>0</v>
      </c>
      <c r="AD147" s="3">
        <f t="shared" si="67"/>
        <v>0</v>
      </c>
      <c r="AE147" s="3">
        <f t="shared" si="67"/>
        <v>0</v>
      </c>
      <c r="AF147" s="3">
        <f t="shared" si="67"/>
        <v>0</v>
      </c>
    </row>
    <row r="148" spans="1:32" x14ac:dyDescent="0.25">
      <c r="B148" s="3">
        <f t="shared" ref="B148:Z148" si="74">$C34*EXP(-B$129/$A34/EXP(-$B$126))</f>
        <v>4.683073576792781E-2</v>
      </c>
      <c r="C148" s="3">
        <f t="shared" si="74"/>
        <v>4.683073576792781E-2</v>
      </c>
      <c r="D148" s="3">
        <f t="shared" si="74"/>
        <v>4.683073576792781E-2</v>
      </c>
      <c r="E148" s="3">
        <f t="shared" si="74"/>
        <v>4.683073576792781E-2</v>
      </c>
      <c r="F148" s="3">
        <f t="shared" si="74"/>
        <v>4.683073576792781E-2</v>
      </c>
      <c r="G148" s="3">
        <f t="shared" si="74"/>
        <v>4.683073576792781E-2</v>
      </c>
      <c r="H148" s="3">
        <f t="shared" si="74"/>
        <v>4.6830735767927803E-2</v>
      </c>
      <c r="I148" s="3">
        <f t="shared" si="74"/>
        <v>4.6830735767927768E-2</v>
      </c>
      <c r="J148" s="3">
        <f t="shared" si="74"/>
        <v>4.6830735767927414E-2</v>
      </c>
      <c r="K148" s="3">
        <f t="shared" si="74"/>
        <v>4.6830735767923848E-2</v>
      </c>
      <c r="L148" s="3">
        <f t="shared" si="74"/>
        <v>4.6830735767888203E-2</v>
      </c>
      <c r="M148" s="3">
        <f t="shared" si="74"/>
        <v>4.6830735767531717E-2</v>
      </c>
      <c r="N148" s="3">
        <f t="shared" si="74"/>
        <v>4.6830735763966895E-2</v>
      </c>
      <c r="O148" s="3">
        <f t="shared" si="74"/>
        <v>4.6830735728318605E-2</v>
      </c>
      <c r="P148" s="3">
        <f t="shared" si="74"/>
        <v>4.6830735371835776E-2</v>
      </c>
      <c r="Q148" s="3">
        <f t="shared" si="74"/>
        <v>4.6830731807007593E-2</v>
      </c>
      <c r="R148" s="3">
        <f t="shared" si="74"/>
        <v>4.6830696158740678E-2</v>
      </c>
      <c r="S148" s="3">
        <f t="shared" si="74"/>
        <v>4.683033967756408E-2</v>
      </c>
      <c r="T148" s="3">
        <f t="shared" si="74"/>
        <v>4.6826775015041532E-2</v>
      </c>
      <c r="U148" s="3">
        <f t="shared" si="74"/>
        <v>4.6791143309961362E-2</v>
      </c>
      <c r="V148" s="3">
        <f t="shared" si="74"/>
        <v>4.6436314079975421E-2</v>
      </c>
      <c r="W148" s="3">
        <f t="shared" si="74"/>
        <v>4.3032697377661251E-2</v>
      </c>
      <c r="X148" s="3">
        <f t="shared" si="74"/>
        <v>2.0100500149341952E-2</v>
      </c>
      <c r="Y148" s="3">
        <f t="shared" si="74"/>
        <v>9.9377898437085105E-6</v>
      </c>
      <c r="Z148" s="3">
        <f t="shared" si="74"/>
        <v>8.6719996930594552E-39</v>
      </c>
      <c r="AA148" s="3">
        <f>$C34*EXP(-AA$129/$A34/EXP(-$B$126))</f>
        <v>0</v>
      </c>
      <c r="AB148" s="3">
        <f t="shared" si="67"/>
        <v>0</v>
      </c>
      <c r="AC148" s="3">
        <f t="shared" si="67"/>
        <v>0</v>
      </c>
      <c r="AD148" s="3">
        <f t="shared" si="67"/>
        <v>0</v>
      </c>
      <c r="AE148" s="3">
        <f t="shared" si="67"/>
        <v>0</v>
      </c>
      <c r="AF148" s="3">
        <f t="shared" si="67"/>
        <v>0</v>
      </c>
    </row>
    <row r="149" spans="1:32" x14ac:dyDescent="0.25">
      <c r="B149" s="3">
        <f t="shared" ref="B149:Z149" si="75">$C35*EXP(-B$129/$A35/EXP(-$B$126))</f>
        <v>5.2334789148442605E-2</v>
      </c>
      <c r="C149" s="3">
        <f t="shared" si="75"/>
        <v>5.2334789148442605E-2</v>
      </c>
      <c r="D149" s="3">
        <f t="shared" si="75"/>
        <v>5.2334789148442605E-2</v>
      </c>
      <c r="E149" s="3">
        <f t="shared" si="75"/>
        <v>5.2334789148442605E-2</v>
      </c>
      <c r="F149" s="3">
        <f t="shared" si="75"/>
        <v>5.2334789148442605E-2</v>
      </c>
      <c r="G149" s="3">
        <f t="shared" si="75"/>
        <v>5.2334789148442605E-2</v>
      </c>
      <c r="H149" s="3">
        <f t="shared" si="75"/>
        <v>5.2334789148442605E-2</v>
      </c>
      <c r="I149" s="3">
        <f t="shared" si="75"/>
        <v>5.2334789148442598E-2</v>
      </c>
      <c r="J149" s="3">
        <f t="shared" si="75"/>
        <v>5.2334789148442563E-2</v>
      </c>
      <c r="K149" s="3">
        <f t="shared" si="75"/>
        <v>5.2334789148442203E-2</v>
      </c>
      <c r="L149" s="3">
        <f t="shared" si="75"/>
        <v>5.2334789148438615E-2</v>
      </c>
      <c r="M149" s="3">
        <f t="shared" si="75"/>
        <v>5.2334789148402679E-2</v>
      </c>
      <c r="N149" s="3">
        <f t="shared" si="75"/>
        <v>5.2334789148043299E-2</v>
      </c>
      <c r="O149" s="3">
        <f t="shared" si="75"/>
        <v>5.2334789144449577E-2</v>
      </c>
      <c r="P149" s="3">
        <f t="shared" si="75"/>
        <v>5.2334789108512338E-2</v>
      </c>
      <c r="Q149" s="3">
        <f t="shared" si="75"/>
        <v>5.2334788749139952E-2</v>
      </c>
      <c r="R149" s="3">
        <f t="shared" si="75"/>
        <v>5.2334785155416168E-2</v>
      </c>
      <c r="S149" s="3">
        <f t="shared" si="75"/>
        <v>5.2334749218191957E-2</v>
      </c>
      <c r="T149" s="3">
        <f t="shared" si="75"/>
        <v>5.2334389847307088E-2</v>
      </c>
      <c r="U149" s="3">
        <f t="shared" si="75"/>
        <v>5.2330796274180108E-2</v>
      </c>
      <c r="V149" s="3">
        <f t="shared" si="75"/>
        <v>5.2294874111635199E-2</v>
      </c>
      <c r="W149" s="3">
        <f t="shared" si="75"/>
        <v>5.19370059175744E-2</v>
      </c>
      <c r="X149" s="3">
        <f t="shared" si="75"/>
        <v>4.8490290681409635E-2</v>
      </c>
      <c r="Y149" s="3">
        <f t="shared" si="75"/>
        <v>2.44024575848279E-2</v>
      </c>
      <c r="Z149" s="3">
        <f t="shared" si="75"/>
        <v>2.5422681510175745E-5</v>
      </c>
      <c r="AA149" s="3">
        <f t="shared" ref="AA149" si="76">$C35*EXP(-AA$129/$A35/EXP(-$B$126))</f>
        <v>3.8291224831511872E-35</v>
      </c>
      <c r="AB149" s="3">
        <f t="shared" si="67"/>
        <v>0</v>
      </c>
      <c r="AC149" s="3">
        <f t="shared" si="67"/>
        <v>0</v>
      </c>
      <c r="AD149" s="3">
        <f t="shared" si="67"/>
        <v>0</v>
      </c>
      <c r="AE149" s="3">
        <f t="shared" si="67"/>
        <v>0</v>
      </c>
      <c r="AF149" s="3">
        <f t="shared" si="67"/>
        <v>0</v>
      </c>
    </row>
    <row r="150" spans="1:32" x14ac:dyDescent="0.25">
      <c r="B150" s="3">
        <f t="shared" ref="B150:Z150" si="77">$C36*EXP(-B$129/$A36/EXP(-$B$126))</f>
        <v>5.1279668394799138E-2</v>
      </c>
      <c r="C150" s="3">
        <f t="shared" si="77"/>
        <v>5.1279668394799138E-2</v>
      </c>
      <c r="D150" s="3">
        <f t="shared" si="77"/>
        <v>5.1279668394799138E-2</v>
      </c>
      <c r="E150" s="3">
        <f t="shared" si="77"/>
        <v>5.1279668394799138E-2</v>
      </c>
      <c r="F150" s="3">
        <f t="shared" si="77"/>
        <v>5.1279668394799138E-2</v>
      </c>
      <c r="G150" s="3">
        <f t="shared" si="77"/>
        <v>5.1279668394799138E-2</v>
      </c>
      <c r="H150" s="3">
        <f t="shared" si="77"/>
        <v>5.1279668394799138E-2</v>
      </c>
      <c r="I150" s="3">
        <f t="shared" si="77"/>
        <v>5.1279668394799138E-2</v>
      </c>
      <c r="J150" s="3">
        <f t="shared" si="77"/>
        <v>5.1279668394799131E-2</v>
      </c>
      <c r="K150" s="3">
        <f t="shared" si="77"/>
        <v>5.1279668394799104E-2</v>
      </c>
      <c r="L150" s="3">
        <f t="shared" si="77"/>
        <v>5.1279668394798784E-2</v>
      </c>
      <c r="M150" s="3">
        <f t="shared" si="77"/>
        <v>5.1279668394795606E-2</v>
      </c>
      <c r="N150" s="3">
        <f t="shared" si="77"/>
        <v>5.1279668394763847E-2</v>
      </c>
      <c r="O150" s="3">
        <f t="shared" si="77"/>
        <v>5.1279668394446191E-2</v>
      </c>
      <c r="P150" s="3">
        <f t="shared" si="77"/>
        <v>5.1279668391269718E-2</v>
      </c>
      <c r="Q150" s="3">
        <f t="shared" si="77"/>
        <v>5.1279668359504919E-2</v>
      </c>
      <c r="R150" s="3">
        <f t="shared" si="77"/>
        <v>5.1279668041856991E-2</v>
      </c>
      <c r="S150" s="3">
        <f t="shared" si="77"/>
        <v>5.12796648653778E-2</v>
      </c>
      <c r="T150" s="3">
        <f t="shared" si="77"/>
        <v>5.1279633100596661E-2</v>
      </c>
      <c r="U150" s="3">
        <f t="shared" si="77"/>
        <v>5.1279315453867519E-2</v>
      </c>
      <c r="V150" s="3">
        <f t="shared" si="77"/>
        <v>5.1276139094793838E-2</v>
      </c>
      <c r="W150" s="3">
        <f t="shared" si="77"/>
        <v>5.1244386323351744E-2</v>
      </c>
      <c r="X150" s="3">
        <f t="shared" si="77"/>
        <v>5.0927938062796427E-2</v>
      </c>
      <c r="Y150" s="3">
        <f t="shared" si="77"/>
        <v>4.7868967262970658E-2</v>
      </c>
      <c r="Z150" s="3">
        <f t="shared" si="77"/>
        <v>2.5765211217600503E-2</v>
      </c>
      <c r="AA150" s="3">
        <f t="shared" ref="AA150" si="78">$C36*EXP(-AA$129/$A36/EXP(-$B$126))</f>
        <v>5.258116420567992E-5</v>
      </c>
      <c r="AB150" s="3">
        <f t="shared" si="67"/>
        <v>6.5886297575224603E-32</v>
      </c>
      <c r="AC150" s="3">
        <f t="shared" si="67"/>
        <v>6.2870101461594192E-301</v>
      </c>
      <c r="AD150" s="3">
        <f t="shared" si="67"/>
        <v>0</v>
      </c>
      <c r="AE150" s="3">
        <f t="shared" si="67"/>
        <v>0</v>
      </c>
      <c r="AF150" s="3">
        <f t="shared" si="67"/>
        <v>0</v>
      </c>
    </row>
    <row r="151" spans="1:32" x14ac:dyDescent="0.25">
      <c r="B151" s="3">
        <f t="shared" ref="B151:Z151" si="79">$C37*EXP(-B$129/$A37/EXP(-$B$126))</f>
        <v>6.7593769214043364E-2</v>
      </c>
      <c r="C151" s="3">
        <f t="shared" si="79"/>
        <v>6.7593769214043364E-2</v>
      </c>
      <c r="D151" s="3">
        <f t="shared" si="79"/>
        <v>6.7593769214043364E-2</v>
      </c>
      <c r="E151" s="3">
        <f t="shared" si="79"/>
        <v>6.7593769214043364E-2</v>
      </c>
      <c r="F151" s="3">
        <f t="shared" si="79"/>
        <v>6.7593769214043364E-2</v>
      </c>
      <c r="G151" s="3">
        <f t="shared" si="79"/>
        <v>6.7593769214043364E-2</v>
      </c>
      <c r="H151" s="3">
        <f t="shared" si="79"/>
        <v>6.7593769214043364E-2</v>
      </c>
      <c r="I151" s="3">
        <f t="shared" si="79"/>
        <v>6.7593769214043364E-2</v>
      </c>
      <c r="J151" s="3">
        <f t="shared" si="79"/>
        <v>6.7593769214043364E-2</v>
      </c>
      <c r="K151" s="3">
        <f t="shared" si="79"/>
        <v>6.759376921404335E-2</v>
      </c>
      <c r="L151" s="3">
        <f t="shared" si="79"/>
        <v>6.7593769214043323E-2</v>
      </c>
      <c r="M151" s="3">
        <f t="shared" si="79"/>
        <v>6.7593769214042948E-2</v>
      </c>
      <c r="N151" s="3">
        <f t="shared" si="79"/>
        <v>6.7593769214039173E-2</v>
      </c>
      <c r="O151" s="3">
        <f t="shared" si="79"/>
        <v>6.7593769214001398E-2</v>
      </c>
      <c r="P151" s="3">
        <f t="shared" si="79"/>
        <v>6.7593769213623686E-2</v>
      </c>
      <c r="Q151" s="3">
        <f t="shared" si="79"/>
        <v>6.7593769209846638E-2</v>
      </c>
      <c r="R151" s="3">
        <f t="shared" si="79"/>
        <v>6.7593769172076018E-2</v>
      </c>
      <c r="S151" s="3">
        <f t="shared" si="79"/>
        <v>6.7593768794369846E-2</v>
      </c>
      <c r="T151" s="3">
        <f t="shared" si="79"/>
        <v>6.759376501730828E-2</v>
      </c>
      <c r="U151" s="3">
        <f t="shared" si="79"/>
        <v>6.7593727246704191E-2</v>
      </c>
      <c r="V151" s="3">
        <f t="shared" si="79"/>
        <v>6.7593349541824138E-2</v>
      </c>
      <c r="W151" s="3">
        <f t="shared" si="79"/>
        <v>6.7589572609102824E-2</v>
      </c>
      <c r="X151" s="3">
        <f t="shared" si="79"/>
        <v>6.7551814887404707E-2</v>
      </c>
      <c r="Y151" s="3">
        <f t="shared" si="79"/>
        <v>6.7175395826051296E-2</v>
      </c>
      <c r="Z151" s="3">
        <f t="shared" si="79"/>
        <v>6.3524661637810786E-2</v>
      </c>
      <c r="AA151" s="3">
        <f t="shared" ref="AA151" si="80">$C37*EXP(-AA$129/$A37/EXP(-$B$126))</f>
        <v>3.6329851576797405E-2</v>
      </c>
      <c r="AB151" s="3">
        <f t="shared" si="67"/>
        <v>1.3598038132405405E-4</v>
      </c>
      <c r="AC151" s="3">
        <f t="shared" si="67"/>
        <v>7.3384200317515793E-29</v>
      </c>
      <c r="AD151" s="3">
        <f t="shared" si="67"/>
        <v>1.5376789843589986E-271</v>
      </c>
      <c r="AE151" s="3">
        <f t="shared" si="67"/>
        <v>0</v>
      </c>
      <c r="AF151" s="3">
        <f t="shared" si="67"/>
        <v>0</v>
      </c>
    </row>
    <row r="152" spans="1:32" x14ac:dyDescent="0.25">
      <c r="B152" s="3">
        <f t="shared" ref="B152:Z152" si="81">$C38*EXP(-B$129/$A38/EXP(-$B$126))</f>
        <v>2.8423077323280126E-2</v>
      </c>
      <c r="C152" s="3">
        <f t="shared" si="81"/>
        <v>2.8423077323280126E-2</v>
      </c>
      <c r="D152" s="3">
        <f t="shared" si="81"/>
        <v>2.8423077323280126E-2</v>
      </c>
      <c r="E152" s="3">
        <f t="shared" si="81"/>
        <v>2.8423077323280126E-2</v>
      </c>
      <c r="F152" s="3">
        <f t="shared" si="81"/>
        <v>2.8423077323280126E-2</v>
      </c>
      <c r="G152" s="3">
        <f t="shared" si="81"/>
        <v>2.8423077323280126E-2</v>
      </c>
      <c r="H152" s="3">
        <f t="shared" si="81"/>
        <v>2.8423077323280126E-2</v>
      </c>
      <c r="I152" s="3">
        <f t="shared" si="81"/>
        <v>2.8423077323280126E-2</v>
      </c>
      <c r="J152" s="3">
        <f t="shared" si="81"/>
        <v>2.8423077323280126E-2</v>
      </c>
      <c r="K152" s="3">
        <f t="shared" si="81"/>
        <v>2.8423077323280126E-2</v>
      </c>
      <c r="L152" s="3">
        <f t="shared" si="81"/>
        <v>2.8423077323280123E-2</v>
      </c>
      <c r="M152" s="3">
        <f t="shared" si="81"/>
        <v>2.8423077323280109E-2</v>
      </c>
      <c r="N152" s="3">
        <f t="shared" si="81"/>
        <v>2.842307732327997E-2</v>
      </c>
      <c r="O152" s="3">
        <f t="shared" si="81"/>
        <v>2.8423077323278537E-2</v>
      </c>
      <c r="P152" s="3">
        <f t="shared" si="81"/>
        <v>2.8423077323264205E-2</v>
      </c>
      <c r="Q152" s="3">
        <f t="shared" si="81"/>
        <v>2.8423077323120934E-2</v>
      </c>
      <c r="R152" s="3">
        <f t="shared" si="81"/>
        <v>2.8423077321688202E-2</v>
      </c>
      <c r="S152" s="3">
        <f t="shared" si="81"/>
        <v>2.8423077307360878E-2</v>
      </c>
      <c r="T152" s="3">
        <f t="shared" si="81"/>
        <v>2.842307716408763E-2</v>
      </c>
      <c r="U152" s="3">
        <f t="shared" si="81"/>
        <v>2.8423075731355212E-2</v>
      </c>
      <c r="V152" s="3">
        <f t="shared" si="81"/>
        <v>2.8423061404034968E-2</v>
      </c>
      <c r="W152" s="3">
        <f t="shared" si="81"/>
        <v>2.8422918131229782E-2</v>
      </c>
      <c r="X152" s="3">
        <f t="shared" si="81"/>
        <v>2.8421485442898235E-2</v>
      </c>
      <c r="Y152" s="3">
        <f t="shared" si="81"/>
        <v>2.8407162530874573E-2</v>
      </c>
      <c r="Z152" s="3">
        <f t="shared" si="81"/>
        <v>2.8264329800143029E-2</v>
      </c>
      <c r="AA152" s="3">
        <f t="shared" ref="AA152" si="82">$C38*EXP(-AA$129/$A38/EXP(-$B$126))</f>
        <v>2.6874912010436038E-2</v>
      </c>
      <c r="AB152" s="3">
        <f t="shared" si="67"/>
        <v>1.6234190632441494E-2</v>
      </c>
      <c r="AC152" s="3">
        <f t="shared" si="67"/>
        <v>1.0501867762834184E-4</v>
      </c>
      <c r="AD152" s="3">
        <f t="shared" si="67"/>
        <v>1.3478004145560262E-26</v>
      </c>
      <c r="AE152" s="3">
        <f t="shared" si="67"/>
        <v>1.6338643142303962E-245</v>
      </c>
      <c r="AF152" s="3">
        <f t="shared" si="67"/>
        <v>0</v>
      </c>
    </row>
    <row r="153" spans="1:32" x14ac:dyDescent="0.25">
      <c r="B153" s="3">
        <f t="shared" ref="B153:Z153" si="83">$C39*EXP(-B$129/$A39/EXP(-$B$126))</f>
        <v>4.9146519309700876E-2</v>
      </c>
      <c r="C153" s="3">
        <f t="shared" si="83"/>
        <v>4.9146519309700876E-2</v>
      </c>
      <c r="D153" s="3">
        <f t="shared" si="83"/>
        <v>4.9146519309700876E-2</v>
      </c>
      <c r="E153" s="3">
        <f t="shared" si="83"/>
        <v>4.9146519309700876E-2</v>
      </c>
      <c r="F153" s="3">
        <f t="shared" si="83"/>
        <v>4.9146519309700876E-2</v>
      </c>
      <c r="G153" s="3">
        <f t="shared" si="83"/>
        <v>4.9146519309700876E-2</v>
      </c>
      <c r="H153" s="3">
        <f t="shared" si="83"/>
        <v>4.9146519309700876E-2</v>
      </c>
      <c r="I153" s="3">
        <f t="shared" si="83"/>
        <v>4.9146519309700876E-2</v>
      </c>
      <c r="J153" s="3">
        <f t="shared" si="83"/>
        <v>4.9146519309700876E-2</v>
      </c>
      <c r="K153" s="3">
        <f t="shared" si="83"/>
        <v>4.9146519309700876E-2</v>
      </c>
      <c r="L153" s="3">
        <f t="shared" si="83"/>
        <v>4.9146519309700876E-2</v>
      </c>
      <c r="M153" s="3">
        <f t="shared" si="83"/>
        <v>4.9146519309700869E-2</v>
      </c>
      <c r="N153" s="3">
        <f t="shared" si="83"/>
        <v>4.9146519309700799E-2</v>
      </c>
      <c r="O153" s="3">
        <f t="shared" si="83"/>
        <v>4.9146519309700112E-2</v>
      </c>
      <c r="P153" s="3">
        <f t="shared" si="83"/>
        <v>4.9146519309693264E-2</v>
      </c>
      <c r="Q153" s="3">
        <f t="shared" si="83"/>
        <v>4.9146519309624742E-2</v>
      </c>
      <c r="R153" s="3">
        <f t="shared" si="83"/>
        <v>4.9146519308939575E-2</v>
      </c>
      <c r="S153" s="3">
        <f t="shared" si="83"/>
        <v>4.9146519302087854E-2</v>
      </c>
      <c r="T153" s="3">
        <f t="shared" si="83"/>
        <v>4.9146519233570649E-2</v>
      </c>
      <c r="U153" s="3">
        <f t="shared" si="83"/>
        <v>4.9146518548398611E-2</v>
      </c>
      <c r="V153" s="3">
        <f t="shared" si="83"/>
        <v>4.9146511696678795E-2</v>
      </c>
      <c r="W153" s="3">
        <f t="shared" si="83"/>
        <v>4.9146443179533122E-2</v>
      </c>
      <c r="X153" s="3">
        <f t="shared" si="83"/>
        <v>4.914575801333014E-2</v>
      </c>
      <c r="Y153" s="3">
        <f t="shared" si="83"/>
        <v>4.9138906876644961E-2</v>
      </c>
      <c r="Z153" s="3">
        <f t="shared" si="83"/>
        <v>4.9070448017167381E-2</v>
      </c>
      <c r="AA153" s="3">
        <f t="shared" ref="AA153" si="84">$C39*EXP(-AA$129/$A39/EXP(-$B$126))</f>
        <v>4.8391083175519163E-2</v>
      </c>
      <c r="AB153" s="3">
        <f t="shared" si="67"/>
        <v>4.209383997015953E-2</v>
      </c>
      <c r="AC153" s="3">
        <f t="shared" si="67"/>
        <v>1.0441203696776733E-2</v>
      </c>
      <c r="AD153" s="3">
        <f t="shared" si="67"/>
        <v>9.2059963130677169E-9</v>
      </c>
      <c r="AE153" s="3">
        <f t="shared" si="67"/>
        <v>2.6138043608770986E-69</v>
      </c>
      <c r="AF153" s="3">
        <f t="shared" si="67"/>
        <v>0</v>
      </c>
    </row>
    <row r="154" spans="1:32" x14ac:dyDescent="0.25">
      <c r="B154" s="3">
        <f t="shared" ref="B154:Z154" si="85">$C40*EXP(-B$129/$A40/EXP(-$B$126))</f>
        <v>3.1963681817399746E-2</v>
      </c>
      <c r="C154" s="3">
        <f t="shared" si="85"/>
        <v>3.1963681817399746E-2</v>
      </c>
      <c r="D154" s="3">
        <f t="shared" si="85"/>
        <v>3.1963681817399746E-2</v>
      </c>
      <c r="E154" s="3">
        <f t="shared" si="85"/>
        <v>3.1963681817399746E-2</v>
      </c>
      <c r="F154" s="3">
        <f t="shared" si="85"/>
        <v>3.1963681817399746E-2</v>
      </c>
      <c r="G154" s="3">
        <f t="shared" si="85"/>
        <v>3.1963681817399746E-2</v>
      </c>
      <c r="H154" s="3">
        <f t="shared" si="85"/>
        <v>3.1963681817399746E-2</v>
      </c>
      <c r="I154" s="3">
        <f t="shared" si="85"/>
        <v>3.1963681817399746E-2</v>
      </c>
      <c r="J154" s="3">
        <f t="shared" si="85"/>
        <v>3.1963681817399746E-2</v>
      </c>
      <c r="K154" s="3">
        <f t="shared" si="85"/>
        <v>3.1963681817399746E-2</v>
      </c>
      <c r="L154" s="3">
        <f t="shared" si="85"/>
        <v>3.1963681817399746E-2</v>
      </c>
      <c r="M154" s="3">
        <f t="shared" si="85"/>
        <v>3.1963681817399746E-2</v>
      </c>
      <c r="N154" s="3">
        <f t="shared" si="85"/>
        <v>3.1963681817399739E-2</v>
      </c>
      <c r="O154" s="3">
        <f t="shared" si="85"/>
        <v>3.1963681817399697E-2</v>
      </c>
      <c r="P154" s="3">
        <f t="shared" si="85"/>
        <v>3.1963681817399246E-2</v>
      </c>
      <c r="Q154" s="3">
        <f t="shared" si="85"/>
        <v>3.1963681817394798E-2</v>
      </c>
      <c r="R154" s="3">
        <f t="shared" si="85"/>
        <v>3.196368181735023E-2</v>
      </c>
      <c r="S154" s="3">
        <f t="shared" si="85"/>
        <v>3.1963681816904614E-2</v>
      </c>
      <c r="T154" s="3">
        <f t="shared" si="85"/>
        <v>3.1963681812448422E-2</v>
      </c>
      <c r="U154" s="3">
        <f t="shared" si="85"/>
        <v>3.1963681767886526E-2</v>
      </c>
      <c r="V154" s="3">
        <f t="shared" si="85"/>
        <v>3.1963681322267568E-2</v>
      </c>
      <c r="W154" s="3">
        <f t="shared" si="85"/>
        <v>3.1963676866078289E-2</v>
      </c>
      <c r="X154" s="3">
        <f t="shared" si="85"/>
        <v>3.1963632304219711E-2</v>
      </c>
      <c r="Y154" s="3">
        <f t="shared" si="85"/>
        <v>3.1963186689050786E-2</v>
      </c>
      <c r="Z154" s="3">
        <f t="shared" si="85"/>
        <v>3.1958730879032733E-2</v>
      </c>
      <c r="AA154" s="3">
        <f t="shared" ref="AA154:AF154" si="86">$C40*EXP(-AA$129/$A40/EXP(-$B$126))</f>
        <v>3.1914206928351008E-2</v>
      </c>
      <c r="AB154" s="3">
        <f t="shared" si="86"/>
        <v>3.1472364821496339E-2</v>
      </c>
      <c r="AC154" s="3">
        <f t="shared" si="86"/>
        <v>2.7376793436786562E-2</v>
      </c>
      <c r="AD154" s="3">
        <f t="shared" si="86"/>
        <v>6.790700896870101E-3</v>
      </c>
      <c r="AE154" s="3">
        <f t="shared" si="86"/>
        <v>5.9873525347494778E-9</v>
      </c>
      <c r="AF154" s="3">
        <f t="shared" si="86"/>
        <v>1.6999537728710817E-69</v>
      </c>
    </row>
    <row r="155" spans="1:32" x14ac:dyDescent="0.25">
      <c r="B155" s="3">
        <f t="shared" ref="B155:Z155" si="87">$C41*EXP(-B$129/$A41/EXP(-$B$126))</f>
        <v>1.8386856006952675E-2</v>
      </c>
      <c r="C155" s="3">
        <f t="shared" si="87"/>
        <v>1.8386856006952675E-2</v>
      </c>
      <c r="D155" s="3">
        <f t="shared" si="87"/>
        <v>1.8386856006952675E-2</v>
      </c>
      <c r="E155" s="3">
        <f t="shared" si="87"/>
        <v>1.8386856006952675E-2</v>
      </c>
      <c r="F155" s="3">
        <f t="shared" si="87"/>
        <v>1.8386856006952675E-2</v>
      </c>
      <c r="G155" s="3">
        <f t="shared" si="87"/>
        <v>1.8386856006952675E-2</v>
      </c>
      <c r="H155" s="3">
        <f t="shared" si="87"/>
        <v>1.8386856006952675E-2</v>
      </c>
      <c r="I155" s="3">
        <f t="shared" si="87"/>
        <v>1.8386856006952675E-2</v>
      </c>
      <c r="J155" s="3">
        <f t="shared" si="87"/>
        <v>1.8386856006952675E-2</v>
      </c>
      <c r="K155" s="3">
        <f t="shared" si="87"/>
        <v>1.8386856006952675E-2</v>
      </c>
      <c r="L155" s="3">
        <f t="shared" si="87"/>
        <v>1.8386856006952675E-2</v>
      </c>
      <c r="M155" s="3">
        <f t="shared" si="87"/>
        <v>1.8386856006952675E-2</v>
      </c>
      <c r="N155" s="3">
        <f t="shared" si="87"/>
        <v>1.8386856006952675E-2</v>
      </c>
      <c r="O155" s="3">
        <f t="shared" si="87"/>
        <v>1.8386856006952671E-2</v>
      </c>
      <c r="P155" s="3">
        <f t="shared" si="87"/>
        <v>1.8386856006952647E-2</v>
      </c>
      <c r="Q155" s="3">
        <f t="shared" si="87"/>
        <v>1.838685600695239E-2</v>
      </c>
      <c r="R155" s="3">
        <f t="shared" si="87"/>
        <v>1.8386856006949826E-2</v>
      </c>
      <c r="S155" s="3">
        <f t="shared" si="87"/>
        <v>1.838685600692419E-2</v>
      </c>
      <c r="T155" s="3">
        <f t="shared" si="87"/>
        <v>1.8386856006667854E-2</v>
      </c>
      <c r="U155" s="3">
        <f t="shared" si="87"/>
        <v>1.8386856004104467E-2</v>
      </c>
      <c r="V155" s="3">
        <f t="shared" si="87"/>
        <v>1.8386855978470586E-2</v>
      </c>
      <c r="W155" s="3">
        <f t="shared" si="87"/>
        <v>1.8386855722131789E-2</v>
      </c>
      <c r="X155" s="3">
        <f t="shared" si="87"/>
        <v>1.8386853158744037E-2</v>
      </c>
      <c r="Y155" s="3">
        <f t="shared" si="87"/>
        <v>1.8386827524886153E-2</v>
      </c>
      <c r="Z155" s="3">
        <f t="shared" si="87"/>
        <v>1.838657118827286E-2</v>
      </c>
      <c r="AA155" s="3">
        <f t="shared" ref="AA155:AF155" si="88">$C41*EXP(-AA$129/$A41/EXP(-$B$126))</f>
        <v>1.8384008018683565E-2</v>
      </c>
      <c r="AB155" s="3">
        <f t="shared" si="88"/>
        <v>1.8358395967020609E-2</v>
      </c>
      <c r="AC155" s="3">
        <f t="shared" si="88"/>
        <v>1.8104229777939008E-2</v>
      </c>
      <c r="AD155" s="3">
        <f t="shared" si="88"/>
        <v>1.5748284622839205E-2</v>
      </c>
      <c r="AE155" s="3">
        <f t="shared" si="88"/>
        <v>3.9062971622082143E-3</v>
      </c>
      <c r="AF155" s="3">
        <f t="shared" si="88"/>
        <v>3.4441773494120425E-9</v>
      </c>
    </row>
    <row r="156" spans="1:32" x14ac:dyDescent="0.25">
      <c r="B156" s="3">
        <f t="shared" ref="B156:Z156" si="89">$C42*EXP(-B$129/$A42/EXP(-$B$126))</f>
        <v>9.0608848838832357E-3</v>
      </c>
      <c r="C156" s="3">
        <f t="shared" si="89"/>
        <v>9.0608848838832357E-3</v>
      </c>
      <c r="D156" s="3">
        <f t="shared" si="89"/>
        <v>9.0608848838832357E-3</v>
      </c>
      <c r="E156" s="3">
        <f t="shared" si="89"/>
        <v>9.0608848838832357E-3</v>
      </c>
      <c r="F156" s="3">
        <f t="shared" si="89"/>
        <v>9.0608848838832357E-3</v>
      </c>
      <c r="G156" s="3">
        <f t="shared" si="89"/>
        <v>9.0608848838832357E-3</v>
      </c>
      <c r="H156" s="3">
        <f t="shared" si="89"/>
        <v>9.0608848838832357E-3</v>
      </c>
      <c r="I156" s="3">
        <f t="shared" si="89"/>
        <v>9.0608848838832357E-3</v>
      </c>
      <c r="J156" s="3">
        <f t="shared" si="89"/>
        <v>9.0608848838832357E-3</v>
      </c>
      <c r="K156" s="3">
        <f t="shared" si="89"/>
        <v>9.0608848838832357E-3</v>
      </c>
      <c r="L156" s="3">
        <f t="shared" si="89"/>
        <v>9.0608848838832357E-3</v>
      </c>
      <c r="M156" s="3">
        <f t="shared" si="89"/>
        <v>9.0608848838832357E-3</v>
      </c>
      <c r="N156" s="3">
        <f t="shared" si="89"/>
        <v>9.0608848838832357E-3</v>
      </c>
      <c r="O156" s="3">
        <f t="shared" si="89"/>
        <v>9.0608848838832357E-3</v>
      </c>
      <c r="P156" s="3">
        <f t="shared" si="89"/>
        <v>9.0608848838832339E-3</v>
      </c>
      <c r="Q156" s="3">
        <f t="shared" si="89"/>
        <v>9.0608848838832218E-3</v>
      </c>
      <c r="R156" s="3">
        <f t="shared" si="89"/>
        <v>9.0608848838830951E-3</v>
      </c>
      <c r="S156" s="3">
        <f t="shared" si="89"/>
        <v>9.0608848838818323E-3</v>
      </c>
      <c r="T156" s="3">
        <f t="shared" si="89"/>
        <v>9.0608848838692E-3</v>
      </c>
      <c r="U156" s="3">
        <f t="shared" si="89"/>
        <v>9.0608848837428774E-3</v>
      </c>
      <c r="V156" s="3">
        <f t="shared" si="89"/>
        <v>9.0608848824796622E-3</v>
      </c>
      <c r="W156" s="3">
        <f t="shared" si="89"/>
        <v>9.0608848698475065E-3</v>
      </c>
      <c r="X156" s="3">
        <f t="shared" si="89"/>
        <v>9.0608847435259474E-3</v>
      </c>
      <c r="Y156" s="3">
        <f t="shared" si="89"/>
        <v>9.0608834803104568E-3</v>
      </c>
      <c r="Z156" s="3">
        <f t="shared" si="89"/>
        <v>9.0608708481652259E-3</v>
      </c>
      <c r="AA156" s="3">
        <f t="shared" ref="AA156:AF156" si="90">$C42*EXP(-AA$129/$A42/EXP(-$B$126))</f>
        <v>9.0607445276815225E-3</v>
      </c>
      <c r="AB156" s="3">
        <f t="shared" si="90"/>
        <v>9.0594814196995107E-3</v>
      </c>
      <c r="AC156" s="3">
        <f t="shared" si="90"/>
        <v>9.0468600203873952E-3</v>
      </c>
      <c r="AD156" s="3">
        <f t="shared" si="90"/>
        <v>8.9216091031140525E-3</v>
      </c>
      <c r="AE156" s="3">
        <f t="shared" si="90"/>
        <v>7.7606195443210898E-3</v>
      </c>
      <c r="AF156" s="3">
        <f t="shared" si="90"/>
        <v>1.9249897261187318E-3</v>
      </c>
    </row>
    <row r="157" spans="1:32" x14ac:dyDescent="0.25">
      <c r="B157" s="3">
        <f t="shared" ref="B157:Z157" si="91">$C43*EXP(-B$129/$A43/EXP(-$B$126))</f>
        <v>3.4752911115110466E-3</v>
      </c>
      <c r="C157" s="3">
        <f t="shared" si="91"/>
        <v>3.4752911115110466E-3</v>
      </c>
      <c r="D157" s="3">
        <f t="shared" si="91"/>
        <v>3.4752911115110466E-3</v>
      </c>
      <c r="E157" s="3">
        <f t="shared" si="91"/>
        <v>3.4752911115110466E-3</v>
      </c>
      <c r="F157" s="3">
        <f t="shared" si="91"/>
        <v>3.4752911115110466E-3</v>
      </c>
      <c r="G157" s="3">
        <f t="shared" si="91"/>
        <v>3.4752911115110466E-3</v>
      </c>
      <c r="H157" s="3">
        <f t="shared" si="91"/>
        <v>3.4752911115110466E-3</v>
      </c>
      <c r="I157" s="3">
        <f t="shared" si="91"/>
        <v>3.4752911115110466E-3</v>
      </c>
      <c r="J157" s="3">
        <f t="shared" si="91"/>
        <v>3.4752911115110466E-3</v>
      </c>
      <c r="K157" s="3">
        <f t="shared" si="91"/>
        <v>3.4752911115110466E-3</v>
      </c>
      <c r="L157" s="3">
        <f t="shared" si="91"/>
        <v>3.4752911115110466E-3</v>
      </c>
      <c r="M157" s="3">
        <f t="shared" si="91"/>
        <v>3.4752911115110466E-3</v>
      </c>
      <c r="N157" s="3">
        <f t="shared" si="91"/>
        <v>3.4752911115110466E-3</v>
      </c>
      <c r="O157" s="3">
        <f t="shared" si="91"/>
        <v>3.4752911115110466E-3</v>
      </c>
      <c r="P157" s="3">
        <f t="shared" si="91"/>
        <v>3.4752911115110466E-3</v>
      </c>
      <c r="Q157" s="3">
        <f t="shared" si="91"/>
        <v>3.4752911115110462E-3</v>
      </c>
      <c r="R157" s="3">
        <f t="shared" si="91"/>
        <v>3.4752911115110414E-3</v>
      </c>
      <c r="S157" s="3">
        <f t="shared" si="91"/>
        <v>3.4752911115109924E-3</v>
      </c>
      <c r="T157" s="3">
        <f t="shared" si="91"/>
        <v>3.4752911115105084E-3</v>
      </c>
      <c r="U157" s="3">
        <f t="shared" si="91"/>
        <v>3.4752911115056629E-3</v>
      </c>
      <c r="V157" s="3">
        <f t="shared" si="91"/>
        <v>3.4752911114572125E-3</v>
      </c>
      <c r="W157" s="3">
        <f t="shared" si="91"/>
        <v>3.4752911109727077E-3</v>
      </c>
      <c r="X157" s="3">
        <f t="shared" si="91"/>
        <v>3.4752911061276606E-3</v>
      </c>
      <c r="Y157" s="3">
        <f t="shared" si="91"/>
        <v>3.4752910576771835E-3</v>
      </c>
      <c r="Z157" s="3">
        <f t="shared" si="91"/>
        <v>3.4752905731724555E-3</v>
      </c>
      <c r="AA157" s="3">
        <f t="shared" ref="AA157:AF157" si="92">$C43*EXP(-AA$129/$A43/EXP(-$B$126))</f>
        <v>3.475285728128886E-3</v>
      </c>
      <c r="AB157" s="3">
        <f t="shared" si="92"/>
        <v>3.4752372780646988E-3</v>
      </c>
      <c r="AC157" s="3">
        <f t="shared" si="92"/>
        <v>3.4747528145714509E-3</v>
      </c>
      <c r="AD157" s="3">
        <f t="shared" si="92"/>
        <v>3.4699118925857579E-3</v>
      </c>
      <c r="AE157" s="3">
        <f t="shared" si="92"/>
        <v>3.4218720592707028E-3</v>
      </c>
      <c r="AF157" s="3">
        <f t="shared" si="92"/>
        <v>2.9765759600555975E-3</v>
      </c>
    </row>
    <row r="158" spans="1:32" x14ac:dyDescent="0.25">
      <c r="B158" s="3">
        <f t="shared" ref="B158:Z158" si="93">$C44*EXP(-B$129/$A44/EXP(-$B$126))</f>
        <v>3.7189183043806369E-3</v>
      </c>
      <c r="C158" s="3">
        <f t="shared" si="93"/>
        <v>3.7189183043806369E-3</v>
      </c>
      <c r="D158" s="3">
        <f t="shared" si="93"/>
        <v>3.7189183043806369E-3</v>
      </c>
      <c r="E158" s="3">
        <f t="shared" si="93"/>
        <v>3.7189183043806369E-3</v>
      </c>
      <c r="F158" s="3">
        <f t="shared" si="93"/>
        <v>3.7189183043806369E-3</v>
      </c>
      <c r="G158" s="3">
        <f t="shared" si="93"/>
        <v>3.7189183043806369E-3</v>
      </c>
      <c r="H158" s="3">
        <f t="shared" si="93"/>
        <v>3.7189183043806369E-3</v>
      </c>
      <c r="I158" s="3">
        <f t="shared" si="93"/>
        <v>3.7189183043806369E-3</v>
      </c>
      <c r="J158" s="3">
        <f t="shared" si="93"/>
        <v>3.7189183043806369E-3</v>
      </c>
      <c r="K158" s="3">
        <f t="shared" si="93"/>
        <v>3.7189183043806369E-3</v>
      </c>
      <c r="L158" s="3">
        <f t="shared" si="93"/>
        <v>3.7189183043806369E-3</v>
      </c>
      <c r="M158" s="3">
        <f t="shared" si="93"/>
        <v>3.7189183043806369E-3</v>
      </c>
      <c r="N158" s="3">
        <f t="shared" si="93"/>
        <v>3.7189183043806369E-3</v>
      </c>
      <c r="O158" s="3">
        <f t="shared" si="93"/>
        <v>3.7189183043806369E-3</v>
      </c>
      <c r="P158" s="3">
        <f t="shared" si="93"/>
        <v>3.7189183043806369E-3</v>
      </c>
      <c r="Q158" s="3">
        <f t="shared" si="93"/>
        <v>3.7189183043806369E-3</v>
      </c>
      <c r="R158" s="3">
        <f t="shared" si="93"/>
        <v>3.7189183043806365E-3</v>
      </c>
      <c r="S158" s="3">
        <f t="shared" si="93"/>
        <v>3.7189183043806313E-3</v>
      </c>
      <c r="T158" s="3">
        <f t="shared" si="93"/>
        <v>3.7189183043805792E-3</v>
      </c>
      <c r="U158" s="3">
        <f t="shared" si="93"/>
        <v>3.718918304380061E-3</v>
      </c>
      <c r="V158" s="3">
        <f t="shared" si="93"/>
        <v>3.7189183043748759E-3</v>
      </c>
      <c r="W158" s="3">
        <f t="shared" si="93"/>
        <v>3.7189183043230289E-3</v>
      </c>
      <c r="X158" s="3">
        <f t="shared" si="93"/>
        <v>3.7189183038045591E-3</v>
      </c>
      <c r="Y158" s="3">
        <f t="shared" si="93"/>
        <v>3.7189182986198609E-3</v>
      </c>
      <c r="Z158" s="3">
        <f t="shared" si="93"/>
        <v>3.7189182467728763E-3</v>
      </c>
      <c r="AA158" s="3">
        <f t="shared" ref="AA158:AF158" si="94">$C44*EXP(-AA$129/$A44/EXP(-$B$126))</f>
        <v>3.7189177283030719E-3</v>
      </c>
      <c r="AB158" s="3">
        <f t="shared" si="94"/>
        <v>3.7189125436090024E-3</v>
      </c>
      <c r="AC158" s="3">
        <f t="shared" si="94"/>
        <v>3.7188606970658573E-3</v>
      </c>
      <c r="AD158" s="3">
        <f t="shared" si="94"/>
        <v>3.7183422713872503E-3</v>
      </c>
      <c r="AE158" s="3">
        <f t="shared" si="94"/>
        <v>3.7131619878354514E-3</v>
      </c>
      <c r="AF158" s="3">
        <f t="shared" si="94"/>
        <v>3.6617544338429244E-3</v>
      </c>
    </row>
    <row r="159" spans="1:32" x14ac:dyDescent="0.25">
      <c r="A159" s="11" t="s">
        <v>75</v>
      </c>
      <c r="B159" s="3">
        <f t="shared" ref="B159:Z159" si="95">$C45*EXP(-B$129/$A45/EXP(-$B$126))</f>
        <v>9.6569507815885117E-4</v>
      </c>
      <c r="C159" s="3">
        <f t="shared" si="95"/>
        <v>9.6569507815885117E-4</v>
      </c>
      <c r="D159" s="3">
        <f t="shared" si="95"/>
        <v>9.6569507815885117E-4</v>
      </c>
      <c r="E159" s="3">
        <f t="shared" si="95"/>
        <v>9.6569507815885117E-4</v>
      </c>
      <c r="F159" s="3">
        <f t="shared" si="95"/>
        <v>9.6569507815885117E-4</v>
      </c>
      <c r="G159" s="3">
        <f t="shared" si="95"/>
        <v>9.6569507815885117E-4</v>
      </c>
      <c r="H159" s="3">
        <f t="shared" si="95"/>
        <v>9.6569507815885117E-4</v>
      </c>
      <c r="I159" s="3">
        <f t="shared" si="95"/>
        <v>9.6569507815885117E-4</v>
      </c>
      <c r="J159" s="3">
        <f t="shared" si="95"/>
        <v>9.6569507815885117E-4</v>
      </c>
      <c r="K159" s="3">
        <f t="shared" si="95"/>
        <v>9.6569507815885117E-4</v>
      </c>
      <c r="L159" s="3">
        <f t="shared" si="95"/>
        <v>9.6569507815885117E-4</v>
      </c>
      <c r="M159" s="3">
        <f t="shared" si="95"/>
        <v>9.6569507815885117E-4</v>
      </c>
      <c r="N159" s="3">
        <f t="shared" si="95"/>
        <v>9.6569507815885117E-4</v>
      </c>
      <c r="O159" s="3">
        <f t="shared" si="95"/>
        <v>9.6569507815885117E-4</v>
      </c>
      <c r="P159" s="3">
        <f t="shared" si="95"/>
        <v>9.6569507815885117E-4</v>
      </c>
      <c r="Q159" s="3">
        <f t="shared" si="95"/>
        <v>9.6569507815885117E-4</v>
      </c>
      <c r="R159" s="3">
        <f t="shared" si="95"/>
        <v>9.6569507815885117E-4</v>
      </c>
      <c r="S159" s="3">
        <f t="shared" si="95"/>
        <v>9.6569507815885106E-4</v>
      </c>
      <c r="T159" s="3">
        <f t="shared" si="95"/>
        <v>9.6569507815884965E-4</v>
      </c>
      <c r="U159" s="3">
        <f t="shared" si="95"/>
        <v>9.656950781588362E-4</v>
      </c>
      <c r="V159" s="3">
        <f t="shared" si="95"/>
        <v>9.6569507815870165E-4</v>
      </c>
      <c r="W159" s="3">
        <f t="shared" si="95"/>
        <v>9.6569507815735518E-4</v>
      </c>
      <c r="X159" s="3">
        <f t="shared" si="95"/>
        <v>9.656950781438921E-4</v>
      </c>
      <c r="Y159" s="3">
        <f t="shared" si="95"/>
        <v>9.6569507800926054E-4</v>
      </c>
      <c r="Z159" s="3">
        <f t="shared" si="95"/>
        <v>9.6569507666294501E-4</v>
      </c>
      <c r="AA159" s="3">
        <f t="shared" ref="AA159:AF159" si="96">$C45*EXP(-AA$129/$A45/EXP(-$B$126))</f>
        <v>9.6569506319978875E-4</v>
      </c>
      <c r="AB159" s="3">
        <f t="shared" si="96"/>
        <v>9.6569492856823816E-4</v>
      </c>
      <c r="AC159" s="3">
        <f t="shared" si="96"/>
        <v>9.65693582253763E-4</v>
      </c>
      <c r="AD159" s="3">
        <f t="shared" si="96"/>
        <v>9.656801192122449E-4</v>
      </c>
      <c r="AE159" s="3">
        <f t="shared" si="96"/>
        <v>9.6554549911972163E-4</v>
      </c>
      <c r="AF159" s="3">
        <f t="shared" si="96"/>
        <v>9.6420032992803847E-4</v>
      </c>
    </row>
    <row r="160" spans="1:32" x14ac:dyDescent="0.25">
      <c r="B160" s="3">
        <f t="shared" ref="B160:Z160" si="97">$C46*EXP(-B$129/$A46/EXP(-$B$126))</f>
        <v>6.3325792141422034E-4</v>
      </c>
      <c r="C160" s="3">
        <f t="shared" si="97"/>
        <v>6.3325792141422034E-4</v>
      </c>
      <c r="D160" s="3">
        <f t="shared" si="97"/>
        <v>6.3325792141422034E-4</v>
      </c>
      <c r="E160" s="3">
        <f t="shared" si="97"/>
        <v>6.3325792141422034E-4</v>
      </c>
      <c r="F160" s="3">
        <f t="shared" si="97"/>
        <v>6.3325792141422034E-4</v>
      </c>
      <c r="G160" s="3">
        <f t="shared" si="97"/>
        <v>6.3325792141422034E-4</v>
      </c>
      <c r="H160" s="3">
        <f t="shared" si="97"/>
        <v>6.3325792141422034E-4</v>
      </c>
      <c r="I160" s="3">
        <f t="shared" si="97"/>
        <v>6.3325792141422034E-4</v>
      </c>
      <c r="J160" s="3">
        <f t="shared" si="97"/>
        <v>6.3325792141422034E-4</v>
      </c>
      <c r="K160" s="3">
        <f t="shared" si="97"/>
        <v>6.3325792141422034E-4</v>
      </c>
      <c r="L160" s="3">
        <f t="shared" si="97"/>
        <v>6.3325792141422034E-4</v>
      </c>
      <c r="M160" s="3">
        <f t="shared" si="97"/>
        <v>6.3325792141422034E-4</v>
      </c>
      <c r="N160" s="3">
        <f t="shared" si="97"/>
        <v>6.3325792141422034E-4</v>
      </c>
      <c r="O160" s="3">
        <f t="shared" si="97"/>
        <v>6.3325792141422034E-4</v>
      </c>
      <c r="P160" s="3">
        <f t="shared" si="97"/>
        <v>6.3325792141422034E-4</v>
      </c>
      <c r="Q160" s="3">
        <f t="shared" si="97"/>
        <v>6.3325792141422034E-4</v>
      </c>
      <c r="R160" s="3">
        <f t="shared" si="97"/>
        <v>6.3325792141422034E-4</v>
      </c>
      <c r="S160" s="3">
        <f t="shared" si="97"/>
        <v>6.3325792141422034E-4</v>
      </c>
      <c r="T160" s="3">
        <f t="shared" si="97"/>
        <v>6.3325792141422023E-4</v>
      </c>
      <c r="U160" s="3">
        <f t="shared" si="97"/>
        <v>6.3325792141421936E-4</v>
      </c>
      <c r="V160" s="3">
        <f t="shared" si="97"/>
        <v>6.3325792141421047E-4</v>
      </c>
      <c r="W160" s="3">
        <f t="shared" si="97"/>
        <v>6.3325792141412222E-4</v>
      </c>
      <c r="X160" s="3">
        <f t="shared" si="97"/>
        <v>6.3325792141323935E-4</v>
      </c>
      <c r="Y160" s="3">
        <f t="shared" si="97"/>
        <v>6.3325792140441091E-4</v>
      </c>
      <c r="Z160" s="3">
        <f t="shared" si="97"/>
        <v>6.3325792131612574E-4</v>
      </c>
      <c r="AA160" s="3">
        <f t="shared" ref="AA160:AF160" si="98">$C46*EXP(-AA$129/$A46/EXP(-$B$126))</f>
        <v>6.3325792043327465E-4</v>
      </c>
      <c r="AB160" s="3">
        <f t="shared" si="98"/>
        <v>6.3325791160476295E-4</v>
      </c>
      <c r="AC160" s="3">
        <f t="shared" si="98"/>
        <v>6.3325782331965315E-4</v>
      </c>
      <c r="AD160" s="3">
        <f t="shared" si="98"/>
        <v>6.3325694046923245E-4</v>
      </c>
      <c r="AE160" s="3">
        <f t="shared" si="98"/>
        <v>6.3324811203272022E-4</v>
      </c>
      <c r="AF160" s="3">
        <f t="shared" si="98"/>
        <v>6.331598344367171E-4</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2.585470347840544E-2</v>
      </c>
      <c r="C162" s="3">
        <f t="shared" si="101"/>
        <v>2.585470347840544E-2</v>
      </c>
      <c r="D162" s="3">
        <f t="shared" si="101"/>
        <v>2.585470347840544E-2</v>
      </c>
      <c r="E162" s="3">
        <f t="shared" si="101"/>
        <v>2.585470347840544E-2</v>
      </c>
      <c r="F162" s="3">
        <f t="shared" si="101"/>
        <v>2.585470347840544E-2</v>
      </c>
      <c r="G162" s="3">
        <f t="shared" si="101"/>
        <v>2.585470347840544E-2</v>
      </c>
      <c r="H162" s="3">
        <f t="shared" si="101"/>
        <v>2.585470347840544E-2</v>
      </c>
      <c r="I162" s="3">
        <f t="shared" si="101"/>
        <v>2.585470347840544E-2</v>
      </c>
      <c r="J162" s="3">
        <f t="shared" si="101"/>
        <v>2.585470347840544E-2</v>
      </c>
      <c r="K162" s="3">
        <f t="shared" si="101"/>
        <v>2.585470347840544E-2</v>
      </c>
      <c r="L162" s="3">
        <f t="shared" si="101"/>
        <v>2.585470347840544E-2</v>
      </c>
      <c r="M162" s="3">
        <f t="shared" si="101"/>
        <v>2.585470347840544E-2</v>
      </c>
      <c r="N162" s="3">
        <f t="shared" si="101"/>
        <v>2.585470347840544E-2</v>
      </c>
      <c r="O162" s="3">
        <f t="shared" si="101"/>
        <v>2.585470347840544E-2</v>
      </c>
      <c r="P162" s="3">
        <f t="shared" si="101"/>
        <v>2.585470347840544E-2</v>
      </c>
      <c r="Q162" s="3">
        <f t="shared" si="101"/>
        <v>2.585470347840544E-2</v>
      </c>
      <c r="R162" s="3">
        <f t="shared" si="101"/>
        <v>2.585470347840544E-2</v>
      </c>
      <c r="S162" s="3">
        <f t="shared" si="101"/>
        <v>2.585470347840544E-2</v>
      </c>
      <c r="T162" s="3">
        <f t="shared" si="101"/>
        <v>2.585470347840544E-2</v>
      </c>
      <c r="U162" s="3">
        <f t="shared" si="101"/>
        <v>2.585470347840544E-2</v>
      </c>
      <c r="V162" s="3">
        <f t="shared" si="101"/>
        <v>2.5854703478405437E-2</v>
      </c>
      <c r="W162" s="3">
        <f t="shared" si="101"/>
        <v>2.5854703478405398E-2</v>
      </c>
      <c r="X162" s="3">
        <f t="shared" si="101"/>
        <v>2.5854703478405038E-2</v>
      </c>
      <c r="Y162" s="3">
        <f t="shared" si="101"/>
        <v>2.5854703478401436E-2</v>
      </c>
      <c r="Z162" s="3">
        <f t="shared" si="101"/>
        <v>2.5854703478365389E-2</v>
      </c>
      <c r="AA162" s="3">
        <f t="shared" ref="AA162:AF162" si="102">$C48*EXP(-AA$129/$A48/EXP(-$B$126))</f>
        <v>2.5854703478004937E-2</v>
      </c>
      <c r="AB162" s="3">
        <f t="shared" si="102"/>
        <v>2.5854703474400425E-2</v>
      </c>
      <c r="AC162" s="3">
        <f t="shared" si="102"/>
        <v>2.5854703438355314E-2</v>
      </c>
      <c r="AD162" s="3">
        <f t="shared" si="102"/>
        <v>2.5854703077904152E-2</v>
      </c>
      <c r="AE162" s="3">
        <f t="shared" si="102"/>
        <v>2.5854699473392851E-2</v>
      </c>
      <c r="AF162" s="3">
        <f t="shared" si="102"/>
        <v>2.5854663428307473E-2</v>
      </c>
    </row>
    <row r="163" spans="1:34" x14ac:dyDescent="0.25">
      <c r="A163" s="79">
        <f>AVERAGE(B163:AF163)</f>
        <v>7.1501478358971843E-4</v>
      </c>
      <c r="B163" s="80">
        <f>IF($A$64&lt;=B129,IF($B$64&gt;=B129,ABS((B131-B130)/B130),0),0)</f>
        <v>0</v>
      </c>
      <c r="C163" s="80">
        <f t="shared" ref="C163:AF163" si="103">IF($A$64&lt;=C129,IF($B$64&gt;=C129,ABS((C131-C130)/C130),0),0)</f>
        <v>0</v>
      </c>
      <c r="D163" s="80">
        <f t="shared" si="103"/>
        <v>0</v>
      </c>
      <c r="E163" s="80">
        <f t="shared" si="103"/>
        <v>0</v>
      </c>
      <c r="F163" s="80">
        <f t="shared" si="103"/>
        <v>0</v>
      </c>
      <c r="G163" s="80">
        <f t="shared" si="103"/>
        <v>0</v>
      </c>
      <c r="H163" s="80">
        <f t="shared" si="103"/>
        <v>0</v>
      </c>
      <c r="I163" s="80">
        <f t="shared" si="103"/>
        <v>0</v>
      </c>
      <c r="J163" s="80">
        <f t="shared" si="103"/>
        <v>0</v>
      </c>
      <c r="K163" s="80">
        <f t="shared" si="103"/>
        <v>0</v>
      </c>
      <c r="L163" s="80">
        <f t="shared" si="103"/>
        <v>2.3597111665747445E-3</v>
      </c>
      <c r="M163" s="80">
        <f t="shared" si="103"/>
        <v>1.7342905226746116E-3</v>
      </c>
      <c r="N163" s="80">
        <f t="shared" si="103"/>
        <v>7.0704325983006401E-4</v>
      </c>
      <c r="O163" s="80">
        <f t="shared" si="103"/>
        <v>6.2164166165538329E-4</v>
      </c>
      <c r="P163" s="80">
        <f t="shared" si="103"/>
        <v>8.6504035495277732E-4</v>
      </c>
      <c r="Q163" s="80">
        <f t="shared" si="103"/>
        <v>1.7630736166325152E-3</v>
      </c>
      <c r="R163" s="80">
        <f t="shared" si="103"/>
        <v>2.9049964319842789E-4</v>
      </c>
      <c r="S163" s="80">
        <f t="shared" si="103"/>
        <v>1.964124914077233E-3</v>
      </c>
      <c r="T163" s="80">
        <f t="shared" si="103"/>
        <v>1.5389470207076818E-3</v>
      </c>
      <c r="U163" s="80">
        <f t="shared" si="103"/>
        <v>2.0932553010293578E-4</v>
      </c>
      <c r="V163" s="80">
        <f t="shared" si="103"/>
        <v>1.0111760600874898E-2</v>
      </c>
      <c r="W163" s="80">
        <f t="shared" si="103"/>
        <v>0</v>
      </c>
      <c r="X163" s="80">
        <f t="shared" si="103"/>
        <v>0</v>
      </c>
      <c r="Y163" s="80">
        <f t="shared" si="103"/>
        <v>0</v>
      </c>
      <c r="Z163" s="80">
        <f t="shared" si="103"/>
        <v>0</v>
      </c>
      <c r="AA163" s="80">
        <f t="shared" si="103"/>
        <v>0</v>
      </c>
      <c r="AB163" s="80">
        <f t="shared" si="103"/>
        <v>0</v>
      </c>
      <c r="AC163" s="80">
        <f t="shared" si="103"/>
        <v>0</v>
      </c>
      <c r="AD163" s="80">
        <f t="shared" si="103"/>
        <v>0</v>
      </c>
      <c r="AE163" s="80">
        <f t="shared" si="103"/>
        <v>0</v>
      </c>
      <c r="AF163" s="80">
        <f t="shared" si="103"/>
        <v>0</v>
      </c>
    </row>
    <row r="164" spans="1:34" x14ac:dyDescent="0.25">
      <c r="B164" s="21">
        <f>(B131-B130)^2</f>
        <v>661841.1878074219</v>
      </c>
      <c r="C164" s="21">
        <f t="shared" ref="C164:AF164" si="104">(C131-C130)^2</f>
        <v>877226.85931515496</v>
      </c>
      <c r="D164" s="21">
        <f t="shared" si="104"/>
        <v>386133.66517410218</v>
      </c>
      <c r="E164" s="21">
        <f t="shared" si="104"/>
        <v>167166.17302686305</v>
      </c>
      <c r="F164" s="21">
        <f t="shared" si="104"/>
        <v>44901.112950627663</v>
      </c>
      <c r="G164" s="21">
        <f t="shared" si="104"/>
        <v>132.79887970902294</v>
      </c>
      <c r="H164" s="21">
        <f t="shared" si="104"/>
        <v>4625.6703794899095</v>
      </c>
      <c r="I164" s="21">
        <f t="shared" si="104"/>
        <v>2894.4713517623195</v>
      </c>
      <c r="J164" s="21">
        <f t="shared" si="104"/>
        <v>115.20176509048883</v>
      </c>
      <c r="K164" s="21">
        <f t="shared" si="104"/>
        <v>282.64855359639108</v>
      </c>
      <c r="L164" s="21">
        <f t="shared" si="104"/>
        <v>343.01326026677827</v>
      </c>
      <c r="M164" s="21">
        <f t="shared" si="104"/>
        <v>171.97600917051903</v>
      </c>
      <c r="N164" s="21">
        <f t="shared" si="104"/>
        <v>26.002438838959776</v>
      </c>
      <c r="O164" s="21">
        <f t="shared" si="104"/>
        <v>18.006161878129198</v>
      </c>
      <c r="P164" s="21">
        <f t="shared" si="104"/>
        <v>31.311492633952405</v>
      </c>
      <c r="Q164" s="21">
        <f t="shared" si="104"/>
        <v>118.91365645331567</v>
      </c>
      <c r="R164" s="21">
        <f t="shared" si="104"/>
        <v>2.9336425748856421</v>
      </c>
      <c r="S164" s="21">
        <f t="shared" si="104"/>
        <v>121.85596615748759</v>
      </c>
      <c r="T164" s="21">
        <f t="shared" si="104"/>
        <v>67.302164220515465</v>
      </c>
      <c r="U164" s="21">
        <f t="shared" si="104"/>
        <v>1.1203077762749742</v>
      </c>
      <c r="V164" s="21">
        <f t="shared" si="104"/>
        <v>2244.8626224696259</v>
      </c>
      <c r="W164" s="21">
        <f t="shared" si="104"/>
        <v>5496.7059371789583</v>
      </c>
      <c r="X164" s="21">
        <f t="shared" si="104"/>
        <v>9393.2919639553766</v>
      </c>
      <c r="Y164" s="21">
        <f t="shared" si="104"/>
        <v>7331.8102808989197</v>
      </c>
      <c r="Z164" s="21">
        <f t="shared" si="104"/>
        <v>8488.9245426254511</v>
      </c>
      <c r="AA164" s="21">
        <f t="shared" si="104"/>
        <v>6511.6144895150419</v>
      </c>
      <c r="AB164" s="21">
        <f t="shared" si="104"/>
        <v>11446.512465308009</v>
      </c>
      <c r="AC164" s="21">
        <f t="shared" si="104"/>
        <v>1277.2944702244679</v>
      </c>
      <c r="AD164" s="21">
        <f t="shared" si="104"/>
        <v>1249.435072454216</v>
      </c>
      <c r="AE164" s="21">
        <f t="shared" si="104"/>
        <v>157.4965484194353</v>
      </c>
      <c r="AF164" s="21">
        <f t="shared" si="104"/>
        <v>98.592189460553229</v>
      </c>
    </row>
    <row r="165" spans="1:34" x14ac:dyDescent="0.25">
      <c r="A165" s="71">
        <f>SUM(B165:AF165)</f>
        <v>3147.297722440444</v>
      </c>
      <c r="B165" s="60">
        <f>IF($A$64&lt;=B129,IF($B$64&gt;=B129,ABS(B164),0),0)</f>
        <v>0</v>
      </c>
      <c r="C165" s="60">
        <f t="shared" ref="C165:AF165" si="105">IF($A$64&lt;=C129,IF($B$64&gt;=C129,ABS(C164),0),0)</f>
        <v>0</v>
      </c>
      <c r="D165" s="60">
        <f t="shared" si="105"/>
        <v>0</v>
      </c>
      <c r="E165" s="60">
        <f t="shared" si="105"/>
        <v>0</v>
      </c>
      <c r="F165" s="60">
        <f t="shared" si="105"/>
        <v>0</v>
      </c>
      <c r="G165" s="60">
        <f t="shared" si="105"/>
        <v>0</v>
      </c>
      <c r="H165" s="60">
        <f t="shared" si="105"/>
        <v>0</v>
      </c>
      <c r="I165" s="60">
        <f t="shared" si="105"/>
        <v>0</v>
      </c>
      <c r="J165" s="60">
        <f t="shared" si="105"/>
        <v>0</v>
      </c>
      <c r="K165" s="60">
        <f t="shared" si="105"/>
        <v>0</v>
      </c>
      <c r="L165" s="60">
        <f t="shared" si="105"/>
        <v>343.01326026677827</v>
      </c>
      <c r="M165" s="60">
        <f t="shared" si="105"/>
        <v>171.97600917051903</v>
      </c>
      <c r="N165" s="60">
        <f t="shared" si="105"/>
        <v>26.002438838959776</v>
      </c>
      <c r="O165" s="60">
        <f t="shared" si="105"/>
        <v>18.006161878129198</v>
      </c>
      <c r="P165" s="60">
        <f t="shared" si="105"/>
        <v>31.311492633952405</v>
      </c>
      <c r="Q165" s="60">
        <f t="shared" si="105"/>
        <v>118.91365645331567</v>
      </c>
      <c r="R165" s="60">
        <f t="shared" si="105"/>
        <v>2.9336425748856421</v>
      </c>
      <c r="S165" s="60">
        <f t="shared" si="105"/>
        <v>121.85596615748759</v>
      </c>
      <c r="T165" s="60">
        <f t="shared" si="105"/>
        <v>67.302164220515465</v>
      </c>
      <c r="U165" s="60">
        <f t="shared" si="105"/>
        <v>1.1203077762749742</v>
      </c>
      <c r="V165" s="60">
        <f t="shared" si="105"/>
        <v>2244.8626224696259</v>
      </c>
      <c r="W165" s="60">
        <f t="shared" si="105"/>
        <v>0</v>
      </c>
      <c r="X165" s="60">
        <f t="shared" si="105"/>
        <v>0</v>
      </c>
      <c r="Y165" s="60">
        <f t="shared" si="105"/>
        <v>0</v>
      </c>
      <c r="Z165" s="60">
        <f t="shared" si="105"/>
        <v>0</v>
      </c>
      <c r="AA165" s="60">
        <f t="shared" si="105"/>
        <v>0</v>
      </c>
      <c r="AB165" s="60">
        <f t="shared" si="105"/>
        <v>0</v>
      </c>
      <c r="AC165" s="60">
        <f t="shared" si="105"/>
        <v>0</v>
      </c>
      <c r="AD165" s="60">
        <f t="shared" si="105"/>
        <v>0</v>
      </c>
      <c r="AE165" s="60">
        <f t="shared" si="105"/>
        <v>0</v>
      </c>
      <c r="AF165" s="60">
        <f t="shared" si="105"/>
        <v>0</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10065.543251576082</v>
      </c>
      <c r="C169" s="26">
        <f>INDEX(Comparison!$AM$3:$AS$33,G$14,$C$122)</f>
        <v>9708.7484211633309</v>
      </c>
      <c r="D169" s="26">
        <f>INDEX(Comparison!$AM$3:$AS$33,H$14,$C$122)</f>
        <v>9504.080552546171</v>
      </c>
      <c r="E169" s="26">
        <f>INDEX(Comparison!$AM$3:$AS$33,I$14,$C$122)</f>
        <v>9297.6034614201999</v>
      </c>
      <c r="F169" s="26">
        <f>INDEX(Comparison!$AM$3:$AS$33,J$14,$C$122)</f>
        <v>9077.0448832845814</v>
      </c>
      <c r="G169" s="26">
        <f>INDEX(Comparison!$AM$3:$AS$33,K$14,$C$122)</f>
        <v>8833.9901329277236</v>
      </c>
      <c r="H169" s="26">
        <f>INDEX(Comparison!$AM$3:$AS$33,L$14,$C$122)</f>
        <v>8570.1980588932365</v>
      </c>
      <c r="I169" s="26">
        <f>INDEX(Comparison!$AM$3:$AS$33,M$14,$C$122)</f>
        <v>8282.9223634397895</v>
      </c>
      <c r="J169" s="26">
        <f>INDEX(Comparison!$AM$3:$AS$33,N$14,$C$122)</f>
        <v>7993.641154385381</v>
      </c>
      <c r="K169" s="26">
        <f>INDEX(Comparison!$AM$3:$AS$33,O$14,$C$122)</f>
        <v>7722.5102431706819</v>
      </c>
      <c r="L169" s="26">
        <f>INDEX(Comparison!$AM$3:$AS$33,P$14,$C$122)</f>
        <v>7411.9254661857585</v>
      </c>
      <c r="M169" s="26">
        <f>INDEX(Comparison!$AM$3:$AS$33,Q$14,$C$122)</f>
        <v>7044.5082173262499</v>
      </c>
      <c r="N169" s="26">
        <f>INDEX(Comparison!$AM$3:$AS$33,R$14,$C$122)</f>
        <v>6664.4913259208079</v>
      </c>
      <c r="O169" s="26">
        <f>INDEX(Comparison!$AM$3:$AS$33,S$14,$C$122)</f>
        <v>6341.2106146502829</v>
      </c>
      <c r="P169" s="26">
        <f>INDEX(Comparison!$AM$3:$AS$33,T$14,$C$122)</f>
        <v>6057.8856031721252</v>
      </c>
      <c r="Q169" s="26">
        <f>INDEX(Comparison!$AM$3:$AS$33,U$14,$C$122)</f>
        <v>5776.2920069159836</v>
      </c>
      <c r="R169" s="26">
        <f>INDEX(Comparison!$AM$3:$AS$33,V$14,$C$122)</f>
        <v>5493.3830678495879</v>
      </c>
      <c r="S169" s="26">
        <f>INDEX(Comparison!$AM$3:$AS$33,W$14,$C$122)</f>
        <v>5215.5329419319251</v>
      </c>
      <c r="T169" s="26">
        <f>INDEX(Comparison!$AM$3:$AS$33,X$14,$C$122)</f>
        <v>4897.7071873573095</v>
      </c>
      <c r="U169" s="26">
        <f>INDEX(Comparison!$AM$3:$AS$33,Y$14,$C$122)</f>
        <v>4495.7217042422935</v>
      </c>
      <c r="V169" s="26">
        <f>INDEX(Comparison!$AM$3:$AS$33,Z$14,$C$122)</f>
        <v>4059.1954090175182</v>
      </c>
      <c r="W169" s="26">
        <f>INDEX(Comparison!$AM$3:$AS$33,AA$14,$C$122)</f>
        <v>3597.5805592338243</v>
      </c>
      <c r="X169" s="26">
        <f>INDEX(Comparison!$AM$3:$AS$33,AB$14,$C$122)</f>
        <v>3113.2980023229825</v>
      </c>
      <c r="Y169" s="26">
        <f>INDEX(Comparison!$AM$3:$AS$33,AC$14,$C$122)</f>
        <v>2587.1664421745386</v>
      </c>
      <c r="Z169" s="26">
        <f>INDEX(Comparison!$AM$3:$AS$33,AD$14,$C$122)</f>
        <v>2025.5491425769458</v>
      </c>
      <c r="AA169" s="26">
        <f>INDEX(Comparison!$AM$3:$AS$33,AE$14,$C$122)</f>
        <v>1488.3947775442189</v>
      </c>
      <c r="AB169" s="26">
        <f>INDEX(Comparison!$AM$3:$AS$33,AF$14,$C$122)</f>
        <v>1075.2839868020503</v>
      </c>
      <c r="AC169" s="26">
        <f>INDEX(Comparison!$AM$3:$AS$33,AG$14,$C$122)</f>
        <v>799.60727676982128</v>
      </c>
      <c r="AD169" s="26">
        <f>INDEX(Comparison!$AM$3:$AS$33,AH$14,$C$122)</f>
        <v>660.84412890819806</v>
      </c>
      <c r="AE169" s="26">
        <f>INDEX(Comparison!$AM$3:$AS$33,AI$14,$C$122)</f>
        <v>587.16779346403064</v>
      </c>
      <c r="AF169" s="26">
        <f>INDEX(Comparison!$AM$3:$AS$33,AJ$14,$C$122)</f>
        <v>551.91226878266252</v>
      </c>
      <c r="AG169" s="26"/>
      <c r="AH169" s="26"/>
    </row>
    <row r="170" spans="1:34" x14ac:dyDescent="0.25">
      <c r="A170" s="70" t="s">
        <v>22</v>
      </c>
      <c r="B170" s="27">
        <f>($C$17+SUM(B171:B201))*$B$51</f>
        <v>9194.1274465953884</v>
      </c>
      <c r="C170" s="27">
        <f t="shared" ref="C170:AF170" si="106">($C$17+SUM(C171:C201))*$B$51</f>
        <v>9194.0689350467983</v>
      </c>
      <c r="D170" s="27">
        <f t="shared" si="106"/>
        <v>9193.4841722862147</v>
      </c>
      <c r="E170" s="27">
        <f t="shared" si="106"/>
        <v>9187.6716696135227</v>
      </c>
      <c r="F170" s="27">
        <f t="shared" si="106"/>
        <v>9132.91608771748</v>
      </c>
      <c r="G170" s="27">
        <f t="shared" si="106"/>
        <v>8815.2658492438295</v>
      </c>
      <c r="H170" s="27">
        <f t="shared" si="106"/>
        <v>8534.1006933002373</v>
      </c>
      <c r="I170" s="27">
        <f t="shared" si="106"/>
        <v>8262.3650151309885</v>
      </c>
      <c r="J170" s="27">
        <f t="shared" si="106"/>
        <v>7973.3548040653741</v>
      </c>
      <c r="K170" s="27">
        <f t="shared" si="106"/>
        <v>7702.9159801551077</v>
      </c>
      <c r="L170" s="27">
        <f t="shared" si="106"/>
        <v>7396.7370821699033</v>
      </c>
      <c r="M170" s="27">
        <f t="shared" si="106"/>
        <v>7032.1940855358844</v>
      </c>
      <c r="N170" s="27">
        <f t="shared" si="106"/>
        <v>6651.2354239630022</v>
      </c>
      <c r="O170" s="27">
        <f t="shared" si="106"/>
        <v>6320.5779335460256</v>
      </c>
      <c r="P170" s="27">
        <f t="shared" si="106"/>
        <v>6042.092937076035</v>
      </c>
      <c r="Q170" s="27">
        <f t="shared" si="106"/>
        <v>5756.1445780875192</v>
      </c>
      <c r="R170" s="27">
        <f t="shared" si="106"/>
        <v>5471.849180382842</v>
      </c>
      <c r="S170" s="27">
        <f t="shared" si="106"/>
        <v>5200.2242215843553</v>
      </c>
      <c r="T170" s="27">
        <f t="shared" si="106"/>
        <v>4897.4097110148123</v>
      </c>
      <c r="U170" s="27">
        <f t="shared" si="106"/>
        <v>4539.1693964667202</v>
      </c>
      <c r="V170" s="27">
        <f t="shared" si="106"/>
        <v>4114.8853168021642</v>
      </c>
      <c r="W170" s="27">
        <f t="shared" si="106"/>
        <v>3647.2093751933289</v>
      </c>
      <c r="X170" s="27">
        <f t="shared" si="106"/>
        <v>3139.4143676832168</v>
      </c>
      <c r="Y170" s="27">
        <f t="shared" si="106"/>
        <v>2614.2069924510647</v>
      </c>
      <c r="Z170" s="27">
        <f t="shared" si="106"/>
        <v>2020.7746411186454</v>
      </c>
      <c r="AA170" s="27">
        <f t="shared" si="106"/>
        <v>1546.0354822698609</v>
      </c>
      <c r="AB170" s="27">
        <f t="shared" si="106"/>
        <v>1075.6824950820135</v>
      </c>
      <c r="AC170" s="27">
        <f t="shared" si="106"/>
        <v>807.52837673424369</v>
      </c>
      <c r="AD170" s="27">
        <f t="shared" si="106"/>
        <v>658.96874127945205</v>
      </c>
      <c r="AE170" s="27">
        <f t="shared" si="106"/>
        <v>588.16281006021097</v>
      </c>
      <c r="AF170" s="27">
        <f t="shared" si="106"/>
        <v>552.74175688079549</v>
      </c>
      <c r="AG170" s="27"/>
      <c r="AH170" s="27"/>
    </row>
    <row r="171" spans="1:34" x14ac:dyDescent="0.25">
      <c r="B171" s="3">
        <f t="shared" ref="B171:AF171" si="107">$C18*EXP(-B$168/$A18/EXP(-$C$126))</f>
        <v>3.6052891030553661E-23</v>
      </c>
      <c r="C171" s="3">
        <f t="shared" si="107"/>
        <v>4.6637200470195974E-216</v>
      </c>
      <c r="D171" s="3">
        <f t="shared" si="107"/>
        <v>0</v>
      </c>
      <c r="E171" s="3">
        <f t="shared" si="107"/>
        <v>0</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4.8504793554059844E-2</v>
      </c>
      <c r="C172" s="3">
        <f t="shared" si="108"/>
        <v>4.8499275534533877E-2</v>
      </c>
      <c r="D172" s="3">
        <f t="shared" si="108"/>
        <v>4.844412985335287E-2</v>
      </c>
      <c r="E172" s="3">
        <f t="shared" si="108"/>
        <v>4.7896109964996825E-2</v>
      </c>
      <c r="F172" s="3">
        <f t="shared" si="108"/>
        <v>4.2745565690566908E-2</v>
      </c>
      <c r="G172" s="3">
        <f t="shared" si="108"/>
        <v>1.370248499396888E-2</v>
      </c>
      <c r="H172" s="3">
        <f t="shared" si="108"/>
        <v>1.5699361789531544E-7</v>
      </c>
      <c r="I172" s="3">
        <f t="shared" si="108"/>
        <v>6.1193969367145109E-57</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1.8704275661723991E-2</v>
      </c>
      <c r="C173" s="3">
        <f t="shared" si="109"/>
        <v>1.8704083702699773E-2</v>
      </c>
      <c r="D173" s="3">
        <f t="shared" si="109"/>
        <v>1.8702164220806731E-2</v>
      </c>
      <c r="E173" s="3">
        <f t="shared" si="109"/>
        <v>1.8682980232677684E-2</v>
      </c>
      <c r="F173" s="3">
        <f t="shared" si="109"/>
        <v>1.849221933004264E-2</v>
      </c>
      <c r="G173" s="3">
        <f t="shared" si="109"/>
        <v>1.6688521054856614E-2</v>
      </c>
      <c r="H173" s="3">
        <f t="shared" si="109"/>
        <v>5.9800663512965336E-3</v>
      </c>
      <c r="I173" s="3">
        <f t="shared" si="109"/>
        <v>2.0873127201117999E-7</v>
      </c>
      <c r="J173" s="3">
        <f t="shared" si="109"/>
        <v>5.6027686504688893E-52</v>
      </c>
      <c r="K173" s="3">
        <f t="shared" si="109"/>
        <v>0</v>
      </c>
      <c r="L173" s="3">
        <f t="shared" si="109"/>
        <v>0</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3.3567133973639786E-2</v>
      </c>
      <c r="C174" s="3">
        <f t="shared" si="110"/>
        <v>3.3567102897252905E-2</v>
      </c>
      <c r="D174" s="3">
        <f t="shared" si="110"/>
        <v>3.3566792134966418E-2</v>
      </c>
      <c r="E174" s="3">
        <f t="shared" si="110"/>
        <v>3.3563684670333244E-2</v>
      </c>
      <c r="F174" s="3">
        <f t="shared" si="110"/>
        <v>3.3532625841748674E-2</v>
      </c>
      <c r="G174" s="3">
        <f t="shared" si="110"/>
        <v>3.3223613925715892E-2</v>
      </c>
      <c r="H174" s="3">
        <f t="shared" si="110"/>
        <v>3.0285863089308047E-2</v>
      </c>
      <c r="I174" s="3">
        <f t="shared" si="110"/>
        <v>1.1999711034771448E-2</v>
      </c>
      <c r="J174" s="3">
        <f t="shared" si="110"/>
        <v>1.1441398698737025E-6</v>
      </c>
      <c r="K174" s="3">
        <f t="shared" si="110"/>
        <v>7.1049730985142769E-47</v>
      </c>
      <c r="L174" s="3">
        <f t="shared" si="110"/>
        <v>0</v>
      </c>
      <c r="M174" s="3">
        <f t="shared" si="110"/>
        <v>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2.7443873502030602E-2</v>
      </c>
      <c r="C175" s="3">
        <f t="shared" si="111"/>
        <v>2.7443871210063177E-2</v>
      </c>
      <c r="D175" s="3">
        <f t="shared" si="111"/>
        <v>2.7443848290399486E-2</v>
      </c>
      <c r="E175" s="3">
        <f t="shared" si="111"/>
        <v>2.7443619094815321E-2</v>
      </c>
      <c r="F175" s="3">
        <f t="shared" si="111"/>
        <v>2.7441327244247221E-2</v>
      </c>
      <c r="G175" s="3">
        <f t="shared" si="111"/>
        <v>2.7418419262669476E-2</v>
      </c>
      <c r="H175" s="3">
        <f t="shared" si="111"/>
        <v>2.7190388612475875E-2</v>
      </c>
      <c r="I175" s="3">
        <f t="shared" si="111"/>
        <v>2.5011827853793536E-2</v>
      </c>
      <c r="J175" s="3">
        <f t="shared" si="111"/>
        <v>1.085039612245374E-2</v>
      </c>
      <c r="K175" s="3">
        <f t="shared" si="111"/>
        <v>2.5612219758913018E-6</v>
      </c>
      <c r="L175" s="3">
        <f t="shared" si="111"/>
        <v>1.3755091359097904E-42</v>
      </c>
      <c r="M175" s="3">
        <f t="shared" si="111"/>
        <v>0</v>
      </c>
      <c r="N175" s="3">
        <f t="shared" si="111"/>
        <v>0</v>
      </c>
      <c r="O175" s="3">
        <f t="shared" si="111"/>
        <v>0</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2.7096252687614675E-2</v>
      </c>
      <c r="C176" s="3">
        <f t="shared" si="112"/>
        <v>2.7096252483479015E-2</v>
      </c>
      <c r="D176" s="3">
        <f t="shared" si="112"/>
        <v>2.7096250442122521E-2</v>
      </c>
      <c r="E176" s="3">
        <f t="shared" si="112"/>
        <v>2.7096230028566048E-2</v>
      </c>
      <c r="F176" s="3">
        <f t="shared" si="112"/>
        <v>2.7096025893847141E-2</v>
      </c>
      <c r="G176" s="3">
        <f t="shared" si="112"/>
        <v>2.7093984631240051E-2</v>
      </c>
      <c r="H176" s="3">
        <f t="shared" si="112"/>
        <v>2.7073580461008103E-2</v>
      </c>
      <c r="I176" s="3">
        <f t="shared" si="112"/>
        <v>2.6870381990279638E-2</v>
      </c>
      <c r="J176" s="3">
        <f t="shared" si="112"/>
        <v>2.4920416569818495E-2</v>
      </c>
      <c r="K176" s="3">
        <f t="shared" si="112"/>
        <v>1.1731941011215243E-2</v>
      </c>
      <c r="L176" s="3">
        <f t="shared" si="112"/>
        <v>6.2735823062131189E-6</v>
      </c>
      <c r="M176" s="3">
        <f t="shared" si="112"/>
        <v>1.1994244411535048E-38</v>
      </c>
      <c r="N176" s="3">
        <f t="shared" si="112"/>
        <v>0</v>
      </c>
      <c r="O176" s="3">
        <f t="shared" si="112"/>
        <v>0</v>
      </c>
      <c r="P176" s="3">
        <f t="shared" si="112"/>
        <v>0</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3.4309182591395072E-2</v>
      </c>
      <c r="C177" s="3">
        <f t="shared" si="113"/>
        <v>3.4309182568078397E-2</v>
      </c>
      <c r="D177" s="3">
        <f t="shared" si="113"/>
        <v>3.4309182334911655E-2</v>
      </c>
      <c r="E177" s="3">
        <f t="shared" si="113"/>
        <v>3.4309180003244344E-2</v>
      </c>
      <c r="F177" s="3">
        <f t="shared" si="113"/>
        <v>3.4309156686579918E-2</v>
      </c>
      <c r="G177" s="3">
        <f t="shared" si="113"/>
        <v>3.4308923520807222E-2</v>
      </c>
      <c r="H177" s="3">
        <f t="shared" si="113"/>
        <v>3.4306591950231467E-2</v>
      </c>
      <c r="I177" s="3">
        <f t="shared" si="113"/>
        <v>3.4283284957403196E-2</v>
      </c>
      <c r="J177" s="3">
        <f t="shared" si="113"/>
        <v>3.4051084135131651E-2</v>
      </c>
      <c r="K177" s="3">
        <f t="shared" si="113"/>
        <v>3.1813840274308142E-2</v>
      </c>
      <c r="L177" s="3">
        <f t="shared" si="113"/>
        <v>1.6123808144888695E-2</v>
      </c>
      <c r="M177" s="3">
        <f t="shared" si="113"/>
        <v>1.8029466576565926E-5</v>
      </c>
      <c r="N177" s="3">
        <f t="shared" si="113"/>
        <v>5.5097949505778957E-35</v>
      </c>
      <c r="O177" s="3">
        <f t="shared" si="113"/>
        <v>0</v>
      </c>
      <c r="P177" s="3">
        <f t="shared" si="113"/>
        <v>0</v>
      </c>
      <c r="Q177" s="3">
        <f t="shared" si="113"/>
        <v>0</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4.0815760598747468E-2</v>
      </c>
      <c r="C178" s="3">
        <f t="shared" si="114"/>
        <v>4.0815760596245219E-2</v>
      </c>
      <c r="D178" s="3">
        <f t="shared" si="114"/>
        <v>4.0815760571222715E-2</v>
      </c>
      <c r="E178" s="3">
        <f t="shared" si="114"/>
        <v>4.0815760320997707E-2</v>
      </c>
      <c r="F178" s="3">
        <f t="shared" si="114"/>
        <v>4.0815757818747696E-2</v>
      </c>
      <c r="G178" s="3">
        <f t="shared" si="114"/>
        <v>4.0815732796256013E-2</v>
      </c>
      <c r="H178" s="3">
        <f t="shared" si="114"/>
        <v>4.0815482572182857E-2</v>
      </c>
      <c r="I178" s="3">
        <f t="shared" si="114"/>
        <v>4.0812980415820856E-2</v>
      </c>
      <c r="J178" s="3">
        <f t="shared" si="114"/>
        <v>4.0787967287233558E-2</v>
      </c>
      <c r="K178" s="3">
        <f t="shared" si="114"/>
        <v>4.0538677594437585E-2</v>
      </c>
      <c r="L178" s="3">
        <f t="shared" si="114"/>
        <v>3.81280618717788E-2</v>
      </c>
      <c r="M178" s="3">
        <f t="shared" si="114"/>
        <v>2.065362330720686E-2</v>
      </c>
      <c r="N178" s="3">
        <f t="shared" si="114"/>
        <v>4.4927419301061244E-5</v>
      </c>
      <c r="O178" s="3">
        <f t="shared" si="114"/>
        <v>1.0657704683873679E-31</v>
      </c>
      <c r="P178" s="3">
        <f t="shared" si="114"/>
        <v>6.0143095317578973E-298</v>
      </c>
      <c r="Q178" s="3">
        <f t="shared" si="114"/>
        <v>0</v>
      </c>
      <c r="R178" s="3">
        <f t="shared" si="114"/>
        <v>0</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3.8220700834147539E-2</v>
      </c>
      <c r="C179" s="3">
        <f t="shared" si="115"/>
        <v>3.8220700833936173E-2</v>
      </c>
      <c r="D179" s="3">
        <f t="shared" si="115"/>
        <v>3.8220700831822448E-2</v>
      </c>
      <c r="E179" s="3">
        <f t="shared" si="115"/>
        <v>3.8220700810685217E-2</v>
      </c>
      <c r="F179" s="3">
        <f t="shared" si="115"/>
        <v>3.8220700599312922E-2</v>
      </c>
      <c r="G179" s="3">
        <f t="shared" si="115"/>
        <v>3.8220698485590059E-2</v>
      </c>
      <c r="H179" s="3">
        <f t="shared" si="115"/>
        <v>3.8220677348367871E-2</v>
      </c>
      <c r="I179" s="3">
        <f t="shared" si="115"/>
        <v>3.8220465976788832E-2</v>
      </c>
      <c r="J179" s="3">
        <f t="shared" si="115"/>
        <v>3.8218352325289487E-2</v>
      </c>
      <c r="K179" s="3">
        <f t="shared" si="115"/>
        <v>3.8197222238082335E-2</v>
      </c>
      <c r="L179" s="3">
        <f t="shared" si="115"/>
        <v>3.7986562831316635E-2</v>
      </c>
      <c r="M179" s="3">
        <f t="shared" si="115"/>
        <v>3.5942821909310085E-2</v>
      </c>
      <c r="N179" s="3">
        <f t="shared" si="115"/>
        <v>2.0674446635830148E-2</v>
      </c>
      <c r="O179" s="3">
        <f t="shared" si="115"/>
        <v>8.1969281086000938E-5</v>
      </c>
      <c r="P179" s="3">
        <f t="shared" si="115"/>
        <v>7.8672589467636957E-29</v>
      </c>
      <c r="Q179" s="3">
        <f t="shared" si="115"/>
        <v>5.2185113659960258E-269</v>
      </c>
      <c r="R179" s="3">
        <f t="shared" si="115"/>
        <v>0</v>
      </c>
      <c r="S179" s="3">
        <f t="shared" si="115"/>
        <v>0</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2.8050318372558856E-2</v>
      </c>
      <c r="C180" s="3">
        <f t="shared" si="116"/>
        <v>2.8050318372544861E-2</v>
      </c>
      <c r="D180" s="3">
        <f t="shared" si="116"/>
        <v>2.8050318372404924E-2</v>
      </c>
      <c r="E180" s="3">
        <f t="shared" si="116"/>
        <v>2.805031837100555E-2</v>
      </c>
      <c r="F180" s="3">
        <f t="shared" si="116"/>
        <v>2.805031835701181E-2</v>
      </c>
      <c r="G180" s="3">
        <f t="shared" si="116"/>
        <v>2.8050318217074412E-2</v>
      </c>
      <c r="H180" s="3">
        <f t="shared" si="116"/>
        <v>2.8050316817700458E-2</v>
      </c>
      <c r="I180" s="3">
        <f t="shared" si="116"/>
        <v>2.8050302823964771E-2</v>
      </c>
      <c r="J180" s="3">
        <f t="shared" si="116"/>
        <v>2.8050162886991872E-2</v>
      </c>
      <c r="K180" s="3">
        <f t="shared" si="116"/>
        <v>2.8048763555658645E-2</v>
      </c>
      <c r="L180" s="3">
        <f t="shared" si="116"/>
        <v>2.8034774081196551E-2</v>
      </c>
      <c r="M180" s="3">
        <f t="shared" si="116"/>
        <v>2.7895262515937158E-2</v>
      </c>
      <c r="N180" s="3">
        <f t="shared" si="116"/>
        <v>2.6537766844914084E-2</v>
      </c>
      <c r="O180" s="3">
        <f t="shared" si="116"/>
        <v>1.611400846906353E-2</v>
      </c>
      <c r="P180" s="3">
        <f t="shared" si="116"/>
        <v>1.0979832670585522E-4</v>
      </c>
      <c r="Q180" s="3">
        <f t="shared" si="116"/>
        <v>2.3687381925047448E-26</v>
      </c>
      <c r="R180" s="3">
        <f t="shared" si="116"/>
        <v>5.1728569766639655E-243</v>
      </c>
      <c r="S180" s="3">
        <f t="shared" si="116"/>
        <v>0</v>
      </c>
      <c r="T180" s="3">
        <f t="shared" si="116"/>
        <v>0</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2.8871537480058603E-2</v>
      </c>
      <c r="C181" s="3">
        <f t="shared" si="117"/>
        <v>2.8871537480057306E-2</v>
      </c>
      <c r="D181" s="3">
        <f t="shared" si="117"/>
        <v>2.8871537480044313E-2</v>
      </c>
      <c r="E181" s="3">
        <f t="shared" si="117"/>
        <v>2.8871537479914382E-2</v>
      </c>
      <c r="F181" s="3">
        <f t="shared" si="117"/>
        <v>2.8871537478615074E-2</v>
      </c>
      <c r="G181" s="3">
        <f t="shared" si="117"/>
        <v>2.8871537465621978E-2</v>
      </c>
      <c r="H181" s="3">
        <f t="shared" si="117"/>
        <v>2.8871537335691061E-2</v>
      </c>
      <c r="I181" s="3">
        <f t="shared" si="117"/>
        <v>2.8871536036381918E-2</v>
      </c>
      <c r="J181" s="3">
        <f t="shared" si="117"/>
        <v>2.8871523043293691E-2</v>
      </c>
      <c r="K181" s="3">
        <f t="shared" si="117"/>
        <v>2.887139311273302E-2</v>
      </c>
      <c r="L181" s="3">
        <f t="shared" si="117"/>
        <v>2.8870093839285838E-2</v>
      </c>
      <c r="M181" s="3">
        <f t="shared" si="117"/>
        <v>2.8857104320232065E-2</v>
      </c>
      <c r="N181" s="3">
        <f t="shared" si="117"/>
        <v>2.8727530136738188E-2</v>
      </c>
      <c r="O181" s="3">
        <f t="shared" si="117"/>
        <v>2.7463360865746488E-2</v>
      </c>
      <c r="P181" s="3">
        <f t="shared" si="117"/>
        <v>1.7510866198646339E-2</v>
      </c>
      <c r="Q181" s="3">
        <f t="shared" si="117"/>
        <v>1.9446752641825031E-4</v>
      </c>
      <c r="R181" s="3">
        <f t="shared" si="117"/>
        <v>5.5493446154742238E-24</v>
      </c>
      <c r="S181" s="3">
        <f t="shared" si="117"/>
        <v>1.9869537061406445E-219</v>
      </c>
      <c r="T181" s="3">
        <f t="shared" si="117"/>
        <v>0</v>
      </c>
      <c r="U181" s="3">
        <f t="shared" si="117"/>
        <v>0</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3.0036426105565301E-2</v>
      </c>
      <c r="C182" s="3">
        <f t="shared" si="118"/>
        <v>3.003642610556518E-2</v>
      </c>
      <c r="D182" s="3">
        <f t="shared" si="118"/>
        <v>3.0036426105563962E-2</v>
      </c>
      <c r="E182" s="3">
        <f t="shared" si="118"/>
        <v>3.0036426105551767E-2</v>
      </c>
      <c r="F182" s="3">
        <f t="shared" si="118"/>
        <v>3.003642610542983E-2</v>
      </c>
      <c r="G182" s="3">
        <f t="shared" si="118"/>
        <v>3.0036426104210454E-2</v>
      </c>
      <c r="H182" s="3">
        <f t="shared" si="118"/>
        <v>3.0036426092016698E-2</v>
      </c>
      <c r="I182" s="3">
        <f t="shared" si="118"/>
        <v>3.0036425970079158E-2</v>
      </c>
      <c r="J182" s="3">
        <f t="shared" si="118"/>
        <v>3.0036424750703748E-2</v>
      </c>
      <c r="K182" s="3">
        <f t="shared" si="118"/>
        <v>3.0036412556952389E-2</v>
      </c>
      <c r="L182" s="3">
        <f t="shared" si="118"/>
        <v>3.0036290619711081E-2</v>
      </c>
      <c r="M182" s="3">
        <f t="shared" si="118"/>
        <v>3.0035071274523904E-2</v>
      </c>
      <c r="N182" s="3">
        <f t="shared" si="118"/>
        <v>3.0022880544832101E-2</v>
      </c>
      <c r="O182" s="3">
        <f t="shared" si="118"/>
        <v>2.9901245057466094E-2</v>
      </c>
      <c r="P182" s="3">
        <f t="shared" si="118"/>
        <v>2.871166725690491E-2</v>
      </c>
      <c r="Q182" s="3">
        <f t="shared" si="118"/>
        <v>1.9131534799022576E-2</v>
      </c>
      <c r="R182" s="3">
        <f t="shared" si="118"/>
        <v>3.3011389892694773E-4</v>
      </c>
      <c r="S182" s="3">
        <f t="shared" si="118"/>
        <v>7.7233157345121026E-22</v>
      </c>
      <c r="T182" s="3">
        <f t="shared" si="118"/>
        <v>3.7949283799482383E-198</v>
      </c>
      <c r="U182" s="3">
        <f t="shared" si="118"/>
        <v>0</v>
      </c>
      <c r="V182" s="3">
        <f t="shared" si="118"/>
        <v>0</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2.6672376514959441E-2</v>
      </c>
      <c r="C183" s="3">
        <f t="shared" si="119"/>
        <v>2.667237651495943E-2</v>
      </c>
      <c r="D183" s="3">
        <f t="shared" si="119"/>
        <v>2.667237651495933E-2</v>
      </c>
      <c r="E183" s="3">
        <f t="shared" si="119"/>
        <v>2.6672376514958355E-2</v>
      </c>
      <c r="F183" s="3">
        <f t="shared" si="119"/>
        <v>2.6672376514948588E-2</v>
      </c>
      <c r="G183" s="3">
        <f t="shared" si="119"/>
        <v>2.667237651485091E-2</v>
      </c>
      <c r="H183" s="3">
        <f t="shared" si="119"/>
        <v>2.6672376513874128E-2</v>
      </c>
      <c r="I183" s="3">
        <f t="shared" si="119"/>
        <v>2.6672376504106313E-2</v>
      </c>
      <c r="J183" s="3">
        <f t="shared" si="119"/>
        <v>2.6672376406428149E-2</v>
      </c>
      <c r="K183" s="3">
        <f t="shared" si="119"/>
        <v>2.6672375429646525E-2</v>
      </c>
      <c r="L183" s="3">
        <f t="shared" si="119"/>
        <v>2.6672365661832256E-2</v>
      </c>
      <c r="M183" s="3">
        <f t="shared" si="119"/>
        <v>2.6672267983886333E-2</v>
      </c>
      <c r="N183" s="3">
        <f t="shared" si="119"/>
        <v>2.6671291224100946E-2</v>
      </c>
      <c r="O183" s="3">
        <f t="shared" si="119"/>
        <v>2.6661525593365817E-2</v>
      </c>
      <c r="P183" s="3">
        <f t="shared" si="119"/>
        <v>2.656406573160483E-2</v>
      </c>
      <c r="Q183" s="3">
        <f t="shared" si="119"/>
        <v>2.5608848077680553E-2</v>
      </c>
      <c r="R183" s="3">
        <f t="shared" si="119"/>
        <v>1.7755995197054123E-2</v>
      </c>
      <c r="S183" s="3">
        <f t="shared" si="119"/>
        <v>4.5592643154190139E-4</v>
      </c>
      <c r="T183" s="3">
        <f t="shared" si="119"/>
        <v>5.6805748358992847E-20</v>
      </c>
      <c r="U183" s="3">
        <f t="shared" si="119"/>
        <v>5.1211493053040291E-179</v>
      </c>
      <c r="V183" s="3">
        <f t="shared" si="119"/>
        <v>0</v>
      </c>
      <c r="W183" s="3">
        <f t="shared" si="119"/>
        <v>0</v>
      </c>
      <c r="X183" s="3">
        <f t="shared" si="119"/>
        <v>0</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2.9125900591015351E-2</v>
      </c>
      <c r="C184" s="3">
        <f t="shared" si="120"/>
        <v>2.9125900591015351E-2</v>
      </c>
      <c r="D184" s="3">
        <f t="shared" si="120"/>
        <v>2.9125900591015341E-2</v>
      </c>
      <c r="E184" s="3">
        <f t="shared" si="120"/>
        <v>2.9125900591015243E-2</v>
      </c>
      <c r="F184" s="3">
        <f t="shared" si="120"/>
        <v>2.9125900591014279E-2</v>
      </c>
      <c r="G184" s="3">
        <f t="shared" si="120"/>
        <v>2.9125900591004662E-2</v>
      </c>
      <c r="H184" s="3">
        <f t="shared" si="120"/>
        <v>2.912590059090844E-2</v>
      </c>
      <c r="I184" s="3">
        <f t="shared" si="120"/>
        <v>2.9125900589946251E-2</v>
      </c>
      <c r="J184" s="3">
        <f t="shared" si="120"/>
        <v>2.912590058032433E-2</v>
      </c>
      <c r="K184" s="3">
        <f t="shared" si="120"/>
        <v>2.9125900484105131E-2</v>
      </c>
      <c r="L184" s="3">
        <f t="shared" si="120"/>
        <v>2.9125899521913176E-2</v>
      </c>
      <c r="M184" s="3">
        <f t="shared" si="120"/>
        <v>2.9125889899995358E-2</v>
      </c>
      <c r="N184" s="3">
        <f t="shared" si="120"/>
        <v>2.9125793680992017E-2</v>
      </c>
      <c r="O184" s="3">
        <f t="shared" si="120"/>
        <v>2.9124831508440998E-2</v>
      </c>
      <c r="P184" s="3">
        <f t="shared" si="120"/>
        <v>2.9115211530956479E-2</v>
      </c>
      <c r="Q184" s="3">
        <f t="shared" si="120"/>
        <v>2.9019186345203025E-2</v>
      </c>
      <c r="R184" s="3">
        <f t="shared" si="120"/>
        <v>2.8076181866136377E-2</v>
      </c>
      <c r="S184" s="3">
        <f t="shared" si="120"/>
        <v>2.0177446443659052E-2</v>
      </c>
      <c r="T184" s="3">
        <f t="shared" si="120"/>
        <v>7.4156251111329099E-4</v>
      </c>
      <c r="U184" s="3">
        <f t="shared" si="120"/>
        <v>3.3339831301198946E-18</v>
      </c>
      <c r="V184" s="3">
        <f t="shared" si="120"/>
        <v>1.1249150151346499E-161</v>
      </c>
      <c r="W184" s="3">
        <f t="shared" si="120"/>
        <v>0</v>
      </c>
      <c r="X184" s="3">
        <f t="shared" si="120"/>
        <v>0</v>
      </c>
      <c r="Y184" s="3">
        <f t="shared" si="120"/>
        <v>0</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3.443427503760723E-2</v>
      </c>
      <c r="C185" s="3">
        <f t="shared" si="121"/>
        <v>3.443427503760723E-2</v>
      </c>
      <c r="D185" s="3">
        <f t="shared" si="121"/>
        <v>3.443427503760723E-2</v>
      </c>
      <c r="E185" s="3">
        <f t="shared" si="121"/>
        <v>3.4434275037607216E-2</v>
      </c>
      <c r="F185" s="3">
        <f t="shared" si="121"/>
        <v>3.4434275037607112E-2</v>
      </c>
      <c r="G185" s="3">
        <f t="shared" si="121"/>
        <v>3.4434275037606092E-2</v>
      </c>
      <c r="H185" s="3">
        <f t="shared" si="121"/>
        <v>3.443427503759583E-2</v>
      </c>
      <c r="I185" s="3">
        <f t="shared" si="121"/>
        <v>3.443427503749321E-2</v>
      </c>
      <c r="J185" s="3">
        <f t="shared" si="121"/>
        <v>3.4434275036467038E-2</v>
      </c>
      <c r="K185" s="3">
        <f t="shared" si="121"/>
        <v>3.4434275026205323E-2</v>
      </c>
      <c r="L185" s="3">
        <f t="shared" si="121"/>
        <v>3.4434274923588186E-2</v>
      </c>
      <c r="M185" s="3">
        <f t="shared" si="121"/>
        <v>3.4434273897416816E-2</v>
      </c>
      <c r="N185" s="3">
        <f t="shared" si="121"/>
        <v>3.4434263635704766E-2</v>
      </c>
      <c r="O185" s="3">
        <f t="shared" si="121"/>
        <v>3.4434161018752497E-2</v>
      </c>
      <c r="P185" s="3">
        <f t="shared" si="121"/>
        <v>3.4433134866049021E-2</v>
      </c>
      <c r="Q185" s="3">
        <f t="shared" si="121"/>
        <v>3.4422875020752287E-2</v>
      </c>
      <c r="R185" s="3">
        <f t="shared" si="121"/>
        <v>3.4320444556301705E-2</v>
      </c>
      <c r="S185" s="3">
        <f t="shared" si="121"/>
        <v>3.3312755001174053E-2</v>
      </c>
      <c r="T185" s="3">
        <f t="shared" si="121"/>
        <v>2.4727887264521027E-2</v>
      </c>
      <c r="U185" s="3">
        <f t="shared" si="121"/>
        <v>1.2558900653362817E-3</v>
      </c>
      <c r="V185" s="3">
        <f t="shared" si="121"/>
        <v>1.4341604901403046E-16</v>
      </c>
      <c r="W185" s="3">
        <f t="shared" si="121"/>
        <v>5.4082784438551264E-146</v>
      </c>
      <c r="X185" s="3">
        <f t="shared" si="121"/>
        <v>0</v>
      </c>
      <c r="Y185" s="3">
        <f t="shared" si="121"/>
        <v>0</v>
      </c>
      <c r="Z185" s="3">
        <f t="shared" si="121"/>
        <v>0</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4.2428216345217838E-2</v>
      </c>
      <c r="C186" s="3">
        <f t="shared" si="122"/>
        <v>4.2428216345217838E-2</v>
      </c>
      <c r="D186" s="3">
        <f t="shared" si="122"/>
        <v>4.2428216345217838E-2</v>
      </c>
      <c r="E186" s="3">
        <f t="shared" si="122"/>
        <v>4.2428216345217838E-2</v>
      </c>
      <c r="F186" s="3">
        <f t="shared" si="122"/>
        <v>4.2428216345217824E-2</v>
      </c>
      <c r="G186" s="3">
        <f t="shared" si="122"/>
        <v>4.2428216345217713E-2</v>
      </c>
      <c r="H186" s="3">
        <f t="shared" si="122"/>
        <v>4.2428216345216568E-2</v>
      </c>
      <c r="I186" s="3">
        <f t="shared" si="122"/>
        <v>4.2428216345205168E-2</v>
      </c>
      <c r="J186" s="3">
        <f t="shared" si="122"/>
        <v>4.2428216345091106E-2</v>
      </c>
      <c r="K186" s="3">
        <f t="shared" si="122"/>
        <v>4.2428216343950512E-2</v>
      </c>
      <c r="L186" s="3">
        <f t="shared" si="122"/>
        <v>4.2428216332544594E-2</v>
      </c>
      <c r="M186" s="3">
        <f t="shared" si="122"/>
        <v>4.2428216218485394E-2</v>
      </c>
      <c r="N186" s="3">
        <f t="shared" si="122"/>
        <v>4.2428215077893405E-2</v>
      </c>
      <c r="O186" s="3">
        <f t="shared" si="122"/>
        <v>4.2428203671975188E-2</v>
      </c>
      <c r="P186" s="3">
        <f t="shared" si="122"/>
        <v>4.2428089612961697E-2</v>
      </c>
      <c r="Q186" s="3">
        <f t="shared" si="122"/>
        <v>4.2426949039690888E-2</v>
      </c>
      <c r="R186" s="3">
        <f t="shared" si="122"/>
        <v>4.2415544993227403E-2</v>
      </c>
      <c r="S186" s="3">
        <f t="shared" si="122"/>
        <v>4.2301672985446258E-2</v>
      </c>
      <c r="T186" s="3">
        <f t="shared" si="122"/>
        <v>4.1179632232755302E-2</v>
      </c>
      <c r="U186" s="3">
        <f t="shared" si="122"/>
        <v>3.1472530622507489E-2</v>
      </c>
      <c r="V186" s="3">
        <f t="shared" si="122"/>
        <v>2.140048794203383E-3</v>
      </c>
      <c r="W186" s="3">
        <f t="shared" si="122"/>
        <v>4.5221377124043796E-15</v>
      </c>
      <c r="X186" s="3">
        <f t="shared" si="122"/>
        <v>8.0268447892382829E-132</v>
      </c>
      <c r="Y186" s="3">
        <f t="shared" si="122"/>
        <v>0</v>
      </c>
      <c r="Z186" s="3">
        <f t="shared" si="122"/>
        <v>0</v>
      </c>
      <c r="AA186" s="3">
        <f t="shared" si="122"/>
        <v>0</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4.683073576792781E-2</v>
      </c>
      <c r="C187" s="3">
        <f t="shared" si="123"/>
        <v>4.683073576792781E-2</v>
      </c>
      <c r="D187" s="3">
        <f t="shared" si="123"/>
        <v>4.683073576792781E-2</v>
      </c>
      <c r="E187" s="3">
        <f t="shared" si="123"/>
        <v>4.683073576792781E-2</v>
      </c>
      <c r="F187" s="3">
        <f t="shared" si="123"/>
        <v>4.683073576792781E-2</v>
      </c>
      <c r="G187" s="3">
        <f t="shared" si="123"/>
        <v>4.6830735767927803E-2</v>
      </c>
      <c r="H187" s="3">
        <f t="shared" si="123"/>
        <v>4.6830735767927685E-2</v>
      </c>
      <c r="I187" s="3">
        <f t="shared" si="123"/>
        <v>4.6830735767926547E-2</v>
      </c>
      <c r="J187" s="3">
        <f t="shared" si="123"/>
        <v>4.6830735767915188E-2</v>
      </c>
      <c r="K187" s="3">
        <f t="shared" si="123"/>
        <v>4.6830735767801626E-2</v>
      </c>
      <c r="L187" s="3">
        <f t="shared" si="123"/>
        <v>4.6830735766665951E-2</v>
      </c>
      <c r="M187" s="3">
        <f t="shared" si="123"/>
        <v>4.6830735755309223E-2</v>
      </c>
      <c r="N187" s="3">
        <f t="shared" si="123"/>
        <v>4.683073564174197E-2</v>
      </c>
      <c r="O187" s="3">
        <f t="shared" si="123"/>
        <v>4.6830734506069456E-2</v>
      </c>
      <c r="P187" s="3">
        <f t="shared" si="123"/>
        <v>4.6830723149345818E-2</v>
      </c>
      <c r="Q187" s="3">
        <f t="shared" si="123"/>
        <v>4.6830609582260915E-2</v>
      </c>
      <c r="R187" s="3">
        <f t="shared" si="123"/>
        <v>4.6829473926559124E-2</v>
      </c>
      <c r="S187" s="3">
        <f t="shared" si="123"/>
        <v>4.6818118884129671E-2</v>
      </c>
      <c r="T187" s="3">
        <f t="shared" si="123"/>
        <v>4.670471978287364E-2</v>
      </c>
      <c r="U187" s="3">
        <f t="shared" si="123"/>
        <v>4.5585726172563894E-2</v>
      </c>
      <c r="V187" s="3">
        <f t="shared" si="123"/>
        <v>3.5769259059392003E-2</v>
      </c>
      <c r="W187" s="3">
        <f t="shared" si="123"/>
        <v>3.1646130197994712E-3</v>
      </c>
      <c r="X187" s="3">
        <f t="shared" si="123"/>
        <v>9.298807880465897E-14</v>
      </c>
      <c r="Y187" s="3">
        <f t="shared" si="123"/>
        <v>4.4616337811345312E-119</v>
      </c>
      <c r="Z187" s="3">
        <f t="shared" si="123"/>
        <v>0</v>
      </c>
      <c r="AA187" s="3">
        <f t="shared" si="123"/>
        <v>0</v>
      </c>
      <c r="AB187" s="3">
        <f t="shared" si="123"/>
        <v>0</v>
      </c>
      <c r="AC187" s="3">
        <f t="shared" si="123"/>
        <v>0</v>
      </c>
      <c r="AD187" s="3">
        <f t="shared" si="123"/>
        <v>0</v>
      </c>
      <c r="AE187" s="3">
        <f t="shared" si="123"/>
        <v>0</v>
      </c>
      <c r="AF187" s="3">
        <f t="shared" si="123"/>
        <v>0</v>
      </c>
      <c r="AG187" s="3"/>
      <c r="AH187" s="3"/>
    </row>
    <row r="188" spans="2:34" x14ac:dyDescent="0.25">
      <c r="B188" s="3">
        <f t="shared" ref="B188:AF188" si="124">$C35*EXP(-B$168/$A35/EXP(-$C$126))</f>
        <v>5.2334789148442605E-2</v>
      </c>
      <c r="C188" s="3">
        <f t="shared" si="124"/>
        <v>5.2334789148442605E-2</v>
      </c>
      <c r="D188" s="3">
        <f t="shared" si="124"/>
        <v>5.2334789148442605E-2</v>
      </c>
      <c r="E188" s="3">
        <f t="shared" si="124"/>
        <v>5.2334789148442605E-2</v>
      </c>
      <c r="F188" s="3">
        <f t="shared" si="124"/>
        <v>5.2334789148442605E-2</v>
      </c>
      <c r="G188" s="3">
        <f t="shared" si="124"/>
        <v>5.2334789148442605E-2</v>
      </c>
      <c r="H188" s="3">
        <f t="shared" si="124"/>
        <v>5.2334789148442591E-2</v>
      </c>
      <c r="I188" s="3">
        <f t="shared" si="124"/>
        <v>5.233478914844248E-2</v>
      </c>
      <c r="J188" s="3">
        <f t="shared" si="124"/>
        <v>5.2334789148441335E-2</v>
      </c>
      <c r="K188" s="3">
        <f t="shared" si="124"/>
        <v>5.2334789148429886E-2</v>
      </c>
      <c r="L188" s="3">
        <f t="shared" si="124"/>
        <v>5.2334789148315394E-2</v>
      </c>
      <c r="M188" s="3">
        <f t="shared" si="124"/>
        <v>5.2334789147170518E-2</v>
      </c>
      <c r="N188" s="3">
        <f t="shared" si="124"/>
        <v>5.2334789135721739E-2</v>
      </c>
      <c r="O188" s="3">
        <f t="shared" si="124"/>
        <v>5.2334789021233938E-2</v>
      </c>
      <c r="P188" s="3">
        <f t="shared" si="124"/>
        <v>5.2334787876355954E-2</v>
      </c>
      <c r="Q188" s="3">
        <f t="shared" si="124"/>
        <v>5.2334776427577473E-2</v>
      </c>
      <c r="R188" s="3">
        <f t="shared" si="124"/>
        <v>5.233466193993043E-2</v>
      </c>
      <c r="S188" s="3">
        <f t="shared" si="124"/>
        <v>5.2333517077234777E-2</v>
      </c>
      <c r="T188" s="3">
        <f t="shared" si="124"/>
        <v>5.2322069827651363E-2</v>
      </c>
      <c r="U188" s="3">
        <f t="shared" si="124"/>
        <v>5.2207734957698711E-2</v>
      </c>
      <c r="V188" s="3">
        <f t="shared" si="124"/>
        <v>5.107803809891133E-2</v>
      </c>
      <c r="W188" s="3">
        <f t="shared" si="124"/>
        <v>4.1041929321543838E-2</v>
      </c>
      <c r="X188" s="3">
        <f t="shared" si="124"/>
        <v>4.6042974489883728E-3</v>
      </c>
      <c r="Y188" s="3">
        <f t="shared" si="124"/>
        <v>1.4538493766787586E-12</v>
      </c>
      <c r="Z188" s="3">
        <f t="shared" si="124"/>
        <v>1.4324512044520046E-107</v>
      </c>
      <c r="AA188" s="3">
        <f t="shared" si="124"/>
        <v>0</v>
      </c>
      <c r="AB188" s="3">
        <f t="shared" si="124"/>
        <v>0</v>
      </c>
      <c r="AC188" s="3">
        <f t="shared" si="124"/>
        <v>0</v>
      </c>
      <c r="AD188" s="3">
        <f t="shared" si="124"/>
        <v>0</v>
      </c>
      <c r="AE188" s="3">
        <f t="shared" si="124"/>
        <v>0</v>
      </c>
      <c r="AF188" s="3">
        <f t="shared" si="124"/>
        <v>0</v>
      </c>
      <c r="AG188" s="3"/>
      <c r="AH188" s="3"/>
    </row>
    <row r="189" spans="2:34" x14ac:dyDescent="0.25">
      <c r="B189" s="3">
        <f t="shared" ref="B189:AF189" si="125">$C36*EXP(-B$168/$A36/EXP(-$C$126))</f>
        <v>5.1279668394799138E-2</v>
      </c>
      <c r="C189" s="3">
        <f t="shared" si="125"/>
        <v>5.1279668394799138E-2</v>
      </c>
      <c r="D189" s="3">
        <f t="shared" si="125"/>
        <v>5.1279668394799138E-2</v>
      </c>
      <c r="E189" s="3">
        <f t="shared" si="125"/>
        <v>5.1279668394799138E-2</v>
      </c>
      <c r="F189" s="3">
        <f t="shared" si="125"/>
        <v>5.1279668394799138E-2</v>
      </c>
      <c r="G189" s="3">
        <f t="shared" si="125"/>
        <v>5.1279668394799138E-2</v>
      </c>
      <c r="H189" s="3">
        <f t="shared" si="125"/>
        <v>5.1279668394799138E-2</v>
      </c>
      <c r="I189" s="3">
        <f t="shared" si="125"/>
        <v>5.1279668394799124E-2</v>
      </c>
      <c r="J189" s="3">
        <f t="shared" si="125"/>
        <v>5.1279668394799027E-2</v>
      </c>
      <c r="K189" s="3">
        <f t="shared" si="125"/>
        <v>5.1279668394798014E-2</v>
      </c>
      <c r="L189" s="3">
        <f t="shared" si="125"/>
        <v>5.1279668394787897E-2</v>
      </c>
      <c r="M189" s="3">
        <f t="shared" si="125"/>
        <v>5.12796683946867E-2</v>
      </c>
      <c r="N189" s="3">
        <f t="shared" si="125"/>
        <v>5.1279668393674746E-2</v>
      </c>
      <c r="O189" s="3">
        <f t="shared" si="125"/>
        <v>5.1279668383555216E-2</v>
      </c>
      <c r="P189" s="3">
        <f t="shared" si="125"/>
        <v>5.1279668282359865E-2</v>
      </c>
      <c r="Q189" s="3">
        <f t="shared" si="125"/>
        <v>5.1279667270406441E-2</v>
      </c>
      <c r="R189" s="3">
        <f t="shared" si="125"/>
        <v>5.1279657150873265E-2</v>
      </c>
      <c r="S189" s="3">
        <f t="shared" si="125"/>
        <v>5.1279555955651396E-2</v>
      </c>
      <c r="T189" s="3">
        <f t="shared" si="125"/>
        <v>5.1278544014415998E-2</v>
      </c>
      <c r="U189" s="3">
        <f t="shared" si="125"/>
        <v>5.1268425700317338E-2</v>
      </c>
      <c r="V189" s="3">
        <f t="shared" si="125"/>
        <v>5.1167352304713455E-2</v>
      </c>
      <c r="W189" s="3">
        <f t="shared" si="125"/>
        <v>5.0167513176667906E-2</v>
      </c>
      <c r="X189" s="3">
        <f t="shared" si="125"/>
        <v>4.1183083568307945E-2</v>
      </c>
      <c r="Y189" s="3">
        <f t="shared" si="125"/>
        <v>5.7237642584317986E-3</v>
      </c>
      <c r="Z189" s="3">
        <f t="shared" si="125"/>
        <v>1.5392547804835483E-11</v>
      </c>
      <c r="AA189" s="3">
        <f t="shared" si="125"/>
        <v>3.0450767098199244E-97</v>
      </c>
      <c r="AB189" s="3">
        <f t="shared" si="125"/>
        <v>0</v>
      </c>
      <c r="AC189" s="3">
        <f t="shared" si="125"/>
        <v>0</v>
      </c>
      <c r="AD189" s="3">
        <f t="shared" si="125"/>
        <v>0</v>
      </c>
      <c r="AE189" s="3">
        <f t="shared" si="125"/>
        <v>0</v>
      </c>
      <c r="AF189" s="3">
        <f t="shared" si="125"/>
        <v>0</v>
      </c>
      <c r="AG189" s="3"/>
      <c r="AH189" s="3"/>
    </row>
    <row r="190" spans="2:34" x14ac:dyDescent="0.25">
      <c r="B190" s="3">
        <f t="shared" ref="B190:AF190" si="126">$C37*EXP(-B$168/$A37/EXP(-$C$126))</f>
        <v>6.7593769214043364E-2</v>
      </c>
      <c r="C190" s="3">
        <f t="shared" si="126"/>
        <v>6.7593769214043364E-2</v>
      </c>
      <c r="D190" s="3">
        <f t="shared" si="126"/>
        <v>6.7593769214043364E-2</v>
      </c>
      <c r="E190" s="3">
        <f t="shared" si="126"/>
        <v>6.7593769214043364E-2</v>
      </c>
      <c r="F190" s="3">
        <f t="shared" si="126"/>
        <v>6.7593769214043364E-2</v>
      </c>
      <c r="G190" s="3">
        <f t="shared" si="126"/>
        <v>6.7593769214043364E-2</v>
      </c>
      <c r="H190" s="3">
        <f t="shared" si="126"/>
        <v>6.7593769214043364E-2</v>
      </c>
      <c r="I190" s="3">
        <f t="shared" si="126"/>
        <v>6.7593769214043364E-2</v>
      </c>
      <c r="J190" s="3">
        <f t="shared" si="126"/>
        <v>6.759376921404335E-2</v>
      </c>
      <c r="K190" s="3">
        <f t="shared" si="126"/>
        <v>6.7593769214043226E-2</v>
      </c>
      <c r="L190" s="3">
        <f t="shared" si="126"/>
        <v>6.7593769214042032E-2</v>
      </c>
      <c r="M190" s="3">
        <f t="shared" si="126"/>
        <v>6.7593769214029986E-2</v>
      </c>
      <c r="N190" s="3">
        <f t="shared" si="126"/>
        <v>6.7593769213909666E-2</v>
      </c>
      <c r="O190" s="3">
        <f t="shared" si="126"/>
        <v>6.7593769212706378E-2</v>
      </c>
      <c r="P190" s="3">
        <f t="shared" si="126"/>
        <v>6.7593769200673531E-2</v>
      </c>
      <c r="Q190" s="3">
        <f t="shared" si="126"/>
        <v>6.7593769080345006E-2</v>
      </c>
      <c r="R190" s="3">
        <f t="shared" si="126"/>
        <v>6.7593767877059813E-2</v>
      </c>
      <c r="S190" s="3">
        <f t="shared" si="126"/>
        <v>6.7593755844209041E-2</v>
      </c>
      <c r="T190" s="3">
        <f t="shared" si="126"/>
        <v>6.7593635515819095E-2</v>
      </c>
      <c r="U190" s="3">
        <f t="shared" si="126"/>
        <v>6.7592432243700984E-2</v>
      </c>
      <c r="V190" s="3">
        <f t="shared" si="126"/>
        <v>6.7580400700563384E-2</v>
      </c>
      <c r="W190" s="3">
        <f t="shared" si="126"/>
        <v>6.7460202996000043E-2</v>
      </c>
      <c r="X190" s="3">
        <f t="shared" si="126"/>
        <v>6.6269921457117936E-2</v>
      </c>
      <c r="Y190" s="3">
        <f t="shared" si="126"/>
        <v>5.5463155883382791E-2</v>
      </c>
      <c r="Z190" s="3">
        <f t="shared" si="126"/>
        <v>9.3515972420858545E-3</v>
      </c>
      <c r="AA190" s="3">
        <f t="shared" si="126"/>
        <v>1.736592659463364E-10</v>
      </c>
      <c r="AB190" s="3">
        <f t="shared" si="126"/>
        <v>8.4687561559256445E-88</v>
      </c>
      <c r="AC190" s="3">
        <f t="shared" si="126"/>
        <v>0</v>
      </c>
      <c r="AD190" s="3">
        <f t="shared" si="126"/>
        <v>0</v>
      </c>
      <c r="AE190" s="3">
        <f t="shared" si="126"/>
        <v>0</v>
      </c>
      <c r="AF190" s="3">
        <f t="shared" si="126"/>
        <v>0</v>
      </c>
      <c r="AG190" s="3"/>
      <c r="AH190" s="3"/>
    </row>
    <row r="191" spans="2:34" x14ac:dyDescent="0.25">
      <c r="B191" s="3">
        <f t="shared" ref="B191:AF191" si="127">$C38*EXP(-B$168/$A38/EXP(-$C$126))</f>
        <v>2.8423077323280126E-2</v>
      </c>
      <c r="C191" s="3">
        <f t="shared" si="127"/>
        <v>2.8423077323280126E-2</v>
      </c>
      <c r="D191" s="3">
        <f t="shared" si="127"/>
        <v>2.8423077323280126E-2</v>
      </c>
      <c r="E191" s="3">
        <f t="shared" si="127"/>
        <v>2.8423077323280126E-2</v>
      </c>
      <c r="F191" s="3">
        <f t="shared" si="127"/>
        <v>2.8423077323280126E-2</v>
      </c>
      <c r="G191" s="3">
        <f t="shared" si="127"/>
        <v>2.8423077323280126E-2</v>
      </c>
      <c r="H191" s="3">
        <f t="shared" si="127"/>
        <v>2.8423077323280126E-2</v>
      </c>
      <c r="I191" s="3">
        <f t="shared" si="127"/>
        <v>2.8423077323280126E-2</v>
      </c>
      <c r="J191" s="3">
        <f t="shared" si="127"/>
        <v>2.8423077323280126E-2</v>
      </c>
      <c r="K191" s="3">
        <f t="shared" si="127"/>
        <v>2.8423077323280119E-2</v>
      </c>
      <c r="L191" s="3">
        <f t="shared" si="127"/>
        <v>2.8423077323280074E-2</v>
      </c>
      <c r="M191" s="3">
        <f t="shared" si="127"/>
        <v>2.842307732327962E-2</v>
      </c>
      <c r="N191" s="3">
        <f t="shared" si="127"/>
        <v>2.8423077323275054E-2</v>
      </c>
      <c r="O191" s="3">
        <f t="shared" si="127"/>
        <v>2.8423077323229413E-2</v>
      </c>
      <c r="P191" s="3">
        <f t="shared" si="127"/>
        <v>2.8423077322772976E-2</v>
      </c>
      <c r="Q191" s="3">
        <f t="shared" si="127"/>
        <v>2.8423077318208617E-2</v>
      </c>
      <c r="R191" s="3">
        <f t="shared" si="127"/>
        <v>2.8423077272565048E-2</v>
      </c>
      <c r="S191" s="3">
        <f t="shared" si="127"/>
        <v>2.8423076816129357E-2</v>
      </c>
      <c r="T191" s="3">
        <f t="shared" si="127"/>
        <v>2.842307225177285E-2</v>
      </c>
      <c r="U191" s="3">
        <f t="shared" si="127"/>
        <v>2.8423026608248098E-2</v>
      </c>
      <c r="V191" s="3">
        <f t="shared" si="127"/>
        <v>2.8422570177031901E-2</v>
      </c>
      <c r="W191" s="3">
        <f t="shared" si="127"/>
        <v>2.8418006267978569E-2</v>
      </c>
      <c r="X191" s="3">
        <f t="shared" si="127"/>
        <v>2.837240746436966E-2</v>
      </c>
      <c r="Y191" s="3">
        <f t="shared" si="127"/>
        <v>2.7920424285939185E-2</v>
      </c>
      <c r="Z191" s="3">
        <f t="shared" si="127"/>
        <v>2.3778270741800667E-2</v>
      </c>
      <c r="AA191" s="3">
        <f t="shared" si="127"/>
        <v>4.7726853977827447E-3</v>
      </c>
      <c r="AB191" s="3">
        <f t="shared" si="127"/>
        <v>5.0651021611856591E-10</v>
      </c>
      <c r="AC191" s="3">
        <f t="shared" si="127"/>
        <v>9.1799903472685233E-80</v>
      </c>
      <c r="AD191" s="3">
        <f t="shared" si="127"/>
        <v>0</v>
      </c>
      <c r="AE191" s="3">
        <f t="shared" si="127"/>
        <v>0</v>
      </c>
      <c r="AF191" s="3">
        <f t="shared" si="127"/>
        <v>0</v>
      </c>
      <c r="AG191" s="3"/>
      <c r="AH191" s="3"/>
    </row>
    <row r="192" spans="2:34" x14ac:dyDescent="0.25">
      <c r="B192" s="3">
        <f t="shared" ref="B192:AF192" si="128">$C39*EXP(-B$168/$A39/EXP(-$C$126))</f>
        <v>4.9146519309700876E-2</v>
      </c>
      <c r="C192" s="3">
        <f t="shared" si="128"/>
        <v>4.9146519309700876E-2</v>
      </c>
      <c r="D192" s="3">
        <f t="shared" si="128"/>
        <v>4.9146519309700876E-2</v>
      </c>
      <c r="E192" s="3">
        <f t="shared" si="128"/>
        <v>4.9146519309700876E-2</v>
      </c>
      <c r="F192" s="3">
        <f t="shared" si="128"/>
        <v>4.9146519309700876E-2</v>
      </c>
      <c r="G192" s="3">
        <f t="shared" si="128"/>
        <v>4.9146519309700876E-2</v>
      </c>
      <c r="H192" s="3">
        <f t="shared" si="128"/>
        <v>4.9146519309700876E-2</v>
      </c>
      <c r="I192" s="3">
        <f t="shared" si="128"/>
        <v>4.9146519309700876E-2</v>
      </c>
      <c r="J192" s="3">
        <f t="shared" si="128"/>
        <v>4.9146519309700876E-2</v>
      </c>
      <c r="K192" s="3">
        <f t="shared" si="128"/>
        <v>4.9146519309700876E-2</v>
      </c>
      <c r="L192" s="3">
        <f t="shared" si="128"/>
        <v>4.9146519309700855E-2</v>
      </c>
      <c r="M192" s="3">
        <f t="shared" si="128"/>
        <v>4.9146519309700633E-2</v>
      </c>
      <c r="N192" s="3">
        <f t="shared" si="128"/>
        <v>4.9146519309698454E-2</v>
      </c>
      <c r="O192" s="3">
        <f t="shared" si="128"/>
        <v>4.9146519309676624E-2</v>
      </c>
      <c r="P192" s="3">
        <f t="shared" si="128"/>
        <v>4.9146519309458341E-2</v>
      </c>
      <c r="Q192" s="3">
        <f t="shared" si="128"/>
        <v>4.9146519307275538E-2</v>
      </c>
      <c r="R192" s="3">
        <f t="shared" si="128"/>
        <v>4.9146519285447533E-2</v>
      </c>
      <c r="S192" s="3">
        <f t="shared" si="128"/>
        <v>4.9146519067167438E-2</v>
      </c>
      <c r="T192" s="3">
        <f t="shared" si="128"/>
        <v>4.914651688436656E-2</v>
      </c>
      <c r="U192" s="3">
        <f t="shared" si="128"/>
        <v>4.9146495056363114E-2</v>
      </c>
      <c r="V192" s="3">
        <f t="shared" si="128"/>
        <v>4.9146276776861862E-2</v>
      </c>
      <c r="W192" s="3">
        <f t="shared" si="128"/>
        <v>4.9144094035169367E-2</v>
      </c>
      <c r="X192" s="3">
        <f t="shared" si="128"/>
        <v>4.9122271949369717E-2</v>
      </c>
      <c r="Y192" s="3">
        <f t="shared" si="128"/>
        <v>4.8904583328868309E-2</v>
      </c>
      <c r="Z192" s="3">
        <f t="shared" si="128"/>
        <v>4.678005652854262E-2</v>
      </c>
      <c r="AA192" s="3">
        <f t="shared" si="128"/>
        <v>3.0003542501049495E-2</v>
      </c>
      <c r="AB192" s="3">
        <f t="shared" si="128"/>
        <v>3.5341945954619808E-4</v>
      </c>
      <c r="AC192" s="3">
        <f t="shared" si="128"/>
        <v>1.8174802328023834E-23</v>
      </c>
      <c r="AD192" s="3">
        <f t="shared" si="128"/>
        <v>2.3510511236390216E-216</v>
      </c>
      <c r="AE192" s="3">
        <f t="shared" si="128"/>
        <v>0</v>
      </c>
      <c r="AF192" s="3">
        <f t="shared" si="128"/>
        <v>0</v>
      </c>
      <c r="AG192" s="3"/>
      <c r="AH192" s="3"/>
    </row>
    <row r="193" spans="1:34" x14ac:dyDescent="0.25">
      <c r="B193" s="3">
        <f t="shared" ref="B193:AF193" si="129">$C40*EXP(-B$168/$A40/EXP(-$C$126))</f>
        <v>3.1963681817399746E-2</v>
      </c>
      <c r="C193" s="3">
        <f t="shared" si="129"/>
        <v>3.1963681817399746E-2</v>
      </c>
      <c r="D193" s="3">
        <f t="shared" si="129"/>
        <v>3.1963681817399746E-2</v>
      </c>
      <c r="E193" s="3">
        <f t="shared" si="129"/>
        <v>3.1963681817399746E-2</v>
      </c>
      <c r="F193" s="3">
        <f t="shared" si="129"/>
        <v>3.1963681817399746E-2</v>
      </c>
      <c r="G193" s="3">
        <f t="shared" si="129"/>
        <v>3.1963681817399746E-2</v>
      </c>
      <c r="H193" s="3">
        <f t="shared" si="129"/>
        <v>3.1963681817399746E-2</v>
      </c>
      <c r="I193" s="3">
        <f t="shared" si="129"/>
        <v>3.1963681817399746E-2</v>
      </c>
      <c r="J193" s="3">
        <f t="shared" si="129"/>
        <v>3.1963681817399746E-2</v>
      </c>
      <c r="K193" s="3">
        <f t="shared" si="129"/>
        <v>3.1963681817399746E-2</v>
      </c>
      <c r="L193" s="3">
        <f t="shared" si="129"/>
        <v>3.1963681817399746E-2</v>
      </c>
      <c r="M193" s="3">
        <f t="shared" si="129"/>
        <v>3.1963681817399732E-2</v>
      </c>
      <c r="N193" s="3">
        <f t="shared" si="129"/>
        <v>3.1963681817399586E-2</v>
      </c>
      <c r="O193" s="3">
        <f t="shared" si="129"/>
        <v>3.1963681817398171E-2</v>
      </c>
      <c r="P193" s="3">
        <f t="shared" si="129"/>
        <v>3.1963681817383974E-2</v>
      </c>
      <c r="Q193" s="3">
        <f t="shared" si="129"/>
        <v>3.1963681817242004E-2</v>
      </c>
      <c r="R193" s="3">
        <f t="shared" si="129"/>
        <v>3.1963681815822369E-2</v>
      </c>
      <c r="S193" s="3">
        <f t="shared" si="129"/>
        <v>3.1963681801625968E-2</v>
      </c>
      <c r="T193" s="3">
        <f t="shared" si="129"/>
        <v>3.1963681659661992E-2</v>
      </c>
      <c r="U193" s="3">
        <f t="shared" si="129"/>
        <v>3.1963680240022233E-2</v>
      </c>
      <c r="V193" s="3">
        <f t="shared" si="129"/>
        <v>3.1963666043628131E-2</v>
      </c>
      <c r="W193" s="3">
        <f t="shared" si="129"/>
        <v>3.1963524080033896E-2</v>
      </c>
      <c r="X193" s="3">
        <f t="shared" si="129"/>
        <v>3.1962104478769585E-2</v>
      </c>
      <c r="Y193" s="3">
        <f t="shared" si="129"/>
        <v>3.1947911933358657E-2</v>
      </c>
      <c r="Z193" s="3">
        <f t="shared" si="129"/>
        <v>3.1806332633365339E-2</v>
      </c>
      <c r="AA193" s="3">
        <f t="shared" si="129"/>
        <v>3.0424592896513933E-2</v>
      </c>
      <c r="AB193" s="3">
        <f t="shared" si="129"/>
        <v>1.9513562697187337E-2</v>
      </c>
      <c r="AC193" s="3">
        <f t="shared" si="129"/>
        <v>2.2985528398920124E-4</v>
      </c>
      <c r="AD193" s="3">
        <f t="shared" si="129"/>
        <v>1.1820442360247094E-23</v>
      </c>
      <c r="AE193" s="3">
        <f t="shared" si="129"/>
        <v>1.5290655596357677E-216</v>
      </c>
      <c r="AF193" s="3">
        <f t="shared" si="129"/>
        <v>0</v>
      </c>
      <c r="AG193" s="3"/>
      <c r="AH193" s="3"/>
    </row>
    <row r="194" spans="1:34" x14ac:dyDescent="0.25">
      <c r="B194" s="3">
        <f t="shared" ref="B194:AF194" si="130">$C41*EXP(-B$168/$A41/EXP(-$C$126))</f>
        <v>1.8386856006952675E-2</v>
      </c>
      <c r="C194" s="3">
        <f t="shared" si="130"/>
        <v>1.8386856006952675E-2</v>
      </c>
      <c r="D194" s="3">
        <f t="shared" si="130"/>
        <v>1.8386856006952675E-2</v>
      </c>
      <c r="E194" s="3">
        <f t="shared" si="130"/>
        <v>1.8386856006952675E-2</v>
      </c>
      <c r="F194" s="3">
        <f t="shared" si="130"/>
        <v>1.8386856006952675E-2</v>
      </c>
      <c r="G194" s="3">
        <f t="shared" si="130"/>
        <v>1.8386856006952675E-2</v>
      </c>
      <c r="H194" s="3">
        <f t="shared" si="130"/>
        <v>1.8386856006952675E-2</v>
      </c>
      <c r="I194" s="3">
        <f t="shared" si="130"/>
        <v>1.8386856006952675E-2</v>
      </c>
      <c r="J194" s="3">
        <f t="shared" si="130"/>
        <v>1.8386856006952675E-2</v>
      </c>
      <c r="K194" s="3">
        <f t="shared" si="130"/>
        <v>1.8386856006952675E-2</v>
      </c>
      <c r="L194" s="3">
        <f t="shared" si="130"/>
        <v>1.8386856006952675E-2</v>
      </c>
      <c r="M194" s="3">
        <f t="shared" si="130"/>
        <v>1.8386856006952675E-2</v>
      </c>
      <c r="N194" s="3">
        <f t="shared" si="130"/>
        <v>1.8386856006952668E-2</v>
      </c>
      <c r="O194" s="3">
        <f t="shared" si="130"/>
        <v>1.8386856006952584E-2</v>
      </c>
      <c r="P194" s="3">
        <f t="shared" si="130"/>
        <v>1.8386856006951769E-2</v>
      </c>
      <c r="Q194" s="3">
        <f t="shared" si="130"/>
        <v>1.8386856006943602E-2</v>
      </c>
      <c r="R194" s="3">
        <f t="shared" si="130"/>
        <v>1.8386856006861938E-2</v>
      </c>
      <c r="S194" s="3">
        <f t="shared" si="130"/>
        <v>1.83868560060453E-2</v>
      </c>
      <c r="T194" s="3">
        <f t="shared" si="130"/>
        <v>1.8386855997878933E-2</v>
      </c>
      <c r="U194" s="3">
        <f t="shared" si="130"/>
        <v>1.8386855916215274E-2</v>
      </c>
      <c r="V194" s="3">
        <f t="shared" si="130"/>
        <v>1.8386855099578697E-2</v>
      </c>
      <c r="W194" s="3">
        <f t="shared" si="130"/>
        <v>1.8386846933214893E-2</v>
      </c>
      <c r="X194" s="3">
        <f t="shared" si="130"/>
        <v>1.838676526977636E-2</v>
      </c>
      <c r="Y194" s="3">
        <f t="shared" si="130"/>
        <v>1.8385948655339282E-2</v>
      </c>
      <c r="Z194" s="3">
        <f t="shared" si="130"/>
        <v>1.837778450546651E-2</v>
      </c>
      <c r="AA194" s="3">
        <f t="shared" si="130"/>
        <v>1.829634212916538E-2</v>
      </c>
      <c r="AB194" s="3">
        <f t="shared" si="130"/>
        <v>1.7501507237311913E-2</v>
      </c>
      <c r="AC194" s="3">
        <f t="shared" si="130"/>
        <v>1.1225023122978095E-2</v>
      </c>
      <c r="AD194" s="3">
        <f t="shared" si="130"/>
        <v>1.3222244024610521E-4</v>
      </c>
      <c r="AE194" s="3">
        <f t="shared" si="130"/>
        <v>6.7996162913258494E-24</v>
      </c>
      <c r="AF194" s="3">
        <f t="shared" si="130"/>
        <v>8.7958291009231766E-217</v>
      </c>
      <c r="AG194" s="3"/>
      <c r="AH194" s="3"/>
    </row>
    <row r="195" spans="1:34" x14ac:dyDescent="0.25">
      <c r="B195" s="3">
        <f t="shared" ref="B195:AF195" si="131">$C42*EXP(-B$168/$A42/EXP(-$C$126))</f>
        <v>9.0608848838832357E-3</v>
      </c>
      <c r="C195" s="3">
        <f t="shared" si="131"/>
        <v>9.0608848838832357E-3</v>
      </c>
      <c r="D195" s="3">
        <f t="shared" si="131"/>
        <v>9.0608848838832357E-3</v>
      </c>
      <c r="E195" s="3">
        <f t="shared" si="131"/>
        <v>9.0608848838832357E-3</v>
      </c>
      <c r="F195" s="3">
        <f t="shared" si="131"/>
        <v>9.0608848838832357E-3</v>
      </c>
      <c r="G195" s="3">
        <f t="shared" si="131"/>
        <v>9.0608848838832357E-3</v>
      </c>
      <c r="H195" s="3">
        <f t="shared" si="131"/>
        <v>9.0608848838832357E-3</v>
      </c>
      <c r="I195" s="3">
        <f t="shared" si="131"/>
        <v>9.0608848838832357E-3</v>
      </c>
      <c r="J195" s="3">
        <f t="shared" si="131"/>
        <v>9.0608848838832357E-3</v>
      </c>
      <c r="K195" s="3">
        <f t="shared" si="131"/>
        <v>9.0608848838832357E-3</v>
      </c>
      <c r="L195" s="3">
        <f t="shared" si="131"/>
        <v>9.0608848838832357E-3</v>
      </c>
      <c r="M195" s="3">
        <f t="shared" si="131"/>
        <v>9.0608848838832357E-3</v>
      </c>
      <c r="N195" s="3">
        <f t="shared" si="131"/>
        <v>9.0608848838832357E-3</v>
      </c>
      <c r="O195" s="3">
        <f t="shared" si="131"/>
        <v>9.0608848838832322E-3</v>
      </c>
      <c r="P195" s="3">
        <f t="shared" si="131"/>
        <v>9.0608848838831905E-3</v>
      </c>
      <c r="Q195" s="3">
        <f t="shared" si="131"/>
        <v>9.0608848838827898E-3</v>
      </c>
      <c r="R195" s="3">
        <f t="shared" si="131"/>
        <v>9.0608848838787635E-3</v>
      </c>
      <c r="S195" s="3">
        <f t="shared" si="131"/>
        <v>9.0608848838385214E-3</v>
      </c>
      <c r="T195" s="3">
        <f t="shared" si="131"/>
        <v>9.0608848834360899E-3</v>
      </c>
      <c r="U195" s="3">
        <f t="shared" si="131"/>
        <v>9.0608848794117743E-3</v>
      </c>
      <c r="V195" s="3">
        <f t="shared" si="131"/>
        <v>9.0608848391686234E-3</v>
      </c>
      <c r="W195" s="3">
        <f t="shared" si="131"/>
        <v>9.0608844367371238E-3</v>
      </c>
      <c r="X195" s="3">
        <f t="shared" si="131"/>
        <v>9.0608804124231081E-3</v>
      </c>
      <c r="Y195" s="3">
        <f t="shared" si="131"/>
        <v>9.0608401693812578E-3</v>
      </c>
      <c r="Z195" s="3">
        <f t="shared" si="131"/>
        <v>9.0604377487930911E-3</v>
      </c>
      <c r="AA195" s="3">
        <f t="shared" si="131"/>
        <v>9.0564145257829142E-3</v>
      </c>
      <c r="AB195" s="3">
        <f t="shared" si="131"/>
        <v>9.0162804215045429E-3</v>
      </c>
      <c r="AC195" s="3">
        <f t="shared" si="131"/>
        <v>8.6245926063579642E-3</v>
      </c>
      <c r="AD195" s="3">
        <f t="shared" si="131"/>
        <v>5.5315950860643399E-3</v>
      </c>
      <c r="AE195" s="3">
        <f t="shared" si="131"/>
        <v>6.5158084105464592E-5</v>
      </c>
      <c r="AF195" s="3">
        <f t="shared" si="131"/>
        <v>3.3507925687232012E-24</v>
      </c>
      <c r="AG195" s="3"/>
      <c r="AH195" s="3"/>
    </row>
    <row r="196" spans="1:34" x14ac:dyDescent="0.25">
      <c r="B196" s="3">
        <f t="shared" ref="B196:AF196" si="132">$C43*EXP(-B$168/$A43/EXP(-$C$126))</f>
        <v>3.4752911115110466E-3</v>
      </c>
      <c r="C196" s="3">
        <f t="shared" si="132"/>
        <v>3.4752911115110466E-3</v>
      </c>
      <c r="D196" s="3">
        <f t="shared" si="132"/>
        <v>3.4752911115110466E-3</v>
      </c>
      <c r="E196" s="3">
        <f t="shared" si="132"/>
        <v>3.4752911115110466E-3</v>
      </c>
      <c r="F196" s="3">
        <f t="shared" si="132"/>
        <v>3.4752911115110466E-3</v>
      </c>
      <c r="G196" s="3">
        <f t="shared" si="132"/>
        <v>3.4752911115110466E-3</v>
      </c>
      <c r="H196" s="3">
        <f t="shared" si="132"/>
        <v>3.4752911115110466E-3</v>
      </c>
      <c r="I196" s="3">
        <f t="shared" si="132"/>
        <v>3.4752911115110466E-3</v>
      </c>
      <c r="J196" s="3">
        <f t="shared" si="132"/>
        <v>3.4752911115110466E-3</v>
      </c>
      <c r="K196" s="3">
        <f t="shared" si="132"/>
        <v>3.4752911115110466E-3</v>
      </c>
      <c r="L196" s="3">
        <f t="shared" si="132"/>
        <v>3.4752911115110466E-3</v>
      </c>
      <c r="M196" s="3">
        <f t="shared" si="132"/>
        <v>3.4752911115110466E-3</v>
      </c>
      <c r="N196" s="3">
        <f t="shared" si="132"/>
        <v>3.4752911115110466E-3</v>
      </c>
      <c r="O196" s="3">
        <f t="shared" si="132"/>
        <v>3.4752911115110466E-3</v>
      </c>
      <c r="P196" s="3">
        <f t="shared" si="132"/>
        <v>3.4752911115110449E-3</v>
      </c>
      <c r="Q196" s="3">
        <f t="shared" si="132"/>
        <v>3.4752911115110297E-3</v>
      </c>
      <c r="R196" s="3">
        <f t="shared" si="132"/>
        <v>3.4752911115108753E-3</v>
      </c>
      <c r="S196" s="3">
        <f t="shared" si="132"/>
        <v>3.4752911115093314E-3</v>
      </c>
      <c r="T196" s="3">
        <f t="shared" si="132"/>
        <v>3.4752911114938963E-3</v>
      </c>
      <c r="U196" s="3">
        <f t="shared" si="132"/>
        <v>3.4752911113395441E-3</v>
      </c>
      <c r="V196" s="3">
        <f t="shared" si="132"/>
        <v>3.4752911097960231E-3</v>
      </c>
      <c r="W196" s="3">
        <f t="shared" si="132"/>
        <v>3.4752910943608127E-3</v>
      </c>
      <c r="X196" s="3">
        <f t="shared" si="132"/>
        <v>3.4752909400087122E-3</v>
      </c>
      <c r="Y196" s="3">
        <f t="shared" si="132"/>
        <v>3.4752893964880844E-3</v>
      </c>
      <c r="Z196" s="3">
        <f t="shared" si="132"/>
        <v>3.4752739613195067E-3</v>
      </c>
      <c r="AA196" s="3">
        <f t="shared" si="132"/>
        <v>3.4751196134041465E-3</v>
      </c>
      <c r="AB196" s="3">
        <f t="shared" si="132"/>
        <v>3.4735765112296822E-3</v>
      </c>
      <c r="AC196" s="3">
        <f t="shared" si="132"/>
        <v>3.4581831255223795E-3</v>
      </c>
      <c r="AD196" s="3">
        <f t="shared" si="132"/>
        <v>3.3079517518860881E-3</v>
      </c>
      <c r="AE196" s="3">
        <f t="shared" si="132"/>
        <v>2.121636405432266E-3</v>
      </c>
      <c r="AF196" s="3">
        <f t="shared" si="132"/>
        <v>2.49913020015947E-5</v>
      </c>
      <c r="AG196" s="3"/>
      <c r="AH196" s="3"/>
    </row>
    <row r="197" spans="1:34" x14ac:dyDescent="0.25">
      <c r="B197" s="3">
        <f t="shared" ref="B197:AF197" si="133">$C44*EXP(-B$168/$A44/EXP(-$C$126))</f>
        <v>3.7189183043806369E-3</v>
      </c>
      <c r="C197" s="3">
        <f t="shared" si="133"/>
        <v>3.7189183043806369E-3</v>
      </c>
      <c r="D197" s="3">
        <f t="shared" si="133"/>
        <v>3.7189183043806369E-3</v>
      </c>
      <c r="E197" s="3">
        <f t="shared" si="133"/>
        <v>3.7189183043806369E-3</v>
      </c>
      <c r="F197" s="3">
        <f t="shared" si="133"/>
        <v>3.7189183043806369E-3</v>
      </c>
      <c r="G197" s="3">
        <f t="shared" si="133"/>
        <v>3.7189183043806369E-3</v>
      </c>
      <c r="H197" s="3">
        <f t="shared" si="133"/>
        <v>3.7189183043806369E-3</v>
      </c>
      <c r="I197" s="3">
        <f t="shared" si="133"/>
        <v>3.7189183043806369E-3</v>
      </c>
      <c r="J197" s="3">
        <f t="shared" si="133"/>
        <v>3.7189183043806369E-3</v>
      </c>
      <c r="K197" s="3">
        <f t="shared" si="133"/>
        <v>3.7189183043806369E-3</v>
      </c>
      <c r="L197" s="3">
        <f t="shared" si="133"/>
        <v>3.7189183043806369E-3</v>
      </c>
      <c r="M197" s="3">
        <f t="shared" si="133"/>
        <v>3.7189183043806369E-3</v>
      </c>
      <c r="N197" s="3">
        <f t="shared" si="133"/>
        <v>3.7189183043806369E-3</v>
      </c>
      <c r="O197" s="3">
        <f t="shared" si="133"/>
        <v>3.7189183043806369E-3</v>
      </c>
      <c r="P197" s="3">
        <f t="shared" si="133"/>
        <v>3.7189183043806369E-3</v>
      </c>
      <c r="Q197" s="3">
        <f t="shared" si="133"/>
        <v>3.7189183043806352E-3</v>
      </c>
      <c r="R197" s="3">
        <f t="shared" si="133"/>
        <v>3.7189183043806187E-3</v>
      </c>
      <c r="S197" s="3">
        <f t="shared" si="133"/>
        <v>3.7189183043804534E-3</v>
      </c>
      <c r="T197" s="3">
        <f t="shared" si="133"/>
        <v>3.7189183043788016E-3</v>
      </c>
      <c r="U197" s="3">
        <f t="shared" si="133"/>
        <v>3.7189183043622844E-3</v>
      </c>
      <c r="V197" s="3">
        <f t="shared" si="133"/>
        <v>3.7189183041971118E-3</v>
      </c>
      <c r="W197" s="3">
        <f t="shared" si="133"/>
        <v>3.7189183025453858E-3</v>
      </c>
      <c r="X197" s="3">
        <f t="shared" si="133"/>
        <v>3.7189182860281255E-3</v>
      </c>
      <c r="Y197" s="3">
        <f t="shared" si="133"/>
        <v>3.7189181208555308E-3</v>
      </c>
      <c r="Z197" s="3">
        <f t="shared" si="133"/>
        <v>3.7189164691299823E-3</v>
      </c>
      <c r="AA197" s="3">
        <f t="shared" si="133"/>
        <v>3.718899951914845E-3</v>
      </c>
      <c r="AB197" s="3">
        <f t="shared" si="133"/>
        <v>3.7187347837982017E-3</v>
      </c>
      <c r="AC197" s="3">
        <f t="shared" si="133"/>
        <v>3.7170835060381493E-3</v>
      </c>
      <c r="AD197" s="3">
        <f t="shared" si="133"/>
        <v>3.7006110028617498E-3</v>
      </c>
      <c r="AE197" s="3">
        <f t="shared" si="133"/>
        <v>3.5398480085164128E-3</v>
      </c>
      <c r="AF197" s="3">
        <f t="shared" si="133"/>
        <v>2.2703687864501685E-3</v>
      </c>
      <c r="AG197" s="3"/>
      <c r="AH197" s="3"/>
    </row>
    <row r="198" spans="1:34" x14ac:dyDescent="0.25">
      <c r="B198" s="3">
        <f t="shared" ref="B198:AF198" si="134">$C45*EXP(-B$168/$A45/EXP(-$C$126))</f>
        <v>9.6569507815885117E-4</v>
      </c>
      <c r="C198" s="3">
        <f t="shared" si="134"/>
        <v>9.6569507815885117E-4</v>
      </c>
      <c r="D198" s="3">
        <f t="shared" si="134"/>
        <v>9.6569507815885117E-4</v>
      </c>
      <c r="E198" s="3">
        <f t="shared" si="134"/>
        <v>9.6569507815885117E-4</v>
      </c>
      <c r="F198" s="3">
        <f t="shared" si="134"/>
        <v>9.6569507815885117E-4</v>
      </c>
      <c r="G198" s="3">
        <f t="shared" si="134"/>
        <v>9.6569507815885117E-4</v>
      </c>
      <c r="H198" s="3">
        <f t="shared" si="134"/>
        <v>9.6569507815885117E-4</v>
      </c>
      <c r="I198" s="3">
        <f t="shared" si="134"/>
        <v>9.6569507815885117E-4</v>
      </c>
      <c r="J198" s="3">
        <f t="shared" si="134"/>
        <v>9.6569507815885117E-4</v>
      </c>
      <c r="K198" s="3">
        <f t="shared" si="134"/>
        <v>9.6569507815885117E-4</v>
      </c>
      <c r="L198" s="3">
        <f t="shared" si="134"/>
        <v>9.6569507815885117E-4</v>
      </c>
      <c r="M198" s="3">
        <f t="shared" si="134"/>
        <v>9.6569507815885117E-4</v>
      </c>
      <c r="N198" s="3">
        <f t="shared" si="134"/>
        <v>9.6569507815885117E-4</v>
      </c>
      <c r="O198" s="3">
        <f t="shared" si="134"/>
        <v>9.6569507815885117E-4</v>
      </c>
      <c r="P198" s="3">
        <f t="shared" si="134"/>
        <v>9.6569507815885117E-4</v>
      </c>
      <c r="Q198" s="3">
        <f t="shared" si="134"/>
        <v>9.6569507815885117E-4</v>
      </c>
      <c r="R198" s="3">
        <f t="shared" si="134"/>
        <v>9.6569507815885073E-4</v>
      </c>
      <c r="S198" s="3">
        <f t="shared" si="134"/>
        <v>9.656950781588464E-4</v>
      </c>
      <c r="T198" s="3">
        <f t="shared" si="134"/>
        <v>9.6569507815880357E-4</v>
      </c>
      <c r="U198" s="3">
        <f t="shared" si="134"/>
        <v>9.6569507815837455E-4</v>
      </c>
      <c r="V198" s="3">
        <f t="shared" si="134"/>
        <v>9.6569507815408556E-4</v>
      </c>
      <c r="W198" s="3">
        <f t="shared" si="134"/>
        <v>9.6569507811119495E-4</v>
      </c>
      <c r="X198" s="3">
        <f t="shared" si="134"/>
        <v>9.6569507768228978E-4</v>
      </c>
      <c r="Y198" s="3">
        <f t="shared" si="134"/>
        <v>9.6569507339323705E-4</v>
      </c>
      <c r="Z198" s="3">
        <f t="shared" si="134"/>
        <v>9.6569503050271106E-4</v>
      </c>
      <c r="AA198" s="3">
        <f t="shared" si="134"/>
        <v>9.6569460159755586E-4</v>
      </c>
      <c r="AB198" s="3">
        <f t="shared" si="134"/>
        <v>9.6569031255648054E-4</v>
      </c>
      <c r="AC198" s="3">
        <f t="shared" si="134"/>
        <v>9.656474231934302E-4</v>
      </c>
      <c r="AD198" s="3">
        <f t="shared" si="134"/>
        <v>9.6521863431584789E-4</v>
      </c>
      <c r="AE198" s="3">
        <f t="shared" si="134"/>
        <v>9.6094120363831269E-4</v>
      </c>
      <c r="AF198" s="3">
        <f t="shared" si="134"/>
        <v>9.1919572291438833E-4</v>
      </c>
      <c r="AG198" s="3"/>
      <c r="AH198" s="3"/>
    </row>
    <row r="199" spans="1:34" x14ac:dyDescent="0.25">
      <c r="B199" s="3">
        <f t="shared" ref="B199:AF199" si="135">$C46*EXP(-B$168/$A46/EXP(-$C$126))</f>
        <v>6.3325792141422034E-4</v>
      </c>
      <c r="C199" s="3">
        <f t="shared" si="135"/>
        <v>6.3325792141422034E-4</v>
      </c>
      <c r="D199" s="3">
        <f t="shared" si="135"/>
        <v>6.3325792141422034E-4</v>
      </c>
      <c r="E199" s="3">
        <f t="shared" si="135"/>
        <v>6.3325792141422034E-4</v>
      </c>
      <c r="F199" s="3">
        <f t="shared" si="135"/>
        <v>6.3325792141422034E-4</v>
      </c>
      <c r="G199" s="3">
        <f t="shared" si="135"/>
        <v>6.3325792141422034E-4</v>
      </c>
      <c r="H199" s="3">
        <f t="shared" si="135"/>
        <v>6.3325792141422034E-4</v>
      </c>
      <c r="I199" s="3">
        <f t="shared" si="135"/>
        <v>6.3325792141422034E-4</v>
      </c>
      <c r="J199" s="3">
        <f t="shared" si="135"/>
        <v>6.3325792141422034E-4</v>
      </c>
      <c r="K199" s="3">
        <f t="shared" si="135"/>
        <v>6.3325792141422034E-4</v>
      </c>
      <c r="L199" s="3">
        <f t="shared" si="135"/>
        <v>6.3325792141422034E-4</v>
      </c>
      <c r="M199" s="3">
        <f t="shared" si="135"/>
        <v>6.3325792141422034E-4</v>
      </c>
      <c r="N199" s="3">
        <f t="shared" si="135"/>
        <v>6.3325792141422034E-4</v>
      </c>
      <c r="O199" s="3">
        <f t="shared" si="135"/>
        <v>6.3325792141422034E-4</v>
      </c>
      <c r="P199" s="3">
        <f t="shared" si="135"/>
        <v>6.3325792141422034E-4</v>
      </c>
      <c r="Q199" s="3">
        <f t="shared" si="135"/>
        <v>6.3325792141422034E-4</v>
      </c>
      <c r="R199" s="3">
        <f t="shared" si="135"/>
        <v>6.3325792141422034E-4</v>
      </c>
      <c r="S199" s="3">
        <f t="shared" si="135"/>
        <v>6.3325792141422001E-4</v>
      </c>
      <c r="T199" s="3">
        <f t="shared" si="135"/>
        <v>6.3325792141421719E-4</v>
      </c>
      <c r="U199" s="3">
        <f t="shared" si="135"/>
        <v>6.3325792141418911E-4</v>
      </c>
      <c r="V199" s="3">
        <f t="shared" si="135"/>
        <v>6.3325792141390787E-4</v>
      </c>
      <c r="W199" s="3">
        <f t="shared" si="135"/>
        <v>6.3325792141109523E-4</v>
      </c>
      <c r="X199" s="3">
        <f t="shared" si="135"/>
        <v>6.3325792138296962E-4</v>
      </c>
      <c r="Y199" s="3">
        <f t="shared" si="135"/>
        <v>6.3325792110171348E-4</v>
      </c>
      <c r="Z199" s="3">
        <f t="shared" si="135"/>
        <v>6.3325791828915221E-4</v>
      </c>
      <c r="AA199" s="3">
        <f t="shared" si="135"/>
        <v>6.3325789016353991E-4</v>
      </c>
      <c r="AB199" s="3">
        <f t="shared" si="135"/>
        <v>6.3325760890748598E-4</v>
      </c>
      <c r="AC199" s="3">
        <f t="shared" si="135"/>
        <v>6.3325479635381599E-4</v>
      </c>
      <c r="AD199" s="3">
        <f t="shared" si="135"/>
        <v>6.3322667150415032E-4</v>
      </c>
      <c r="AE199" s="3">
        <f t="shared" si="135"/>
        <v>6.3294549169958816E-4</v>
      </c>
      <c r="AF199" s="3">
        <f t="shared" si="135"/>
        <v>6.3014055158845737E-4</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2.585470347840544E-2</v>
      </c>
      <c r="C201" s="3">
        <f t="shared" si="137"/>
        <v>2.585470347840544E-2</v>
      </c>
      <c r="D201" s="3">
        <f t="shared" si="137"/>
        <v>2.585470347840544E-2</v>
      </c>
      <c r="E201" s="3">
        <f t="shared" si="137"/>
        <v>2.585470347840544E-2</v>
      </c>
      <c r="F201" s="3">
        <f t="shared" si="137"/>
        <v>2.585470347840544E-2</v>
      </c>
      <c r="G201" s="3">
        <f t="shared" si="137"/>
        <v>2.585470347840544E-2</v>
      </c>
      <c r="H201" s="3">
        <f t="shared" si="137"/>
        <v>2.585470347840544E-2</v>
      </c>
      <c r="I201" s="3">
        <f t="shared" si="137"/>
        <v>2.585470347840544E-2</v>
      </c>
      <c r="J201" s="3">
        <f t="shared" si="137"/>
        <v>2.585470347840544E-2</v>
      </c>
      <c r="K201" s="3">
        <f t="shared" si="137"/>
        <v>2.585470347840544E-2</v>
      </c>
      <c r="L201" s="3">
        <f t="shared" si="137"/>
        <v>2.585470347840544E-2</v>
      </c>
      <c r="M201" s="3">
        <f t="shared" si="137"/>
        <v>2.585470347840544E-2</v>
      </c>
      <c r="N201" s="3">
        <f t="shared" si="137"/>
        <v>2.585470347840544E-2</v>
      </c>
      <c r="O201" s="3">
        <f t="shared" si="137"/>
        <v>2.585470347840544E-2</v>
      </c>
      <c r="P201" s="3">
        <f t="shared" si="137"/>
        <v>2.585470347840544E-2</v>
      </c>
      <c r="Q201" s="3">
        <f t="shared" si="137"/>
        <v>2.585470347840544E-2</v>
      </c>
      <c r="R201" s="3">
        <f t="shared" si="137"/>
        <v>2.585470347840544E-2</v>
      </c>
      <c r="S201" s="3">
        <f t="shared" si="137"/>
        <v>2.585470347840544E-2</v>
      </c>
      <c r="T201" s="3">
        <f t="shared" si="137"/>
        <v>2.585470347840544E-2</v>
      </c>
      <c r="U201" s="3">
        <f t="shared" si="137"/>
        <v>2.585470347840543E-2</v>
      </c>
      <c r="V201" s="3">
        <f t="shared" si="137"/>
        <v>2.5854703478405315E-2</v>
      </c>
      <c r="W201" s="3">
        <f t="shared" si="137"/>
        <v>2.5854703478404167E-2</v>
      </c>
      <c r="X201" s="3">
        <f t="shared" si="137"/>
        <v>2.5854703478392679E-2</v>
      </c>
      <c r="Y201" s="3">
        <f t="shared" si="137"/>
        <v>2.5854703478277848E-2</v>
      </c>
      <c r="Z201" s="3">
        <f t="shared" si="137"/>
        <v>2.5854703477129534E-2</v>
      </c>
      <c r="AA201" s="3">
        <f t="shared" si="137"/>
        <v>2.5854703465646386E-2</v>
      </c>
      <c r="AB201" s="3">
        <f t="shared" si="137"/>
        <v>2.5854703350814915E-2</v>
      </c>
      <c r="AC201" s="3">
        <f t="shared" si="137"/>
        <v>2.5854702202500239E-2</v>
      </c>
      <c r="AD201" s="3">
        <f t="shared" si="137"/>
        <v>2.5854690719356276E-2</v>
      </c>
      <c r="AE201" s="3">
        <f t="shared" si="137"/>
        <v>2.5854575888197128E-2</v>
      </c>
      <c r="AF201" s="3">
        <f t="shared" si="137"/>
        <v>2.5853427604655952E-2</v>
      </c>
      <c r="AG201" s="3"/>
      <c r="AH201" s="3"/>
    </row>
    <row r="202" spans="1:34" x14ac:dyDescent="0.25">
      <c r="A202" s="79">
        <f>AVERAGE(B202:AF202)</f>
        <v>1.4656296436128047E-3</v>
      </c>
      <c r="B202" s="80">
        <f>IF($A$64&lt;=B168,IF($B$64&gt;=B168,ABS((B170-B169)/B169),0),0)</f>
        <v>0</v>
      </c>
      <c r="C202" s="80">
        <f t="shared" ref="C202:AF202" si="138">IF($A$64&lt;=C168,IF($B$64&gt;=C168,ABS((C170-C169)/C169),0),0)</f>
        <v>0</v>
      </c>
      <c r="D202" s="80">
        <f t="shared" si="138"/>
        <v>0</v>
      </c>
      <c r="E202" s="80">
        <f t="shared" si="138"/>
        <v>0</v>
      </c>
      <c r="F202" s="80">
        <f t="shared" si="138"/>
        <v>0</v>
      </c>
      <c r="G202" s="80">
        <f t="shared" si="138"/>
        <v>0</v>
      </c>
      <c r="H202" s="80">
        <f t="shared" si="138"/>
        <v>0</v>
      </c>
      <c r="I202" s="80">
        <f t="shared" si="138"/>
        <v>0</v>
      </c>
      <c r="J202" s="80">
        <f t="shared" si="138"/>
        <v>0</v>
      </c>
      <c r="K202" s="80">
        <f t="shared" si="138"/>
        <v>0</v>
      </c>
      <c r="L202" s="80">
        <f t="shared" si="138"/>
        <v>2.0491819683221041E-3</v>
      </c>
      <c r="M202" s="80">
        <f t="shared" si="138"/>
        <v>1.7480470474970043E-3</v>
      </c>
      <c r="N202" s="80">
        <f t="shared" si="138"/>
        <v>1.9890343177803105E-3</v>
      </c>
      <c r="O202" s="80">
        <f t="shared" si="138"/>
        <v>3.2537448064867869E-3</v>
      </c>
      <c r="P202" s="80">
        <f t="shared" si="138"/>
        <v>2.6069601063150832E-3</v>
      </c>
      <c r="Q202" s="80">
        <f t="shared" si="138"/>
        <v>3.4879519256197193E-3</v>
      </c>
      <c r="R202" s="80">
        <f t="shared" si="138"/>
        <v>3.9199682965447118E-3</v>
      </c>
      <c r="S202" s="80">
        <f t="shared" si="138"/>
        <v>2.9352168834924741E-3</v>
      </c>
      <c r="T202" s="80">
        <f t="shared" si="138"/>
        <v>6.0737878178005038E-5</v>
      </c>
      <c r="U202" s="80">
        <f t="shared" si="138"/>
        <v>9.6642308138041866E-3</v>
      </c>
      <c r="V202" s="80">
        <f t="shared" si="138"/>
        <v>1.3719444907956561E-2</v>
      </c>
      <c r="W202" s="80">
        <f t="shared" si="138"/>
        <v>0</v>
      </c>
      <c r="X202" s="80">
        <f t="shared" si="138"/>
        <v>0</v>
      </c>
      <c r="Y202" s="80">
        <f t="shared" si="138"/>
        <v>0</v>
      </c>
      <c r="Z202" s="80">
        <f t="shared" si="138"/>
        <v>0</v>
      </c>
      <c r="AA202" s="80">
        <f t="shared" si="138"/>
        <v>0</v>
      </c>
      <c r="AB202" s="80">
        <f t="shared" si="138"/>
        <v>0</v>
      </c>
      <c r="AC202" s="80">
        <f t="shared" si="138"/>
        <v>0</v>
      </c>
      <c r="AD202" s="80">
        <f t="shared" si="138"/>
        <v>0</v>
      </c>
      <c r="AE202" s="80">
        <f t="shared" si="138"/>
        <v>0</v>
      </c>
      <c r="AF202" s="80">
        <f t="shared" si="138"/>
        <v>0</v>
      </c>
    </row>
    <row r="203" spans="1:34" x14ac:dyDescent="0.25">
      <c r="B203" s="21">
        <f>(B170-B169)^2</f>
        <v>759365.50517015054</v>
      </c>
      <c r="C203" s="21">
        <f t="shared" ref="C203:AF203" si="139">(C170-C169)^2</f>
        <v>264894.97342917812</v>
      </c>
      <c r="D203" s="21">
        <f t="shared" si="139"/>
        <v>96470.111430587363</v>
      </c>
      <c r="E203" s="21">
        <f t="shared" si="139"/>
        <v>12084.998849826623</v>
      </c>
      <c r="F203" s="21">
        <f t="shared" si="139"/>
        <v>3121.5914847827476</v>
      </c>
      <c r="G203" s="21">
        <f t="shared" si="139"/>
        <v>350.59879947494284</v>
      </c>
      <c r="H203" s="21">
        <f t="shared" si="139"/>
        <v>1303.0198027546473</v>
      </c>
      <c r="I203" s="21">
        <f t="shared" si="139"/>
        <v>422.60456948936377</v>
      </c>
      <c r="J203" s="21">
        <f t="shared" si="139"/>
        <v>411.53600930604534</v>
      </c>
      <c r="K203" s="21">
        <f t="shared" si="139"/>
        <v>383.93514312349669</v>
      </c>
      <c r="L203" s="21">
        <f t="shared" si="139"/>
        <v>230.68700901308765</v>
      </c>
      <c r="M203" s="21">
        <f t="shared" si="139"/>
        <v>151.63784175049113</v>
      </c>
      <c r="N203" s="21">
        <f t="shared" si="139"/>
        <v>175.71893671495673</v>
      </c>
      <c r="O203" s="21">
        <f t="shared" si="139"/>
        <v>425.70752954997397</v>
      </c>
      <c r="P203" s="21">
        <f t="shared" si="139"/>
        <v>249.40830242259736</v>
      </c>
      <c r="Q203" s="21">
        <f t="shared" si="139"/>
        <v>405.91888839803835</v>
      </c>
      <c r="R203" s="21">
        <f t="shared" si="139"/>
        <v>463.70830943047656</v>
      </c>
      <c r="S203" s="21">
        <f t="shared" si="139"/>
        <v>234.35691868009641</v>
      </c>
      <c r="T203" s="21">
        <f t="shared" si="139"/>
        <v>8.8492174345539978E-2</v>
      </c>
      <c r="U203" s="21">
        <f t="shared" si="139"/>
        <v>1887.7019596285036</v>
      </c>
      <c r="V203" s="21">
        <f t="shared" si="139"/>
        <v>3101.3658290623794</v>
      </c>
      <c r="W203" s="21">
        <f t="shared" si="139"/>
        <v>2463.019373542385</v>
      </c>
      <c r="X203" s="21">
        <f t="shared" si="139"/>
        <v>682.0645396292482</v>
      </c>
      <c r="Y203" s="21">
        <f t="shared" si="139"/>
        <v>731.19135925733679</v>
      </c>
      <c r="Z203" s="21">
        <f t="shared" si="139"/>
        <v>22.795864175312573</v>
      </c>
      <c r="AA203" s="21">
        <f t="shared" si="139"/>
        <v>3322.4508412686573</v>
      </c>
      <c r="AB203" s="21">
        <f t="shared" si="139"/>
        <v>0.15880884919919053</v>
      </c>
      <c r="AC203" s="21">
        <f t="shared" si="139"/>
        <v>62.743824646372708</v>
      </c>
      <c r="AD203" s="21">
        <f t="shared" si="139"/>
        <v>3.5170787580535885</v>
      </c>
      <c r="AE203" s="21">
        <f t="shared" si="139"/>
        <v>0.99005802667429987</v>
      </c>
      <c r="AF203" s="21">
        <f t="shared" si="139"/>
        <v>0.68805050494425124</v>
      </c>
      <c r="AG203" s="3"/>
      <c r="AH203" s="3"/>
    </row>
    <row r="204" spans="1:34" x14ac:dyDescent="0.25">
      <c r="A204" s="71">
        <f>SUM(B204:AF204)</f>
        <v>7326.3000168249473</v>
      </c>
      <c r="B204" s="60">
        <f>IF($A$64&lt;=B168,IF($B$64&gt;=B168,ABS(B203),0),0)</f>
        <v>0</v>
      </c>
      <c r="C204" s="60">
        <f t="shared" ref="C204" si="140">IF($A$64&lt;=C168,IF($B$64&gt;=C168,ABS(C203),0),0)</f>
        <v>0</v>
      </c>
      <c r="D204" s="60">
        <f t="shared" ref="D204" si="141">IF($A$64&lt;=D168,IF($B$64&gt;=D168,ABS(D203),0),0)</f>
        <v>0</v>
      </c>
      <c r="E204" s="60">
        <f t="shared" ref="E204" si="142">IF($A$64&lt;=E168,IF($B$64&gt;=E168,ABS(E203),0),0)</f>
        <v>0</v>
      </c>
      <c r="F204" s="60">
        <f t="shared" ref="F204" si="143">IF($A$64&lt;=F168,IF($B$64&gt;=F168,ABS(F203),0),0)</f>
        <v>0</v>
      </c>
      <c r="G204" s="60">
        <f t="shared" ref="G204" si="144">IF($A$64&lt;=G168,IF($B$64&gt;=G168,ABS(G203),0),0)</f>
        <v>0</v>
      </c>
      <c r="H204" s="60">
        <f t="shared" ref="H204" si="145">IF($A$64&lt;=H168,IF($B$64&gt;=H168,ABS(H203),0),0)</f>
        <v>0</v>
      </c>
      <c r="I204" s="60">
        <f t="shared" ref="I204" si="146">IF($A$64&lt;=I168,IF($B$64&gt;=I168,ABS(I203),0),0)</f>
        <v>0</v>
      </c>
      <c r="J204" s="60">
        <f t="shared" ref="J204" si="147">IF($A$64&lt;=J168,IF($B$64&gt;=J168,ABS(J203),0),0)</f>
        <v>0</v>
      </c>
      <c r="K204" s="60">
        <f t="shared" ref="K204" si="148">IF($A$64&lt;=K168,IF($B$64&gt;=K168,ABS(K203),0),0)</f>
        <v>0</v>
      </c>
      <c r="L204" s="60">
        <f t="shared" ref="L204" si="149">IF($A$64&lt;=L168,IF($B$64&gt;=L168,ABS(L203),0),0)</f>
        <v>230.68700901308765</v>
      </c>
      <c r="M204" s="60">
        <f t="shared" ref="M204" si="150">IF($A$64&lt;=M168,IF($B$64&gt;=M168,ABS(M203),0),0)</f>
        <v>151.63784175049113</v>
      </c>
      <c r="N204" s="60">
        <f t="shared" ref="N204" si="151">IF($A$64&lt;=N168,IF($B$64&gt;=N168,ABS(N203),0),0)</f>
        <v>175.71893671495673</v>
      </c>
      <c r="O204" s="60">
        <f t="shared" ref="O204" si="152">IF($A$64&lt;=O168,IF($B$64&gt;=O168,ABS(O203),0),0)</f>
        <v>425.70752954997397</v>
      </c>
      <c r="P204" s="60">
        <f t="shared" ref="P204" si="153">IF($A$64&lt;=P168,IF($B$64&gt;=P168,ABS(P203),0),0)</f>
        <v>249.40830242259736</v>
      </c>
      <c r="Q204" s="60">
        <f t="shared" ref="Q204" si="154">IF($A$64&lt;=Q168,IF($B$64&gt;=Q168,ABS(Q203),0),0)</f>
        <v>405.91888839803835</v>
      </c>
      <c r="R204" s="60">
        <f t="shared" ref="R204" si="155">IF($A$64&lt;=R168,IF($B$64&gt;=R168,ABS(R203),0),0)</f>
        <v>463.70830943047656</v>
      </c>
      <c r="S204" s="60">
        <f t="shared" ref="S204" si="156">IF($A$64&lt;=S168,IF($B$64&gt;=S168,ABS(S203),0),0)</f>
        <v>234.35691868009641</v>
      </c>
      <c r="T204" s="60">
        <f t="shared" ref="T204" si="157">IF($A$64&lt;=T168,IF($B$64&gt;=T168,ABS(T203),0),0)</f>
        <v>8.8492174345539978E-2</v>
      </c>
      <c r="U204" s="60">
        <f t="shared" ref="U204" si="158">IF($A$64&lt;=U168,IF($B$64&gt;=U168,ABS(U203),0),0)</f>
        <v>1887.7019596285036</v>
      </c>
      <c r="V204" s="60">
        <f t="shared" ref="V204" si="159">IF($A$64&lt;=V168,IF($B$64&gt;=V168,ABS(V203),0),0)</f>
        <v>3101.3658290623794</v>
      </c>
      <c r="W204" s="60">
        <f t="shared" ref="W204" si="160">IF($A$64&lt;=W168,IF($B$64&gt;=W168,ABS(W203),0),0)</f>
        <v>0</v>
      </c>
      <c r="X204" s="60">
        <f t="shared" ref="X204" si="161">IF($A$64&lt;=X168,IF($B$64&gt;=X168,ABS(X203),0),0)</f>
        <v>0</v>
      </c>
      <c r="Y204" s="60">
        <f t="shared" ref="Y204" si="162">IF($A$64&lt;=Y168,IF($B$64&gt;=Y168,ABS(Y203),0),0)</f>
        <v>0</v>
      </c>
      <c r="Z204" s="60">
        <f t="shared" ref="Z204" si="163">IF($A$64&lt;=Z168,IF($B$64&gt;=Z168,ABS(Z203),0),0)</f>
        <v>0</v>
      </c>
      <c r="AA204" s="60">
        <f t="shared" ref="AA204" si="164">IF($A$64&lt;=AA168,IF($B$64&gt;=AA168,ABS(AA203),0),0)</f>
        <v>0</v>
      </c>
      <c r="AB204" s="60">
        <f t="shared" ref="AB204" si="165">IF($A$64&lt;=AB168,IF($B$64&gt;=AB168,ABS(AB203),0),0)</f>
        <v>0</v>
      </c>
      <c r="AC204" s="60">
        <f t="shared" ref="AC204" si="166">IF($A$64&lt;=AC168,IF($B$64&gt;=AC168,ABS(AC203),0),0)</f>
        <v>0</v>
      </c>
      <c r="AD204" s="60">
        <f t="shared" ref="AD204" si="167">IF($A$64&lt;=AD168,IF($B$64&gt;=AD168,ABS(AD203),0),0)</f>
        <v>0</v>
      </c>
      <c r="AE204" s="60">
        <f t="shared" ref="AE204" si="168">IF($A$64&lt;=AE168,IF($B$64&gt;=AE168,ABS(AE203),0),0)</f>
        <v>0</v>
      </c>
      <c r="AF204" s="60">
        <f t="shared" ref="AF204" si="169">IF($A$64&lt;=AF168,IF($B$64&gt;=AF168,ABS(AF203),0),0)</f>
        <v>0</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9730.0167223959397</v>
      </c>
      <c r="C208" s="26">
        <f>INDEX(Comparison!$AM$3:$AS$33,G$14,$D$122)</f>
        <v>9476.1525473419642</v>
      </c>
      <c r="D208" s="26">
        <f>INDEX(Comparison!$AM$3:$AS$33,H$14,$D$122)</f>
        <v>9264.0506360514537</v>
      </c>
      <c r="E208" s="26">
        <f>INDEX(Comparison!$AM$3:$AS$33,I$14,$D$122)</f>
        <v>9042.8661048910981</v>
      </c>
      <c r="F208" s="26">
        <f>INDEX(Comparison!$AM$3:$AS$33,J$14,$D$122)</f>
        <v>8796.5318501985184</v>
      </c>
      <c r="G208" s="26">
        <f>INDEX(Comparison!$AM$3:$AS$33,K$14,$D$122)</f>
        <v>8532.9278199977016</v>
      </c>
      <c r="H208" s="26">
        <f>INDEX(Comparison!$AM$3:$AS$33,L$14,$D$122)</f>
        <v>8242.1892422663423</v>
      </c>
      <c r="I208" s="26">
        <f>INDEX(Comparison!$AM$3:$AS$33,M$14,$D$122)</f>
        <v>7957.4855284258747</v>
      </c>
      <c r="J208" s="26">
        <f>INDEX(Comparison!$AM$3:$AS$33,N$14,$D$122)</f>
        <v>7685.4052187432317</v>
      </c>
      <c r="K208" s="26">
        <f>INDEX(Comparison!$AM$3:$AS$33,O$14,$D$122)</f>
        <v>7368.9543787655439</v>
      </c>
      <c r="L208" s="26">
        <f>INDEX(Comparison!$AM$3:$AS$33,P$14,$D$122)</f>
        <v>6998.3812744112274</v>
      </c>
      <c r="M208" s="26">
        <f>INDEX(Comparison!$AM$3:$AS$33,Q$14,$D$122)</f>
        <v>6621.5844226341051</v>
      </c>
      <c r="N208" s="26">
        <f>INDEX(Comparison!$AM$3:$AS$33,R$14,$D$122)</f>
        <v>6307.1591705971805</v>
      </c>
      <c r="O208" s="26">
        <f>INDEX(Comparison!$AM$3:$AS$33,S$14,$D$122)</f>
        <v>6022.8689849680577</v>
      </c>
      <c r="P208" s="26">
        <f>INDEX(Comparison!$AM$3:$AS$33,T$14,$D$122)</f>
        <v>5743.6712365645317</v>
      </c>
      <c r="Q208" s="26">
        <f>INDEX(Comparison!$AM$3:$AS$33,U$14,$D$122)</f>
        <v>5459.2543435964462</v>
      </c>
      <c r="R208" s="26">
        <f>INDEX(Comparison!$AM$3:$AS$33,V$14,$D$122)</f>
        <v>5186.1259100095131</v>
      </c>
      <c r="S208" s="26">
        <f>INDEX(Comparison!$AM$3:$AS$33,W$14,$D$122)</f>
        <v>4865.5108844814831</v>
      </c>
      <c r="T208" s="26">
        <f>INDEX(Comparison!$AM$3:$AS$33,X$14,$D$122)</f>
        <v>4471.3145751722259</v>
      </c>
      <c r="U208" s="26">
        <f>INDEX(Comparison!$AM$3:$AS$33,Y$14,$D$122)</f>
        <v>4031.2545236434685</v>
      </c>
      <c r="V208" s="26">
        <f>INDEX(Comparison!$AM$3:$AS$33,Z$14,$D$122)</f>
        <v>3565.3464541885878</v>
      </c>
      <c r="W208" s="26">
        <f>INDEX(Comparison!$AM$3:$AS$33,AA$14,$D$122)</f>
        <v>3072.2800042990852</v>
      </c>
      <c r="X208" s="26">
        <f>INDEX(Comparison!$AM$3:$AS$33,AB$14,$D$122)</f>
        <v>2540.7682600840731</v>
      </c>
      <c r="Y208" s="26">
        <f>INDEX(Comparison!$AM$3:$AS$33,AC$14,$D$122)</f>
        <v>1974.0579457073152</v>
      </c>
      <c r="Z208" s="26">
        <f>INDEX(Comparison!$AM$3:$AS$33,AD$14,$D$122)</f>
        <v>1447.7693345065175</v>
      </c>
      <c r="AA208" s="26">
        <f>INDEX(Comparison!$AM$3:$AS$33,AE$14,$D$122)</f>
        <v>1044.3571981147218</v>
      </c>
      <c r="AB208" s="26">
        <f>INDEX(Comparison!$AM$3:$AS$33,AF$14,$D$122)</f>
        <v>784.40987612375113</v>
      </c>
      <c r="AC208" s="26">
        <f>INDEX(Comparison!$AM$3:$AS$33,AG$14,$D$122)</f>
        <v>651.40811766035665</v>
      </c>
      <c r="AD208" s="26">
        <f>INDEX(Comparison!$AM$3:$AS$33,AH$14,$D$122)</f>
        <v>583.80121108393644</v>
      </c>
      <c r="AE208" s="26">
        <f>INDEX(Comparison!$AM$3:$AS$33,AI$14,$D$122)</f>
        <v>548.71871201984641</v>
      </c>
      <c r="AF208" s="26">
        <f>INDEX(Comparison!$AM$3:$AS$33,AJ$14,$D$122)</f>
        <v>525.29950476563715</v>
      </c>
      <c r="AG208" s="26"/>
      <c r="AH208" s="26"/>
    </row>
    <row r="209" spans="1:34" x14ac:dyDescent="0.25">
      <c r="A209" s="70" t="s">
        <v>22</v>
      </c>
      <c r="B209" s="27">
        <f>($C$17+SUM(B210:B240))*$B$51</f>
        <v>9194.0480152650634</v>
      </c>
      <c r="C209" s="27">
        <f t="shared" ref="C209:AF209" si="170">($C$17+SUM(C210:C240))*$B$51</f>
        <v>9193.275240583067</v>
      </c>
      <c r="D209" s="27">
        <f t="shared" si="170"/>
        <v>9185.6087709247058</v>
      </c>
      <c r="E209" s="27">
        <f t="shared" si="170"/>
        <v>9114.7450763721445</v>
      </c>
      <c r="F209" s="27">
        <f t="shared" si="170"/>
        <v>8761.2761618042568</v>
      </c>
      <c r="G209" s="27">
        <f t="shared" si="170"/>
        <v>8504.430847267733</v>
      </c>
      <c r="H209" s="27">
        <f t="shared" si="170"/>
        <v>8219.5851049602188</v>
      </c>
      <c r="I209" s="27">
        <f t="shared" si="170"/>
        <v>7937.1194884135657</v>
      </c>
      <c r="J209" s="27">
        <f t="shared" si="170"/>
        <v>7665.9006600482962</v>
      </c>
      <c r="K209" s="27">
        <f t="shared" si="170"/>
        <v>7352.0001119172966</v>
      </c>
      <c r="L209" s="27">
        <f t="shared" si="170"/>
        <v>6982.8819050867969</v>
      </c>
      <c r="M209" s="27">
        <f t="shared" si="170"/>
        <v>6607.7418609869874</v>
      </c>
      <c r="N209" s="27">
        <f t="shared" si="170"/>
        <v>6288.0918805930296</v>
      </c>
      <c r="O209" s="27">
        <f t="shared" si="170"/>
        <v>6010.0393347025138</v>
      </c>
      <c r="P209" s="27">
        <f t="shared" si="170"/>
        <v>5724.441604501957</v>
      </c>
      <c r="Q209" s="27">
        <f t="shared" si="170"/>
        <v>5443.2961282002143</v>
      </c>
      <c r="R209" s="27">
        <f t="shared" si="170"/>
        <v>5169.8753727793364</v>
      </c>
      <c r="S209" s="27">
        <f t="shared" si="170"/>
        <v>4862.2405266111382</v>
      </c>
      <c r="T209" s="27">
        <f t="shared" si="170"/>
        <v>4496.9327346587461</v>
      </c>
      <c r="U209" s="27">
        <f t="shared" si="170"/>
        <v>4066.6877118433313</v>
      </c>
      <c r="V209" s="27">
        <f t="shared" si="170"/>
        <v>3593.0025001754984</v>
      </c>
      <c r="W209" s="27">
        <f t="shared" si="170"/>
        <v>3080.8459917761702</v>
      </c>
      <c r="X209" s="27">
        <f t="shared" si="170"/>
        <v>2547.3734711433053</v>
      </c>
      <c r="Y209" s="27">
        <f t="shared" si="170"/>
        <v>1954.3452515904719</v>
      </c>
      <c r="Z209" s="27">
        <f t="shared" si="170"/>
        <v>1474.7196442117997</v>
      </c>
      <c r="AA209" s="27">
        <f t="shared" si="170"/>
        <v>1040.6665105330401</v>
      </c>
      <c r="AB209" s="27">
        <f t="shared" si="170"/>
        <v>787.42742455182429</v>
      </c>
      <c r="AC209" s="27">
        <f t="shared" si="170"/>
        <v>649.02983552581588</v>
      </c>
      <c r="AD209" s="27">
        <f t="shared" si="170"/>
        <v>583.87577693228081</v>
      </c>
      <c r="AE209" s="27">
        <f t="shared" si="170"/>
        <v>548.98105239713141</v>
      </c>
      <c r="AF209" s="27">
        <f t="shared" si="170"/>
        <v>524.63940923204359</v>
      </c>
      <c r="AG209" s="27"/>
      <c r="AH209" s="27"/>
    </row>
    <row r="210" spans="1:34" x14ac:dyDescent="0.25">
      <c r="B210" s="3">
        <f t="shared" ref="B210:AF210" si="171">$C18*EXP(-B$207/$A18/EXP(-$D$126))</f>
        <v>5.0094662379815088E-285</v>
      </c>
      <c r="C210" s="3">
        <f t="shared" si="171"/>
        <v>0</v>
      </c>
      <c r="D210" s="3">
        <f t="shared" si="171"/>
        <v>0</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4.8497302668594588E-2</v>
      </c>
      <c r="C211" s="3">
        <f t="shared" si="172"/>
        <v>4.8424427233137245E-2</v>
      </c>
      <c r="D211" s="3">
        <f t="shared" si="172"/>
        <v>4.7701668733247951E-2</v>
      </c>
      <c r="E211" s="3">
        <f t="shared" si="172"/>
        <v>4.1041607952419068E-2</v>
      </c>
      <c r="F211" s="3">
        <f t="shared" si="172"/>
        <v>9.1228875414848982E-3</v>
      </c>
      <c r="G211" s="3">
        <f t="shared" si="172"/>
        <v>2.6866547430093634E-9</v>
      </c>
      <c r="H211" s="3">
        <f t="shared" si="172"/>
        <v>1.3182787239212349E-74</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1.870401506647491E-2</v>
      </c>
      <c r="C212" s="3">
        <f t="shared" si="173"/>
        <v>1.8701477940327824E-2</v>
      </c>
      <c r="D212" s="3">
        <f t="shared" si="173"/>
        <v>1.8676125599471988E-2</v>
      </c>
      <c r="E212" s="3">
        <f t="shared" si="173"/>
        <v>1.8424484790056397E-2</v>
      </c>
      <c r="F212" s="3">
        <f t="shared" si="173"/>
        <v>1.608722057726027E-2</v>
      </c>
      <c r="G212" s="3">
        <f t="shared" si="173"/>
        <v>4.1432167995007303E-3</v>
      </c>
      <c r="H212" s="3">
        <f t="shared" si="173"/>
        <v>5.3199075149323332E-9</v>
      </c>
      <c r="I212" s="3">
        <f t="shared" si="173"/>
        <v>6.4799001762954766E-68</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3.3567091785613817E-2</v>
      </c>
      <c r="C213" s="3">
        <f t="shared" si="174"/>
        <v>3.3566681019769777E-2</v>
      </c>
      <c r="D213" s="3">
        <f t="shared" si="174"/>
        <v>3.3562573637782617E-2</v>
      </c>
      <c r="E213" s="3">
        <f t="shared" si="174"/>
        <v>3.3521527450721504E-2</v>
      </c>
      <c r="F213" s="3">
        <f t="shared" si="174"/>
        <v>3.3113816390491692E-2</v>
      </c>
      <c r="G213" s="3">
        <f t="shared" si="174"/>
        <v>2.9299729056331731E-2</v>
      </c>
      <c r="H213" s="3">
        <f t="shared" si="174"/>
        <v>8.6180157547633487E-3</v>
      </c>
      <c r="I213" s="3">
        <f t="shared" si="174"/>
        <v>4.176803820767023E-8</v>
      </c>
      <c r="J213" s="3">
        <f t="shared" si="174"/>
        <v>2.9868403885554164E-61</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2.7443870390549331E-2</v>
      </c>
      <c r="C214" s="3">
        <f t="shared" si="175"/>
        <v>2.7443840095268963E-2</v>
      </c>
      <c r="D214" s="3">
        <f t="shared" si="175"/>
        <v>2.7443537144304649E-2</v>
      </c>
      <c r="E214" s="3">
        <f t="shared" si="175"/>
        <v>2.7440507818589588E-2</v>
      </c>
      <c r="F214" s="3">
        <f t="shared" si="175"/>
        <v>2.7410232946739652E-2</v>
      </c>
      <c r="G214" s="3">
        <f t="shared" si="175"/>
        <v>2.7109315271081558E-2</v>
      </c>
      <c r="H214" s="3">
        <f t="shared" si="175"/>
        <v>2.4275979767911925E-2</v>
      </c>
      <c r="I214" s="3">
        <f t="shared" si="175"/>
        <v>8.0493155459983191E-3</v>
      </c>
      <c r="J214" s="3">
        <f t="shared" si="175"/>
        <v>1.2929472645951353E-7</v>
      </c>
      <c r="K214" s="3">
        <f t="shared" si="175"/>
        <v>1.4784253510002928E-55</v>
      </c>
      <c r="L214" s="3">
        <f t="shared" si="175"/>
        <v>0</v>
      </c>
      <c r="M214" s="3">
        <f t="shared" si="175"/>
        <v>0</v>
      </c>
      <c r="N214" s="3">
        <f t="shared" si="175"/>
        <v>0</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2.7096252410488447E-2</v>
      </c>
      <c r="C215" s="3">
        <f t="shared" si="176"/>
        <v>2.7096249712216896E-2</v>
      </c>
      <c r="D215" s="3">
        <f t="shared" si="176"/>
        <v>2.7096222729516149E-2</v>
      </c>
      <c r="E215" s="3">
        <f t="shared" si="176"/>
        <v>2.7095952903986507E-2</v>
      </c>
      <c r="F215" s="3">
        <f t="shared" si="176"/>
        <v>2.7093254796467191E-2</v>
      </c>
      <c r="G215" s="3">
        <f t="shared" si="176"/>
        <v>2.7066288493537188E-2</v>
      </c>
      <c r="H215" s="3">
        <f t="shared" si="176"/>
        <v>2.6798097262185402E-2</v>
      </c>
      <c r="I215" s="3">
        <f t="shared" si="176"/>
        <v>2.4258083343704363E-2</v>
      </c>
      <c r="J215" s="3">
        <f t="shared" si="176"/>
        <v>8.9615211021704545E-3</v>
      </c>
      <c r="K215" s="3">
        <f t="shared" si="176"/>
        <v>4.2426207464027911E-7</v>
      </c>
      <c r="L215" s="3">
        <f t="shared" si="176"/>
        <v>2.399711356613066E-50</v>
      </c>
      <c r="M215" s="3">
        <f t="shared" si="176"/>
        <v>0</v>
      </c>
      <c r="N215" s="3">
        <f t="shared" si="176"/>
        <v>0</v>
      </c>
      <c r="O215" s="3">
        <f t="shared" si="176"/>
        <v>0</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3.4309182559741302E-2</v>
      </c>
      <c r="C216" s="3">
        <f t="shared" si="177"/>
        <v>3.4309182251540761E-2</v>
      </c>
      <c r="D216" s="3">
        <f t="shared" si="177"/>
        <v>3.430917916953543E-2</v>
      </c>
      <c r="E216" s="3">
        <f t="shared" si="177"/>
        <v>3.4309148349497366E-2</v>
      </c>
      <c r="F216" s="3">
        <f t="shared" si="177"/>
        <v>3.4308840150639397E-2</v>
      </c>
      <c r="G216" s="3">
        <f t="shared" si="177"/>
        <v>3.4305758314325766E-2</v>
      </c>
      <c r="H216" s="3">
        <f t="shared" si="177"/>
        <v>3.4274955172735419E-2</v>
      </c>
      <c r="I216" s="3">
        <f t="shared" si="177"/>
        <v>3.3968440864335668E-2</v>
      </c>
      <c r="J216" s="3">
        <f t="shared" si="177"/>
        <v>3.1050084966663137E-2</v>
      </c>
      <c r="K216" s="3">
        <f t="shared" si="177"/>
        <v>1.2645458718607366E-2</v>
      </c>
      <c r="L216" s="3">
        <f t="shared" si="177"/>
        <v>1.5872763315294848E-6</v>
      </c>
      <c r="M216" s="3">
        <f t="shared" si="177"/>
        <v>1.5411044075919049E-45</v>
      </c>
      <c r="N216" s="3">
        <f t="shared" si="177"/>
        <v>0</v>
      </c>
      <c r="O216" s="3">
        <f t="shared" si="177"/>
        <v>0</v>
      </c>
      <c r="P216" s="3">
        <f t="shared" si="177"/>
        <v>0</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4.0815760595350511E-2</v>
      </c>
      <c r="C217" s="3">
        <f t="shared" si="178"/>
        <v>4.0815760562275691E-2</v>
      </c>
      <c r="D217" s="3">
        <f t="shared" si="178"/>
        <v>4.081576023152747E-2</v>
      </c>
      <c r="E217" s="3">
        <f t="shared" si="178"/>
        <v>4.0815756924045377E-2</v>
      </c>
      <c r="F217" s="3">
        <f t="shared" si="178"/>
        <v>4.0815723849239205E-2</v>
      </c>
      <c r="G217" s="3">
        <f t="shared" si="178"/>
        <v>4.0815393102651573E-2</v>
      </c>
      <c r="H217" s="3">
        <f t="shared" si="178"/>
        <v>4.0812085784181308E-2</v>
      </c>
      <c r="I217" s="3">
        <f t="shared" si="178"/>
        <v>4.0779027335667198E-2</v>
      </c>
      <c r="J217" s="3">
        <f t="shared" si="178"/>
        <v>4.0449912060624503E-2</v>
      </c>
      <c r="K217" s="3">
        <f t="shared" si="178"/>
        <v>3.7301369084422963E-2</v>
      </c>
      <c r="L217" s="3">
        <f t="shared" si="178"/>
        <v>1.6588101187716541E-2</v>
      </c>
      <c r="M217" s="3">
        <f t="shared" si="178"/>
        <v>5.017827339324272E-6</v>
      </c>
      <c r="N217" s="3">
        <f t="shared" si="178"/>
        <v>3.218889649425005E-41</v>
      </c>
      <c r="O217" s="3">
        <f t="shared" si="178"/>
        <v>0</v>
      </c>
      <c r="P217" s="3">
        <f t="shared" si="178"/>
        <v>0</v>
      </c>
      <c r="Q217" s="3">
        <f t="shared" si="178"/>
        <v>0</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3.8220700833860595E-2</v>
      </c>
      <c r="C218" s="3">
        <f t="shared" si="179"/>
        <v>3.8220700831066663E-2</v>
      </c>
      <c r="D218" s="3">
        <f t="shared" si="179"/>
        <v>3.8220700803127408E-2</v>
      </c>
      <c r="E218" s="3">
        <f t="shared" si="179"/>
        <v>3.822070052373483E-2</v>
      </c>
      <c r="F218" s="3">
        <f t="shared" si="179"/>
        <v>3.8220697729809169E-2</v>
      </c>
      <c r="G218" s="3">
        <f t="shared" si="179"/>
        <v>3.822066979056378E-2</v>
      </c>
      <c r="H218" s="3">
        <f t="shared" si="179"/>
        <v>3.8220390399233195E-2</v>
      </c>
      <c r="I218" s="3">
        <f t="shared" si="179"/>
        <v>3.8217596598253425E-2</v>
      </c>
      <c r="J218" s="3">
        <f t="shared" si="179"/>
        <v>3.8189669818029383E-2</v>
      </c>
      <c r="K218" s="3">
        <f t="shared" si="179"/>
        <v>3.7911521941828938E-2</v>
      </c>
      <c r="L218" s="3">
        <f t="shared" si="179"/>
        <v>3.5239065046002882E-2</v>
      </c>
      <c r="M218" s="3">
        <f t="shared" si="179"/>
        <v>1.6965081756087262E-2</v>
      </c>
      <c r="N218" s="3">
        <f t="shared" si="179"/>
        <v>1.1346756961907138E-5</v>
      </c>
      <c r="O218" s="3">
        <f t="shared" si="179"/>
        <v>2.0324960546142329E-37</v>
      </c>
      <c r="P218" s="3">
        <f t="shared" si="179"/>
        <v>0</v>
      </c>
      <c r="Q218" s="3">
        <f t="shared" si="179"/>
        <v>0</v>
      </c>
      <c r="R218" s="3">
        <f t="shared" si="179"/>
        <v>0</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2.8050318372539861E-2</v>
      </c>
      <c r="C219" s="3">
        <f t="shared" si="180"/>
        <v>2.8050318372354888E-2</v>
      </c>
      <c r="D219" s="3">
        <f t="shared" si="180"/>
        <v>2.805031837050519E-2</v>
      </c>
      <c r="E219" s="3">
        <f t="shared" si="180"/>
        <v>2.8050318352008222E-2</v>
      </c>
      <c r="F219" s="3">
        <f t="shared" si="180"/>
        <v>2.8050318167038516E-2</v>
      </c>
      <c r="G219" s="3">
        <f t="shared" si="180"/>
        <v>2.8050316317341534E-2</v>
      </c>
      <c r="H219" s="3">
        <f t="shared" si="180"/>
        <v>2.8050297820378413E-2</v>
      </c>
      <c r="I219" s="3">
        <f t="shared" si="180"/>
        <v>2.805011285141807E-2</v>
      </c>
      <c r="J219" s="3">
        <f t="shared" si="180"/>
        <v>2.8048263228897898E-2</v>
      </c>
      <c r="K219" s="3">
        <f t="shared" si="180"/>
        <v>2.8029773710388384E-2</v>
      </c>
      <c r="L219" s="3">
        <f t="shared" si="180"/>
        <v>2.7845547561060238E-2</v>
      </c>
      <c r="M219" s="3">
        <f t="shared" si="180"/>
        <v>2.6068585685421641E-2</v>
      </c>
      <c r="N219" s="3">
        <f t="shared" si="180"/>
        <v>1.3481386003166757E-2</v>
      </c>
      <c r="O219" s="3">
        <f t="shared" si="180"/>
        <v>1.8446130776198894E-5</v>
      </c>
      <c r="P219" s="3">
        <f t="shared" si="180"/>
        <v>4.2424104026071168E-34</v>
      </c>
      <c r="Q219" s="3">
        <f t="shared" si="180"/>
        <v>0</v>
      </c>
      <c r="R219" s="3">
        <f t="shared" si="180"/>
        <v>0</v>
      </c>
      <c r="S219" s="3">
        <f t="shared" si="180"/>
        <v>0</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2.8871537480056841E-2</v>
      </c>
      <c r="C220" s="3">
        <f t="shared" si="181"/>
        <v>2.8871537480039667E-2</v>
      </c>
      <c r="D220" s="3">
        <f t="shared" si="181"/>
        <v>2.8871537479867922E-2</v>
      </c>
      <c r="E220" s="3">
        <f t="shared" si="181"/>
        <v>2.8871537478150494E-2</v>
      </c>
      <c r="F220" s="3">
        <f t="shared" si="181"/>
        <v>2.887153746097618E-2</v>
      </c>
      <c r="G220" s="3">
        <f t="shared" si="181"/>
        <v>2.8871537289233078E-2</v>
      </c>
      <c r="H220" s="3">
        <f t="shared" si="181"/>
        <v>2.8871535571802075E-2</v>
      </c>
      <c r="I220" s="3">
        <f t="shared" si="181"/>
        <v>2.88715183974977E-2</v>
      </c>
      <c r="J220" s="3">
        <f t="shared" si="181"/>
        <v>2.8871346655015815E-2</v>
      </c>
      <c r="K220" s="3">
        <f t="shared" si="181"/>
        <v>2.8869629286384622E-2</v>
      </c>
      <c r="L220" s="3">
        <f t="shared" si="181"/>
        <v>2.8852461217600114E-2</v>
      </c>
      <c r="M220" s="3">
        <f t="shared" si="181"/>
        <v>2.8681341048071417E-2</v>
      </c>
      <c r="N220" s="3">
        <f t="shared" si="181"/>
        <v>2.7024976892818964E-2</v>
      </c>
      <c r="O220" s="3">
        <f t="shared" si="181"/>
        <v>1.4908162132288511E-2</v>
      </c>
      <c r="P220" s="3">
        <f t="shared" si="181"/>
        <v>3.8905577543015237E-5</v>
      </c>
      <c r="Q220" s="3">
        <f t="shared" si="181"/>
        <v>5.7001916967800443E-31</v>
      </c>
      <c r="R220" s="3">
        <f t="shared" si="181"/>
        <v>2.598157092132681E-289</v>
      </c>
      <c r="S220" s="3">
        <f t="shared" si="181"/>
        <v>0</v>
      </c>
      <c r="T220" s="3">
        <f t="shared" si="181"/>
        <v>0</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3.0036426105565135E-2</v>
      </c>
      <c r="C221" s="3">
        <f t="shared" si="182"/>
        <v>3.0036426105563525E-2</v>
      </c>
      <c r="D221" s="3">
        <f t="shared" si="182"/>
        <v>3.0036426105547409E-2</v>
      </c>
      <c r="E221" s="3">
        <f t="shared" si="182"/>
        <v>3.0036426105386229E-2</v>
      </c>
      <c r="F221" s="3">
        <f t="shared" si="182"/>
        <v>3.0036426103774452E-2</v>
      </c>
      <c r="G221" s="3">
        <f t="shared" si="182"/>
        <v>3.003642608765671E-2</v>
      </c>
      <c r="H221" s="3">
        <f t="shared" si="182"/>
        <v>3.003642592647927E-2</v>
      </c>
      <c r="I221" s="3">
        <f t="shared" si="182"/>
        <v>3.0036424314704942E-2</v>
      </c>
      <c r="J221" s="3">
        <f t="shared" si="182"/>
        <v>3.0036408196966381E-2</v>
      </c>
      <c r="K221" s="3">
        <f t="shared" si="182"/>
        <v>3.0036247020056479E-2</v>
      </c>
      <c r="L221" s="3">
        <f t="shared" si="182"/>
        <v>3.0034635298525295E-2</v>
      </c>
      <c r="M221" s="3">
        <f t="shared" si="182"/>
        <v>3.0018522839052271E-2</v>
      </c>
      <c r="N221" s="3">
        <f t="shared" si="182"/>
        <v>2.9857872885312841E-2</v>
      </c>
      <c r="O221" s="3">
        <f t="shared" si="182"/>
        <v>2.8297908447235915E-2</v>
      </c>
      <c r="P221" s="3">
        <f t="shared" si="182"/>
        <v>1.6546611156696842E-2</v>
      </c>
      <c r="Q221" s="3">
        <f t="shared" si="182"/>
        <v>7.7313672085211807E-5</v>
      </c>
      <c r="R221" s="3">
        <f t="shared" si="182"/>
        <v>3.8346762111367908E-28</v>
      </c>
      <c r="S221" s="3">
        <f t="shared" si="182"/>
        <v>3.4550368376804491E-261</v>
      </c>
      <c r="T221" s="3">
        <f t="shared" si="182"/>
        <v>0</v>
      </c>
      <c r="U221" s="3">
        <f t="shared" si="182"/>
        <v>0</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2.6672376514959427E-2</v>
      </c>
      <c r="C222" s="3">
        <f t="shared" si="183"/>
        <v>2.6672376514959299E-2</v>
      </c>
      <c r="D222" s="3">
        <f t="shared" si="183"/>
        <v>2.6672376514958008E-2</v>
      </c>
      <c r="E222" s="3">
        <f t="shared" si="183"/>
        <v>2.6672376514945095E-2</v>
      </c>
      <c r="F222" s="3">
        <f t="shared" si="183"/>
        <v>2.6672376514815983E-2</v>
      </c>
      <c r="G222" s="3">
        <f t="shared" si="183"/>
        <v>2.667237651352487E-2</v>
      </c>
      <c r="H222" s="3">
        <f t="shared" si="183"/>
        <v>2.6672376500613739E-2</v>
      </c>
      <c r="I222" s="3">
        <f t="shared" si="183"/>
        <v>2.6672376371502427E-2</v>
      </c>
      <c r="J222" s="3">
        <f t="shared" si="183"/>
        <v>2.6672375080389339E-2</v>
      </c>
      <c r="K222" s="3">
        <f t="shared" si="183"/>
        <v>2.6672362169261887E-2</v>
      </c>
      <c r="L222" s="3">
        <f t="shared" si="183"/>
        <v>2.6672233058331121E-2</v>
      </c>
      <c r="M222" s="3">
        <f t="shared" si="183"/>
        <v>2.6670941983396729E-2</v>
      </c>
      <c r="N222" s="3">
        <f t="shared" si="183"/>
        <v>2.6658034670764882E-2</v>
      </c>
      <c r="O222" s="3">
        <f t="shared" si="183"/>
        <v>2.6529304600920806E-2</v>
      </c>
      <c r="P222" s="3">
        <f t="shared" si="183"/>
        <v>2.5275702997928803E-2</v>
      </c>
      <c r="Q222" s="3">
        <f t="shared" si="183"/>
        <v>1.5576756002537691E-2</v>
      </c>
      <c r="R222" s="3">
        <f t="shared" si="183"/>
        <v>1.230877271563571E-4</v>
      </c>
      <c r="S222" s="3">
        <f t="shared" si="183"/>
        <v>1.1684014996868177E-25</v>
      </c>
      <c r="T222" s="3">
        <f t="shared" si="183"/>
        <v>6.9400985732027029E-236</v>
      </c>
      <c r="U222" s="3">
        <f t="shared" si="183"/>
        <v>0</v>
      </c>
      <c r="V222" s="3">
        <f t="shared" si="183"/>
        <v>0</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2.9125900591015351E-2</v>
      </c>
      <c r="C223" s="3">
        <f t="shared" si="184"/>
        <v>2.9125900591015337E-2</v>
      </c>
      <c r="D223" s="3">
        <f t="shared" si="184"/>
        <v>2.9125900591015209E-2</v>
      </c>
      <c r="E223" s="3">
        <f t="shared" si="184"/>
        <v>2.9125900591013939E-2</v>
      </c>
      <c r="F223" s="3">
        <f t="shared" si="184"/>
        <v>2.912590059100122E-2</v>
      </c>
      <c r="G223" s="3">
        <f t="shared" si="184"/>
        <v>2.9125900590874033E-2</v>
      </c>
      <c r="H223" s="3">
        <f t="shared" si="184"/>
        <v>2.9125900589602207E-2</v>
      </c>
      <c r="I223" s="3">
        <f t="shared" si="184"/>
        <v>2.9125900576883922E-2</v>
      </c>
      <c r="J223" s="3">
        <f t="shared" si="184"/>
        <v>2.9125900449701078E-2</v>
      </c>
      <c r="K223" s="3">
        <f t="shared" si="184"/>
        <v>2.9125899177872658E-2</v>
      </c>
      <c r="L223" s="3">
        <f t="shared" si="184"/>
        <v>2.91258864595915E-2</v>
      </c>
      <c r="M223" s="3">
        <f t="shared" si="184"/>
        <v>2.9125759277085383E-2</v>
      </c>
      <c r="N223" s="3">
        <f t="shared" si="184"/>
        <v>2.9124487482568694E-2</v>
      </c>
      <c r="O223" s="3">
        <f t="shared" si="184"/>
        <v>2.9111772591355417E-2</v>
      </c>
      <c r="P223" s="3">
        <f t="shared" si="184"/>
        <v>2.8984928581746443E-2</v>
      </c>
      <c r="Q223" s="3">
        <f t="shared" si="184"/>
        <v>2.7746491819129578E-2</v>
      </c>
      <c r="R223" s="3">
        <f t="shared" si="184"/>
        <v>1.7929432133209296E-2</v>
      </c>
      <c r="S223" s="3">
        <f t="shared" si="184"/>
        <v>2.2758890198987226E-4</v>
      </c>
      <c r="T223" s="3">
        <f t="shared" si="184"/>
        <v>2.4717044503217308E-23</v>
      </c>
      <c r="U223" s="3">
        <f t="shared" si="184"/>
        <v>5.6422344617627383E-213</v>
      </c>
      <c r="V223" s="3">
        <f t="shared" si="184"/>
        <v>0</v>
      </c>
      <c r="W223" s="3">
        <f t="shared" si="184"/>
        <v>0</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3.443427503760723E-2</v>
      </c>
      <c r="C224" s="3">
        <f t="shared" si="185"/>
        <v>3.443427503760723E-2</v>
      </c>
      <c r="D224" s="3">
        <f t="shared" si="185"/>
        <v>3.4434275037607216E-2</v>
      </c>
      <c r="E224" s="3">
        <f t="shared" si="185"/>
        <v>3.4434275037607084E-2</v>
      </c>
      <c r="F224" s="3">
        <f t="shared" si="185"/>
        <v>3.4434275037605724E-2</v>
      </c>
      <c r="G224" s="3">
        <f t="shared" si="185"/>
        <v>3.4434275037592159E-2</v>
      </c>
      <c r="H224" s="3">
        <f t="shared" si="185"/>
        <v>3.4434275037456524E-2</v>
      </c>
      <c r="I224" s="3">
        <f t="shared" si="185"/>
        <v>3.4434275036100123E-2</v>
      </c>
      <c r="J224" s="3">
        <f t="shared" si="185"/>
        <v>3.4434275022536154E-2</v>
      </c>
      <c r="K224" s="3">
        <f t="shared" si="185"/>
        <v>3.4434274886896488E-2</v>
      </c>
      <c r="L224" s="3">
        <f t="shared" si="185"/>
        <v>3.4434273530499875E-2</v>
      </c>
      <c r="M224" s="3">
        <f t="shared" si="185"/>
        <v>3.4434259966536609E-2</v>
      </c>
      <c r="N224" s="3">
        <f t="shared" si="185"/>
        <v>3.4434124327197842E-2</v>
      </c>
      <c r="O224" s="3">
        <f t="shared" si="185"/>
        <v>3.4432767963196005E-2</v>
      </c>
      <c r="P224" s="3">
        <f t="shared" si="185"/>
        <v>3.441920726133358E-2</v>
      </c>
      <c r="Q224" s="3">
        <f t="shared" si="185"/>
        <v>3.4283893630525301E-2</v>
      </c>
      <c r="R224" s="3">
        <f t="shared" si="185"/>
        <v>3.2959672970233535E-2</v>
      </c>
      <c r="S224" s="3">
        <f t="shared" si="185"/>
        <v>2.222851464955887E-2</v>
      </c>
      <c r="T224" s="3">
        <f t="shared" si="185"/>
        <v>4.3269904545901051E-4</v>
      </c>
      <c r="U224" s="3">
        <f t="shared" si="185"/>
        <v>3.3801881542398068E-21</v>
      </c>
      <c r="V224" s="3">
        <f t="shared" si="185"/>
        <v>2.8608181901381369E-192</v>
      </c>
      <c r="W224" s="3">
        <f t="shared" si="185"/>
        <v>0</v>
      </c>
      <c r="X224" s="3">
        <f t="shared" si="185"/>
        <v>0</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4.2428216345217838E-2</v>
      </c>
      <c r="C225" s="3">
        <f t="shared" si="186"/>
        <v>4.2428216345217838E-2</v>
      </c>
      <c r="D225" s="3">
        <f t="shared" si="186"/>
        <v>4.2428216345217838E-2</v>
      </c>
      <c r="E225" s="3">
        <f t="shared" si="186"/>
        <v>4.2428216345217817E-2</v>
      </c>
      <c r="F225" s="3">
        <f t="shared" si="186"/>
        <v>4.2428216345217672E-2</v>
      </c>
      <c r="G225" s="3">
        <f t="shared" si="186"/>
        <v>4.2428216345216159E-2</v>
      </c>
      <c r="H225" s="3">
        <f t="shared" si="186"/>
        <v>4.2428216345201088E-2</v>
      </c>
      <c r="I225" s="3">
        <f t="shared" si="186"/>
        <v>4.2428216345050326E-2</v>
      </c>
      <c r="J225" s="3">
        <f t="shared" si="186"/>
        <v>4.2428216343542685E-2</v>
      </c>
      <c r="K225" s="3">
        <f t="shared" si="186"/>
        <v>4.2428216328466301E-2</v>
      </c>
      <c r="L225" s="3">
        <f t="shared" si="186"/>
        <v>4.2428216177702482E-2</v>
      </c>
      <c r="M225" s="3">
        <f t="shared" si="186"/>
        <v>4.2428214670064322E-2</v>
      </c>
      <c r="N225" s="3">
        <f t="shared" si="186"/>
        <v>4.2428199593685663E-2</v>
      </c>
      <c r="O225" s="3">
        <f t="shared" si="186"/>
        <v>4.2428048830193708E-2</v>
      </c>
      <c r="P225" s="3">
        <f t="shared" si="186"/>
        <v>4.2426541224738407E-2</v>
      </c>
      <c r="Q225" s="3">
        <f t="shared" si="186"/>
        <v>4.2411468116226092E-2</v>
      </c>
      <c r="R225" s="3">
        <f t="shared" si="186"/>
        <v>4.2261031248204448E-2</v>
      </c>
      <c r="S225" s="3">
        <f t="shared" si="186"/>
        <v>4.0785701104548933E-2</v>
      </c>
      <c r="T225" s="3">
        <f t="shared" si="186"/>
        <v>2.8588169599955561E-2</v>
      </c>
      <c r="U225" s="3">
        <f t="shared" si="186"/>
        <v>8.1840924520746163E-4</v>
      </c>
      <c r="V225" s="3">
        <f t="shared" si="186"/>
        <v>3.0256054613734785E-19</v>
      </c>
      <c r="W225" s="3">
        <f t="shared" si="186"/>
        <v>1.4428792305717042E-173</v>
      </c>
      <c r="X225" s="3">
        <f t="shared" si="186"/>
        <v>0</v>
      </c>
      <c r="Y225" s="3">
        <f t="shared" si="186"/>
        <v>0</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4.683073576792781E-2</v>
      </c>
      <c r="C226" s="3">
        <f t="shared" si="187"/>
        <v>4.683073576792781E-2</v>
      </c>
      <c r="D226" s="3">
        <f t="shared" si="187"/>
        <v>4.683073576792781E-2</v>
      </c>
      <c r="E226" s="3">
        <f t="shared" si="187"/>
        <v>4.683073576792781E-2</v>
      </c>
      <c r="F226" s="3">
        <f t="shared" si="187"/>
        <v>4.6830735767927796E-2</v>
      </c>
      <c r="G226" s="3">
        <f t="shared" si="187"/>
        <v>4.6830735767927643E-2</v>
      </c>
      <c r="H226" s="3">
        <f t="shared" si="187"/>
        <v>4.6830735767926138E-2</v>
      </c>
      <c r="I226" s="3">
        <f t="shared" si="187"/>
        <v>4.6830735767911129E-2</v>
      </c>
      <c r="J226" s="3">
        <f t="shared" si="187"/>
        <v>4.683073576776102E-2</v>
      </c>
      <c r="K226" s="3">
        <f t="shared" si="187"/>
        <v>4.683073576625988E-2</v>
      </c>
      <c r="L226" s="3">
        <f t="shared" si="187"/>
        <v>4.6830735751248527E-2</v>
      </c>
      <c r="M226" s="3">
        <f t="shared" si="187"/>
        <v>4.6830735601134967E-2</v>
      </c>
      <c r="N226" s="3">
        <f t="shared" si="187"/>
        <v>4.6830734099999376E-2</v>
      </c>
      <c r="O226" s="3">
        <f t="shared" si="187"/>
        <v>4.6830719088646187E-2</v>
      </c>
      <c r="P226" s="3">
        <f t="shared" si="187"/>
        <v>4.6830568975378913E-2</v>
      </c>
      <c r="Q226" s="3">
        <f t="shared" si="187"/>
        <v>4.6829067869170765E-2</v>
      </c>
      <c r="R226" s="3">
        <f t="shared" si="187"/>
        <v>4.6814059453238563E-2</v>
      </c>
      <c r="S226" s="3">
        <f t="shared" si="187"/>
        <v>4.6664239595272522E-2</v>
      </c>
      <c r="T226" s="3">
        <f t="shared" si="187"/>
        <v>4.5192160355024102E-2</v>
      </c>
      <c r="U226" s="3">
        <f t="shared" si="187"/>
        <v>3.2798365190163471E-2</v>
      </c>
      <c r="V226" s="3">
        <f t="shared" si="187"/>
        <v>1.3296677686335217E-3</v>
      </c>
      <c r="W226" s="3">
        <f t="shared" si="187"/>
        <v>1.5946030298756529E-17</v>
      </c>
      <c r="X226" s="3">
        <f t="shared" si="187"/>
        <v>9.8117623207013625E-157</v>
      </c>
      <c r="Y226" s="3">
        <f t="shared" si="187"/>
        <v>0</v>
      </c>
      <c r="Z226" s="3">
        <f t="shared" si="187"/>
        <v>0</v>
      </c>
      <c r="AA226" s="3">
        <f t="shared" si="187"/>
        <v>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5.2334789148442605E-2</v>
      </c>
      <c r="C227" s="3">
        <f t="shared" si="188"/>
        <v>5.2334789148442605E-2</v>
      </c>
      <c r="D227" s="3">
        <f t="shared" si="188"/>
        <v>5.2334789148442605E-2</v>
      </c>
      <c r="E227" s="3">
        <f t="shared" si="188"/>
        <v>5.2334789148442605E-2</v>
      </c>
      <c r="F227" s="3">
        <f t="shared" si="188"/>
        <v>5.2334789148442605E-2</v>
      </c>
      <c r="G227" s="3">
        <f t="shared" si="188"/>
        <v>5.2334789148442584E-2</v>
      </c>
      <c r="H227" s="3">
        <f t="shared" si="188"/>
        <v>5.2334789148442439E-2</v>
      </c>
      <c r="I227" s="3">
        <f t="shared" si="188"/>
        <v>5.2334789148440926E-2</v>
      </c>
      <c r="J227" s="3">
        <f t="shared" si="188"/>
        <v>5.2334789148425792E-2</v>
      </c>
      <c r="K227" s="3">
        <f t="shared" si="188"/>
        <v>5.2334789148274462E-2</v>
      </c>
      <c r="L227" s="3">
        <f t="shared" si="188"/>
        <v>5.2334789146761151E-2</v>
      </c>
      <c r="M227" s="3">
        <f t="shared" si="188"/>
        <v>5.2334789131628125E-2</v>
      </c>
      <c r="N227" s="3">
        <f t="shared" si="188"/>
        <v>5.2334788980297781E-2</v>
      </c>
      <c r="O227" s="3">
        <f t="shared" si="188"/>
        <v>5.2334787466994374E-2</v>
      </c>
      <c r="P227" s="3">
        <f t="shared" si="188"/>
        <v>5.2334772333962727E-2</v>
      </c>
      <c r="Q227" s="3">
        <f t="shared" si="188"/>
        <v>5.2334621003886958E-2</v>
      </c>
      <c r="R227" s="3">
        <f t="shared" si="188"/>
        <v>5.2333107727196057E-2</v>
      </c>
      <c r="S227" s="3">
        <f t="shared" si="188"/>
        <v>5.2317977366713619E-2</v>
      </c>
      <c r="T227" s="3">
        <f t="shared" si="188"/>
        <v>5.2166914147287677E-2</v>
      </c>
      <c r="U227" s="3">
        <f t="shared" si="188"/>
        <v>5.0680065285138833E-2</v>
      </c>
      <c r="V227" s="3">
        <f t="shared" si="188"/>
        <v>3.7953982027897695E-2</v>
      </c>
      <c r="W227" s="3">
        <f t="shared" si="188"/>
        <v>2.1060038805712734E-3</v>
      </c>
      <c r="X227" s="3">
        <f t="shared" si="188"/>
        <v>5.82743397836855E-16</v>
      </c>
      <c r="Y227" s="3">
        <f t="shared" si="188"/>
        <v>1.5334135974315996E-141</v>
      </c>
      <c r="Z227" s="3">
        <f t="shared" si="188"/>
        <v>0</v>
      </c>
      <c r="AA227" s="3">
        <f t="shared" si="188"/>
        <v>0</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5.1279668394799138E-2</v>
      </c>
      <c r="C228" s="3">
        <f t="shared" si="189"/>
        <v>5.1279668394799138E-2</v>
      </c>
      <c r="D228" s="3">
        <f t="shared" si="189"/>
        <v>5.1279668394799138E-2</v>
      </c>
      <c r="E228" s="3">
        <f t="shared" si="189"/>
        <v>5.1279668394799138E-2</v>
      </c>
      <c r="F228" s="3">
        <f t="shared" si="189"/>
        <v>5.1279668394799138E-2</v>
      </c>
      <c r="G228" s="3">
        <f t="shared" si="189"/>
        <v>5.1279668394799138E-2</v>
      </c>
      <c r="H228" s="3">
        <f t="shared" si="189"/>
        <v>5.1279668394799124E-2</v>
      </c>
      <c r="I228" s="3">
        <f t="shared" si="189"/>
        <v>5.1279668394798993E-2</v>
      </c>
      <c r="J228" s="3">
        <f t="shared" si="189"/>
        <v>5.1279668394797653E-2</v>
      </c>
      <c r="K228" s="3">
        <f t="shared" si="189"/>
        <v>5.1279668394784275E-2</v>
      </c>
      <c r="L228" s="3">
        <f t="shared" si="189"/>
        <v>5.1279668394650521E-2</v>
      </c>
      <c r="M228" s="3">
        <f t="shared" si="189"/>
        <v>5.1279668393312917E-2</v>
      </c>
      <c r="N228" s="3">
        <f t="shared" si="189"/>
        <v>5.1279668379936881E-2</v>
      </c>
      <c r="O228" s="3">
        <f t="shared" si="189"/>
        <v>5.1279668246176552E-2</v>
      </c>
      <c r="P228" s="3">
        <f t="shared" si="189"/>
        <v>5.1279666908573253E-2</v>
      </c>
      <c r="Q228" s="3">
        <f t="shared" si="189"/>
        <v>5.1279653532542206E-2</v>
      </c>
      <c r="R228" s="3">
        <f t="shared" si="189"/>
        <v>5.1279519772423676E-2</v>
      </c>
      <c r="S228" s="3">
        <f t="shared" si="189"/>
        <v>5.1278182190428054E-2</v>
      </c>
      <c r="T228" s="3">
        <f t="shared" si="189"/>
        <v>5.1264808289253547E-2</v>
      </c>
      <c r="U228" s="3">
        <f t="shared" si="189"/>
        <v>5.1131260970628513E-2</v>
      </c>
      <c r="V228" s="3">
        <f t="shared" si="189"/>
        <v>4.9814773372190931E-2</v>
      </c>
      <c r="W228" s="3">
        <f t="shared" si="189"/>
        <v>3.8377326393149169E-2</v>
      </c>
      <c r="X228" s="3">
        <f t="shared" si="189"/>
        <v>2.8264433448184872E-3</v>
      </c>
      <c r="Y228" s="3">
        <f t="shared" si="189"/>
        <v>1.3270765432218358E-14</v>
      </c>
      <c r="Z228" s="3">
        <f t="shared" si="189"/>
        <v>6.9095991883981588E-128</v>
      </c>
      <c r="AA228" s="3">
        <f t="shared" si="189"/>
        <v>0</v>
      </c>
      <c r="AB228" s="3">
        <f t="shared" si="189"/>
        <v>0</v>
      </c>
      <c r="AC228" s="3">
        <f t="shared" si="189"/>
        <v>0</v>
      </c>
      <c r="AD228" s="3">
        <f t="shared" si="189"/>
        <v>0</v>
      </c>
      <c r="AE228" s="3">
        <f t="shared" si="189"/>
        <v>0</v>
      </c>
      <c r="AF228" s="3">
        <f t="shared" si="189"/>
        <v>0</v>
      </c>
      <c r="AG228" s="3"/>
      <c r="AH228" s="3"/>
    </row>
    <row r="229" spans="2:34" x14ac:dyDescent="0.25">
      <c r="B229" s="3">
        <f t="shared" ref="B229:AF229" si="190">$C37*EXP(-B$207/$A37/EXP(-$D$126))</f>
        <v>6.7593769214043364E-2</v>
      </c>
      <c r="C229" s="3">
        <f t="shared" si="190"/>
        <v>6.7593769214043364E-2</v>
      </c>
      <c r="D229" s="3">
        <f t="shared" si="190"/>
        <v>6.7593769214043364E-2</v>
      </c>
      <c r="E229" s="3">
        <f t="shared" si="190"/>
        <v>6.7593769214043364E-2</v>
      </c>
      <c r="F229" s="3">
        <f t="shared" si="190"/>
        <v>6.7593769214043364E-2</v>
      </c>
      <c r="G229" s="3">
        <f t="shared" si="190"/>
        <v>6.7593769214043364E-2</v>
      </c>
      <c r="H229" s="3">
        <f t="shared" si="190"/>
        <v>6.7593769214043364E-2</v>
      </c>
      <c r="I229" s="3">
        <f t="shared" si="190"/>
        <v>6.759376921404335E-2</v>
      </c>
      <c r="J229" s="3">
        <f t="shared" si="190"/>
        <v>6.7593769214043184E-2</v>
      </c>
      <c r="K229" s="3">
        <f t="shared" si="190"/>
        <v>6.7593769214041602E-2</v>
      </c>
      <c r="L229" s="3">
        <f t="shared" si="190"/>
        <v>6.7593769214025698E-2</v>
      </c>
      <c r="M229" s="3">
        <f t="shared" si="190"/>
        <v>6.7593769213866645E-2</v>
      </c>
      <c r="N229" s="3">
        <f t="shared" si="190"/>
        <v>6.7593769212276139E-2</v>
      </c>
      <c r="O229" s="3">
        <f t="shared" si="190"/>
        <v>6.759376919637107E-2</v>
      </c>
      <c r="P229" s="3">
        <f t="shared" si="190"/>
        <v>6.759376903732045E-2</v>
      </c>
      <c r="Q229" s="3">
        <f t="shared" si="190"/>
        <v>6.7593767446814196E-2</v>
      </c>
      <c r="R229" s="3">
        <f t="shared" si="190"/>
        <v>6.7593751541753816E-2</v>
      </c>
      <c r="S229" s="3">
        <f t="shared" si="190"/>
        <v>6.7593592491355853E-2</v>
      </c>
      <c r="T229" s="3">
        <f t="shared" si="190"/>
        <v>6.7592002007959839E-2</v>
      </c>
      <c r="U229" s="3">
        <f t="shared" si="190"/>
        <v>6.757609923218641E-2</v>
      </c>
      <c r="V229" s="3">
        <f t="shared" si="190"/>
        <v>6.7417277114051641E-2</v>
      </c>
      <c r="W229" s="3">
        <f t="shared" si="190"/>
        <v>6.5849441979234064E-2</v>
      </c>
      <c r="X229" s="3">
        <f t="shared" si="190"/>
        <v>5.2042842502228341E-2</v>
      </c>
      <c r="Y229" s="3">
        <f t="shared" si="190"/>
        <v>4.9482326365574408E-3</v>
      </c>
      <c r="Z229" s="3">
        <f t="shared" si="190"/>
        <v>2.9877283823174876E-13</v>
      </c>
      <c r="AA229" s="3">
        <f t="shared" si="190"/>
        <v>1.9242041471993781E-115</v>
      </c>
      <c r="AB229" s="3">
        <f t="shared" si="190"/>
        <v>0</v>
      </c>
      <c r="AC229" s="3">
        <f t="shared" si="190"/>
        <v>0</v>
      </c>
      <c r="AD229" s="3">
        <f t="shared" si="190"/>
        <v>0</v>
      </c>
      <c r="AE229" s="3">
        <f t="shared" si="190"/>
        <v>0</v>
      </c>
      <c r="AF229" s="3">
        <f t="shared" si="190"/>
        <v>0</v>
      </c>
      <c r="AG229" s="3"/>
      <c r="AH229" s="3"/>
    </row>
    <row r="230" spans="2:34" x14ac:dyDescent="0.25">
      <c r="B230" s="3">
        <f t="shared" ref="B230:AF230" si="191">$C38*EXP(-B$207/$A38/EXP(-$D$126))</f>
        <v>2.8423077323280126E-2</v>
      </c>
      <c r="C230" s="3">
        <f t="shared" si="191"/>
        <v>2.8423077323280126E-2</v>
      </c>
      <c r="D230" s="3">
        <f t="shared" si="191"/>
        <v>2.8423077323280126E-2</v>
      </c>
      <c r="E230" s="3">
        <f t="shared" si="191"/>
        <v>2.8423077323280126E-2</v>
      </c>
      <c r="F230" s="3">
        <f t="shared" si="191"/>
        <v>2.8423077323280126E-2</v>
      </c>
      <c r="G230" s="3">
        <f t="shared" si="191"/>
        <v>2.8423077323280126E-2</v>
      </c>
      <c r="H230" s="3">
        <f t="shared" si="191"/>
        <v>2.8423077323280126E-2</v>
      </c>
      <c r="I230" s="3">
        <f t="shared" si="191"/>
        <v>2.8423077323280126E-2</v>
      </c>
      <c r="J230" s="3">
        <f t="shared" si="191"/>
        <v>2.8423077323280119E-2</v>
      </c>
      <c r="K230" s="3">
        <f t="shared" si="191"/>
        <v>2.842307732328006E-2</v>
      </c>
      <c r="L230" s="3">
        <f t="shared" si="191"/>
        <v>2.8423077323279457E-2</v>
      </c>
      <c r="M230" s="3">
        <f t="shared" si="191"/>
        <v>2.8423077323273423E-2</v>
      </c>
      <c r="N230" s="3">
        <f t="shared" si="191"/>
        <v>2.8423077323213093E-2</v>
      </c>
      <c r="O230" s="3">
        <f t="shared" si="191"/>
        <v>2.8423077322609774E-2</v>
      </c>
      <c r="P230" s="3">
        <f t="shared" si="191"/>
        <v>2.8423077316576589E-2</v>
      </c>
      <c r="Q230" s="3">
        <f t="shared" si="191"/>
        <v>2.8423077256244773E-2</v>
      </c>
      <c r="R230" s="3">
        <f t="shared" si="191"/>
        <v>2.8423076652926607E-2</v>
      </c>
      <c r="S230" s="3">
        <f t="shared" si="191"/>
        <v>2.8423070619745656E-2</v>
      </c>
      <c r="T230" s="3">
        <f t="shared" si="191"/>
        <v>2.8423010288006579E-2</v>
      </c>
      <c r="U230" s="3">
        <f t="shared" si="191"/>
        <v>2.8422406977659149E-2</v>
      </c>
      <c r="V230" s="3">
        <f t="shared" si="191"/>
        <v>2.8416374578466765E-2</v>
      </c>
      <c r="W230" s="3">
        <f t="shared" si="191"/>
        <v>2.8356120959449053E-2</v>
      </c>
      <c r="X230" s="3">
        <f t="shared" si="191"/>
        <v>2.7760567103172172E-2</v>
      </c>
      <c r="Y230" s="3">
        <f t="shared" si="191"/>
        <v>2.2451402157073634E-2</v>
      </c>
      <c r="Z230" s="3">
        <f t="shared" si="191"/>
        <v>2.687786837978406E-3</v>
      </c>
      <c r="AA230" s="3">
        <f t="shared" si="191"/>
        <v>1.625205786442546E-12</v>
      </c>
      <c r="AB230" s="3">
        <f t="shared" si="191"/>
        <v>1.0618024681045625E-104</v>
      </c>
      <c r="AC230" s="3">
        <f t="shared" si="191"/>
        <v>0</v>
      </c>
      <c r="AD230" s="3">
        <f t="shared" si="191"/>
        <v>0</v>
      </c>
      <c r="AE230" s="3">
        <f t="shared" si="191"/>
        <v>0</v>
      </c>
      <c r="AF230" s="3">
        <f t="shared" si="191"/>
        <v>0</v>
      </c>
      <c r="AG230" s="3"/>
      <c r="AH230" s="3"/>
    </row>
    <row r="231" spans="2:34" x14ac:dyDescent="0.25">
      <c r="B231" s="3">
        <f t="shared" ref="B231:AF231" si="192">$C39*EXP(-B$207/$A39/EXP(-$D$126))</f>
        <v>4.9146519309700876E-2</v>
      </c>
      <c r="C231" s="3">
        <f t="shared" si="192"/>
        <v>4.9146519309700876E-2</v>
      </c>
      <c r="D231" s="3">
        <f t="shared" si="192"/>
        <v>4.9146519309700876E-2</v>
      </c>
      <c r="E231" s="3">
        <f t="shared" si="192"/>
        <v>4.9146519309700876E-2</v>
      </c>
      <c r="F231" s="3">
        <f t="shared" si="192"/>
        <v>4.9146519309700876E-2</v>
      </c>
      <c r="G231" s="3">
        <f t="shared" si="192"/>
        <v>4.9146519309700876E-2</v>
      </c>
      <c r="H231" s="3">
        <f t="shared" si="192"/>
        <v>4.9146519309700876E-2</v>
      </c>
      <c r="I231" s="3">
        <f t="shared" si="192"/>
        <v>4.9146519309700876E-2</v>
      </c>
      <c r="J231" s="3">
        <f t="shared" si="192"/>
        <v>4.9146519309700869E-2</v>
      </c>
      <c r="K231" s="3">
        <f t="shared" si="192"/>
        <v>4.9146519309700841E-2</v>
      </c>
      <c r="L231" s="3">
        <f t="shared" si="192"/>
        <v>4.9146519309700556E-2</v>
      </c>
      <c r="M231" s="3">
        <f t="shared" si="192"/>
        <v>4.914651930969767E-2</v>
      </c>
      <c r="N231" s="3">
        <f t="shared" si="192"/>
        <v>4.9146519309668818E-2</v>
      </c>
      <c r="O231" s="3">
        <f t="shared" si="192"/>
        <v>4.9146519309380292E-2</v>
      </c>
      <c r="P231" s="3">
        <f t="shared" si="192"/>
        <v>4.9146519306495065E-2</v>
      </c>
      <c r="Q231" s="3">
        <f t="shared" si="192"/>
        <v>4.9146519277642728E-2</v>
      </c>
      <c r="R231" s="3">
        <f t="shared" si="192"/>
        <v>4.9146518989119398E-2</v>
      </c>
      <c r="S231" s="3">
        <f t="shared" si="192"/>
        <v>4.9146516103886186E-2</v>
      </c>
      <c r="T231" s="3">
        <f t="shared" si="192"/>
        <v>4.9146487251563398E-2</v>
      </c>
      <c r="U231" s="3">
        <f t="shared" si="192"/>
        <v>4.9146198729267107E-2</v>
      </c>
      <c r="V231" s="3">
        <f t="shared" si="192"/>
        <v>4.9143313599462446E-2</v>
      </c>
      <c r="W231" s="3">
        <f t="shared" si="192"/>
        <v>4.9114471615217578E-2</v>
      </c>
      <c r="X231" s="3">
        <f t="shared" si="192"/>
        <v>4.8826981133015916E-2</v>
      </c>
      <c r="Y231" s="3">
        <f t="shared" si="192"/>
        <v>4.6043024934086289E-2</v>
      </c>
      <c r="Z231" s="3">
        <f t="shared" si="192"/>
        <v>2.5597856118041294E-2</v>
      </c>
      <c r="AA231" s="3">
        <f t="shared" si="192"/>
        <v>7.221061573797027E-5</v>
      </c>
      <c r="AB231" s="3">
        <f t="shared" si="192"/>
        <v>2.3044940662830847E-30</v>
      </c>
      <c r="AC231" s="3">
        <f t="shared" si="192"/>
        <v>2.5253469566993815E-285</v>
      </c>
      <c r="AD231" s="3">
        <f t="shared" si="192"/>
        <v>0</v>
      </c>
      <c r="AE231" s="3">
        <f t="shared" si="192"/>
        <v>0</v>
      </c>
      <c r="AF231" s="3">
        <f t="shared" si="192"/>
        <v>0</v>
      </c>
      <c r="AG231" s="3"/>
      <c r="AH231" s="3"/>
    </row>
    <row r="232" spans="2:34" x14ac:dyDescent="0.25">
      <c r="B232" s="3">
        <f t="shared" ref="B232:AF232" si="193">$C40*EXP(-B$207/$A40/EXP(-$D$126))</f>
        <v>3.1963681817399746E-2</v>
      </c>
      <c r="C232" s="3">
        <f t="shared" si="193"/>
        <v>3.1963681817399746E-2</v>
      </c>
      <c r="D232" s="3">
        <f t="shared" si="193"/>
        <v>3.1963681817399746E-2</v>
      </c>
      <c r="E232" s="3">
        <f t="shared" si="193"/>
        <v>3.1963681817399746E-2</v>
      </c>
      <c r="F232" s="3">
        <f t="shared" si="193"/>
        <v>3.1963681817399746E-2</v>
      </c>
      <c r="G232" s="3">
        <f t="shared" si="193"/>
        <v>3.1963681817399746E-2</v>
      </c>
      <c r="H232" s="3">
        <f t="shared" si="193"/>
        <v>3.1963681817399746E-2</v>
      </c>
      <c r="I232" s="3">
        <f t="shared" si="193"/>
        <v>3.1963681817399746E-2</v>
      </c>
      <c r="J232" s="3">
        <f t="shared" si="193"/>
        <v>3.1963681817399746E-2</v>
      </c>
      <c r="K232" s="3">
        <f t="shared" si="193"/>
        <v>3.1963681817399739E-2</v>
      </c>
      <c r="L232" s="3">
        <f t="shared" si="193"/>
        <v>3.1963681817399725E-2</v>
      </c>
      <c r="M232" s="3">
        <f t="shared" si="193"/>
        <v>3.1963681817399538E-2</v>
      </c>
      <c r="N232" s="3">
        <f t="shared" si="193"/>
        <v>3.1963681817397657E-2</v>
      </c>
      <c r="O232" s="3">
        <f t="shared" si="193"/>
        <v>3.1963681817378894E-2</v>
      </c>
      <c r="P232" s="3">
        <f t="shared" si="193"/>
        <v>3.1963681817191246E-2</v>
      </c>
      <c r="Q232" s="3">
        <f t="shared" si="193"/>
        <v>3.1963681815314761E-2</v>
      </c>
      <c r="R232" s="3">
        <f t="shared" si="193"/>
        <v>3.1963681796549917E-2</v>
      </c>
      <c r="S232" s="3">
        <f t="shared" si="193"/>
        <v>3.1963681608901472E-2</v>
      </c>
      <c r="T232" s="3">
        <f t="shared" si="193"/>
        <v>3.196367973241708E-2</v>
      </c>
      <c r="U232" s="3">
        <f t="shared" si="193"/>
        <v>3.1963660967579244E-2</v>
      </c>
      <c r="V232" s="3">
        <f t="shared" si="193"/>
        <v>3.1963473319806715E-2</v>
      </c>
      <c r="W232" s="3">
        <f t="shared" si="193"/>
        <v>3.1961596902669281E-2</v>
      </c>
      <c r="X232" s="3">
        <f t="shared" si="193"/>
        <v>3.1942838788761439E-2</v>
      </c>
      <c r="Y232" s="3">
        <f t="shared" si="193"/>
        <v>3.1755862082624466E-2</v>
      </c>
      <c r="Z232" s="3">
        <f t="shared" si="193"/>
        <v>2.9945245758497527E-2</v>
      </c>
      <c r="AA232" s="3">
        <f t="shared" si="193"/>
        <v>1.664821313201623E-2</v>
      </c>
      <c r="AB232" s="3">
        <f t="shared" si="193"/>
        <v>4.6964000252840053E-5</v>
      </c>
      <c r="AC232" s="3">
        <f t="shared" si="193"/>
        <v>1.4987859998911194E-30</v>
      </c>
      <c r="AD232" s="3">
        <f t="shared" si="193"/>
        <v>1.6424232628524084E-285</v>
      </c>
      <c r="AE232" s="3">
        <f t="shared" si="193"/>
        <v>0</v>
      </c>
      <c r="AF232" s="3">
        <f t="shared" si="193"/>
        <v>0</v>
      </c>
      <c r="AG232" s="3"/>
      <c r="AH232" s="3"/>
    </row>
    <row r="233" spans="2:34" x14ac:dyDescent="0.25">
      <c r="B233" s="3">
        <f t="shared" ref="B233:AF233" si="194">$C41*EXP(-B$207/$A41/EXP(-$D$126))</f>
        <v>1.8386856006952675E-2</v>
      </c>
      <c r="C233" s="3">
        <f t="shared" si="194"/>
        <v>1.8386856006952675E-2</v>
      </c>
      <c r="D233" s="3">
        <f t="shared" si="194"/>
        <v>1.8386856006952675E-2</v>
      </c>
      <c r="E233" s="3">
        <f t="shared" si="194"/>
        <v>1.8386856006952675E-2</v>
      </c>
      <c r="F233" s="3">
        <f t="shared" si="194"/>
        <v>1.8386856006952675E-2</v>
      </c>
      <c r="G233" s="3">
        <f t="shared" si="194"/>
        <v>1.8386856006952675E-2</v>
      </c>
      <c r="H233" s="3">
        <f t="shared" si="194"/>
        <v>1.8386856006952675E-2</v>
      </c>
      <c r="I233" s="3">
        <f t="shared" si="194"/>
        <v>1.8386856006952675E-2</v>
      </c>
      <c r="J233" s="3">
        <f t="shared" si="194"/>
        <v>1.8386856006952675E-2</v>
      </c>
      <c r="K233" s="3">
        <f t="shared" si="194"/>
        <v>1.8386856006952675E-2</v>
      </c>
      <c r="L233" s="3">
        <f t="shared" si="194"/>
        <v>1.8386856006952671E-2</v>
      </c>
      <c r="M233" s="3">
        <f t="shared" si="194"/>
        <v>1.8386856006952661E-2</v>
      </c>
      <c r="N233" s="3">
        <f t="shared" si="194"/>
        <v>1.8386856006952553E-2</v>
      </c>
      <c r="O233" s="3">
        <f t="shared" si="194"/>
        <v>1.8386856006951474E-2</v>
      </c>
      <c r="P233" s="3">
        <f t="shared" si="194"/>
        <v>1.8386856006940681E-2</v>
      </c>
      <c r="Q233" s="3">
        <f t="shared" si="194"/>
        <v>1.8386856006832736E-2</v>
      </c>
      <c r="R233" s="3">
        <f t="shared" si="194"/>
        <v>1.8386856005753304E-2</v>
      </c>
      <c r="S233" s="3">
        <f t="shared" si="194"/>
        <v>1.8386855994958977E-2</v>
      </c>
      <c r="T233" s="3">
        <f t="shared" si="194"/>
        <v>1.8386855887015687E-2</v>
      </c>
      <c r="U233" s="3">
        <f t="shared" si="194"/>
        <v>1.8386854807582832E-2</v>
      </c>
      <c r="V233" s="3">
        <f t="shared" si="194"/>
        <v>1.8386844013257783E-2</v>
      </c>
      <c r="W233" s="3">
        <f t="shared" si="194"/>
        <v>1.8386736070355798E-2</v>
      </c>
      <c r="X233" s="3">
        <f t="shared" si="194"/>
        <v>1.8385656676188626E-2</v>
      </c>
      <c r="Y233" s="3">
        <f t="shared" si="194"/>
        <v>1.8374866219026779E-2</v>
      </c>
      <c r="Z233" s="3">
        <f t="shared" si="194"/>
        <v>1.8267309342693362E-2</v>
      </c>
      <c r="AA233" s="3">
        <f t="shared" si="194"/>
        <v>1.7225766574693546E-2</v>
      </c>
      <c r="AB233" s="3">
        <f t="shared" si="194"/>
        <v>9.5767533721602734E-3</v>
      </c>
      <c r="AC233" s="3">
        <f t="shared" si="194"/>
        <v>2.7015670944684266E-5</v>
      </c>
      <c r="AD233" s="3">
        <f t="shared" si="194"/>
        <v>8.6216483203237103E-31</v>
      </c>
      <c r="AE233" s="3">
        <f t="shared" si="194"/>
        <v>9.4479103530862623E-286</v>
      </c>
      <c r="AF233" s="3">
        <f t="shared" si="194"/>
        <v>0</v>
      </c>
      <c r="AG233" s="3"/>
      <c r="AH233" s="3"/>
    </row>
    <row r="234" spans="2:34" x14ac:dyDescent="0.25">
      <c r="B234" s="3">
        <f t="shared" ref="B234:AF234" si="195">$C42*EXP(-B$207/$A42/EXP(-$D$126))</f>
        <v>9.0608848838832357E-3</v>
      </c>
      <c r="C234" s="3">
        <f t="shared" si="195"/>
        <v>9.0608848838832357E-3</v>
      </c>
      <c r="D234" s="3">
        <f t="shared" si="195"/>
        <v>9.0608848838832357E-3</v>
      </c>
      <c r="E234" s="3">
        <f t="shared" si="195"/>
        <v>9.0608848838832357E-3</v>
      </c>
      <c r="F234" s="3">
        <f t="shared" si="195"/>
        <v>9.0608848838832357E-3</v>
      </c>
      <c r="G234" s="3">
        <f t="shared" si="195"/>
        <v>9.0608848838832357E-3</v>
      </c>
      <c r="H234" s="3">
        <f t="shared" si="195"/>
        <v>9.0608848838832357E-3</v>
      </c>
      <c r="I234" s="3">
        <f t="shared" si="195"/>
        <v>9.0608848838832357E-3</v>
      </c>
      <c r="J234" s="3">
        <f t="shared" si="195"/>
        <v>9.0608848838832357E-3</v>
      </c>
      <c r="K234" s="3">
        <f t="shared" si="195"/>
        <v>9.0608848838832357E-3</v>
      </c>
      <c r="L234" s="3">
        <f t="shared" si="195"/>
        <v>9.0608848838832357E-3</v>
      </c>
      <c r="M234" s="3">
        <f t="shared" si="195"/>
        <v>9.0608848838832339E-3</v>
      </c>
      <c r="N234" s="3">
        <f t="shared" si="195"/>
        <v>9.0608848838832304E-3</v>
      </c>
      <c r="O234" s="3">
        <f t="shared" si="195"/>
        <v>9.0608848838831767E-3</v>
      </c>
      <c r="P234" s="3">
        <f t="shared" si="195"/>
        <v>9.0608848838826441E-3</v>
      </c>
      <c r="Q234" s="3">
        <f t="shared" si="195"/>
        <v>9.0608848838773254E-3</v>
      </c>
      <c r="R234" s="3">
        <f t="shared" si="195"/>
        <v>9.0608848838241319E-3</v>
      </c>
      <c r="S234" s="3">
        <f t="shared" si="195"/>
        <v>9.0608848832921963E-3</v>
      </c>
      <c r="T234" s="3">
        <f t="shared" si="195"/>
        <v>9.0608848779728437E-3</v>
      </c>
      <c r="U234" s="3">
        <f t="shared" si="195"/>
        <v>9.060884824779316E-3</v>
      </c>
      <c r="V234" s="3">
        <f t="shared" si="195"/>
        <v>9.0608842928440684E-3</v>
      </c>
      <c r="W234" s="3">
        <f t="shared" si="195"/>
        <v>9.060878973493296E-3</v>
      </c>
      <c r="X234" s="3">
        <f t="shared" si="195"/>
        <v>9.0608257801573326E-3</v>
      </c>
      <c r="Y234" s="3">
        <f t="shared" si="195"/>
        <v>9.0602938639727827E-3</v>
      </c>
      <c r="Z234" s="3">
        <f t="shared" si="195"/>
        <v>9.0549764192638573E-3</v>
      </c>
      <c r="AA234" s="3">
        <f t="shared" si="195"/>
        <v>9.0019733134278912E-3</v>
      </c>
      <c r="AB234" s="3">
        <f t="shared" si="195"/>
        <v>8.4887099736313063E-3</v>
      </c>
      <c r="AC234" s="3">
        <f t="shared" si="195"/>
        <v>4.7193418947574714E-3</v>
      </c>
      <c r="AD234" s="3">
        <f t="shared" si="195"/>
        <v>1.3313090851317462E-5</v>
      </c>
      <c r="AE234" s="3">
        <f t="shared" si="195"/>
        <v>4.248674319864078E-31</v>
      </c>
      <c r="AF234" s="3">
        <f t="shared" si="195"/>
        <v>4.65584916041071E-286</v>
      </c>
      <c r="AG234" s="3"/>
      <c r="AH234" s="3"/>
    </row>
    <row r="235" spans="2:34" x14ac:dyDescent="0.25">
      <c r="B235" s="3">
        <f t="shared" ref="B235:AF235" si="196">$C43*EXP(-B$207/$A43/EXP(-$D$126))</f>
        <v>3.4752911115110466E-3</v>
      </c>
      <c r="C235" s="3">
        <f t="shared" si="196"/>
        <v>3.4752911115110466E-3</v>
      </c>
      <c r="D235" s="3">
        <f t="shared" si="196"/>
        <v>3.4752911115110466E-3</v>
      </c>
      <c r="E235" s="3">
        <f t="shared" si="196"/>
        <v>3.4752911115110466E-3</v>
      </c>
      <c r="F235" s="3">
        <f t="shared" si="196"/>
        <v>3.4752911115110466E-3</v>
      </c>
      <c r="G235" s="3">
        <f t="shared" si="196"/>
        <v>3.4752911115110466E-3</v>
      </c>
      <c r="H235" s="3">
        <f t="shared" si="196"/>
        <v>3.4752911115110466E-3</v>
      </c>
      <c r="I235" s="3">
        <f t="shared" si="196"/>
        <v>3.4752911115110466E-3</v>
      </c>
      <c r="J235" s="3">
        <f t="shared" si="196"/>
        <v>3.4752911115110466E-3</v>
      </c>
      <c r="K235" s="3">
        <f t="shared" si="196"/>
        <v>3.4752911115110466E-3</v>
      </c>
      <c r="L235" s="3">
        <f t="shared" si="196"/>
        <v>3.4752911115110466E-3</v>
      </c>
      <c r="M235" s="3">
        <f t="shared" si="196"/>
        <v>3.4752911115110466E-3</v>
      </c>
      <c r="N235" s="3">
        <f t="shared" si="196"/>
        <v>3.4752911115110462E-3</v>
      </c>
      <c r="O235" s="3">
        <f t="shared" si="196"/>
        <v>3.4752911115110445E-3</v>
      </c>
      <c r="P235" s="3">
        <f t="shared" si="196"/>
        <v>3.4752911115110241E-3</v>
      </c>
      <c r="Q235" s="3">
        <f t="shared" si="196"/>
        <v>3.4752911115108198E-3</v>
      </c>
      <c r="R235" s="3">
        <f t="shared" si="196"/>
        <v>3.4752911115087798E-3</v>
      </c>
      <c r="S235" s="3">
        <f t="shared" si="196"/>
        <v>3.4752911114883773E-3</v>
      </c>
      <c r="T235" s="3">
        <f t="shared" si="196"/>
        <v>3.4752911112843543E-3</v>
      </c>
      <c r="U235" s="3">
        <f t="shared" si="196"/>
        <v>3.475291109244123E-3</v>
      </c>
      <c r="V235" s="3">
        <f t="shared" si="196"/>
        <v>3.4752910888418121E-3</v>
      </c>
      <c r="W235" s="3">
        <f t="shared" si="196"/>
        <v>3.4752908848187099E-3</v>
      </c>
      <c r="X235" s="3">
        <f t="shared" si="196"/>
        <v>3.4752888445883472E-3</v>
      </c>
      <c r="Y235" s="3">
        <f t="shared" si="196"/>
        <v>3.4752684423505925E-3</v>
      </c>
      <c r="Z235" s="3">
        <f t="shared" si="196"/>
        <v>3.4750644265605321E-3</v>
      </c>
      <c r="AA235" s="3">
        <f t="shared" si="196"/>
        <v>3.4730249272655177E-3</v>
      </c>
      <c r="AB235" s="3">
        <f t="shared" si="196"/>
        <v>3.4526956520396675E-3</v>
      </c>
      <c r="AC235" s="3">
        <f t="shared" si="196"/>
        <v>3.2558341373511495E-3</v>
      </c>
      <c r="AD235" s="3">
        <f t="shared" si="196"/>
        <v>1.8100977056010566E-3</v>
      </c>
      <c r="AE235" s="3">
        <f t="shared" si="196"/>
        <v>5.1062194140241589E-6</v>
      </c>
      <c r="AF235" s="3">
        <f t="shared" si="196"/>
        <v>1.6295737434863926E-31</v>
      </c>
      <c r="AG235" s="3"/>
      <c r="AH235" s="3"/>
    </row>
    <row r="236" spans="2:34" x14ac:dyDescent="0.25">
      <c r="B236" s="3">
        <f t="shared" ref="B236:AF236" si="197">$C44*EXP(-B$207/$A44/EXP(-$D$126))</f>
        <v>3.7189183043806369E-3</v>
      </c>
      <c r="C236" s="3">
        <f t="shared" si="197"/>
        <v>3.7189183043806369E-3</v>
      </c>
      <c r="D236" s="3">
        <f t="shared" si="197"/>
        <v>3.7189183043806369E-3</v>
      </c>
      <c r="E236" s="3">
        <f t="shared" si="197"/>
        <v>3.7189183043806369E-3</v>
      </c>
      <c r="F236" s="3">
        <f t="shared" si="197"/>
        <v>3.7189183043806369E-3</v>
      </c>
      <c r="G236" s="3">
        <f t="shared" si="197"/>
        <v>3.7189183043806369E-3</v>
      </c>
      <c r="H236" s="3">
        <f t="shared" si="197"/>
        <v>3.7189183043806369E-3</v>
      </c>
      <c r="I236" s="3">
        <f t="shared" si="197"/>
        <v>3.7189183043806369E-3</v>
      </c>
      <c r="J236" s="3">
        <f t="shared" si="197"/>
        <v>3.7189183043806369E-3</v>
      </c>
      <c r="K236" s="3">
        <f t="shared" si="197"/>
        <v>3.7189183043806369E-3</v>
      </c>
      <c r="L236" s="3">
        <f t="shared" si="197"/>
        <v>3.7189183043806369E-3</v>
      </c>
      <c r="M236" s="3">
        <f t="shared" si="197"/>
        <v>3.7189183043806369E-3</v>
      </c>
      <c r="N236" s="3">
        <f t="shared" si="197"/>
        <v>3.7189183043806369E-3</v>
      </c>
      <c r="O236" s="3">
        <f t="shared" si="197"/>
        <v>3.7189183043806365E-3</v>
      </c>
      <c r="P236" s="3">
        <f t="shared" si="197"/>
        <v>3.7189183043806343E-3</v>
      </c>
      <c r="Q236" s="3">
        <f t="shared" si="197"/>
        <v>3.7189183043806126E-3</v>
      </c>
      <c r="R236" s="3">
        <f t="shared" si="197"/>
        <v>3.718918304380394E-3</v>
      </c>
      <c r="S236" s="3">
        <f t="shared" si="197"/>
        <v>3.7189183043782113E-3</v>
      </c>
      <c r="T236" s="3">
        <f t="shared" si="197"/>
        <v>3.7189183043563785E-3</v>
      </c>
      <c r="U236" s="3">
        <f t="shared" si="197"/>
        <v>3.7189183041380527E-3</v>
      </c>
      <c r="V236" s="3">
        <f t="shared" si="197"/>
        <v>3.7189183019547961E-3</v>
      </c>
      <c r="W236" s="3">
        <f t="shared" si="197"/>
        <v>3.7189182801222287E-3</v>
      </c>
      <c r="X236" s="3">
        <f t="shared" si="197"/>
        <v>3.7189180617965617E-3</v>
      </c>
      <c r="Y236" s="3">
        <f t="shared" si="197"/>
        <v>3.7189158785405989E-3</v>
      </c>
      <c r="Z236" s="3">
        <f t="shared" si="197"/>
        <v>3.7188940460514629E-3</v>
      </c>
      <c r="AA236" s="3">
        <f t="shared" si="197"/>
        <v>3.7186757282093906E-3</v>
      </c>
      <c r="AB236" s="3">
        <f t="shared" si="197"/>
        <v>3.7164932545642689E-3</v>
      </c>
      <c r="AC236" s="3">
        <f t="shared" si="197"/>
        <v>3.6947388428254101E-3</v>
      </c>
      <c r="AD236" s="3">
        <f t="shared" si="197"/>
        <v>3.4840768099446864E-3</v>
      </c>
      <c r="AE236" s="3">
        <f t="shared" si="197"/>
        <v>1.9369903913316429E-3</v>
      </c>
      <c r="AF236" s="3">
        <f t="shared" si="197"/>
        <v>5.4641790387285234E-6</v>
      </c>
      <c r="AG236" s="3"/>
      <c r="AH236" s="3"/>
    </row>
    <row r="237" spans="2:34" x14ac:dyDescent="0.25">
      <c r="B237" s="3">
        <f t="shared" ref="B237:AF237" si="198">$C45*EXP(-B$207/$A45/EXP(-$D$126))</f>
        <v>9.6569507815885117E-4</v>
      </c>
      <c r="C237" s="3">
        <f t="shared" si="198"/>
        <v>9.6569507815885117E-4</v>
      </c>
      <c r="D237" s="3">
        <f t="shared" si="198"/>
        <v>9.6569507815885117E-4</v>
      </c>
      <c r="E237" s="3">
        <f t="shared" si="198"/>
        <v>9.6569507815885117E-4</v>
      </c>
      <c r="F237" s="3">
        <f t="shared" si="198"/>
        <v>9.6569507815885117E-4</v>
      </c>
      <c r="G237" s="3">
        <f t="shared" si="198"/>
        <v>9.6569507815885117E-4</v>
      </c>
      <c r="H237" s="3">
        <f t="shared" si="198"/>
        <v>9.6569507815885117E-4</v>
      </c>
      <c r="I237" s="3">
        <f t="shared" si="198"/>
        <v>9.6569507815885117E-4</v>
      </c>
      <c r="J237" s="3">
        <f t="shared" si="198"/>
        <v>9.6569507815885117E-4</v>
      </c>
      <c r="K237" s="3">
        <f t="shared" si="198"/>
        <v>9.6569507815885117E-4</v>
      </c>
      <c r="L237" s="3">
        <f t="shared" si="198"/>
        <v>9.6569507815885117E-4</v>
      </c>
      <c r="M237" s="3">
        <f t="shared" si="198"/>
        <v>9.6569507815885117E-4</v>
      </c>
      <c r="N237" s="3">
        <f t="shared" si="198"/>
        <v>9.6569507815885117E-4</v>
      </c>
      <c r="O237" s="3">
        <f t="shared" si="198"/>
        <v>9.6569507815885117E-4</v>
      </c>
      <c r="P237" s="3">
        <f t="shared" si="198"/>
        <v>9.6569507815885106E-4</v>
      </c>
      <c r="Q237" s="3">
        <f t="shared" si="198"/>
        <v>9.6569507815885052E-4</v>
      </c>
      <c r="R237" s="3">
        <f t="shared" si="198"/>
        <v>9.6569507815884488E-4</v>
      </c>
      <c r="S237" s="3">
        <f t="shared" si="198"/>
        <v>9.6569507815878817E-4</v>
      </c>
      <c r="T237" s="3">
        <f t="shared" si="198"/>
        <v>9.6569507815822124E-4</v>
      </c>
      <c r="U237" s="3">
        <f t="shared" si="198"/>
        <v>9.6569507815255195E-4</v>
      </c>
      <c r="V237" s="3">
        <f t="shared" si="198"/>
        <v>9.6569507809585913E-4</v>
      </c>
      <c r="W237" s="3">
        <f t="shared" si="198"/>
        <v>9.6569507752893079E-4</v>
      </c>
      <c r="X237" s="3">
        <f t="shared" si="198"/>
        <v>9.6569507185964706E-4</v>
      </c>
      <c r="Y237" s="3">
        <f t="shared" si="198"/>
        <v>9.6569501516681206E-4</v>
      </c>
      <c r="Z237" s="3">
        <f t="shared" si="198"/>
        <v>9.65694448238645E-4</v>
      </c>
      <c r="AA237" s="3">
        <f t="shared" si="198"/>
        <v>9.6568877897527938E-4</v>
      </c>
      <c r="AB237" s="3">
        <f t="shared" si="198"/>
        <v>9.6563208817211893E-4</v>
      </c>
      <c r="AC237" s="3">
        <f t="shared" si="198"/>
        <v>9.6506536315026971E-4</v>
      </c>
      <c r="AD237" s="3">
        <f t="shared" si="198"/>
        <v>9.594163742171946E-4</v>
      </c>
      <c r="AE237" s="3">
        <f t="shared" si="198"/>
        <v>9.0471356236240883E-4</v>
      </c>
      <c r="AF237" s="3">
        <f t="shared" si="198"/>
        <v>5.0298015020834987E-4</v>
      </c>
      <c r="AG237" s="3"/>
      <c r="AH237" s="3"/>
    </row>
    <row r="238" spans="2:34" x14ac:dyDescent="0.25">
      <c r="B238" s="3">
        <f t="shared" ref="B238:AF238" si="199">$C46*EXP(-B$207/$A46/EXP(-$D$126))</f>
        <v>6.3325792141422034E-4</v>
      </c>
      <c r="C238" s="3">
        <f t="shared" si="199"/>
        <v>6.3325792141422034E-4</v>
      </c>
      <c r="D238" s="3">
        <f t="shared" si="199"/>
        <v>6.3325792141422034E-4</v>
      </c>
      <c r="E238" s="3">
        <f t="shared" si="199"/>
        <v>6.3325792141422034E-4</v>
      </c>
      <c r="F238" s="3">
        <f t="shared" si="199"/>
        <v>6.3325792141422034E-4</v>
      </c>
      <c r="G238" s="3">
        <f t="shared" si="199"/>
        <v>6.3325792141422034E-4</v>
      </c>
      <c r="H238" s="3">
        <f t="shared" si="199"/>
        <v>6.3325792141422034E-4</v>
      </c>
      <c r="I238" s="3">
        <f t="shared" si="199"/>
        <v>6.3325792141422034E-4</v>
      </c>
      <c r="J238" s="3">
        <f t="shared" si="199"/>
        <v>6.3325792141422034E-4</v>
      </c>
      <c r="K238" s="3">
        <f t="shared" si="199"/>
        <v>6.3325792141422034E-4</v>
      </c>
      <c r="L238" s="3">
        <f t="shared" si="199"/>
        <v>6.3325792141422034E-4</v>
      </c>
      <c r="M238" s="3">
        <f t="shared" si="199"/>
        <v>6.3325792141422034E-4</v>
      </c>
      <c r="N238" s="3">
        <f t="shared" si="199"/>
        <v>6.3325792141422034E-4</v>
      </c>
      <c r="O238" s="3">
        <f t="shared" si="199"/>
        <v>6.3325792141422034E-4</v>
      </c>
      <c r="P238" s="3">
        <f t="shared" si="199"/>
        <v>6.3325792141422034E-4</v>
      </c>
      <c r="Q238" s="3">
        <f t="shared" si="199"/>
        <v>6.3325792141422023E-4</v>
      </c>
      <c r="R238" s="3">
        <f t="shared" si="199"/>
        <v>6.3325792141421991E-4</v>
      </c>
      <c r="S238" s="3">
        <f t="shared" si="199"/>
        <v>6.3325792141421622E-4</v>
      </c>
      <c r="T238" s="3">
        <f t="shared" si="199"/>
        <v>6.3325792141417903E-4</v>
      </c>
      <c r="U238" s="3">
        <f t="shared" si="199"/>
        <v>6.3325792141380726E-4</v>
      </c>
      <c r="V238" s="3">
        <f t="shared" si="199"/>
        <v>6.3325792141008964E-4</v>
      </c>
      <c r="W238" s="3">
        <f t="shared" si="199"/>
        <v>6.332579213729131E-4</v>
      </c>
      <c r="X238" s="3">
        <f t="shared" si="199"/>
        <v>6.3325792100114777E-4</v>
      </c>
      <c r="Y238" s="3">
        <f t="shared" si="199"/>
        <v>6.3325791728349517E-4</v>
      </c>
      <c r="Z238" s="3">
        <f t="shared" si="199"/>
        <v>6.3325788010697062E-4</v>
      </c>
      <c r="AA238" s="3">
        <f t="shared" si="199"/>
        <v>6.3325750834184434E-4</v>
      </c>
      <c r="AB238" s="3">
        <f t="shared" si="199"/>
        <v>6.3325379070258529E-4</v>
      </c>
      <c r="AC238" s="3">
        <f t="shared" si="199"/>
        <v>6.3321661551034845E-4</v>
      </c>
      <c r="AD238" s="3">
        <f t="shared" si="199"/>
        <v>6.3284498359726692E-4</v>
      </c>
      <c r="AE238" s="3">
        <f t="shared" si="199"/>
        <v>6.291406393681637E-4</v>
      </c>
      <c r="AF238" s="3">
        <f t="shared" si="199"/>
        <v>5.9326907937562478E-4</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2.585470347840544E-2</v>
      </c>
      <c r="C240" s="3">
        <f t="shared" si="201"/>
        <v>2.585470347840544E-2</v>
      </c>
      <c r="D240" s="3">
        <f t="shared" si="201"/>
        <v>2.585470347840544E-2</v>
      </c>
      <c r="E240" s="3">
        <f t="shared" si="201"/>
        <v>2.585470347840544E-2</v>
      </c>
      <c r="F240" s="3">
        <f t="shared" si="201"/>
        <v>2.585470347840544E-2</v>
      </c>
      <c r="G240" s="3">
        <f t="shared" si="201"/>
        <v>2.585470347840544E-2</v>
      </c>
      <c r="H240" s="3">
        <f t="shared" si="201"/>
        <v>2.585470347840544E-2</v>
      </c>
      <c r="I240" s="3">
        <f t="shared" si="201"/>
        <v>2.585470347840544E-2</v>
      </c>
      <c r="J240" s="3">
        <f t="shared" si="201"/>
        <v>2.585470347840544E-2</v>
      </c>
      <c r="K240" s="3">
        <f t="shared" si="201"/>
        <v>2.585470347840544E-2</v>
      </c>
      <c r="L240" s="3">
        <f t="shared" si="201"/>
        <v>2.585470347840544E-2</v>
      </c>
      <c r="M240" s="3">
        <f t="shared" si="201"/>
        <v>2.585470347840544E-2</v>
      </c>
      <c r="N240" s="3">
        <f t="shared" si="201"/>
        <v>2.585470347840544E-2</v>
      </c>
      <c r="O240" s="3">
        <f t="shared" si="201"/>
        <v>2.585470347840544E-2</v>
      </c>
      <c r="P240" s="3">
        <f t="shared" si="201"/>
        <v>2.585470347840544E-2</v>
      </c>
      <c r="Q240" s="3">
        <f t="shared" si="201"/>
        <v>2.585470347840544E-2</v>
      </c>
      <c r="R240" s="3">
        <f t="shared" si="201"/>
        <v>2.585470347840544E-2</v>
      </c>
      <c r="S240" s="3">
        <f t="shared" si="201"/>
        <v>2.5854703478405437E-2</v>
      </c>
      <c r="T240" s="3">
        <f t="shared" si="201"/>
        <v>2.5854703478405423E-2</v>
      </c>
      <c r="U240" s="3">
        <f t="shared" si="201"/>
        <v>2.585470347840527E-2</v>
      </c>
      <c r="V240" s="3">
        <f t="shared" si="201"/>
        <v>2.5854703478403754E-2</v>
      </c>
      <c r="W240" s="3">
        <f t="shared" si="201"/>
        <v>2.5854703478388575E-2</v>
      </c>
      <c r="X240" s="3">
        <f t="shared" si="201"/>
        <v>2.585470347823679E-2</v>
      </c>
      <c r="Y240" s="3">
        <f t="shared" si="201"/>
        <v>2.5854703476718945E-2</v>
      </c>
      <c r="Z240" s="3">
        <f t="shared" si="201"/>
        <v>2.5854703461540483E-2</v>
      </c>
      <c r="AA240" s="3">
        <f t="shared" si="201"/>
        <v>2.5854703309755873E-2</v>
      </c>
      <c r="AB240" s="3">
        <f t="shared" si="201"/>
        <v>2.5854701791909847E-2</v>
      </c>
      <c r="AC240" s="3">
        <f t="shared" si="201"/>
        <v>2.585468661345447E-2</v>
      </c>
      <c r="AD240" s="3">
        <f t="shared" si="201"/>
        <v>2.585453482939077E-2</v>
      </c>
      <c r="AE240" s="3">
        <f t="shared" si="201"/>
        <v>2.5853017037761904E-2</v>
      </c>
      <c r="AF240" s="3">
        <f t="shared" si="201"/>
        <v>2.5837844021221693E-2</v>
      </c>
      <c r="AG240" s="3"/>
      <c r="AH240" s="3"/>
    </row>
    <row r="241" spans="1:34" x14ac:dyDescent="0.25">
      <c r="A241" s="79">
        <f>AVERAGE(B241:AF241)</f>
        <v>1.3487485172397604E-3</v>
      </c>
      <c r="B241" s="80">
        <f>IF($A$64&lt;=B207,IF($B$64&gt;=B207,ABS((B209-B208)/B208),0),0)</f>
        <v>0</v>
      </c>
      <c r="C241" s="80">
        <f t="shared" ref="C241:AF241" si="202">IF($A$64&lt;=C207,IF($B$64&gt;=C207,ABS((C209-C208)/C208),0),0)</f>
        <v>0</v>
      </c>
      <c r="D241" s="80">
        <f t="shared" si="202"/>
        <v>0</v>
      </c>
      <c r="E241" s="80">
        <f t="shared" si="202"/>
        <v>0</v>
      </c>
      <c r="F241" s="80">
        <f t="shared" si="202"/>
        <v>0</v>
      </c>
      <c r="G241" s="80">
        <f t="shared" si="202"/>
        <v>0</v>
      </c>
      <c r="H241" s="80">
        <f t="shared" si="202"/>
        <v>0</v>
      </c>
      <c r="I241" s="80">
        <f t="shared" si="202"/>
        <v>0</v>
      </c>
      <c r="J241" s="80">
        <f t="shared" si="202"/>
        <v>0</v>
      </c>
      <c r="K241" s="80">
        <f t="shared" si="202"/>
        <v>0</v>
      </c>
      <c r="L241" s="80">
        <f t="shared" si="202"/>
        <v>2.2147077612221801E-3</v>
      </c>
      <c r="M241" s="80">
        <f t="shared" si="202"/>
        <v>2.0905210541151777E-3</v>
      </c>
      <c r="N241" s="80">
        <f t="shared" si="202"/>
        <v>3.0231185686638608E-3</v>
      </c>
      <c r="O241" s="80">
        <f t="shared" si="202"/>
        <v>2.1301559601519331E-3</v>
      </c>
      <c r="P241" s="80">
        <f t="shared" si="202"/>
        <v>3.347968793923602E-3</v>
      </c>
      <c r="Q241" s="80">
        <f t="shared" si="202"/>
        <v>2.9231492786099037E-3</v>
      </c>
      <c r="R241" s="80">
        <f t="shared" si="202"/>
        <v>3.1334636898830755E-3</v>
      </c>
      <c r="S241" s="80">
        <f t="shared" si="202"/>
        <v>6.7215097201317746E-4</v>
      </c>
      <c r="T241" s="80">
        <f t="shared" si="202"/>
        <v>5.7294469122726489E-3</v>
      </c>
      <c r="U241" s="80">
        <f t="shared" si="202"/>
        <v>8.7896182173677548E-3</v>
      </c>
      <c r="V241" s="80">
        <f t="shared" si="202"/>
        <v>7.7569028262092577E-3</v>
      </c>
      <c r="W241" s="80">
        <f t="shared" si="202"/>
        <v>0</v>
      </c>
      <c r="X241" s="80">
        <f t="shared" si="202"/>
        <v>0</v>
      </c>
      <c r="Y241" s="80">
        <f t="shared" si="202"/>
        <v>0</v>
      </c>
      <c r="Z241" s="80">
        <f t="shared" si="202"/>
        <v>0</v>
      </c>
      <c r="AA241" s="80">
        <f t="shared" si="202"/>
        <v>0</v>
      </c>
      <c r="AB241" s="80">
        <f t="shared" si="202"/>
        <v>0</v>
      </c>
      <c r="AC241" s="80">
        <f t="shared" si="202"/>
        <v>0</v>
      </c>
      <c r="AD241" s="80">
        <f t="shared" si="202"/>
        <v>0</v>
      </c>
      <c r="AE241" s="80">
        <f t="shared" si="202"/>
        <v>0</v>
      </c>
      <c r="AF241" s="80">
        <f t="shared" si="202"/>
        <v>0</v>
      </c>
    </row>
    <row r="242" spans="1:34" x14ac:dyDescent="0.25">
      <c r="B242" s="21">
        <f>(B209-B208)^2</f>
        <v>287262.45502354304</v>
      </c>
      <c r="C242" s="21">
        <f t="shared" ref="C242:AF242" si="203">(C209-C208)^2</f>
        <v>80019.570679167256</v>
      </c>
      <c r="D242" s="21">
        <f t="shared" si="203"/>
        <v>6153.1262045629037</v>
      </c>
      <c r="E242" s="21">
        <f t="shared" si="203"/>
        <v>5166.5865411730801</v>
      </c>
      <c r="F242" s="21">
        <f t="shared" si="203"/>
        <v>1242.9635641532718</v>
      </c>
      <c r="G242" s="21">
        <f t="shared" si="203"/>
        <v>812.07745477257106</v>
      </c>
      <c r="H242" s="21">
        <f t="shared" si="203"/>
        <v>510.94702335408181</v>
      </c>
      <c r="I242" s="21">
        <f t="shared" si="203"/>
        <v>414.77558578297061</v>
      </c>
      <c r="J242" s="21">
        <f t="shared" si="203"/>
        <v>380.42780988418167</v>
      </c>
      <c r="K242" s="21">
        <f t="shared" si="203"/>
        <v>287.44716436157552</v>
      </c>
      <c r="L242" s="21">
        <f t="shared" si="203"/>
        <v>240.23044945509773</v>
      </c>
      <c r="M242" s="21">
        <f t="shared" si="203"/>
        <v>191.61651295425364</v>
      </c>
      <c r="N242" s="21">
        <f t="shared" si="203"/>
        <v>363.56154810239246</v>
      </c>
      <c r="O242" s="21">
        <f t="shared" si="203"/>
        <v>164.5999259361715</v>
      </c>
      <c r="P242" s="21">
        <f t="shared" si="203"/>
        <v>369.77874926199848</v>
      </c>
      <c r="Q242" s="21">
        <f t="shared" si="203"/>
        <v>254.66463863253398</v>
      </c>
      <c r="R242" s="21">
        <f t="shared" si="203"/>
        <v>264.07996026935683</v>
      </c>
      <c r="S242" s="21">
        <f t="shared" si="203"/>
        <v>10.695240600126986</v>
      </c>
      <c r="T242" s="21">
        <f t="shared" si="203"/>
        <v>656.29009547678481</v>
      </c>
      <c r="U242" s="21">
        <f t="shared" si="203"/>
        <v>1255.5108260068962</v>
      </c>
      <c r="V242" s="21">
        <f t="shared" si="203"/>
        <v>764.85687963011458</v>
      </c>
      <c r="W242" s="21">
        <f t="shared" si="203"/>
        <v>73.376141457576111</v>
      </c>
      <c r="X242" s="21">
        <f t="shared" si="203"/>
        <v>43.628813137004165</v>
      </c>
      <c r="Y242" s="21">
        <f t="shared" si="203"/>
        <v>388.59030934422827</v>
      </c>
      <c r="Z242" s="21">
        <f t="shared" si="203"/>
        <v>726.31919321063219</v>
      </c>
      <c r="AA242" s="21">
        <f t="shared" si="203"/>
        <v>13.621174825579415</v>
      </c>
      <c r="AB242" s="21">
        <f t="shared" si="203"/>
        <v>9.1055985157667703</v>
      </c>
      <c r="AC242" s="21">
        <f t="shared" si="203"/>
        <v>5.6562259114757936</v>
      </c>
      <c r="AD242" s="21">
        <f t="shared" si="203"/>
        <v>5.5600657393167236E-3</v>
      </c>
      <c r="AE242" s="21">
        <f t="shared" si="203"/>
        <v>6.8822473554035993E-2</v>
      </c>
      <c r="AF242" s="21">
        <f t="shared" si="203"/>
        <v>0.43572611347016976</v>
      </c>
      <c r="AG242" s="3"/>
      <c r="AH242" s="3"/>
    </row>
    <row r="243" spans="1:34" x14ac:dyDescent="0.25">
      <c r="A243" s="71">
        <f>SUM(B243:AF243)</f>
        <v>4535.8848263257269</v>
      </c>
      <c r="B243" s="60">
        <f>IF($A$64&lt;=B207,IF($B$64&gt;=B207,ABS(B242),0),0)</f>
        <v>0</v>
      </c>
      <c r="C243" s="60">
        <f t="shared" ref="C243" si="204">IF($A$64&lt;=C207,IF($B$64&gt;=C207,ABS(C242),0),0)</f>
        <v>0</v>
      </c>
      <c r="D243" s="60">
        <f t="shared" ref="D243" si="205">IF($A$64&lt;=D207,IF($B$64&gt;=D207,ABS(D242),0),0)</f>
        <v>0</v>
      </c>
      <c r="E243" s="60">
        <f t="shared" ref="E243" si="206">IF($A$64&lt;=E207,IF($B$64&gt;=E207,ABS(E242),0),0)</f>
        <v>0</v>
      </c>
      <c r="F243" s="60">
        <f t="shared" ref="F243" si="207">IF($A$64&lt;=F207,IF($B$64&gt;=F207,ABS(F242),0),0)</f>
        <v>0</v>
      </c>
      <c r="G243" s="60">
        <f t="shared" ref="G243" si="208">IF($A$64&lt;=G207,IF($B$64&gt;=G207,ABS(G242),0),0)</f>
        <v>0</v>
      </c>
      <c r="H243" s="60">
        <f t="shared" ref="H243" si="209">IF($A$64&lt;=H207,IF($B$64&gt;=H207,ABS(H242),0),0)</f>
        <v>0</v>
      </c>
      <c r="I243" s="60">
        <f t="shared" ref="I243" si="210">IF($A$64&lt;=I207,IF($B$64&gt;=I207,ABS(I242),0),0)</f>
        <v>0</v>
      </c>
      <c r="J243" s="60">
        <f t="shared" ref="J243" si="211">IF($A$64&lt;=J207,IF($B$64&gt;=J207,ABS(J242),0),0)</f>
        <v>0</v>
      </c>
      <c r="K243" s="60">
        <f t="shared" ref="K243" si="212">IF($A$64&lt;=K207,IF($B$64&gt;=K207,ABS(K242),0),0)</f>
        <v>0</v>
      </c>
      <c r="L243" s="60">
        <f t="shared" ref="L243" si="213">IF($A$64&lt;=L207,IF($B$64&gt;=L207,ABS(L242),0),0)</f>
        <v>240.23044945509773</v>
      </c>
      <c r="M243" s="60">
        <f t="shared" ref="M243" si="214">IF($A$64&lt;=M207,IF($B$64&gt;=M207,ABS(M242),0),0)</f>
        <v>191.61651295425364</v>
      </c>
      <c r="N243" s="60">
        <f t="shared" ref="N243" si="215">IF($A$64&lt;=N207,IF($B$64&gt;=N207,ABS(N242),0),0)</f>
        <v>363.56154810239246</v>
      </c>
      <c r="O243" s="60">
        <f t="shared" ref="O243" si="216">IF($A$64&lt;=O207,IF($B$64&gt;=O207,ABS(O242),0),0)</f>
        <v>164.5999259361715</v>
      </c>
      <c r="P243" s="60">
        <f t="shared" ref="P243" si="217">IF($A$64&lt;=P207,IF($B$64&gt;=P207,ABS(P242),0),0)</f>
        <v>369.77874926199848</v>
      </c>
      <c r="Q243" s="60">
        <f t="shared" ref="Q243" si="218">IF($A$64&lt;=Q207,IF($B$64&gt;=Q207,ABS(Q242),0),0)</f>
        <v>254.66463863253398</v>
      </c>
      <c r="R243" s="60">
        <f t="shared" ref="R243" si="219">IF($A$64&lt;=R207,IF($B$64&gt;=R207,ABS(R242),0),0)</f>
        <v>264.07996026935683</v>
      </c>
      <c r="S243" s="60">
        <f t="shared" ref="S243" si="220">IF($A$64&lt;=S207,IF($B$64&gt;=S207,ABS(S242),0),0)</f>
        <v>10.695240600126986</v>
      </c>
      <c r="T243" s="60">
        <f t="shared" ref="T243" si="221">IF($A$64&lt;=T207,IF($B$64&gt;=T207,ABS(T242),0),0)</f>
        <v>656.29009547678481</v>
      </c>
      <c r="U243" s="60">
        <f t="shared" ref="U243" si="222">IF($A$64&lt;=U207,IF($B$64&gt;=U207,ABS(U242),0),0)</f>
        <v>1255.5108260068962</v>
      </c>
      <c r="V243" s="60">
        <f t="shared" ref="V243" si="223">IF($A$64&lt;=V207,IF($B$64&gt;=V207,ABS(V242),0),0)</f>
        <v>764.85687963011458</v>
      </c>
      <c r="W243" s="60">
        <f t="shared" ref="W243" si="224">IF($A$64&lt;=W207,IF($B$64&gt;=W207,ABS(W242),0),0)</f>
        <v>0</v>
      </c>
      <c r="X243" s="60">
        <f t="shared" ref="X243" si="225">IF($A$64&lt;=X207,IF($B$64&gt;=X207,ABS(X242),0),0)</f>
        <v>0</v>
      </c>
      <c r="Y243" s="60">
        <f t="shared" ref="Y243" si="226">IF($A$64&lt;=Y207,IF($B$64&gt;=Y207,ABS(Y242),0),0)</f>
        <v>0</v>
      </c>
      <c r="Z243" s="60">
        <f t="shared" ref="Z243" si="227">IF($A$64&lt;=Z207,IF($B$64&gt;=Z207,ABS(Z242),0),0)</f>
        <v>0</v>
      </c>
      <c r="AA243" s="60">
        <f t="shared" ref="AA243" si="228">IF($A$64&lt;=AA207,IF($B$64&gt;=AA207,ABS(AA242),0),0)</f>
        <v>0</v>
      </c>
      <c r="AB243" s="60">
        <f t="shared" ref="AB243" si="229">IF($A$64&lt;=AB207,IF($B$64&gt;=AB207,ABS(AB242),0),0)</f>
        <v>0</v>
      </c>
      <c r="AC243" s="60">
        <f t="shared" ref="AC243" si="230">IF($A$64&lt;=AC207,IF($B$64&gt;=AC207,ABS(AC242),0),0)</f>
        <v>0</v>
      </c>
      <c r="AD243" s="60">
        <f t="shared" ref="AD243" si="231">IF($A$64&lt;=AD207,IF($B$64&gt;=AD207,ABS(AD242),0),0)</f>
        <v>0</v>
      </c>
      <c r="AE243" s="60">
        <f t="shared" ref="AE243" si="232">IF($A$64&lt;=AE207,IF($B$64&gt;=AE207,ABS(AE242),0),0)</f>
        <v>0</v>
      </c>
      <c r="AF243" s="60">
        <f t="shared" ref="AF243" si="233">IF($A$64&lt;=AF207,IF($B$64&gt;=AF207,ABS(AF242),0),0)</f>
        <v>0</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9521.3086452220268</v>
      </c>
      <c r="C247" s="26">
        <f>INDEX(Comparison!$AM$3:$AS$33,G$14,$E$122)</f>
        <v>9264.9569626866305</v>
      </c>
      <c r="D247" s="26">
        <f>INDEX(Comparison!$AM$3:$AS$33,H$14,$E$122)</f>
        <v>9040.3201170121174</v>
      </c>
      <c r="E247" s="26">
        <f>INDEX(Comparison!$AM$3:$AS$33,I$14,$E$122)</f>
        <v>8795.6860246078559</v>
      </c>
      <c r="F247" s="26">
        <f>INDEX(Comparison!$AM$3:$AS$33,J$14,$E$122)</f>
        <v>8532.6912536798991</v>
      </c>
      <c r="G247" s="26">
        <f>INDEX(Comparison!$AM$3:$AS$33,K$14,$E$122)</f>
        <v>8244.2374276121209</v>
      </c>
      <c r="H247" s="26">
        <f>INDEX(Comparison!$AM$3:$AS$33,L$14,$E$122)</f>
        <v>7958.2786468847135</v>
      </c>
      <c r="I247" s="26">
        <f>INDEX(Comparison!$AM$3:$AS$33,M$14,$E$122)</f>
        <v>7687.376383967704</v>
      </c>
      <c r="J247" s="26">
        <f>INDEX(Comparison!$AM$3:$AS$33,N$14,$E$122)</f>
        <v>7374.3712231841728</v>
      </c>
      <c r="K247" s="26">
        <f>INDEX(Comparison!$AM$3:$AS$33,O$14,$E$122)</f>
        <v>7006.1552436770207</v>
      </c>
      <c r="L247" s="26">
        <f>INDEX(Comparison!$AM$3:$AS$33,P$14,$E$122)</f>
        <v>6628.8785990090082</v>
      </c>
      <c r="M247" s="26">
        <f>INDEX(Comparison!$AM$3:$AS$33,Q$14,$E$122)</f>
        <v>6311.3720523241727</v>
      </c>
      <c r="N247" s="26">
        <f>INDEX(Comparison!$AM$3:$AS$33,R$14,$E$122)</f>
        <v>6028.2349504089671</v>
      </c>
      <c r="O247" s="26">
        <f>INDEX(Comparison!$AM$3:$AS$33,S$14,$E$122)</f>
        <v>5748.7087759518809</v>
      </c>
      <c r="P247" s="26">
        <f>INDEX(Comparison!$AM$3:$AS$33,T$14,$E$122)</f>
        <v>5465.7818754747968</v>
      </c>
      <c r="Q247" s="26">
        <f>INDEX(Comparison!$AM$3:$AS$33,U$14,$E$122)</f>
        <v>5192.657072535425</v>
      </c>
      <c r="R247" s="26">
        <f>INDEX(Comparison!$AM$3:$AS$33,V$14,$E$122)</f>
        <v>4882.9062343607484</v>
      </c>
      <c r="S247" s="26">
        <f>INDEX(Comparison!$AM$3:$AS$33,W$14,$E$122)</f>
        <v>4501.5398610325774</v>
      </c>
      <c r="T247" s="26">
        <f>INDEX(Comparison!$AM$3:$AS$33,X$14,$E$122)</f>
        <v>4066.6104281555185</v>
      </c>
      <c r="U247" s="26">
        <f>INDEX(Comparison!$AM$3:$AS$33,Y$14,$E$122)</f>
        <v>3597.5685781370817</v>
      </c>
      <c r="V247" s="26">
        <f>INDEX(Comparison!$AM$3:$AS$33,Z$14,$E$122)</f>
        <v>3102.4717339118838</v>
      </c>
      <c r="W247" s="26">
        <f>INDEX(Comparison!$AM$3:$AS$33,AA$14,$E$122)</f>
        <v>2568.6205512482802</v>
      </c>
      <c r="X247" s="26">
        <f>INDEX(Comparison!$AM$3:$AS$33,AB$14,$E$122)</f>
        <v>2000.7316961631682</v>
      </c>
      <c r="Y247" s="26">
        <f>INDEX(Comparison!$AM$3:$AS$33,AC$14,$E$122)</f>
        <v>1467.5042196825975</v>
      </c>
      <c r="Z247" s="26">
        <f>INDEX(Comparison!$AM$3:$AS$33,AD$14,$E$122)</f>
        <v>1058.8226695409851</v>
      </c>
      <c r="AA247" s="26">
        <f>INDEX(Comparison!$AM$3:$AS$33,AE$14,$E$122)</f>
        <v>791.47453302018846</v>
      </c>
      <c r="AB247" s="26">
        <f>INDEX(Comparison!$AM$3:$AS$33,AF$14,$E$122)</f>
        <v>655.80009654126911</v>
      </c>
      <c r="AC247" s="26">
        <f>INDEX(Comparison!$AM$3:$AS$33,AG$14,$E$122)</f>
        <v>585.43210743850034</v>
      </c>
      <c r="AD247" s="26">
        <f>INDEX(Comparison!$AM$3:$AS$33,AH$14,$E$122)</f>
        <v>550.22961238933465</v>
      </c>
      <c r="AE247" s="26">
        <f>INDEX(Comparison!$AM$3:$AS$33,AI$14,$E$122)</f>
        <v>525.95012363885235</v>
      </c>
      <c r="AF247" s="26">
        <f>INDEX(Comparison!$AM$3:$AS$33,AJ$14,$E$122)</f>
        <v>515.3503886433972</v>
      </c>
      <c r="AG247" s="26"/>
      <c r="AH247" s="26"/>
    </row>
    <row r="248" spans="1:34" x14ac:dyDescent="0.25">
      <c r="A248" s="70" t="s">
        <v>22</v>
      </c>
      <c r="B248" s="27">
        <f>($C$17+SUM(B249:B279))*$B$51</f>
        <v>9193.3609994680373</v>
      </c>
      <c r="C248" s="27">
        <f t="shared" ref="C248:AF248" si="234">($C$17+SUM(C249:C279))*$B$51</f>
        <v>9186.4546358635271</v>
      </c>
      <c r="D248" s="27">
        <f t="shared" si="234"/>
        <v>9122.1188352273239</v>
      </c>
      <c r="E248" s="27">
        <f t="shared" si="234"/>
        <v>8781.150978579366</v>
      </c>
      <c r="F248" s="27">
        <f t="shared" si="234"/>
        <v>8515.7500865309103</v>
      </c>
      <c r="G248" s="27">
        <f t="shared" si="234"/>
        <v>8235.7555560555393</v>
      </c>
      <c r="H248" s="27">
        <f t="shared" si="234"/>
        <v>7950.9488786351621</v>
      </c>
      <c r="I248" s="27">
        <f t="shared" si="234"/>
        <v>7680.1545972911199</v>
      </c>
      <c r="J248" s="27">
        <f t="shared" si="234"/>
        <v>7369.2938308660287</v>
      </c>
      <c r="K248" s="27">
        <f t="shared" si="234"/>
        <v>7001.9765119328076</v>
      </c>
      <c r="L248" s="27">
        <f t="shared" si="234"/>
        <v>6624.5956620927363</v>
      </c>
      <c r="M248" s="27">
        <f t="shared" si="234"/>
        <v>6300.6929631550593</v>
      </c>
      <c r="N248" s="27">
        <f t="shared" si="234"/>
        <v>6022.4976278695749</v>
      </c>
      <c r="O248" s="27">
        <f t="shared" si="234"/>
        <v>5736.7106698134867</v>
      </c>
      <c r="P248" s="27">
        <f t="shared" si="234"/>
        <v>5454.2467955763886</v>
      </c>
      <c r="Q248" s="27">
        <f t="shared" si="234"/>
        <v>5181.5037638252679</v>
      </c>
      <c r="R248" s="27">
        <f t="shared" si="234"/>
        <v>4875.6433613251484</v>
      </c>
      <c r="S248" s="27">
        <f t="shared" si="234"/>
        <v>4512.9025620105476</v>
      </c>
      <c r="T248" s="27">
        <f t="shared" si="234"/>
        <v>4084.6591875178333</v>
      </c>
      <c r="U248" s="27">
        <f t="shared" si="234"/>
        <v>3613.0725721019967</v>
      </c>
      <c r="V248" s="27">
        <f t="shared" si="234"/>
        <v>3102.3179266095735</v>
      </c>
      <c r="W248" s="27">
        <f t="shared" si="234"/>
        <v>2572.0976193438132</v>
      </c>
      <c r="X248" s="27">
        <f t="shared" si="234"/>
        <v>1978.144971366585</v>
      </c>
      <c r="Y248" s="27">
        <f t="shared" si="234"/>
        <v>1501.6874281138382</v>
      </c>
      <c r="Z248" s="27">
        <f t="shared" si="234"/>
        <v>1053.977782315462</v>
      </c>
      <c r="AA248" s="27">
        <f t="shared" si="234"/>
        <v>795.03040261965009</v>
      </c>
      <c r="AB248" s="27">
        <f t="shared" si="234"/>
        <v>652.76368245509764</v>
      </c>
      <c r="AC248" s="27">
        <f t="shared" si="234"/>
        <v>585.48174722601846</v>
      </c>
      <c r="AD248" s="27">
        <f t="shared" si="234"/>
        <v>550.42431912698794</v>
      </c>
      <c r="AE248" s="27">
        <f t="shared" si="234"/>
        <v>525.0924411407492</v>
      </c>
      <c r="AF248" s="27">
        <f t="shared" si="234"/>
        <v>515.6600090448087</v>
      </c>
      <c r="AG248" s="27"/>
      <c r="AH248" s="27"/>
    </row>
    <row r="249" spans="1:34" x14ac:dyDescent="0.25">
      <c r="B249" s="3">
        <f t="shared" ref="B249:AF249" si="235">$C18*EXP(-B$246/$A18/EXP(-$E$126))</f>
        <v>0</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4.8432514408846654E-2</v>
      </c>
      <c r="C250" s="3">
        <f t="shared" si="236"/>
        <v>4.7781393336305503E-2</v>
      </c>
      <c r="D250" s="3">
        <f t="shared" si="236"/>
        <v>4.1732725192767522E-2</v>
      </c>
      <c r="E250" s="3">
        <f t="shared" si="236"/>
        <v>1.0780926914990678E-2</v>
      </c>
      <c r="F250" s="3">
        <f t="shared" si="236"/>
        <v>1.427084422950355E-8</v>
      </c>
      <c r="G250" s="3">
        <f t="shared" si="236"/>
        <v>2.3571395974076186E-67</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1.8701759663075527E-2</v>
      </c>
      <c r="C251" s="3">
        <f t="shared" si="237"/>
        <v>1.867893919854793E-2</v>
      </c>
      <c r="D251" s="3">
        <f t="shared" si="237"/>
        <v>1.8452260503368026E-2</v>
      </c>
      <c r="E251" s="3">
        <f t="shared" si="237"/>
        <v>1.6331394321138178E-2</v>
      </c>
      <c r="F251" s="3">
        <f t="shared" si="237"/>
        <v>4.8168169500213158E-3</v>
      </c>
      <c r="G251" s="3">
        <f t="shared" si="237"/>
        <v>2.3995451017259672E-8</v>
      </c>
      <c r="H251" s="3">
        <f t="shared" si="237"/>
        <v>2.2584821685861172E-61</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3.356672663375343E-2</v>
      </c>
      <c r="C252" s="3">
        <f t="shared" si="238"/>
        <v>3.3563029724592693E-2</v>
      </c>
      <c r="D252" s="3">
        <f t="shared" si="238"/>
        <v>3.3526083019566243E-2</v>
      </c>
      <c r="E252" s="3">
        <f t="shared" si="238"/>
        <v>3.3158845531097159E-2</v>
      </c>
      <c r="F252" s="3">
        <f t="shared" si="238"/>
        <v>2.9700602307236885E-2</v>
      </c>
      <c r="G252" s="3">
        <f t="shared" si="238"/>
        <v>9.8724241662126733E-3</v>
      </c>
      <c r="H252" s="3">
        <f t="shared" si="238"/>
        <v>1.6255835842290798E-7</v>
      </c>
      <c r="I252" s="3">
        <f t="shared" si="238"/>
        <v>2.3815751496356771E-55</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2.7443843459461197E-2</v>
      </c>
      <c r="C253" s="3">
        <f t="shared" si="239"/>
        <v>2.7443570785874158E-2</v>
      </c>
      <c r="D253" s="3">
        <f t="shared" si="239"/>
        <v>2.7440844199005374E-2</v>
      </c>
      <c r="E253" s="3">
        <f t="shared" si="239"/>
        <v>2.7413593225002104E-2</v>
      </c>
      <c r="F253" s="3">
        <f t="shared" si="239"/>
        <v>2.7142567492328452E-2</v>
      </c>
      <c r="G253" s="3">
        <f t="shared" si="239"/>
        <v>2.4575397332575816E-2</v>
      </c>
      <c r="H253" s="3">
        <f t="shared" si="239"/>
        <v>9.0990649689408013E-3</v>
      </c>
      <c r="I253" s="3">
        <f t="shared" si="239"/>
        <v>4.4051321753301675E-7</v>
      </c>
      <c r="J253" s="3">
        <f t="shared" si="239"/>
        <v>3.1158799950784029E-50</v>
      </c>
      <c r="K253" s="3">
        <f t="shared" si="239"/>
        <v>0</v>
      </c>
      <c r="L253" s="3">
        <f t="shared" si="239"/>
        <v>0</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2.7096250011851297E-2</v>
      </c>
      <c r="C254" s="3">
        <f t="shared" si="240"/>
        <v>2.7096225725857345E-2</v>
      </c>
      <c r="D254" s="3">
        <f t="shared" si="240"/>
        <v>2.7095982867115006E-2</v>
      </c>
      <c r="E254" s="3">
        <f t="shared" si="240"/>
        <v>2.709355439940694E-2</v>
      </c>
      <c r="F254" s="3">
        <f t="shared" si="240"/>
        <v>2.7069281689888123E-2</v>
      </c>
      <c r="G254" s="3">
        <f t="shared" si="240"/>
        <v>2.6827747391628319E-2</v>
      </c>
      <c r="H254" s="3">
        <f t="shared" si="240"/>
        <v>2.4527821528927955E-2</v>
      </c>
      <c r="I254" s="3">
        <f t="shared" si="240"/>
        <v>1.0009368268395248E-2</v>
      </c>
      <c r="J254" s="3">
        <f t="shared" si="240"/>
        <v>1.2819868669638241E-6</v>
      </c>
      <c r="K254" s="3">
        <f t="shared" si="240"/>
        <v>1.5228343174714026E-45</v>
      </c>
      <c r="L254" s="3">
        <f t="shared" si="240"/>
        <v>0</v>
      </c>
      <c r="M254" s="3">
        <f t="shared" si="240"/>
        <v>0</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3.4309182285765447E-2</v>
      </c>
      <c r="C255" s="3">
        <f t="shared" si="241"/>
        <v>3.4309179511782237E-2</v>
      </c>
      <c r="D255" s="3">
        <f t="shared" si="241"/>
        <v>3.4309151771962546E-2</v>
      </c>
      <c r="E255" s="3">
        <f t="shared" si="241"/>
        <v>3.4308874374999104E-2</v>
      </c>
      <c r="F255" s="3">
        <f t="shared" si="241"/>
        <v>3.430610052871659E-2</v>
      </c>
      <c r="G255" s="3">
        <f t="shared" si="241"/>
        <v>3.4278374397384632E-2</v>
      </c>
      <c r="H255" s="3">
        <f t="shared" si="241"/>
        <v>3.4002342552329909E-2</v>
      </c>
      <c r="I255" s="3">
        <f t="shared" si="241"/>
        <v>3.1361371115692212E-2</v>
      </c>
      <c r="J255" s="3">
        <f t="shared" si="241"/>
        <v>1.3971951716410429E-2</v>
      </c>
      <c r="K255" s="3">
        <f t="shared" si="241"/>
        <v>4.3040511147649998E-6</v>
      </c>
      <c r="L255" s="3">
        <f t="shared" si="241"/>
        <v>3.3119278134644305E-41</v>
      </c>
      <c r="M255" s="3">
        <f t="shared" si="241"/>
        <v>0</v>
      </c>
      <c r="N255" s="3">
        <f t="shared" si="241"/>
        <v>0</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4.0815760565948545E-2</v>
      </c>
      <c r="C256" s="3">
        <f t="shared" si="242"/>
        <v>4.0815760268256E-2</v>
      </c>
      <c r="D256" s="3">
        <f t="shared" si="242"/>
        <v>4.0815757291330662E-2</v>
      </c>
      <c r="E256" s="3">
        <f t="shared" si="242"/>
        <v>4.0815727522089208E-2</v>
      </c>
      <c r="F256" s="3">
        <f t="shared" si="242"/>
        <v>4.0815429830868832E-2</v>
      </c>
      <c r="G256" s="3">
        <f t="shared" si="242"/>
        <v>4.0812453038079746E-2</v>
      </c>
      <c r="H256" s="3">
        <f t="shared" si="242"/>
        <v>4.0782697048434437E-2</v>
      </c>
      <c r="I256" s="3">
        <f t="shared" si="242"/>
        <v>4.0486327761127094E-2</v>
      </c>
      <c r="J256" s="3">
        <f t="shared" si="242"/>
        <v>3.7638544523377171E-2</v>
      </c>
      <c r="K256" s="3">
        <f t="shared" si="242"/>
        <v>1.8150022349929861E-2</v>
      </c>
      <c r="L256" s="3">
        <f t="shared" si="242"/>
        <v>1.2340154467086449E-5</v>
      </c>
      <c r="M256" s="3">
        <f t="shared" si="242"/>
        <v>2.6046832319259253E-37</v>
      </c>
      <c r="N256" s="3">
        <f t="shared" si="242"/>
        <v>0</v>
      </c>
      <c r="O256" s="3">
        <f t="shared" si="242"/>
        <v>0</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3.8220700831376922E-2</v>
      </c>
      <c r="C257" s="3">
        <f t="shared" si="243"/>
        <v>3.8220700806229968E-2</v>
      </c>
      <c r="D257" s="3">
        <f t="shared" si="243"/>
        <v>3.8220700554760484E-2</v>
      </c>
      <c r="E257" s="3">
        <f t="shared" si="243"/>
        <v>3.8220698040065657E-2</v>
      </c>
      <c r="F257" s="3">
        <f t="shared" si="243"/>
        <v>3.8220672893126514E-2</v>
      </c>
      <c r="G257" s="3">
        <f t="shared" si="243"/>
        <v>3.8220421424645074E-2</v>
      </c>
      <c r="H257" s="3">
        <f t="shared" si="243"/>
        <v>3.8217906830826771E-2</v>
      </c>
      <c r="I257" s="3">
        <f t="shared" si="243"/>
        <v>3.8192769990041675E-2</v>
      </c>
      <c r="J257" s="3">
        <f t="shared" si="243"/>
        <v>3.7942309111217987E-2</v>
      </c>
      <c r="K257" s="3">
        <f t="shared" si="243"/>
        <v>3.5526282298137944E-2</v>
      </c>
      <c r="L257" s="3">
        <f t="shared" si="243"/>
        <v>1.839966044696064E-2</v>
      </c>
      <c r="M257" s="3">
        <f t="shared" si="243"/>
        <v>2.5551139240960121E-5</v>
      </c>
      <c r="N257" s="3">
        <f t="shared" si="243"/>
        <v>6.8141999106625976E-34</v>
      </c>
      <c r="O257" s="3">
        <f t="shared" si="243"/>
        <v>0</v>
      </c>
      <c r="P257" s="3">
        <f t="shared" si="243"/>
        <v>0</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2.805031837237543E-2</v>
      </c>
      <c r="C258" s="3">
        <f t="shared" si="244"/>
        <v>2.8050318370710595E-2</v>
      </c>
      <c r="D258" s="3">
        <f t="shared" si="244"/>
        <v>2.8050318354062249E-2</v>
      </c>
      <c r="E258" s="3">
        <f t="shared" si="244"/>
        <v>2.8050318187578811E-2</v>
      </c>
      <c r="F258" s="3">
        <f t="shared" si="244"/>
        <v>2.8050316522744454E-2</v>
      </c>
      <c r="G258" s="3">
        <f t="shared" si="244"/>
        <v>2.8050299874406343E-2</v>
      </c>
      <c r="H258" s="3">
        <f t="shared" si="244"/>
        <v>2.8050133391568664E-2</v>
      </c>
      <c r="I258" s="3">
        <f t="shared" si="244"/>
        <v>2.8048468617536487E-2</v>
      </c>
      <c r="J258" s="3">
        <f t="shared" si="244"/>
        <v>2.8031826310481393E-2</v>
      </c>
      <c r="K258" s="3">
        <f t="shared" si="244"/>
        <v>2.7865945375336248E-2</v>
      </c>
      <c r="L258" s="3">
        <f t="shared" si="244"/>
        <v>2.6260177692484007E-2</v>
      </c>
      <c r="M258" s="3">
        <f t="shared" si="244"/>
        <v>1.4505625161261304E-2</v>
      </c>
      <c r="N258" s="3">
        <f t="shared" si="244"/>
        <v>3.8364041581915246E-5</v>
      </c>
      <c r="O258" s="3">
        <f t="shared" si="244"/>
        <v>6.4239681116094537E-31</v>
      </c>
      <c r="P258" s="3">
        <f t="shared" si="244"/>
        <v>1.1132523242985626E-288</v>
      </c>
      <c r="Q258" s="3">
        <f t="shared" si="244"/>
        <v>0</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2.8871537480041575E-2</v>
      </c>
      <c r="C259" s="3">
        <f t="shared" si="245"/>
        <v>2.8871537479886994E-2</v>
      </c>
      <c r="D259" s="3">
        <f t="shared" si="245"/>
        <v>2.8871537478341206E-2</v>
      </c>
      <c r="E259" s="3">
        <f t="shared" si="245"/>
        <v>2.8871537462883335E-2</v>
      </c>
      <c r="F259" s="3">
        <f t="shared" si="245"/>
        <v>2.88715373083046E-2</v>
      </c>
      <c r="G259" s="3">
        <f t="shared" si="245"/>
        <v>2.8871535762517282E-2</v>
      </c>
      <c r="H259" s="3">
        <f t="shared" si="245"/>
        <v>2.8871520304648707E-2</v>
      </c>
      <c r="I259" s="3">
        <f t="shared" si="245"/>
        <v>2.8871365726418106E-2</v>
      </c>
      <c r="J259" s="3">
        <f t="shared" si="245"/>
        <v>2.886981998963006E-2</v>
      </c>
      <c r="K259" s="3">
        <f t="shared" si="245"/>
        <v>2.8854367172643346E-2</v>
      </c>
      <c r="L259" s="3">
        <f t="shared" si="245"/>
        <v>2.870029319191339E-2</v>
      </c>
      <c r="M259" s="3">
        <f t="shared" si="245"/>
        <v>2.7204085295859274E-2</v>
      </c>
      <c r="N259" s="3">
        <f t="shared" si="245"/>
        <v>1.5926196616282185E-2</v>
      </c>
      <c r="O259" s="3">
        <f t="shared" si="245"/>
        <v>7.5316741808187056E-5</v>
      </c>
      <c r="P259" s="3">
        <f t="shared" si="245"/>
        <v>4.2139175766914647E-28</v>
      </c>
      <c r="Q259" s="3">
        <f t="shared" si="245"/>
        <v>1.2665757269861136E-260</v>
      </c>
      <c r="R259" s="3">
        <f t="shared" si="245"/>
        <v>0</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3.0036426105563705E-2</v>
      </c>
      <c r="C260" s="3">
        <f t="shared" si="246"/>
        <v>3.0036426105549196E-2</v>
      </c>
      <c r="D260" s="3">
        <f t="shared" si="246"/>
        <v>3.0036426105404128E-2</v>
      </c>
      <c r="E260" s="3">
        <f t="shared" si="246"/>
        <v>3.0036426103953438E-2</v>
      </c>
      <c r="F260" s="3">
        <f t="shared" si="246"/>
        <v>3.0036426089446535E-2</v>
      </c>
      <c r="G260" s="3">
        <f t="shared" si="246"/>
        <v>3.0036425944377512E-2</v>
      </c>
      <c r="H260" s="3">
        <f t="shared" si="246"/>
        <v>3.0036424493687316E-2</v>
      </c>
      <c r="I260" s="3">
        <f t="shared" si="246"/>
        <v>3.0036409986789216E-2</v>
      </c>
      <c r="J260" s="3">
        <f t="shared" si="246"/>
        <v>3.0036264918193566E-2</v>
      </c>
      <c r="K260" s="3">
        <f t="shared" si="246"/>
        <v>3.0034814270772078E-2</v>
      </c>
      <c r="L260" s="3">
        <f t="shared" si="246"/>
        <v>3.0020311649367078E-2</v>
      </c>
      <c r="M260" s="3">
        <f t="shared" si="246"/>
        <v>2.987567002869259E-2</v>
      </c>
      <c r="N260" s="3">
        <f t="shared" si="246"/>
        <v>2.8467034673969771E-2</v>
      </c>
      <c r="O260" s="3">
        <f t="shared" si="246"/>
        <v>1.7562566952174712E-2</v>
      </c>
      <c r="P260" s="3">
        <f t="shared" si="246"/>
        <v>1.4029610634837836E-4</v>
      </c>
      <c r="Q260" s="3">
        <f t="shared" si="246"/>
        <v>1.4846424402888278E-25</v>
      </c>
      <c r="R260" s="3">
        <f t="shared" si="246"/>
        <v>2.6144744478683367E-235</v>
      </c>
      <c r="S260" s="3">
        <f t="shared" si="246"/>
        <v>0</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2.6672376514959309E-2</v>
      </c>
      <c r="C261" s="3">
        <f t="shared" si="247"/>
        <v>2.667237651495815E-2</v>
      </c>
      <c r="D261" s="3">
        <f t="shared" si="247"/>
        <v>2.6672376514946531E-2</v>
      </c>
      <c r="E261" s="3">
        <f t="shared" si="247"/>
        <v>2.6672376514830322E-2</v>
      </c>
      <c r="F261" s="3">
        <f t="shared" si="247"/>
        <v>2.6672376513668244E-2</v>
      </c>
      <c r="G261" s="3">
        <f t="shared" si="247"/>
        <v>2.6672376502047481E-2</v>
      </c>
      <c r="H261" s="3">
        <f t="shared" si="247"/>
        <v>2.6672376385839823E-2</v>
      </c>
      <c r="I261" s="3">
        <f t="shared" si="247"/>
        <v>2.6672375223763308E-2</v>
      </c>
      <c r="J261" s="3">
        <f t="shared" si="247"/>
        <v>2.6672363603000945E-2</v>
      </c>
      <c r="K261" s="3">
        <f t="shared" si="247"/>
        <v>2.667224739565574E-2</v>
      </c>
      <c r="L261" s="3">
        <f t="shared" si="247"/>
        <v>2.6671085350049681E-2</v>
      </c>
      <c r="M261" s="3">
        <f t="shared" si="247"/>
        <v>2.6659467678139301E-2</v>
      </c>
      <c r="N261" s="3">
        <f t="shared" si="247"/>
        <v>2.6543568925763854E-2</v>
      </c>
      <c r="O261" s="3">
        <f t="shared" si="247"/>
        <v>2.5411935156576061E-2</v>
      </c>
      <c r="P261" s="3">
        <f t="shared" si="247"/>
        <v>1.6436977717454448E-2</v>
      </c>
      <c r="Q261" s="3">
        <f t="shared" si="247"/>
        <v>2.1069985935879445E-4</v>
      </c>
      <c r="R261" s="3">
        <f t="shared" si="247"/>
        <v>2.5239865646853337E-23</v>
      </c>
      <c r="S261" s="3">
        <f t="shared" si="247"/>
        <v>1.5357303589824401E-212</v>
      </c>
      <c r="T261" s="3">
        <f t="shared" si="247"/>
        <v>0</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2.9125900591015337E-2</v>
      </c>
      <c r="C262" s="3">
        <f t="shared" si="248"/>
        <v>2.9125900591015226E-2</v>
      </c>
      <c r="D262" s="3">
        <f t="shared" si="248"/>
        <v>2.9125900591014081E-2</v>
      </c>
      <c r="E262" s="3">
        <f t="shared" si="248"/>
        <v>2.9125900591002632E-2</v>
      </c>
      <c r="F262" s="3">
        <f t="shared" si="248"/>
        <v>2.9125900590888161E-2</v>
      </c>
      <c r="G262" s="3">
        <f t="shared" si="248"/>
        <v>2.9125900589743441E-2</v>
      </c>
      <c r="H262" s="3">
        <f t="shared" si="248"/>
        <v>2.9125900578296247E-2</v>
      </c>
      <c r="I262" s="3">
        <f t="shared" si="248"/>
        <v>2.9125900463824326E-2</v>
      </c>
      <c r="J262" s="3">
        <f t="shared" si="248"/>
        <v>2.9125899319105128E-2</v>
      </c>
      <c r="K262" s="3">
        <f t="shared" si="248"/>
        <v>2.912588787191563E-2</v>
      </c>
      <c r="L262" s="3">
        <f t="shared" si="248"/>
        <v>2.9125773400268052E-2</v>
      </c>
      <c r="M262" s="3">
        <f t="shared" si="248"/>
        <v>2.9124628708536583E-2</v>
      </c>
      <c r="N262" s="3">
        <f t="shared" si="248"/>
        <v>2.9113184265286883E-2</v>
      </c>
      <c r="O262" s="3">
        <f t="shared" si="248"/>
        <v>2.8998986879894294E-2</v>
      </c>
      <c r="P262" s="3">
        <f t="shared" si="248"/>
        <v>2.7881362228326354E-2</v>
      </c>
      <c r="Q262" s="3">
        <f t="shared" si="248"/>
        <v>1.8820260095597501E-2</v>
      </c>
      <c r="R262" s="3">
        <f t="shared" si="248"/>
        <v>3.6960849522109086E-4</v>
      </c>
      <c r="S262" s="3">
        <f t="shared" si="248"/>
        <v>3.1543158659870396E-21</v>
      </c>
      <c r="T262" s="3">
        <f t="shared" si="248"/>
        <v>6.4645386775825775E-192</v>
      </c>
      <c r="U262" s="3">
        <f t="shared" si="248"/>
        <v>0</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3.443427503760723E-2</v>
      </c>
      <c r="C263" s="3">
        <f t="shared" si="249"/>
        <v>3.4434275037607216E-2</v>
      </c>
      <c r="D263" s="3">
        <f t="shared" si="249"/>
        <v>3.4434275037607098E-2</v>
      </c>
      <c r="E263" s="3">
        <f t="shared" si="249"/>
        <v>3.443427503760587E-2</v>
      </c>
      <c r="F263" s="3">
        <f t="shared" si="249"/>
        <v>3.4434275037593665E-2</v>
      </c>
      <c r="G263" s="3">
        <f t="shared" si="249"/>
        <v>3.4434275037471582E-2</v>
      </c>
      <c r="H263" s="3">
        <f t="shared" si="249"/>
        <v>3.4434275036250746E-2</v>
      </c>
      <c r="I263" s="3">
        <f t="shared" si="249"/>
        <v>3.4434275024042393E-2</v>
      </c>
      <c r="J263" s="3">
        <f t="shared" si="249"/>
        <v>3.4434274901958842E-2</v>
      </c>
      <c r="K263" s="3">
        <f t="shared" si="249"/>
        <v>3.4434273681123367E-2</v>
      </c>
      <c r="L263" s="3">
        <f t="shared" si="249"/>
        <v>3.4434261472771038E-2</v>
      </c>
      <c r="M263" s="3">
        <f t="shared" si="249"/>
        <v>3.4434139389485738E-2</v>
      </c>
      <c r="N263" s="3">
        <f t="shared" si="249"/>
        <v>3.4432918580438412E-2</v>
      </c>
      <c r="O263" s="3">
        <f t="shared" si="249"/>
        <v>3.4420712870216079E-2</v>
      </c>
      <c r="P263" s="3">
        <f t="shared" si="249"/>
        <v>3.4298893481140243E-2</v>
      </c>
      <c r="Q263" s="3">
        <f t="shared" si="249"/>
        <v>3.3104162007964656E-2</v>
      </c>
      <c r="R263" s="3">
        <f t="shared" si="249"/>
        <v>2.3222420842958599E-2</v>
      </c>
      <c r="S263" s="3">
        <f t="shared" si="249"/>
        <v>6.7012591931217644E-4</v>
      </c>
      <c r="T263" s="3">
        <f t="shared" si="249"/>
        <v>2.683154398377507E-19</v>
      </c>
      <c r="U263" s="3">
        <f t="shared" si="249"/>
        <v>2.841437754400138E-173</v>
      </c>
      <c r="V263" s="3">
        <f t="shared" si="249"/>
        <v>0</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4.2428216345217838E-2</v>
      </c>
      <c r="C264" s="3">
        <f t="shared" si="250"/>
        <v>4.2428216345217838E-2</v>
      </c>
      <c r="D264" s="3">
        <f t="shared" si="250"/>
        <v>4.2428216345217824E-2</v>
      </c>
      <c r="E264" s="3">
        <f t="shared" si="250"/>
        <v>4.2428216345217686E-2</v>
      </c>
      <c r="F264" s="3">
        <f t="shared" si="250"/>
        <v>4.2428216345216332E-2</v>
      </c>
      <c r="G264" s="3">
        <f t="shared" si="250"/>
        <v>4.242821634520276E-2</v>
      </c>
      <c r="H264" s="3">
        <f t="shared" si="250"/>
        <v>4.2428216345067063E-2</v>
      </c>
      <c r="I264" s="3">
        <f t="shared" si="250"/>
        <v>4.2428216343710107E-2</v>
      </c>
      <c r="J264" s="3">
        <f t="shared" si="250"/>
        <v>4.2428216330140489E-2</v>
      </c>
      <c r="K264" s="3">
        <f t="shared" si="250"/>
        <v>4.242821619444432E-2</v>
      </c>
      <c r="L264" s="3">
        <f t="shared" si="250"/>
        <v>4.2428214837482714E-2</v>
      </c>
      <c r="M264" s="3">
        <f t="shared" si="250"/>
        <v>4.2428201267868976E-2</v>
      </c>
      <c r="N264" s="3">
        <f t="shared" si="250"/>
        <v>4.2428065571970319E-2</v>
      </c>
      <c r="O264" s="3">
        <f t="shared" si="250"/>
        <v>4.2426708636852925E-2</v>
      </c>
      <c r="P264" s="3">
        <f t="shared" si="250"/>
        <v>4.2413141672313658E-2</v>
      </c>
      <c r="Q264" s="3">
        <f t="shared" si="250"/>
        <v>4.2277710408211204E-2</v>
      </c>
      <c r="R264" s="3">
        <f t="shared" si="250"/>
        <v>4.0946956203829717E-2</v>
      </c>
      <c r="S264" s="3">
        <f t="shared" si="250"/>
        <v>2.9738788175154133E-2</v>
      </c>
      <c r="T264" s="3">
        <f t="shared" si="250"/>
        <v>1.2143383277891714E-3</v>
      </c>
      <c r="U264" s="3">
        <f t="shared" si="250"/>
        <v>1.5649629317285825E-17</v>
      </c>
      <c r="V264" s="3">
        <f t="shared" si="250"/>
        <v>1.9776415559296512E-156</v>
      </c>
      <c r="W264" s="3">
        <f t="shared" si="250"/>
        <v>0</v>
      </c>
      <c r="X264" s="3">
        <f t="shared" si="250"/>
        <v>0</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4.683073576792781E-2</v>
      </c>
      <c r="C265" s="3">
        <f t="shared" si="251"/>
        <v>4.683073576792781E-2</v>
      </c>
      <c r="D265" s="3">
        <f t="shared" si="251"/>
        <v>4.683073576792781E-2</v>
      </c>
      <c r="E265" s="3">
        <f t="shared" si="251"/>
        <v>4.6830735767927796E-2</v>
      </c>
      <c r="F265" s="3">
        <f t="shared" si="251"/>
        <v>4.6830735767927657E-2</v>
      </c>
      <c r="G265" s="3">
        <f t="shared" si="251"/>
        <v>4.6830735767926304E-2</v>
      </c>
      <c r="H265" s="3">
        <f t="shared" si="251"/>
        <v>4.6830735767912801E-2</v>
      </c>
      <c r="I265" s="3">
        <f t="shared" si="251"/>
        <v>4.6830735767777687E-2</v>
      </c>
      <c r="J265" s="3">
        <f t="shared" si="251"/>
        <v>4.6830735766426573E-2</v>
      </c>
      <c r="K265" s="3">
        <f t="shared" si="251"/>
        <v>4.6830735752915485E-2</v>
      </c>
      <c r="L265" s="3">
        <f t="shared" si="251"/>
        <v>4.6830735617804591E-2</v>
      </c>
      <c r="M265" s="3">
        <f t="shared" si="251"/>
        <v>4.6830734266695678E-2</v>
      </c>
      <c r="N265" s="3">
        <f t="shared" si="251"/>
        <v>4.6830720755608658E-2</v>
      </c>
      <c r="O265" s="3">
        <f t="shared" si="251"/>
        <v>4.6830585644952849E-2</v>
      </c>
      <c r="P265" s="3">
        <f t="shared" si="251"/>
        <v>4.6829234559833878E-2</v>
      </c>
      <c r="Q265" s="3">
        <f t="shared" si="251"/>
        <v>4.6815725852329015E-2</v>
      </c>
      <c r="R265" s="3">
        <f t="shared" si="251"/>
        <v>4.6680852917104554E-2</v>
      </c>
      <c r="S265" s="3">
        <f t="shared" si="251"/>
        <v>4.5353310709942161E-2</v>
      </c>
      <c r="T265" s="3">
        <f t="shared" si="251"/>
        <v>3.398686625586704E-2</v>
      </c>
      <c r="U265" s="3">
        <f t="shared" si="251"/>
        <v>1.8981581535215946E-3</v>
      </c>
      <c r="V265" s="3">
        <f t="shared" si="251"/>
        <v>5.6046063903635476E-16</v>
      </c>
      <c r="W265" s="3">
        <f t="shared" si="251"/>
        <v>2.8227495463127951E-141</v>
      </c>
      <c r="X265" s="3">
        <f t="shared" si="251"/>
        <v>0</v>
      </c>
      <c r="Y265" s="3">
        <f t="shared" si="251"/>
        <v>0</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5.2334789148442605E-2</v>
      </c>
      <c r="C266" s="3">
        <f t="shared" si="252"/>
        <v>5.2334789148442605E-2</v>
      </c>
      <c r="D266" s="3">
        <f t="shared" si="252"/>
        <v>5.2334789148442605E-2</v>
      </c>
      <c r="E266" s="3">
        <f t="shared" si="252"/>
        <v>5.2334789148442605E-2</v>
      </c>
      <c r="F266" s="3">
        <f t="shared" si="252"/>
        <v>5.2334789148442584E-2</v>
      </c>
      <c r="G266" s="3">
        <f t="shared" si="252"/>
        <v>5.2334789148442452E-2</v>
      </c>
      <c r="H266" s="3">
        <f t="shared" si="252"/>
        <v>5.2334789148441092E-2</v>
      </c>
      <c r="I266" s="3">
        <f t="shared" si="252"/>
        <v>5.2334789148427471E-2</v>
      </c>
      <c r="J266" s="3">
        <f t="shared" si="252"/>
        <v>5.2334789148291261E-2</v>
      </c>
      <c r="K266" s="3">
        <f t="shared" si="252"/>
        <v>5.2334789146929205E-2</v>
      </c>
      <c r="L266" s="3">
        <f t="shared" si="252"/>
        <v>5.23347891333086E-2</v>
      </c>
      <c r="M266" s="3">
        <f t="shared" si="252"/>
        <v>5.2334788997102526E-2</v>
      </c>
      <c r="N266" s="3">
        <f t="shared" si="252"/>
        <v>5.2334787635041874E-2</v>
      </c>
      <c r="O266" s="3">
        <f t="shared" si="252"/>
        <v>5.2334774014437223E-2</v>
      </c>
      <c r="P266" s="3">
        <f t="shared" si="252"/>
        <v>5.2334637808585729E-2</v>
      </c>
      <c r="Q266" s="3">
        <f t="shared" si="252"/>
        <v>5.2333275769567485E-2</v>
      </c>
      <c r="R266" s="3">
        <f t="shared" si="252"/>
        <v>5.2319657328864427E-2</v>
      </c>
      <c r="S266" s="3">
        <f t="shared" si="252"/>
        <v>5.218366768218051E-2</v>
      </c>
      <c r="T266" s="3">
        <f t="shared" si="252"/>
        <v>5.0843061002274939E-2</v>
      </c>
      <c r="U266" s="3">
        <f t="shared" si="252"/>
        <v>3.9192465463576506E-2</v>
      </c>
      <c r="V266" s="3">
        <f t="shared" si="252"/>
        <v>2.9034311647136361E-3</v>
      </c>
      <c r="W266" s="3">
        <f t="shared" si="252"/>
        <v>1.4454432063698554E-14</v>
      </c>
      <c r="X266" s="3">
        <f t="shared" si="252"/>
        <v>1.3517488650195052E-127</v>
      </c>
      <c r="Y266" s="3">
        <f t="shared" si="252"/>
        <v>0</v>
      </c>
      <c r="Z266" s="3">
        <f t="shared" si="252"/>
        <v>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5.1279668394799138E-2</v>
      </c>
      <c r="C267" s="3">
        <f t="shared" si="253"/>
        <v>5.1279668394799138E-2</v>
      </c>
      <c r="D267" s="3">
        <f t="shared" si="253"/>
        <v>5.1279668394799138E-2</v>
      </c>
      <c r="E267" s="3">
        <f t="shared" si="253"/>
        <v>5.1279668394799138E-2</v>
      </c>
      <c r="F267" s="3">
        <f t="shared" si="253"/>
        <v>5.1279668394799138E-2</v>
      </c>
      <c r="G267" s="3">
        <f t="shared" si="253"/>
        <v>5.1279668394799124E-2</v>
      </c>
      <c r="H267" s="3">
        <f t="shared" si="253"/>
        <v>5.1279668394799006E-2</v>
      </c>
      <c r="I267" s="3">
        <f t="shared" si="253"/>
        <v>5.1279668394797799E-2</v>
      </c>
      <c r="J267" s="3">
        <f t="shared" si="253"/>
        <v>5.127966839478576E-2</v>
      </c>
      <c r="K267" s="3">
        <f t="shared" si="253"/>
        <v>5.127966839466537E-2</v>
      </c>
      <c r="L267" s="3">
        <f t="shared" si="253"/>
        <v>5.1279668393461451E-2</v>
      </c>
      <c r="M267" s="3">
        <f t="shared" si="253"/>
        <v>5.1279668381422241E-2</v>
      </c>
      <c r="N267" s="3">
        <f t="shared" si="253"/>
        <v>5.1279668261030205E-2</v>
      </c>
      <c r="O267" s="3">
        <f t="shared" si="253"/>
        <v>5.1279667057109811E-2</v>
      </c>
      <c r="P267" s="3">
        <f t="shared" si="253"/>
        <v>5.1279655017907454E-2</v>
      </c>
      <c r="Q267" s="3">
        <f t="shared" si="253"/>
        <v>5.1279534626039333E-2</v>
      </c>
      <c r="R267" s="3">
        <f t="shared" si="253"/>
        <v>5.1278330722903803E-2</v>
      </c>
      <c r="S267" s="3">
        <f t="shared" si="253"/>
        <v>5.126629324597827E-2</v>
      </c>
      <c r="T267" s="3">
        <f t="shared" si="253"/>
        <v>5.1146073784760659E-2</v>
      </c>
      <c r="U267" s="3">
        <f t="shared" si="253"/>
        <v>4.9959275908135342E-2</v>
      </c>
      <c r="V267" s="3">
        <f t="shared" si="253"/>
        <v>3.9505219519842143E-2</v>
      </c>
      <c r="W267" s="3">
        <f t="shared" si="253"/>
        <v>3.7760516055708798E-3</v>
      </c>
      <c r="X267" s="3">
        <f t="shared" si="253"/>
        <v>2.4036561280188205E-13</v>
      </c>
      <c r="Y267" s="3">
        <f t="shared" si="253"/>
        <v>2.6255270324714992E-115</v>
      </c>
      <c r="Z267" s="3">
        <f t="shared" si="253"/>
        <v>0</v>
      </c>
      <c r="AA267" s="3">
        <f t="shared" si="253"/>
        <v>0</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6.7593769214043364E-2</v>
      </c>
      <c r="C268" s="3">
        <f t="shared" si="254"/>
        <v>6.7593769214043364E-2</v>
      </c>
      <c r="D268" s="3">
        <f t="shared" si="254"/>
        <v>6.7593769214043364E-2</v>
      </c>
      <c r="E268" s="3">
        <f t="shared" si="254"/>
        <v>6.7593769214043364E-2</v>
      </c>
      <c r="F268" s="3">
        <f t="shared" si="254"/>
        <v>6.7593769214043364E-2</v>
      </c>
      <c r="G268" s="3">
        <f t="shared" si="254"/>
        <v>6.7593769214043364E-2</v>
      </c>
      <c r="H268" s="3">
        <f t="shared" si="254"/>
        <v>6.759376921404335E-2</v>
      </c>
      <c r="I268" s="3">
        <f t="shared" si="254"/>
        <v>6.7593769214043212E-2</v>
      </c>
      <c r="J268" s="3">
        <f t="shared" si="254"/>
        <v>6.7593769214041768E-2</v>
      </c>
      <c r="K268" s="3">
        <f t="shared" si="254"/>
        <v>6.759376921402746E-2</v>
      </c>
      <c r="L268" s="3">
        <f t="shared" si="254"/>
        <v>6.7593769213884297E-2</v>
      </c>
      <c r="M268" s="3">
        <f t="shared" si="254"/>
        <v>6.7593769212452762E-2</v>
      </c>
      <c r="N268" s="3">
        <f t="shared" si="254"/>
        <v>6.7593769198137282E-2</v>
      </c>
      <c r="O268" s="3">
        <f t="shared" si="254"/>
        <v>6.7593769054982517E-2</v>
      </c>
      <c r="P268" s="3">
        <f t="shared" si="254"/>
        <v>6.7593767623434817E-2</v>
      </c>
      <c r="Q268" s="3">
        <f t="shared" si="254"/>
        <v>6.7593753307959664E-2</v>
      </c>
      <c r="R268" s="3">
        <f t="shared" si="254"/>
        <v>6.7593610153374811E-2</v>
      </c>
      <c r="S268" s="3">
        <f t="shared" si="254"/>
        <v>6.7592178624201235E-2</v>
      </c>
      <c r="T268" s="3">
        <f t="shared" si="254"/>
        <v>6.7577864999827333E-2</v>
      </c>
      <c r="U268" s="3">
        <f t="shared" si="254"/>
        <v>6.7434895361690783E-2</v>
      </c>
      <c r="V268" s="3">
        <f t="shared" si="254"/>
        <v>6.6021729722780878E-2</v>
      </c>
      <c r="W268" s="3">
        <f t="shared" si="254"/>
        <v>5.3420629625346071E-2</v>
      </c>
      <c r="X268" s="3">
        <f t="shared" si="254"/>
        <v>6.4258419991697693E-3</v>
      </c>
      <c r="Y268" s="3">
        <f t="shared" si="254"/>
        <v>4.0751204182261787E-12</v>
      </c>
      <c r="Z268" s="3">
        <f t="shared" si="254"/>
        <v>4.287898375084832E-104</v>
      </c>
      <c r="AA268" s="3">
        <f t="shared" si="254"/>
        <v>0</v>
      </c>
      <c r="AB268" s="3">
        <f t="shared" si="254"/>
        <v>0</v>
      </c>
      <c r="AC268" s="3">
        <f t="shared" si="254"/>
        <v>0</v>
      </c>
      <c r="AD268" s="3">
        <f t="shared" si="254"/>
        <v>0</v>
      </c>
      <c r="AE268" s="3">
        <f t="shared" si="254"/>
        <v>0</v>
      </c>
      <c r="AF268" s="3">
        <f t="shared" si="254"/>
        <v>0</v>
      </c>
      <c r="AG268" s="3"/>
      <c r="AH268" s="3"/>
    </row>
    <row r="269" spans="2:34" x14ac:dyDescent="0.25">
      <c r="B269" s="3">
        <f t="shared" ref="B269:AF269" si="255">$C38*EXP(-B$246/$A38/EXP(-$E$126))</f>
        <v>2.8423077323280126E-2</v>
      </c>
      <c r="C269" s="3">
        <f t="shared" si="255"/>
        <v>2.8423077323280126E-2</v>
      </c>
      <c r="D269" s="3">
        <f t="shared" si="255"/>
        <v>2.8423077323280126E-2</v>
      </c>
      <c r="E269" s="3">
        <f t="shared" si="255"/>
        <v>2.8423077323280126E-2</v>
      </c>
      <c r="F269" s="3">
        <f t="shared" si="255"/>
        <v>2.8423077323280126E-2</v>
      </c>
      <c r="G269" s="3">
        <f t="shared" si="255"/>
        <v>2.8423077323280126E-2</v>
      </c>
      <c r="H269" s="3">
        <f t="shared" si="255"/>
        <v>2.8423077323280126E-2</v>
      </c>
      <c r="I269" s="3">
        <f t="shared" si="255"/>
        <v>2.8423077323280119E-2</v>
      </c>
      <c r="J269" s="3">
        <f t="shared" si="255"/>
        <v>2.8423077323280067E-2</v>
      </c>
      <c r="K269" s="3">
        <f t="shared" si="255"/>
        <v>2.8423077323279523E-2</v>
      </c>
      <c r="L269" s="3">
        <f t="shared" si="255"/>
        <v>2.8423077323274093E-2</v>
      </c>
      <c r="M269" s="3">
        <f t="shared" si="255"/>
        <v>2.8423077323219793E-2</v>
      </c>
      <c r="N269" s="3">
        <f t="shared" si="255"/>
        <v>2.8423077322676769E-2</v>
      </c>
      <c r="O269" s="3">
        <f t="shared" si="255"/>
        <v>2.8423077317246557E-2</v>
      </c>
      <c r="P269" s="3">
        <f t="shared" si="255"/>
        <v>2.8423077262944428E-2</v>
      </c>
      <c r="Q269" s="3">
        <f t="shared" si="255"/>
        <v>2.8423076719923161E-2</v>
      </c>
      <c r="R269" s="3">
        <f t="shared" si="255"/>
        <v>2.842307128971102E-2</v>
      </c>
      <c r="S269" s="3">
        <f t="shared" si="255"/>
        <v>2.8423016987646706E-2</v>
      </c>
      <c r="T269" s="3">
        <f t="shared" si="255"/>
        <v>2.8422473972709431E-2</v>
      </c>
      <c r="U269" s="3">
        <f t="shared" si="255"/>
        <v>2.8417044393883352E-2</v>
      </c>
      <c r="V269" s="3">
        <f t="shared" si="255"/>
        <v>2.8362805619979382E-2</v>
      </c>
      <c r="W269" s="3">
        <f t="shared" si="255"/>
        <v>2.7826079219281145E-2</v>
      </c>
      <c r="X269" s="3">
        <f t="shared" si="255"/>
        <v>2.2986894532890916E-2</v>
      </c>
      <c r="Y269" s="3">
        <f t="shared" si="255"/>
        <v>3.4022260332715235E-3</v>
      </c>
      <c r="Z269" s="3">
        <f t="shared" si="255"/>
        <v>1.7162943199206364E-11</v>
      </c>
      <c r="AA269" s="3">
        <f t="shared" si="255"/>
        <v>1.8317988542558769E-94</v>
      </c>
      <c r="AB269" s="3">
        <f t="shared" si="255"/>
        <v>0</v>
      </c>
      <c r="AC269" s="3">
        <f t="shared" si="255"/>
        <v>0</v>
      </c>
      <c r="AD269" s="3">
        <f t="shared" si="255"/>
        <v>0</v>
      </c>
      <c r="AE269" s="3">
        <f t="shared" si="255"/>
        <v>0</v>
      </c>
      <c r="AF269" s="3">
        <f t="shared" si="255"/>
        <v>0</v>
      </c>
      <c r="AG269" s="3"/>
      <c r="AH269" s="3"/>
    </row>
    <row r="270" spans="2:34" x14ac:dyDescent="0.25">
      <c r="B270" s="3">
        <f t="shared" ref="B270:AF270" si="256">$C39*EXP(-B$246/$A39/EXP(-$E$126))</f>
        <v>4.9146519309700876E-2</v>
      </c>
      <c r="C270" s="3">
        <f t="shared" si="256"/>
        <v>4.9146519309700876E-2</v>
      </c>
      <c r="D270" s="3">
        <f t="shared" si="256"/>
        <v>4.9146519309700876E-2</v>
      </c>
      <c r="E270" s="3">
        <f t="shared" si="256"/>
        <v>4.9146519309700876E-2</v>
      </c>
      <c r="F270" s="3">
        <f t="shared" si="256"/>
        <v>4.9146519309700876E-2</v>
      </c>
      <c r="G270" s="3">
        <f t="shared" si="256"/>
        <v>4.9146519309700876E-2</v>
      </c>
      <c r="H270" s="3">
        <f t="shared" si="256"/>
        <v>4.9146519309700876E-2</v>
      </c>
      <c r="I270" s="3">
        <f t="shared" si="256"/>
        <v>4.9146519309700869E-2</v>
      </c>
      <c r="J270" s="3">
        <f t="shared" si="256"/>
        <v>4.9146519309700848E-2</v>
      </c>
      <c r="K270" s="3">
        <f t="shared" si="256"/>
        <v>4.9146519309700584E-2</v>
      </c>
      <c r="L270" s="3">
        <f t="shared" si="256"/>
        <v>4.9146519309697989E-2</v>
      </c>
      <c r="M270" s="3">
        <f t="shared" si="256"/>
        <v>4.9146519309672024E-2</v>
      </c>
      <c r="N270" s="3">
        <f t="shared" si="256"/>
        <v>4.9146519309412336E-2</v>
      </c>
      <c r="O270" s="3">
        <f t="shared" si="256"/>
        <v>4.9146519306815455E-2</v>
      </c>
      <c r="P270" s="3">
        <f t="shared" si="256"/>
        <v>4.9146519280846686E-2</v>
      </c>
      <c r="Q270" s="3">
        <f t="shared" si="256"/>
        <v>4.9146519021158991E-2</v>
      </c>
      <c r="R270" s="3">
        <f t="shared" si="256"/>
        <v>4.914651642428209E-2</v>
      </c>
      <c r="S270" s="3">
        <f t="shared" si="256"/>
        <v>4.9146490455520622E-2</v>
      </c>
      <c r="T270" s="3">
        <f t="shared" si="256"/>
        <v>4.9146230768660697E-2</v>
      </c>
      <c r="U270" s="3">
        <f t="shared" si="256"/>
        <v>4.9143633975529448E-2</v>
      </c>
      <c r="V270" s="3">
        <f t="shared" si="256"/>
        <v>4.9117673589548765E-2</v>
      </c>
      <c r="W270" s="3">
        <f t="shared" si="256"/>
        <v>4.885882278984454E-2</v>
      </c>
      <c r="X270" s="3">
        <f t="shared" si="256"/>
        <v>4.6344169101941349E-2</v>
      </c>
      <c r="Y270" s="3">
        <f t="shared" si="256"/>
        <v>2.732222815131061E-2</v>
      </c>
      <c r="Z270" s="3">
        <f t="shared" si="256"/>
        <v>1.3858819784486469E-4</v>
      </c>
      <c r="AA270" s="3">
        <f t="shared" si="256"/>
        <v>1.5625271986078871E-27</v>
      </c>
      <c r="AB270" s="3">
        <f t="shared" si="256"/>
        <v>5.1861009892757126E-257</v>
      </c>
      <c r="AC270" s="3">
        <f t="shared" si="256"/>
        <v>0</v>
      </c>
      <c r="AD270" s="3">
        <f t="shared" si="256"/>
        <v>0</v>
      </c>
      <c r="AE270" s="3">
        <f t="shared" si="256"/>
        <v>0</v>
      </c>
      <c r="AF270" s="3">
        <f t="shared" si="256"/>
        <v>0</v>
      </c>
      <c r="AG270" s="3"/>
      <c r="AH270" s="3"/>
    </row>
    <row r="271" spans="2:34" x14ac:dyDescent="0.25">
      <c r="B271" s="3">
        <f t="shared" ref="B271:AF271" si="257">$C40*EXP(-B$246/$A40/EXP(-$E$126))</f>
        <v>3.1963681817399746E-2</v>
      </c>
      <c r="C271" s="3">
        <f t="shared" si="257"/>
        <v>3.1963681817399746E-2</v>
      </c>
      <c r="D271" s="3">
        <f t="shared" si="257"/>
        <v>3.1963681817399746E-2</v>
      </c>
      <c r="E271" s="3">
        <f t="shared" si="257"/>
        <v>3.1963681817399746E-2</v>
      </c>
      <c r="F271" s="3">
        <f t="shared" si="257"/>
        <v>3.1963681817399746E-2</v>
      </c>
      <c r="G271" s="3">
        <f t="shared" si="257"/>
        <v>3.1963681817399746E-2</v>
      </c>
      <c r="H271" s="3">
        <f t="shared" si="257"/>
        <v>3.1963681817399746E-2</v>
      </c>
      <c r="I271" s="3">
        <f t="shared" si="257"/>
        <v>3.1963681817399746E-2</v>
      </c>
      <c r="J271" s="3">
        <f t="shared" si="257"/>
        <v>3.1963681817399739E-2</v>
      </c>
      <c r="K271" s="3">
        <f t="shared" si="257"/>
        <v>3.1963681817399725E-2</v>
      </c>
      <c r="L271" s="3">
        <f t="shared" si="257"/>
        <v>3.1963681817399558E-2</v>
      </c>
      <c r="M271" s="3">
        <f t="shared" si="257"/>
        <v>3.1963681817397865E-2</v>
      </c>
      <c r="N271" s="3">
        <f t="shared" si="257"/>
        <v>3.1963681817380983E-2</v>
      </c>
      <c r="O271" s="3">
        <f t="shared" si="257"/>
        <v>3.1963681817212083E-2</v>
      </c>
      <c r="P271" s="3">
        <f t="shared" si="257"/>
        <v>3.1963681815523136E-2</v>
      </c>
      <c r="Q271" s="3">
        <f t="shared" si="257"/>
        <v>3.1963681798633695E-2</v>
      </c>
      <c r="R271" s="3">
        <f t="shared" si="257"/>
        <v>3.1963681629739234E-2</v>
      </c>
      <c r="S271" s="3">
        <f t="shared" si="257"/>
        <v>3.1963679940794659E-2</v>
      </c>
      <c r="T271" s="3">
        <f t="shared" si="257"/>
        <v>3.1963663051353855E-2</v>
      </c>
      <c r="U271" s="3">
        <f t="shared" si="257"/>
        <v>3.1963494157436656E-2</v>
      </c>
      <c r="V271" s="3">
        <f t="shared" si="257"/>
        <v>3.196180526734721E-2</v>
      </c>
      <c r="W271" s="3">
        <f t="shared" si="257"/>
        <v>3.1944921273750142E-2</v>
      </c>
      <c r="X271" s="3">
        <f t="shared" si="257"/>
        <v>3.1776571109463081E-2</v>
      </c>
      <c r="Y271" s="3">
        <f t="shared" si="257"/>
        <v>3.0141102484420028E-2</v>
      </c>
      <c r="Z271" s="3">
        <f t="shared" si="257"/>
        <v>1.7769702095637784E-2</v>
      </c>
      <c r="AA271" s="3">
        <f t="shared" si="257"/>
        <v>9.013433955811634E-5</v>
      </c>
      <c r="AB271" s="3">
        <f t="shared" si="257"/>
        <v>1.0162290821168525E-27</v>
      </c>
      <c r="AC271" s="3">
        <f t="shared" si="257"/>
        <v>3.3729119421360673E-257</v>
      </c>
      <c r="AD271" s="3">
        <f t="shared" si="257"/>
        <v>0</v>
      </c>
      <c r="AE271" s="3">
        <f t="shared" si="257"/>
        <v>0</v>
      </c>
      <c r="AF271" s="3">
        <f t="shared" si="257"/>
        <v>0</v>
      </c>
      <c r="AG271" s="3"/>
      <c r="AH271" s="3"/>
    </row>
    <row r="272" spans="2:34" x14ac:dyDescent="0.25">
      <c r="B272" s="3">
        <f t="shared" ref="B272:AF272" si="258">$C41*EXP(-B$246/$A41/EXP(-$E$126))</f>
        <v>1.8386856006952675E-2</v>
      </c>
      <c r="C272" s="3">
        <f t="shared" si="258"/>
        <v>1.8386856006952675E-2</v>
      </c>
      <c r="D272" s="3">
        <f t="shared" si="258"/>
        <v>1.8386856006952675E-2</v>
      </c>
      <c r="E272" s="3">
        <f t="shared" si="258"/>
        <v>1.8386856006952675E-2</v>
      </c>
      <c r="F272" s="3">
        <f t="shared" si="258"/>
        <v>1.8386856006952675E-2</v>
      </c>
      <c r="G272" s="3">
        <f t="shared" si="258"/>
        <v>1.8386856006952675E-2</v>
      </c>
      <c r="H272" s="3">
        <f t="shared" si="258"/>
        <v>1.8386856006952675E-2</v>
      </c>
      <c r="I272" s="3">
        <f t="shared" si="258"/>
        <v>1.8386856006952675E-2</v>
      </c>
      <c r="J272" s="3">
        <f t="shared" si="258"/>
        <v>1.8386856006952675E-2</v>
      </c>
      <c r="K272" s="3">
        <f t="shared" si="258"/>
        <v>1.8386856006952671E-2</v>
      </c>
      <c r="L272" s="3">
        <f t="shared" si="258"/>
        <v>1.8386856006952664E-2</v>
      </c>
      <c r="M272" s="3">
        <f t="shared" si="258"/>
        <v>1.8386856006952567E-2</v>
      </c>
      <c r="N272" s="3">
        <f t="shared" si="258"/>
        <v>1.8386856006951596E-2</v>
      </c>
      <c r="O272" s="3">
        <f t="shared" si="258"/>
        <v>1.8386856006941881E-2</v>
      </c>
      <c r="P272" s="3">
        <f t="shared" si="258"/>
        <v>1.8386856006844723E-2</v>
      </c>
      <c r="Q272" s="3">
        <f t="shared" si="258"/>
        <v>1.838685600587317E-2</v>
      </c>
      <c r="R272" s="3">
        <f t="shared" si="258"/>
        <v>1.838685599615765E-2</v>
      </c>
      <c r="S272" s="3">
        <f t="shared" si="258"/>
        <v>1.8386855899002446E-2</v>
      </c>
      <c r="T272" s="3">
        <f t="shared" si="258"/>
        <v>1.8386854927450392E-2</v>
      </c>
      <c r="U272" s="3">
        <f t="shared" si="258"/>
        <v>1.8386845211932703E-2</v>
      </c>
      <c r="V272" s="3">
        <f t="shared" si="258"/>
        <v>1.8386748057038167E-2</v>
      </c>
      <c r="W272" s="3">
        <f t="shared" si="258"/>
        <v>1.8385776536327142E-2</v>
      </c>
      <c r="X272" s="3">
        <f t="shared" si="258"/>
        <v>1.8376064152101031E-2</v>
      </c>
      <c r="Y272" s="3">
        <f t="shared" si="258"/>
        <v>1.8279222047140272E-2</v>
      </c>
      <c r="Z272" s="3">
        <f t="shared" si="258"/>
        <v>1.7338431612410502E-2</v>
      </c>
      <c r="AA272" s="3">
        <f t="shared" si="258"/>
        <v>1.0221881058178941E-2</v>
      </c>
      <c r="AB272" s="3">
        <f t="shared" si="258"/>
        <v>5.184906833338276E-5</v>
      </c>
      <c r="AC272" s="3">
        <f t="shared" si="258"/>
        <v>5.845777689098615E-28</v>
      </c>
      <c r="AD272" s="3">
        <f t="shared" si="258"/>
        <v>1.9402410072305019E-257</v>
      </c>
      <c r="AE272" s="3">
        <f t="shared" si="258"/>
        <v>0</v>
      </c>
      <c r="AF272" s="3">
        <f t="shared" si="258"/>
        <v>0</v>
      </c>
      <c r="AG272" s="3"/>
      <c r="AH272" s="3"/>
    </row>
    <row r="273" spans="1:34" x14ac:dyDescent="0.25">
      <c r="B273" s="3">
        <f t="shared" ref="B273:AF273" si="259">$C42*EXP(-B$246/$A42/EXP(-$E$126))</f>
        <v>9.0608848838832357E-3</v>
      </c>
      <c r="C273" s="3">
        <f t="shared" si="259"/>
        <v>9.0608848838832357E-3</v>
      </c>
      <c r="D273" s="3">
        <f t="shared" si="259"/>
        <v>9.0608848838832357E-3</v>
      </c>
      <c r="E273" s="3">
        <f t="shared" si="259"/>
        <v>9.0608848838832357E-3</v>
      </c>
      <c r="F273" s="3">
        <f t="shared" si="259"/>
        <v>9.0608848838832357E-3</v>
      </c>
      <c r="G273" s="3">
        <f t="shared" si="259"/>
        <v>9.0608848838832357E-3</v>
      </c>
      <c r="H273" s="3">
        <f t="shared" si="259"/>
        <v>9.0608848838832357E-3</v>
      </c>
      <c r="I273" s="3">
        <f t="shared" si="259"/>
        <v>9.0608848838832357E-3</v>
      </c>
      <c r="J273" s="3">
        <f t="shared" si="259"/>
        <v>9.0608848838832357E-3</v>
      </c>
      <c r="K273" s="3">
        <f t="shared" si="259"/>
        <v>9.0608848838832357E-3</v>
      </c>
      <c r="L273" s="3">
        <f t="shared" si="259"/>
        <v>9.0608848838832339E-3</v>
      </c>
      <c r="M273" s="3">
        <f t="shared" si="259"/>
        <v>9.0608848838832304E-3</v>
      </c>
      <c r="N273" s="3">
        <f t="shared" si="259"/>
        <v>9.0608848838831819E-3</v>
      </c>
      <c r="O273" s="3">
        <f t="shared" si="259"/>
        <v>9.0608848838827031E-3</v>
      </c>
      <c r="P273" s="3">
        <f t="shared" si="259"/>
        <v>9.060884883877917E-3</v>
      </c>
      <c r="Q273" s="3">
        <f t="shared" si="259"/>
        <v>9.0608848838300386E-3</v>
      </c>
      <c r="R273" s="3">
        <f t="shared" si="259"/>
        <v>9.0608848833512654E-3</v>
      </c>
      <c r="S273" s="3">
        <f t="shared" si="259"/>
        <v>9.0608848785635413E-3</v>
      </c>
      <c r="T273" s="3">
        <f t="shared" si="259"/>
        <v>9.0608848306862888E-3</v>
      </c>
      <c r="U273" s="3">
        <f t="shared" si="259"/>
        <v>9.0608843519137741E-3</v>
      </c>
      <c r="V273" s="3">
        <f t="shared" si="259"/>
        <v>9.0608795641900133E-3</v>
      </c>
      <c r="W273" s="3">
        <f t="shared" si="259"/>
        <v>9.0608316870915591E-3</v>
      </c>
      <c r="X273" s="3">
        <f t="shared" si="259"/>
        <v>9.0603529300206619E-3</v>
      </c>
      <c r="Y273" s="3">
        <f t="shared" si="259"/>
        <v>9.0555667504047688E-3</v>
      </c>
      <c r="Z273" s="3">
        <f t="shared" si="259"/>
        <v>9.0078437919701906E-3</v>
      </c>
      <c r="AA273" s="3">
        <f t="shared" si="259"/>
        <v>8.5442303375698539E-3</v>
      </c>
      <c r="AB273" s="3">
        <f t="shared" si="259"/>
        <v>5.0372552833330263E-3</v>
      </c>
      <c r="AC273" s="3">
        <f t="shared" si="259"/>
        <v>2.5550776017810254E-5</v>
      </c>
      <c r="AD273" s="3">
        <f t="shared" si="259"/>
        <v>2.8807490893313465E-28</v>
      </c>
      <c r="AE273" s="3">
        <f t="shared" si="259"/>
        <v>9.5613412139941436E-258</v>
      </c>
      <c r="AF273" s="3">
        <f t="shared" si="259"/>
        <v>0</v>
      </c>
      <c r="AG273" s="3"/>
      <c r="AH273" s="3"/>
    </row>
    <row r="274" spans="1:34" x14ac:dyDescent="0.25">
      <c r="B274" s="3">
        <f t="shared" ref="B274:AF274" si="260">$C43*EXP(-B$246/$A43/EXP(-$E$126))</f>
        <v>3.4752911115110466E-3</v>
      </c>
      <c r="C274" s="3">
        <f t="shared" si="260"/>
        <v>3.4752911115110466E-3</v>
      </c>
      <c r="D274" s="3">
        <f t="shared" si="260"/>
        <v>3.4752911115110466E-3</v>
      </c>
      <c r="E274" s="3">
        <f t="shared" si="260"/>
        <v>3.4752911115110466E-3</v>
      </c>
      <c r="F274" s="3">
        <f t="shared" si="260"/>
        <v>3.4752911115110466E-3</v>
      </c>
      <c r="G274" s="3">
        <f t="shared" si="260"/>
        <v>3.4752911115110466E-3</v>
      </c>
      <c r="H274" s="3">
        <f t="shared" si="260"/>
        <v>3.4752911115110466E-3</v>
      </c>
      <c r="I274" s="3">
        <f t="shared" si="260"/>
        <v>3.4752911115110466E-3</v>
      </c>
      <c r="J274" s="3">
        <f t="shared" si="260"/>
        <v>3.4752911115110466E-3</v>
      </c>
      <c r="K274" s="3">
        <f t="shared" si="260"/>
        <v>3.4752911115110466E-3</v>
      </c>
      <c r="L274" s="3">
        <f t="shared" si="260"/>
        <v>3.4752911115110466E-3</v>
      </c>
      <c r="M274" s="3">
        <f t="shared" si="260"/>
        <v>3.4752911115110462E-3</v>
      </c>
      <c r="N274" s="3">
        <f t="shared" si="260"/>
        <v>3.4752911115110449E-3</v>
      </c>
      <c r="O274" s="3">
        <f t="shared" si="260"/>
        <v>3.4752911115110263E-3</v>
      </c>
      <c r="P274" s="3">
        <f t="shared" si="260"/>
        <v>3.4752911115108424E-3</v>
      </c>
      <c r="Q274" s="3">
        <f t="shared" si="260"/>
        <v>3.4752911115090062E-3</v>
      </c>
      <c r="R274" s="3">
        <f t="shared" si="260"/>
        <v>3.4752911114906428E-3</v>
      </c>
      <c r="S274" s="3">
        <f t="shared" si="260"/>
        <v>3.4752911113070102E-3</v>
      </c>
      <c r="T274" s="3">
        <f t="shared" si="260"/>
        <v>3.4752911094706844E-3</v>
      </c>
      <c r="U274" s="3">
        <f t="shared" si="260"/>
        <v>3.4752910911074238E-3</v>
      </c>
      <c r="V274" s="3">
        <f t="shared" si="260"/>
        <v>3.4752909074748221E-3</v>
      </c>
      <c r="W274" s="3">
        <f t="shared" si="260"/>
        <v>3.4752890711493372E-3</v>
      </c>
      <c r="X274" s="3">
        <f t="shared" si="260"/>
        <v>3.4752707079478578E-3</v>
      </c>
      <c r="Y274" s="3">
        <f t="shared" si="260"/>
        <v>3.4750870812696268E-3</v>
      </c>
      <c r="Z274" s="3">
        <f t="shared" si="260"/>
        <v>3.4732513480393336E-3</v>
      </c>
      <c r="AA274" s="3">
        <f t="shared" si="260"/>
        <v>3.4549472667726455E-3</v>
      </c>
      <c r="AB274" s="3">
        <f t="shared" si="260"/>
        <v>3.2771289037868984E-3</v>
      </c>
      <c r="AC274" s="3">
        <f t="shared" si="260"/>
        <v>1.9320329898150947E-3</v>
      </c>
      <c r="AD274" s="3">
        <f t="shared" si="260"/>
        <v>9.7999683170955372E-6</v>
      </c>
      <c r="AE274" s="3">
        <f t="shared" si="260"/>
        <v>1.1049077251223341E-28</v>
      </c>
      <c r="AF274" s="3">
        <f t="shared" si="260"/>
        <v>3.6672405135862763E-258</v>
      </c>
      <c r="AG274" s="3"/>
      <c r="AH274" s="3"/>
    </row>
    <row r="275" spans="1:34" x14ac:dyDescent="0.25">
      <c r="B275" s="3">
        <f t="shared" ref="B275:AF275" si="261">$C44*EXP(-B$246/$A44/EXP(-$E$126))</f>
        <v>3.7189183043806369E-3</v>
      </c>
      <c r="C275" s="3">
        <f t="shared" si="261"/>
        <v>3.7189183043806369E-3</v>
      </c>
      <c r="D275" s="3">
        <f t="shared" si="261"/>
        <v>3.7189183043806369E-3</v>
      </c>
      <c r="E275" s="3">
        <f t="shared" si="261"/>
        <v>3.7189183043806369E-3</v>
      </c>
      <c r="F275" s="3">
        <f t="shared" si="261"/>
        <v>3.7189183043806369E-3</v>
      </c>
      <c r="G275" s="3">
        <f t="shared" si="261"/>
        <v>3.7189183043806369E-3</v>
      </c>
      <c r="H275" s="3">
        <f t="shared" si="261"/>
        <v>3.7189183043806369E-3</v>
      </c>
      <c r="I275" s="3">
        <f t="shared" si="261"/>
        <v>3.7189183043806369E-3</v>
      </c>
      <c r="J275" s="3">
        <f t="shared" si="261"/>
        <v>3.7189183043806369E-3</v>
      </c>
      <c r="K275" s="3">
        <f t="shared" si="261"/>
        <v>3.7189183043806369E-3</v>
      </c>
      <c r="L275" s="3">
        <f t="shared" si="261"/>
        <v>3.7189183043806369E-3</v>
      </c>
      <c r="M275" s="3">
        <f t="shared" si="261"/>
        <v>3.7189183043806369E-3</v>
      </c>
      <c r="N275" s="3">
        <f t="shared" si="261"/>
        <v>3.7189183043806365E-3</v>
      </c>
      <c r="O275" s="3">
        <f t="shared" si="261"/>
        <v>3.7189183043806347E-3</v>
      </c>
      <c r="P275" s="3">
        <f t="shared" si="261"/>
        <v>3.7189183043806152E-3</v>
      </c>
      <c r="Q275" s="3">
        <f t="shared" si="261"/>
        <v>3.7189183043804183E-3</v>
      </c>
      <c r="R275" s="3">
        <f t="shared" si="261"/>
        <v>3.7189183043784537E-3</v>
      </c>
      <c r="S275" s="3">
        <f t="shared" si="261"/>
        <v>3.7189183043588028E-3</v>
      </c>
      <c r="T275" s="3">
        <f t="shared" si="261"/>
        <v>3.7189183041622968E-3</v>
      </c>
      <c r="U275" s="3">
        <f t="shared" si="261"/>
        <v>3.7189183021972398E-3</v>
      </c>
      <c r="V275" s="3">
        <f t="shared" si="261"/>
        <v>3.7189182825466656E-3</v>
      </c>
      <c r="W275" s="3">
        <f t="shared" si="261"/>
        <v>3.7189180860409277E-3</v>
      </c>
      <c r="X275" s="3">
        <f t="shared" si="261"/>
        <v>3.7189161209841195E-3</v>
      </c>
      <c r="Y275" s="3">
        <f t="shared" si="261"/>
        <v>3.7188964704731502E-3</v>
      </c>
      <c r="Z275" s="3">
        <f t="shared" si="261"/>
        <v>3.7186999710741258E-3</v>
      </c>
      <c r="AA275" s="3">
        <f t="shared" si="261"/>
        <v>3.7167355480393236E-3</v>
      </c>
      <c r="AB275" s="3">
        <f t="shared" si="261"/>
        <v>3.6971483017674681E-3</v>
      </c>
      <c r="AC275" s="3">
        <f t="shared" si="261"/>
        <v>3.5068643964070428E-3</v>
      </c>
      <c r="AD275" s="3">
        <f t="shared" si="261"/>
        <v>2.0674736647792809E-3</v>
      </c>
      <c r="AE275" s="3">
        <f t="shared" si="261"/>
        <v>1.0486972281568261E-5</v>
      </c>
      <c r="AF275" s="3">
        <f t="shared" si="261"/>
        <v>1.1823647089588445E-28</v>
      </c>
      <c r="AG275" s="3"/>
      <c r="AH275" s="3"/>
    </row>
    <row r="276" spans="1:34" x14ac:dyDescent="0.25">
      <c r="B276" s="3">
        <f t="shared" ref="B276:AF276" si="262">$C45*EXP(-B$246/$A45/EXP(-$E$126))</f>
        <v>9.6569507815885117E-4</v>
      </c>
      <c r="C276" s="3">
        <f t="shared" si="262"/>
        <v>9.6569507815885117E-4</v>
      </c>
      <c r="D276" s="3">
        <f t="shared" si="262"/>
        <v>9.6569507815885117E-4</v>
      </c>
      <c r="E276" s="3">
        <f t="shared" si="262"/>
        <v>9.6569507815885117E-4</v>
      </c>
      <c r="F276" s="3">
        <f t="shared" si="262"/>
        <v>9.6569507815885117E-4</v>
      </c>
      <c r="G276" s="3">
        <f t="shared" si="262"/>
        <v>9.6569507815885117E-4</v>
      </c>
      <c r="H276" s="3">
        <f t="shared" si="262"/>
        <v>9.6569507815885117E-4</v>
      </c>
      <c r="I276" s="3">
        <f t="shared" si="262"/>
        <v>9.6569507815885117E-4</v>
      </c>
      <c r="J276" s="3">
        <f t="shared" si="262"/>
        <v>9.6569507815885117E-4</v>
      </c>
      <c r="K276" s="3">
        <f t="shared" si="262"/>
        <v>9.6569507815885117E-4</v>
      </c>
      <c r="L276" s="3">
        <f t="shared" si="262"/>
        <v>9.6569507815885117E-4</v>
      </c>
      <c r="M276" s="3">
        <f t="shared" si="262"/>
        <v>9.6569507815885117E-4</v>
      </c>
      <c r="N276" s="3">
        <f t="shared" si="262"/>
        <v>9.6569507815885117E-4</v>
      </c>
      <c r="O276" s="3">
        <f t="shared" si="262"/>
        <v>9.6569507815885106E-4</v>
      </c>
      <c r="P276" s="3">
        <f t="shared" si="262"/>
        <v>9.6569507815885062E-4</v>
      </c>
      <c r="Q276" s="3">
        <f t="shared" si="262"/>
        <v>9.6569507815884553E-4</v>
      </c>
      <c r="R276" s="3">
        <f t="shared" si="262"/>
        <v>9.6569507815879446E-4</v>
      </c>
      <c r="S276" s="3">
        <f t="shared" si="262"/>
        <v>9.6569507815828424E-4</v>
      </c>
      <c r="T276" s="3">
        <f t="shared" si="262"/>
        <v>9.6569507815318144E-4</v>
      </c>
      <c r="U276" s="3">
        <f t="shared" si="262"/>
        <v>9.6569507810215466E-4</v>
      </c>
      <c r="V276" s="3">
        <f t="shared" si="262"/>
        <v>9.6569507759188629E-4</v>
      </c>
      <c r="W276" s="3">
        <f t="shared" si="262"/>
        <v>9.6569507248920293E-4</v>
      </c>
      <c r="X276" s="3">
        <f t="shared" si="262"/>
        <v>9.6569502146236978E-4</v>
      </c>
      <c r="Y276" s="3">
        <f t="shared" si="262"/>
        <v>9.6569451119418617E-4</v>
      </c>
      <c r="Z276" s="3">
        <f t="shared" si="262"/>
        <v>9.656894085271812E-4</v>
      </c>
      <c r="AA276" s="3">
        <f t="shared" si="262"/>
        <v>9.6563838334002509E-4</v>
      </c>
      <c r="AB276" s="3">
        <f t="shared" si="262"/>
        <v>9.6512827972901111E-4</v>
      </c>
      <c r="AC276" s="3">
        <f t="shared" si="262"/>
        <v>9.6004204072851066E-4</v>
      </c>
      <c r="AD276" s="3">
        <f t="shared" si="262"/>
        <v>9.106308367655317E-4</v>
      </c>
      <c r="AE276" s="3">
        <f t="shared" si="262"/>
        <v>5.3686286680419758E-4</v>
      </c>
      <c r="AF276" s="3">
        <f t="shared" si="262"/>
        <v>2.7231621370035434E-6</v>
      </c>
      <c r="AG276" s="3"/>
      <c r="AH276" s="3"/>
    </row>
    <row r="277" spans="1:34" x14ac:dyDescent="0.25">
      <c r="B277" s="3">
        <f t="shared" ref="B277:AF277" si="263">$C46*EXP(-B$246/$A46/EXP(-$E$126))</f>
        <v>6.3325792141422034E-4</v>
      </c>
      <c r="C277" s="3">
        <f t="shared" si="263"/>
        <v>6.3325792141422034E-4</v>
      </c>
      <c r="D277" s="3">
        <f t="shared" si="263"/>
        <v>6.3325792141422034E-4</v>
      </c>
      <c r="E277" s="3">
        <f t="shared" si="263"/>
        <v>6.3325792141422034E-4</v>
      </c>
      <c r="F277" s="3">
        <f t="shared" si="263"/>
        <v>6.3325792141422034E-4</v>
      </c>
      <c r="G277" s="3">
        <f t="shared" si="263"/>
        <v>6.3325792141422034E-4</v>
      </c>
      <c r="H277" s="3">
        <f t="shared" si="263"/>
        <v>6.3325792141422034E-4</v>
      </c>
      <c r="I277" s="3">
        <f t="shared" si="263"/>
        <v>6.3325792141422034E-4</v>
      </c>
      <c r="J277" s="3">
        <f t="shared" si="263"/>
        <v>6.3325792141422034E-4</v>
      </c>
      <c r="K277" s="3">
        <f t="shared" si="263"/>
        <v>6.3325792141422034E-4</v>
      </c>
      <c r="L277" s="3">
        <f t="shared" si="263"/>
        <v>6.3325792141422034E-4</v>
      </c>
      <c r="M277" s="3">
        <f t="shared" si="263"/>
        <v>6.3325792141422034E-4</v>
      </c>
      <c r="N277" s="3">
        <f t="shared" si="263"/>
        <v>6.3325792141422034E-4</v>
      </c>
      <c r="O277" s="3">
        <f t="shared" si="263"/>
        <v>6.3325792141422034E-4</v>
      </c>
      <c r="P277" s="3">
        <f t="shared" si="263"/>
        <v>6.3325792141422023E-4</v>
      </c>
      <c r="Q277" s="3">
        <f t="shared" si="263"/>
        <v>6.3325792141422001E-4</v>
      </c>
      <c r="R277" s="3">
        <f t="shared" si="263"/>
        <v>6.3325792141421665E-4</v>
      </c>
      <c r="S277" s="3">
        <f t="shared" si="263"/>
        <v>6.3325792141418315E-4</v>
      </c>
      <c r="T277" s="3">
        <f t="shared" si="263"/>
        <v>6.3325792141384857E-4</v>
      </c>
      <c r="U277" s="3">
        <f t="shared" si="263"/>
        <v>6.3325792141050239E-4</v>
      </c>
      <c r="V277" s="3">
        <f t="shared" si="263"/>
        <v>6.3325792137704142E-4</v>
      </c>
      <c r="W277" s="3">
        <f t="shared" si="263"/>
        <v>6.3325792104243115E-4</v>
      </c>
      <c r="X277" s="3">
        <f t="shared" si="263"/>
        <v>6.3325791769632868E-4</v>
      </c>
      <c r="Y277" s="3">
        <f t="shared" si="263"/>
        <v>6.3325788423530458E-4</v>
      </c>
      <c r="Z277" s="3">
        <f t="shared" si="263"/>
        <v>6.3325754962516041E-4</v>
      </c>
      <c r="AA277" s="3">
        <f t="shared" si="263"/>
        <v>6.3325420353344442E-4</v>
      </c>
      <c r="AB277" s="3">
        <f t="shared" si="263"/>
        <v>6.3322074358869679E-4</v>
      </c>
      <c r="AC277" s="3">
        <f t="shared" si="263"/>
        <v>6.3288624136359224E-4</v>
      </c>
      <c r="AD277" s="3">
        <f t="shared" si="263"/>
        <v>6.2955092236889089E-4</v>
      </c>
      <c r="AE277" s="3">
        <f t="shared" si="263"/>
        <v>5.9714935273903812E-4</v>
      </c>
      <c r="AF277" s="3">
        <f t="shared" si="263"/>
        <v>3.5204970057948467E-4</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2.585470347840544E-2</v>
      </c>
      <c r="C279" s="3">
        <f t="shared" si="265"/>
        <v>2.585470347840544E-2</v>
      </c>
      <c r="D279" s="3">
        <f t="shared" si="265"/>
        <v>2.585470347840544E-2</v>
      </c>
      <c r="E279" s="3">
        <f t="shared" si="265"/>
        <v>2.585470347840544E-2</v>
      </c>
      <c r="F279" s="3">
        <f t="shared" si="265"/>
        <v>2.585470347840544E-2</v>
      </c>
      <c r="G279" s="3">
        <f t="shared" si="265"/>
        <v>2.585470347840544E-2</v>
      </c>
      <c r="H279" s="3">
        <f t="shared" si="265"/>
        <v>2.585470347840544E-2</v>
      </c>
      <c r="I279" s="3">
        <f t="shared" si="265"/>
        <v>2.585470347840544E-2</v>
      </c>
      <c r="J279" s="3">
        <f t="shared" si="265"/>
        <v>2.585470347840544E-2</v>
      </c>
      <c r="K279" s="3">
        <f t="shared" si="265"/>
        <v>2.585470347840544E-2</v>
      </c>
      <c r="L279" s="3">
        <f t="shared" si="265"/>
        <v>2.585470347840544E-2</v>
      </c>
      <c r="M279" s="3">
        <f t="shared" si="265"/>
        <v>2.585470347840544E-2</v>
      </c>
      <c r="N279" s="3">
        <f t="shared" si="265"/>
        <v>2.585470347840544E-2</v>
      </c>
      <c r="O279" s="3">
        <f t="shared" si="265"/>
        <v>2.585470347840544E-2</v>
      </c>
      <c r="P279" s="3">
        <f t="shared" si="265"/>
        <v>2.585470347840544E-2</v>
      </c>
      <c r="Q279" s="3">
        <f t="shared" si="265"/>
        <v>2.585470347840544E-2</v>
      </c>
      <c r="R279" s="3">
        <f t="shared" si="265"/>
        <v>2.5854703478405437E-2</v>
      </c>
      <c r="S279" s="3">
        <f t="shared" si="265"/>
        <v>2.5854703478405426E-2</v>
      </c>
      <c r="T279" s="3">
        <f t="shared" si="265"/>
        <v>2.5854703478405287E-2</v>
      </c>
      <c r="U279" s="3">
        <f t="shared" si="265"/>
        <v>2.585470347840392E-2</v>
      </c>
      <c r="V279" s="3">
        <f t="shared" si="265"/>
        <v>2.5854703478390261E-2</v>
      </c>
      <c r="W279" s="3">
        <f t="shared" si="265"/>
        <v>2.5854703478253645E-2</v>
      </c>
      <c r="X279" s="3">
        <f t="shared" si="265"/>
        <v>2.5854703476887494E-2</v>
      </c>
      <c r="Y279" s="3">
        <f t="shared" si="265"/>
        <v>2.5854703463226002E-2</v>
      </c>
      <c r="Z279" s="3">
        <f t="shared" si="265"/>
        <v>2.5854703326611071E-2</v>
      </c>
      <c r="AA279" s="3">
        <f t="shared" si="265"/>
        <v>2.5854701960461787E-2</v>
      </c>
      <c r="AB279" s="3">
        <f t="shared" si="265"/>
        <v>2.5854688298972899E-2</v>
      </c>
      <c r="AC279" s="3">
        <f t="shared" si="265"/>
        <v>2.5854551684481069E-2</v>
      </c>
      <c r="AD279" s="3">
        <f t="shared" si="265"/>
        <v>2.585318557926454E-2</v>
      </c>
      <c r="AE279" s="3">
        <f t="shared" si="265"/>
        <v>2.5839528496501753E-2</v>
      </c>
      <c r="AF279" s="3">
        <f t="shared" si="265"/>
        <v>2.5703353834175671E-2</v>
      </c>
      <c r="AG279" s="3"/>
      <c r="AH279" s="3"/>
    </row>
    <row r="280" spans="1:34" x14ac:dyDescent="0.25">
      <c r="A280" s="79">
        <f>AVERAGE(B280:AF280)</f>
        <v>3.8115370667143509E-3</v>
      </c>
      <c r="B280" s="80">
        <f>IF($D$61&lt;=B246,IF($E$61&gt;=B246,ABS((B248-B247)/B247),0),0)</f>
        <v>3.4443547412840128E-2</v>
      </c>
      <c r="C280" s="80">
        <f t="shared" ref="C280:AF280" si="266">IF($D$61&lt;=C246,IF($E$61&gt;=C246,ABS((C248-C247)/C247),0),0)</f>
        <v>8.4730373966399423E-3</v>
      </c>
      <c r="D280" s="80">
        <f t="shared" si="266"/>
        <v>9.0482103682675181E-3</v>
      </c>
      <c r="E280" s="80">
        <f t="shared" si="266"/>
        <v>1.6525198816584536E-3</v>
      </c>
      <c r="F280" s="80">
        <f t="shared" si="266"/>
        <v>1.9854424173243812E-3</v>
      </c>
      <c r="G280" s="80">
        <f t="shared" si="266"/>
        <v>1.0288242704138517E-3</v>
      </c>
      <c r="H280" s="80">
        <f t="shared" si="266"/>
        <v>9.2102432885038052E-4</v>
      </c>
      <c r="I280" s="80">
        <f t="shared" si="266"/>
        <v>9.3943451131720055E-4</v>
      </c>
      <c r="J280" s="80">
        <f t="shared" si="266"/>
        <v>6.8851867697972472E-4</v>
      </c>
      <c r="K280" s="80">
        <f t="shared" si="266"/>
        <v>5.9643721825667077E-4</v>
      </c>
      <c r="L280" s="80">
        <f t="shared" si="266"/>
        <v>6.4610278379696794E-4</v>
      </c>
      <c r="M280" s="80">
        <f t="shared" si="266"/>
        <v>1.6920392397372416E-3</v>
      </c>
      <c r="N280" s="80">
        <f t="shared" si="266"/>
        <v>9.5174169331321801E-4</v>
      </c>
      <c r="O280" s="80">
        <f t="shared" si="266"/>
        <v>2.0870958342132247E-3</v>
      </c>
      <c r="P280" s="80">
        <f t="shared" si="266"/>
        <v>2.1104171665112716E-3</v>
      </c>
      <c r="Q280" s="80">
        <f t="shared" si="266"/>
        <v>2.1479001124777137E-3</v>
      </c>
      <c r="R280" s="80">
        <f t="shared" si="266"/>
        <v>1.487407844224322E-3</v>
      </c>
      <c r="S280" s="80">
        <f t="shared" si="266"/>
        <v>2.5241809089220912E-3</v>
      </c>
      <c r="T280" s="80">
        <f t="shared" si="266"/>
        <v>4.4382808929403815E-3</v>
      </c>
      <c r="U280" s="80">
        <f t="shared" si="266"/>
        <v>4.3095756559402166E-3</v>
      </c>
      <c r="V280" s="80">
        <f t="shared" si="266"/>
        <v>4.9575730418125437E-5</v>
      </c>
      <c r="W280" s="80">
        <f t="shared" si="266"/>
        <v>1.3536713680201821E-3</v>
      </c>
      <c r="X280" s="80">
        <f t="shared" si="266"/>
        <v>1.1289232254328803E-2</v>
      </c>
      <c r="Y280" s="80">
        <f t="shared" si="266"/>
        <v>2.3293431100752878E-2</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107549.65835558418</v>
      </c>
      <c r="C281" s="21">
        <f t="shared" ref="C281:AF281" si="267">(C248-C247)^2</f>
        <v>6162.6153166413442</v>
      </c>
      <c r="D281" s="21">
        <f t="shared" si="267"/>
        <v>6691.0303016507496</v>
      </c>
      <c r="E281" s="21">
        <f t="shared" si="267"/>
        <v>211.26756305031964</v>
      </c>
      <c r="F281" s="21">
        <f t="shared" si="267"/>
        <v>287.00314436997814</v>
      </c>
      <c r="G281" s="21">
        <f t="shared" si="267"/>
        <v>71.942145102348135</v>
      </c>
      <c r="H281" s="21">
        <f t="shared" si="267"/>
        <v>53.725502592130432</v>
      </c>
      <c r="I281" s="21">
        <f t="shared" si="267"/>
        <v>52.154202802087447</v>
      </c>
      <c r="J281" s="21">
        <f t="shared" si="267"/>
        <v>25.779912752348928</v>
      </c>
      <c r="K281" s="21">
        <f t="shared" si="267"/>
        <v>17.461798990094337</v>
      </c>
      <c r="L281" s="21">
        <f t="shared" si="267"/>
        <v>18.343548628764353</v>
      </c>
      <c r="M281" s="21">
        <f t="shared" si="267"/>
        <v>114.04294548187657</v>
      </c>
      <c r="N281" s="21">
        <f t="shared" si="267"/>
        <v>32.916869921017224</v>
      </c>
      <c r="O281" s="21">
        <f t="shared" si="267"/>
        <v>143.95455090817205</v>
      </c>
      <c r="P281" s="21">
        <f t="shared" si="267"/>
        <v>133.05806826266058</v>
      </c>
      <c r="Q281" s="21">
        <f t="shared" si="267"/>
        <v>124.39629518406477</v>
      </c>
      <c r="R281" s="21">
        <f t="shared" si="267"/>
        <v>52.749324731245899</v>
      </c>
      <c r="S281" s="21">
        <f t="shared" si="267"/>
        <v>129.11097351476573</v>
      </c>
      <c r="T281" s="21">
        <f t="shared" si="267"/>
        <v>325.75771451874402</v>
      </c>
      <c r="U281" s="21">
        <f t="shared" si="267"/>
        <v>240.37382886412155</v>
      </c>
      <c r="V281" s="21">
        <f t="shared" si="267"/>
        <v>2.3656686243962704E-2</v>
      </c>
      <c r="W281" s="21">
        <f t="shared" si="267"/>
        <v>12.090002540973577</v>
      </c>
      <c r="X281" s="21">
        <f t="shared" si="267"/>
        <v>510.16013703658695</v>
      </c>
      <c r="Y281" s="21">
        <f t="shared" si="267"/>
        <v>1168.4917386536454</v>
      </c>
      <c r="Z281" s="21">
        <f t="shared" si="267"/>
        <v>23.472932228036463</v>
      </c>
      <c r="AA281" s="21">
        <f t="shared" si="267"/>
        <v>12.644208608375413</v>
      </c>
      <c r="AB281" s="21">
        <f t="shared" si="267"/>
        <v>9.2198105027005592</v>
      </c>
      <c r="AC281" s="21">
        <f t="shared" si="267"/>
        <v>2.4641085048438412E-3</v>
      </c>
      <c r="AD281" s="21">
        <f t="shared" si="267"/>
        <v>3.7910713687587638E-2</v>
      </c>
      <c r="AE281" s="21">
        <f t="shared" si="267"/>
        <v>0.73561926755245133</v>
      </c>
      <c r="AF281" s="21">
        <f t="shared" si="267"/>
        <v>9.5864792970222962E-2</v>
      </c>
      <c r="AG281" s="3"/>
      <c r="AH281" s="3"/>
    </row>
    <row r="282" spans="1:34" s="3" customFormat="1" x14ac:dyDescent="0.25">
      <c r="A282" s="71">
        <f>SUM(B282:AF282)</f>
        <v>124128.10789846846</v>
      </c>
      <c r="B282" s="21">
        <f>IF($D$61&lt;=B246,IF($E$61&gt;=B246,ABS(B281),0),0)</f>
        <v>107549.65835558418</v>
      </c>
      <c r="C282" s="21">
        <f t="shared" ref="C282:AF282" si="268">IF($D$61&lt;=C246,IF($E$61&gt;=C246,ABS(C281),0),0)</f>
        <v>6162.6153166413442</v>
      </c>
      <c r="D282" s="21">
        <f t="shared" si="268"/>
        <v>6691.0303016507496</v>
      </c>
      <c r="E282" s="21">
        <f t="shared" si="268"/>
        <v>211.26756305031964</v>
      </c>
      <c r="F282" s="21">
        <f t="shared" si="268"/>
        <v>287.00314436997814</v>
      </c>
      <c r="G282" s="21">
        <f t="shared" si="268"/>
        <v>71.942145102348135</v>
      </c>
      <c r="H282" s="21">
        <f t="shared" si="268"/>
        <v>53.725502592130432</v>
      </c>
      <c r="I282" s="21">
        <f t="shared" si="268"/>
        <v>52.154202802087447</v>
      </c>
      <c r="J282" s="21">
        <f t="shared" si="268"/>
        <v>25.779912752348928</v>
      </c>
      <c r="K282" s="21">
        <f t="shared" si="268"/>
        <v>17.461798990094337</v>
      </c>
      <c r="L282" s="21">
        <f t="shared" si="268"/>
        <v>18.343548628764353</v>
      </c>
      <c r="M282" s="21">
        <f t="shared" si="268"/>
        <v>114.04294548187657</v>
      </c>
      <c r="N282" s="21">
        <f t="shared" si="268"/>
        <v>32.916869921017224</v>
      </c>
      <c r="O282" s="21">
        <f t="shared" si="268"/>
        <v>143.95455090817205</v>
      </c>
      <c r="P282" s="21">
        <f t="shared" si="268"/>
        <v>133.05806826266058</v>
      </c>
      <c r="Q282" s="21">
        <f t="shared" si="268"/>
        <v>124.39629518406477</v>
      </c>
      <c r="R282" s="21">
        <f t="shared" si="268"/>
        <v>52.749324731245899</v>
      </c>
      <c r="S282" s="21">
        <f t="shared" si="268"/>
        <v>129.11097351476573</v>
      </c>
      <c r="T282" s="21">
        <f t="shared" si="268"/>
        <v>325.75771451874402</v>
      </c>
      <c r="U282" s="21">
        <f t="shared" si="268"/>
        <v>240.37382886412155</v>
      </c>
      <c r="V282" s="21">
        <f t="shared" si="268"/>
        <v>2.3656686243962704E-2</v>
      </c>
      <c r="W282" s="21">
        <f t="shared" si="268"/>
        <v>12.090002540973577</v>
      </c>
      <c r="X282" s="21">
        <f t="shared" si="268"/>
        <v>510.16013703658695</v>
      </c>
      <c r="Y282" s="21">
        <f t="shared" si="268"/>
        <v>1168.4917386536454</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9259.9030429946288</v>
      </c>
      <c r="C286" s="26">
        <f>INDEX(Comparison!$AM$3:$AS$33,G$14,$F$122)</f>
        <v>8975.4373156175916</v>
      </c>
      <c r="D286" s="26">
        <f>INDEX(Comparison!$AM$3:$AS$33,H$14,$F$122)</f>
        <v>8718.1797337443004</v>
      </c>
      <c r="E286" s="26">
        <f>INDEX(Comparison!$AM$3:$AS$33,I$14,$F$122)</f>
        <v>8453.8665906134283</v>
      </c>
      <c r="F286" s="26">
        <f>INDEX(Comparison!$AM$3:$AS$33,J$14,$F$122)</f>
        <v>8157.4497816903277</v>
      </c>
      <c r="G286" s="26">
        <f>INDEX(Comparison!$AM$3:$AS$33,K$14,$F$122)</f>
        <v>7881.4803699008435</v>
      </c>
      <c r="H286" s="26">
        <f>INDEX(Comparison!$AM$3:$AS$33,L$14,$F$122)</f>
        <v>7606.797789198542</v>
      </c>
      <c r="I286" s="26">
        <f>INDEX(Comparison!$AM$3:$AS$33,M$14,$F$122)</f>
        <v>7278.8872759198184</v>
      </c>
      <c r="J286" s="26">
        <f>INDEX(Comparison!$AM$3:$AS$33,N$14,$F$122)</f>
        <v>6902.9128773701668</v>
      </c>
      <c r="K286" s="26">
        <f>INDEX(Comparison!$AM$3:$AS$33,O$14,$F$122)</f>
        <v>6533.8294095397778</v>
      </c>
      <c r="L286" s="26">
        <f>INDEX(Comparison!$AM$3:$AS$33,P$14,$F$122)</f>
        <v>6236.0805337275306</v>
      </c>
      <c r="M286" s="26">
        <f>INDEX(Comparison!$AM$3:$AS$33,Q$14,$F$122)</f>
        <v>5950.4123980915811</v>
      </c>
      <c r="N286" s="26">
        <f>INDEX(Comparison!$AM$3:$AS$33,R$14,$F$122)</f>
        <v>5675.5372968728034</v>
      </c>
      <c r="O286" s="26">
        <f>INDEX(Comparison!$AM$3:$AS$33,S$14,$F$122)</f>
        <v>5389.077424650558</v>
      </c>
      <c r="P286" s="26">
        <f>INDEX(Comparison!$AM$3:$AS$33,T$14,$F$122)</f>
        <v>5123.5437168709832</v>
      </c>
      <c r="Q286" s="26">
        <f>INDEX(Comparison!$AM$3:$AS$33,U$14,$F$122)</f>
        <v>4799.280908658001</v>
      </c>
      <c r="R286" s="26">
        <f>INDEX(Comparison!$AM$3:$AS$33,V$14,$F$122)</f>
        <v>4430.6662258617935</v>
      </c>
      <c r="S286" s="26">
        <f>INDEX(Comparison!$AM$3:$AS$33,W$14,$F$122)</f>
        <v>3990.4031488339651</v>
      </c>
      <c r="T286" s="26">
        <f>INDEX(Comparison!$AM$3:$AS$33,X$14,$F$122)</f>
        <v>3512.6173919241392</v>
      </c>
      <c r="U286" s="26">
        <f>INDEX(Comparison!$AM$3:$AS$33,Y$14,$F$122)</f>
        <v>2997.1269883218743</v>
      </c>
      <c r="V286" s="26">
        <f>INDEX(Comparison!$AM$3:$AS$33,Z$14,$F$122)</f>
        <v>2450.4999019800034</v>
      </c>
      <c r="W286" s="26">
        <f>INDEX(Comparison!$AM$3:$AS$33,AA$14,$F$122)</f>
        <v>1872.1545257089074</v>
      </c>
      <c r="X286" s="26">
        <f>INDEX(Comparison!$AM$3:$AS$33,AB$14,$F$122)</f>
        <v>1367.4511296212941</v>
      </c>
      <c r="Y286" s="26">
        <f>INDEX(Comparison!$AM$3:$AS$33,AC$14,$F$122)</f>
        <v>983.81195335121254</v>
      </c>
      <c r="Z286" s="26">
        <f>INDEX(Comparison!$AM$3:$AS$33,AD$14,$F$122)</f>
        <v>755.24433140254177</v>
      </c>
      <c r="AA286" s="26">
        <f>INDEX(Comparison!$AM$3:$AS$33,AE$14,$F$122)</f>
        <v>633.28610309701617</v>
      </c>
      <c r="AB286" s="26">
        <f>INDEX(Comparison!$AM$3:$AS$33,AF$14,$F$122)</f>
        <v>577.24905136540178</v>
      </c>
      <c r="AC286" s="26">
        <f>INDEX(Comparison!$AM$3:$AS$33,AG$14,$F$122)</f>
        <v>542.56491517927657</v>
      </c>
      <c r="AD286" s="26">
        <f>INDEX(Comparison!$AM$3:$AS$33,AH$14,$F$122)</f>
        <v>523.04517618896307</v>
      </c>
      <c r="AE286" s="26">
        <f>INDEX(Comparison!$AM$3:$AS$33,AI$14,$F$122)</f>
        <v>513.02385818918287</v>
      </c>
      <c r="AF286" s="26">
        <f>INDEX(Comparison!$AM$3:$AS$33,AJ$14,$F$122)</f>
        <v>488.70376604058401</v>
      </c>
      <c r="AG286" s="26"/>
      <c r="AH286" s="26"/>
    </row>
    <row r="287" spans="1:34" x14ac:dyDescent="0.25">
      <c r="A287" s="70" t="s">
        <v>22</v>
      </c>
      <c r="B287" s="27">
        <f>($C$17+SUM(B288:B318))*$B$51</f>
        <v>9181.1296940356642</v>
      </c>
      <c r="C287" s="27">
        <f t="shared" ref="C287:AF287" si="269">($C$17+SUM(C288:C318))*$B$51</f>
        <v>9077.4229118909934</v>
      </c>
      <c r="D287" s="27">
        <f t="shared" si="269"/>
        <v>8691.2928604463996</v>
      </c>
      <c r="E287" s="27">
        <f t="shared" si="269"/>
        <v>8458.3504670898637</v>
      </c>
      <c r="F287" s="27">
        <f t="shared" si="269"/>
        <v>8156.9576297912708</v>
      </c>
      <c r="G287" s="27">
        <f t="shared" si="269"/>
        <v>7881.6489072231016</v>
      </c>
      <c r="H287" s="27">
        <f t="shared" si="269"/>
        <v>7606.781315572639</v>
      </c>
      <c r="I287" s="27">
        <f t="shared" si="269"/>
        <v>7279.3714397801796</v>
      </c>
      <c r="J287" s="27">
        <f t="shared" si="269"/>
        <v>6902.1603648204255</v>
      </c>
      <c r="K287" s="27">
        <f t="shared" si="269"/>
        <v>6535.7789950293572</v>
      </c>
      <c r="L287" s="27">
        <f t="shared" si="269"/>
        <v>6233.0900145503647</v>
      </c>
      <c r="M287" s="27">
        <f t="shared" si="269"/>
        <v>5954.9803919327578</v>
      </c>
      <c r="N287" s="27">
        <f t="shared" si="269"/>
        <v>5670.1304081629733</v>
      </c>
      <c r="O287" s="27">
        <f t="shared" si="269"/>
        <v>5394.9454229199409</v>
      </c>
      <c r="P287" s="27">
        <f t="shared" si="269"/>
        <v>5118.4160079418889</v>
      </c>
      <c r="Q287" s="27">
        <f t="shared" si="269"/>
        <v>4803.4308499442022</v>
      </c>
      <c r="R287" s="27">
        <f t="shared" si="269"/>
        <v>4428.1491078835788</v>
      </c>
      <c r="S287" s="27">
        <f t="shared" si="269"/>
        <v>3992.0542526073177</v>
      </c>
      <c r="T287" s="27">
        <f t="shared" si="269"/>
        <v>3511.9817393229673</v>
      </c>
      <c r="U287" s="27">
        <f t="shared" si="269"/>
        <v>2997.6075583101447</v>
      </c>
      <c r="V287" s="27">
        <f t="shared" si="269"/>
        <v>2450.5404698095576</v>
      </c>
      <c r="W287" s="27">
        <f t="shared" si="269"/>
        <v>1872.3325218465802</v>
      </c>
      <c r="X287" s="27">
        <f t="shared" si="269"/>
        <v>1367.6155988831845</v>
      </c>
      <c r="Y287" s="27">
        <f t="shared" si="269"/>
        <v>983.91620609761424</v>
      </c>
      <c r="Z287" s="27">
        <f t="shared" si="269"/>
        <v>755.27733945747195</v>
      </c>
      <c r="AA287" s="27">
        <f t="shared" si="269"/>
        <v>633.40308488728704</v>
      </c>
      <c r="AB287" s="27">
        <f t="shared" si="269"/>
        <v>577.09090045302321</v>
      </c>
      <c r="AC287" s="27">
        <f t="shared" si="269"/>
        <v>542.7999463837466</v>
      </c>
      <c r="AD287" s="27">
        <f t="shared" si="269"/>
        <v>522.78584621842128</v>
      </c>
      <c r="AE287" s="27">
        <f t="shared" si="269"/>
        <v>513.34427744297034</v>
      </c>
      <c r="AF287" s="27">
        <f t="shared" si="269"/>
        <v>488.54065555322853</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4.7279588001047375E-2</v>
      </c>
      <c r="C289" s="3">
        <f t="shared" si="271"/>
        <v>3.7551343574801367E-2</v>
      </c>
      <c r="D289" s="3">
        <f t="shared" si="271"/>
        <v>3.7509688003540802E-3</v>
      </c>
      <c r="E289" s="3">
        <f t="shared" si="271"/>
        <v>3.7095665312670657E-13</v>
      </c>
      <c r="F289" s="3">
        <f t="shared" si="271"/>
        <v>3.3198639948482405E-113</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1.8661158082420352E-2</v>
      </c>
      <c r="C290" s="3">
        <f t="shared" si="272"/>
        <v>1.8277357713265087E-2</v>
      </c>
      <c r="D290" s="3">
        <f t="shared" si="272"/>
        <v>1.484778292305269E-2</v>
      </c>
      <c r="E290" s="3">
        <f t="shared" si="272"/>
        <v>1.8584187883579173E-3</v>
      </c>
      <c r="F290" s="3">
        <f t="shared" si="272"/>
        <v>1.7537325693131716E-12</v>
      </c>
      <c r="G290" s="3">
        <f t="shared" si="272"/>
        <v>9.8211234030385694E-103</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3.3560146339196274E-2</v>
      </c>
      <c r="C291" s="3">
        <f t="shared" si="273"/>
        <v>3.3497292038503393E-2</v>
      </c>
      <c r="D291" s="3">
        <f t="shared" si="273"/>
        <v>3.2875187328130911E-2</v>
      </c>
      <c r="E291" s="3">
        <f t="shared" si="273"/>
        <v>2.7255465410234506E-2</v>
      </c>
      <c r="F291" s="3">
        <f t="shared" si="273"/>
        <v>4.1812608711733661E-3</v>
      </c>
      <c r="G291" s="3">
        <f t="shared" si="273"/>
        <v>3.018866326797595E-11</v>
      </c>
      <c r="H291" s="3">
        <f t="shared" si="273"/>
        <v>1.1620105540330092E-92</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2.7443358096536363E-2</v>
      </c>
      <c r="C292" s="3">
        <f t="shared" si="274"/>
        <v>2.7438717591106634E-2</v>
      </c>
      <c r="D292" s="3">
        <f t="shared" si="274"/>
        <v>2.7392355672396732E-2</v>
      </c>
      <c r="E292" s="3">
        <f t="shared" si="274"/>
        <v>2.6933023175731645E-2</v>
      </c>
      <c r="F292" s="3">
        <f t="shared" si="274"/>
        <v>2.274271620536765E-2</v>
      </c>
      <c r="G292" s="3">
        <f t="shared" si="274"/>
        <v>4.1919356250901948E-3</v>
      </c>
      <c r="H292" s="3">
        <f t="shared" si="274"/>
        <v>1.8973057828115942E-10</v>
      </c>
      <c r="I292" s="3">
        <f t="shared" si="274"/>
        <v>6.8448602889849983E-84</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2.7096206782278743E-2</v>
      </c>
      <c r="C293" s="3">
        <f t="shared" si="275"/>
        <v>2.7095793433622853E-2</v>
      </c>
      <c r="D293" s="3">
        <f t="shared" si="275"/>
        <v>2.7091660293854583E-2</v>
      </c>
      <c r="E293" s="3">
        <f t="shared" si="275"/>
        <v>2.7050363555670531E-2</v>
      </c>
      <c r="F293" s="3">
        <f t="shared" si="275"/>
        <v>2.6640842640270626E-2</v>
      </c>
      <c r="G293" s="3">
        <f t="shared" si="275"/>
        <v>2.2871595753356535E-2</v>
      </c>
      <c r="H293" s="3">
        <f t="shared" si="275"/>
        <v>4.9748679525072241E-3</v>
      </c>
      <c r="I293" s="3">
        <f t="shared" si="275"/>
        <v>1.1793221931861461E-9</v>
      </c>
      <c r="J293" s="3">
        <f t="shared" si="275"/>
        <v>6.6090891145197178E-76</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3.4309177348016279E-2</v>
      </c>
      <c r="C294" s="3">
        <f t="shared" si="276"/>
        <v>3.4309130134326585E-2</v>
      </c>
      <c r="D294" s="3">
        <f t="shared" si="276"/>
        <v>3.4308658001003113E-2</v>
      </c>
      <c r="E294" s="3">
        <f t="shared" si="276"/>
        <v>3.4303937025094162E-2</v>
      </c>
      <c r="F294" s="3">
        <f t="shared" si="276"/>
        <v>3.4256762980396455E-2</v>
      </c>
      <c r="G294" s="3">
        <f t="shared" si="276"/>
        <v>3.3788575854778999E-2</v>
      </c>
      <c r="H294" s="3">
        <f t="shared" si="276"/>
        <v>2.9444591320051127E-2</v>
      </c>
      <c r="I294" s="3">
        <f t="shared" si="276"/>
        <v>7.436386732017056E-3</v>
      </c>
      <c r="J294" s="3">
        <f t="shared" si="276"/>
        <v>7.8510244908301634E-9</v>
      </c>
      <c r="K294" s="3">
        <f t="shared" si="276"/>
        <v>1.3507344607878218E-68</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4.0815760036049462E-2</v>
      </c>
      <c r="C295" s="3">
        <f t="shared" si="277"/>
        <v>4.0815754969265497E-2</v>
      </c>
      <c r="D295" s="3">
        <f t="shared" si="277"/>
        <v>4.0815704301460462E-2</v>
      </c>
      <c r="E295" s="3">
        <f t="shared" si="277"/>
        <v>4.0815197626869505E-2</v>
      </c>
      <c r="F295" s="3">
        <f t="shared" si="277"/>
        <v>4.0810131226881347E-2</v>
      </c>
      <c r="G295" s="3">
        <f t="shared" si="277"/>
        <v>4.0759501803259844E-2</v>
      </c>
      <c r="H295" s="3">
        <f t="shared" si="277"/>
        <v>4.025664936441796E-2</v>
      </c>
      <c r="I295" s="3">
        <f t="shared" si="277"/>
        <v>3.5557007519306648E-2</v>
      </c>
      <c r="J295" s="3">
        <f t="shared" si="277"/>
        <v>1.0275453307624938E-2</v>
      </c>
      <c r="K295" s="3">
        <f t="shared" si="277"/>
        <v>4.1740616154052171E-8</v>
      </c>
      <c r="L295" s="3">
        <f t="shared" si="277"/>
        <v>5.1066666657772743E-62</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3.8220700786614818E-2</v>
      </c>
      <c r="C296" s="3">
        <f t="shared" si="278"/>
        <v>3.822070035860891E-2</v>
      </c>
      <c r="D296" s="3">
        <f t="shared" si="278"/>
        <v>3.8220696078550123E-2</v>
      </c>
      <c r="E296" s="3">
        <f t="shared" si="278"/>
        <v>3.8220653277988667E-2</v>
      </c>
      <c r="F296" s="3">
        <f t="shared" si="278"/>
        <v>3.8220225275010102E-2</v>
      </c>
      <c r="G296" s="3">
        <f t="shared" si="278"/>
        <v>3.8215945508823422E-2</v>
      </c>
      <c r="H296" s="3">
        <f t="shared" si="278"/>
        <v>3.8173174195926918E-2</v>
      </c>
      <c r="I296" s="3">
        <f t="shared" si="278"/>
        <v>3.7748085079293434E-2</v>
      </c>
      <c r="J296" s="3">
        <f t="shared" si="278"/>
        <v>3.3749040960520928E-2</v>
      </c>
      <c r="K296" s="3">
        <f t="shared" si="278"/>
        <v>1.1013530142556025E-2</v>
      </c>
      <c r="L296" s="3">
        <f t="shared" si="278"/>
        <v>1.5086122548093529E-7</v>
      </c>
      <c r="M296" s="3">
        <f t="shared" si="278"/>
        <v>3.5082335425577984E-56</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2.8050318369411988E-2</v>
      </c>
      <c r="C297" s="3">
        <f t="shared" si="279"/>
        <v>2.8050318341076186E-2</v>
      </c>
      <c r="D297" s="3">
        <f t="shared" si="279"/>
        <v>2.8050318057718172E-2</v>
      </c>
      <c r="E297" s="3">
        <f t="shared" si="279"/>
        <v>2.805031522413819E-2</v>
      </c>
      <c r="F297" s="3">
        <f t="shared" si="279"/>
        <v>2.8050286888354085E-2</v>
      </c>
      <c r="G297" s="3">
        <f t="shared" si="279"/>
        <v>2.8050003532087368E-2</v>
      </c>
      <c r="H297" s="3">
        <f t="shared" si="279"/>
        <v>2.804717012684671E-2</v>
      </c>
      <c r="I297" s="3">
        <f t="shared" si="279"/>
        <v>2.8018851811208539E-2</v>
      </c>
      <c r="J297" s="3">
        <f t="shared" si="279"/>
        <v>2.7737236465664544E-2</v>
      </c>
      <c r="K297" s="3">
        <f t="shared" si="279"/>
        <v>2.5072159148394006E-2</v>
      </c>
      <c r="L297" s="3">
        <f t="shared" si="279"/>
        <v>9.1301351168847685E-3</v>
      </c>
      <c r="M297" s="3">
        <f t="shared" si="279"/>
        <v>3.7439659738551954E-7</v>
      </c>
      <c r="N297" s="3">
        <f t="shared" si="279"/>
        <v>5.0336008821470968E-51</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2.887153747976642E-2</v>
      </c>
      <c r="C298" s="3">
        <f t="shared" si="280"/>
        <v>2.8871537477135462E-2</v>
      </c>
      <c r="D298" s="3">
        <f t="shared" si="280"/>
        <v>2.8871537450825862E-2</v>
      </c>
      <c r="E298" s="3">
        <f t="shared" si="280"/>
        <v>2.8871537187729886E-2</v>
      </c>
      <c r="F298" s="3">
        <f t="shared" si="280"/>
        <v>2.8871534556770242E-2</v>
      </c>
      <c r="G298" s="3">
        <f t="shared" si="280"/>
        <v>2.8871508247186983E-2</v>
      </c>
      <c r="H298" s="3">
        <f t="shared" si="280"/>
        <v>2.8871245152673038E-2</v>
      </c>
      <c r="I298" s="3">
        <f t="shared" si="280"/>
        <v>2.886861433939112E-2</v>
      </c>
      <c r="J298" s="3">
        <f t="shared" si="280"/>
        <v>2.8842319387880011E-2</v>
      </c>
      <c r="K298" s="3">
        <f t="shared" si="280"/>
        <v>2.8580683570076343E-2</v>
      </c>
      <c r="L298" s="3">
        <f t="shared" si="280"/>
        <v>2.6091371663309396E-2</v>
      </c>
      <c r="M298" s="3">
        <f t="shared" si="280"/>
        <v>1.0489140592860628E-2</v>
      </c>
      <c r="N298" s="3">
        <f t="shared" si="280"/>
        <v>1.1565645063986546E-6</v>
      </c>
      <c r="O298" s="3">
        <f t="shared" si="280"/>
        <v>3.0723408563359085E-46</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3.0036426105537879E-2</v>
      </c>
      <c r="C299" s="3">
        <f t="shared" si="281"/>
        <v>3.0036426105290972E-2</v>
      </c>
      <c r="D299" s="3">
        <f t="shared" si="281"/>
        <v>3.0036426102821867E-2</v>
      </c>
      <c r="E299" s="3">
        <f t="shared" si="281"/>
        <v>3.003642607813084E-2</v>
      </c>
      <c r="F299" s="3">
        <f t="shared" si="281"/>
        <v>3.0036425831220577E-2</v>
      </c>
      <c r="G299" s="3">
        <f t="shared" si="281"/>
        <v>3.0036423362118043E-2</v>
      </c>
      <c r="H299" s="3">
        <f t="shared" si="281"/>
        <v>3.0036398671103887E-2</v>
      </c>
      <c r="I299" s="3">
        <f t="shared" si="281"/>
        <v>3.0036151762078623E-2</v>
      </c>
      <c r="J299" s="3">
        <f t="shared" si="281"/>
        <v>3.0033682783455237E-2</v>
      </c>
      <c r="K299" s="3">
        <f t="shared" si="281"/>
        <v>3.0009004156752995E-2</v>
      </c>
      <c r="L299" s="3">
        <f t="shared" si="281"/>
        <v>2.97633304561318E-2</v>
      </c>
      <c r="M299" s="3">
        <f t="shared" si="281"/>
        <v>2.7414539305000953E-2</v>
      </c>
      <c r="N299" s="3">
        <f t="shared" si="281"/>
        <v>1.2049671577596635E-2</v>
      </c>
      <c r="O299" s="3">
        <f t="shared" si="281"/>
        <v>3.2427822719924446E-6</v>
      </c>
      <c r="P299" s="3">
        <f t="shared" si="281"/>
        <v>6.4616523808405096E-42</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2.6672376514957245E-2</v>
      </c>
      <c r="C300" s="3">
        <f t="shared" si="282"/>
        <v>2.6672376514937465E-2</v>
      </c>
      <c r="D300" s="3">
        <f t="shared" si="282"/>
        <v>2.6672376514739676E-2</v>
      </c>
      <c r="E300" s="3">
        <f t="shared" si="282"/>
        <v>2.6672376512761799E-2</v>
      </c>
      <c r="F300" s="3">
        <f t="shared" si="282"/>
        <v>2.6672376492983034E-2</v>
      </c>
      <c r="G300" s="3">
        <f t="shared" si="282"/>
        <v>2.6672376295195373E-2</v>
      </c>
      <c r="H300" s="3">
        <f t="shared" si="282"/>
        <v>2.6672374317318854E-2</v>
      </c>
      <c r="I300" s="3">
        <f t="shared" si="282"/>
        <v>2.6672354538561746E-2</v>
      </c>
      <c r="J300" s="3">
        <f t="shared" si="282"/>
        <v>2.6672156751797307E-2</v>
      </c>
      <c r="K300" s="3">
        <f t="shared" si="282"/>
        <v>2.6670178964818127E-2</v>
      </c>
      <c r="L300" s="3">
        <f t="shared" si="282"/>
        <v>2.665040915933185E-2</v>
      </c>
      <c r="M300" s="3">
        <f t="shared" si="282"/>
        <v>2.645351532678843E-2</v>
      </c>
      <c r="N300" s="3">
        <f t="shared" si="282"/>
        <v>2.4562835761345918E-2</v>
      </c>
      <c r="O300" s="3">
        <f t="shared" si="282"/>
        <v>1.1701179053424332E-2</v>
      </c>
      <c r="P300" s="3">
        <f t="shared" si="282"/>
        <v>7.0427266445272077E-6</v>
      </c>
      <c r="Q300" s="3">
        <f t="shared" si="282"/>
        <v>4.3939276573829349E-38</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2.9125900591015136E-2</v>
      </c>
      <c r="C301" s="3">
        <f t="shared" si="283"/>
        <v>2.9125900591013186E-2</v>
      </c>
      <c r="D301" s="3">
        <f t="shared" si="283"/>
        <v>2.9125900590993702E-2</v>
      </c>
      <c r="E301" s="3">
        <f t="shared" si="283"/>
        <v>2.9125900590798868E-2</v>
      </c>
      <c r="F301" s="3">
        <f t="shared" si="283"/>
        <v>2.9125900588850537E-2</v>
      </c>
      <c r="G301" s="3">
        <f t="shared" si="283"/>
        <v>2.9125900569367195E-2</v>
      </c>
      <c r="H301" s="3">
        <f t="shared" si="283"/>
        <v>2.9125900374533786E-2</v>
      </c>
      <c r="I301" s="3">
        <f t="shared" si="283"/>
        <v>2.912589842619975E-2</v>
      </c>
      <c r="J301" s="3">
        <f t="shared" si="283"/>
        <v>2.9125878942866577E-2</v>
      </c>
      <c r="K301" s="3">
        <f t="shared" si="283"/>
        <v>2.9125684110251678E-2</v>
      </c>
      <c r="L301" s="3">
        <f t="shared" si="283"/>
        <v>2.9123735855782731E-2</v>
      </c>
      <c r="M301" s="3">
        <f t="shared" si="283"/>
        <v>2.9104260477323667E-2</v>
      </c>
      <c r="N301" s="3">
        <f t="shared" si="283"/>
        <v>2.8910221545258932E-2</v>
      </c>
      <c r="O301" s="3">
        <f t="shared" si="283"/>
        <v>2.7039579387073128E-2</v>
      </c>
      <c r="P301" s="3">
        <f t="shared" si="283"/>
        <v>1.3851125065916304E-2</v>
      </c>
      <c r="Q301" s="3">
        <f t="shared" si="283"/>
        <v>1.7232022004962546E-5</v>
      </c>
      <c r="R301" s="3">
        <f t="shared" si="283"/>
        <v>1.530552176642047E-34</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3.4434275037607209E-2</v>
      </c>
      <c r="C302" s="3">
        <f t="shared" si="284"/>
        <v>3.4434275037607001E-2</v>
      </c>
      <c r="D302" s="3">
        <f t="shared" si="284"/>
        <v>3.4434275037604919E-2</v>
      </c>
      <c r="E302" s="3">
        <f t="shared" si="284"/>
        <v>3.4434275037584144E-2</v>
      </c>
      <c r="F302" s="3">
        <f t="shared" si="284"/>
        <v>3.4434275037376352E-2</v>
      </c>
      <c r="G302" s="3">
        <f t="shared" si="284"/>
        <v>3.4434275035298466E-2</v>
      </c>
      <c r="H302" s="3">
        <f t="shared" si="284"/>
        <v>3.4434275014519615E-2</v>
      </c>
      <c r="I302" s="3">
        <f t="shared" si="284"/>
        <v>3.4434274806731065E-2</v>
      </c>
      <c r="J302" s="3">
        <f t="shared" si="284"/>
        <v>3.4434272728845673E-2</v>
      </c>
      <c r="K302" s="3">
        <f t="shared" si="284"/>
        <v>3.4434251949998607E-2</v>
      </c>
      <c r="L302" s="3">
        <f t="shared" si="284"/>
        <v>3.4434044162217604E-2</v>
      </c>
      <c r="M302" s="3">
        <f t="shared" si="284"/>
        <v>3.4431966353368683E-2</v>
      </c>
      <c r="N302" s="3">
        <f t="shared" si="284"/>
        <v>3.4411195159450084E-2</v>
      </c>
      <c r="O302" s="3">
        <f t="shared" si="284"/>
        <v>3.4204171140450053E-2</v>
      </c>
      <c r="P302" s="3">
        <f t="shared" si="284"/>
        <v>3.2201211519209204E-2</v>
      </c>
      <c r="Q302" s="3">
        <f t="shared" si="284"/>
        <v>1.7611794951183497E-2</v>
      </c>
      <c r="R302" s="3">
        <f t="shared" si="284"/>
        <v>4.2181081306434704E-5</v>
      </c>
      <c r="S302" s="3">
        <f t="shared" si="284"/>
        <v>2.6197424073015278E-31</v>
      </c>
      <c r="T302" s="3">
        <f t="shared" si="284"/>
        <v>2.2370073311636009E-293</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4.2428216345217831E-2</v>
      </c>
      <c r="C303" s="3">
        <f t="shared" si="285"/>
        <v>4.2428216345217817E-2</v>
      </c>
      <c r="D303" s="3">
        <f t="shared" si="285"/>
        <v>4.2428216345217581E-2</v>
      </c>
      <c r="E303" s="3">
        <f t="shared" si="285"/>
        <v>4.2428216345215271E-2</v>
      </c>
      <c r="F303" s="3">
        <f t="shared" si="285"/>
        <v>4.2428216345192178E-2</v>
      </c>
      <c r="G303" s="3">
        <f t="shared" si="285"/>
        <v>4.2428216344961224E-2</v>
      </c>
      <c r="H303" s="3">
        <f t="shared" si="285"/>
        <v>4.2428216342651648E-2</v>
      </c>
      <c r="I303" s="3">
        <f t="shared" si="285"/>
        <v>4.2428216319555893E-2</v>
      </c>
      <c r="J303" s="3">
        <f t="shared" si="285"/>
        <v>4.2428216088598418E-2</v>
      </c>
      <c r="K303" s="3">
        <f t="shared" si="285"/>
        <v>4.242821377902372E-2</v>
      </c>
      <c r="L303" s="3">
        <f t="shared" si="285"/>
        <v>4.2428190683283608E-2</v>
      </c>
      <c r="M303" s="3">
        <f t="shared" si="285"/>
        <v>4.2427959726573983E-2</v>
      </c>
      <c r="N303" s="3">
        <f t="shared" si="285"/>
        <v>4.2425650228622942E-2</v>
      </c>
      <c r="O303" s="3">
        <f t="shared" si="285"/>
        <v>4.2402562162243598E-2</v>
      </c>
      <c r="P303" s="3">
        <f t="shared" si="285"/>
        <v>4.2172371421206577E-2</v>
      </c>
      <c r="Q303" s="3">
        <f t="shared" si="285"/>
        <v>3.9938086720629186E-2</v>
      </c>
      <c r="R303" s="3">
        <f t="shared" si="285"/>
        <v>2.3172857149704552E-2</v>
      </c>
      <c r="S303" s="3">
        <f t="shared" si="285"/>
        <v>1.0020811018087855E-4</v>
      </c>
      <c r="T303" s="3">
        <f t="shared" si="285"/>
        <v>2.2915838163652047E-28</v>
      </c>
      <c r="U303" s="3">
        <f t="shared" si="285"/>
        <v>8.9632290127309859E-265</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4.683073576792781E-2</v>
      </c>
      <c r="C304" s="3">
        <f t="shared" si="286"/>
        <v>4.683073576792781E-2</v>
      </c>
      <c r="D304" s="3">
        <f t="shared" si="286"/>
        <v>4.6830735767927782E-2</v>
      </c>
      <c r="E304" s="3">
        <f t="shared" si="286"/>
        <v>4.6830735767927553E-2</v>
      </c>
      <c r="F304" s="3">
        <f t="shared" si="286"/>
        <v>4.6830735767925256E-2</v>
      </c>
      <c r="G304" s="3">
        <f t="shared" si="286"/>
        <v>4.6830735767902261E-2</v>
      </c>
      <c r="H304" s="3">
        <f t="shared" si="286"/>
        <v>4.6830735767672299E-2</v>
      </c>
      <c r="I304" s="3">
        <f t="shared" si="286"/>
        <v>4.683073576537268E-2</v>
      </c>
      <c r="J304" s="3">
        <f t="shared" si="286"/>
        <v>4.6830735742376547E-2</v>
      </c>
      <c r="K304" s="3">
        <f t="shared" si="286"/>
        <v>4.6830735512415213E-2</v>
      </c>
      <c r="L304" s="3">
        <f t="shared" si="286"/>
        <v>4.6830733212801907E-2</v>
      </c>
      <c r="M304" s="3">
        <f t="shared" si="286"/>
        <v>4.6830710216675071E-2</v>
      </c>
      <c r="N304" s="3">
        <f t="shared" si="286"/>
        <v>4.6830480256027748E-2</v>
      </c>
      <c r="O304" s="3">
        <f t="shared" si="286"/>
        <v>4.6828180711660408E-2</v>
      </c>
      <c r="P304" s="3">
        <f t="shared" si="286"/>
        <v>4.6805191477444906E-2</v>
      </c>
      <c r="Q304" s="3">
        <f t="shared" si="286"/>
        <v>4.6575918954382144E-2</v>
      </c>
      <c r="R304" s="3">
        <f t="shared" si="286"/>
        <v>4.4344064136430106E-2</v>
      </c>
      <c r="S304" s="3">
        <f t="shared" si="286"/>
        <v>2.7137891827805554E-2</v>
      </c>
      <c r="T304" s="3">
        <f t="shared" si="286"/>
        <v>1.9997800895075137E-4</v>
      </c>
      <c r="U304" s="3">
        <f t="shared" si="286"/>
        <v>9.4415559403683775E-26</v>
      </c>
      <c r="V304" s="3">
        <f t="shared" si="286"/>
        <v>5.1958532461861025E-239</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5.2334789148442605E-2</v>
      </c>
      <c r="C305" s="3">
        <f t="shared" si="287"/>
        <v>5.2334789148442605E-2</v>
      </c>
      <c r="D305" s="3">
        <f t="shared" si="287"/>
        <v>5.2334789148442605E-2</v>
      </c>
      <c r="E305" s="3">
        <f t="shared" si="287"/>
        <v>5.2334789148442584E-2</v>
      </c>
      <c r="F305" s="3">
        <f t="shared" si="287"/>
        <v>5.2334789148442348E-2</v>
      </c>
      <c r="G305" s="3">
        <f t="shared" si="287"/>
        <v>5.2334789148440031E-2</v>
      </c>
      <c r="H305" s="3">
        <f t="shared" si="287"/>
        <v>5.2334789148416848E-2</v>
      </c>
      <c r="I305" s="3">
        <f t="shared" si="287"/>
        <v>5.2334789148185019E-2</v>
      </c>
      <c r="J305" s="3">
        <f t="shared" si="287"/>
        <v>5.233478914586677E-2</v>
      </c>
      <c r="K305" s="3">
        <f t="shared" si="287"/>
        <v>5.233478912268423E-2</v>
      </c>
      <c r="L305" s="3">
        <f t="shared" si="287"/>
        <v>5.2334788890858887E-2</v>
      </c>
      <c r="M305" s="3">
        <f t="shared" si="287"/>
        <v>5.2334786572605499E-2</v>
      </c>
      <c r="N305" s="3">
        <f t="shared" si="287"/>
        <v>5.233476339007731E-2</v>
      </c>
      <c r="O305" s="3">
        <f t="shared" si="287"/>
        <v>5.2334531565360103E-2</v>
      </c>
      <c r="P305" s="3">
        <f t="shared" si="287"/>
        <v>5.2332213374666987E-2</v>
      </c>
      <c r="Q305" s="3">
        <f t="shared" si="287"/>
        <v>5.2309037114698989E-2</v>
      </c>
      <c r="R305" s="3">
        <f t="shared" si="287"/>
        <v>5.2077838286906361E-2</v>
      </c>
      <c r="S305" s="3">
        <f t="shared" si="287"/>
        <v>4.9821314036178725E-2</v>
      </c>
      <c r="T305" s="3">
        <f t="shared" si="287"/>
        <v>3.1991711124104434E-2</v>
      </c>
      <c r="U305" s="3">
        <f t="shared" si="287"/>
        <v>3.8129436485362237E-4</v>
      </c>
      <c r="V305" s="3">
        <f t="shared" si="287"/>
        <v>2.2054111191621771E-23</v>
      </c>
      <c r="W305" s="3">
        <f t="shared" si="287"/>
        <v>9.2423261366882209E-216</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5.1279668394799138E-2</v>
      </c>
      <c r="C306" s="3">
        <f t="shared" si="288"/>
        <v>5.1279668394799138E-2</v>
      </c>
      <c r="D306" s="3">
        <f t="shared" si="288"/>
        <v>5.1279668394799138E-2</v>
      </c>
      <c r="E306" s="3">
        <f t="shared" si="288"/>
        <v>5.1279668394799138E-2</v>
      </c>
      <c r="F306" s="3">
        <f t="shared" si="288"/>
        <v>5.1279668394799117E-2</v>
      </c>
      <c r="G306" s="3">
        <f t="shared" si="288"/>
        <v>5.1279668394798909E-2</v>
      </c>
      <c r="H306" s="3">
        <f t="shared" si="288"/>
        <v>5.1279668394796862E-2</v>
      </c>
      <c r="I306" s="3">
        <f t="shared" si="288"/>
        <v>5.1279668394776372E-2</v>
      </c>
      <c r="J306" s="3">
        <f t="shared" si="288"/>
        <v>5.1279668394571459E-2</v>
      </c>
      <c r="K306" s="3">
        <f t="shared" si="288"/>
        <v>5.1279668392522362E-2</v>
      </c>
      <c r="L306" s="3">
        <f t="shared" si="288"/>
        <v>5.1279668372031406E-2</v>
      </c>
      <c r="M306" s="3">
        <f t="shared" si="288"/>
        <v>5.1279668167121845E-2</v>
      </c>
      <c r="N306" s="3">
        <f t="shared" si="288"/>
        <v>5.1279666118026229E-2</v>
      </c>
      <c r="O306" s="3">
        <f t="shared" si="288"/>
        <v>5.1279645627074578E-2</v>
      </c>
      <c r="P306" s="3">
        <f t="shared" si="288"/>
        <v>5.1279440718008447E-2</v>
      </c>
      <c r="Q306" s="3">
        <f t="shared" si="288"/>
        <v>5.1277391672380525E-2</v>
      </c>
      <c r="R306" s="3">
        <f t="shared" si="288"/>
        <v>5.1256905718776391E-2</v>
      </c>
      <c r="S306" s="3">
        <f t="shared" si="288"/>
        <v>5.1052495785236809E-2</v>
      </c>
      <c r="T306" s="3">
        <f t="shared" si="288"/>
        <v>4.9052699011865264E-2</v>
      </c>
      <c r="U306" s="3">
        <f t="shared" si="288"/>
        <v>3.2894418336519959E-2</v>
      </c>
      <c r="V306" s="3">
        <f t="shared" si="288"/>
        <v>6.0494409223518938E-4</v>
      </c>
      <c r="W306" s="3">
        <f t="shared" si="288"/>
        <v>2.6769824592089294E-21</v>
      </c>
      <c r="X306" s="3">
        <f t="shared" si="288"/>
        <v>7.7081184898303319E-195</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6.7593769214043364E-2</v>
      </c>
      <c r="C307" s="3">
        <f t="shared" si="289"/>
        <v>6.7593769214043364E-2</v>
      </c>
      <c r="D307" s="3">
        <f t="shared" si="289"/>
        <v>6.7593769214043364E-2</v>
      </c>
      <c r="E307" s="3">
        <f t="shared" si="289"/>
        <v>6.7593769214043364E-2</v>
      </c>
      <c r="F307" s="3">
        <f t="shared" si="289"/>
        <v>6.7593769214043364E-2</v>
      </c>
      <c r="G307" s="3">
        <f t="shared" si="289"/>
        <v>6.7593769214043337E-2</v>
      </c>
      <c r="H307" s="3">
        <f t="shared" si="289"/>
        <v>6.7593769214043101E-2</v>
      </c>
      <c r="I307" s="3">
        <f t="shared" si="289"/>
        <v>6.7593769214040658E-2</v>
      </c>
      <c r="J307" s="3">
        <f t="shared" si="289"/>
        <v>6.7593769214016289E-2</v>
      </c>
      <c r="K307" s="3">
        <f t="shared" si="289"/>
        <v>6.7593769213772636E-2</v>
      </c>
      <c r="L307" s="3">
        <f t="shared" si="289"/>
        <v>6.7593769211336113E-2</v>
      </c>
      <c r="M307" s="3">
        <f t="shared" si="289"/>
        <v>6.7593769186970895E-2</v>
      </c>
      <c r="N307" s="3">
        <f t="shared" si="289"/>
        <v>6.7593768943318727E-2</v>
      </c>
      <c r="O307" s="3">
        <f t="shared" si="289"/>
        <v>6.759376650679709E-2</v>
      </c>
      <c r="P307" s="3">
        <f t="shared" si="289"/>
        <v>6.7593742141585561E-2</v>
      </c>
      <c r="Q307" s="3">
        <f t="shared" si="289"/>
        <v>6.7593498489953219E-2</v>
      </c>
      <c r="R307" s="3">
        <f t="shared" si="289"/>
        <v>6.7591062021934628E-2</v>
      </c>
      <c r="S307" s="3">
        <f t="shared" si="289"/>
        <v>6.7566702171582976E-2</v>
      </c>
      <c r="T307" s="3">
        <f t="shared" si="289"/>
        <v>6.7323586007952047E-2</v>
      </c>
      <c r="U307" s="3">
        <f t="shared" si="289"/>
        <v>6.4940021208455975E-2</v>
      </c>
      <c r="V307" s="3">
        <f t="shared" si="289"/>
        <v>4.5286033147158629E-2</v>
      </c>
      <c r="W307" s="3">
        <f t="shared" si="289"/>
        <v>1.2316372629286346E-3</v>
      </c>
      <c r="X307" s="3">
        <f t="shared" si="289"/>
        <v>2.7268937595585809E-19</v>
      </c>
      <c r="Y307" s="3">
        <f t="shared" si="289"/>
        <v>7.7183096748302656E-176</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2.8423077323280126E-2</v>
      </c>
      <c r="C308" s="3">
        <f t="shared" si="290"/>
        <v>2.8423077323280126E-2</v>
      </c>
      <c r="D308" s="3">
        <f t="shared" si="290"/>
        <v>2.8423077323280126E-2</v>
      </c>
      <c r="E308" s="3">
        <f t="shared" si="290"/>
        <v>2.8423077323280126E-2</v>
      </c>
      <c r="F308" s="3">
        <f t="shared" si="290"/>
        <v>2.8423077323280126E-2</v>
      </c>
      <c r="G308" s="3">
        <f t="shared" si="290"/>
        <v>2.8423077323280126E-2</v>
      </c>
      <c r="H308" s="3">
        <f t="shared" si="290"/>
        <v>2.8423077323280116E-2</v>
      </c>
      <c r="I308" s="3">
        <f t="shared" si="290"/>
        <v>2.8423077323280022E-2</v>
      </c>
      <c r="J308" s="3">
        <f t="shared" si="290"/>
        <v>2.8423077323279099E-2</v>
      </c>
      <c r="K308" s="3">
        <f t="shared" si="290"/>
        <v>2.8423077323269857E-2</v>
      </c>
      <c r="L308" s="3">
        <f t="shared" si="290"/>
        <v>2.8423077323177434E-2</v>
      </c>
      <c r="M308" s="3">
        <f t="shared" si="290"/>
        <v>2.8423077322253201E-2</v>
      </c>
      <c r="N308" s="3">
        <f t="shared" si="290"/>
        <v>2.8423077313010876E-2</v>
      </c>
      <c r="O308" s="3">
        <f t="shared" si="290"/>
        <v>2.8423077220587612E-2</v>
      </c>
      <c r="P308" s="3">
        <f t="shared" si="290"/>
        <v>2.8423076296354984E-2</v>
      </c>
      <c r="Q308" s="3">
        <f t="shared" si="290"/>
        <v>2.8423067054030356E-2</v>
      </c>
      <c r="R308" s="3">
        <f t="shared" si="290"/>
        <v>2.8422974630949387E-2</v>
      </c>
      <c r="S308" s="3">
        <f t="shared" si="290"/>
        <v>2.8422050416668766E-2</v>
      </c>
      <c r="T308" s="3">
        <f t="shared" si="290"/>
        <v>2.8412809926570647E-2</v>
      </c>
      <c r="U308" s="3">
        <f t="shared" si="290"/>
        <v>2.83205700977271E-2</v>
      </c>
      <c r="V308" s="3">
        <f t="shared" si="290"/>
        <v>2.7414482135682126E-2</v>
      </c>
      <c r="W308" s="3">
        <f t="shared" si="290"/>
        <v>1.9804350099194044E-2</v>
      </c>
      <c r="X308" s="3">
        <f t="shared" si="290"/>
        <v>7.6659517692339012E-4</v>
      </c>
      <c r="Y308" s="3">
        <f t="shared" si="290"/>
        <v>5.7892320337374437E-18</v>
      </c>
      <c r="Z308" s="3">
        <f t="shared" si="290"/>
        <v>3.4927676546041798E-159</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4.9146519309700876E-2</v>
      </c>
      <c r="C309" s="3">
        <f t="shared" si="291"/>
        <v>4.9146519309700876E-2</v>
      </c>
      <c r="D309" s="3">
        <f t="shared" si="291"/>
        <v>4.9146519309700876E-2</v>
      </c>
      <c r="E309" s="3">
        <f t="shared" si="291"/>
        <v>4.9146519309700876E-2</v>
      </c>
      <c r="F309" s="3">
        <f t="shared" si="291"/>
        <v>4.9146519309700876E-2</v>
      </c>
      <c r="G309" s="3">
        <f t="shared" si="291"/>
        <v>4.9146519309700876E-2</v>
      </c>
      <c r="H309" s="3">
        <f t="shared" si="291"/>
        <v>4.9146519309700869E-2</v>
      </c>
      <c r="I309" s="3">
        <f t="shared" si="291"/>
        <v>4.9146519309700827E-2</v>
      </c>
      <c r="J309" s="3">
        <f t="shared" si="291"/>
        <v>4.9146519309700383E-2</v>
      </c>
      <c r="K309" s="3">
        <f t="shared" si="291"/>
        <v>4.9146519309695963E-2</v>
      </c>
      <c r="L309" s="3">
        <f t="shared" si="291"/>
        <v>4.9146519309651762E-2</v>
      </c>
      <c r="M309" s="3">
        <f t="shared" si="291"/>
        <v>4.9146519309209769E-2</v>
      </c>
      <c r="N309" s="3">
        <f t="shared" si="291"/>
        <v>4.9146519304789839E-2</v>
      </c>
      <c r="O309" s="3">
        <f t="shared" si="291"/>
        <v>4.9146519260590486E-2</v>
      </c>
      <c r="P309" s="3">
        <f t="shared" si="291"/>
        <v>4.9146518818597044E-2</v>
      </c>
      <c r="Q309" s="3">
        <f t="shared" si="291"/>
        <v>4.9146514398662765E-2</v>
      </c>
      <c r="R309" s="3">
        <f t="shared" si="291"/>
        <v>4.914647019934186E-2</v>
      </c>
      <c r="S309" s="3">
        <f t="shared" si="291"/>
        <v>4.9146028208319065E-2</v>
      </c>
      <c r="T309" s="3">
        <f t="shared" si="291"/>
        <v>4.9141608516708873E-2</v>
      </c>
      <c r="U309" s="3">
        <f t="shared" si="291"/>
        <v>4.9097433455115087E-2</v>
      </c>
      <c r="V309" s="3">
        <f t="shared" si="291"/>
        <v>4.8657861035244158E-2</v>
      </c>
      <c r="W309" s="3">
        <f t="shared" si="291"/>
        <v>4.4472879456423864E-2</v>
      </c>
      <c r="X309" s="3">
        <f t="shared" si="291"/>
        <v>1.8093292549896396E-2</v>
      </c>
      <c r="Y309" s="3">
        <f t="shared" si="291"/>
        <v>2.24771459386785E-6</v>
      </c>
      <c r="Z309" s="3">
        <f t="shared" si="291"/>
        <v>1.9677810119119445E-45</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3.1963681817399746E-2</v>
      </c>
      <c r="C310" s="3">
        <f t="shared" si="292"/>
        <v>3.1963681817399746E-2</v>
      </c>
      <c r="D310" s="3">
        <f t="shared" si="292"/>
        <v>3.1963681817399746E-2</v>
      </c>
      <c r="E310" s="3">
        <f t="shared" si="292"/>
        <v>3.1963681817399746E-2</v>
      </c>
      <c r="F310" s="3">
        <f t="shared" si="292"/>
        <v>3.1963681817399746E-2</v>
      </c>
      <c r="G310" s="3">
        <f t="shared" si="292"/>
        <v>3.1963681817399746E-2</v>
      </c>
      <c r="H310" s="3">
        <f t="shared" si="292"/>
        <v>3.1963681817399746E-2</v>
      </c>
      <c r="I310" s="3">
        <f t="shared" si="292"/>
        <v>3.1963681817399739E-2</v>
      </c>
      <c r="J310" s="3">
        <f t="shared" si="292"/>
        <v>3.1963681817399711E-2</v>
      </c>
      <c r="K310" s="3">
        <f t="shared" si="292"/>
        <v>3.1963681817399427E-2</v>
      </c>
      <c r="L310" s="3">
        <f t="shared" si="292"/>
        <v>3.1963681817396554E-2</v>
      </c>
      <c r="M310" s="3">
        <f t="shared" si="292"/>
        <v>3.1963681817367806E-2</v>
      </c>
      <c r="N310" s="3">
        <f t="shared" si="292"/>
        <v>3.1963681817080342E-2</v>
      </c>
      <c r="O310" s="3">
        <f t="shared" si="292"/>
        <v>3.1963681814205724E-2</v>
      </c>
      <c r="P310" s="3">
        <f t="shared" si="292"/>
        <v>3.1963681785459566E-2</v>
      </c>
      <c r="Q310" s="3">
        <f t="shared" si="292"/>
        <v>3.1963681497997949E-2</v>
      </c>
      <c r="R310" s="3">
        <f t="shared" si="292"/>
        <v>3.1963678623381904E-2</v>
      </c>
      <c r="S310" s="3">
        <f t="shared" si="292"/>
        <v>3.1963649877235691E-2</v>
      </c>
      <c r="T310" s="3">
        <f t="shared" si="292"/>
        <v>3.196336241719544E-2</v>
      </c>
      <c r="U310" s="3">
        <f t="shared" si="292"/>
        <v>3.1960487958976561E-2</v>
      </c>
      <c r="V310" s="3">
        <f t="shared" si="292"/>
        <v>3.1931757590419843E-2</v>
      </c>
      <c r="W310" s="3">
        <f t="shared" si="292"/>
        <v>3.1645870549754367E-2</v>
      </c>
      <c r="X310" s="3">
        <f t="shared" si="292"/>
        <v>2.8924061935920606E-2</v>
      </c>
      <c r="Y310" s="3">
        <f t="shared" si="292"/>
        <v>1.1767430414545416E-2</v>
      </c>
      <c r="Z310" s="3">
        <f t="shared" si="292"/>
        <v>1.4618580339734569E-6</v>
      </c>
      <c r="AA310" s="3">
        <f t="shared" si="292"/>
        <v>1.2797961490359125E-45</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1.8386856006952675E-2</v>
      </c>
      <c r="C311" s="3">
        <f t="shared" si="293"/>
        <v>1.8386856006952675E-2</v>
      </c>
      <c r="D311" s="3">
        <f t="shared" si="293"/>
        <v>1.8386856006952675E-2</v>
      </c>
      <c r="E311" s="3">
        <f t="shared" si="293"/>
        <v>1.8386856006952675E-2</v>
      </c>
      <c r="F311" s="3">
        <f t="shared" si="293"/>
        <v>1.8386856006952675E-2</v>
      </c>
      <c r="G311" s="3">
        <f t="shared" si="293"/>
        <v>1.8386856006952675E-2</v>
      </c>
      <c r="H311" s="3">
        <f t="shared" si="293"/>
        <v>1.8386856006952675E-2</v>
      </c>
      <c r="I311" s="3">
        <f t="shared" si="293"/>
        <v>1.8386856006952675E-2</v>
      </c>
      <c r="J311" s="3">
        <f t="shared" si="293"/>
        <v>1.8386856006952671E-2</v>
      </c>
      <c r="K311" s="3">
        <f t="shared" si="293"/>
        <v>1.8386856006952657E-2</v>
      </c>
      <c r="L311" s="3">
        <f t="shared" si="293"/>
        <v>1.8386856006952491E-2</v>
      </c>
      <c r="M311" s="3">
        <f t="shared" si="293"/>
        <v>1.8386856006950836E-2</v>
      </c>
      <c r="N311" s="3">
        <f t="shared" si="293"/>
        <v>1.83868560069343E-2</v>
      </c>
      <c r="O311" s="3">
        <f t="shared" si="293"/>
        <v>1.838685600676894E-2</v>
      </c>
      <c r="P311" s="3">
        <f t="shared" si="293"/>
        <v>1.8386856005115339E-2</v>
      </c>
      <c r="Q311" s="3">
        <f t="shared" si="293"/>
        <v>1.8386855988579337E-2</v>
      </c>
      <c r="R311" s="3">
        <f t="shared" si="293"/>
        <v>1.8386855823219309E-2</v>
      </c>
      <c r="S311" s="3">
        <f t="shared" si="293"/>
        <v>1.8386854169619087E-2</v>
      </c>
      <c r="T311" s="3">
        <f t="shared" si="293"/>
        <v>1.8386837633625076E-2</v>
      </c>
      <c r="U311" s="3">
        <f t="shared" si="293"/>
        <v>1.8386672274502868E-2</v>
      </c>
      <c r="V311" s="3">
        <f t="shared" si="293"/>
        <v>1.8385018765070805E-2</v>
      </c>
      <c r="W311" s="3">
        <f t="shared" si="293"/>
        <v>1.8368491847029982E-2</v>
      </c>
      <c r="X311" s="3">
        <f t="shared" si="293"/>
        <v>1.8204037580434561E-2</v>
      </c>
      <c r="Y311" s="3">
        <f t="shared" si="293"/>
        <v>1.6638338630390513E-2</v>
      </c>
      <c r="Z311" s="3">
        <f t="shared" si="293"/>
        <v>6.7691215874355563E-3</v>
      </c>
      <c r="AA311" s="3">
        <f t="shared" si="293"/>
        <v>8.4092231072845459E-7</v>
      </c>
      <c r="AB311" s="3">
        <f t="shared" si="293"/>
        <v>7.3619264654819278E-46</v>
      </c>
      <c r="AC311" s="3">
        <f t="shared" si="293"/>
        <v>0</v>
      </c>
      <c r="AD311" s="3">
        <f t="shared" si="293"/>
        <v>0</v>
      </c>
      <c r="AE311" s="3">
        <f t="shared" si="293"/>
        <v>0</v>
      </c>
      <c r="AF311" s="3">
        <f t="shared" si="293"/>
        <v>0</v>
      </c>
      <c r="AG311" s="3"/>
      <c r="AH311" s="3"/>
    </row>
    <row r="312" spans="1:34" x14ac:dyDescent="0.25">
      <c r="B312" s="3">
        <f t="shared" ref="B312:AF312" si="294">$C42*EXP(-B$285/$A42/EXP(-$F$126))</f>
        <v>9.0608848838832357E-3</v>
      </c>
      <c r="C312" s="3">
        <f t="shared" si="294"/>
        <v>9.0608848838832357E-3</v>
      </c>
      <c r="D312" s="3">
        <f t="shared" si="294"/>
        <v>9.0608848838832357E-3</v>
      </c>
      <c r="E312" s="3">
        <f t="shared" si="294"/>
        <v>9.0608848838832357E-3</v>
      </c>
      <c r="F312" s="3">
        <f t="shared" si="294"/>
        <v>9.0608848838832357E-3</v>
      </c>
      <c r="G312" s="3">
        <f t="shared" si="294"/>
        <v>9.0608848838832357E-3</v>
      </c>
      <c r="H312" s="3">
        <f t="shared" si="294"/>
        <v>9.0608848838832357E-3</v>
      </c>
      <c r="I312" s="3">
        <f t="shared" si="294"/>
        <v>9.0608848838832357E-3</v>
      </c>
      <c r="J312" s="3">
        <f t="shared" si="294"/>
        <v>9.0608848838832357E-3</v>
      </c>
      <c r="K312" s="3">
        <f t="shared" si="294"/>
        <v>9.0608848838832339E-3</v>
      </c>
      <c r="L312" s="3">
        <f t="shared" si="294"/>
        <v>9.060884883883227E-3</v>
      </c>
      <c r="M312" s="3">
        <f t="shared" si="294"/>
        <v>9.0608848838831454E-3</v>
      </c>
      <c r="N312" s="3">
        <f t="shared" si="294"/>
        <v>9.0608848838823301E-3</v>
      </c>
      <c r="O312" s="3">
        <f t="shared" si="294"/>
        <v>9.0608848838741804E-3</v>
      </c>
      <c r="P312" s="3">
        <f t="shared" si="294"/>
        <v>9.0608848837926935E-3</v>
      </c>
      <c r="Q312" s="3">
        <f t="shared" si="294"/>
        <v>9.0608848829778123E-3</v>
      </c>
      <c r="R312" s="3">
        <f t="shared" si="294"/>
        <v>9.060884874829013E-3</v>
      </c>
      <c r="S312" s="3">
        <f t="shared" si="294"/>
        <v>9.0608847933410092E-3</v>
      </c>
      <c r="T312" s="3">
        <f t="shared" si="294"/>
        <v>9.0608839784610089E-3</v>
      </c>
      <c r="U312" s="3">
        <f t="shared" si="294"/>
        <v>9.0608758296650341E-3</v>
      </c>
      <c r="V312" s="3">
        <f t="shared" si="294"/>
        <v>9.0607943421083664E-3</v>
      </c>
      <c r="W312" s="3">
        <f t="shared" si="294"/>
        <v>9.0599795068470983E-3</v>
      </c>
      <c r="X312" s="3">
        <f t="shared" si="294"/>
        <v>9.0518351834349472E-3</v>
      </c>
      <c r="Y312" s="3">
        <f t="shared" si="294"/>
        <v>8.9707935318485595E-3</v>
      </c>
      <c r="Z312" s="3">
        <f t="shared" si="294"/>
        <v>8.1992305227184745E-3</v>
      </c>
      <c r="AA312" s="3">
        <f t="shared" si="294"/>
        <v>3.3357650402858451E-3</v>
      </c>
      <c r="AB312" s="3">
        <f t="shared" si="294"/>
        <v>4.1439929974534156E-7</v>
      </c>
      <c r="AC312" s="3">
        <f t="shared" si="294"/>
        <v>3.6278941980141454E-46</v>
      </c>
      <c r="AD312" s="3">
        <f t="shared" si="294"/>
        <v>0</v>
      </c>
      <c r="AE312" s="3">
        <f t="shared" si="294"/>
        <v>0</v>
      </c>
      <c r="AF312" s="3">
        <f t="shared" si="294"/>
        <v>0</v>
      </c>
      <c r="AG312" s="3"/>
      <c r="AH312" s="3"/>
    </row>
    <row r="313" spans="1:34" x14ac:dyDescent="0.25">
      <c r="B313" s="3">
        <f t="shared" ref="B313:AF313" si="295">$C43*EXP(-B$285/$A43/EXP(-$F$126))</f>
        <v>3.4752911115110466E-3</v>
      </c>
      <c r="C313" s="3">
        <f t="shared" si="295"/>
        <v>3.4752911115110466E-3</v>
      </c>
      <c r="D313" s="3">
        <f t="shared" si="295"/>
        <v>3.4752911115110466E-3</v>
      </c>
      <c r="E313" s="3">
        <f t="shared" si="295"/>
        <v>3.4752911115110466E-3</v>
      </c>
      <c r="F313" s="3">
        <f t="shared" si="295"/>
        <v>3.4752911115110466E-3</v>
      </c>
      <c r="G313" s="3">
        <f t="shared" si="295"/>
        <v>3.4752911115110466E-3</v>
      </c>
      <c r="H313" s="3">
        <f t="shared" si="295"/>
        <v>3.4752911115110466E-3</v>
      </c>
      <c r="I313" s="3">
        <f t="shared" si="295"/>
        <v>3.4752911115110466E-3</v>
      </c>
      <c r="J313" s="3">
        <f t="shared" si="295"/>
        <v>3.4752911115110466E-3</v>
      </c>
      <c r="K313" s="3">
        <f t="shared" si="295"/>
        <v>3.4752911115110466E-3</v>
      </c>
      <c r="L313" s="3">
        <f t="shared" si="295"/>
        <v>3.4752911115110462E-3</v>
      </c>
      <c r="M313" s="3">
        <f t="shared" si="295"/>
        <v>3.4752911115110432E-3</v>
      </c>
      <c r="N313" s="3">
        <f t="shared" si="295"/>
        <v>3.4752911115110119E-3</v>
      </c>
      <c r="O313" s="3">
        <f t="shared" si="295"/>
        <v>3.4752911115106993E-3</v>
      </c>
      <c r="P313" s="3">
        <f t="shared" si="295"/>
        <v>3.4752911115075737E-3</v>
      </c>
      <c r="Q313" s="3">
        <f t="shared" si="295"/>
        <v>3.4752911114763192E-3</v>
      </c>
      <c r="R313" s="3">
        <f t="shared" si="295"/>
        <v>3.4752911111637728E-3</v>
      </c>
      <c r="S313" s="3">
        <f t="shared" si="295"/>
        <v>3.4752911080383106E-3</v>
      </c>
      <c r="T313" s="3">
        <f t="shared" si="295"/>
        <v>3.4752910767836885E-3</v>
      </c>
      <c r="U313" s="3">
        <f t="shared" si="295"/>
        <v>3.4752907642374791E-3</v>
      </c>
      <c r="V313" s="3">
        <f t="shared" si="295"/>
        <v>3.4752876387769329E-3</v>
      </c>
      <c r="W313" s="3">
        <f t="shared" si="295"/>
        <v>3.4752563843260692E-3</v>
      </c>
      <c r="X313" s="3">
        <f t="shared" si="295"/>
        <v>3.47494385527652E-3</v>
      </c>
      <c r="Y313" s="3">
        <f t="shared" si="295"/>
        <v>3.4718201101758771E-3</v>
      </c>
      <c r="Z313" s="3">
        <f t="shared" si="295"/>
        <v>3.4407366856506064E-3</v>
      </c>
      <c r="AA313" s="3">
        <f t="shared" si="295"/>
        <v>3.1448046545120181E-3</v>
      </c>
      <c r="AB313" s="3">
        <f t="shared" si="295"/>
        <v>1.2794285263699723E-3</v>
      </c>
      <c r="AC313" s="3">
        <f t="shared" si="295"/>
        <v>1.5894233526606474E-7</v>
      </c>
      <c r="AD313" s="3">
        <f t="shared" si="295"/>
        <v>1.3914743009578589E-46</v>
      </c>
      <c r="AE313" s="3">
        <f t="shared" si="295"/>
        <v>0</v>
      </c>
      <c r="AF313" s="3">
        <f t="shared" si="295"/>
        <v>0</v>
      </c>
      <c r="AG313" s="3"/>
      <c r="AH313" s="3"/>
    </row>
    <row r="314" spans="1:34" x14ac:dyDescent="0.25">
      <c r="B314" s="3">
        <f t="shared" ref="B314:AF314" si="296">$C44*EXP(-B$285/$A44/EXP(-$F$126))</f>
        <v>3.7189183043806369E-3</v>
      </c>
      <c r="C314" s="3">
        <f t="shared" si="296"/>
        <v>3.7189183043806369E-3</v>
      </c>
      <c r="D314" s="3">
        <f t="shared" si="296"/>
        <v>3.7189183043806369E-3</v>
      </c>
      <c r="E314" s="3">
        <f t="shared" si="296"/>
        <v>3.7189183043806369E-3</v>
      </c>
      <c r="F314" s="3">
        <f t="shared" si="296"/>
        <v>3.7189183043806369E-3</v>
      </c>
      <c r="G314" s="3">
        <f t="shared" si="296"/>
        <v>3.7189183043806369E-3</v>
      </c>
      <c r="H314" s="3">
        <f t="shared" si="296"/>
        <v>3.7189183043806369E-3</v>
      </c>
      <c r="I314" s="3">
        <f t="shared" si="296"/>
        <v>3.7189183043806369E-3</v>
      </c>
      <c r="J314" s="3">
        <f t="shared" si="296"/>
        <v>3.7189183043806369E-3</v>
      </c>
      <c r="K314" s="3">
        <f t="shared" si="296"/>
        <v>3.7189183043806369E-3</v>
      </c>
      <c r="L314" s="3">
        <f t="shared" si="296"/>
        <v>3.7189183043806369E-3</v>
      </c>
      <c r="M314" s="3">
        <f t="shared" si="296"/>
        <v>3.7189183043806365E-3</v>
      </c>
      <c r="N314" s="3">
        <f t="shared" si="296"/>
        <v>3.718918304380633E-3</v>
      </c>
      <c r="O314" s="3">
        <f t="shared" si="296"/>
        <v>3.7189183043805996E-3</v>
      </c>
      <c r="P314" s="3">
        <f t="shared" si="296"/>
        <v>3.7189183043802652E-3</v>
      </c>
      <c r="Q314" s="3">
        <f t="shared" si="296"/>
        <v>3.7189183043769207E-3</v>
      </c>
      <c r="R314" s="3">
        <f t="shared" si="296"/>
        <v>3.7189183043434748E-3</v>
      </c>
      <c r="S314" s="3">
        <f t="shared" si="296"/>
        <v>3.7189183040090184E-3</v>
      </c>
      <c r="T314" s="3">
        <f t="shared" si="296"/>
        <v>3.7189183006644528E-3</v>
      </c>
      <c r="U314" s="3">
        <f t="shared" si="296"/>
        <v>3.7189182672187982E-3</v>
      </c>
      <c r="V314" s="3">
        <f t="shared" si="296"/>
        <v>3.7189179327622645E-3</v>
      </c>
      <c r="W314" s="3">
        <f t="shared" si="296"/>
        <v>3.718914588198583E-3</v>
      </c>
      <c r="X314" s="3">
        <f t="shared" si="296"/>
        <v>3.7188811427272019E-3</v>
      </c>
      <c r="Y314" s="3">
        <f t="shared" si="296"/>
        <v>3.7185467045562038E-3</v>
      </c>
      <c r="Z314" s="3">
        <f t="shared" si="296"/>
        <v>3.7152039765773817E-3</v>
      </c>
      <c r="AA314" s="3">
        <f t="shared" si="296"/>
        <v>3.6819415209382042E-3</v>
      </c>
      <c r="AB314" s="3">
        <f t="shared" si="296"/>
        <v>3.365263863688558E-3</v>
      </c>
      <c r="AC314" s="3">
        <f t="shared" si="296"/>
        <v>1.3691198846922583E-3</v>
      </c>
      <c r="AD314" s="3">
        <f t="shared" si="296"/>
        <v>1.7008461766098392E-7</v>
      </c>
      <c r="AE314" s="3">
        <f t="shared" si="296"/>
        <v>1.4890203674642535E-46</v>
      </c>
      <c r="AF314" s="3">
        <f t="shared" si="296"/>
        <v>0</v>
      </c>
      <c r="AG314" s="3"/>
      <c r="AH314" s="3"/>
    </row>
    <row r="315" spans="1:34" x14ac:dyDescent="0.25">
      <c r="B315" s="3">
        <f t="shared" ref="B315:AF315" si="297">$C45*EXP(-B$285/$A45/EXP(-$F$126))</f>
        <v>9.6569507815885117E-4</v>
      </c>
      <c r="C315" s="3">
        <f t="shared" si="297"/>
        <v>9.6569507815885117E-4</v>
      </c>
      <c r="D315" s="3">
        <f t="shared" si="297"/>
        <v>9.6569507815885117E-4</v>
      </c>
      <c r="E315" s="3">
        <f t="shared" si="297"/>
        <v>9.6569507815885117E-4</v>
      </c>
      <c r="F315" s="3">
        <f t="shared" si="297"/>
        <v>9.6569507815885117E-4</v>
      </c>
      <c r="G315" s="3">
        <f t="shared" si="297"/>
        <v>9.6569507815885117E-4</v>
      </c>
      <c r="H315" s="3">
        <f t="shared" si="297"/>
        <v>9.6569507815885117E-4</v>
      </c>
      <c r="I315" s="3">
        <f t="shared" si="297"/>
        <v>9.6569507815885117E-4</v>
      </c>
      <c r="J315" s="3">
        <f t="shared" si="297"/>
        <v>9.6569507815885117E-4</v>
      </c>
      <c r="K315" s="3">
        <f t="shared" si="297"/>
        <v>9.6569507815885117E-4</v>
      </c>
      <c r="L315" s="3">
        <f t="shared" si="297"/>
        <v>9.6569507815885117E-4</v>
      </c>
      <c r="M315" s="3">
        <f t="shared" si="297"/>
        <v>9.6569507815885117E-4</v>
      </c>
      <c r="N315" s="3">
        <f t="shared" si="297"/>
        <v>9.6569507815885106E-4</v>
      </c>
      <c r="O315" s="3">
        <f t="shared" si="297"/>
        <v>9.6569507815885019E-4</v>
      </c>
      <c r="P315" s="3">
        <f t="shared" si="297"/>
        <v>9.6569507815884152E-4</v>
      </c>
      <c r="Q315" s="3">
        <f t="shared" si="297"/>
        <v>9.6569507815875467E-4</v>
      </c>
      <c r="R315" s="3">
        <f t="shared" si="297"/>
        <v>9.6569507815788612E-4</v>
      </c>
      <c r="S315" s="3">
        <f t="shared" si="297"/>
        <v>9.6569507814920133E-4</v>
      </c>
      <c r="T315" s="3">
        <f t="shared" si="297"/>
        <v>9.6569507806235262E-4</v>
      </c>
      <c r="U315" s="3">
        <f t="shared" si="297"/>
        <v>9.6569507719386613E-4</v>
      </c>
      <c r="V315" s="3">
        <f t="shared" si="297"/>
        <v>9.6569506850900091E-4</v>
      </c>
      <c r="W315" s="3">
        <f t="shared" si="297"/>
        <v>9.6569498166035241E-4</v>
      </c>
      <c r="X315" s="3">
        <f t="shared" si="297"/>
        <v>9.6569411317429775E-4</v>
      </c>
      <c r="Y315" s="3">
        <f t="shared" si="297"/>
        <v>9.6568542835670935E-4</v>
      </c>
      <c r="Z315" s="3">
        <f t="shared" si="297"/>
        <v>9.655985844765143E-4</v>
      </c>
      <c r="AA315" s="3">
        <f t="shared" si="297"/>
        <v>9.6473057510051638E-4</v>
      </c>
      <c r="AB315" s="3">
        <f t="shared" si="297"/>
        <v>9.5609328138519236E-4</v>
      </c>
      <c r="AC315" s="3">
        <f t="shared" si="297"/>
        <v>8.7386129080647208E-4</v>
      </c>
      <c r="AD315" s="3">
        <f t="shared" si="297"/>
        <v>3.555206718306559E-4</v>
      </c>
      <c r="AE315" s="3">
        <f t="shared" si="297"/>
        <v>4.4166035578750635E-8</v>
      </c>
      <c r="AF315" s="3">
        <f t="shared" si="297"/>
        <v>3.8665534503533375E-47</v>
      </c>
      <c r="AG315" s="3"/>
      <c r="AH315" s="3"/>
    </row>
    <row r="316" spans="1:34" x14ac:dyDescent="0.25">
      <c r="B316" s="3">
        <f t="shared" ref="B316:AF316" si="298">$C46*EXP(-B$285/$A46/EXP(-$F$126))</f>
        <v>6.3325792141422034E-4</v>
      </c>
      <c r="C316" s="3">
        <f t="shared" si="298"/>
        <v>6.3325792141422034E-4</v>
      </c>
      <c r="D316" s="3">
        <f t="shared" si="298"/>
        <v>6.3325792141422034E-4</v>
      </c>
      <c r="E316" s="3">
        <f t="shared" si="298"/>
        <v>6.3325792141422034E-4</v>
      </c>
      <c r="F316" s="3">
        <f t="shared" si="298"/>
        <v>6.3325792141422034E-4</v>
      </c>
      <c r="G316" s="3">
        <f t="shared" si="298"/>
        <v>6.3325792141422034E-4</v>
      </c>
      <c r="H316" s="3">
        <f t="shared" si="298"/>
        <v>6.3325792141422034E-4</v>
      </c>
      <c r="I316" s="3">
        <f t="shared" si="298"/>
        <v>6.3325792141422034E-4</v>
      </c>
      <c r="J316" s="3">
        <f t="shared" si="298"/>
        <v>6.3325792141422034E-4</v>
      </c>
      <c r="K316" s="3">
        <f t="shared" si="298"/>
        <v>6.3325792141422034E-4</v>
      </c>
      <c r="L316" s="3">
        <f t="shared" si="298"/>
        <v>6.3325792141422034E-4</v>
      </c>
      <c r="M316" s="3">
        <f t="shared" si="298"/>
        <v>6.3325792141422034E-4</v>
      </c>
      <c r="N316" s="3">
        <f t="shared" si="298"/>
        <v>6.3325792141422034E-4</v>
      </c>
      <c r="O316" s="3">
        <f t="shared" si="298"/>
        <v>6.3325792141422023E-4</v>
      </c>
      <c r="P316" s="3">
        <f t="shared" si="298"/>
        <v>6.3325792141421969E-4</v>
      </c>
      <c r="Q316" s="3">
        <f t="shared" si="298"/>
        <v>6.3325792141421405E-4</v>
      </c>
      <c r="R316" s="3">
        <f t="shared" si="298"/>
        <v>6.3325792141415702E-4</v>
      </c>
      <c r="S316" s="3">
        <f t="shared" si="298"/>
        <v>6.3325792141358749E-4</v>
      </c>
      <c r="T316" s="3">
        <f t="shared" si="298"/>
        <v>6.3325792140789239E-4</v>
      </c>
      <c r="U316" s="3">
        <f t="shared" si="298"/>
        <v>6.332579213509411E-4</v>
      </c>
      <c r="V316" s="3">
        <f t="shared" si="298"/>
        <v>6.3325792078142802E-4</v>
      </c>
      <c r="W316" s="3">
        <f t="shared" si="298"/>
        <v>6.3325791508629734E-4</v>
      </c>
      <c r="X316" s="3">
        <f t="shared" si="298"/>
        <v>6.3325785813499267E-4</v>
      </c>
      <c r="Y316" s="3">
        <f t="shared" si="298"/>
        <v>6.3325728862222803E-4</v>
      </c>
      <c r="Z316" s="3">
        <f t="shared" si="298"/>
        <v>6.3325159352275171E-4</v>
      </c>
      <c r="AA316" s="3">
        <f t="shared" si="298"/>
        <v>6.3319464534490177E-4</v>
      </c>
      <c r="AB316" s="3">
        <f t="shared" si="298"/>
        <v>6.3262544516397041E-4</v>
      </c>
      <c r="AC316" s="3">
        <f t="shared" si="298"/>
        <v>6.2696150963347322E-4</v>
      </c>
      <c r="AD316" s="3">
        <f t="shared" si="298"/>
        <v>5.7303759451223619E-4</v>
      </c>
      <c r="AE316" s="3">
        <f t="shared" si="298"/>
        <v>2.3313392265859173E-4</v>
      </c>
      <c r="AF316" s="3">
        <f t="shared" si="298"/>
        <v>2.8962032136509943E-8</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2.585470347840544E-2</v>
      </c>
      <c r="C318" s="3">
        <f t="shared" si="300"/>
        <v>2.585470347840544E-2</v>
      </c>
      <c r="D318" s="3">
        <f t="shared" si="300"/>
        <v>2.585470347840544E-2</v>
      </c>
      <c r="E318" s="3">
        <f t="shared" si="300"/>
        <v>2.585470347840544E-2</v>
      </c>
      <c r="F318" s="3">
        <f t="shared" si="300"/>
        <v>2.585470347840544E-2</v>
      </c>
      <c r="G318" s="3">
        <f t="shared" si="300"/>
        <v>2.585470347840544E-2</v>
      </c>
      <c r="H318" s="3">
        <f t="shared" si="300"/>
        <v>2.585470347840544E-2</v>
      </c>
      <c r="I318" s="3">
        <f t="shared" si="300"/>
        <v>2.585470347840544E-2</v>
      </c>
      <c r="J318" s="3">
        <f t="shared" si="300"/>
        <v>2.585470347840544E-2</v>
      </c>
      <c r="K318" s="3">
        <f t="shared" si="300"/>
        <v>2.585470347840544E-2</v>
      </c>
      <c r="L318" s="3">
        <f t="shared" si="300"/>
        <v>2.585470347840544E-2</v>
      </c>
      <c r="M318" s="3">
        <f t="shared" si="300"/>
        <v>2.585470347840544E-2</v>
      </c>
      <c r="N318" s="3">
        <f t="shared" si="300"/>
        <v>2.585470347840544E-2</v>
      </c>
      <c r="O318" s="3">
        <f t="shared" si="300"/>
        <v>2.585470347840544E-2</v>
      </c>
      <c r="P318" s="3">
        <f t="shared" si="300"/>
        <v>2.585470347840544E-2</v>
      </c>
      <c r="Q318" s="3">
        <f t="shared" si="300"/>
        <v>2.5854703478405437E-2</v>
      </c>
      <c r="R318" s="3">
        <f t="shared" si="300"/>
        <v>2.5854703478405416E-2</v>
      </c>
      <c r="S318" s="3">
        <f t="shared" si="300"/>
        <v>2.5854703478405183E-2</v>
      </c>
      <c r="T318" s="3">
        <f t="shared" si="300"/>
        <v>2.5854703478402855E-2</v>
      </c>
      <c r="U318" s="3">
        <f t="shared" si="300"/>
        <v>2.5854703478379603E-2</v>
      </c>
      <c r="V318" s="3">
        <f t="shared" si="300"/>
        <v>2.5854703478147081E-2</v>
      </c>
      <c r="W318" s="3">
        <f t="shared" si="300"/>
        <v>2.5854703475821871E-2</v>
      </c>
      <c r="X318" s="3">
        <f t="shared" si="300"/>
        <v>2.5854703452569745E-2</v>
      </c>
      <c r="Y318" s="3">
        <f t="shared" si="300"/>
        <v>2.5854703220048507E-2</v>
      </c>
      <c r="Z318" s="3">
        <f t="shared" si="300"/>
        <v>2.5854700894836231E-2</v>
      </c>
      <c r="AA318" s="3">
        <f t="shared" si="300"/>
        <v>2.5854677642724949E-2</v>
      </c>
      <c r="AB318" s="3">
        <f t="shared" si="300"/>
        <v>2.5854445122762294E-2</v>
      </c>
      <c r="AC318" s="3">
        <f t="shared" si="300"/>
        <v>2.5852120038144862E-2</v>
      </c>
      <c r="AD318" s="3">
        <f t="shared" si="300"/>
        <v>2.5828880689057893E-2</v>
      </c>
      <c r="AE318" s="3">
        <f t="shared" si="300"/>
        <v>2.559763309039418E-2</v>
      </c>
      <c r="AF318" s="3">
        <f t="shared" si="300"/>
        <v>2.3396023305962708E-2</v>
      </c>
      <c r="AG318" s="3"/>
      <c r="AH318" s="3"/>
    </row>
    <row r="319" spans="1:34" x14ac:dyDescent="0.25">
      <c r="A319" s="79">
        <f>AVERAGE(B319:AF319)</f>
        <v>2.0948446465052865E-4</v>
      </c>
      <c r="B319" s="80">
        <f>IF($A$64&lt;=B285,IF($B$64&gt;=B285,ABS((B287-B286)/B286),0),0)</f>
        <v>0</v>
      </c>
      <c r="C319" s="80">
        <f t="shared" ref="C319:AF319" si="301">IF($A$64&lt;=C285,IF($B$64&gt;=C285,ABS((C287-C286)/C286),0),0)</f>
        <v>0</v>
      </c>
      <c r="D319" s="80">
        <f t="shared" si="301"/>
        <v>0</v>
      </c>
      <c r="E319" s="80">
        <f t="shared" si="301"/>
        <v>0</v>
      </c>
      <c r="F319" s="80">
        <f t="shared" si="301"/>
        <v>0</v>
      </c>
      <c r="G319" s="80">
        <f t="shared" si="301"/>
        <v>0</v>
      </c>
      <c r="H319" s="80">
        <f t="shared" si="301"/>
        <v>0</v>
      </c>
      <c r="I319" s="80">
        <f t="shared" si="301"/>
        <v>0</v>
      </c>
      <c r="J319" s="80">
        <f t="shared" si="301"/>
        <v>0</v>
      </c>
      <c r="K319" s="80">
        <f t="shared" si="301"/>
        <v>0</v>
      </c>
      <c r="L319" s="80">
        <f t="shared" si="301"/>
        <v>4.7955108356792465E-4</v>
      </c>
      <c r="M319" s="80">
        <f t="shared" si="301"/>
        <v>7.6767684919482341E-4</v>
      </c>
      <c r="N319" s="80">
        <f t="shared" si="301"/>
        <v>9.5266552345789357E-4</v>
      </c>
      <c r="O319" s="80">
        <f t="shared" si="301"/>
        <v>1.088868800166375E-3</v>
      </c>
      <c r="P319" s="80">
        <f t="shared" si="301"/>
        <v>1.0008129553397971E-3</v>
      </c>
      <c r="Q319" s="80">
        <f t="shared" si="301"/>
        <v>8.6470064269726415E-4</v>
      </c>
      <c r="R319" s="80">
        <f t="shared" si="301"/>
        <v>5.6811275097235121E-4</v>
      </c>
      <c r="S319" s="80">
        <f t="shared" si="301"/>
        <v>4.1376866240571628E-4</v>
      </c>
      <c r="T319" s="80">
        <f t="shared" si="301"/>
        <v>1.8096266409010865E-4</v>
      </c>
      <c r="U319" s="80">
        <f t="shared" si="301"/>
        <v>1.6034355238964839E-4</v>
      </c>
      <c r="V319" s="80">
        <f t="shared" si="301"/>
        <v>1.6554919884486191E-5</v>
      </c>
      <c r="W319" s="80">
        <f t="shared" si="301"/>
        <v>0</v>
      </c>
      <c r="X319" s="80">
        <f t="shared" si="301"/>
        <v>0</v>
      </c>
      <c r="Y319" s="80">
        <f t="shared" si="301"/>
        <v>0</v>
      </c>
      <c r="Z319" s="80">
        <f t="shared" si="301"/>
        <v>0</v>
      </c>
      <c r="AA319" s="80">
        <f t="shared" si="301"/>
        <v>0</v>
      </c>
      <c r="AB319" s="80">
        <f t="shared" si="301"/>
        <v>0</v>
      </c>
      <c r="AC319" s="80">
        <f t="shared" si="301"/>
        <v>0</v>
      </c>
      <c r="AD319" s="80">
        <f t="shared" si="301"/>
        <v>0</v>
      </c>
      <c r="AE319" s="80">
        <f t="shared" si="301"/>
        <v>0</v>
      </c>
      <c r="AF319" s="80">
        <f t="shared" si="301"/>
        <v>0</v>
      </c>
    </row>
    <row r="320" spans="1:34" x14ac:dyDescent="0.25">
      <c r="B320" s="21">
        <f>(B287-B286)^2</f>
        <v>6205.2405062108028</v>
      </c>
      <c r="C320" s="21">
        <f t="shared" ref="C320:AF320" si="302">(C287-C286)^2</f>
        <v>10401.061847241312</v>
      </c>
      <c r="D320" s="21">
        <f t="shared" si="302"/>
        <v>722.90395573737214</v>
      </c>
      <c r="E320" s="21">
        <f t="shared" si="302"/>
        <v>20.105148255930722</v>
      </c>
      <c r="F320" s="21">
        <f t="shared" si="302"/>
        <v>0.242213491745222</v>
      </c>
      <c r="G320" s="21">
        <f t="shared" si="302"/>
        <v>2.8404828993927031E-2</v>
      </c>
      <c r="H320" s="21">
        <f t="shared" si="302"/>
        <v>2.7138035039257964E-4</v>
      </c>
      <c r="I320" s="21">
        <f t="shared" si="302"/>
        <v>0.23441464367981116</v>
      </c>
      <c r="J320" s="21">
        <f t="shared" si="302"/>
        <v>0.56627513751825531</v>
      </c>
      <c r="K320" s="21">
        <f t="shared" si="302"/>
        <v>3.8008835811788466</v>
      </c>
      <c r="L320" s="21">
        <f t="shared" si="302"/>
        <v>8.9432049489968879</v>
      </c>
      <c r="M320" s="21">
        <f t="shared" si="302"/>
        <v>20.866567733028791</v>
      </c>
      <c r="N320" s="21">
        <f t="shared" si="302"/>
        <v>29.234445520488499</v>
      </c>
      <c r="O320" s="21">
        <f t="shared" si="302"/>
        <v>34.433403689481317</v>
      </c>
      <c r="P320" s="21">
        <f t="shared" si="302"/>
        <v>26.293398861513381</v>
      </c>
      <c r="Q320" s="21">
        <f t="shared" si="302"/>
        <v>17.22201267891796</v>
      </c>
      <c r="R320" s="21">
        <f t="shared" si="302"/>
        <v>6.3358829162512977</v>
      </c>
      <c r="S320" s="21">
        <f t="shared" si="302"/>
        <v>2.7261436703791548</v>
      </c>
      <c r="T320" s="21">
        <f t="shared" si="302"/>
        <v>0.40405422937652824</v>
      </c>
      <c r="U320" s="21">
        <f t="shared" si="302"/>
        <v>0.23094751362622923</v>
      </c>
      <c r="V320" s="21">
        <f t="shared" si="302"/>
        <v>1.6457487947402639E-3</v>
      </c>
      <c r="W320" s="21">
        <f t="shared" si="302"/>
        <v>3.1682625026446892E-2</v>
      </c>
      <c r="X320" s="21">
        <f t="shared" si="302"/>
        <v>2.7050138106778681E-2</v>
      </c>
      <c r="Y320" s="21">
        <f t="shared" si="302"/>
        <v>1.086863513229685E-2</v>
      </c>
      <c r="Z320" s="21">
        <f t="shared" si="302"/>
        <v>1.0895316902736702E-3</v>
      </c>
      <c r="AA320" s="21">
        <f t="shared" si="302"/>
        <v>1.3684739254977834E-2</v>
      </c>
      <c r="AB320" s="21">
        <f t="shared" si="302"/>
        <v>2.5011711086175264E-2</v>
      </c>
      <c r="AC320" s="21">
        <f t="shared" si="302"/>
        <v>5.5239667074634513E-2</v>
      </c>
      <c r="AD320" s="21">
        <f t="shared" si="302"/>
        <v>6.7252033621203008E-2</v>
      </c>
      <c r="AE320" s="21">
        <f t="shared" si="302"/>
        <v>0.1026684981977148</v>
      </c>
      <c r="AF320" s="21">
        <f t="shared" si="302"/>
        <v>2.66050310853428E-2</v>
      </c>
      <c r="AG320" s="3"/>
      <c r="AH320" s="3"/>
    </row>
    <row r="321" spans="1:34" x14ac:dyDescent="0.25">
      <c r="A321" s="71">
        <f>SUM(B321:AF321)</f>
        <v>146.6917075108548</v>
      </c>
      <c r="B321" s="60">
        <f>IF($A$64&lt;=B285,IF($B$64&gt;=B285,ABS(B320),0),0)</f>
        <v>0</v>
      </c>
      <c r="C321" s="60">
        <f t="shared" ref="C321" si="303">IF($A$64&lt;=C285,IF($B$64&gt;=C285,ABS(C320),0),0)</f>
        <v>0</v>
      </c>
      <c r="D321" s="60">
        <f t="shared" ref="D321" si="304">IF($A$64&lt;=D285,IF($B$64&gt;=D285,ABS(D320),0),0)</f>
        <v>0</v>
      </c>
      <c r="E321" s="60">
        <f t="shared" ref="E321" si="305">IF($A$64&lt;=E285,IF($B$64&gt;=E285,ABS(E320),0),0)</f>
        <v>0</v>
      </c>
      <c r="F321" s="60">
        <f t="shared" ref="F321" si="306">IF($A$64&lt;=F285,IF($B$64&gt;=F285,ABS(F320),0),0)</f>
        <v>0</v>
      </c>
      <c r="G321" s="60">
        <f t="shared" ref="G321" si="307">IF($A$64&lt;=G285,IF($B$64&gt;=G285,ABS(G320),0),0)</f>
        <v>0</v>
      </c>
      <c r="H321" s="60">
        <f t="shared" ref="H321" si="308">IF($A$64&lt;=H285,IF($B$64&gt;=H285,ABS(H320),0),0)</f>
        <v>0</v>
      </c>
      <c r="I321" s="60">
        <f t="shared" ref="I321" si="309">IF($A$64&lt;=I285,IF($B$64&gt;=I285,ABS(I320),0),0)</f>
        <v>0</v>
      </c>
      <c r="J321" s="60">
        <f t="shared" ref="J321" si="310">IF($A$64&lt;=J285,IF($B$64&gt;=J285,ABS(J320),0),0)</f>
        <v>0</v>
      </c>
      <c r="K321" s="60">
        <f t="shared" ref="K321" si="311">IF($A$64&lt;=K285,IF($B$64&gt;=K285,ABS(K320),0),0)</f>
        <v>0</v>
      </c>
      <c r="L321" s="60">
        <f t="shared" ref="L321" si="312">IF($A$64&lt;=L285,IF($B$64&gt;=L285,ABS(L320),0),0)</f>
        <v>8.9432049489968879</v>
      </c>
      <c r="M321" s="60">
        <f t="shared" ref="M321" si="313">IF($A$64&lt;=M285,IF($B$64&gt;=M285,ABS(M320),0),0)</f>
        <v>20.866567733028791</v>
      </c>
      <c r="N321" s="60">
        <f t="shared" ref="N321" si="314">IF($A$64&lt;=N285,IF($B$64&gt;=N285,ABS(N320),0),0)</f>
        <v>29.234445520488499</v>
      </c>
      <c r="O321" s="60">
        <f t="shared" ref="O321" si="315">IF($A$64&lt;=O285,IF($B$64&gt;=O285,ABS(O320),0),0)</f>
        <v>34.433403689481317</v>
      </c>
      <c r="P321" s="60">
        <f t="shared" ref="P321" si="316">IF($A$64&lt;=P285,IF($B$64&gt;=P285,ABS(P320),0),0)</f>
        <v>26.293398861513381</v>
      </c>
      <c r="Q321" s="60">
        <f t="shared" ref="Q321" si="317">IF($A$64&lt;=Q285,IF($B$64&gt;=Q285,ABS(Q320),0),0)</f>
        <v>17.22201267891796</v>
      </c>
      <c r="R321" s="60">
        <f t="shared" ref="R321" si="318">IF($A$64&lt;=R285,IF($B$64&gt;=R285,ABS(R320),0),0)</f>
        <v>6.3358829162512977</v>
      </c>
      <c r="S321" s="60">
        <f t="shared" ref="S321" si="319">IF($A$64&lt;=S285,IF($B$64&gt;=S285,ABS(S320),0),0)</f>
        <v>2.7261436703791548</v>
      </c>
      <c r="T321" s="60">
        <f t="shared" ref="T321" si="320">IF($A$64&lt;=T285,IF($B$64&gt;=T285,ABS(T320),0),0)</f>
        <v>0.40405422937652824</v>
      </c>
      <c r="U321" s="60">
        <f t="shared" ref="U321" si="321">IF($A$64&lt;=U285,IF($B$64&gt;=U285,ABS(U320),0),0)</f>
        <v>0.23094751362622923</v>
      </c>
      <c r="V321" s="60">
        <f t="shared" ref="V321" si="322">IF($A$64&lt;=V285,IF($B$64&gt;=V285,ABS(V320),0),0)</f>
        <v>1.6457487947402639E-3</v>
      </c>
      <c r="W321" s="60">
        <f t="shared" ref="W321" si="323">IF($A$64&lt;=W285,IF($B$64&gt;=W285,ABS(W320),0),0)</f>
        <v>0</v>
      </c>
      <c r="X321" s="60">
        <f t="shared" ref="X321" si="324">IF($A$64&lt;=X285,IF($B$64&gt;=X285,ABS(X320),0),0)</f>
        <v>0</v>
      </c>
      <c r="Y321" s="60">
        <f t="shared" ref="Y321" si="325">IF($A$64&lt;=Y285,IF($B$64&gt;=Y285,ABS(Y320),0),0)</f>
        <v>0</v>
      </c>
      <c r="Z321" s="60">
        <f t="shared" ref="Z321" si="326">IF($A$64&lt;=Z285,IF($B$64&gt;=Z285,ABS(Z320),0),0)</f>
        <v>0</v>
      </c>
      <c r="AA321" s="60">
        <f t="shared" ref="AA321" si="327">IF($A$64&lt;=AA285,IF($B$64&gt;=AA285,ABS(AA320),0),0)</f>
        <v>0</v>
      </c>
      <c r="AB321" s="60">
        <f t="shared" ref="AB321" si="328">IF($A$64&lt;=AB285,IF($B$64&gt;=AB285,ABS(AB320),0),0)</f>
        <v>0</v>
      </c>
      <c r="AC321" s="60">
        <f t="shared" ref="AC321" si="329">IF($A$64&lt;=AC285,IF($B$64&gt;=AC285,ABS(AC320),0),0)</f>
        <v>0</v>
      </c>
      <c r="AD321" s="60">
        <f t="shared" ref="AD321" si="330">IF($A$64&lt;=AD285,IF($B$64&gt;=AD285,ABS(AD320),0),0)</f>
        <v>0</v>
      </c>
      <c r="AE321" s="60">
        <f t="shared" ref="AE321" si="331">IF($A$64&lt;=AE285,IF($B$64&gt;=AE285,ABS(AE320),0),0)</f>
        <v>0</v>
      </c>
      <c r="AF321" s="60">
        <f t="shared" ref="AF321" si="332">IF($A$64&lt;=AF285,IF($B$64&gt;=AF285,ABS(AF320),0),0)</f>
        <v>0</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8600.88026028485</v>
      </c>
      <c r="C325" s="26">
        <f>INDEX(Comparison!$AM$3:$AS$33,G$14,$G$122)</f>
        <v>8258.5143784911779</v>
      </c>
      <c r="D325" s="26">
        <f>INDEX(Comparison!$AM$3:$AS$33,H$14,$G$122)</f>
        <v>7962.1526037178537</v>
      </c>
      <c r="E325" s="26">
        <f>INDEX(Comparison!$AM$3:$AS$33,I$14,$G$122)</f>
        <v>7694.1164691736458</v>
      </c>
      <c r="F325" s="26">
        <f>INDEX(Comparison!$AM$3:$AS$33,J$14,$G$122)</f>
        <v>7392.1118529421537</v>
      </c>
      <c r="G325" s="26">
        <f>INDEX(Comparison!$AM$3:$AS$33,K$14,$G$122)</f>
        <v>7031.7099177768096</v>
      </c>
      <c r="H325" s="26">
        <f>INDEX(Comparison!$AM$3:$AS$33,L$14,$G$122)</f>
        <v>6653.2341038317008</v>
      </c>
      <c r="I325" s="26">
        <f>INDEX(Comparison!$AM$3:$AS$33,M$14,$G$122)</f>
        <v>6325.3637954371716</v>
      </c>
      <c r="J325" s="26">
        <f>INDEX(Comparison!$AM$3:$AS$33,N$14,$G$122)</f>
        <v>6045.8980186697399</v>
      </c>
      <c r="K325" s="26">
        <f>INDEX(Comparison!$AM$3:$AS$33,O$14,$G$122)</f>
        <v>5765.1058423358591</v>
      </c>
      <c r="L325" s="26">
        <f>INDEX(Comparison!$AM$3:$AS$33,P$14,$G$122)</f>
        <v>5486.9816625574504</v>
      </c>
      <c r="M325" s="26">
        <f>INDEX(Comparison!$AM$3:$AS$33,Q$14,$G$122)</f>
        <v>5211.1575946368548</v>
      </c>
      <c r="N325" s="26">
        <f>INDEX(Comparison!$AM$3:$AS$33,R$14,$G$122)</f>
        <v>4923.9623445747775</v>
      </c>
      <c r="O325" s="26">
        <f>INDEX(Comparison!$AM$3:$AS$33,S$14,$G$122)</f>
        <v>4584.0172032140918</v>
      </c>
      <c r="P325" s="26">
        <f>INDEX(Comparison!$AM$3:$AS$33,T$14,$G$122)</f>
        <v>4221.1859974432145</v>
      </c>
      <c r="Q325" s="26">
        <f>INDEX(Comparison!$AM$3:$AS$33,U$14,$G$122)</f>
        <v>3789.937412973562</v>
      </c>
      <c r="R325" s="26">
        <f>INDEX(Comparison!$AM$3:$AS$33,V$14,$G$122)</f>
        <v>3283.8683924627298</v>
      </c>
      <c r="S325" s="26">
        <f>INDEX(Comparison!$AM$3:$AS$33,W$14,$G$122)</f>
        <v>2714.7098539050189</v>
      </c>
      <c r="T325" s="26">
        <f>INDEX(Comparison!$AM$3:$AS$33,X$14,$G$122)</f>
        <v>2120.3389527808267</v>
      </c>
      <c r="U325" s="26">
        <f>INDEX(Comparison!$AM$3:$AS$33,Y$14,$G$122)</f>
        <v>1549.2251736201158</v>
      </c>
      <c r="V325" s="26">
        <f>INDEX(Comparison!$AM$3:$AS$33,Z$14,$G$122)</f>
        <v>1115.0562509241029</v>
      </c>
      <c r="W325" s="26">
        <f>INDEX(Comparison!$AM$3:$AS$33,AA$14,$G$122)</f>
        <v>819.57257707159806</v>
      </c>
      <c r="X325" s="26">
        <f>INDEX(Comparison!$AM$3:$AS$33,AB$14,$G$122)</f>
        <v>672.71182943032534</v>
      </c>
      <c r="Y325" s="26">
        <f>INDEX(Comparison!$AM$3:$AS$33,AC$14,$G$122)</f>
        <v>592.26686963031818</v>
      </c>
      <c r="Z325" s="26">
        <f>INDEX(Comparison!$AM$3:$AS$33,AD$14,$G$122)</f>
        <v>556.12366677692739</v>
      </c>
      <c r="AA325" s="26">
        <f>INDEX(Comparison!$AM$3:$AS$33,AE$14,$G$122)</f>
        <v>528.75323853804991</v>
      </c>
      <c r="AB325" s="26">
        <f>INDEX(Comparison!$AM$3:$AS$33,AF$14,$G$122)</f>
        <v>517.55067575260887</v>
      </c>
      <c r="AC325" s="26">
        <f>INDEX(Comparison!$AM$3:$AS$33,AG$14,$G$122)</f>
        <v>499.76142817308812</v>
      </c>
      <c r="AD325" s="26">
        <f>INDEX(Comparison!$AM$3:$AS$33,AH$14,$G$122)</f>
        <v>478.96737917397832</v>
      </c>
      <c r="AE325" s="26">
        <f>INDEX(Comparison!$AM$3:$AS$33,AI$14,$G$122)</f>
        <v>475.66972462501121</v>
      </c>
      <c r="AF325" s="26">
        <f>INDEX(Comparison!$AM$3:$AS$33,AJ$14,$G$122)</f>
        <v>475.44842733478526</v>
      </c>
      <c r="AG325" s="26"/>
      <c r="AH325" s="26"/>
    </row>
    <row r="326" spans="1:34" x14ac:dyDescent="0.25">
      <c r="A326" s="77" t="s">
        <v>22</v>
      </c>
      <c r="B326" s="27">
        <f>($C$17+SUM(B327:B357))*$B$51</f>
        <v>8571.5847157733679</v>
      </c>
      <c r="C326" s="27">
        <f t="shared" ref="C326:AF326" si="333">($C$17+SUM(C327:C357))*$B$51</f>
        <v>8317.6201106418284</v>
      </c>
      <c r="D326" s="27">
        <f t="shared" si="333"/>
        <v>8018.8956597295073</v>
      </c>
      <c r="E326" s="27">
        <f t="shared" si="333"/>
        <v>7748.224353279923</v>
      </c>
      <c r="F326" s="27">
        <f t="shared" si="333"/>
        <v>7450.9280652063844</v>
      </c>
      <c r="G326" s="27">
        <f t="shared" si="333"/>
        <v>7092.0794868821486</v>
      </c>
      <c r="H326" s="27">
        <f t="shared" si="333"/>
        <v>6704.9656105942458</v>
      </c>
      <c r="I326" s="27">
        <f t="shared" si="333"/>
        <v>6361.7795839643977</v>
      </c>
      <c r="J326" s="27">
        <f t="shared" si="333"/>
        <v>6082.4082628341157</v>
      </c>
      <c r="K326" s="27">
        <f t="shared" si="333"/>
        <v>5797.2599866816799</v>
      </c>
      <c r="L326" s="27">
        <f t="shared" si="333"/>
        <v>5510.9039383134468</v>
      </c>
      <c r="M326" s="27">
        <f t="shared" si="333"/>
        <v>5241.5390599042858</v>
      </c>
      <c r="N326" s="27">
        <f t="shared" si="333"/>
        <v>4945.9964002885672</v>
      </c>
      <c r="O326" s="27">
        <f t="shared" si="333"/>
        <v>4598.7505947841473</v>
      </c>
      <c r="P326" s="27">
        <f t="shared" si="333"/>
        <v>4185.6648906352975</v>
      </c>
      <c r="Q326" s="27">
        <f t="shared" si="333"/>
        <v>3727.6110666557111</v>
      </c>
      <c r="R326" s="27">
        <f t="shared" si="333"/>
        <v>3227.8863498624137</v>
      </c>
      <c r="S326" s="27">
        <f t="shared" si="333"/>
        <v>2711.0338304889301</v>
      </c>
      <c r="T326" s="27">
        <f t="shared" si="333"/>
        <v>2125.2035267490396</v>
      </c>
      <c r="U326" s="27">
        <f t="shared" si="333"/>
        <v>1639.3189549810709</v>
      </c>
      <c r="V326" s="27">
        <f t="shared" si="333"/>
        <v>1125.5243163199493</v>
      </c>
      <c r="W326" s="27">
        <f t="shared" si="333"/>
        <v>836.95393077274684</v>
      </c>
      <c r="X326" s="27">
        <f t="shared" si="333"/>
        <v>674.0705322554096</v>
      </c>
      <c r="Y326" s="27">
        <f t="shared" si="333"/>
        <v>594.86088096852257</v>
      </c>
      <c r="Z326" s="27">
        <f t="shared" si="333"/>
        <v>557.74521153689079</v>
      </c>
      <c r="AA326" s="27">
        <f t="shared" si="333"/>
        <v>528.04207264712829</v>
      </c>
      <c r="AB326" s="27">
        <f t="shared" si="333"/>
        <v>517.63504572274701</v>
      </c>
      <c r="AC326" s="27">
        <f t="shared" si="333"/>
        <v>505.05408376325659</v>
      </c>
      <c r="AD326" s="27">
        <f t="shared" si="333"/>
        <v>438.05008150679834</v>
      </c>
      <c r="AE326" s="27">
        <f t="shared" si="333"/>
        <v>259.16758915810874</v>
      </c>
      <c r="AF326" s="27">
        <f t="shared" si="333"/>
        <v>250.198028887433</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8.4311054569120876E-6</v>
      </c>
      <c r="C328" s="3">
        <f t="shared" si="335"/>
        <v>1.2210511633302914E-39</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8.5657742131768459E-3</v>
      </c>
      <c r="C329" s="3">
        <f t="shared" si="336"/>
        <v>7.5891601644321774E-6</v>
      </c>
      <c r="D329" s="3">
        <f t="shared" si="336"/>
        <v>2.2618545668691831E-36</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3.1283686202102867E-2</v>
      </c>
      <c r="C330" s="3">
        <f t="shared" si="337"/>
        <v>1.6593975709861864E-2</v>
      </c>
      <c r="D330" s="3">
        <f t="shared" si="337"/>
        <v>2.9260095611601265E-5</v>
      </c>
      <c r="E330" s="3">
        <f t="shared" si="337"/>
        <v>8.5021477850823416E-33</v>
      </c>
      <c r="F330" s="3">
        <f t="shared" si="337"/>
        <v>3.6480244207801267E-308</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2.7270014216972921E-2</v>
      </c>
      <c r="C331" s="3">
        <f t="shared" si="338"/>
        <v>2.5754014011933161E-2</v>
      </c>
      <c r="D331" s="3">
        <f t="shared" si="338"/>
        <v>1.4535854277875605E-2</v>
      </c>
      <c r="E331" s="3">
        <f t="shared" si="338"/>
        <v>4.7686658236542655E-5</v>
      </c>
      <c r="F331" s="3">
        <f t="shared" si="338"/>
        <v>6.885891514276669E-30</v>
      </c>
      <c r="G331" s="3">
        <f t="shared" si="338"/>
        <v>2.7138950328450096E-278</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2.708072298594048E-2</v>
      </c>
      <c r="C332" s="3">
        <f t="shared" si="339"/>
        <v>2.6941355381262234E-2</v>
      </c>
      <c r="D332" s="3">
        <f t="shared" si="339"/>
        <v>2.5586524615362306E-2</v>
      </c>
      <c r="E332" s="3">
        <f t="shared" si="339"/>
        <v>1.5273194971769984E-2</v>
      </c>
      <c r="F332" s="3">
        <f t="shared" si="339"/>
        <v>8.7723479986573572E-5</v>
      </c>
      <c r="G332" s="3">
        <f t="shared" si="339"/>
        <v>3.4274838048918822E-27</v>
      </c>
      <c r="H332" s="3">
        <f t="shared" si="339"/>
        <v>2.8416527590693532E-251</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3.430740830347781E-2</v>
      </c>
      <c r="C333" s="3">
        <f t="shared" si="340"/>
        <v>3.429144381740027E-2</v>
      </c>
      <c r="D333" s="3">
        <f t="shared" si="340"/>
        <v>3.413220697387561E-2</v>
      </c>
      <c r="E333" s="3">
        <f t="shared" si="340"/>
        <v>3.2579946261054926E-2</v>
      </c>
      <c r="F333" s="3">
        <f t="shared" si="340"/>
        <v>2.0455509209151828E-2</v>
      </c>
      <c r="G333" s="3">
        <f t="shared" si="340"/>
        <v>1.9471957347473294E-4</v>
      </c>
      <c r="H333" s="3">
        <f t="shared" si="340"/>
        <v>1.189604928089406E-24</v>
      </c>
      <c r="I333" s="3">
        <f t="shared" si="340"/>
        <v>8.6165657276980516E-227</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4.0815570184945055E-2</v>
      </c>
      <c r="C334" s="3">
        <f t="shared" si="341"/>
        <v>4.0813856498195106E-2</v>
      </c>
      <c r="D334" s="3">
        <f t="shared" si="341"/>
        <v>4.0796723587503747E-2</v>
      </c>
      <c r="E334" s="3">
        <f t="shared" si="341"/>
        <v>4.0625789547401044E-2</v>
      </c>
      <c r="F334" s="3">
        <f t="shared" si="341"/>
        <v>3.8955348915810331E-2</v>
      </c>
      <c r="G334" s="3">
        <f t="shared" si="341"/>
        <v>2.559881963117187E-2</v>
      </c>
      <c r="H334" s="3">
        <f t="shared" si="341"/>
        <v>3.8436900340079117E-4</v>
      </c>
      <c r="I334" s="3">
        <f t="shared" si="341"/>
        <v>2.2388888378683744E-22</v>
      </c>
      <c r="J334" s="3">
        <f t="shared" si="341"/>
        <v>1.0066401904677936E-204</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3.8220684749309571E-2</v>
      </c>
      <c r="C335" s="3">
        <f t="shared" si="342"/>
        <v>3.822053998586105E-2</v>
      </c>
      <c r="D335" s="3">
        <f t="shared" si="342"/>
        <v>3.8219092381532135E-2</v>
      </c>
      <c r="E335" s="3">
        <f t="shared" si="342"/>
        <v>3.8204619353443992E-2</v>
      </c>
      <c r="F335" s="3">
        <f t="shared" si="342"/>
        <v>3.8060190170541228E-2</v>
      </c>
      <c r="G335" s="3">
        <f t="shared" si="342"/>
        <v>3.6645590420659069E-2</v>
      </c>
      <c r="H335" s="3">
        <f t="shared" si="342"/>
        <v>2.5091661307408017E-2</v>
      </c>
      <c r="I335" s="3">
        <f t="shared" si="342"/>
        <v>5.6833755019296197E-4</v>
      </c>
      <c r="J335" s="3">
        <f t="shared" si="342"/>
        <v>2.0201131381914161E-20</v>
      </c>
      <c r="K335" s="3">
        <f t="shared" si="342"/>
        <v>6.5023316310003641E-185</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2.8050317307674339E-2</v>
      </c>
      <c r="C336" s="3">
        <f t="shared" si="343"/>
        <v>2.8050307723701498E-2</v>
      </c>
      <c r="D336" s="3">
        <f t="shared" si="343"/>
        <v>2.8050211884153194E-2</v>
      </c>
      <c r="E336" s="3">
        <f t="shared" si="343"/>
        <v>2.8049253506679982E-2</v>
      </c>
      <c r="F336" s="3">
        <f t="shared" si="343"/>
        <v>2.8039671532705368E-2</v>
      </c>
      <c r="G336" s="3">
        <f t="shared" si="343"/>
        <v>2.7944031641264841E-2</v>
      </c>
      <c r="H336" s="3">
        <f t="shared" si="343"/>
        <v>2.7005392259376707E-2</v>
      </c>
      <c r="I336" s="3">
        <f t="shared" si="343"/>
        <v>1.918954798417109E-2</v>
      </c>
      <c r="J336" s="3">
        <f t="shared" si="343"/>
        <v>6.2980672717087756E-4</v>
      </c>
      <c r="K336" s="3">
        <f t="shared" si="343"/>
        <v>9.1334067208144384E-19</v>
      </c>
      <c r="L336" s="3">
        <f t="shared" si="343"/>
        <v>3.7574033912645958E-167</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2.8871537381184802E-2</v>
      </c>
      <c r="C337" s="3">
        <f t="shared" si="344"/>
        <v>2.8871536491319315E-2</v>
      </c>
      <c r="D337" s="3">
        <f t="shared" si="344"/>
        <v>2.8871527592665924E-2</v>
      </c>
      <c r="E337" s="3">
        <f t="shared" si="344"/>
        <v>2.8871438606282867E-2</v>
      </c>
      <c r="F337" s="3">
        <f t="shared" si="344"/>
        <v>2.887054875753697E-2</v>
      </c>
      <c r="G337" s="3">
        <f t="shared" si="344"/>
        <v>2.8861651778373718E-2</v>
      </c>
      <c r="H337" s="3">
        <f t="shared" si="344"/>
        <v>2.8772832644447938E-2</v>
      </c>
      <c r="I337" s="3">
        <f t="shared" si="344"/>
        <v>2.7899536673478238E-2</v>
      </c>
      <c r="J337" s="3">
        <f t="shared" si="344"/>
        <v>2.0499378982934177E-2</v>
      </c>
      <c r="K337" s="3">
        <f t="shared" si="344"/>
        <v>9.4010819792220157E-4</v>
      </c>
      <c r="L337" s="3">
        <f t="shared" si="344"/>
        <v>3.8685587139995541E-17</v>
      </c>
      <c r="M337" s="3">
        <f t="shared" si="344"/>
        <v>5.3859550012506381E-151</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3.0036426096286196E-2</v>
      </c>
      <c r="C338" s="3">
        <f t="shared" si="345"/>
        <v>3.0036426012774113E-2</v>
      </c>
      <c r="D338" s="3">
        <f t="shared" si="345"/>
        <v>3.0036425177653314E-2</v>
      </c>
      <c r="E338" s="3">
        <f t="shared" si="345"/>
        <v>3.0036416826446574E-2</v>
      </c>
      <c r="F338" s="3">
        <f t="shared" si="345"/>
        <v>3.0036333314506912E-2</v>
      </c>
      <c r="G338" s="3">
        <f t="shared" si="345"/>
        <v>3.0035498207880797E-2</v>
      </c>
      <c r="H338" s="3">
        <f t="shared" si="345"/>
        <v>3.0027148418538801E-2</v>
      </c>
      <c r="I338" s="3">
        <f t="shared" si="345"/>
        <v>2.9943778085773396E-2</v>
      </c>
      <c r="J338" s="3">
        <f t="shared" si="345"/>
        <v>2.9122700567909287E-2</v>
      </c>
      <c r="K338" s="3">
        <f t="shared" si="345"/>
        <v>2.205373434100396E-2</v>
      </c>
      <c r="L338" s="3">
        <f t="shared" si="345"/>
        <v>1.3676881279053722E-3</v>
      </c>
      <c r="M338" s="3">
        <f t="shared" si="345"/>
        <v>1.1508970060196717E-15</v>
      </c>
      <c r="N338" s="3">
        <f t="shared" si="345"/>
        <v>2.0489449597103963E-136</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2.6672376514216136E-2</v>
      </c>
      <c r="C339" s="3">
        <f t="shared" si="346"/>
        <v>2.6672376507526397E-2</v>
      </c>
      <c r="D339" s="3">
        <f t="shared" si="346"/>
        <v>2.6672376440628975E-2</v>
      </c>
      <c r="E339" s="3">
        <f t="shared" si="346"/>
        <v>2.6672375771654808E-2</v>
      </c>
      <c r="F339" s="3">
        <f t="shared" si="346"/>
        <v>2.6672369081914029E-2</v>
      </c>
      <c r="G339" s="3">
        <f t="shared" si="346"/>
        <v>2.6672302184598536E-2</v>
      </c>
      <c r="H339" s="3">
        <f t="shared" si="346"/>
        <v>2.6671633220671783E-2</v>
      </c>
      <c r="I339" s="3">
        <f t="shared" si="346"/>
        <v>2.666494450413481E-2</v>
      </c>
      <c r="J339" s="3">
        <f t="shared" si="346"/>
        <v>2.659814952624974E-2</v>
      </c>
      <c r="K339" s="3">
        <f t="shared" si="346"/>
        <v>2.5939333516519714E-2</v>
      </c>
      <c r="L339" s="3">
        <f t="shared" si="346"/>
        <v>2.0185184027224978E-2</v>
      </c>
      <c r="M339" s="3">
        <f t="shared" si="346"/>
        <v>1.6435075884355E-3</v>
      </c>
      <c r="N339" s="3">
        <f t="shared" si="346"/>
        <v>2.1045619693078978E-14</v>
      </c>
      <c r="O339" s="3">
        <f t="shared" si="346"/>
        <v>2.4949495218524185E-123</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2.9125900590942132E-2</v>
      </c>
      <c r="C340" s="3">
        <f t="shared" si="347"/>
        <v>2.9125900590283148E-2</v>
      </c>
      <c r="D340" s="3">
        <f t="shared" si="347"/>
        <v>2.9125900583693329E-2</v>
      </c>
      <c r="E340" s="3">
        <f t="shared" si="347"/>
        <v>2.9125900517795122E-2</v>
      </c>
      <c r="F340" s="3">
        <f t="shared" si="347"/>
        <v>2.9125899858813063E-2</v>
      </c>
      <c r="G340" s="3">
        <f t="shared" si="347"/>
        <v>2.9125893268993296E-2</v>
      </c>
      <c r="H340" s="3">
        <f t="shared" si="347"/>
        <v>2.9125827370877631E-2</v>
      </c>
      <c r="I340" s="3">
        <f t="shared" si="347"/>
        <v>2.9125168397921231E-2</v>
      </c>
      <c r="J340" s="3">
        <f t="shared" si="347"/>
        <v>2.9118579488312406E-2</v>
      </c>
      <c r="K340" s="3">
        <f t="shared" si="347"/>
        <v>2.9052772319144392E-2</v>
      </c>
      <c r="L340" s="3">
        <f t="shared" si="347"/>
        <v>2.8402825148610956E-2</v>
      </c>
      <c r="M340" s="3">
        <f t="shared" si="347"/>
        <v>2.2651717479063652E-2</v>
      </c>
      <c r="N340" s="3">
        <f t="shared" si="347"/>
        <v>2.3577464353538471E-3</v>
      </c>
      <c r="O340" s="3">
        <f t="shared" si="347"/>
        <v>3.5193033518300504E-13</v>
      </c>
      <c r="P340" s="3">
        <f t="shared" si="347"/>
        <v>1.9322030588139391E-111</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3.4434275037599417E-2</v>
      </c>
      <c r="C341" s="3">
        <f t="shared" si="348"/>
        <v>3.443427503752914E-2</v>
      </c>
      <c r="D341" s="3">
        <f t="shared" si="348"/>
        <v>3.4434275036826341E-2</v>
      </c>
      <c r="E341" s="3">
        <f t="shared" si="348"/>
        <v>3.4434275029798345E-2</v>
      </c>
      <c r="F341" s="3">
        <f t="shared" si="348"/>
        <v>3.4434274959518341E-2</v>
      </c>
      <c r="G341" s="3">
        <f t="shared" si="348"/>
        <v>3.4434274256718321E-2</v>
      </c>
      <c r="H341" s="3">
        <f t="shared" si="348"/>
        <v>3.4434267228718944E-2</v>
      </c>
      <c r="I341" s="3">
        <f t="shared" si="348"/>
        <v>3.4434196948804022E-2</v>
      </c>
      <c r="J341" s="3">
        <f t="shared" si="348"/>
        <v>3.4433494157543987E-2</v>
      </c>
      <c r="K341" s="3">
        <f t="shared" si="348"/>
        <v>3.4426467033801658E-2</v>
      </c>
      <c r="L341" s="3">
        <f t="shared" si="348"/>
        <v>3.4356274622640605E-2</v>
      </c>
      <c r="M341" s="3">
        <f t="shared" si="348"/>
        <v>3.3662173933908697E-2</v>
      </c>
      <c r="N341" s="3">
        <f t="shared" si="348"/>
        <v>2.744751940853582E-2</v>
      </c>
      <c r="O341" s="3">
        <f t="shared" si="348"/>
        <v>3.5654349108344154E-3</v>
      </c>
      <c r="P341" s="3">
        <f t="shared" si="348"/>
        <v>4.8776050262004255E-12</v>
      </c>
      <c r="Q341" s="3">
        <f t="shared" si="348"/>
        <v>1.1198189163024175E-100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4.2428216345216971E-2</v>
      </c>
      <c r="C342" s="3">
        <f t="shared" si="349"/>
        <v>4.2428216345209158E-2</v>
      </c>
      <c r="D342" s="3">
        <f t="shared" si="349"/>
        <v>4.242821634513104E-2</v>
      </c>
      <c r="E342" s="3">
        <f t="shared" si="349"/>
        <v>4.2428216344349873E-2</v>
      </c>
      <c r="F342" s="3">
        <f t="shared" si="349"/>
        <v>4.2428216336538239E-2</v>
      </c>
      <c r="G342" s="3">
        <f t="shared" si="349"/>
        <v>4.2428216258421844E-2</v>
      </c>
      <c r="H342" s="3">
        <f t="shared" si="349"/>
        <v>4.2428215477257905E-2</v>
      </c>
      <c r="I342" s="3">
        <f t="shared" si="349"/>
        <v>4.2428207665619333E-2</v>
      </c>
      <c r="J342" s="3">
        <f t="shared" si="349"/>
        <v>4.2428129549312653E-2</v>
      </c>
      <c r="K342" s="3">
        <f t="shared" si="349"/>
        <v>4.2427348394156114E-2</v>
      </c>
      <c r="L342" s="3">
        <f t="shared" si="349"/>
        <v>4.2419537633559684E-2</v>
      </c>
      <c r="M342" s="3">
        <f t="shared" si="349"/>
        <v>4.2341509070632145E-2</v>
      </c>
      <c r="N342" s="3">
        <f t="shared" si="349"/>
        <v>4.1569074163277424E-2</v>
      </c>
      <c r="O342" s="3">
        <f t="shared" si="349"/>
        <v>3.4578850085153996E-2</v>
      </c>
      <c r="P342" s="3">
        <f t="shared" si="349"/>
        <v>5.485452964768032E-3</v>
      </c>
      <c r="Q342" s="3">
        <f t="shared" si="349"/>
        <v>5.5364576615786673E-11</v>
      </c>
      <c r="R342" s="3">
        <f t="shared" si="349"/>
        <v>6.0733297130269585E-91</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4.683073576792772E-2</v>
      </c>
      <c r="C343" s="3">
        <f t="shared" si="350"/>
        <v>4.683073576792695E-2</v>
      </c>
      <c r="D343" s="3">
        <f t="shared" si="350"/>
        <v>4.6830735767919171E-2</v>
      </c>
      <c r="E343" s="3">
        <f t="shared" si="350"/>
        <v>4.6830735767841386E-2</v>
      </c>
      <c r="F343" s="3">
        <f t="shared" si="350"/>
        <v>4.6830735767063592E-2</v>
      </c>
      <c r="G343" s="3">
        <f t="shared" si="350"/>
        <v>4.6830735759285647E-2</v>
      </c>
      <c r="H343" s="3">
        <f t="shared" si="350"/>
        <v>4.6830735681506176E-2</v>
      </c>
      <c r="I343" s="3">
        <f t="shared" si="350"/>
        <v>4.6830734903711466E-2</v>
      </c>
      <c r="J343" s="3">
        <f t="shared" si="350"/>
        <v>4.6830727125765109E-2</v>
      </c>
      <c r="K343" s="3">
        <f t="shared" si="350"/>
        <v>4.6830649346372571E-2</v>
      </c>
      <c r="L343" s="3">
        <f t="shared" si="350"/>
        <v>4.6829871559552101E-2</v>
      </c>
      <c r="M343" s="3">
        <f t="shared" si="350"/>
        <v>4.6822094401794967E-2</v>
      </c>
      <c r="N343" s="3">
        <f t="shared" si="350"/>
        <v>4.6744393825341186E-2</v>
      </c>
      <c r="O343" s="3">
        <f t="shared" si="350"/>
        <v>4.5974444734145754E-2</v>
      </c>
      <c r="P343" s="3">
        <f t="shared" si="350"/>
        <v>3.8939116764595154E-2</v>
      </c>
      <c r="Q343" s="3">
        <f t="shared" si="350"/>
        <v>7.3974516291533321E-3</v>
      </c>
      <c r="R343" s="3">
        <f t="shared" si="350"/>
        <v>4.5294191337582693E-10</v>
      </c>
      <c r="S343" s="3">
        <f t="shared" si="350"/>
        <v>3.3546427215336384E-82</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5.2334789148442598E-2</v>
      </c>
      <c r="C344" s="3">
        <f t="shared" si="351"/>
        <v>5.2334789148442515E-2</v>
      </c>
      <c r="D344" s="3">
        <f t="shared" si="351"/>
        <v>5.2334789148441731E-2</v>
      </c>
      <c r="E344" s="3">
        <f t="shared" si="351"/>
        <v>5.2334789148433897E-2</v>
      </c>
      <c r="F344" s="3">
        <f t="shared" si="351"/>
        <v>5.2334789148355487E-2</v>
      </c>
      <c r="G344" s="3">
        <f t="shared" si="351"/>
        <v>5.2334789147571378E-2</v>
      </c>
      <c r="H344" s="3">
        <f t="shared" si="351"/>
        <v>5.2334789139730387E-2</v>
      </c>
      <c r="I344" s="3">
        <f t="shared" si="351"/>
        <v>5.2334789061320462E-2</v>
      </c>
      <c r="J344" s="3">
        <f t="shared" si="351"/>
        <v>5.2334788277221149E-2</v>
      </c>
      <c r="K344" s="3">
        <f t="shared" si="351"/>
        <v>5.2334780436228683E-2</v>
      </c>
      <c r="L344" s="3">
        <f t="shared" si="351"/>
        <v>5.2334702026368633E-2</v>
      </c>
      <c r="M344" s="3">
        <f t="shared" si="351"/>
        <v>5.2333917934229326E-2</v>
      </c>
      <c r="N344" s="3">
        <f t="shared" si="351"/>
        <v>5.2326077658918238E-2</v>
      </c>
      <c r="O344" s="3">
        <f t="shared" si="351"/>
        <v>5.2247739478202111E-2</v>
      </c>
      <c r="P344" s="3">
        <f t="shared" si="351"/>
        <v>5.1470779257956872E-2</v>
      </c>
      <c r="Q344" s="3">
        <f t="shared" si="351"/>
        <v>4.4309120054705969E-2</v>
      </c>
      <c r="R344" s="3">
        <f t="shared" si="351"/>
        <v>9.9041439658995294E-3</v>
      </c>
      <c r="S344" s="3">
        <f t="shared" si="351"/>
        <v>3.0835794088622464E-9</v>
      </c>
      <c r="T344" s="3">
        <f t="shared" si="351"/>
        <v>2.638985842276505E-74</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5.1279668394799138E-2</v>
      </c>
      <c r="C345" s="3">
        <f t="shared" si="352"/>
        <v>5.1279668394799131E-2</v>
      </c>
      <c r="D345" s="3">
        <f t="shared" si="352"/>
        <v>5.1279668394799062E-2</v>
      </c>
      <c r="E345" s="3">
        <f t="shared" si="352"/>
        <v>5.1279668394798368E-2</v>
      </c>
      <c r="F345" s="3">
        <f t="shared" si="352"/>
        <v>5.1279668394791436E-2</v>
      </c>
      <c r="G345" s="3">
        <f t="shared" si="352"/>
        <v>5.127966839472213E-2</v>
      </c>
      <c r="H345" s="3">
        <f t="shared" si="352"/>
        <v>5.1279668394029067E-2</v>
      </c>
      <c r="I345" s="3">
        <f t="shared" si="352"/>
        <v>5.1279668387098444E-2</v>
      </c>
      <c r="J345" s="3">
        <f t="shared" si="352"/>
        <v>5.1279668317792196E-2</v>
      </c>
      <c r="K345" s="3">
        <f t="shared" si="352"/>
        <v>5.1279667624729706E-2</v>
      </c>
      <c r="L345" s="3">
        <f t="shared" si="352"/>
        <v>5.1279660694105347E-2</v>
      </c>
      <c r="M345" s="3">
        <f t="shared" si="352"/>
        <v>5.1279591387913263E-2</v>
      </c>
      <c r="N345" s="3">
        <f t="shared" si="352"/>
        <v>5.1278898331144247E-2</v>
      </c>
      <c r="O345" s="3">
        <f t="shared" si="352"/>
        <v>5.1271968278609345E-2</v>
      </c>
      <c r="P345" s="3">
        <f t="shared" si="352"/>
        <v>5.1202719243035003E-2</v>
      </c>
      <c r="Q345" s="3">
        <f t="shared" si="352"/>
        <v>5.051535220920423E-2</v>
      </c>
      <c r="R345" s="3">
        <f t="shared" si="352"/>
        <v>4.412929413201741E-2</v>
      </c>
      <c r="S345" s="3">
        <f t="shared" si="352"/>
        <v>1.1422546499276051E-2</v>
      </c>
      <c r="T345" s="3">
        <f t="shared" si="352"/>
        <v>1.5421352832952238E-8</v>
      </c>
      <c r="U345" s="3">
        <f t="shared" si="352"/>
        <v>3.1025433919947214E-67</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6.7593769214043364E-2</v>
      </c>
      <c r="C346" s="3">
        <f t="shared" si="353"/>
        <v>6.7593769214043364E-2</v>
      </c>
      <c r="D346" s="3">
        <f t="shared" si="353"/>
        <v>6.759376921404335E-2</v>
      </c>
      <c r="E346" s="3">
        <f t="shared" si="353"/>
        <v>6.7593769214043281E-2</v>
      </c>
      <c r="F346" s="3">
        <f t="shared" si="353"/>
        <v>6.7593769214042448E-2</v>
      </c>
      <c r="G346" s="3">
        <f t="shared" si="353"/>
        <v>6.7593769214034205E-2</v>
      </c>
      <c r="H346" s="3">
        <f t="shared" si="353"/>
        <v>6.7593769213951799E-2</v>
      </c>
      <c r="I346" s="3">
        <f t="shared" si="353"/>
        <v>6.7593769213127694E-2</v>
      </c>
      <c r="J346" s="3">
        <f t="shared" si="353"/>
        <v>6.7593769204886689E-2</v>
      </c>
      <c r="K346" s="3">
        <f t="shared" si="353"/>
        <v>6.7593769122476582E-2</v>
      </c>
      <c r="L346" s="3">
        <f t="shared" si="353"/>
        <v>6.7593768298375587E-2</v>
      </c>
      <c r="M346" s="3">
        <f t="shared" si="353"/>
        <v>6.7593760057366142E-2</v>
      </c>
      <c r="N346" s="3">
        <f t="shared" si="353"/>
        <v>6.7593677647327002E-2</v>
      </c>
      <c r="O346" s="3">
        <f t="shared" si="353"/>
        <v>6.7592853552461654E-2</v>
      </c>
      <c r="P346" s="3">
        <f t="shared" si="353"/>
        <v>6.7584613156388182E-2</v>
      </c>
      <c r="Q346" s="3">
        <f t="shared" si="353"/>
        <v>6.7502264428732348E-2</v>
      </c>
      <c r="R346" s="3">
        <f t="shared" si="353"/>
        <v>6.6684275625320324E-2</v>
      </c>
      <c r="S346" s="3">
        <f t="shared" si="353"/>
        <v>5.9030219466417455E-2</v>
      </c>
      <c r="T346" s="3">
        <f t="shared" si="353"/>
        <v>1.7441506638146313E-2</v>
      </c>
      <c r="U346" s="3">
        <f t="shared" si="353"/>
        <v>8.8446366210217524E-8</v>
      </c>
      <c r="V346" s="3">
        <f t="shared" si="353"/>
        <v>9.9458056055036082E-61</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2.8423077323280126E-2</v>
      </c>
      <c r="C347" s="3">
        <f t="shared" si="354"/>
        <v>2.8423077323280126E-2</v>
      </c>
      <c r="D347" s="3">
        <f t="shared" si="354"/>
        <v>2.8423077323280126E-2</v>
      </c>
      <c r="E347" s="3">
        <f t="shared" si="354"/>
        <v>2.8423077323280123E-2</v>
      </c>
      <c r="F347" s="3">
        <f t="shared" si="354"/>
        <v>2.8423077323280092E-2</v>
      </c>
      <c r="G347" s="3">
        <f t="shared" si="354"/>
        <v>2.8423077323279779E-2</v>
      </c>
      <c r="H347" s="3">
        <f t="shared" si="354"/>
        <v>2.8423077323276653E-2</v>
      </c>
      <c r="I347" s="3">
        <f t="shared" si="354"/>
        <v>2.8423077323245394E-2</v>
      </c>
      <c r="J347" s="3">
        <f t="shared" si="354"/>
        <v>2.842307732293279E-2</v>
      </c>
      <c r="K347" s="3">
        <f t="shared" si="354"/>
        <v>2.8423077319806773E-2</v>
      </c>
      <c r="L347" s="3">
        <f t="shared" si="354"/>
        <v>2.8423077288546594E-2</v>
      </c>
      <c r="M347" s="3">
        <f t="shared" si="354"/>
        <v>2.8423076975944799E-2</v>
      </c>
      <c r="N347" s="3">
        <f t="shared" si="354"/>
        <v>2.8423073849927066E-2</v>
      </c>
      <c r="O347" s="3">
        <f t="shared" si="354"/>
        <v>2.8423042589768618E-2</v>
      </c>
      <c r="P347" s="3">
        <f t="shared" si="354"/>
        <v>2.8422729990075064E-2</v>
      </c>
      <c r="Q347" s="3">
        <f t="shared" si="354"/>
        <v>2.8419604182223553E-2</v>
      </c>
      <c r="R347" s="3">
        <f t="shared" si="354"/>
        <v>2.8388365004421059E-2</v>
      </c>
      <c r="S347" s="3">
        <f t="shared" si="354"/>
        <v>2.8077855628920061E-2</v>
      </c>
      <c r="T347" s="3">
        <f t="shared" si="354"/>
        <v>2.5153562193748244E-2</v>
      </c>
      <c r="U347" s="3">
        <f t="shared" si="354"/>
        <v>8.3744271160851869E-3</v>
      </c>
      <c r="V347" s="3">
        <f t="shared" si="354"/>
        <v>1.4012357307639547E-7</v>
      </c>
      <c r="W347" s="3">
        <f t="shared" si="354"/>
        <v>2.4103058886441187E-55</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4.9146519309700876E-2</v>
      </c>
      <c r="C348" s="3">
        <f t="shared" si="355"/>
        <v>4.9146519309700876E-2</v>
      </c>
      <c r="D348" s="3">
        <f t="shared" si="355"/>
        <v>4.9146519309700876E-2</v>
      </c>
      <c r="E348" s="3">
        <f t="shared" si="355"/>
        <v>4.9146519309700876E-2</v>
      </c>
      <c r="F348" s="3">
        <f t="shared" si="355"/>
        <v>4.9146519309700862E-2</v>
      </c>
      <c r="G348" s="3">
        <f t="shared" si="355"/>
        <v>4.9146519309700709E-2</v>
      </c>
      <c r="H348" s="3">
        <f t="shared" si="355"/>
        <v>4.9146519309699217E-2</v>
      </c>
      <c r="I348" s="3">
        <f t="shared" si="355"/>
        <v>4.9146519309684264E-2</v>
      </c>
      <c r="J348" s="3">
        <f t="shared" si="355"/>
        <v>4.9146519309534765E-2</v>
      </c>
      <c r="K348" s="3">
        <f t="shared" si="355"/>
        <v>4.9146519308039822E-2</v>
      </c>
      <c r="L348" s="3">
        <f t="shared" si="355"/>
        <v>4.914651929309035E-2</v>
      </c>
      <c r="M348" s="3">
        <f t="shared" si="355"/>
        <v>4.9146519143595579E-2</v>
      </c>
      <c r="N348" s="3">
        <f t="shared" si="355"/>
        <v>4.9146517648647907E-2</v>
      </c>
      <c r="O348" s="3">
        <f t="shared" si="355"/>
        <v>4.9146502699173755E-2</v>
      </c>
      <c r="P348" s="3">
        <f t="shared" si="355"/>
        <v>4.9146353204682303E-2</v>
      </c>
      <c r="Q348" s="3">
        <f t="shared" si="355"/>
        <v>4.9144858284777958E-2</v>
      </c>
      <c r="R348" s="3">
        <f t="shared" si="355"/>
        <v>4.912991158646908E-2</v>
      </c>
      <c r="S348" s="3">
        <f t="shared" si="355"/>
        <v>4.8980694395622797E-2</v>
      </c>
      <c r="T348" s="3">
        <f t="shared" si="355"/>
        <v>4.7513222849831047E-2</v>
      </c>
      <c r="U348" s="3">
        <f t="shared" si="355"/>
        <v>3.5051774625887606E-2</v>
      </c>
      <c r="V348" s="3">
        <f t="shared" si="355"/>
        <v>1.6736522210811838E-3</v>
      </c>
      <c r="W348" s="3">
        <f t="shared" si="355"/>
        <v>1.0309017905320672E-16</v>
      </c>
      <c r="X348" s="3">
        <f t="shared" si="355"/>
        <v>8.1047206670233644E-149</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3.1963681817399746E-2</v>
      </c>
      <c r="C349" s="3">
        <f t="shared" si="356"/>
        <v>3.1963681817399746E-2</v>
      </c>
      <c r="D349" s="3">
        <f t="shared" si="356"/>
        <v>3.1963681817399746E-2</v>
      </c>
      <c r="E349" s="3">
        <f t="shared" si="356"/>
        <v>3.1963681817399746E-2</v>
      </c>
      <c r="F349" s="3">
        <f t="shared" si="356"/>
        <v>3.1963681817399746E-2</v>
      </c>
      <c r="G349" s="3">
        <f t="shared" si="356"/>
        <v>3.1963681817399732E-2</v>
      </c>
      <c r="H349" s="3">
        <f t="shared" si="356"/>
        <v>3.1963681817399642E-2</v>
      </c>
      <c r="I349" s="3">
        <f t="shared" si="356"/>
        <v>3.196368181739867E-2</v>
      </c>
      <c r="J349" s="3">
        <f t="shared" si="356"/>
        <v>3.1963681817388942E-2</v>
      </c>
      <c r="K349" s="3">
        <f t="shared" si="356"/>
        <v>3.1963681817291714E-2</v>
      </c>
      <c r="L349" s="3">
        <f t="shared" si="356"/>
        <v>3.1963681816319436E-2</v>
      </c>
      <c r="M349" s="3">
        <f t="shared" si="356"/>
        <v>3.1963681806596665E-2</v>
      </c>
      <c r="N349" s="3">
        <f t="shared" si="356"/>
        <v>3.1963681709368967E-2</v>
      </c>
      <c r="O349" s="3">
        <f t="shared" si="356"/>
        <v>3.1963680737091937E-2</v>
      </c>
      <c r="P349" s="3">
        <f t="shared" si="356"/>
        <v>3.1963671014323333E-2</v>
      </c>
      <c r="Q349" s="3">
        <f t="shared" si="356"/>
        <v>3.1963573786799891E-2</v>
      </c>
      <c r="R349" s="3">
        <f t="shared" si="356"/>
        <v>3.196260152783148E-2</v>
      </c>
      <c r="S349" s="3">
        <f t="shared" si="356"/>
        <v>3.1952880564563357E-2</v>
      </c>
      <c r="T349" s="3">
        <f t="shared" si="356"/>
        <v>3.1855833390584641E-2</v>
      </c>
      <c r="U349" s="3">
        <f t="shared" si="356"/>
        <v>3.0901426156367415E-2</v>
      </c>
      <c r="V349" s="3">
        <f t="shared" si="356"/>
        <v>2.2796808136439653E-2</v>
      </c>
      <c r="W349" s="3">
        <f t="shared" si="356"/>
        <v>1.0885020509898838E-3</v>
      </c>
      <c r="X349" s="3">
        <f t="shared" si="356"/>
        <v>6.7047305242327708E-17</v>
      </c>
      <c r="Y349" s="3">
        <f t="shared" si="356"/>
        <v>5.2711100655403743E-149</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1.8386856006952675E-2</v>
      </c>
      <c r="C350" s="3">
        <f t="shared" si="357"/>
        <v>1.8386856006952675E-2</v>
      </c>
      <c r="D350" s="3">
        <f t="shared" si="357"/>
        <v>1.8386856006952675E-2</v>
      </c>
      <c r="E350" s="3">
        <f t="shared" si="357"/>
        <v>1.8386856006952675E-2</v>
      </c>
      <c r="F350" s="3">
        <f t="shared" si="357"/>
        <v>1.8386856006952675E-2</v>
      </c>
      <c r="G350" s="3">
        <f t="shared" si="357"/>
        <v>1.8386856006952675E-2</v>
      </c>
      <c r="H350" s="3">
        <f t="shared" si="357"/>
        <v>1.8386856006952668E-2</v>
      </c>
      <c r="I350" s="3">
        <f t="shared" si="357"/>
        <v>1.8386856006952612E-2</v>
      </c>
      <c r="J350" s="3">
        <f t="shared" si="357"/>
        <v>1.8386856006952054E-2</v>
      </c>
      <c r="K350" s="3">
        <f t="shared" si="357"/>
        <v>1.8386856006946461E-2</v>
      </c>
      <c r="L350" s="3">
        <f t="shared" si="357"/>
        <v>1.838685600689053E-2</v>
      </c>
      <c r="M350" s="3">
        <f t="shared" si="357"/>
        <v>1.8386856006331238E-2</v>
      </c>
      <c r="N350" s="3">
        <f t="shared" si="357"/>
        <v>1.8386856000738288E-2</v>
      </c>
      <c r="O350" s="3">
        <f t="shared" si="357"/>
        <v>1.8386855944808819E-2</v>
      </c>
      <c r="P350" s="3">
        <f t="shared" si="357"/>
        <v>1.8386855385514125E-2</v>
      </c>
      <c r="Q350" s="3">
        <f t="shared" si="357"/>
        <v>1.8386849792568122E-2</v>
      </c>
      <c r="R350" s="3">
        <f t="shared" si="357"/>
        <v>1.8386793863201675E-2</v>
      </c>
      <c r="S350" s="3">
        <f t="shared" si="357"/>
        <v>1.8386234578894073E-2</v>
      </c>
      <c r="T350" s="3">
        <f t="shared" si="357"/>
        <v>1.8380642671401035E-2</v>
      </c>
      <c r="U350" s="3">
        <f t="shared" si="357"/>
        <v>1.8324817049558653E-2</v>
      </c>
      <c r="V350" s="3">
        <f t="shared" si="357"/>
        <v>1.7775801811333081E-2</v>
      </c>
      <c r="W350" s="3">
        <f t="shared" si="357"/>
        <v>1.3113684181234349E-2</v>
      </c>
      <c r="X350" s="3">
        <f t="shared" si="357"/>
        <v>6.2615222455157725E-4</v>
      </c>
      <c r="Y350" s="3">
        <f t="shared" si="357"/>
        <v>3.8568433830229215E-17</v>
      </c>
      <c r="Z350" s="3">
        <f t="shared" si="357"/>
        <v>3.032164514887983E-149</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9.0608848838832357E-3</v>
      </c>
      <c r="C351" s="3">
        <f t="shared" si="358"/>
        <v>9.0608848838832357E-3</v>
      </c>
      <c r="D351" s="3">
        <f t="shared" si="358"/>
        <v>9.0608848838832357E-3</v>
      </c>
      <c r="E351" s="3">
        <f t="shared" si="358"/>
        <v>9.0608848838832357E-3</v>
      </c>
      <c r="F351" s="3">
        <f t="shared" si="358"/>
        <v>9.0608848838832357E-3</v>
      </c>
      <c r="G351" s="3">
        <f t="shared" si="358"/>
        <v>9.0608848838832357E-3</v>
      </c>
      <c r="H351" s="3">
        <f t="shared" si="358"/>
        <v>9.0608848838832357E-3</v>
      </c>
      <c r="I351" s="3">
        <f t="shared" si="358"/>
        <v>9.0608848838832322E-3</v>
      </c>
      <c r="J351" s="3">
        <f t="shared" si="358"/>
        <v>9.0608848838832062E-3</v>
      </c>
      <c r="K351" s="3">
        <f t="shared" si="358"/>
        <v>9.0608848838829303E-3</v>
      </c>
      <c r="L351" s="3">
        <f t="shared" si="358"/>
        <v>9.0608848838801739E-3</v>
      </c>
      <c r="M351" s="3">
        <f t="shared" si="358"/>
        <v>9.0608848838526108E-3</v>
      </c>
      <c r="N351" s="3">
        <f t="shared" si="358"/>
        <v>9.0608848835769962E-3</v>
      </c>
      <c r="O351" s="3">
        <f t="shared" si="358"/>
        <v>9.0608848808208398E-3</v>
      </c>
      <c r="P351" s="3">
        <f t="shared" si="358"/>
        <v>9.0608848532592774E-3</v>
      </c>
      <c r="Q351" s="3">
        <f t="shared" si="358"/>
        <v>9.0608845776436499E-3</v>
      </c>
      <c r="R351" s="3">
        <f t="shared" si="358"/>
        <v>9.060881821487848E-3</v>
      </c>
      <c r="S351" s="3">
        <f t="shared" si="358"/>
        <v>9.0608542599759263E-3</v>
      </c>
      <c r="T351" s="3">
        <f t="shared" si="358"/>
        <v>9.0605786494677119E-3</v>
      </c>
      <c r="U351" s="3">
        <f t="shared" si="358"/>
        <v>9.0578230054328326E-3</v>
      </c>
      <c r="V351" s="3">
        <f t="shared" si="358"/>
        <v>9.0303126179639946E-3</v>
      </c>
      <c r="W351" s="3">
        <f t="shared" si="358"/>
        <v>8.7597626190311362E-3</v>
      </c>
      <c r="X351" s="3">
        <f t="shared" si="358"/>
        <v>6.4623110511571246E-3</v>
      </c>
      <c r="Y351" s="3">
        <f t="shared" si="358"/>
        <v>3.0856244397105812E-4</v>
      </c>
      <c r="Z351" s="3">
        <f t="shared" si="358"/>
        <v>1.9006193280418948E-17</v>
      </c>
      <c r="AA351" s="3">
        <f t="shared" si="358"/>
        <v>1.4942246574404461E-149</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3.4752911115110466E-3</v>
      </c>
      <c r="C352" s="3">
        <f t="shared" si="359"/>
        <v>3.4752911115110466E-3</v>
      </c>
      <c r="D352" s="3">
        <f t="shared" si="359"/>
        <v>3.4752911115110466E-3</v>
      </c>
      <c r="E352" s="3">
        <f t="shared" si="359"/>
        <v>3.4752911115110466E-3</v>
      </c>
      <c r="F352" s="3">
        <f t="shared" si="359"/>
        <v>3.4752911115110466E-3</v>
      </c>
      <c r="G352" s="3">
        <f t="shared" si="359"/>
        <v>3.4752911115110466E-3</v>
      </c>
      <c r="H352" s="3">
        <f t="shared" si="359"/>
        <v>3.4752911115110466E-3</v>
      </c>
      <c r="I352" s="3">
        <f t="shared" si="359"/>
        <v>3.4752911115110466E-3</v>
      </c>
      <c r="J352" s="3">
        <f t="shared" si="359"/>
        <v>3.4752911115110453E-3</v>
      </c>
      <c r="K352" s="3">
        <f t="shared" si="359"/>
        <v>3.4752911115110349E-3</v>
      </c>
      <c r="L352" s="3">
        <f t="shared" si="359"/>
        <v>3.4752911115109295E-3</v>
      </c>
      <c r="M352" s="3">
        <f t="shared" si="359"/>
        <v>3.4752911115098722E-3</v>
      </c>
      <c r="N352" s="3">
        <f t="shared" si="359"/>
        <v>3.4752911114993008E-3</v>
      </c>
      <c r="O352" s="3">
        <f t="shared" si="359"/>
        <v>3.4752911113935889E-3</v>
      </c>
      <c r="P352" s="3">
        <f t="shared" si="359"/>
        <v>3.4752911103364684E-3</v>
      </c>
      <c r="Q352" s="3">
        <f t="shared" si="359"/>
        <v>3.4752910997652656E-3</v>
      </c>
      <c r="R352" s="3">
        <f t="shared" si="359"/>
        <v>3.4752909940532349E-3</v>
      </c>
      <c r="S352" s="3">
        <f t="shared" si="359"/>
        <v>3.47528993693311E-3</v>
      </c>
      <c r="T352" s="3">
        <f t="shared" si="359"/>
        <v>3.4752793657495417E-3</v>
      </c>
      <c r="U352" s="3">
        <f t="shared" si="359"/>
        <v>3.4751736556823997E-3</v>
      </c>
      <c r="V352" s="3">
        <f t="shared" si="359"/>
        <v>3.4741167318450895E-3</v>
      </c>
      <c r="W352" s="3">
        <f t="shared" si="359"/>
        <v>3.4635651569967282E-3</v>
      </c>
      <c r="X352" s="3">
        <f t="shared" si="359"/>
        <v>3.3597960418871096E-3</v>
      </c>
      <c r="Y352" s="3">
        <f t="shared" si="359"/>
        <v>2.4786113545988381E-3</v>
      </c>
      <c r="Z352" s="3">
        <f t="shared" si="359"/>
        <v>1.183487410579669E-4</v>
      </c>
      <c r="AA352" s="3">
        <f t="shared" si="359"/>
        <v>7.2898017597143273E-18</v>
      </c>
      <c r="AB352" s="3">
        <f t="shared" si="359"/>
        <v>5.731080062434153E-150</v>
      </c>
      <c r="AC352" s="3">
        <f t="shared" si="359"/>
        <v>0</v>
      </c>
      <c r="AD352" s="3">
        <f t="shared" si="359"/>
        <v>0</v>
      </c>
      <c r="AE352" s="3">
        <f t="shared" si="359"/>
        <v>0</v>
      </c>
      <c r="AF352" s="3">
        <f t="shared" si="359"/>
        <v>0</v>
      </c>
      <c r="AG352" s="3"/>
      <c r="AH352" s="3"/>
    </row>
    <row r="353" spans="1:34" x14ac:dyDescent="0.25">
      <c r="B353" s="3">
        <f t="shared" ref="B353:AF353" si="360">$C44*EXP(-B$363/$A44/EXP(-$G$126))</f>
        <v>3.7189183043806369E-3</v>
      </c>
      <c r="C353" s="3">
        <f t="shared" si="360"/>
        <v>3.7189183043806369E-3</v>
      </c>
      <c r="D353" s="3">
        <f t="shared" si="360"/>
        <v>3.7189183043806369E-3</v>
      </c>
      <c r="E353" s="3">
        <f t="shared" si="360"/>
        <v>3.7189183043806369E-3</v>
      </c>
      <c r="F353" s="3">
        <f t="shared" si="360"/>
        <v>3.7189183043806369E-3</v>
      </c>
      <c r="G353" s="3">
        <f t="shared" si="360"/>
        <v>3.7189183043806369E-3</v>
      </c>
      <c r="H353" s="3">
        <f t="shared" si="360"/>
        <v>3.7189183043806369E-3</v>
      </c>
      <c r="I353" s="3">
        <f t="shared" si="360"/>
        <v>3.7189183043806369E-3</v>
      </c>
      <c r="J353" s="3">
        <f t="shared" si="360"/>
        <v>3.7189183043806369E-3</v>
      </c>
      <c r="K353" s="3">
        <f t="shared" si="360"/>
        <v>3.7189183043806356E-3</v>
      </c>
      <c r="L353" s="3">
        <f t="shared" si="360"/>
        <v>3.7189183043806243E-3</v>
      </c>
      <c r="M353" s="3">
        <f t="shared" si="360"/>
        <v>3.7189183043805116E-3</v>
      </c>
      <c r="N353" s="3">
        <f t="shared" si="360"/>
        <v>3.7189183043793801E-3</v>
      </c>
      <c r="O353" s="3">
        <f t="shared" si="360"/>
        <v>3.7189183043680675E-3</v>
      </c>
      <c r="P353" s="3">
        <f t="shared" si="360"/>
        <v>3.7189183042549449E-3</v>
      </c>
      <c r="Q353" s="3">
        <f t="shared" si="360"/>
        <v>3.7189183031237178E-3</v>
      </c>
      <c r="R353" s="3">
        <f t="shared" si="360"/>
        <v>3.7189182918114451E-3</v>
      </c>
      <c r="S353" s="3">
        <f t="shared" si="360"/>
        <v>3.7189181786887186E-3</v>
      </c>
      <c r="T353" s="3">
        <f t="shared" si="360"/>
        <v>3.7189170474616483E-3</v>
      </c>
      <c r="U353" s="3">
        <f t="shared" si="360"/>
        <v>3.7189057352098659E-3</v>
      </c>
      <c r="V353" s="3">
        <f t="shared" si="360"/>
        <v>3.718792614584561E-3</v>
      </c>
      <c r="W353" s="3">
        <f t="shared" si="360"/>
        <v>3.7176615975621622E-3</v>
      </c>
      <c r="X353" s="3">
        <f t="shared" si="360"/>
        <v>3.7063703291231992E-3</v>
      </c>
      <c r="Y353" s="3">
        <f t="shared" si="360"/>
        <v>3.5953267217740726E-3</v>
      </c>
      <c r="Z353" s="3">
        <f t="shared" si="360"/>
        <v>2.6523686333877945E-3</v>
      </c>
      <c r="AA353" s="3">
        <f t="shared" si="360"/>
        <v>1.2664530403310887E-4</v>
      </c>
      <c r="AB353" s="3">
        <f t="shared" si="360"/>
        <v>7.8008363413677765E-18</v>
      </c>
      <c r="AC353" s="3">
        <f t="shared" si="360"/>
        <v>6.1328440882151833E-150</v>
      </c>
      <c r="AD353" s="3">
        <f t="shared" si="360"/>
        <v>0</v>
      </c>
      <c r="AE353" s="3">
        <f t="shared" si="360"/>
        <v>0</v>
      </c>
      <c r="AF353" s="3">
        <f t="shared" si="360"/>
        <v>0</v>
      </c>
      <c r="AG353" s="3"/>
      <c r="AH353" s="3"/>
    </row>
    <row r="354" spans="1:34" x14ac:dyDescent="0.25">
      <c r="B354" s="3">
        <f t="shared" ref="B354:AF354" si="361">$C45*EXP(-B$363/$A45/EXP(-$G$126))</f>
        <v>9.6569507815885117E-4</v>
      </c>
      <c r="C354" s="3">
        <f t="shared" si="361"/>
        <v>9.6569507815885117E-4</v>
      </c>
      <c r="D354" s="3">
        <f t="shared" si="361"/>
        <v>9.6569507815885117E-4</v>
      </c>
      <c r="E354" s="3">
        <f t="shared" si="361"/>
        <v>9.6569507815885117E-4</v>
      </c>
      <c r="F354" s="3">
        <f t="shared" si="361"/>
        <v>9.6569507815885117E-4</v>
      </c>
      <c r="G354" s="3">
        <f t="shared" si="361"/>
        <v>9.6569507815885117E-4</v>
      </c>
      <c r="H354" s="3">
        <f t="shared" si="361"/>
        <v>9.6569507815885117E-4</v>
      </c>
      <c r="I354" s="3">
        <f t="shared" si="361"/>
        <v>9.6569507815885117E-4</v>
      </c>
      <c r="J354" s="3">
        <f t="shared" si="361"/>
        <v>9.6569507815885117E-4</v>
      </c>
      <c r="K354" s="3">
        <f t="shared" si="361"/>
        <v>9.6569507815885117E-4</v>
      </c>
      <c r="L354" s="3">
        <f t="shared" si="361"/>
        <v>9.6569507815885084E-4</v>
      </c>
      <c r="M354" s="3">
        <f t="shared" si="361"/>
        <v>9.6569507815884791E-4</v>
      </c>
      <c r="N354" s="3">
        <f t="shared" si="361"/>
        <v>9.6569507815881853E-4</v>
      </c>
      <c r="O354" s="3">
        <f t="shared" si="361"/>
        <v>9.6569507815852482E-4</v>
      </c>
      <c r="P354" s="3">
        <f t="shared" si="361"/>
        <v>9.6569507815558728E-4</v>
      </c>
      <c r="Q354" s="3">
        <f t="shared" si="361"/>
        <v>9.6569507812621267E-4</v>
      </c>
      <c r="R354" s="3">
        <f t="shared" si="361"/>
        <v>9.6569507783246576E-4</v>
      </c>
      <c r="S354" s="3">
        <f t="shared" si="361"/>
        <v>9.6569507489499714E-4</v>
      </c>
      <c r="T354" s="3">
        <f t="shared" si="361"/>
        <v>9.6569504552031042E-4</v>
      </c>
      <c r="U354" s="3">
        <f t="shared" si="361"/>
        <v>9.6569475177349351E-4</v>
      </c>
      <c r="V354" s="3">
        <f t="shared" si="361"/>
        <v>9.6569181431023802E-4</v>
      </c>
      <c r="W354" s="3">
        <f t="shared" si="361"/>
        <v>9.6566244016911573E-4</v>
      </c>
      <c r="X354" s="3">
        <f t="shared" si="361"/>
        <v>9.6536874789559688E-4</v>
      </c>
      <c r="Y354" s="3">
        <f t="shared" si="361"/>
        <v>9.6243673340503039E-4</v>
      </c>
      <c r="Z354" s="3">
        <f t="shared" si="361"/>
        <v>9.3360193352471559E-4</v>
      </c>
      <c r="AA354" s="3">
        <f t="shared" si="361"/>
        <v>6.8874310352781297E-4</v>
      </c>
      <c r="AB354" s="3">
        <f t="shared" si="361"/>
        <v>3.2886107401886846E-5</v>
      </c>
      <c r="AC354" s="3">
        <f t="shared" si="361"/>
        <v>2.0256506445726228E-18</v>
      </c>
      <c r="AD354" s="3">
        <f t="shared" si="361"/>
        <v>1.5925214985574571E-150</v>
      </c>
      <c r="AE354" s="3">
        <f t="shared" si="361"/>
        <v>0</v>
      </c>
      <c r="AF354" s="3">
        <f t="shared" si="361"/>
        <v>0</v>
      </c>
      <c r="AG354" s="3"/>
      <c r="AH354" s="3"/>
    </row>
    <row r="355" spans="1:34" x14ac:dyDescent="0.25">
      <c r="B355" s="3">
        <f t="shared" ref="B355:AF355" si="362">$C46*EXP(-B$363/$A46/EXP(-$G$126))</f>
        <v>6.3325792141422034E-4</v>
      </c>
      <c r="C355" s="3">
        <f t="shared" si="362"/>
        <v>6.3325792141422034E-4</v>
      </c>
      <c r="D355" s="3">
        <f t="shared" si="362"/>
        <v>6.3325792141422034E-4</v>
      </c>
      <c r="E355" s="3">
        <f t="shared" si="362"/>
        <v>6.3325792141422034E-4</v>
      </c>
      <c r="F355" s="3">
        <f t="shared" si="362"/>
        <v>6.3325792141422034E-4</v>
      </c>
      <c r="G355" s="3">
        <f t="shared" si="362"/>
        <v>6.3325792141422034E-4</v>
      </c>
      <c r="H355" s="3">
        <f t="shared" si="362"/>
        <v>6.3325792141422034E-4</v>
      </c>
      <c r="I355" s="3">
        <f t="shared" si="362"/>
        <v>6.3325792141422034E-4</v>
      </c>
      <c r="J355" s="3">
        <f t="shared" si="362"/>
        <v>6.3325792141422034E-4</v>
      </c>
      <c r="K355" s="3">
        <f t="shared" si="362"/>
        <v>6.3325792141422034E-4</v>
      </c>
      <c r="L355" s="3">
        <f t="shared" si="362"/>
        <v>6.3325792141422034E-4</v>
      </c>
      <c r="M355" s="3">
        <f t="shared" si="362"/>
        <v>6.3325792141422012E-4</v>
      </c>
      <c r="N355" s="3">
        <f t="shared" si="362"/>
        <v>6.3325792141421828E-4</v>
      </c>
      <c r="O355" s="3">
        <f t="shared" si="362"/>
        <v>6.3325792141419898E-4</v>
      </c>
      <c r="P355" s="3">
        <f t="shared" si="362"/>
        <v>6.3325792141400632E-4</v>
      </c>
      <c r="Q355" s="3">
        <f t="shared" si="362"/>
        <v>6.3325792141208002E-4</v>
      </c>
      <c r="R355" s="3">
        <f t="shared" si="362"/>
        <v>6.3325792139281754E-4</v>
      </c>
      <c r="S355" s="3">
        <f t="shared" si="362"/>
        <v>6.33257921200192E-4</v>
      </c>
      <c r="T355" s="3">
        <f t="shared" si="362"/>
        <v>6.3325791927393662E-4</v>
      </c>
      <c r="U355" s="3">
        <f t="shared" si="362"/>
        <v>6.3325790001138315E-4</v>
      </c>
      <c r="V355" s="3">
        <f t="shared" si="362"/>
        <v>6.3325770738588178E-4</v>
      </c>
      <c r="W355" s="3">
        <f t="shared" si="362"/>
        <v>6.3325578113408915E-4</v>
      </c>
      <c r="X355" s="3">
        <f t="shared" si="362"/>
        <v>6.3323651893842188E-4</v>
      </c>
      <c r="Y355" s="3">
        <f t="shared" si="362"/>
        <v>6.3304392920397008E-4</v>
      </c>
      <c r="Z355" s="3">
        <f t="shared" si="362"/>
        <v>6.3112125045801186E-4</v>
      </c>
      <c r="AA355" s="3">
        <f t="shared" si="362"/>
        <v>6.1221272969448409E-4</v>
      </c>
      <c r="AB355" s="3">
        <f t="shared" si="362"/>
        <v>4.5164569644483326E-4</v>
      </c>
      <c r="AC355" s="3">
        <f t="shared" si="362"/>
        <v>2.1565179825114544E-5</v>
      </c>
      <c r="AD355" s="3">
        <f t="shared" si="362"/>
        <v>1.3283274873255886E-18</v>
      </c>
      <c r="AE355" s="3">
        <f t="shared" si="362"/>
        <v>1.0443015365747429E-150</v>
      </c>
      <c r="AF355" s="3">
        <f t="shared" si="362"/>
        <v>0</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2.585470347840544E-2</v>
      </c>
      <c r="C357" s="3">
        <f t="shared" si="364"/>
        <v>2.585470347840544E-2</v>
      </c>
      <c r="D357" s="3">
        <f t="shared" si="364"/>
        <v>2.585470347840544E-2</v>
      </c>
      <c r="E357" s="3">
        <f t="shared" si="364"/>
        <v>2.585470347840544E-2</v>
      </c>
      <c r="F357" s="3">
        <f t="shared" si="364"/>
        <v>2.585470347840544E-2</v>
      </c>
      <c r="G357" s="3">
        <f t="shared" si="364"/>
        <v>2.585470347840544E-2</v>
      </c>
      <c r="H357" s="3">
        <f t="shared" si="364"/>
        <v>2.585470347840544E-2</v>
      </c>
      <c r="I357" s="3">
        <f t="shared" si="364"/>
        <v>2.585470347840544E-2</v>
      </c>
      <c r="J357" s="3">
        <f t="shared" si="364"/>
        <v>2.585470347840544E-2</v>
      </c>
      <c r="K357" s="3">
        <f t="shared" si="364"/>
        <v>2.585470347840544E-2</v>
      </c>
      <c r="L357" s="3">
        <f t="shared" si="364"/>
        <v>2.585470347840544E-2</v>
      </c>
      <c r="M357" s="3">
        <f t="shared" si="364"/>
        <v>2.585470347840544E-2</v>
      </c>
      <c r="N357" s="3">
        <f t="shared" si="364"/>
        <v>2.585470347840544E-2</v>
      </c>
      <c r="O357" s="3">
        <f t="shared" si="364"/>
        <v>2.5854703478405433E-2</v>
      </c>
      <c r="P357" s="3">
        <f t="shared" si="364"/>
        <v>2.5854703478405353E-2</v>
      </c>
      <c r="Q357" s="3">
        <f t="shared" si="364"/>
        <v>2.5854703478404566E-2</v>
      </c>
      <c r="R357" s="3">
        <f t="shared" si="364"/>
        <v>2.5854703478396704E-2</v>
      </c>
      <c r="S357" s="3">
        <f t="shared" si="364"/>
        <v>2.5854703478318055E-2</v>
      </c>
      <c r="T357" s="3">
        <f t="shared" si="364"/>
        <v>2.5854703477531604E-2</v>
      </c>
      <c r="U357" s="3">
        <f t="shared" si="364"/>
        <v>2.5854703469667072E-2</v>
      </c>
      <c r="V357" s="3">
        <f t="shared" si="364"/>
        <v>2.585470339102177E-2</v>
      </c>
      <c r="W357" s="3">
        <f t="shared" si="364"/>
        <v>2.5854702604568746E-2</v>
      </c>
      <c r="X357" s="3">
        <f t="shared" si="364"/>
        <v>2.585469474003985E-2</v>
      </c>
      <c r="Y357" s="3">
        <f t="shared" si="364"/>
        <v>2.5854616094882422E-2</v>
      </c>
      <c r="Z357" s="3">
        <f t="shared" si="364"/>
        <v>2.5853829656465339E-2</v>
      </c>
      <c r="AA357" s="3">
        <f t="shared" si="364"/>
        <v>2.5845966587865876E-2</v>
      </c>
      <c r="AB357" s="3">
        <f t="shared" si="364"/>
        <v>2.5767467311062567E-2</v>
      </c>
      <c r="AC357" s="3">
        <f t="shared" si="364"/>
        <v>2.4995468760354342E-2</v>
      </c>
      <c r="AD357" s="3">
        <f t="shared" si="364"/>
        <v>1.8439825486590206E-2</v>
      </c>
      <c r="AE357" s="3">
        <f t="shared" si="364"/>
        <v>8.8046483270458982E-4</v>
      </c>
      <c r="AF357" s="3">
        <f t="shared" si="364"/>
        <v>5.4233057567319424E-17</v>
      </c>
      <c r="AG357" s="3"/>
      <c r="AH357" s="3"/>
    </row>
    <row r="358" spans="1:34" x14ac:dyDescent="0.25">
      <c r="A358" s="79">
        <f>AVERAGE(B358:AF358)</f>
        <v>4.2250640472697642E-3</v>
      </c>
      <c r="B358" s="80">
        <f>IF($A$64&lt;=B324,IF($B$64&gt;=B324,ABS((B326-B325)/B325),0),0)</f>
        <v>0</v>
      </c>
      <c r="C358" s="80">
        <f t="shared" ref="C358:AF358" si="365">IF($A$64&lt;=C324,IF($B$64&gt;=C324,ABS((C326-C325)/C325),0),0)</f>
        <v>0</v>
      </c>
      <c r="D358" s="80">
        <f t="shared" si="365"/>
        <v>0</v>
      </c>
      <c r="E358" s="80">
        <f t="shared" si="365"/>
        <v>0</v>
      </c>
      <c r="F358" s="80">
        <f t="shared" si="365"/>
        <v>0</v>
      </c>
      <c r="G358" s="80">
        <f t="shared" si="365"/>
        <v>0</v>
      </c>
      <c r="H358" s="80">
        <f t="shared" si="365"/>
        <v>0</v>
      </c>
      <c r="I358" s="80">
        <f t="shared" si="365"/>
        <v>0</v>
      </c>
      <c r="J358" s="80">
        <f t="shared" si="365"/>
        <v>0</v>
      </c>
      <c r="K358" s="80">
        <f t="shared" si="365"/>
        <v>0</v>
      </c>
      <c r="L358" s="80">
        <f t="shared" si="365"/>
        <v>4.3598242580687643E-3</v>
      </c>
      <c r="M358" s="80">
        <f t="shared" si="365"/>
        <v>5.8300799228751983E-3</v>
      </c>
      <c r="N358" s="80">
        <f t="shared" si="365"/>
        <v>4.4748627572399769E-3</v>
      </c>
      <c r="O358" s="80">
        <f t="shared" si="365"/>
        <v>3.2140785945840755E-3</v>
      </c>
      <c r="P358" s="80">
        <f t="shared" si="365"/>
        <v>8.4149589308389321E-3</v>
      </c>
      <c r="Q358" s="80">
        <f t="shared" si="365"/>
        <v>1.6445217829850672E-2</v>
      </c>
      <c r="R358" s="80">
        <f t="shared" si="365"/>
        <v>1.7047590192350113E-2</v>
      </c>
      <c r="S358" s="80">
        <f t="shared" si="365"/>
        <v>1.3541128201236586E-3</v>
      </c>
      <c r="T358" s="80">
        <f t="shared" si="365"/>
        <v>2.2942435509346213E-3</v>
      </c>
      <c r="U358" s="80">
        <f t="shared" si="365"/>
        <v>5.8154090764243473E-2</v>
      </c>
      <c r="V358" s="80">
        <f t="shared" si="365"/>
        <v>9.3879258442531865E-3</v>
      </c>
      <c r="W358" s="80">
        <f t="shared" si="365"/>
        <v>0</v>
      </c>
      <c r="X358" s="80">
        <f t="shared" si="365"/>
        <v>0</v>
      </c>
      <c r="Y358" s="80">
        <f t="shared" si="365"/>
        <v>0</v>
      </c>
      <c r="Z358" s="80">
        <f t="shared" si="365"/>
        <v>0</v>
      </c>
      <c r="AA358" s="80">
        <f t="shared" si="365"/>
        <v>0</v>
      </c>
      <c r="AB358" s="80">
        <f t="shared" si="365"/>
        <v>0</v>
      </c>
      <c r="AC358" s="80">
        <f t="shared" si="365"/>
        <v>0</v>
      </c>
      <c r="AD358" s="80">
        <f t="shared" si="365"/>
        <v>0</v>
      </c>
      <c r="AE358" s="80">
        <f t="shared" si="365"/>
        <v>0</v>
      </c>
      <c r="AF358" s="80">
        <f t="shared" si="365"/>
        <v>0</v>
      </c>
    </row>
    <row r="359" spans="1:34" x14ac:dyDescent="0.25">
      <c r="B359" s="21">
        <f>(B326-B325)^2</f>
        <v>858.22892822423182</v>
      </c>
      <c r="C359" s="21">
        <f t="shared" ref="C359:AF359" si="366">(C326-C325)^2</f>
        <v>3493.4875730644412</v>
      </c>
      <c r="D359" s="21">
        <f t="shared" si="366"/>
        <v>3219.7744055416588</v>
      </c>
      <c r="E359" s="21">
        <f t="shared" si="366"/>
        <v>2927.6631224583243</v>
      </c>
      <c r="F359" s="21">
        <f t="shared" si="366"/>
        <v>3459.3468251110385</v>
      </c>
      <c r="G359" s="21">
        <f t="shared" si="366"/>
        <v>3644.4848739643007</v>
      </c>
      <c r="H359" s="21">
        <f t="shared" si="366"/>
        <v>2676.1487919232386</v>
      </c>
      <c r="I359" s="21">
        <f t="shared" si="366"/>
        <v>1326.109654059655</v>
      </c>
      <c r="J359" s="21">
        <f t="shared" si="366"/>
        <v>1332.9979289423345</v>
      </c>
      <c r="K359" s="21">
        <f t="shared" si="366"/>
        <v>1033.8889986118859</v>
      </c>
      <c r="L359" s="21">
        <f t="shared" si="366"/>
        <v>572.27527734593559</v>
      </c>
      <c r="M359" s="21">
        <f t="shared" si="366"/>
        <v>923.03343179611261</v>
      </c>
      <c r="N359" s="21">
        <f t="shared" si="366"/>
        <v>485.49961119838906</v>
      </c>
      <c r="O359" s="21">
        <f t="shared" si="366"/>
        <v>217.07282715658465</v>
      </c>
      <c r="P359" s="21">
        <f t="shared" si="366"/>
        <v>1261.749028859449</v>
      </c>
      <c r="Q359" s="21">
        <f t="shared" si="366"/>
        <v>3884.5734453326922</v>
      </c>
      <c r="R359" s="21">
        <f t="shared" si="366"/>
        <v>3133.9890937036134</v>
      </c>
      <c r="S359" s="21">
        <f t="shared" si="366"/>
        <v>13.513148155633246</v>
      </c>
      <c r="T359" s="21">
        <f t="shared" si="366"/>
        <v>23.66407989221441</v>
      </c>
      <c r="U359" s="21">
        <f t="shared" si="366"/>
        <v>8116.8894399155743</v>
      </c>
      <c r="V359" s="21">
        <f t="shared" si="366"/>
        <v>109.58039313171793</v>
      </c>
      <c r="W359" s="21">
        <f t="shared" si="366"/>
        <v>302.11145648443846</v>
      </c>
      <c r="X359" s="21">
        <f t="shared" si="366"/>
        <v>1.8460733668919629</v>
      </c>
      <c r="Y359" s="21">
        <f t="shared" si="366"/>
        <v>6.7288948227328884</v>
      </c>
      <c r="Z359" s="21">
        <f t="shared" si="366"/>
        <v>2.6294074085647572</v>
      </c>
      <c r="AA359" s="21">
        <f t="shared" si="366"/>
        <v>0.50575692441034192</v>
      </c>
      <c r="AB359" s="21">
        <f t="shared" si="366"/>
        <v>7.118291861110816E-3</v>
      </c>
      <c r="AC359" s="21">
        <f t="shared" si="366"/>
        <v>28.012203196141503</v>
      </c>
      <c r="AD359" s="21">
        <f t="shared" si="366"/>
        <v>1674.2252483846123</v>
      </c>
      <c r="AE359" s="21">
        <f t="shared" si="366"/>
        <v>46873.17466172899</v>
      </c>
      <c r="AF359" s="21">
        <f t="shared" si="366"/>
        <v>50737.74200069096</v>
      </c>
      <c r="AG359" s="3"/>
      <c r="AH359" s="3"/>
    </row>
    <row r="360" spans="1:34" x14ac:dyDescent="0.25">
      <c r="A360" s="71">
        <f>SUM(B360:AF360)</f>
        <v>18741.839776487916</v>
      </c>
      <c r="B360" s="60">
        <f>IF($A$64&lt;=B324,IF($B$64&gt;=B324,ABS(B359),0),0)</f>
        <v>0</v>
      </c>
      <c r="C360" s="60">
        <f t="shared" ref="C360:AF360" si="367">IF($A$64&lt;=C324,IF($B$64&gt;=C324,ABS(C359),0),0)</f>
        <v>0</v>
      </c>
      <c r="D360" s="60">
        <f t="shared" si="367"/>
        <v>0</v>
      </c>
      <c r="E360" s="60">
        <f t="shared" si="367"/>
        <v>0</v>
      </c>
      <c r="F360" s="60">
        <f t="shared" si="367"/>
        <v>0</v>
      </c>
      <c r="G360" s="60">
        <f t="shared" si="367"/>
        <v>0</v>
      </c>
      <c r="H360" s="60">
        <f t="shared" si="367"/>
        <v>0</v>
      </c>
      <c r="I360" s="60">
        <f t="shared" si="367"/>
        <v>0</v>
      </c>
      <c r="J360" s="60">
        <f t="shared" si="367"/>
        <v>0</v>
      </c>
      <c r="K360" s="60">
        <f t="shared" si="367"/>
        <v>0</v>
      </c>
      <c r="L360" s="60">
        <f t="shared" si="367"/>
        <v>572.27527734593559</v>
      </c>
      <c r="M360" s="60">
        <f t="shared" si="367"/>
        <v>923.03343179611261</v>
      </c>
      <c r="N360" s="60">
        <f t="shared" si="367"/>
        <v>485.49961119838906</v>
      </c>
      <c r="O360" s="60">
        <f t="shared" si="367"/>
        <v>217.07282715658465</v>
      </c>
      <c r="P360" s="60">
        <f t="shared" si="367"/>
        <v>1261.749028859449</v>
      </c>
      <c r="Q360" s="60">
        <f t="shared" si="367"/>
        <v>3884.5734453326922</v>
      </c>
      <c r="R360" s="60">
        <f t="shared" si="367"/>
        <v>3133.9890937036134</v>
      </c>
      <c r="S360" s="60">
        <f t="shared" si="367"/>
        <v>13.513148155633246</v>
      </c>
      <c r="T360" s="60">
        <f t="shared" si="367"/>
        <v>23.66407989221441</v>
      </c>
      <c r="U360" s="60">
        <f t="shared" si="367"/>
        <v>8116.8894399155743</v>
      </c>
      <c r="V360" s="60">
        <f t="shared" si="367"/>
        <v>109.58039313171793</v>
      </c>
      <c r="W360" s="60">
        <f t="shared" si="367"/>
        <v>0</v>
      </c>
      <c r="X360" s="60">
        <f t="shared" si="367"/>
        <v>0</v>
      </c>
      <c r="Y360" s="60">
        <f t="shared" si="367"/>
        <v>0</v>
      </c>
      <c r="Z360" s="60">
        <f t="shared" si="367"/>
        <v>0</v>
      </c>
      <c r="AA360" s="60">
        <f t="shared" si="367"/>
        <v>0</v>
      </c>
      <c r="AB360" s="60">
        <f t="shared" si="367"/>
        <v>0</v>
      </c>
      <c r="AC360" s="60">
        <f t="shared" si="367"/>
        <v>0</v>
      </c>
      <c r="AD360" s="60">
        <f t="shared" si="367"/>
        <v>0</v>
      </c>
      <c r="AE360" s="60">
        <f t="shared" si="367"/>
        <v>0</v>
      </c>
      <c r="AF360" s="60">
        <f t="shared" si="367"/>
        <v>0</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7885.0238799750496</v>
      </c>
      <c r="C364" s="26">
        <f>INDEX(Comparison!$AM$3:$AS$33,G$14,$H$122)</f>
        <v>7533.2051738552464</v>
      </c>
      <c r="D364" s="26">
        <f>INDEX(Comparison!$AM$3:$AS$33,H$14,$H$122)</f>
        <v>7191.2405725815324</v>
      </c>
      <c r="E364" s="26">
        <f>INDEX(Comparison!$AM$3:$AS$33,I$14,$H$122)</f>
        <v>6812.4631092957497</v>
      </c>
      <c r="F364" s="26">
        <f>INDEX(Comparison!$AM$3:$AS$33,J$14,$H$122)</f>
        <v>6451.9725248759578</v>
      </c>
      <c r="G364" s="26">
        <f>INDEX(Comparison!$AM$3:$AS$33,K$14,$H$122)</f>
        <v>6166.1047060884439</v>
      </c>
      <c r="H364" s="26">
        <f>INDEX(Comparison!$AM$3:$AS$33,L$14,$H$122)</f>
        <v>5881.0552739751101</v>
      </c>
      <c r="I364" s="26">
        <f>INDEX(Comparison!$AM$3:$AS$33,M$14,$H$122)</f>
        <v>5609.3504910949478</v>
      </c>
      <c r="J364" s="26">
        <f>INDEX(Comparison!$AM$3:$AS$33,N$14,$H$122)</f>
        <v>5323.5276590267758</v>
      </c>
      <c r="K364" s="26">
        <f>INDEX(Comparison!$AM$3:$AS$33,O$14,$H$122)</f>
        <v>5061.2818561056738</v>
      </c>
      <c r="L364" s="26">
        <f>INDEX(Comparison!$AM$3:$AS$33,P$14,$H$122)</f>
        <v>4733.4087396901623</v>
      </c>
      <c r="M364" s="26">
        <f>INDEX(Comparison!$AM$3:$AS$33,Q$14,$H$122)</f>
        <v>4393.7824312927287</v>
      </c>
      <c r="N364" s="26">
        <f>INDEX(Comparison!$AM$3:$AS$33,R$14,$H$122)</f>
        <v>4006.1265808261332</v>
      </c>
      <c r="O364" s="26">
        <f>INDEX(Comparison!$AM$3:$AS$33,S$14,$H$122)</f>
        <v>3576.233277328839</v>
      </c>
      <c r="P364" s="26">
        <f>INDEX(Comparison!$AM$3:$AS$33,T$14,$H$122)</f>
        <v>3059.5283871610445</v>
      </c>
      <c r="Q364" s="26">
        <f>INDEX(Comparison!$AM$3:$AS$33,U$14,$H$122)</f>
        <v>2469.5512794279489</v>
      </c>
      <c r="R364" s="26">
        <f>INDEX(Comparison!$AM$3:$AS$33,V$14,$H$122)</f>
        <v>1842.799668868907</v>
      </c>
      <c r="S364" s="26">
        <f>INDEX(Comparison!$AM$3:$AS$33,W$14,$H$122)</f>
        <v>1328.7737512423464</v>
      </c>
      <c r="T364" s="26">
        <f>INDEX(Comparison!$AM$3:$AS$33,X$14,$H$122)</f>
        <v>948.83583319405307</v>
      </c>
      <c r="U364" s="26">
        <f>INDEX(Comparison!$AM$3:$AS$33,Y$14,$H$122)</f>
        <v>739.39486681916139</v>
      </c>
      <c r="V364" s="26">
        <f>INDEX(Comparison!$AM$3:$AS$33,Z$14,$H$122)</f>
        <v>624.14790659062351</v>
      </c>
      <c r="W364" s="26">
        <f>INDEX(Comparison!$AM$3:$AS$33,AA$14,$H$122)</f>
        <v>574.84813415628378</v>
      </c>
      <c r="X364" s="26">
        <f>INDEX(Comparison!$AM$3:$AS$33,AB$14,$H$122)</f>
        <v>540.01941971549797</v>
      </c>
      <c r="Y364" s="26">
        <f>INDEX(Comparison!$AM$3:$AS$33,AC$14,$H$122)</f>
        <v>522.91431442377564</v>
      </c>
      <c r="Z364" s="26">
        <f>INDEX(Comparison!$AM$3:$AS$33,AD$14,$H$122)</f>
        <v>512.28225991416207</v>
      </c>
      <c r="AA364" s="26">
        <f>INDEX(Comparison!$AM$3:$AS$33,AE$14,$H$122)</f>
        <v>486.30628203230003</v>
      </c>
      <c r="AB364" s="26">
        <f>INDEX(Comparison!$AM$3:$AS$33,AF$14,$H$122)</f>
        <v>477.16338311456207</v>
      </c>
      <c r="AC364" s="26">
        <f>INDEX(Comparison!$AM$3:$AS$33,AG$14,$H$122)</f>
        <v>476.22593072507385</v>
      </c>
      <c r="AD364" s="26">
        <f>INDEX(Comparison!$AM$3:$AS$33,AH$14,$H$122)</f>
        <v>475.98047490013522</v>
      </c>
      <c r="AE364" s="26">
        <f>INDEX(Comparison!$AM$3:$AS$33,AI$14,$H$122)</f>
        <v>475.76724400704541</v>
      </c>
      <c r="AF364" s="26">
        <f>INDEX(Comparison!$AM$3:$AS$33,AJ$14,$H$122)</f>
        <v>475.55412653805064</v>
      </c>
      <c r="AG364" s="26"/>
      <c r="AH364" s="26"/>
    </row>
    <row r="365" spans="1:34" x14ac:dyDescent="0.25">
      <c r="A365" s="70" t="s">
        <v>22</v>
      </c>
      <c r="B365" s="27">
        <f>($C$17+SUM(B366:B396))*$B$51</f>
        <v>7879.5328811160343</v>
      </c>
      <c r="C365" s="27">
        <f t="shared" ref="C365:AF365" si="368">($C$17+SUM(C366:C396))*$B$51</f>
        <v>7604.4548465549242</v>
      </c>
      <c r="D365" s="27">
        <f t="shared" si="368"/>
        <v>7276.4878484553228</v>
      </c>
      <c r="E365" s="27">
        <f t="shared" si="368"/>
        <v>6898.943854124248</v>
      </c>
      <c r="F365" s="27">
        <f t="shared" si="368"/>
        <v>6532.8843096364553</v>
      </c>
      <c r="G365" s="27">
        <f t="shared" si="368"/>
        <v>6230.8201509971459</v>
      </c>
      <c r="H365" s="27">
        <f t="shared" si="368"/>
        <v>5952.6776702379757</v>
      </c>
      <c r="I365" s="27">
        <f t="shared" si="368"/>
        <v>5667.8420388424329</v>
      </c>
      <c r="J365" s="27">
        <f t="shared" si="368"/>
        <v>5392.8872334080115</v>
      </c>
      <c r="K365" s="27">
        <f t="shared" si="368"/>
        <v>5116.2090044934403</v>
      </c>
      <c r="L365" s="27">
        <f t="shared" si="368"/>
        <v>4800.905977371548</v>
      </c>
      <c r="M365" s="27">
        <f t="shared" si="368"/>
        <v>4425.2161593697519</v>
      </c>
      <c r="N365" s="27">
        <f t="shared" si="368"/>
        <v>3988.9289480517623</v>
      </c>
      <c r="O365" s="27">
        <f t="shared" si="368"/>
        <v>3508.6545959062564</v>
      </c>
      <c r="P365" s="27">
        <f t="shared" si="368"/>
        <v>2994.2941856428542</v>
      </c>
      <c r="Q365" s="27">
        <f t="shared" si="368"/>
        <v>2446.6949374825695</v>
      </c>
      <c r="R365" s="27">
        <f t="shared" si="368"/>
        <v>1869.4401071903453</v>
      </c>
      <c r="S365" s="27">
        <f t="shared" si="368"/>
        <v>1363.5065853914025</v>
      </c>
      <c r="T365" s="27">
        <f t="shared" si="368"/>
        <v>981.58621588283438</v>
      </c>
      <c r="U365" s="27">
        <f t="shared" si="368"/>
        <v>753.96321820442449</v>
      </c>
      <c r="V365" s="27">
        <f t="shared" si="368"/>
        <v>632.76751632368871</v>
      </c>
      <c r="W365" s="27">
        <f t="shared" si="368"/>
        <v>576.81030270346412</v>
      </c>
      <c r="X365" s="27">
        <f t="shared" si="368"/>
        <v>542.54776035940245</v>
      </c>
      <c r="Y365" s="27">
        <f t="shared" si="368"/>
        <v>522.71008449798444</v>
      </c>
      <c r="Z365" s="27">
        <f t="shared" si="368"/>
        <v>513.25978791616228</v>
      </c>
      <c r="AA365" s="27">
        <f t="shared" si="368"/>
        <v>488.13549224495642</v>
      </c>
      <c r="AB365" s="27">
        <f t="shared" si="368"/>
        <v>345.52931095010081</v>
      </c>
      <c r="AC365" s="27">
        <f t="shared" si="368"/>
        <v>250.20819057973927</v>
      </c>
      <c r="AD365" s="27">
        <f t="shared" si="368"/>
        <v>250.19802888743243</v>
      </c>
      <c r="AE365" s="27">
        <f t="shared" si="368"/>
        <v>250.19802888743243</v>
      </c>
      <c r="AF365" s="27">
        <f t="shared" si="368"/>
        <v>250.19802888743243</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1.9274012075721668E-104</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2.1175868395725271E-11</v>
      </c>
      <c r="C369" s="3">
        <f t="shared" si="372"/>
        <v>3.3510702551337769E-94</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4.0599649478713466E-3</v>
      </c>
      <c r="C370" s="3">
        <f t="shared" si="373"/>
        <v>1.3778886562737416E-10</v>
      </c>
      <c r="D370" s="3">
        <f t="shared" si="373"/>
        <v>2.7933961580107025E-85</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2.2805692464023905E-2</v>
      </c>
      <c r="C371" s="3">
        <f t="shared" si="374"/>
        <v>4.8333642880545088E-3</v>
      </c>
      <c r="D371" s="3">
        <f t="shared" si="374"/>
        <v>8.8371491034196484E-10</v>
      </c>
      <c r="E371" s="3">
        <f t="shared" si="374"/>
        <v>3.6892553836190286E-77</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3.3779781640761841E-2</v>
      </c>
      <c r="C372" s="3">
        <f t="shared" si="375"/>
        <v>2.9368045042898226E-2</v>
      </c>
      <c r="D372" s="3">
        <f t="shared" si="375"/>
        <v>7.2453110453162099E-3</v>
      </c>
      <c r="E372" s="3">
        <f t="shared" si="375"/>
        <v>6.0516946393842697E-9</v>
      </c>
      <c r="F372" s="3">
        <f t="shared" si="375"/>
        <v>1.0001766665270964E-69</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4.0758544710511518E-2</v>
      </c>
      <c r="C373" s="3">
        <f t="shared" si="376"/>
        <v>4.0247197512833753E-2</v>
      </c>
      <c r="D373" s="3">
        <f t="shared" si="376"/>
        <v>3.5473611434656743E-2</v>
      </c>
      <c r="E373" s="3">
        <f t="shared" si="376"/>
        <v>1.0036978651825644E-2</v>
      </c>
      <c r="F373" s="3">
        <f t="shared" si="376"/>
        <v>3.3004940839817051E-8</v>
      </c>
      <c r="G373" s="3">
        <f t="shared" si="376"/>
        <v>4.8790867583791924E-63</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3.8215864558050899E-2</v>
      </c>
      <c r="C374" s="3">
        <f t="shared" si="377"/>
        <v>3.8172365601910993E-2</v>
      </c>
      <c r="D374" s="3">
        <f t="shared" si="377"/>
        <v>3.7740089944733719E-2</v>
      </c>
      <c r="E374" s="3">
        <f t="shared" si="377"/>
        <v>3.3677627776967041E-2</v>
      </c>
      <c r="F374" s="3">
        <f t="shared" si="377"/>
        <v>1.078268975479193E-2</v>
      </c>
      <c r="G374" s="3">
        <f t="shared" si="377"/>
        <v>1.2206278658205679E-7</v>
      </c>
      <c r="H374" s="3">
        <f t="shared" si="377"/>
        <v>4.2183730784984424E-57</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2.804999817219192E-2</v>
      </c>
      <c r="C375" s="3">
        <f t="shared" si="378"/>
        <v>2.8047116533352488E-2</v>
      </c>
      <c r="D375" s="3">
        <f t="shared" si="378"/>
        <v>2.8018316421986093E-2</v>
      </c>
      <c r="E375" s="3">
        <f t="shared" si="378"/>
        <v>2.7731936840716863E-2</v>
      </c>
      <c r="F375" s="3">
        <f t="shared" si="378"/>
        <v>2.5024296105148211E-2</v>
      </c>
      <c r="G375" s="3">
        <f t="shared" si="378"/>
        <v>8.9573294726223943E-3</v>
      </c>
      <c r="H375" s="3">
        <f t="shared" si="378"/>
        <v>3.0927537012787081E-7</v>
      </c>
      <c r="I375" s="3">
        <f t="shared" si="378"/>
        <v>7.4475460836131091E-52</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2.8871507749519233E-2</v>
      </c>
      <c r="C376" s="3">
        <f t="shared" si="379"/>
        <v>2.8871240176041271E-2</v>
      </c>
      <c r="D376" s="3">
        <f t="shared" si="379"/>
        <v>2.8868564577646871E-2</v>
      </c>
      <c r="E376" s="3">
        <f t="shared" si="379"/>
        <v>2.8841822227548303E-2</v>
      </c>
      <c r="F376" s="3">
        <f t="shared" si="379"/>
        <v>2.857575744752168E-2</v>
      </c>
      <c r="G376" s="3">
        <f t="shared" si="379"/>
        <v>2.604643584120991E-2</v>
      </c>
      <c r="H376" s="3">
        <f t="shared" si="379"/>
        <v>1.030988518163087E-2</v>
      </c>
      <c r="I376" s="3">
        <f t="shared" si="379"/>
        <v>9.7343976063992523E-7</v>
      </c>
      <c r="J376" s="3">
        <f t="shared" si="379"/>
        <v>5.4810227766708022E-47</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3.0036423315412886E-2</v>
      </c>
      <c r="C377" s="3">
        <f t="shared" si="380"/>
        <v>3.0036398204052701E-2</v>
      </c>
      <c r="D377" s="3">
        <f t="shared" si="380"/>
        <v>3.0036147091605497E-2</v>
      </c>
      <c r="E377" s="3">
        <f t="shared" si="380"/>
        <v>3.0033636082595787E-2</v>
      </c>
      <c r="F377" s="3">
        <f t="shared" si="380"/>
        <v>3.0008537535163745E-2</v>
      </c>
      <c r="G377" s="3">
        <f t="shared" si="380"/>
        <v>2.9758702764810484E-2</v>
      </c>
      <c r="H377" s="3">
        <f t="shared" si="380"/>
        <v>2.7371944173446221E-2</v>
      </c>
      <c r="I377" s="3">
        <f t="shared" si="380"/>
        <v>1.1863754333043682E-2</v>
      </c>
      <c r="J377" s="3">
        <f t="shared" si="380"/>
        <v>2.7757934055896775E-6</v>
      </c>
      <c r="K377" s="3">
        <f t="shared" si="380"/>
        <v>1.3646996691581862E-42</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2.6672376291454053E-2</v>
      </c>
      <c r="C378" s="3">
        <f t="shared" si="381"/>
        <v>2.6672374279905653E-2</v>
      </c>
      <c r="D378" s="3">
        <f t="shared" si="381"/>
        <v>2.6672354164429996E-2</v>
      </c>
      <c r="E378" s="3">
        <f t="shared" si="381"/>
        <v>2.6672153010507797E-2</v>
      </c>
      <c r="F378" s="3">
        <f t="shared" si="381"/>
        <v>2.667014155472084E-2</v>
      </c>
      <c r="G378" s="3">
        <f t="shared" si="381"/>
        <v>2.6650035338028438E-2</v>
      </c>
      <c r="H378" s="3">
        <f t="shared" si="381"/>
        <v>2.6449804965964798E-2</v>
      </c>
      <c r="I378" s="3">
        <f t="shared" si="381"/>
        <v>2.4528405750391193E-2</v>
      </c>
      <c r="J378" s="3">
        <f t="shared" si="381"/>
        <v>1.1538192984732226E-2</v>
      </c>
      <c r="K378" s="3">
        <f t="shared" si="381"/>
        <v>6.1210026480556643E-6</v>
      </c>
      <c r="L378" s="3">
        <f t="shared" si="381"/>
        <v>1.0806131681031272E-38</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2.912590056899865E-2</v>
      </c>
      <c r="C379" s="3">
        <f t="shared" si="382"/>
        <v>2.9125900370848345E-2</v>
      </c>
      <c r="D379" s="3">
        <f t="shared" si="382"/>
        <v>2.9125898389345369E-2</v>
      </c>
      <c r="E379" s="3">
        <f t="shared" si="382"/>
        <v>2.9125878574323007E-2</v>
      </c>
      <c r="F379" s="3">
        <f t="shared" si="382"/>
        <v>2.9125680424840823E-2</v>
      </c>
      <c r="G379" s="3">
        <f t="shared" si="382"/>
        <v>2.9123699004160383E-2</v>
      </c>
      <c r="H379" s="3">
        <f t="shared" si="382"/>
        <v>2.9103892209628193E-2</v>
      </c>
      <c r="I379" s="3">
        <f t="shared" si="382"/>
        <v>2.8906563629103762E-2</v>
      </c>
      <c r="J379" s="3">
        <f t="shared" si="382"/>
        <v>2.7005386561004093E-2</v>
      </c>
      <c r="K379" s="3">
        <f t="shared" si="382"/>
        <v>1.3676964397025483E-2</v>
      </c>
      <c r="L379" s="3">
        <f t="shared" si="382"/>
        <v>1.5183884722150418E-5</v>
      </c>
      <c r="M379" s="3">
        <f t="shared" si="382"/>
        <v>4.3183189167447458E-35</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3.4434275035259164E-2</v>
      </c>
      <c r="C380" s="3">
        <f t="shared" si="383"/>
        <v>3.4434275014126561E-2</v>
      </c>
      <c r="D380" s="3">
        <f t="shared" si="383"/>
        <v>3.443427480280057E-2</v>
      </c>
      <c r="E380" s="3">
        <f t="shared" si="383"/>
        <v>3.4434272689540718E-2</v>
      </c>
      <c r="F380" s="3">
        <f t="shared" si="383"/>
        <v>3.4434251556949291E-2</v>
      </c>
      <c r="G380" s="3">
        <f t="shared" si="383"/>
        <v>3.443404023174837E-2</v>
      </c>
      <c r="H380" s="3">
        <f t="shared" si="383"/>
        <v>3.4431927051068213E-2</v>
      </c>
      <c r="I380" s="3">
        <f t="shared" si="383"/>
        <v>3.4410802375555348E-2</v>
      </c>
      <c r="J380" s="3">
        <f t="shared" si="383"/>
        <v>3.4200267132630482E-2</v>
      </c>
      <c r="K380" s="3">
        <f t="shared" si="383"/>
        <v>3.2164476458077379E-2</v>
      </c>
      <c r="L380" s="3">
        <f t="shared" si="383"/>
        <v>1.7411908320316184E-2</v>
      </c>
      <c r="M380" s="3">
        <f t="shared" si="383"/>
        <v>3.7630953428839423E-5</v>
      </c>
      <c r="N380" s="3">
        <f t="shared" si="383"/>
        <v>8.36630557213043E-32</v>
      </c>
      <c r="O380" s="3">
        <f t="shared" si="383"/>
        <v>2.4684181537381418E-298</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4.2428216344956853E-2</v>
      </c>
      <c r="C381" s="3">
        <f t="shared" si="384"/>
        <v>4.2428216342607954E-2</v>
      </c>
      <c r="D381" s="3">
        <f t="shared" si="384"/>
        <v>4.2428216319119021E-2</v>
      </c>
      <c r="E381" s="3">
        <f t="shared" si="384"/>
        <v>4.2428216084229663E-2</v>
      </c>
      <c r="F381" s="3">
        <f t="shared" si="384"/>
        <v>4.2428213735336159E-2</v>
      </c>
      <c r="G381" s="3">
        <f t="shared" si="384"/>
        <v>4.2428190246408301E-2</v>
      </c>
      <c r="H381" s="3">
        <f t="shared" si="384"/>
        <v>4.2427955357844931E-2</v>
      </c>
      <c r="I381" s="3">
        <f t="shared" si="384"/>
        <v>4.2425606543730725E-2</v>
      </c>
      <c r="J381" s="3">
        <f t="shared" si="384"/>
        <v>4.2402125553077846E-2</v>
      </c>
      <c r="K381" s="3">
        <f t="shared" si="384"/>
        <v>4.2168029232946901E-2</v>
      </c>
      <c r="L381" s="3">
        <f t="shared" si="384"/>
        <v>3.98969843692785E-2</v>
      </c>
      <c r="M381" s="3">
        <f t="shared" si="384"/>
        <v>2.2935474724388921E-2</v>
      </c>
      <c r="N381" s="3">
        <f t="shared" si="384"/>
        <v>9.0403316846285599E-5</v>
      </c>
      <c r="O381" s="3">
        <f t="shared" si="384"/>
        <v>8.1837183745819609E-29</v>
      </c>
      <c r="P381" s="3">
        <f t="shared" si="384"/>
        <v>3.0242228057609857E-269</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4.6830735767901824E-2</v>
      </c>
      <c r="C382" s="3">
        <f t="shared" si="385"/>
        <v>4.6830735767667948E-2</v>
      </c>
      <c r="D382" s="3">
        <f t="shared" si="385"/>
        <v>4.6830735765329187E-2</v>
      </c>
      <c r="E382" s="3">
        <f t="shared" si="385"/>
        <v>4.6830735741941562E-2</v>
      </c>
      <c r="F382" s="3">
        <f t="shared" si="385"/>
        <v>4.6830735508065303E-2</v>
      </c>
      <c r="G382" s="3">
        <f t="shared" si="385"/>
        <v>4.6830733169302786E-2</v>
      </c>
      <c r="H382" s="3">
        <f t="shared" si="385"/>
        <v>4.6830709781684021E-2</v>
      </c>
      <c r="I382" s="3">
        <f t="shared" si="385"/>
        <v>4.683047590613882E-2</v>
      </c>
      <c r="J382" s="3">
        <f t="shared" si="385"/>
        <v>4.6828137214925285E-2</v>
      </c>
      <c r="K382" s="3">
        <f t="shared" si="385"/>
        <v>4.6804756725448246E-2</v>
      </c>
      <c r="L382" s="3">
        <f t="shared" si="385"/>
        <v>4.6571592911315504E-2</v>
      </c>
      <c r="M382" s="3">
        <f t="shared" si="385"/>
        <v>4.4302893897611627E-2</v>
      </c>
      <c r="N382" s="3">
        <f t="shared" si="385"/>
        <v>2.6886986286120445E-2</v>
      </c>
      <c r="O382" s="3">
        <f t="shared" si="385"/>
        <v>1.8223946277073726E-4</v>
      </c>
      <c r="P382" s="3">
        <f t="shared" si="385"/>
        <v>3.7294555428301821E-26</v>
      </c>
      <c r="Q382" s="3">
        <f t="shared" si="385"/>
        <v>4.8048022110472827E-243</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5.2334789148439982E-2</v>
      </c>
      <c r="C383" s="3">
        <f t="shared" si="386"/>
        <v>5.2334789148416404E-2</v>
      </c>
      <c r="D383" s="3">
        <f t="shared" si="386"/>
        <v>5.2334789148180634E-2</v>
      </c>
      <c r="E383" s="3">
        <f t="shared" si="386"/>
        <v>5.2334789145822916E-2</v>
      </c>
      <c r="F383" s="3">
        <f t="shared" si="386"/>
        <v>5.2334789122245713E-2</v>
      </c>
      <c r="G383" s="3">
        <f t="shared" si="386"/>
        <v>5.2334788886473714E-2</v>
      </c>
      <c r="H383" s="3">
        <f t="shared" si="386"/>
        <v>5.2334786528753785E-2</v>
      </c>
      <c r="I383" s="3">
        <f t="shared" si="386"/>
        <v>5.233476295156031E-2</v>
      </c>
      <c r="J383" s="3">
        <f t="shared" si="386"/>
        <v>5.2334527180209742E-2</v>
      </c>
      <c r="K383" s="3">
        <f t="shared" si="386"/>
        <v>5.2332169525122277E-2</v>
      </c>
      <c r="L383" s="3">
        <f t="shared" si="386"/>
        <v>5.2308598815100124E-2</v>
      </c>
      <c r="M383" s="3">
        <f t="shared" si="386"/>
        <v>5.2073474827693499E-2</v>
      </c>
      <c r="N383" s="3">
        <f t="shared" si="386"/>
        <v>4.9779585859539392E-2</v>
      </c>
      <c r="O383" s="3">
        <f t="shared" si="386"/>
        <v>3.1724770043886574E-2</v>
      </c>
      <c r="P383" s="3">
        <f t="shared" si="386"/>
        <v>3.5064731606399832E-4</v>
      </c>
      <c r="Q383" s="3">
        <f t="shared" si="386"/>
        <v>9.5409337793529201E-24</v>
      </c>
      <c r="R383" s="3">
        <f t="shared" si="386"/>
        <v>2.1222400522655115E-219</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5.1279668394798902E-2</v>
      </c>
      <c r="C384" s="3">
        <f t="shared" si="387"/>
        <v>5.1279668394796821E-2</v>
      </c>
      <c r="D384" s="3">
        <f t="shared" si="387"/>
        <v>5.1279668394775983E-2</v>
      </c>
      <c r="E384" s="3">
        <f t="shared" si="387"/>
        <v>5.1279668394567587E-2</v>
      </c>
      <c r="F384" s="3">
        <f t="shared" si="387"/>
        <v>5.1279668392483609E-2</v>
      </c>
      <c r="G384" s="3">
        <f t="shared" si="387"/>
        <v>5.1279668371643806E-2</v>
      </c>
      <c r="H384" s="3">
        <f t="shared" si="387"/>
        <v>5.1279668163245799E-2</v>
      </c>
      <c r="I384" s="3">
        <f t="shared" si="387"/>
        <v>5.1279666079265859E-2</v>
      </c>
      <c r="J384" s="3">
        <f t="shared" si="387"/>
        <v>5.1279645239471011E-2</v>
      </c>
      <c r="K384" s="3">
        <f t="shared" si="387"/>
        <v>5.1279436841988338E-2</v>
      </c>
      <c r="L384" s="3">
        <f t="shared" si="387"/>
        <v>5.1277352913741435E-2</v>
      </c>
      <c r="M384" s="3">
        <f t="shared" si="387"/>
        <v>5.1256518288548852E-2</v>
      </c>
      <c r="N384" s="3">
        <f t="shared" si="387"/>
        <v>5.104863706473306E-2</v>
      </c>
      <c r="O384" s="3">
        <f t="shared" si="387"/>
        <v>4.9015635928782449E-2</v>
      </c>
      <c r="P384" s="3">
        <f t="shared" si="387"/>
        <v>3.2646719099661096E-2</v>
      </c>
      <c r="Q384" s="3">
        <f t="shared" si="387"/>
        <v>5.6090401885307859E-4</v>
      </c>
      <c r="R384" s="3">
        <f t="shared" si="387"/>
        <v>1.2571255241884997E-21</v>
      </c>
      <c r="S384" s="3">
        <f t="shared" si="387"/>
        <v>4.0204953972798976E-198</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6.7593769214043337E-2</v>
      </c>
      <c r="C385" s="3">
        <f t="shared" si="388"/>
        <v>6.7593769214043087E-2</v>
      </c>
      <c r="D385" s="3">
        <f t="shared" si="388"/>
        <v>6.7593769214040617E-2</v>
      </c>
      <c r="E385" s="3">
        <f t="shared" si="388"/>
        <v>6.7593769214015831E-2</v>
      </c>
      <c r="F385" s="3">
        <f t="shared" si="388"/>
        <v>6.7593769213768029E-2</v>
      </c>
      <c r="G385" s="3">
        <f t="shared" si="388"/>
        <v>6.7593769211290025E-2</v>
      </c>
      <c r="H385" s="3">
        <f t="shared" si="388"/>
        <v>6.7593769186510014E-2</v>
      </c>
      <c r="I385" s="3">
        <f t="shared" si="388"/>
        <v>6.7593768938709844E-2</v>
      </c>
      <c r="J385" s="3">
        <f t="shared" si="388"/>
        <v>6.7593766460708235E-2</v>
      </c>
      <c r="K385" s="3">
        <f t="shared" si="388"/>
        <v>6.7593741680697095E-2</v>
      </c>
      <c r="L385" s="3">
        <f t="shared" si="388"/>
        <v>6.7593493881085334E-2</v>
      </c>
      <c r="M385" s="3">
        <f t="shared" si="388"/>
        <v>6.759101593493122E-2</v>
      </c>
      <c r="N385" s="3">
        <f t="shared" si="388"/>
        <v>6.7566241469060304E-2</v>
      </c>
      <c r="O385" s="3">
        <f t="shared" si="388"/>
        <v>6.731899570041068E-2</v>
      </c>
      <c r="P385" s="3">
        <f t="shared" si="388"/>
        <v>6.4895756896159534E-2</v>
      </c>
      <c r="Q385" s="3">
        <f t="shared" si="388"/>
        <v>4.4978300303529672E-2</v>
      </c>
      <c r="R385" s="3">
        <f t="shared" si="388"/>
        <v>1.1504570672556387E-3</v>
      </c>
      <c r="S385" s="3">
        <f t="shared" si="388"/>
        <v>1.3789362287907493E-19</v>
      </c>
      <c r="T385" s="3">
        <f t="shared" si="388"/>
        <v>8.4388222354462137E-179</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2.8423077323280126E-2</v>
      </c>
      <c r="C386" s="3">
        <f t="shared" si="389"/>
        <v>2.8423077323280116E-2</v>
      </c>
      <c r="D386" s="3">
        <f t="shared" si="389"/>
        <v>2.8423077323280022E-2</v>
      </c>
      <c r="E386" s="3">
        <f t="shared" si="389"/>
        <v>2.8423077323279082E-2</v>
      </c>
      <c r="F386" s="3">
        <f t="shared" si="389"/>
        <v>2.842307732326968E-2</v>
      </c>
      <c r="G386" s="3">
        <f t="shared" si="389"/>
        <v>2.8423077323175686E-2</v>
      </c>
      <c r="H386" s="3">
        <f t="shared" si="389"/>
        <v>2.8423077322235719E-2</v>
      </c>
      <c r="I386" s="3">
        <f t="shared" si="389"/>
        <v>2.842307731283605E-2</v>
      </c>
      <c r="J386" s="3">
        <f t="shared" si="389"/>
        <v>2.8423077218839344E-2</v>
      </c>
      <c r="K386" s="3">
        <f t="shared" si="389"/>
        <v>2.842307627887234E-2</v>
      </c>
      <c r="L386" s="3">
        <f t="shared" si="389"/>
        <v>2.8423066879204012E-2</v>
      </c>
      <c r="M386" s="3">
        <f t="shared" si="389"/>
        <v>2.8422972882691671E-2</v>
      </c>
      <c r="N386" s="3">
        <f t="shared" si="389"/>
        <v>2.8422032934664915E-2</v>
      </c>
      <c r="O386" s="3">
        <f t="shared" si="389"/>
        <v>2.8412635163852801E-2</v>
      </c>
      <c r="P386" s="3">
        <f t="shared" si="389"/>
        <v>2.831882819228956E-2</v>
      </c>
      <c r="Q386" s="3">
        <f t="shared" si="389"/>
        <v>2.7397625052546264E-2</v>
      </c>
      <c r="R386" s="3">
        <f t="shared" si="389"/>
        <v>1.9682910149999209E-2</v>
      </c>
      <c r="S386" s="3">
        <f t="shared" si="389"/>
        <v>7.2086382339469398E-4</v>
      </c>
      <c r="T386" s="3">
        <f t="shared" si="389"/>
        <v>3.1296259980470773E-18</v>
      </c>
      <c r="U386" s="3">
        <f t="shared" si="389"/>
        <v>7.4453400764267874E-162</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4.9146519309700876E-2</v>
      </c>
      <c r="C387" s="3">
        <f t="shared" si="390"/>
        <v>4.9146519309700869E-2</v>
      </c>
      <c r="D387" s="3">
        <f t="shared" si="390"/>
        <v>4.9146519309700827E-2</v>
      </c>
      <c r="E387" s="3">
        <f t="shared" si="390"/>
        <v>4.9146519309700376E-2</v>
      </c>
      <c r="F387" s="3">
        <f t="shared" si="390"/>
        <v>4.914651930969588E-2</v>
      </c>
      <c r="G387" s="3">
        <f t="shared" si="390"/>
        <v>4.914651930965093E-2</v>
      </c>
      <c r="H387" s="3">
        <f t="shared" si="390"/>
        <v>4.9146519309201414E-2</v>
      </c>
      <c r="I387" s="3">
        <f t="shared" si="390"/>
        <v>4.9146519304706232E-2</v>
      </c>
      <c r="J387" s="3">
        <f t="shared" si="390"/>
        <v>4.9146519259754426E-2</v>
      </c>
      <c r="K387" s="3">
        <f t="shared" si="390"/>
        <v>4.9146518810236364E-2</v>
      </c>
      <c r="L387" s="3">
        <f t="shared" si="390"/>
        <v>4.9146514315055977E-2</v>
      </c>
      <c r="M387" s="3">
        <f t="shared" si="390"/>
        <v>4.914646936327477E-2</v>
      </c>
      <c r="N387" s="3">
        <f t="shared" si="390"/>
        <v>4.914601984772398E-2</v>
      </c>
      <c r="O387" s="3">
        <f t="shared" si="390"/>
        <v>4.9141524918340757E-2</v>
      </c>
      <c r="P387" s="3">
        <f t="shared" si="390"/>
        <v>4.9096598229321949E-2</v>
      </c>
      <c r="Q387" s="3">
        <f t="shared" si="390"/>
        <v>4.8649584189235491E-2</v>
      </c>
      <c r="R387" s="3">
        <f t="shared" si="390"/>
        <v>4.4397287654519481E-2</v>
      </c>
      <c r="S387" s="3">
        <f t="shared" si="390"/>
        <v>1.7788097425947901E-2</v>
      </c>
      <c r="T387" s="3">
        <f t="shared" si="390"/>
        <v>1.8960950577362509E-6</v>
      </c>
      <c r="U387" s="3">
        <f t="shared" si="390"/>
        <v>3.5905929523440062E-46</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3.1963681817399746E-2</v>
      </c>
      <c r="C388" s="3">
        <f t="shared" si="391"/>
        <v>3.1963681817399746E-2</v>
      </c>
      <c r="D388" s="3">
        <f t="shared" si="391"/>
        <v>3.1963681817399739E-2</v>
      </c>
      <c r="E388" s="3">
        <f t="shared" si="391"/>
        <v>3.1963681817399711E-2</v>
      </c>
      <c r="F388" s="3">
        <f t="shared" si="391"/>
        <v>3.196368181739942E-2</v>
      </c>
      <c r="G388" s="3">
        <f t="shared" si="391"/>
        <v>3.1963681817396498E-2</v>
      </c>
      <c r="H388" s="3">
        <f t="shared" si="391"/>
        <v>3.1963681817367258E-2</v>
      </c>
      <c r="I388" s="3">
        <f t="shared" si="391"/>
        <v>3.1963681817074908E-2</v>
      </c>
      <c r="J388" s="3">
        <f t="shared" si="391"/>
        <v>3.1963681814151351E-2</v>
      </c>
      <c r="K388" s="3">
        <f t="shared" si="391"/>
        <v>3.1963681784915807E-2</v>
      </c>
      <c r="L388" s="3">
        <f t="shared" si="391"/>
        <v>3.1963681492560368E-2</v>
      </c>
      <c r="M388" s="3">
        <f t="shared" si="391"/>
        <v>3.1963678569006115E-2</v>
      </c>
      <c r="N388" s="3">
        <f t="shared" si="391"/>
        <v>3.1963649333478311E-2</v>
      </c>
      <c r="O388" s="3">
        <f t="shared" si="391"/>
        <v>3.1963356979670982E-2</v>
      </c>
      <c r="P388" s="3">
        <f t="shared" si="391"/>
        <v>3.1960433588663538E-2</v>
      </c>
      <c r="Q388" s="3">
        <f t="shared" si="391"/>
        <v>3.1931214380201238E-2</v>
      </c>
      <c r="R388" s="3">
        <f t="shared" si="391"/>
        <v>3.1640487493619598E-2</v>
      </c>
      <c r="S388" s="3">
        <f t="shared" si="391"/>
        <v>2.8874898895729504E-2</v>
      </c>
      <c r="T388" s="3">
        <f t="shared" si="391"/>
        <v>1.1568939046873198E-2</v>
      </c>
      <c r="U388" s="3">
        <f t="shared" si="391"/>
        <v>1.2331733756995251E-6</v>
      </c>
      <c r="V388" s="3">
        <f t="shared" si="391"/>
        <v>2.3352329376837065E-46</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1.8386856006952675E-2</v>
      </c>
      <c r="C389" s="3">
        <f t="shared" si="392"/>
        <v>1.8386856006952675E-2</v>
      </c>
      <c r="D389" s="3">
        <f t="shared" si="392"/>
        <v>1.8386856006952675E-2</v>
      </c>
      <c r="E389" s="3">
        <f t="shared" si="392"/>
        <v>1.8386856006952671E-2</v>
      </c>
      <c r="F389" s="3">
        <f t="shared" si="392"/>
        <v>1.8386856006952657E-2</v>
      </c>
      <c r="G389" s="3">
        <f t="shared" si="392"/>
        <v>1.8386856006952487E-2</v>
      </c>
      <c r="H389" s="3">
        <f t="shared" si="392"/>
        <v>1.8386856006950808E-2</v>
      </c>
      <c r="I389" s="3">
        <f t="shared" si="392"/>
        <v>1.8386856006933988E-2</v>
      </c>
      <c r="J389" s="3">
        <f t="shared" si="392"/>
        <v>1.8386856006765814E-2</v>
      </c>
      <c r="K389" s="3">
        <f t="shared" si="392"/>
        <v>1.8386856005084062E-2</v>
      </c>
      <c r="L389" s="3">
        <f t="shared" si="392"/>
        <v>1.8386855988266546E-2</v>
      </c>
      <c r="M389" s="3">
        <f t="shared" si="392"/>
        <v>1.8386855820091384E-2</v>
      </c>
      <c r="N389" s="3">
        <f t="shared" si="392"/>
        <v>1.8386854138339844E-2</v>
      </c>
      <c r="O389" s="3">
        <f t="shared" si="392"/>
        <v>1.8386837320832929E-2</v>
      </c>
      <c r="P389" s="3">
        <f t="shared" si="392"/>
        <v>1.8386669146609785E-2</v>
      </c>
      <c r="Q389" s="3">
        <f t="shared" si="392"/>
        <v>1.8384987488976819E-2</v>
      </c>
      <c r="R389" s="3">
        <f t="shared" si="392"/>
        <v>1.8368179369633666E-2</v>
      </c>
      <c r="S389" s="3">
        <f t="shared" si="392"/>
        <v>1.8200941019825778E-2</v>
      </c>
      <c r="T389" s="3">
        <f t="shared" si="392"/>
        <v>1.6610057979055605E-2</v>
      </c>
      <c r="U389" s="3">
        <f t="shared" si="392"/>
        <v>6.6549409928200309E-3</v>
      </c>
      <c r="V389" s="3">
        <f t="shared" si="392"/>
        <v>7.0937326369742568E-7</v>
      </c>
      <c r="W389" s="3">
        <f t="shared" si="392"/>
        <v>1.3433243395793628E-46</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9.0608848838832357E-3</v>
      </c>
      <c r="C390" s="3">
        <f t="shared" si="393"/>
        <v>9.0608848838832357E-3</v>
      </c>
      <c r="D390" s="3">
        <f t="shared" si="393"/>
        <v>9.0608848838832357E-3</v>
      </c>
      <c r="E390" s="3">
        <f t="shared" si="393"/>
        <v>9.0608848838832357E-3</v>
      </c>
      <c r="F390" s="3">
        <f t="shared" si="393"/>
        <v>9.0608848838832339E-3</v>
      </c>
      <c r="G390" s="3">
        <f t="shared" si="393"/>
        <v>9.060884883883227E-3</v>
      </c>
      <c r="H390" s="3">
        <f t="shared" si="393"/>
        <v>9.0608848838831437E-3</v>
      </c>
      <c r="I390" s="3">
        <f t="shared" si="393"/>
        <v>9.0608848838823145E-3</v>
      </c>
      <c r="J390" s="3">
        <f t="shared" si="393"/>
        <v>9.0608848838740277E-3</v>
      </c>
      <c r="K390" s="3">
        <f t="shared" si="393"/>
        <v>9.0608848837911513E-3</v>
      </c>
      <c r="L390" s="3">
        <f t="shared" si="393"/>
        <v>9.0608848829623993E-3</v>
      </c>
      <c r="M390" s="3">
        <f t="shared" si="393"/>
        <v>9.0608848746748707E-3</v>
      </c>
      <c r="N390" s="3">
        <f t="shared" si="393"/>
        <v>9.0608847917995946E-3</v>
      </c>
      <c r="O390" s="3">
        <f t="shared" si="393"/>
        <v>9.060883963046865E-3</v>
      </c>
      <c r="P390" s="3">
        <f t="shared" si="393"/>
        <v>9.0608756755237493E-3</v>
      </c>
      <c r="Q390" s="3">
        <f t="shared" si="393"/>
        <v>9.0607928007094916E-3</v>
      </c>
      <c r="R390" s="3">
        <f t="shared" si="393"/>
        <v>9.0599640942563269E-3</v>
      </c>
      <c r="S390" s="3">
        <f t="shared" si="393"/>
        <v>9.0516811972550498E-3</v>
      </c>
      <c r="T390" s="3">
        <f t="shared" si="393"/>
        <v>8.9692675733485556E-3</v>
      </c>
      <c r="U390" s="3">
        <f t="shared" si="393"/>
        <v>8.1852940603841882E-3</v>
      </c>
      <c r="V390" s="3">
        <f t="shared" si="393"/>
        <v>3.2794978229109223E-3</v>
      </c>
      <c r="W390" s="3">
        <f t="shared" si="393"/>
        <v>3.4957305803865832E-7</v>
      </c>
      <c r="X390" s="3">
        <f t="shared" si="393"/>
        <v>6.6197870903239556E-47</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3.4752911115110466E-3</v>
      </c>
      <c r="C391" s="3">
        <f t="shared" si="394"/>
        <v>3.4752911115110466E-3</v>
      </c>
      <c r="D391" s="3">
        <f t="shared" si="394"/>
        <v>3.4752911115110466E-3</v>
      </c>
      <c r="E391" s="3">
        <f t="shared" si="394"/>
        <v>3.4752911115110466E-3</v>
      </c>
      <c r="F391" s="3">
        <f t="shared" si="394"/>
        <v>3.4752911115110466E-3</v>
      </c>
      <c r="G391" s="3">
        <f t="shared" si="394"/>
        <v>3.4752911115110462E-3</v>
      </c>
      <c r="H391" s="3">
        <f t="shared" si="394"/>
        <v>3.4752911115110432E-3</v>
      </c>
      <c r="I391" s="3">
        <f t="shared" si="394"/>
        <v>3.4752911115110111E-3</v>
      </c>
      <c r="J391" s="3">
        <f t="shared" si="394"/>
        <v>3.4752911115106936E-3</v>
      </c>
      <c r="K391" s="3">
        <f t="shared" si="394"/>
        <v>3.4752911115075147E-3</v>
      </c>
      <c r="L391" s="3">
        <f t="shared" si="394"/>
        <v>3.4752911114757281E-3</v>
      </c>
      <c r="M391" s="3">
        <f t="shared" si="394"/>
        <v>3.4752911111578613E-3</v>
      </c>
      <c r="N391" s="3">
        <f t="shared" si="394"/>
        <v>3.47529110797919E-3</v>
      </c>
      <c r="O391" s="3">
        <f t="shared" si="394"/>
        <v>3.4752910761924809E-3</v>
      </c>
      <c r="P391" s="3">
        <f t="shared" si="394"/>
        <v>3.475290758325404E-3</v>
      </c>
      <c r="Q391" s="3">
        <f t="shared" si="394"/>
        <v>3.475287579656235E-3</v>
      </c>
      <c r="R391" s="3">
        <f t="shared" si="394"/>
        <v>3.4752557931244507E-3</v>
      </c>
      <c r="S391" s="3">
        <f t="shared" si="394"/>
        <v>3.4749379437965266E-3</v>
      </c>
      <c r="T391" s="3">
        <f t="shared" si="394"/>
        <v>3.4717610489683739E-3</v>
      </c>
      <c r="U391" s="3">
        <f t="shared" si="394"/>
        <v>3.4401514061685738E-3</v>
      </c>
      <c r="V391" s="3">
        <f t="shared" si="394"/>
        <v>3.1394593417421362E-3</v>
      </c>
      <c r="W391" s="3">
        <f t="shared" si="394"/>
        <v>1.257847305228939E-3</v>
      </c>
      <c r="X391" s="3">
        <f t="shared" si="394"/>
        <v>1.3407831100319938E-7</v>
      </c>
      <c r="Y391" s="3">
        <f t="shared" si="394"/>
        <v>2.5390110932784344E-47</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3.7189183043806369E-3</v>
      </c>
      <c r="C392" s="3">
        <f t="shared" si="395"/>
        <v>3.7189183043806369E-3</v>
      </c>
      <c r="D392" s="3">
        <f t="shared" si="395"/>
        <v>3.7189183043806369E-3</v>
      </c>
      <c r="E392" s="3">
        <f t="shared" si="395"/>
        <v>3.7189183043806369E-3</v>
      </c>
      <c r="F392" s="3">
        <f t="shared" si="395"/>
        <v>3.7189183043806369E-3</v>
      </c>
      <c r="G392" s="3">
        <f t="shared" si="395"/>
        <v>3.7189183043806369E-3</v>
      </c>
      <c r="H392" s="3">
        <f t="shared" si="395"/>
        <v>3.7189183043806365E-3</v>
      </c>
      <c r="I392" s="3">
        <f t="shared" si="395"/>
        <v>3.718918304380633E-3</v>
      </c>
      <c r="J392" s="3">
        <f t="shared" si="395"/>
        <v>3.7189183043805987E-3</v>
      </c>
      <c r="K392" s="3">
        <f t="shared" si="395"/>
        <v>3.7189183043802592E-3</v>
      </c>
      <c r="L392" s="3">
        <f t="shared" si="395"/>
        <v>3.7189183043768574E-3</v>
      </c>
      <c r="M392" s="3">
        <f t="shared" si="395"/>
        <v>3.7189183043428425E-3</v>
      </c>
      <c r="N392" s="3">
        <f t="shared" si="395"/>
        <v>3.7189183040026923E-3</v>
      </c>
      <c r="O392" s="3">
        <f t="shared" si="395"/>
        <v>3.7189183006011875E-3</v>
      </c>
      <c r="P392" s="3">
        <f t="shared" si="395"/>
        <v>3.718918266586145E-3</v>
      </c>
      <c r="Q392" s="3">
        <f t="shared" si="395"/>
        <v>3.7189179264357367E-3</v>
      </c>
      <c r="R392" s="3">
        <f t="shared" si="395"/>
        <v>3.7189145249333661E-3</v>
      </c>
      <c r="S392" s="3">
        <f t="shared" si="395"/>
        <v>3.7188805100807701E-3</v>
      </c>
      <c r="T392" s="3">
        <f t="shared" si="395"/>
        <v>3.7185403786656676E-3</v>
      </c>
      <c r="U392" s="3">
        <f t="shared" si="395"/>
        <v>3.7151407750214212E-3</v>
      </c>
      <c r="V392" s="3">
        <f t="shared" si="395"/>
        <v>3.6813152118006188E-3</v>
      </c>
      <c r="W392" s="3">
        <f t="shared" si="395"/>
        <v>3.3595438302108705E-3</v>
      </c>
      <c r="X392" s="3">
        <f t="shared" si="395"/>
        <v>1.3460257622843722E-3</v>
      </c>
      <c r="Y392" s="3">
        <f t="shared" si="395"/>
        <v>1.4347755886079903E-7</v>
      </c>
      <c r="Z392" s="3">
        <f t="shared" si="395"/>
        <v>2.7170025551364951E-47</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9.6569507815885117E-4</v>
      </c>
      <c r="C393" s="3">
        <f t="shared" si="396"/>
        <v>9.6569507815885117E-4</v>
      </c>
      <c r="D393" s="3">
        <f t="shared" si="396"/>
        <v>9.6569507815885117E-4</v>
      </c>
      <c r="E393" s="3">
        <f t="shared" si="396"/>
        <v>9.6569507815885117E-4</v>
      </c>
      <c r="F393" s="3">
        <f t="shared" si="396"/>
        <v>9.6569507815885117E-4</v>
      </c>
      <c r="G393" s="3">
        <f t="shared" si="396"/>
        <v>9.6569507815885117E-4</v>
      </c>
      <c r="H393" s="3">
        <f t="shared" si="396"/>
        <v>9.6569507815885117E-4</v>
      </c>
      <c r="I393" s="3">
        <f t="shared" si="396"/>
        <v>9.6569507815885106E-4</v>
      </c>
      <c r="J393" s="3">
        <f t="shared" si="396"/>
        <v>9.6569507815885019E-4</v>
      </c>
      <c r="K393" s="3">
        <f t="shared" si="396"/>
        <v>9.656950781588413E-4</v>
      </c>
      <c r="L393" s="3">
        <f t="shared" si="396"/>
        <v>9.6569507815875305E-4</v>
      </c>
      <c r="M393" s="3">
        <f t="shared" si="396"/>
        <v>9.6569507815786975E-4</v>
      </c>
      <c r="N393" s="3">
        <f t="shared" si="396"/>
        <v>9.6569507814903708E-4</v>
      </c>
      <c r="O393" s="3">
        <f t="shared" si="396"/>
        <v>9.6569507806070994E-4</v>
      </c>
      <c r="P393" s="3">
        <f t="shared" si="396"/>
        <v>9.6569507717743797E-4</v>
      </c>
      <c r="Q393" s="3">
        <f t="shared" si="396"/>
        <v>9.6569506834471924E-4</v>
      </c>
      <c r="R393" s="3">
        <f t="shared" si="396"/>
        <v>9.6569498001753697E-4</v>
      </c>
      <c r="S393" s="3">
        <f t="shared" si="396"/>
        <v>9.656940967461583E-4</v>
      </c>
      <c r="T393" s="3">
        <f t="shared" si="396"/>
        <v>9.6568526407680446E-4</v>
      </c>
      <c r="U393" s="3">
        <f t="shared" si="396"/>
        <v>9.6559694182645969E-4</v>
      </c>
      <c r="V393" s="3">
        <f t="shared" si="396"/>
        <v>9.6471416349194435E-4</v>
      </c>
      <c r="W393" s="3">
        <f t="shared" si="396"/>
        <v>9.5593064709154313E-4</v>
      </c>
      <c r="X393" s="3">
        <f t="shared" si="396"/>
        <v>8.7237596423454919E-4</v>
      </c>
      <c r="Y393" s="3">
        <f t="shared" si="396"/>
        <v>3.4952379894495053E-4</v>
      </c>
      <c r="Z393" s="3">
        <f t="shared" si="396"/>
        <v>3.7256955135290633E-8</v>
      </c>
      <c r="AA393" s="3">
        <f t="shared" si="396"/>
        <v>7.0552665589606518E-48</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6.3325792141422034E-4</v>
      </c>
      <c r="C394" s="3">
        <f t="shared" si="397"/>
        <v>6.3325792141422034E-4</v>
      </c>
      <c r="D394" s="3">
        <f t="shared" si="397"/>
        <v>6.3325792141422034E-4</v>
      </c>
      <c r="E394" s="3">
        <f t="shared" si="397"/>
        <v>6.3325792141422034E-4</v>
      </c>
      <c r="F394" s="3">
        <f t="shared" si="397"/>
        <v>6.3325792141422034E-4</v>
      </c>
      <c r="G394" s="3">
        <f t="shared" si="397"/>
        <v>6.3325792141422034E-4</v>
      </c>
      <c r="H394" s="3">
        <f t="shared" si="397"/>
        <v>6.3325792141422034E-4</v>
      </c>
      <c r="I394" s="3">
        <f t="shared" si="397"/>
        <v>6.3325792141422034E-4</v>
      </c>
      <c r="J394" s="3">
        <f t="shared" si="397"/>
        <v>6.3325792141422023E-4</v>
      </c>
      <c r="K394" s="3">
        <f t="shared" si="397"/>
        <v>6.3325792141421969E-4</v>
      </c>
      <c r="L394" s="3">
        <f t="shared" si="397"/>
        <v>6.3325792141421383E-4</v>
      </c>
      <c r="M394" s="3">
        <f t="shared" si="397"/>
        <v>6.3325792141415605E-4</v>
      </c>
      <c r="N394" s="3">
        <f t="shared" si="397"/>
        <v>6.3325792141357676E-4</v>
      </c>
      <c r="O394" s="3">
        <f t="shared" si="397"/>
        <v>6.3325792140778473E-4</v>
      </c>
      <c r="P394" s="3">
        <f t="shared" si="397"/>
        <v>6.3325792134986383E-4</v>
      </c>
      <c r="Q394" s="3">
        <f t="shared" si="397"/>
        <v>6.3325792077065517E-4</v>
      </c>
      <c r="R394" s="3">
        <f t="shared" si="397"/>
        <v>6.3325791497856907E-4</v>
      </c>
      <c r="S394" s="3">
        <f t="shared" si="397"/>
        <v>6.3325785705771063E-4</v>
      </c>
      <c r="T394" s="3">
        <f t="shared" si="397"/>
        <v>6.332572778494182E-4</v>
      </c>
      <c r="U394" s="3">
        <f t="shared" si="397"/>
        <v>6.3325148579563011E-4</v>
      </c>
      <c r="V394" s="3">
        <f t="shared" si="397"/>
        <v>6.3319356817138938E-4</v>
      </c>
      <c r="W394" s="3">
        <f t="shared" si="397"/>
        <v>6.32614683194311E-4</v>
      </c>
      <c r="X394" s="3">
        <f t="shared" si="397"/>
        <v>6.2685486162720669E-4</v>
      </c>
      <c r="Y394" s="3">
        <f t="shared" si="397"/>
        <v>5.7206358642331598E-4</v>
      </c>
      <c r="Z394" s="3">
        <f t="shared" si="397"/>
        <v>2.2920145231212653E-4</v>
      </c>
      <c r="AA394" s="3">
        <f t="shared" si="397"/>
        <v>2.4431378497008404E-8</v>
      </c>
      <c r="AB394" s="3">
        <f t="shared" si="397"/>
        <v>4.6265156954810057E-48</v>
      </c>
      <c r="AC394" s="3">
        <f t="shared" si="397"/>
        <v>0</v>
      </c>
      <c r="AD394" s="3">
        <f t="shared" si="397"/>
        <v>0</v>
      </c>
      <c r="AE394" s="3">
        <f t="shared" si="397"/>
        <v>0</v>
      </c>
      <c r="AF394" s="3">
        <f t="shared" si="397"/>
        <v>0</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2.585470347840544E-2</v>
      </c>
      <c r="C396" s="3">
        <f t="shared" si="399"/>
        <v>2.585470347840544E-2</v>
      </c>
      <c r="D396" s="3">
        <f t="shared" si="399"/>
        <v>2.585470347840544E-2</v>
      </c>
      <c r="E396" s="3">
        <f t="shared" si="399"/>
        <v>2.585470347840544E-2</v>
      </c>
      <c r="F396" s="3">
        <f t="shared" si="399"/>
        <v>2.585470347840544E-2</v>
      </c>
      <c r="G396" s="3">
        <f t="shared" si="399"/>
        <v>2.585470347840544E-2</v>
      </c>
      <c r="H396" s="3">
        <f t="shared" si="399"/>
        <v>2.585470347840544E-2</v>
      </c>
      <c r="I396" s="3">
        <f t="shared" si="399"/>
        <v>2.585470347840544E-2</v>
      </c>
      <c r="J396" s="3">
        <f t="shared" si="399"/>
        <v>2.585470347840544E-2</v>
      </c>
      <c r="K396" s="3">
        <f t="shared" si="399"/>
        <v>2.585470347840544E-2</v>
      </c>
      <c r="L396" s="3">
        <f t="shared" si="399"/>
        <v>2.5854703478405437E-2</v>
      </c>
      <c r="M396" s="3">
        <f t="shared" si="399"/>
        <v>2.5854703478405416E-2</v>
      </c>
      <c r="N396" s="3">
        <f t="shared" si="399"/>
        <v>2.5854703478405176E-2</v>
      </c>
      <c r="O396" s="3">
        <f t="shared" si="399"/>
        <v>2.5854703478402814E-2</v>
      </c>
      <c r="P396" s="3">
        <f t="shared" si="399"/>
        <v>2.5854703478379162E-2</v>
      </c>
      <c r="Q396" s="3">
        <f t="shared" si="399"/>
        <v>2.5854703478142685E-2</v>
      </c>
      <c r="R396" s="3">
        <f t="shared" si="399"/>
        <v>2.5854703475777889E-2</v>
      </c>
      <c r="S396" s="3">
        <f t="shared" si="399"/>
        <v>2.5854703452129913E-2</v>
      </c>
      <c r="T396" s="3">
        <f t="shared" si="399"/>
        <v>2.5854703215650171E-2</v>
      </c>
      <c r="U396" s="3">
        <f t="shared" si="399"/>
        <v>2.5854700850852879E-2</v>
      </c>
      <c r="V396" s="3">
        <f t="shared" si="399"/>
        <v>2.5854677202891835E-2</v>
      </c>
      <c r="W396" s="3">
        <f t="shared" si="399"/>
        <v>2.5854440724471028E-2</v>
      </c>
      <c r="X396" s="3">
        <f t="shared" si="399"/>
        <v>2.5852076059221241E-2</v>
      </c>
      <c r="Y396" s="3">
        <f t="shared" si="399"/>
        <v>2.5828441298526832E-2</v>
      </c>
      <c r="Z396" s="3">
        <f t="shared" si="399"/>
        <v>2.5593278857331567E-2</v>
      </c>
      <c r="AA396" s="3">
        <f t="shared" si="399"/>
        <v>2.3356256428245074E-2</v>
      </c>
      <c r="AB396" s="3">
        <f t="shared" si="399"/>
        <v>9.3578546528337893E-3</v>
      </c>
      <c r="AC396" s="3">
        <f t="shared" si="399"/>
        <v>9.9748621414506387E-7</v>
      </c>
      <c r="AD396" s="3">
        <f t="shared" si="399"/>
        <v>1.8889174126352114E-46</v>
      </c>
      <c r="AE396" s="3">
        <f t="shared" si="399"/>
        <v>0</v>
      </c>
      <c r="AF396" s="3">
        <f t="shared" si="399"/>
        <v>0</v>
      </c>
      <c r="AG396" s="3"/>
      <c r="AH396" s="3"/>
    </row>
    <row r="397" spans="1:34" x14ac:dyDescent="0.25">
      <c r="A397" s="79">
        <f>AVERAGE(B397:AF397)</f>
        <v>5.9292072349596495E-3</v>
      </c>
      <c r="B397" s="80">
        <f>IF($A$64&lt;=B363,IF($B$64&gt;=B363,ABS((B365-B364)/B364),0),0)</f>
        <v>0</v>
      </c>
      <c r="C397" s="80">
        <f t="shared" ref="C397:AF397" si="400">IF($A$64&lt;=C363,IF($B$64&gt;=C363,ABS((C365-C364)/C364),0),0)</f>
        <v>0</v>
      </c>
      <c r="D397" s="80">
        <f t="shared" si="400"/>
        <v>0</v>
      </c>
      <c r="E397" s="80">
        <f t="shared" si="400"/>
        <v>0</v>
      </c>
      <c r="F397" s="80">
        <f t="shared" si="400"/>
        <v>0</v>
      </c>
      <c r="G397" s="80">
        <f t="shared" si="400"/>
        <v>0</v>
      </c>
      <c r="H397" s="80">
        <f t="shared" si="400"/>
        <v>0</v>
      </c>
      <c r="I397" s="80">
        <f t="shared" si="400"/>
        <v>0</v>
      </c>
      <c r="J397" s="80">
        <f t="shared" si="400"/>
        <v>0</v>
      </c>
      <c r="K397" s="80">
        <f t="shared" si="400"/>
        <v>0</v>
      </c>
      <c r="L397" s="80">
        <f t="shared" si="400"/>
        <v>1.4259752620857321E-2</v>
      </c>
      <c r="M397" s="80">
        <f t="shared" si="400"/>
        <v>7.1541385056189278E-3</v>
      </c>
      <c r="N397" s="80">
        <f t="shared" si="400"/>
        <v>4.2928330963582549E-3</v>
      </c>
      <c r="O397" s="80">
        <f t="shared" si="400"/>
        <v>1.8896608856863627E-2</v>
      </c>
      <c r="P397" s="80">
        <f t="shared" si="400"/>
        <v>2.1321652641609089E-2</v>
      </c>
      <c r="Q397" s="80">
        <f t="shared" si="400"/>
        <v>9.2552611220423457E-3</v>
      </c>
      <c r="R397" s="80">
        <f t="shared" si="400"/>
        <v>1.4456502663574899E-2</v>
      </c>
      <c r="S397" s="80">
        <f t="shared" si="400"/>
        <v>2.6139012842918051E-2</v>
      </c>
      <c r="T397" s="80">
        <f t="shared" si="400"/>
        <v>3.4516384755974225E-2</v>
      </c>
      <c r="U397" s="80">
        <f t="shared" si="400"/>
        <v>1.9703073471331219E-2</v>
      </c>
      <c r="V397" s="80">
        <f t="shared" si="400"/>
        <v>1.3810203706601193E-2</v>
      </c>
      <c r="W397" s="80">
        <f t="shared" si="400"/>
        <v>0</v>
      </c>
      <c r="X397" s="80">
        <f t="shared" si="400"/>
        <v>0</v>
      </c>
      <c r="Y397" s="80">
        <f t="shared" si="400"/>
        <v>0</v>
      </c>
      <c r="Z397" s="80">
        <f t="shared" si="400"/>
        <v>0</v>
      </c>
      <c r="AA397" s="80">
        <f t="shared" si="400"/>
        <v>0</v>
      </c>
      <c r="AB397" s="80">
        <f t="shared" si="400"/>
        <v>0</v>
      </c>
      <c r="AC397" s="80">
        <f t="shared" si="400"/>
        <v>0</v>
      </c>
      <c r="AD397" s="80">
        <f t="shared" si="400"/>
        <v>0</v>
      </c>
      <c r="AE397" s="80">
        <f t="shared" si="400"/>
        <v>0</v>
      </c>
      <c r="AF397" s="80">
        <f t="shared" si="400"/>
        <v>0</v>
      </c>
    </row>
    <row r="398" spans="1:34" x14ac:dyDescent="0.25">
      <c r="B398" s="21">
        <f>(B365-B364)^2</f>
        <v>30.151068469706615</v>
      </c>
      <c r="C398" s="21">
        <f t="shared" ref="C398:AF398" si="401">(C365-C364)^2</f>
        <v>5076.5158598112166</v>
      </c>
      <c r="D398" s="21">
        <f t="shared" si="401"/>
        <v>7267.0980439021241</v>
      </c>
      <c r="E398" s="21">
        <f t="shared" si="401"/>
        <v>7478.9192260918262</v>
      </c>
      <c r="F398" s="21">
        <f t="shared" si="401"/>
        <v>6546.7169131290821</v>
      </c>
      <c r="G398" s="21">
        <f t="shared" si="401"/>
        <v>4188.0888097312454</v>
      </c>
      <c r="H398" s="21">
        <f t="shared" si="401"/>
        <v>5129.767646434937</v>
      </c>
      <c r="I398" s="21">
        <f t="shared" si="401"/>
        <v>3421.2611578963324</v>
      </c>
      <c r="J398" s="21">
        <f t="shared" si="401"/>
        <v>4810.7505583461661</v>
      </c>
      <c r="K398" s="21">
        <f t="shared" si="401"/>
        <v>3016.9916300117161</v>
      </c>
      <c r="L398" s="21">
        <f t="shared" si="401"/>
        <v>4555.8770946174791</v>
      </c>
      <c r="M398" s="21">
        <f t="shared" si="401"/>
        <v>988.07926082024051</v>
      </c>
      <c r="N398" s="21">
        <f t="shared" si="401"/>
        <v>295.75857304211814</v>
      </c>
      <c r="O398" s="21">
        <f t="shared" si="401"/>
        <v>4566.8781828149076</v>
      </c>
      <c r="P398" s="21">
        <f t="shared" si="401"/>
        <v>4255.5010477158585</v>
      </c>
      <c r="Q398" s="21">
        <f t="shared" si="401"/>
        <v>522.41236712411103</v>
      </c>
      <c r="R398" s="21">
        <f t="shared" si="401"/>
        <v>709.71295395835807</v>
      </c>
      <c r="S398" s="21">
        <f t="shared" si="401"/>
        <v>1206.3697680258367</v>
      </c>
      <c r="T398" s="21">
        <f t="shared" si="401"/>
        <v>1072.5875662616268</v>
      </c>
      <c r="U398" s="21">
        <f t="shared" si="401"/>
        <v>212.23686208449726</v>
      </c>
      <c r="V398" s="21">
        <f t="shared" si="401"/>
        <v>74.297671950352395</v>
      </c>
      <c r="W398" s="21">
        <f t="shared" si="401"/>
        <v>3.8501054075438073</v>
      </c>
      <c r="X398" s="21">
        <f t="shared" si="401"/>
        <v>6.3925064116192756</v>
      </c>
      <c r="Y398" s="21">
        <f t="shared" si="401"/>
        <v>4.1709862588677572E-2</v>
      </c>
      <c r="Z398" s="21">
        <f t="shared" si="401"/>
        <v>0.95556099469452815</v>
      </c>
      <c r="AA398" s="21">
        <f t="shared" si="401"/>
        <v>3.3460100020864423</v>
      </c>
      <c r="AB398" s="21">
        <f t="shared" si="401"/>
        <v>17327.528954598594</v>
      </c>
      <c r="AC398" s="21">
        <f t="shared" si="401"/>
        <v>51084.018860403987</v>
      </c>
      <c r="AD398" s="21">
        <f t="shared" si="401"/>
        <v>50977.71292747905</v>
      </c>
      <c r="AE398" s="21">
        <f t="shared" si="401"/>
        <v>50881.470809678234</v>
      </c>
      <c r="AF398" s="21">
        <f t="shared" si="401"/>
        <v>50785.37074831497</v>
      </c>
      <c r="AG398" s="3"/>
      <c r="AH398" s="3"/>
    </row>
    <row r="399" spans="1:34" x14ac:dyDescent="0.25">
      <c r="A399" s="71">
        <f>SUM(B399:AF399)</f>
        <v>18459.711348415389</v>
      </c>
      <c r="B399" s="60">
        <f>IF($A$64&lt;=B363,IF($B$64&gt;=B363,ABS(B398),0),0)</f>
        <v>0</v>
      </c>
      <c r="C399" s="60">
        <f t="shared" ref="C399" si="402">IF($A$64&lt;=C363,IF($B$64&gt;=C363,ABS(C398),0),0)</f>
        <v>0</v>
      </c>
      <c r="D399" s="60">
        <f t="shared" ref="D399" si="403">IF($A$64&lt;=D363,IF($B$64&gt;=D363,ABS(D398),0),0)</f>
        <v>0</v>
      </c>
      <c r="E399" s="60">
        <f t="shared" ref="E399" si="404">IF($A$64&lt;=E363,IF($B$64&gt;=E363,ABS(E398),0),0)</f>
        <v>0</v>
      </c>
      <c r="F399" s="60">
        <f t="shared" ref="F399" si="405">IF($A$64&lt;=F363,IF($B$64&gt;=F363,ABS(F398),0),0)</f>
        <v>0</v>
      </c>
      <c r="G399" s="60">
        <f t="shared" ref="G399" si="406">IF($A$64&lt;=G363,IF($B$64&gt;=G363,ABS(G398),0),0)</f>
        <v>0</v>
      </c>
      <c r="H399" s="60">
        <f t="shared" ref="H399" si="407">IF($A$64&lt;=H363,IF($B$64&gt;=H363,ABS(H398),0),0)</f>
        <v>0</v>
      </c>
      <c r="I399" s="60">
        <f t="shared" ref="I399" si="408">IF($A$64&lt;=I363,IF($B$64&gt;=I363,ABS(I398),0),0)</f>
        <v>0</v>
      </c>
      <c r="J399" s="60">
        <f t="shared" ref="J399" si="409">IF($A$64&lt;=J363,IF($B$64&gt;=J363,ABS(J398),0),0)</f>
        <v>0</v>
      </c>
      <c r="K399" s="60">
        <f t="shared" ref="K399" si="410">IF($A$64&lt;=K363,IF($B$64&gt;=K363,ABS(K398),0),0)</f>
        <v>0</v>
      </c>
      <c r="L399" s="60">
        <f t="shared" ref="L399" si="411">IF($A$64&lt;=L363,IF($B$64&gt;=L363,ABS(L398),0),0)</f>
        <v>4555.8770946174791</v>
      </c>
      <c r="M399" s="60">
        <f t="shared" ref="M399" si="412">IF($A$64&lt;=M363,IF($B$64&gt;=M363,ABS(M398),0),0)</f>
        <v>988.07926082024051</v>
      </c>
      <c r="N399" s="60">
        <f t="shared" ref="N399" si="413">IF($A$64&lt;=N363,IF($B$64&gt;=N363,ABS(N398),0),0)</f>
        <v>295.75857304211814</v>
      </c>
      <c r="O399" s="60">
        <f t="shared" ref="O399" si="414">IF($A$64&lt;=O363,IF($B$64&gt;=O363,ABS(O398),0),0)</f>
        <v>4566.8781828149076</v>
      </c>
      <c r="P399" s="60">
        <f t="shared" ref="P399" si="415">IF($A$64&lt;=P363,IF($B$64&gt;=P363,ABS(P398),0),0)</f>
        <v>4255.5010477158585</v>
      </c>
      <c r="Q399" s="60">
        <f t="shared" ref="Q399" si="416">IF($A$64&lt;=Q363,IF($B$64&gt;=Q363,ABS(Q398),0),0)</f>
        <v>522.41236712411103</v>
      </c>
      <c r="R399" s="60">
        <f t="shared" ref="R399" si="417">IF($A$64&lt;=R363,IF($B$64&gt;=R363,ABS(R398),0),0)</f>
        <v>709.71295395835807</v>
      </c>
      <c r="S399" s="60">
        <f t="shared" ref="S399" si="418">IF($A$64&lt;=S363,IF($B$64&gt;=S363,ABS(S398),0),0)</f>
        <v>1206.3697680258367</v>
      </c>
      <c r="T399" s="60">
        <f t="shared" ref="T399" si="419">IF($A$64&lt;=T363,IF($B$64&gt;=T363,ABS(T398),0),0)</f>
        <v>1072.5875662616268</v>
      </c>
      <c r="U399" s="60">
        <f t="shared" ref="U399" si="420">IF($A$64&lt;=U363,IF($B$64&gt;=U363,ABS(U398),0),0)</f>
        <v>212.23686208449726</v>
      </c>
      <c r="V399" s="60">
        <f t="shared" ref="V399" si="421">IF($A$64&lt;=V363,IF($B$64&gt;=V363,ABS(V398),0),0)</f>
        <v>74.297671950352395</v>
      </c>
      <c r="W399" s="60">
        <f t="shared" ref="W399" si="422">IF($A$64&lt;=W363,IF($B$64&gt;=W363,ABS(W398),0),0)</f>
        <v>0</v>
      </c>
      <c r="X399" s="60">
        <f t="shared" ref="X399" si="423">IF($A$64&lt;=X363,IF($B$64&gt;=X363,ABS(X398),0),0)</f>
        <v>0</v>
      </c>
      <c r="Y399" s="60">
        <f t="shared" ref="Y399" si="424">IF($A$64&lt;=Y363,IF($B$64&gt;=Y363,ABS(Y398),0),0)</f>
        <v>0</v>
      </c>
      <c r="Z399" s="60">
        <f t="shared" ref="Z399" si="425">IF($A$64&lt;=Z363,IF($B$64&gt;=Z363,ABS(Z398),0),0)</f>
        <v>0</v>
      </c>
      <c r="AA399" s="60">
        <f t="shared" ref="AA399" si="426">IF($A$64&lt;=AA363,IF($B$64&gt;=AA363,ABS(AA398),0),0)</f>
        <v>0</v>
      </c>
      <c r="AB399" s="60">
        <f t="shared" ref="AB399" si="427">IF($A$64&lt;=AB363,IF($B$64&gt;=AB363,ABS(AB398),0),0)</f>
        <v>0</v>
      </c>
      <c r="AC399" s="60">
        <f t="shared" ref="AC399" si="428">IF($A$64&lt;=AC363,IF($B$64&gt;=AC363,ABS(AC398),0),0)</f>
        <v>0</v>
      </c>
      <c r="AD399" s="60">
        <f t="shared" ref="AD399" si="429">IF($A$64&lt;=AD363,IF($B$64&gt;=AD363,ABS(AD398),0),0)</f>
        <v>0</v>
      </c>
      <c r="AE399" s="60">
        <f t="shared" ref="AE399" si="430">IF($A$64&lt;=AE363,IF($B$64&gt;=AE363,ABS(AE398),0),0)</f>
        <v>0</v>
      </c>
      <c r="AF399" s="60">
        <f t="shared" ref="AF399" si="431">IF($A$64&lt;=AF363,IF($B$64&gt;=AF363,ABS(AF398),0),0)</f>
        <v>0</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5" t="s">
        <v>163</v>
      </c>
      <c r="K402" s="115"/>
      <c r="L402" s="115"/>
      <c r="M402" s="115"/>
      <c r="N402" s="115"/>
      <c r="O402" s="115"/>
      <c r="P402" s="115"/>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-11.075286108018116</v>
      </c>
      <c r="C403" s="107">
        <f t="shared" ref="C403:H403" si="432">IF(C125=$B$2,0,C126)</f>
        <v>-7.6140068110883616</v>
      </c>
      <c r="D403" s="107">
        <f t="shared" si="432"/>
        <v>-5.0324248356029004</v>
      </c>
      <c r="E403" s="107">
        <f t="shared" si="432"/>
        <v>-2.8351359473469957</v>
      </c>
      <c r="F403" s="107">
        <f t="shared" si="432"/>
        <v>0</v>
      </c>
      <c r="G403" s="107">
        <f t="shared" si="432"/>
        <v>5.8229860798278077</v>
      </c>
      <c r="H403" s="107">
        <f t="shared" si="432"/>
        <v>11.529070899829078</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1.5490461539440107E-20</v>
      </c>
      <c r="C404" s="3">
        <f t="shared" ref="C404:H419" si="433">$A404/EXP(-C$403)</f>
        <v>4.934905683193021E-19</v>
      </c>
      <c r="D404" s="3">
        <f t="shared" si="433"/>
        <v>6.5229742378881799E-18</v>
      </c>
      <c r="E404" s="3">
        <f t="shared" si="433"/>
        <v>5.8710543748649615E-17</v>
      </c>
      <c r="F404" s="3">
        <f t="shared" si="433"/>
        <v>1.0000000000000001E-15</v>
      </c>
      <c r="G404" s="3">
        <f t="shared" si="433"/>
        <v>3.3797978291319386E-13</v>
      </c>
      <c r="H404" s="3">
        <f t="shared" si="433"/>
        <v>1.0162764766847711E-10</v>
      </c>
      <c r="I404" s="109">
        <f>Comparison!AL3</f>
        <v>1.0000000000000001E-15</v>
      </c>
      <c r="J404" s="3">
        <f>Comparison!AM3</f>
        <v>10218.668827091791</v>
      </c>
      <c r="K404" s="3">
        <f>Comparison!AN3</f>
        <v>10065.543251576082</v>
      </c>
      <c r="L404" s="3">
        <f>Comparison!AO3</f>
        <v>9730.0167223959397</v>
      </c>
      <c r="M404" s="3">
        <f>Comparison!AP3</f>
        <v>9521.3086452220268</v>
      </c>
      <c r="N404" s="3">
        <f>Comparison!AQ3</f>
        <v>9259.9030429946288</v>
      </c>
      <c r="O404" s="3">
        <f>Comparison!AR3</f>
        <v>8600.88026028485</v>
      </c>
      <c r="P404" s="3">
        <f>Comparison!AS3</f>
        <v>7885.0238799750496</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1.5490461539440105E-19</v>
      </c>
      <c r="C405" s="3">
        <f t="shared" si="433"/>
        <v>4.9349056831930206E-18</v>
      </c>
      <c r="D405" s="3">
        <f t="shared" si="433"/>
        <v>6.5229742378881796E-17</v>
      </c>
      <c r="E405" s="3">
        <f t="shared" si="433"/>
        <v>5.871054374864961E-16</v>
      </c>
      <c r="F405" s="3">
        <f t="shared" si="433"/>
        <v>1E-14</v>
      </c>
      <c r="G405" s="3">
        <f t="shared" si="433"/>
        <v>3.3797978291319382E-12</v>
      </c>
      <c r="H405" s="3">
        <f t="shared" si="433"/>
        <v>1.0162764766847711E-9</v>
      </c>
      <c r="I405" s="109">
        <f>Comparison!AL4</f>
        <v>1E-14</v>
      </c>
      <c r="J405" s="3">
        <f>Comparison!AM4</f>
        <v>10130.735990154546</v>
      </c>
      <c r="K405" s="3">
        <f>Comparison!AN4</f>
        <v>9708.7484211633309</v>
      </c>
      <c r="L405" s="3">
        <f>Comparison!AO4</f>
        <v>9476.1525473419642</v>
      </c>
      <c r="M405" s="3">
        <f>Comparison!AP4</f>
        <v>9264.9569626866305</v>
      </c>
      <c r="N405" s="3">
        <f>Comparison!AQ4</f>
        <v>8975.4373156175916</v>
      </c>
      <c r="O405" s="3">
        <f>Comparison!AR4</f>
        <v>8258.5143784911779</v>
      </c>
      <c r="P405" s="3">
        <f>Comparison!AS4</f>
        <v>7533.2051738552464</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1.5490461539440106E-18</v>
      </c>
      <c r="C406" s="3">
        <f t="shared" si="433"/>
        <v>4.934905683193021E-17</v>
      </c>
      <c r="D406" s="3">
        <f t="shared" si="433"/>
        <v>6.5229742378881801E-16</v>
      </c>
      <c r="E406" s="3">
        <f t="shared" si="433"/>
        <v>5.871054374864961E-15</v>
      </c>
      <c r="F406" s="3">
        <f t="shared" si="433"/>
        <v>1E-13</v>
      </c>
      <c r="G406" s="3">
        <f t="shared" si="433"/>
        <v>3.3797978291319381E-11</v>
      </c>
      <c r="H406" s="3">
        <f t="shared" si="433"/>
        <v>1.0162764766847712E-8</v>
      </c>
      <c r="I406" s="109">
        <f>Comparison!AL5</f>
        <v>1E-13</v>
      </c>
      <c r="J406" s="3">
        <f>Comparison!AM5</f>
        <v>9815.5100842671618</v>
      </c>
      <c r="K406" s="3">
        <f>Comparison!AN5</f>
        <v>9504.080552546171</v>
      </c>
      <c r="L406" s="3">
        <f>Comparison!AO5</f>
        <v>9264.0506360514537</v>
      </c>
      <c r="M406" s="3">
        <f>Comparison!AP5</f>
        <v>9040.3201170121174</v>
      </c>
      <c r="N406" s="3">
        <f>Comparison!AQ5</f>
        <v>8718.1797337443004</v>
      </c>
      <c r="O406" s="3">
        <f>Comparison!AR5</f>
        <v>7962.1526037178537</v>
      </c>
      <c r="P406" s="3">
        <f>Comparison!AS5</f>
        <v>7191.2405725815324</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1.5490461539440104E-17</v>
      </c>
      <c r="C407" s="3">
        <f t="shared" si="433"/>
        <v>4.9349056831930212E-16</v>
      </c>
      <c r="D407" s="3">
        <f t="shared" si="433"/>
        <v>6.5229742378881795E-15</v>
      </c>
      <c r="E407" s="3">
        <f t="shared" si="433"/>
        <v>5.8710543748649604E-14</v>
      </c>
      <c r="F407" s="3">
        <f t="shared" si="433"/>
        <v>9.9999999999999998E-13</v>
      </c>
      <c r="G407" s="3">
        <f t="shared" si="433"/>
        <v>3.379797829131938E-10</v>
      </c>
      <c r="H407" s="3">
        <f t="shared" si="433"/>
        <v>1.0162764766847711E-7</v>
      </c>
      <c r="I407" s="109">
        <f>Comparison!AL6</f>
        <v>9.9999999999999998E-13</v>
      </c>
      <c r="J407" s="3">
        <f>Comparison!AM6</f>
        <v>9602.7895017015398</v>
      </c>
      <c r="K407" s="3">
        <f>Comparison!AN6</f>
        <v>9297.6034614201999</v>
      </c>
      <c r="L407" s="3">
        <f>Comparison!AO6</f>
        <v>9042.8661048910981</v>
      </c>
      <c r="M407" s="3">
        <f>Comparison!AP6</f>
        <v>8795.6860246078559</v>
      </c>
      <c r="N407" s="3">
        <f>Comparison!AQ6</f>
        <v>8453.8665906134283</v>
      </c>
      <c r="O407" s="3">
        <f>Comparison!AR6</f>
        <v>7694.1164691736458</v>
      </c>
      <c r="P407" s="3">
        <f>Comparison!AS6</f>
        <v>6812.4631092957497</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1.5490461539440104E-16</v>
      </c>
      <c r="C408" s="3">
        <f t="shared" si="433"/>
        <v>4.9349056831930206E-15</v>
      </c>
      <c r="D408" s="3">
        <f t="shared" si="433"/>
        <v>6.5229742378881789E-14</v>
      </c>
      <c r="E408" s="3">
        <f t="shared" si="433"/>
        <v>5.8710543748649612E-13</v>
      </c>
      <c r="F408" s="3">
        <f t="shared" si="433"/>
        <v>9.9999999999999994E-12</v>
      </c>
      <c r="G408" s="3">
        <f t="shared" si="433"/>
        <v>3.379797829131938E-9</v>
      </c>
      <c r="H408" s="3">
        <f t="shared" si="433"/>
        <v>1.016276476684771E-6</v>
      </c>
      <c r="I408" s="109">
        <f>Comparison!AL7</f>
        <v>9.9999999999999994E-12</v>
      </c>
      <c r="J408" s="3">
        <f>Comparison!AM7</f>
        <v>9403.9958104822508</v>
      </c>
      <c r="K408" s="3">
        <f>Comparison!AN7</f>
        <v>9077.0448832845814</v>
      </c>
      <c r="L408" s="3">
        <f>Comparison!AO7</f>
        <v>8796.5318501985184</v>
      </c>
      <c r="M408" s="3">
        <f>Comparison!AP7</f>
        <v>8532.6912536798991</v>
      </c>
      <c r="N408" s="3">
        <f>Comparison!AQ7</f>
        <v>8157.4497816903277</v>
      </c>
      <c r="O408" s="3">
        <f>Comparison!AR7</f>
        <v>7392.1118529421537</v>
      </c>
      <c r="P408" s="3">
        <f>Comparison!AS7</f>
        <v>6451.9725248759578</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1.5490461539440106E-15</v>
      </c>
      <c r="C409" s="3">
        <f t="shared" si="433"/>
        <v>4.934905683193021E-14</v>
      </c>
      <c r="D409" s="3">
        <f t="shared" si="433"/>
        <v>6.5229742378881794E-13</v>
      </c>
      <c r="E409" s="3">
        <f t="shared" si="433"/>
        <v>5.8710543748649614E-12</v>
      </c>
      <c r="F409" s="3">
        <f t="shared" si="433"/>
        <v>1E-10</v>
      </c>
      <c r="G409" s="3">
        <f t="shared" si="433"/>
        <v>3.3797978291319382E-8</v>
      </c>
      <c r="H409" s="3">
        <f t="shared" si="433"/>
        <v>1.0162764766847711E-5</v>
      </c>
      <c r="I409" s="109">
        <f>Comparison!AL8</f>
        <v>1E-10</v>
      </c>
      <c r="J409" s="3">
        <f>Comparison!AM8</f>
        <v>9185.6343104080297</v>
      </c>
      <c r="K409" s="3">
        <f>Comparison!AN8</f>
        <v>8833.9901329277236</v>
      </c>
      <c r="L409" s="3">
        <f>Comparison!AO8</f>
        <v>8532.9278199977016</v>
      </c>
      <c r="M409" s="3">
        <f>Comparison!AP8</f>
        <v>8244.2374276121209</v>
      </c>
      <c r="N409" s="3">
        <f>Comparison!AQ8</f>
        <v>7881.4803699008435</v>
      </c>
      <c r="O409" s="3">
        <f>Comparison!AR8</f>
        <v>7031.7099177768096</v>
      </c>
      <c r="P409" s="3">
        <f>Comparison!AS8</f>
        <v>6166.1047060884439</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1.5490461539440105E-14</v>
      </c>
      <c r="C410" s="3">
        <f t="shared" si="433"/>
        <v>4.9349056831930212E-13</v>
      </c>
      <c r="D410" s="3">
        <f t="shared" si="433"/>
        <v>6.52297423788818E-12</v>
      </c>
      <c r="E410" s="3">
        <f t="shared" si="433"/>
        <v>5.8710543748649617E-11</v>
      </c>
      <c r="F410" s="3">
        <f t="shared" si="433"/>
        <v>1.0000000000000001E-9</v>
      </c>
      <c r="G410" s="3">
        <f t="shared" si="433"/>
        <v>3.3797978291319386E-7</v>
      </c>
      <c r="H410" s="3">
        <f t="shared" si="433"/>
        <v>1.0162764766847711E-4</v>
      </c>
      <c r="I410" s="109">
        <f>Comparison!AL9</f>
        <v>1.0000000000000001E-9</v>
      </c>
      <c r="J410" s="3">
        <f>Comparison!AM9</f>
        <v>8956.3853461764484</v>
      </c>
      <c r="K410" s="3">
        <f>Comparison!AN9</f>
        <v>8570.1980588932365</v>
      </c>
      <c r="L410" s="3">
        <f>Comparison!AO9</f>
        <v>8242.1892422663423</v>
      </c>
      <c r="M410" s="3">
        <f>Comparison!AP9</f>
        <v>7958.2786468847135</v>
      </c>
      <c r="N410" s="3">
        <f>Comparison!AQ9</f>
        <v>7606.797789198542</v>
      </c>
      <c r="O410" s="3">
        <f>Comparison!AR9</f>
        <v>6653.2341038317008</v>
      </c>
      <c r="P410" s="3">
        <f>Comparison!AS9</f>
        <v>5881.0552739751101</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1.5490461539440105E-13</v>
      </c>
      <c r="C411" s="3">
        <f t="shared" si="433"/>
        <v>4.9349056831930212E-12</v>
      </c>
      <c r="D411" s="3">
        <f t="shared" si="433"/>
        <v>6.5229742378881792E-11</v>
      </c>
      <c r="E411" s="3">
        <f t="shared" si="433"/>
        <v>5.8710543748649612E-10</v>
      </c>
      <c r="F411" s="3">
        <f t="shared" si="433"/>
        <v>1E-8</v>
      </c>
      <c r="G411" s="3">
        <f t="shared" si="433"/>
        <v>3.3797978291319384E-6</v>
      </c>
      <c r="H411" s="3">
        <f t="shared" si="433"/>
        <v>1.0162764766847711E-3</v>
      </c>
      <c r="I411" s="109">
        <f>Comparison!AL10</f>
        <v>1E-8</v>
      </c>
      <c r="J411" s="3">
        <f>Comparison!AM10</f>
        <v>8694.0472851843733</v>
      </c>
      <c r="K411" s="3">
        <f>Comparison!AN10</f>
        <v>8282.9223634397895</v>
      </c>
      <c r="L411" s="3">
        <f>Comparison!AO10</f>
        <v>7957.4855284258747</v>
      </c>
      <c r="M411" s="3">
        <f>Comparison!AP10</f>
        <v>7687.376383967704</v>
      </c>
      <c r="N411" s="3">
        <f>Comparison!AQ10</f>
        <v>7278.8872759198184</v>
      </c>
      <c r="O411" s="3">
        <f>Comparison!AR10</f>
        <v>6325.3637954371716</v>
      </c>
      <c r="P411" s="3">
        <f>Comparison!AS10</f>
        <v>5609.3504910949478</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1.5490461539440104E-12</v>
      </c>
      <c r="C412" s="3">
        <f t="shared" si="433"/>
        <v>4.9349056831930207E-11</v>
      </c>
      <c r="D412" s="3">
        <f t="shared" si="433"/>
        <v>6.5229742378881797E-10</v>
      </c>
      <c r="E412" s="3">
        <f t="shared" si="433"/>
        <v>5.8710543748649608E-9</v>
      </c>
      <c r="F412" s="3">
        <f t="shared" si="433"/>
        <v>9.9999999999999995E-8</v>
      </c>
      <c r="G412" s="3">
        <f t="shared" si="433"/>
        <v>3.3797978291319381E-5</v>
      </c>
      <c r="H412" s="3">
        <f t="shared" si="433"/>
        <v>1.0162764766847712E-2</v>
      </c>
      <c r="I412" s="109">
        <f>Comparison!AL11</f>
        <v>9.9999999999999995E-8</v>
      </c>
      <c r="J412" s="3">
        <f>Comparison!AM11</f>
        <v>8422.2902852365987</v>
      </c>
      <c r="K412" s="3">
        <f>Comparison!AN11</f>
        <v>7993.641154385381</v>
      </c>
      <c r="L412" s="3">
        <f>Comparison!AO11</f>
        <v>7685.4052187432317</v>
      </c>
      <c r="M412" s="3">
        <f>Comparison!AP11</f>
        <v>7374.3712231841728</v>
      </c>
      <c r="N412" s="3">
        <f>Comparison!AQ11</f>
        <v>6902.9128773701668</v>
      </c>
      <c r="O412" s="3">
        <f>Comparison!AR11</f>
        <v>6045.8980186697399</v>
      </c>
      <c r="P412" s="3">
        <f>Comparison!AS11</f>
        <v>5323.5276590267758</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1.5490461539440105E-11</v>
      </c>
      <c r="C413" s="3">
        <f t="shared" si="433"/>
        <v>4.9349056831930204E-10</v>
      </c>
      <c r="D413" s="3">
        <f t="shared" si="433"/>
        <v>6.5229742378881791E-9</v>
      </c>
      <c r="E413" s="3">
        <f t="shared" si="433"/>
        <v>5.8710543748649606E-8</v>
      </c>
      <c r="F413" s="3">
        <f t="shared" si="433"/>
        <v>9.9999999999999995E-7</v>
      </c>
      <c r="G413" s="3">
        <f t="shared" si="433"/>
        <v>3.3797978291319383E-4</v>
      </c>
      <c r="H413" s="3">
        <f t="shared" si="433"/>
        <v>0.10162764766847711</v>
      </c>
      <c r="I413" s="109">
        <f>Comparison!AL12</f>
        <v>9.9999999999999995E-7</v>
      </c>
      <c r="J413" s="3">
        <f>Comparison!AM12</f>
        <v>8119.1133122846923</v>
      </c>
      <c r="K413" s="3">
        <f>Comparison!AN12</f>
        <v>7722.5102431706819</v>
      </c>
      <c r="L413" s="3">
        <f>Comparison!AO12</f>
        <v>7368.9543787655439</v>
      </c>
      <c r="M413" s="3">
        <f>Comparison!AP12</f>
        <v>7006.1552436770207</v>
      </c>
      <c r="N413" s="3">
        <f>Comparison!AQ12</f>
        <v>6533.8294095397778</v>
      </c>
      <c r="O413" s="3">
        <f>Comparison!AR12</f>
        <v>5765.1058423358591</v>
      </c>
      <c r="P413" s="3">
        <f>Comparison!AS12</f>
        <v>5061.2818561056738</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1.5490461539440107E-10</v>
      </c>
      <c r="C414" s="3">
        <f t="shared" si="433"/>
        <v>4.9349056831930215E-9</v>
      </c>
      <c r="D414" s="3">
        <f t="shared" si="433"/>
        <v>6.5229742378881807E-8</v>
      </c>
      <c r="E414" s="3">
        <f t="shared" si="433"/>
        <v>5.8710543748649611E-7</v>
      </c>
      <c r="F414" s="3">
        <f t="shared" si="433"/>
        <v>1.0000000000000001E-5</v>
      </c>
      <c r="G414" s="3">
        <f t="shared" si="433"/>
        <v>3.3797978291319384E-3</v>
      </c>
      <c r="H414" s="3">
        <f t="shared" si="433"/>
        <v>1.0162764766847712</v>
      </c>
      <c r="I414" s="109">
        <f>Comparison!AL13</f>
        <v>1.0000000000000001E-5</v>
      </c>
      <c r="J414" s="3">
        <f>Comparison!AM13</f>
        <v>7848.6797155048253</v>
      </c>
      <c r="K414" s="3">
        <f>Comparison!AN13</f>
        <v>7411.9254661857585</v>
      </c>
      <c r="L414" s="3">
        <f>Comparison!AO13</f>
        <v>6998.3812744112274</v>
      </c>
      <c r="M414" s="3">
        <f>Comparison!AP13</f>
        <v>6628.8785990090082</v>
      </c>
      <c r="N414" s="3">
        <f>Comparison!AQ13</f>
        <v>6236.0805337275306</v>
      </c>
      <c r="O414" s="3">
        <f>Comparison!AR13</f>
        <v>5486.9816625574504</v>
      </c>
      <c r="P414" s="3">
        <f>Comparison!AS13</f>
        <v>4733.4087396901623</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1.5490461539440106E-9</v>
      </c>
      <c r="C415" s="3">
        <f t="shared" si="433"/>
        <v>4.934905683193021E-8</v>
      </c>
      <c r="D415" s="3">
        <f t="shared" si="433"/>
        <v>6.5229742378881802E-7</v>
      </c>
      <c r="E415" s="3">
        <f t="shared" si="433"/>
        <v>5.8710543748649615E-6</v>
      </c>
      <c r="F415" s="3">
        <f t="shared" si="433"/>
        <v>1E-4</v>
      </c>
      <c r="G415" s="3">
        <f t="shared" si="433"/>
        <v>3.3797978291319385E-2</v>
      </c>
      <c r="H415" s="3">
        <f t="shared" si="433"/>
        <v>10.162764766847712</v>
      </c>
      <c r="I415" s="109">
        <f>Comparison!AL14</f>
        <v>1E-4</v>
      </c>
      <c r="J415" s="3">
        <f>Comparison!AM14</f>
        <v>7561.5718378512247</v>
      </c>
      <c r="K415" s="3">
        <f>Comparison!AN14</f>
        <v>7044.5082173262499</v>
      </c>
      <c r="L415" s="3">
        <f>Comparison!AO14</f>
        <v>6621.5844226341051</v>
      </c>
      <c r="M415" s="3">
        <f>Comparison!AP14</f>
        <v>6311.3720523241727</v>
      </c>
      <c r="N415" s="3">
        <f>Comparison!AQ14</f>
        <v>5950.4123980915811</v>
      </c>
      <c r="O415" s="3">
        <f>Comparison!AR14</f>
        <v>5211.1575946368548</v>
      </c>
      <c r="P415" s="3">
        <f>Comparison!AS14</f>
        <v>4393.7824312927287</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1.5490461539440106E-8</v>
      </c>
      <c r="C416" s="3">
        <f t="shared" si="433"/>
        <v>4.934905683193021E-7</v>
      </c>
      <c r="D416" s="3">
        <f t="shared" si="433"/>
        <v>6.5229742378881798E-6</v>
      </c>
      <c r="E416" s="3">
        <f t="shared" si="433"/>
        <v>5.8710543748649614E-5</v>
      </c>
      <c r="F416" s="3">
        <f t="shared" si="433"/>
        <v>1E-3</v>
      </c>
      <c r="G416" s="3">
        <f t="shared" si="433"/>
        <v>0.3379797829131938</v>
      </c>
      <c r="H416" s="3">
        <f t="shared" si="433"/>
        <v>101.62764766847711</v>
      </c>
      <c r="I416" s="109">
        <f>Comparison!AL15</f>
        <v>1E-3</v>
      </c>
      <c r="J416" s="3">
        <f>Comparison!AM15</f>
        <v>7212.0886309644511</v>
      </c>
      <c r="K416" s="3">
        <f>Comparison!AN15</f>
        <v>6664.4913259208079</v>
      </c>
      <c r="L416" s="3">
        <f>Comparison!AO15</f>
        <v>6307.1591705971805</v>
      </c>
      <c r="M416" s="3">
        <f>Comparison!AP15</f>
        <v>6028.2349504089671</v>
      </c>
      <c r="N416" s="3">
        <f>Comparison!AQ15</f>
        <v>5675.5372968728034</v>
      </c>
      <c r="O416" s="3">
        <f>Comparison!AR15</f>
        <v>4923.9623445747775</v>
      </c>
      <c r="P416" s="3">
        <f>Comparison!AS15</f>
        <v>4006.1265808261332</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1.5490461539440107E-7</v>
      </c>
      <c r="C417" s="3">
        <f t="shared" si="433"/>
        <v>4.9349056831930214E-6</v>
      </c>
      <c r="D417" s="3">
        <f t="shared" si="433"/>
        <v>6.5229742378881793E-5</v>
      </c>
      <c r="E417" s="3">
        <f t="shared" si="433"/>
        <v>5.8710543748649612E-4</v>
      </c>
      <c r="F417" s="3">
        <f t="shared" si="433"/>
        <v>0.01</v>
      </c>
      <c r="G417" s="3">
        <f t="shared" si="433"/>
        <v>3.3797978291319382</v>
      </c>
      <c r="H417" s="3">
        <f t="shared" si="433"/>
        <v>1016.2764766847712</v>
      </c>
      <c r="I417" s="109">
        <f>Comparison!AL16</f>
        <v>0.01</v>
      </c>
      <c r="J417" s="3">
        <f>Comparison!AM16</f>
        <v>6826.065675816817</v>
      </c>
      <c r="K417" s="3">
        <f>Comparison!AN16</f>
        <v>6341.2106146502829</v>
      </c>
      <c r="L417" s="3">
        <f>Comparison!AO16</f>
        <v>6022.8689849680577</v>
      </c>
      <c r="M417" s="3">
        <f>Comparison!AP16</f>
        <v>5748.7087759518809</v>
      </c>
      <c r="N417" s="3">
        <f>Comparison!AQ16</f>
        <v>5389.077424650558</v>
      </c>
      <c r="O417" s="3">
        <f>Comparison!AR16</f>
        <v>4584.0172032140918</v>
      </c>
      <c r="P417" s="3">
        <f>Comparison!AS16</f>
        <v>3576.233277328839</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1.5490461539440105E-6</v>
      </c>
      <c r="C418" s="3">
        <f t="shared" si="433"/>
        <v>4.9349056831930212E-5</v>
      </c>
      <c r="D418" s="3">
        <f t="shared" si="433"/>
        <v>6.5229742378881798E-4</v>
      </c>
      <c r="E418" s="3">
        <f t="shared" si="433"/>
        <v>5.8710543748649617E-3</v>
      </c>
      <c r="F418" s="3">
        <f t="shared" si="433"/>
        <v>0.1</v>
      </c>
      <c r="G418" s="3">
        <f t="shared" si="433"/>
        <v>33.797978291319382</v>
      </c>
      <c r="H418" s="3">
        <f t="shared" si="433"/>
        <v>10162.764766847711</v>
      </c>
      <c r="I418" s="109">
        <f>Comparison!AL17</f>
        <v>0.1</v>
      </c>
      <c r="J418" s="3">
        <f>Comparison!AM17</f>
        <v>6468.6777640443843</v>
      </c>
      <c r="K418" s="3">
        <f>Comparison!AN17</f>
        <v>6057.8856031721252</v>
      </c>
      <c r="L418" s="3">
        <f>Comparison!AO17</f>
        <v>5743.6712365645317</v>
      </c>
      <c r="M418" s="3">
        <f>Comparison!AP17</f>
        <v>5465.7818754747968</v>
      </c>
      <c r="N418" s="3">
        <f>Comparison!AQ17</f>
        <v>5123.5437168709832</v>
      </c>
      <c r="O418" s="3">
        <f>Comparison!AR17</f>
        <v>4221.1859974432145</v>
      </c>
      <c r="P418" s="3">
        <f>Comparison!AS17</f>
        <v>3059.5283871610445</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1.5490461539440105E-5</v>
      </c>
      <c r="C419" s="3">
        <f t="shared" si="433"/>
        <v>4.9349056831930207E-4</v>
      </c>
      <c r="D419" s="3">
        <f t="shared" si="433"/>
        <v>6.5229742378881796E-3</v>
      </c>
      <c r="E419" s="3">
        <f t="shared" si="433"/>
        <v>5.8710543748649612E-2</v>
      </c>
      <c r="F419" s="3">
        <f t="shared" si="433"/>
        <v>1</v>
      </c>
      <c r="G419" s="3">
        <f t="shared" si="433"/>
        <v>337.97978291319384</v>
      </c>
      <c r="H419" s="3">
        <f t="shared" si="433"/>
        <v>101627.64766847712</v>
      </c>
      <c r="I419" s="109">
        <f>Comparison!AL18</f>
        <v>1</v>
      </c>
      <c r="J419" s="3">
        <f>Comparison!AM18</f>
        <v>6185.0814076350389</v>
      </c>
      <c r="K419" s="3">
        <f>Comparison!AN18</f>
        <v>5776.2920069159836</v>
      </c>
      <c r="L419" s="3">
        <f>Comparison!AO18</f>
        <v>5459.2543435964462</v>
      </c>
      <c r="M419" s="3">
        <f>Comparison!AP18</f>
        <v>5192.657072535425</v>
      </c>
      <c r="N419" s="3">
        <f>Comparison!AQ18</f>
        <v>4799.280908658001</v>
      </c>
      <c r="O419" s="3">
        <f>Comparison!AR18</f>
        <v>3789.937412973562</v>
      </c>
      <c r="P419" s="3">
        <f>Comparison!AS18</f>
        <v>2469.5512794279489</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1.5490461539440105E-4</v>
      </c>
      <c r="C420" s="3">
        <f t="shared" si="434"/>
        <v>4.9349056831930211E-3</v>
      </c>
      <c r="D420" s="3">
        <f t="shared" si="434"/>
        <v>6.5229742378881794E-2</v>
      </c>
      <c r="E420" s="3">
        <f t="shared" si="434"/>
        <v>0.58710543748649613</v>
      </c>
      <c r="F420" s="3">
        <f t="shared" si="434"/>
        <v>10</v>
      </c>
      <c r="G420" s="3">
        <f t="shared" si="434"/>
        <v>3379.7978291319382</v>
      </c>
      <c r="H420" s="3">
        <f t="shared" si="434"/>
        <v>1016276.4766847711</v>
      </c>
      <c r="I420" s="109">
        <f>Comparison!AL19</f>
        <v>10</v>
      </c>
      <c r="J420" s="3">
        <f>Comparison!AM19</f>
        <v>5896.0070828362468</v>
      </c>
      <c r="K420" s="3">
        <f>Comparison!AN19</f>
        <v>5493.3830678495879</v>
      </c>
      <c r="L420" s="3">
        <f>Comparison!AO19</f>
        <v>5186.1259100095131</v>
      </c>
      <c r="M420" s="3">
        <f>Comparison!AP19</f>
        <v>4882.9062343607484</v>
      </c>
      <c r="N420" s="3">
        <f>Comparison!AQ19</f>
        <v>4430.6662258617935</v>
      </c>
      <c r="O420" s="3">
        <f>Comparison!AR19</f>
        <v>3283.8683924627298</v>
      </c>
      <c r="P420" s="3">
        <f>Comparison!AS19</f>
        <v>1842.799668868907</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1.5490461539440106E-3</v>
      </c>
      <c r="C421" s="3">
        <f t="shared" si="434"/>
        <v>4.9349056831930208E-2</v>
      </c>
      <c r="D421" s="3">
        <f t="shared" si="434"/>
        <v>0.65229742378881794</v>
      </c>
      <c r="E421" s="3">
        <f t="shared" si="434"/>
        <v>5.8710543748649613</v>
      </c>
      <c r="F421" s="3">
        <f t="shared" si="434"/>
        <v>100</v>
      </c>
      <c r="G421" s="3">
        <f t="shared" si="434"/>
        <v>33797.978291319385</v>
      </c>
      <c r="H421" s="3">
        <f t="shared" si="434"/>
        <v>10162764.766847711</v>
      </c>
      <c r="I421" s="109">
        <f>Comparison!AL20</f>
        <v>100</v>
      </c>
      <c r="J421" s="3">
        <f>Comparison!AM20</f>
        <v>5620.2326577203476</v>
      </c>
      <c r="K421" s="3">
        <f>Comparison!AN20</f>
        <v>5215.5329419319251</v>
      </c>
      <c r="L421" s="3">
        <f>Comparison!AO20</f>
        <v>4865.5108844814831</v>
      </c>
      <c r="M421" s="3">
        <f>Comparison!AP20</f>
        <v>4501.5398610325774</v>
      </c>
      <c r="N421" s="3">
        <f>Comparison!AQ20</f>
        <v>3990.4031488339651</v>
      </c>
      <c r="O421" s="3">
        <f>Comparison!AR20</f>
        <v>2714.7098539050189</v>
      </c>
      <c r="P421" s="3">
        <f>Comparison!AS20</f>
        <v>1328.7737512423464</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1.5490461539440106E-2</v>
      </c>
      <c r="C422" s="3">
        <f t="shared" si="434"/>
        <v>0.4934905683193021</v>
      </c>
      <c r="D422" s="3">
        <f t="shared" si="434"/>
        <v>6.5229742378881799</v>
      </c>
      <c r="E422" s="3">
        <f t="shared" si="434"/>
        <v>58.710543748649613</v>
      </c>
      <c r="F422" s="3">
        <f t="shared" si="434"/>
        <v>1000</v>
      </c>
      <c r="G422" s="3">
        <f t="shared" si="434"/>
        <v>337979.78291319381</v>
      </c>
      <c r="H422" s="3">
        <f t="shared" si="434"/>
        <v>101627647.66847712</v>
      </c>
      <c r="I422" s="109">
        <f>Comparison!AL21</f>
        <v>1000</v>
      </c>
      <c r="J422" s="3">
        <f>Comparison!AM21</f>
        <v>5330.7810569019748</v>
      </c>
      <c r="K422" s="3">
        <f>Comparison!AN21</f>
        <v>4897.7071873573095</v>
      </c>
      <c r="L422" s="3">
        <f>Comparison!AO21</f>
        <v>4471.3145751722259</v>
      </c>
      <c r="M422" s="3">
        <f>Comparison!AP21</f>
        <v>4066.6104281555185</v>
      </c>
      <c r="N422" s="3">
        <f>Comparison!AQ21</f>
        <v>3512.6173919241392</v>
      </c>
      <c r="O422" s="3">
        <f>Comparison!AR21</f>
        <v>2120.3389527808267</v>
      </c>
      <c r="P422" s="3">
        <f>Comparison!AS21</f>
        <v>948.83583319405307</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0.15490461539440106</v>
      </c>
      <c r="C423" s="3">
        <f t="shared" si="434"/>
        <v>4.9349056831930209</v>
      </c>
      <c r="D423" s="3">
        <f t="shared" si="434"/>
        <v>65.229742378881795</v>
      </c>
      <c r="E423" s="3">
        <f t="shared" si="434"/>
        <v>587.10543748649616</v>
      </c>
      <c r="F423" s="3">
        <f t="shared" si="434"/>
        <v>10000</v>
      </c>
      <c r="G423" s="3">
        <f t="shared" si="434"/>
        <v>3379797.8291319381</v>
      </c>
      <c r="H423" s="3">
        <f t="shared" si="434"/>
        <v>1016276476.6847711</v>
      </c>
      <c r="I423" s="109">
        <f>Comparison!AL22</f>
        <v>10000</v>
      </c>
      <c r="J423" s="3">
        <f>Comparison!AM22</f>
        <v>5056.458830124393</v>
      </c>
      <c r="K423" s="3">
        <f>Comparison!AN22</f>
        <v>4495.7217042422935</v>
      </c>
      <c r="L423" s="3">
        <f>Comparison!AO22</f>
        <v>4031.2545236434685</v>
      </c>
      <c r="M423" s="3">
        <f>Comparison!AP22</f>
        <v>3597.5685781370817</v>
      </c>
      <c r="N423" s="3">
        <f>Comparison!AQ22</f>
        <v>2997.1269883218743</v>
      </c>
      <c r="O423" s="3">
        <f>Comparison!AR22</f>
        <v>1549.2251736201158</v>
      </c>
      <c r="P423" s="3">
        <f>Comparison!AS22</f>
        <v>739.39486681916139</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1.5490461539440106</v>
      </c>
      <c r="C424" s="3">
        <f t="shared" si="434"/>
        <v>49.349056831930206</v>
      </c>
      <c r="D424" s="3">
        <f t="shared" si="434"/>
        <v>652.29742378881792</v>
      </c>
      <c r="E424" s="3">
        <f t="shared" si="434"/>
        <v>5871.0543748649616</v>
      </c>
      <c r="F424" s="3">
        <f t="shared" si="434"/>
        <v>100000</v>
      </c>
      <c r="G424" s="3">
        <f t="shared" si="434"/>
        <v>33797978.291319385</v>
      </c>
      <c r="H424" s="3">
        <f t="shared" si="434"/>
        <v>10162764766.847712</v>
      </c>
      <c r="I424" s="109">
        <f>Comparison!AL23</f>
        <v>100000</v>
      </c>
      <c r="J424" s="3">
        <f>Comparison!AM23</f>
        <v>4685.6312280238881</v>
      </c>
      <c r="K424" s="3">
        <f>Comparison!AN23</f>
        <v>4059.1954090175182</v>
      </c>
      <c r="L424" s="3">
        <f>Comparison!AO23</f>
        <v>3565.3464541885878</v>
      </c>
      <c r="M424" s="3">
        <f>Comparison!AP23</f>
        <v>3102.4717339118838</v>
      </c>
      <c r="N424" s="3">
        <f>Comparison!AQ23</f>
        <v>2450.4999019800034</v>
      </c>
      <c r="O424" s="3">
        <f>Comparison!AR23</f>
        <v>1115.0562509241029</v>
      </c>
      <c r="P424" s="3">
        <f>Comparison!AS23</f>
        <v>624.14790659062351</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15.490461539440105</v>
      </c>
      <c r="C425" s="3">
        <f t="shared" si="434"/>
        <v>493.4905683193021</v>
      </c>
      <c r="D425" s="3">
        <f t="shared" si="434"/>
        <v>6522.9742378881792</v>
      </c>
      <c r="E425" s="3">
        <f t="shared" si="434"/>
        <v>58710.543748649608</v>
      </c>
      <c r="F425" s="3">
        <f t="shared" si="434"/>
        <v>1000000</v>
      </c>
      <c r="G425" s="3">
        <f t="shared" si="434"/>
        <v>337979782.91319382</v>
      </c>
      <c r="H425" s="3">
        <f t="shared" si="434"/>
        <v>101627647668.47711</v>
      </c>
      <c r="I425" s="109">
        <f>Comparison!AL24</f>
        <v>1000000</v>
      </c>
      <c r="J425" s="3">
        <f>Comparison!AM24</f>
        <v>4271.8299665210579</v>
      </c>
      <c r="K425" s="3">
        <f>Comparison!AN24</f>
        <v>3597.5805592338243</v>
      </c>
      <c r="L425" s="3">
        <f>Comparison!AO24</f>
        <v>3072.2800042990852</v>
      </c>
      <c r="M425" s="3">
        <f>Comparison!AP24</f>
        <v>2568.6205512482802</v>
      </c>
      <c r="N425" s="3">
        <f>Comparison!AQ24</f>
        <v>1872.1545257089074</v>
      </c>
      <c r="O425" s="3">
        <f>Comparison!AR24</f>
        <v>819.57257707159806</v>
      </c>
      <c r="P425" s="3">
        <f>Comparison!AS24</f>
        <v>574.84813415628378</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154.90461539440105</v>
      </c>
      <c r="C426" s="3">
        <f t="shared" si="434"/>
        <v>4934.9056831930211</v>
      </c>
      <c r="D426" s="3">
        <f t="shared" si="434"/>
        <v>65229.742378881798</v>
      </c>
      <c r="E426" s="3">
        <f t="shared" si="434"/>
        <v>587105.43748649617</v>
      </c>
      <c r="F426" s="3">
        <f t="shared" si="434"/>
        <v>10000000</v>
      </c>
      <c r="G426" s="3">
        <f t="shared" si="434"/>
        <v>3379797829.131938</v>
      </c>
      <c r="H426" s="3">
        <f t="shared" si="434"/>
        <v>1016276476684.7711</v>
      </c>
      <c r="I426" s="109">
        <f>Comparison!AL25</f>
        <v>10000000</v>
      </c>
      <c r="J426" s="3">
        <f>Comparison!AM25</f>
        <v>3807.4701999642007</v>
      </c>
      <c r="K426" s="3">
        <f>Comparison!AN25</f>
        <v>3113.2980023229825</v>
      </c>
      <c r="L426" s="3">
        <f>Comparison!AO25</f>
        <v>2540.7682600840731</v>
      </c>
      <c r="M426" s="3">
        <f>Comparison!AP25</f>
        <v>2000.7316961631682</v>
      </c>
      <c r="N426" s="3">
        <f>Comparison!AQ25</f>
        <v>1367.4511296212941</v>
      </c>
      <c r="O426" s="3">
        <f>Comparison!AR25</f>
        <v>672.71182943032534</v>
      </c>
      <c r="P426" s="3">
        <f>Comparison!AS25</f>
        <v>540.01941971549797</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1549.0461539440105</v>
      </c>
      <c r="C427" s="3">
        <f t="shared" si="434"/>
        <v>49349.056831930211</v>
      </c>
      <c r="D427" s="3">
        <f t="shared" si="434"/>
        <v>652297.42378881795</v>
      </c>
      <c r="E427" s="3">
        <f t="shared" si="434"/>
        <v>5871054.374864961</v>
      </c>
      <c r="F427" s="3">
        <f t="shared" si="434"/>
        <v>100000000</v>
      </c>
      <c r="G427" s="3">
        <f t="shared" si="434"/>
        <v>33797978291.319382</v>
      </c>
      <c r="H427" s="3">
        <f t="shared" si="434"/>
        <v>10162764766847.711</v>
      </c>
      <c r="I427" s="109">
        <f>Comparison!AL26</f>
        <v>100000000</v>
      </c>
      <c r="J427" s="3">
        <f>Comparison!AM26</f>
        <v>3333.4500993282409</v>
      </c>
      <c r="K427" s="3">
        <f>Comparison!AN26</f>
        <v>2587.1664421745386</v>
      </c>
      <c r="L427" s="3">
        <f>Comparison!AO26</f>
        <v>1974.0579457073152</v>
      </c>
      <c r="M427" s="3">
        <f>Comparison!AP26</f>
        <v>1467.5042196825975</v>
      </c>
      <c r="N427" s="3">
        <f>Comparison!AQ26</f>
        <v>983.81195335121254</v>
      </c>
      <c r="O427" s="3">
        <f>Comparison!AR26</f>
        <v>592.26686963031818</v>
      </c>
      <c r="P427" s="3">
        <f>Comparison!AS26</f>
        <v>522.91431442377564</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15490.461539440106</v>
      </c>
      <c r="C428" s="3">
        <f t="shared" si="434"/>
        <v>493490.56831930211</v>
      </c>
      <c r="D428" s="3">
        <f t="shared" si="434"/>
        <v>6522974.2378881797</v>
      </c>
      <c r="E428" s="3">
        <f t="shared" si="434"/>
        <v>58710543.748649612</v>
      </c>
      <c r="F428" s="3">
        <f t="shared" si="434"/>
        <v>1000000000</v>
      </c>
      <c r="G428" s="3">
        <f t="shared" si="434"/>
        <v>337979782913.19385</v>
      </c>
      <c r="H428" s="3">
        <f t="shared" si="434"/>
        <v>101627647668477.11</v>
      </c>
      <c r="I428" s="109">
        <f>Comparison!AL27</f>
        <v>1000000000</v>
      </c>
      <c r="J428" s="3">
        <f>Comparison!AM27</f>
        <v>2813.9339254547094</v>
      </c>
      <c r="K428" s="3">
        <f>Comparison!AN27</f>
        <v>2025.5491425769458</v>
      </c>
      <c r="L428" s="3">
        <f>Comparison!AO27</f>
        <v>1447.7693345065175</v>
      </c>
      <c r="M428" s="3">
        <f>Comparison!AP27</f>
        <v>1058.8226695409851</v>
      </c>
      <c r="N428" s="3">
        <f>Comparison!AQ27</f>
        <v>755.24433140254177</v>
      </c>
      <c r="O428" s="3">
        <f>Comparison!AR27</f>
        <v>556.12366677692739</v>
      </c>
      <c r="P428" s="3">
        <f>Comparison!AS27</f>
        <v>512.28225991416207</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154904.61539440104</v>
      </c>
      <c r="C429" s="3">
        <f t="shared" si="434"/>
        <v>4934905.6831930205</v>
      </c>
      <c r="D429" s="3">
        <f t="shared" si="434"/>
        <v>65229742.378881797</v>
      </c>
      <c r="E429" s="3">
        <f t="shared" si="434"/>
        <v>587105437.48649609</v>
      </c>
      <c r="F429" s="3">
        <f t="shared" si="434"/>
        <v>10000000000</v>
      </c>
      <c r="G429" s="3">
        <f t="shared" si="434"/>
        <v>3379797829131.938</v>
      </c>
      <c r="H429" s="3">
        <f t="shared" si="434"/>
        <v>1016276476684771.1</v>
      </c>
      <c r="I429" s="109">
        <f>Comparison!AL28</f>
        <v>10000000000</v>
      </c>
      <c r="J429" s="3">
        <f>Comparison!AM28</f>
        <v>2264.5753602217969</v>
      </c>
      <c r="K429" s="3">
        <f>Comparison!AN28</f>
        <v>1488.3947775442189</v>
      </c>
      <c r="L429" s="3">
        <f>Comparison!AO28</f>
        <v>1044.3571981147218</v>
      </c>
      <c r="M429" s="3">
        <f>Comparison!AP28</f>
        <v>791.47453302018846</v>
      </c>
      <c r="N429" s="3">
        <f>Comparison!AQ28</f>
        <v>633.28610309701617</v>
      </c>
      <c r="O429" s="3">
        <f>Comparison!AR28</f>
        <v>528.75323853804991</v>
      </c>
      <c r="P429" s="3">
        <f>Comparison!AS28</f>
        <v>486.30628203230003</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1549046.1539440106</v>
      </c>
      <c r="C430" s="3">
        <f t="shared" si="434"/>
        <v>49349056.831930205</v>
      </c>
      <c r="D430" s="3">
        <f t="shared" si="434"/>
        <v>652297423.788818</v>
      </c>
      <c r="E430" s="3">
        <f t="shared" si="434"/>
        <v>5871054374.8649607</v>
      </c>
      <c r="F430" s="3">
        <f t="shared" si="434"/>
        <v>100000000000</v>
      </c>
      <c r="G430" s="3">
        <f t="shared" si="434"/>
        <v>33797978291319.383</v>
      </c>
      <c r="H430" s="3">
        <f t="shared" si="434"/>
        <v>1.0162764766847712E+16</v>
      </c>
      <c r="I430" s="109">
        <f>Comparison!AL29</f>
        <v>100000000000</v>
      </c>
      <c r="J430" s="3">
        <f>Comparison!AM29</f>
        <v>1691.7003845109305</v>
      </c>
      <c r="K430" s="3">
        <f>Comparison!AN29</f>
        <v>1075.2839868020503</v>
      </c>
      <c r="L430" s="3">
        <f>Comparison!AO29</f>
        <v>784.40987612375113</v>
      </c>
      <c r="M430" s="3">
        <f>Comparison!AP29</f>
        <v>655.80009654126911</v>
      </c>
      <c r="N430" s="3">
        <f>Comparison!AQ29</f>
        <v>577.24905136540178</v>
      </c>
      <c r="O430" s="3">
        <f>Comparison!AR29</f>
        <v>517.55067575260887</v>
      </c>
      <c r="P430" s="3">
        <f>Comparison!AS29</f>
        <v>477.16338311456207</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15490461.539440105</v>
      </c>
      <c r="C431" s="3">
        <f t="shared" si="434"/>
        <v>493490568.31930208</v>
      </c>
      <c r="D431" s="3">
        <f t="shared" si="434"/>
        <v>6522974237.8881798</v>
      </c>
      <c r="E431" s="3">
        <f t="shared" si="434"/>
        <v>58710543748.649612</v>
      </c>
      <c r="F431" s="3">
        <f t="shared" si="434"/>
        <v>1000000000000</v>
      </c>
      <c r="G431" s="3">
        <f t="shared" si="434"/>
        <v>337979782913193.81</v>
      </c>
      <c r="H431" s="3">
        <f t="shared" si="434"/>
        <v>1.016276476684771E+17</v>
      </c>
      <c r="I431" s="109">
        <f>Comparison!AL30</f>
        <v>1000000000000</v>
      </c>
      <c r="J431" s="3">
        <f>Comparison!AM30</f>
        <v>1230.3504248927311</v>
      </c>
      <c r="K431" s="3">
        <f>Comparison!AN30</f>
        <v>799.60727676982128</v>
      </c>
      <c r="L431" s="3">
        <f>Comparison!AO30</f>
        <v>651.40811766035665</v>
      </c>
      <c r="M431" s="3">
        <f>Comparison!AP30</f>
        <v>585.43210743850034</v>
      </c>
      <c r="N431" s="3">
        <f>Comparison!AQ30</f>
        <v>542.56491517927657</v>
      </c>
      <c r="O431" s="3">
        <f>Comparison!AR30</f>
        <v>499.76142817308812</v>
      </c>
      <c r="P431" s="3">
        <f>Comparison!AS30</f>
        <v>476.22593072507385</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154904615.39440104</v>
      </c>
      <c r="C432" s="3">
        <f t="shared" si="434"/>
        <v>4934905683.1930208</v>
      </c>
      <c r="D432" s="3">
        <f t="shared" si="434"/>
        <v>65229742378.881798</v>
      </c>
      <c r="E432" s="3">
        <f t="shared" si="434"/>
        <v>587105437486.49609</v>
      </c>
      <c r="F432" s="3">
        <f t="shared" si="434"/>
        <v>10000000000000</v>
      </c>
      <c r="G432" s="3">
        <f t="shared" si="434"/>
        <v>3379797829131938</v>
      </c>
      <c r="H432" s="3">
        <f t="shared" si="434"/>
        <v>1.0162764766847711E+18</v>
      </c>
      <c r="I432" s="109">
        <f>Comparison!AL31</f>
        <v>10000000000000</v>
      </c>
      <c r="J432" s="3">
        <f>Comparison!AM31</f>
        <v>888.25672531905332</v>
      </c>
      <c r="K432" s="3">
        <f>Comparison!AN31</f>
        <v>660.84412890819806</v>
      </c>
      <c r="L432" s="3">
        <f>Comparison!AO31</f>
        <v>583.80121108393644</v>
      </c>
      <c r="M432" s="3">
        <f>Comparison!AP31</f>
        <v>550.22961238933465</v>
      </c>
      <c r="N432" s="3">
        <f>Comparison!AQ31</f>
        <v>523.04517618896307</v>
      </c>
      <c r="O432" s="3">
        <f>Comparison!AR31</f>
        <v>478.96737917397832</v>
      </c>
      <c r="P432" s="3">
        <f>Comparison!AS31</f>
        <v>475.98047490013522</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1549046153.9440105</v>
      </c>
      <c r="C433" s="3">
        <f t="shared" si="434"/>
        <v>49349056831.930206</v>
      </c>
      <c r="D433" s="3">
        <f t="shared" si="434"/>
        <v>652297423788.81799</v>
      </c>
      <c r="E433" s="3">
        <f t="shared" si="434"/>
        <v>5871054374864.9609</v>
      </c>
      <c r="F433" s="3">
        <f t="shared" si="434"/>
        <v>100000000000000</v>
      </c>
      <c r="G433" s="3">
        <f t="shared" si="434"/>
        <v>3.379797829131938E+16</v>
      </c>
      <c r="H433" s="3">
        <f t="shared" si="434"/>
        <v>1.0162764766847711E+19</v>
      </c>
      <c r="I433" s="109">
        <f>Comparison!AL32</f>
        <v>100000000000000</v>
      </c>
      <c r="J433" s="3">
        <f>Comparison!AM32</f>
        <v>708.86645626754114</v>
      </c>
      <c r="K433" s="3">
        <f>Comparison!AN32</f>
        <v>587.16779346403064</v>
      </c>
      <c r="L433" s="3">
        <f>Comparison!AO32</f>
        <v>548.71871201984641</v>
      </c>
      <c r="M433" s="3">
        <f>Comparison!AP32</f>
        <v>525.95012363885235</v>
      </c>
      <c r="N433" s="3">
        <f>Comparison!AQ32</f>
        <v>513.02385818918287</v>
      </c>
      <c r="O433" s="3">
        <f>Comparison!AR32</f>
        <v>475.66972462501121</v>
      </c>
      <c r="P433" s="3">
        <f>Comparison!AS32</f>
        <v>475.76724400704541</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15490461539.440105</v>
      </c>
      <c r="C434" s="3">
        <f t="shared" si="434"/>
        <v>493490568319.30206</v>
      </c>
      <c r="D434" s="3">
        <f t="shared" si="434"/>
        <v>6522974237888.1797</v>
      </c>
      <c r="E434" s="3">
        <f t="shared" si="434"/>
        <v>58710543748649.609</v>
      </c>
      <c r="F434" s="3">
        <f t="shared" si="434"/>
        <v>1000000000000000</v>
      </c>
      <c r="G434" s="3">
        <f t="shared" si="434"/>
        <v>3.3797978291319379E+17</v>
      </c>
      <c r="H434" s="3">
        <f t="shared" si="434"/>
        <v>1.0162764766847712E+20</v>
      </c>
      <c r="I434" s="109">
        <f>Comparison!AL33</f>
        <v>1000000000000000</v>
      </c>
      <c r="J434" s="3">
        <f>Comparison!AM33</f>
        <v>607.16785102157667</v>
      </c>
      <c r="K434" s="3">
        <f>Comparison!AN33</f>
        <v>551.91226878266252</v>
      </c>
      <c r="L434" s="3">
        <f>Comparison!AO33</f>
        <v>525.29950476563715</v>
      </c>
      <c r="M434" s="3">
        <f>Comparison!AP33</f>
        <v>515.3503886433972</v>
      </c>
      <c r="N434" s="3">
        <f>Comparison!AQ33</f>
        <v>488.70376604058401</v>
      </c>
      <c r="O434" s="3">
        <f>Comparison!AR33</f>
        <v>475.44842733478526</v>
      </c>
      <c r="P434" s="3">
        <f>Comparison!AS33</f>
        <v>475.55412653805064</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21"/>
      <c r="B532" s="12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21"/>
      <c r="B581" s="12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21"/>
      <c r="B596" s="12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21"/>
      <c r="B650" s="12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tabSelected="1"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-11.075286108018116</v>
      </c>
      <c r="M1" s="54">
        <v>1</v>
      </c>
      <c r="N1" s="56">
        <f>INDEX($H$217:$P$217,1,Q1)</f>
        <v>0.10697861512627423</v>
      </c>
      <c r="O1" s="11"/>
      <c r="P1" s="55">
        <v>1</v>
      </c>
      <c r="Q1" s="11">
        <v>2</v>
      </c>
    </row>
    <row r="2" spans="1:17" x14ac:dyDescent="0.25">
      <c r="A2" s="11">
        <f>'Mastercurve bestimmen'!M119</f>
        <v>0</v>
      </c>
      <c r="B2" s="11">
        <f>'Mastercurve bestimmen'!N119</f>
        <v>-7.6140068110883616</v>
      </c>
      <c r="M2" s="54">
        <v>2</v>
      </c>
      <c r="N2" s="56">
        <f t="shared" ref="N2:N9" si="0">INDEX($H$217:$P$217,1,Q2)</f>
        <v>5.310726068744378E-4</v>
      </c>
      <c r="O2" s="11"/>
      <c r="P2" s="55">
        <v>2</v>
      </c>
      <c r="Q2" s="11">
        <f>Q1+1</f>
        <v>3</v>
      </c>
    </row>
    <row r="3" spans="1:17" x14ac:dyDescent="0.25">
      <c r="A3" s="11">
        <f>'Mastercurve bestimmen'!M120</f>
        <v>25</v>
      </c>
      <c r="B3" s="11">
        <f>'Mastercurve bestimmen'!N120</f>
        <v>-5.0324248356029004</v>
      </c>
      <c r="M3" s="54">
        <v>3</v>
      </c>
      <c r="N3" s="56">
        <f t="shared" si="0"/>
        <v>7.9501731416279246E-7</v>
      </c>
      <c r="O3" s="11"/>
      <c r="P3" s="55">
        <v>3</v>
      </c>
      <c r="Q3" s="11">
        <f t="shared" ref="Q3:Q8" si="1">Q2+1</f>
        <v>4</v>
      </c>
    </row>
    <row r="4" spans="1:17" x14ac:dyDescent="0.25">
      <c r="A4" s="11">
        <f>'Mastercurve bestimmen'!M121</f>
        <v>50</v>
      </c>
      <c r="B4" s="11">
        <f>'Mastercurve bestimmen'!N121</f>
        <v>-2.8351359473469957</v>
      </c>
      <c r="M4" s="54">
        <v>4</v>
      </c>
      <c r="N4" s="56">
        <f t="shared" si="0"/>
        <v>-6.9295904053095754E-8</v>
      </c>
      <c r="O4" s="11"/>
      <c r="P4" s="55">
        <v>4</v>
      </c>
      <c r="Q4" s="11">
        <f t="shared" si="1"/>
        <v>5</v>
      </c>
    </row>
    <row r="5" spans="1:17" x14ac:dyDescent="0.25">
      <c r="A5" s="11">
        <f>'Mastercurve bestimmen'!M122</f>
        <v>80</v>
      </c>
      <c r="B5" s="11">
        <f>'Mastercurve bestimmen'!N122</f>
        <v>0</v>
      </c>
      <c r="M5" s="54">
        <v>5</v>
      </c>
      <c r="N5" s="56">
        <f t="shared" si="0"/>
        <v>5.6397586461418594E-10</v>
      </c>
      <c r="O5" s="11"/>
      <c r="P5" s="55">
        <v>5</v>
      </c>
      <c r="Q5" s="11">
        <f t="shared" si="1"/>
        <v>6</v>
      </c>
    </row>
    <row r="6" spans="1:17" x14ac:dyDescent="0.25">
      <c r="A6" s="11">
        <f>'Mastercurve bestimmen'!M123</f>
        <v>125</v>
      </c>
      <c r="B6" s="11">
        <f>'Mastercurve bestimmen'!N123</f>
        <v>5.8229860798278077</v>
      </c>
      <c r="M6" s="54">
        <v>6</v>
      </c>
      <c r="N6" s="56">
        <f t="shared" si="0"/>
        <v>8.188194592910787E-12</v>
      </c>
      <c r="O6" s="11"/>
      <c r="P6" s="55">
        <v>6</v>
      </c>
      <c r="Q6" s="11">
        <f t="shared" si="1"/>
        <v>7</v>
      </c>
    </row>
    <row r="7" spans="1:17" x14ac:dyDescent="0.25">
      <c r="A7" s="11">
        <f>'Mastercurve bestimmen'!M124</f>
        <v>160</v>
      </c>
      <c r="B7" s="11">
        <f>'Mastercurve bestimmen'!N124</f>
        <v>11.529070899829078</v>
      </c>
      <c r="M7" s="54">
        <v>7</v>
      </c>
      <c r="N7" s="56">
        <f t="shared" si="0"/>
        <v>-5.7131557925725807E-14</v>
      </c>
      <c r="O7" s="11"/>
      <c r="P7" s="55">
        <v>7</v>
      </c>
      <c r="Q7" s="11">
        <f t="shared" si="1"/>
        <v>8</v>
      </c>
    </row>
    <row r="8" spans="1:17" x14ac:dyDescent="0.25">
      <c r="A8" s="11"/>
      <c r="B8" s="11"/>
      <c r="M8" s="54">
        <v>8</v>
      </c>
      <c r="N8" s="56">
        <f t="shared" si="0"/>
        <v>-4.8899573991007246E-16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-11.075286108018116</v>
      </c>
      <c r="E15" s="11">
        <f>A15-'Mastercurve bestimmen'!$B$2</f>
        <v>-120</v>
      </c>
      <c r="F15" s="11">
        <f>B15</f>
        <v>-11.075286108018116</v>
      </c>
      <c r="G15" s="11"/>
      <c r="H15" s="11">
        <f>IF($H$12&gt;=H$14,$E15^H$14,0)</f>
        <v>4.29981696E+16</v>
      </c>
      <c r="I15" s="11">
        <f t="shared" ref="I15:O30" si="3">IF($H$12&gt;=I$14,$E15^I$14,0)</f>
        <v>-358318080000000</v>
      </c>
      <c r="J15" s="11">
        <f t="shared" si="3"/>
        <v>2985984000000</v>
      </c>
      <c r="K15" s="11">
        <f t="shared" si="3"/>
        <v>-24883200000</v>
      </c>
      <c r="L15" s="11">
        <f t="shared" si="3"/>
        <v>207360000</v>
      </c>
      <c r="M15" s="11">
        <f t="shared" si="3"/>
        <v>-1728000</v>
      </c>
      <c r="N15" s="11">
        <f t="shared" si="3"/>
        <v>14400</v>
      </c>
      <c r="O15" s="11">
        <f t="shared" si="3"/>
        <v>-120</v>
      </c>
      <c r="P15" s="11">
        <v>0</v>
      </c>
    </row>
    <row r="16" spans="1:17" x14ac:dyDescent="0.25">
      <c r="A16" s="11">
        <f>A15+1</f>
        <v>-39</v>
      </c>
      <c r="B16" s="11">
        <v>-11.015479897451616</v>
      </c>
      <c r="E16" s="11">
        <f>A16-'Mastercurve bestimmen'!$B$2</f>
        <v>-119</v>
      </c>
      <c r="F16" s="11">
        <f t="shared" ref="F16:F79" si="4">B16</f>
        <v>-11.015479897451616</v>
      </c>
      <c r="G16" s="11"/>
      <c r="H16" s="11">
        <f t="shared" ref="H16:O47" si="5">IF($H$12&gt;=H$14,$E16^H$14,0)</f>
        <v>4.021385347163424E+16</v>
      </c>
      <c r="I16" s="11">
        <f t="shared" si="3"/>
        <v>-337931541778439</v>
      </c>
      <c r="J16" s="11">
        <f t="shared" si="3"/>
        <v>2839760855281</v>
      </c>
      <c r="K16" s="11">
        <f t="shared" si="3"/>
        <v>-23863536599</v>
      </c>
      <c r="L16" s="11">
        <f t="shared" si="3"/>
        <v>200533921</v>
      </c>
      <c r="M16" s="11">
        <f t="shared" si="3"/>
        <v>-1685159</v>
      </c>
      <c r="N16" s="11">
        <f t="shared" si="3"/>
        <v>14161</v>
      </c>
      <c r="O16" s="11">
        <f t="shared" si="3"/>
        <v>-119</v>
      </c>
      <c r="P16" s="11">
        <f>P15</f>
        <v>0</v>
      </c>
    </row>
    <row r="17" spans="1:16" x14ac:dyDescent="0.25">
      <c r="A17" s="11">
        <f t="shared" ref="A17:A80" si="6">A16+1</f>
        <v>-38</v>
      </c>
      <c r="B17" s="11">
        <v>-10.955573402562955</v>
      </c>
      <c r="E17" s="11">
        <f>A17-'Mastercurve bestimmen'!$B$2</f>
        <v>-118</v>
      </c>
      <c r="F17" s="11">
        <f t="shared" si="4"/>
        <v>-10.955573402562955</v>
      </c>
      <c r="G17" s="11"/>
      <c r="H17" s="11">
        <f t="shared" si="5"/>
        <v>3.7588592026706176E+16</v>
      </c>
      <c r="I17" s="11">
        <f t="shared" si="3"/>
        <v>-318547390056832</v>
      </c>
      <c r="J17" s="11">
        <f t="shared" si="3"/>
        <v>2699554153024</v>
      </c>
      <c r="K17" s="11">
        <f t="shared" si="3"/>
        <v>-22877577568</v>
      </c>
      <c r="L17" s="11">
        <f t="shared" si="3"/>
        <v>193877776</v>
      </c>
      <c r="M17" s="11">
        <f t="shared" si="3"/>
        <v>-1643032</v>
      </c>
      <c r="N17" s="11">
        <f t="shared" si="3"/>
        <v>13924</v>
      </c>
      <c r="O17" s="11">
        <f t="shared" si="3"/>
        <v>-118</v>
      </c>
      <c r="P17" s="11">
        <f t="shared" ref="P17:P80" si="7">P16</f>
        <v>0</v>
      </c>
    </row>
    <row r="18" spans="1:16" x14ac:dyDescent="0.25">
      <c r="A18" s="11">
        <f t="shared" si="6"/>
        <v>-37</v>
      </c>
      <c r="B18" s="11">
        <v>-10.895466339029964</v>
      </c>
      <c r="E18" s="11">
        <f>A18-'Mastercurve bestimmen'!$B$2</f>
        <v>-117</v>
      </c>
      <c r="F18" s="11">
        <f t="shared" si="4"/>
        <v>-10.895466339029964</v>
      </c>
      <c r="G18" s="11"/>
      <c r="H18" s="11">
        <f t="shared" si="5"/>
        <v>3.511453275801584E+16</v>
      </c>
      <c r="I18" s="11">
        <f t="shared" si="3"/>
        <v>-300124211606973</v>
      </c>
      <c r="J18" s="11">
        <f t="shared" si="3"/>
        <v>2565164201769</v>
      </c>
      <c r="K18" s="11">
        <f t="shared" si="3"/>
        <v>-21924480357</v>
      </c>
      <c r="L18" s="11">
        <f t="shared" si="3"/>
        <v>187388721</v>
      </c>
      <c r="M18" s="11">
        <f t="shared" si="3"/>
        <v>-1601613</v>
      </c>
      <c r="N18" s="11">
        <f t="shared" si="3"/>
        <v>13689</v>
      </c>
      <c r="O18" s="11">
        <f t="shared" si="3"/>
        <v>-117</v>
      </c>
      <c r="P18" s="11">
        <f t="shared" si="7"/>
        <v>0</v>
      </c>
    </row>
    <row r="19" spans="1:16" x14ac:dyDescent="0.25">
      <c r="A19" s="11">
        <f t="shared" si="6"/>
        <v>-36</v>
      </c>
      <c r="B19" s="11">
        <v>-10.83505842253048</v>
      </c>
      <c r="E19" s="11">
        <f>A19-'Mastercurve bestimmen'!$B$2</f>
        <v>-116</v>
      </c>
      <c r="F19" s="11">
        <f t="shared" si="4"/>
        <v>-10.83505842253048</v>
      </c>
      <c r="G19" s="11"/>
      <c r="H19" s="11">
        <f t="shared" si="5"/>
        <v>3.2784148919812096E+16</v>
      </c>
      <c r="I19" s="11">
        <f t="shared" si="3"/>
        <v>-282621973446656</v>
      </c>
      <c r="J19" s="11">
        <f t="shared" si="3"/>
        <v>2436396322816</v>
      </c>
      <c r="K19" s="11">
        <f t="shared" si="3"/>
        <v>-21003416576</v>
      </c>
      <c r="L19" s="11">
        <f t="shared" si="3"/>
        <v>181063936</v>
      </c>
      <c r="M19" s="11">
        <f t="shared" si="3"/>
        <v>-1560896</v>
      </c>
      <c r="N19" s="11">
        <f t="shared" si="3"/>
        <v>13456</v>
      </c>
      <c r="O19" s="11">
        <f t="shared" si="3"/>
        <v>-116</v>
      </c>
      <c r="P19" s="11">
        <f t="shared" si="7"/>
        <v>0</v>
      </c>
    </row>
    <row r="20" spans="1:16" x14ac:dyDescent="0.25">
      <c r="A20" s="11">
        <f t="shared" si="6"/>
        <v>-35</v>
      </c>
      <c r="B20" s="11">
        <v>-10.774249368742339</v>
      </c>
      <c r="E20" s="11">
        <f>A20-'Mastercurve bestimmen'!$B$2</f>
        <v>-115</v>
      </c>
      <c r="F20" s="11">
        <f t="shared" si="4"/>
        <v>-10.774249368742339</v>
      </c>
      <c r="G20" s="11"/>
      <c r="H20" s="11">
        <f t="shared" si="5"/>
        <v>3.0590228625390624E+16</v>
      </c>
      <c r="I20" s="11">
        <f t="shared" si="3"/>
        <v>-266001988046875</v>
      </c>
      <c r="J20" s="11">
        <f t="shared" si="3"/>
        <v>2313060765625</v>
      </c>
      <c r="K20" s="11">
        <f t="shared" si="3"/>
        <v>-20113571875</v>
      </c>
      <c r="L20" s="11">
        <f t="shared" si="3"/>
        <v>174900625</v>
      </c>
      <c r="M20" s="11">
        <f t="shared" si="3"/>
        <v>-1520875</v>
      </c>
      <c r="N20" s="11">
        <f t="shared" si="3"/>
        <v>13225</v>
      </c>
      <c r="O20" s="11">
        <f t="shared" si="3"/>
        <v>-115</v>
      </c>
      <c r="P20" s="11">
        <f t="shared" si="7"/>
        <v>0</v>
      </c>
    </row>
    <row r="21" spans="1:16" x14ac:dyDescent="0.25">
      <c r="A21" s="11">
        <f t="shared" si="6"/>
        <v>-34</v>
      </c>
      <c r="B21" s="11">
        <v>-10.712938893343379</v>
      </c>
      <c r="E21" s="11">
        <f>A21-'Mastercurve bestimmen'!$B$2</f>
        <v>-114</v>
      </c>
      <c r="F21" s="11">
        <f t="shared" si="4"/>
        <v>-10.712938893343379</v>
      </c>
      <c r="G21" s="11"/>
      <c r="H21" s="11">
        <f t="shared" si="5"/>
        <v>2.8525864220672256E+16</v>
      </c>
      <c r="I21" s="11">
        <f t="shared" si="3"/>
        <v>-250226879128704</v>
      </c>
      <c r="J21" s="11">
        <f t="shared" si="3"/>
        <v>2194972623936</v>
      </c>
      <c r="K21" s="11">
        <f t="shared" si="3"/>
        <v>-19254145824</v>
      </c>
      <c r="L21" s="11">
        <f t="shared" si="3"/>
        <v>168896016</v>
      </c>
      <c r="M21" s="11">
        <f t="shared" si="3"/>
        <v>-1481544</v>
      </c>
      <c r="N21" s="11">
        <f t="shared" si="3"/>
        <v>12996</v>
      </c>
      <c r="O21" s="11">
        <f t="shared" si="3"/>
        <v>-114</v>
      </c>
      <c r="P21" s="11">
        <f t="shared" si="7"/>
        <v>0</v>
      </c>
    </row>
    <row r="22" spans="1:16" x14ac:dyDescent="0.25">
      <c r="A22" s="11">
        <f t="shared" si="6"/>
        <v>-33</v>
      </c>
      <c r="B22">
        <v>-10.651026712011433</v>
      </c>
      <c r="E22" s="11">
        <f>A22-'Mastercurve bestimmen'!$B$2</f>
        <v>-113</v>
      </c>
      <c r="F22" s="11">
        <f t="shared" si="4"/>
        <v>-10.651026712011433</v>
      </c>
      <c r="G22" s="11"/>
      <c r="H22" s="11">
        <f t="shared" si="5"/>
        <v>2.658444192906432E+16</v>
      </c>
      <c r="I22" s="11">
        <f t="shared" si="3"/>
        <v>-235260548044817</v>
      </c>
      <c r="J22" s="11">
        <f t="shared" si="3"/>
        <v>2081951752609</v>
      </c>
      <c r="K22" s="11">
        <f t="shared" si="3"/>
        <v>-18424351793</v>
      </c>
      <c r="L22" s="11">
        <f t="shared" si="3"/>
        <v>163047361</v>
      </c>
      <c r="M22" s="11">
        <f t="shared" si="3"/>
        <v>-1442897</v>
      </c>
      <c r="N22" s="11">
        <f t="shared" si="3"/>
        <v>12769</v>
      </c>
      <c r="O22" s="11">
        <f t="shared" si="3"/>
        <v>-113</v>
      </c>
      <c r="P22" s="11">
        <f t="shared" si="7"/>
        <v>0</v>
      </c>
    </row>
    <row r="23" spans="1:16" x14ac:dyDescent="0.25">
      <c r="A23" s="11">
        <f t="shared" si="6"/>
        <v>-32</v>
      </c>
      <c r="B23">
        <v>-10.588412540424338</v>
      </c>
      <c r="E23" s="11">
        <f>A23-'Mastercurve bestimmen'!$B$2</f>
        <v>-112</v>
      </c>
      <c r="F23" s="11">
        <f t="shared" si="4"/>
        <v>-10.588412540424338</v>
      </c>
      <c r="G23" s="11"/>
      <c r="H23" s="11">
        <f t="shared" si="5"/>
        <v>2.4759631762948096E+16</v>
      </c>
      <c r="I23" s="11">
        <f t="shared" si="3"/>
        <v>-221068140740608</v>
      </c>
      <c r="J23" s="11">
        <f t="shared" si="3"/>
        <v>1973822685184</v>
      </c>
      <c r="K23" s="11">
        <f t="shared" si="3"/>
        <v>-17623416832</v>
      </c>
      <c r="L23" s="11">
        <f t="shared" si="3"/>
        <v>157351936</v>
      </c>
      <c r="M23" s="11">
        <f t="shared" si="3"/>
        <v>-1404928</v>
      </c>
      <c r="N23" s="11">
        <f t="shared" si="3"/>
        <v>12544</v>
      </c>
      <c r="O23" s="11">
        <f t="shared" si="3"/>
        <v>-112</v>
      </c>
      <c r="P23" s="11">
        <f t="shared" si="7"/>
        <v>0</v>
      </c>
    </row>
    <row r="24" spans="1:16" x14ac:dyDescent="0.25">
      <c r="A24" s="11">
        <f t="shared" si="6"/>
        <v>-31</v>
      </c>
      <c r="B24">
        <v>-10.524996094259929</v>
      </c>
      <c r="E24" s="11">
        <f>A24-'Mastercurve bestimmen'!$B$2</f>
        <v>-111</v>
      </c>
      <c r="F24" s="11">
        <f t="shared" si="4"/>
        <v>-10.524996094259929</v>
      </c>
      <c r="G24" s="11"/>
      <c r="H24" s="11">
        <f t="shared" si="5"/>
        <v>2.304537769717568E+16</v>
      </c>
      <c r="I24" s="11">
        <f t="shared" si="3"/>
        <v>-207616015289871</v>
      </c>
      <c r="J24" s="11">
        <f t="shared" si="3"/>
        <v>1870414552161</v>
      </c>
      <c r="K24" s="11">
        <f t="shared" si="3"/>
        <v>-16850581551</v>
      </c>
      <c r="L24" s="11">
        <f t="shared" si="3"/>
        <v>151807041</v>
      </c>
      <c r="M24" s="11">
        <f t="shared" si="3"/>
        <v>-1367631</v>
      </c>
      <c r="N24" s="11">
        <f t="shared" si="3"/>
        <v>12321</v>
      </c>
      <c r="O24" s="11">
        <f t="shared" si="3"/>
        <v>-111</v>
      </c>
      <c r="P24" s="11">
        <f t="shared" si="7"/>
        <v>0</v>
      </c>
    </row>
    <row r="25" spans="1:16" x14ac:dyDescent="0.25">
      <c r="A25" s="11">
        <f t="shared" si="6"/>
        <v>-30</v>
      </c>
      <c r="B25">
        <v>-10.460677089196047</v>
      </c>
      <c r="E25" s="11">
        <f>A25-'Mastercurve bestimmen'!$B$2</f>
        <v>-110</v>
      </c>
      <c r="F25" s="11">
        <f t="shared" si="4"/>
        <v>-10.460677089196047</v>
      </c>
      <c r="G25" s="11"/>
      <c r="H25" s="11">
        <f t="shared" si="5"/>
        <v>2.14358881E+16</v>
      </c>
      <c r="I25" s="11">
        <f t="shared" si="3"/>
        <v>-194871710000000</v>
      </c>
      <c r="J25" s="11">
        <f t="shared" si="3"/>
        <v>1771561000000</v>
      </c>
      <c r="K25" s="11">
        <f t="shared" si="3"/>
        <v>-16105100000</v>
      </c>
      <c r="L25" s="11">
        <f t="shared" si="3"/>
        <v>146410000</v>
      </c>
      <c r="M25" s="11">
        <f t="shared" si="3"/>
        <v>-1331000</v>
      </c>
      <c r="N25" s="11">
        <f t="shared" si="3"/>
        <v>12100</v>
      </c>
      <c r="O25" s="11">
        <f t="shared" si="3"/>
        <v>-110</v>
      </c>
      <c r="P25" s="11">
        <f t="shared" si="7"/>
        <v>0</v>
      </c>
    </row>
    <row r="26" spans="1:16" x14ac:dyDescent="0.25">
      <c r="A26" s="11">
        <f t="shared" si="6"/>
        <v>-29</v>
      </c>
      <c r="B26">
        <v>-10.395355240910517</v>
      </c>
      <c r="E26" s="11">
        <f>A26-'Mastercurve bestimmen'!$B$2</f>
        <v>-109</v>
      </c>
      <c r="F26" s="11">
        <f t="shared" si="4"/>
        <v>-10.395355240910517</v>
      </c>
      <c r="G26" s="11"/>
      <c r="H26" s="11">
        <f t="shared" si="5"/>
        <v>1.992562641690192E+16</v>
      </c>
      <c r="I26" s="11">
        <f t="shared" si="3"/>
        <v>-182803912081669</v>
      </c>
      <c r="J26" s="11">
        <f t="shared" si="3"/>
        <v>1677100110841</v>
      </c>
      <c r="K26" s="11">
        <f t="shared" si="3"/>
        <v>-15386239549</v>
      </c>
      <c r="L26" s="11">
        <f t="shared" si="3"/>
        <v>141158161</v>
      </c>
      <c r="M26" s="11">
        <f t="shared" si="3"/>
        <v>-1295029</v>
      </c>
      <c r="N26" s="11">
        <f t="shared" si="3"/>
        <v>11881</v>
      </c>
      <c r="O26" s="11">
        <f t="shared" si="3"/>
        <v>-109</v>
      </c>
      <c r="P26" s="11">
        <f t="shared" si="7"/>
        <v>0</v>
      </c>
    </row>
    <row r="27" spans="1:16" x14ac:dyDescent="0.25">
      <c r="A27" s="11">
        <f t="shared" si="6"/>
        <v>-28</v>
      </c>
      <c r="B27">
        <v>-10.328930265081187</v>
      </c>
      <c r="E27" s="11">
        <f>A27-'Mastercurve bestimmen'!$B$2</f>
        <v>-108</v>
      </c>
      <c r="F27" s="11">
        <f t="shared" si="4"/>
        <v>-10.328930265081187</v>
      </c>
      <c r="G27" s="11"/>
      <c r="H27" s="11">
        <f t="shared" si="5"/>
        <v>1.8509302102818816E+16</v>
      </c>
      <c r="I27" s="11">
        <f t="shared" si="3"/>
        <v>-171382426877952</v>
      </c>
      <c r="J27" s="11">
        <f t="shared" si="3"/>
        <v>1586874322944</v>
      </c>
      <c r="K27" s="11">
        <f t="shared" si="3"/>
        <v>-14693280768</v>
      </c>
      <c r="L27" s="11">
        <f t="shared" si="3"/>
        <v>136048896</v>
      </c>
      <c r="M27" s="11">
        <f t="shared" si="3"/>
        <v>-1259712</v>
      </c>
      <c r="N27" s="11">
        <f t="shared" si="3"/>
        <v>11664</v>
      </c>
      <c r="O27" s="11">
        <f t="shared" si="3"/>
        <v>-108</v>
      </c>
      <c r="P27" s="11">
        <f t="shared" si="7"/>
        <v>0</v>
      </c>
    </row>
    <row r="28" spans="1:16" x14ac:dyDescent="0.25">
      <c r="A28" s="11">
        <f t="shared" si="6"/>
        <v>-27</v>
      </c>
      <c r="B28">
        <v>-10.261301877385884</v>
      </c>
      <c r="E28" s="11">
        <f>A28-'Mastercurve bestimmen'!$B$2</f>
        <v>-107</v>
      </c>
      <c r="F28" s="11">
        <f t="shared" si="4"/>
        <v>-10.261301877385884</v>
      </c>
      <c r="G28" s="11"/>
      <c r="H28" s="11">
        <f t="shared" si="5"/>
        <v>1.71818617983192E+16</v>
      </c>
      <c r="I28" s="11">
        <f t="shared" si="3"/>
        <v>-160578147647843</v>
      </c>
      <c r="J28" s="11">
        <f t="shared" si="3"/>
        <v>1500730351849</v>
      </c>
      <c r="K28" s="11">
        <f t="shared" si="3"/>
        <v>-14025517307</v>
      </c>
      <c r="L28" s="11">
        <f t="shared" si="3"/>
        <v>131079601</v>
      </c>
      <c r="M28" s="11">
        <f t="shared" si="3"/>
        <v>-1225043</v>
      </c>
      <c r="N28" s="11">
        <f t="shared" si="3"/>
        <v>11449</v>
      </c>
      <c r="O28" s="11">
        <f t="shared" si="3"/>
        <v>-107</v>
      </c>
      <c r="P28" s="11">
        <f t="shared" si="7"/>
        <v>0</v>
      </c>
    </row>
    <row r="29" spans="1:16" x14ac:dyDescent="0.25">
      <c r="A29" s="11">
        <f t="shared" si="6"/>
        <v>-26</v>
      </c>
      <c r="B29">
        <v>-10.192369793502447</v>
      </c>
      <c r="E29" s="11">
        <f>A29-'Mastercurve bestimmen'!$B$2</f>
        <v>-106</v>
      </c>
      <c r="F29" s="11">
        <f t="shared" si="4"/>
        <v>-10.192369793502447</v>
      </c>
      <c r="G29" s="11"/>
      <c r="H29" s="11">
        <f t="shared" si="5"/>
        <v>1.5938480745308416E+16</v>
      </c>
      <c r="I29" s="11">
        <f t="shared" si="3"/>
        <v>-150363025899136</v>
      </c>
      <c r="J29" s="11">
        <f t="shared" si="3"/>
        <v>1418519112256</v>
      </c>
      <c r="K29" s="11">
        <f t="shared" si="3"/>
        <v>-13382255776</v>
      </c>
      <c r="L29" s="11">
        <f t="shared" si="3"/>
        <v>126247696</v>
      </c>
      <c r="M29" s="11">
        <f t="shared" si="3"/>
        <v>-1191016</v>
      </c>
      <c r="N29" s="11">
        <f t="shared" si="3"/>
        <v>11236</v>
      </c>
      <c r="O29" s="11">
        <f t="shared" si="3"/>
        <v>-106</v>
      </c>
      <c r="P29" s="11">
        <f t="shared" si="7"/>
        <v>0</v>
      </c>
    </row>
    <row r="30" spans="1:16" x14ac:dyDescent="0.25">
      <c r="A30" s="11">
        <f t="shared" si="6"/>
        <v>-25</v>
      </c>
      <c r="B30">
        <v>-10.122033729108713</v>
      </c>
      <c r="E30" s="11">
        <f>A30-'Mastercurve bestimmen'!$B$2</f>
        <v>-105</v>
      </c>
      <c r="F30" s="11">
        <f t="shared" si="4"/>
        <v>-10.122033729108713</v>
      </c>
      <c r="G30" s="11"/>
      <c r="H30" s="11">
        <f t="shared" si="5"/>
        <v>1.4774554437890624E+16</v>
      </c>
      <c r="I30" s="11">
        <f t="shared" si="3"/>
        <v>-140710042265625</v>
      </c>
      <c r="J30" s="11">
        <f t="shared" si="3"/>
        <v>1340095640625</v>
      </c>
      <c r="K30" s="11">
        <f t="shared" si="3"/>
        <v>-12762815625</v>
      </c>
      <c r="L30" s="11">
        <f t="shared" si="3"/>
        <v>121550625</v>
      </c>
      <c r="M30" s="11">
        <f t="shared" si="3"/>
        <v>-1157625</v>
      </c>
      <c r="N30" s="11">
        <f t="shared" si="3"/>
        <v>11025</v>
      </c>
      <c r="O30" s="11">
        <f t="shared" si="3"/>
        <v>-105</v>
      </c>
      <c r="P30" s="11">
        <f t="shared" si="7"/>
        <v>0</v>
      </c>
    </row>
    <row r="31" spans="1:16" x14ac:dyDescent="0.25">
      <c r="A31" s="11">
        <f t="shared" si="6"/>
        <v>-24</v>
      </c>
      <c r="B31">
        <v>-10.050193399882518</v>
      </c>
      <c r="E31" s="11">
        <f>A31-'Mastercurve bestimmen'!$B$2</f>
        <v>-104</v>
      </c>
      <c r="F31" s="11">
        <f t="shared" si="4"/>
        <v>-10.050193399882518</v>
      </c>
      <c r="G31" s="11"/>
      <c r="H31" s="11">
        <f t="shared" si="5"/>
        <v>1.3685690504052736E+16</v>
      </c>
      <c r="I31" s="11">
        <f t="shared" si="5"/>
        <v>-131593177923584</v>
      </c>
      <c r="J31" s="11">
        <f t="shared" si="5"/>
        <v>1265319018496</v>
      </c>
      <c r="K31" s="11">
        <f t="shared" si="5"/>
        <v>-12166529024</v>
      </c>
      <c r="L31" s="11">
        <f t="shared" si="5"/>
        <v>116985856</v>
      </c>
      <c r="M31" s="11">
        <f t="shared" si="5"/>
        <v>-1124864</v>
      </c>
      <c r="N31" s="11">
        <f t="shared" si="5"/>
        <v>10816</v>
      </c>
      <c r="O31" s="11">
        <f t="shared" si="5"/>
        <v>-104</v>
      </c>
      <c r="P31" s="11">
        <f t="shared" si="7"/>
        <v>0</v>
      </c>
    </row>
    <row r="32" spans="1:16" x14ac:dyDescent="0.25">
      <c r="A32" s="11">
        <f t="shared" si="6"/>
        <v>-23</v>
      </c>
      <c r="B32">
        <v>-9.9767485215016958</v>
      </c>
      <c r="E32" s="11">
        <f>A32-'Mastercurve bestimmen'!$B$2</f>
        <v>-103</v>
      </c>
      <c r="F32" s="11">
        <f t="shared" si="4"/>
        <v>-9.9767485215016958</v>
      </c>
      <c r="G32" s="11"/>
      <c r="H32" s="11">
        <f t="shared" si="5"/>
        <v>1.266770081387616E+16</v>
      </c>
      <c r="I32" s="11">
        <f t="shared" si="5"/>
        <v>-122987386542487</v>
      </c>
      <c r="J32" s="11">
        <f t="shared" si="5"/>
        <v>1194052296529</v>
      </c>
      <c r="K32" s="11">
        <f t="shared" si="5"/>
        <v>-11592740743</v>
      </c>
      <c r="L32" s="11">
        <f t="shared" si="5"/>
        <v>112550881</v>
      </c>
      <c r="M32" s="11">
        <f t="shared" si="5"/>
        <v>-1092727</v>
      </c>
      <c r="N32" s="11">
        <f t="shared" si="5"/>
        <v>10609</v>
      </c>
      <c r="O32" s="11">
        <f t="shared" si="5"/>
        <v>-103</v>
      </c>
      <c r="P32" s="11">
        <f t="shared" si="7"/>
        <v>0</v>
      </c>
    </row>
    <row r="33" spans="1:16" x14ac:dyDescent="0.25">
      <c r="A33" s="11">
        <f t="shared" si="6"/>
        <v>-22</v>
      </c>
      <c r="B33">
        <v>-9.9015988096440815</v>
      </c>
      <c r="E33" s="11">
        <f>A33-'Mastercurve bestimmen'!$B$2</f>
        <v>-102</v>
      </c>
      <c r="F33" s="11">
        <f t="shared" si="4"/>
        <v>-9.9015988096440815</v>
      </c>
      <c r="G33" s="11"/>
      <c r="H33" s="11">
        <f t="shared" si="5"/>
        <v>1.1716593810022656E+16</v>
      </c>
      <c r="I33" s="11">
        <f t="shared" si="5"/>
        <v>-114868566764928</v>
      </c>
      <c r="J33" s="11">
        <f t="shared" si="5"/>
        <v>1126162419264</v>
      </c>
      <c r="K33" s="11">
        <f t="shared" si="5"/>
        <v>-11040808032</v>
      </c>
      <c r="L33" s="11">
        <f t="shared" si="5"/>
        <v>108243216</v>
      </c>
      <c r="M33" s="11">
        <f t="shared" si="5"/>
        <v>-1061208</v>
      </c>
      <c r="N33" s="11">
        <f t="shared" si="5"/>
        <v>10404</v>
      </c>
      <c r="O33" s="11">
        <f t="shared" si="5"/>
        <v>-102</v>
      </c>
      <c r="P33" s="11">
        <f t="shared" si="7"/>
        <v>0</v>
      </c>
    </row>
    <row r="34" spans="1:16" x14ac:dyDescent="0.25">
      <c r="A34" s="11">
        <f t="shared" si="6"/>
        <v>-21</v>
      </c>
      <c r="B34">
        <v>-9.8246439799875134</v>
      </c>
      <c r="E34" s="11">
        <f>A34-'Mastercurve bestimmen'!$B$2</f>
        <v>-101</v>
      </c>
      <c r="F34" s="11">
        <f t="shared" si="4"/>
        <v>-9.8246439799875134</v>
      </c>
      <c r="G34" s="11"/>
      <c r="H34" s="11">
        <f t="shared" si="5"/>
        <v>1.08285670562808E+16</v>
      </c>
      <c r="I34" s="11">
        <f t="shared" si="5"/>
        <v>-107213535210701</v>
      </c>
      <c r="J34" s="11">
        <f t="shared" si="5"/>
        <v>1061520150601</v>
      </c>
      <c r="K34" s="11">
        <f t="shared" si="5"/>
        <v>-10510100501</v>
      </c>
      <c r="L34" s="11">
        <f t="shared" si="5"/>
        <v>104060401</v>
      </c>
      <c r="M34" s="11">
        <f t="shared" si="5"/>
        <v>-1030301</v>
      </c>
      <c r="N34" s="11">
        <f t="shared" si="5"/>
        <v>10201</v>
      </c>
      <c r="O34" s="11">
        <f t="shared" si="5"/>
        <v>-101</v>
      </c>
      <c r="P34" s="11">
        <f t="shared" si="7"/>
        <v>0</v>
      </c>
    </row>
    <row r="35" spans="1:16" x14ac:dyDescent="0.25">
      <c r="A35" s="11">
        <f t="shared" si="6"/>
        <v>-20</v>
      </c>
      <c r="B35">
        <v>-9.7457837482098277</v>
      </c>
      <c r="E35" s="11">
        <f>A35-'Mastercurve bestimmen'!$B$2</f>
        <v>-100</v>
      </c>
      <c r="F35" s="11">
        <f t="shared" si="4"/>
        <v>-9.7457837482098277</v>
      </c>
      <c r="G35" s="11"/>
      <c r="H35" s="11">
        <f t="shared" si="5"/>
        <v>1E+16</v>
      </c>
      <c r="I35" s="11">
        <f t="shared" si="5"/>
        <v>-100000000000000</v>
      </c>
      <c r="J35" s="11">
        <f t="shared" si="5"/>
        <v>1000000000000</v>
      </c>
      <c r="K35" s="11">
        <f t="shared" si="5"/>
        <v>-10000000000</v>
      </c>
      <c r="L35" s="11">
        <f t="shared" si="5"/>
        <v>100000000</v>
      </c>
      <c r="M35" s="11">
        <f t="shared" si="5"/>
        <v>-1000000</v>
      </c>
      <c r="N35" s="11">
        <f t="shared" si="5"/>
        <v>10000</v>
      </c>
      <c r="O35" s="11">
        <f t="shared" si="5"/>
        <v>-100</v>
      </c>
      <c r="P35" s="11">
        <f t="shared" si="7"/>
        <v>0</v>
      </c>
    </row>
    <row r="36" spans="1:16" x14ac:dyDescent="0.25">
      <c r="A36" s="11">
        <f t="shared" si="6"/>
        <v>-19</v>
      </c>
      <c r="B36">
        <v>-9.6649178299888572</v>
      </c>
      <c r="E36" s="11">
        <f>A36-'Mastercurve bestimmen'!$B$2</f>
        <v>-99</v>
      </c>
      <c r="F36" s="11">
        <f t="shared" si="4"/>
        <v>-9.6649178299888572</v>
      </c>
      <c r="G36" s="11"/>
      <c r="H36" s="11">
        <f t="shared" si="5"/>
        <v>9227446944279200</v>
      </c>
      <c r="I36" s="11">
        <f t="shared" si="5"/>
        <v>-93206534790699</v>
      </c>
      <c r="J36" s="11">
        <f t="shared" si="5"/>
        <v>941480149401</v>
      </c>
      <c r="K36" s="11">
        <f t="shared" si="5"/>
        <v>-9509900499</v>
      </c>
      <c r="L36" s="11">
        <f t="shared" si="5"/>
        <v>96059601</v>
      </c>
      <c r="M36" s="11">
        <f t="shared" si="5"/>
        <v>-970299</v>
      </c>
      <c r="N36" s="11">
        <f t="shared" si="5"/>
        <v>9801</v>
      </c>
      <c r="O36" s="11">
        <f t="shared" si="5"/>
        <v>-99</v>
      </c>
      <c r="P36" s="11">
        <f t="shared" si="7"/>
        <v>0</v>
      </c>
    </row>
    <row r="37" spans="1:16" x14ac:dyDescent="0.25">
      <c r="A37" s="11">
        <f t="shared" si="6"/>
        <v>-18</v>
      </c>
      <c r="B37">
        <v>-9.5819459410024415</v>
      </c>
      <c r="E37" s="11">
        <f>A37-'Mastercurve bestimmen'!$B$2</f>
        <v>-98</v>
      </c>
      <c r="F37" s="11">
        <f t="shared" si="4"/>
        <v>-9.5819459410024415</v>
      </c>
      <c r="G37" s="11"/>
      <c r="H37" s="11">
        <f t="shared" si="5"/>
        <v>8507630225817856</v>
      </c>
      <c r="I37" s="11">
        <f t="shared" si="5"/>
        <v>-86812553324672</v>
      </c>
      <c r="J37" s="11">
        <f t="shared" si="5"/>
        <v>885842380864</v>
      </c>
      <c r="K37" s="11">
        <f t="shared" si="5"/>
        <v>-9039207968</v>
      </c>
      <c r="L37" s="11">
        <f t="shared" si="5"/>
        <v>92236816</v>
      </c>
      <c r="M37" s="11">
        <f t="shared" si="5"/>
        <v>-941192</v>
      </c>
      <c r="N37" s="11">
        <f t="shared" si="5"/>
        <v>9604</v>
      </c>
      <c r="O37" s="11">
        <f t="shared" si="5"/>
        <v>-98</v>
      </c>
      <c r="P37" s="11">
        <f t="shared" si="7"/>
        <v>0</v>
      </c>
    </row>
    <row r="38" spans="1:16" x14ac:dyDescent="0.25">
      <c r="A38" s="11">
        <f t="shared" si="6"/>
        <v>-17</v>
      </c>
      <c r="B38">
        <v>-9.4967677969284132</v>
      </c>
      <c r="E38" s="11">
        <f>A38-'Mastercurve bestimmen'!$B$2</f>
        <v>-97</v>
      </c>
      <c r="F38" s="11">
        <f t="shared" si="4"/>
        <v>-9.4967677969284132</v>
      </c>
      <c r="G38" s="11"/>
      <c r="H38" s="11">
        <f t="shared" si="5"/>
        <v>7837433594376961</v>
      </c>
      <c r="I38" s="11">
        <f t="shared" si="5"/>
        <v>-80798284478113</v>
      </c>
      <c r="J38" s="11">
        <f t="shared" si="5"/>
        <v>832972004929</v>
      </c>
      <c r="K38" s="11">
        <f t="shared" si="5"/>
        <v>-8587340257</v>
      </c>
      <c r="L38" s="11">
        <f t="shared" si="5"/>
        <v>88529281</v>
      </c>
      <c r="M38" s="11">
        <f t="shared" si="5"/>
        <v>-912673</v>
      </c>
      <c r="N38" s="11">
        <f t="shared" si="5"/>
        <v>9409</v>
      </c>
      <c r="O38" s="11">
        <f t="shared" si="5"/>
        <v>-97</v>
      </c>
      <c r="P38" s="11">
        <f t="shared" si="7"/>
        <v>0</v>
      </c>
    </row>
    <row r="39" spans="1:16" x14ac:dyDescent="0.25">
      <c r="A39" s="11">
        <f t="shared" si="6"/>
        <v>-16</v>
      </c>
      <c r="B39">
        <v>-9.4092831134446087</v>
      </c>
      <c r="E39" s="11">
        <f>A39-'Mastercurve bestimmen'!$B$2</f>
        <v>-96</v>
      </c>
      <c r="F39" s="11">
        <f t="shared" si="4"/>
        <v>-9.4092831134446087</v>
      </c>
      <c r="G39" s="11"/>
      <c r="H39" s="11">
        <f t="shared" si="5"/>
        <v>7213895789838336</v>
      </c>
      <c r="I39" s="11">
        <f t="shared" si="5"/>
        <v>-75144747810816</v>
      </c>
      <c r="J39" s="11">
        <f t="shared" si="5"/>
        <v>782757789696</v>
      </c>
      <c r="K39" s="11">
        <f t="shared" si="5"/>
        <v>-8153726976</v>
      </c>
      <c r="L39" s="11">
        <f t="shared" si="5"/>
        <v>84934656</v>
      </c>
      <c r="M39" s="11">
        <f t="shared" si="5"/>
        <v>-884736</v>
      </c>
      <c r="N39" s="11">
        <f t="shared" si="5"/>
        <v>9216</v>
      </c>
      <c r="O39" s="11">
        <f t="shared" si="5"/>
        <v>-96</v>
      </c>
      <c r="P39" s="11">
        <f t="shared" si="7"/>
        <v>0</v>
      </c>
    </row>
    <row r="40" spans="1:16" x14ac:dyDescent="0.25">
      <c r="A40" s="11">
        <f t="shared" si="6"/>
        <v>-15</v>
      </c>
      <c r="B40">
        <v>-9.3193916062288675</v>
      </c>
      <c r="E40" s="11">
        <f>A40-'Mastercurve bestimmen'!$B$2</f>
        <v>-95</v>
      </c>
      <c r="F40" s="11">
        <f t="shared" si="4"/>
        <v>-9.3193916062288675</v>
      </c>
      <c r="G40" s="11"/>
      <c r="H40" s="11">
        <f t="shared" si="5"/>
        <v>6634204312890625</v>
      </c>
      <c r="I40" s="11">
        <f t="shared" si="5"/>
        <v>-69833729609375</v>
      </c>
      <c r="J40" s="11">
        <f t="shared" si="5"/>
        <v>735091890625</v>
      </c>
      <c r="K40" s="11">
        <f t="shared" si="5"/>
        <v>-7737809375</v>
      </c>
      <c r="L40" s="11">
        <f t="shared" si="5"/>
        <v>81450625</v>
      </c>
      <c r="M40" s="11">
        <f t="shared" si="5"/>
        <v>-857375</v>
      </c>
      <c r="N40" s="11">
        <f t="shared" si="5"/>
        <v>9025</v>
      </c>
      <c r="O40" s="11">
        <f t="shared" si="5"/>
        <v>-95</v>
      </c>
      <c r="P40" s="11">
        <f t="shared" si="7"/>
        <v>0</v>
      </c>
    </row>
    <row r="41" spans="1:16" x14ac:dyDescent="0.25">
      <c r="A41" s="11">
        <f t="shared" si="6"/>
        <v>-14</v>
      </c>
      <c r="B41">
        <v>-9.2269929909590207</v>
      </c>
      <c r="E41" s="11">
        <f>A41-'Mastercurve bestimmen'!$B$2</f>
        <v>-94</v>
      </c>
      <c r="F41" s="11">
        <f t="shared" si="4"/>
        <v>-9.2269929909590207</v>
      </c>
      <c r="G41" s="11"/>
      <c r="H41" s="11">
        <f t="shared" si="5"/>
        <v>6095689385410816</v>
      </c>
      <c r="I41" s="11">
        <f t="shared" si="5"/>
        <v>-64847759419264</v>
      </c>
      <c r="J41" s="11">
        <f t="shared" si="5"/>
        <v>689869781056</v>
      </c>
      <c r="K41" s="11">
        <f t="shared" si="5"/>
        <v>-7339040224</v>
      </c>
      <c r="L41" s="11">
        <f t="shared" si="5"/>
        <v>78074896</v>
      </c>
      <c r="M41" s="11">
        <f t="shared" si="5"/>
        <v>-830584</v>
      </c>
      <c r="N41" s="11">
        <f t="shared" si="5"/>
        <v>8836</v>
      </c>
      <c r="O41" s="11">
        <f t="shared" si="5"/>
        <v>-94</v>
      </c>
      <c r="P41" s="11">
        <f t="shared" si="7"/>
        <v>0</v>
      </c>
    </row>
    <row r="42" spans="1:16" x14ac:dyDescent="0.25">
      <c r="A42" s="11">
        <f t="shared" si="6"/>
        <v>-13</v>
      </c>
      <c r="B42">
        <v>-9.1319869833129061</v>
      </c>
      <c r="E42" s="11">
        <f>A42-'Mastercurve bestimmen'!$B$2</f>
        <v>-93</v>
      </c>
      <c r="F42" s="11">
        <f t="shared" si="4"/>
        <v>-9.1319869833129061</v>
      </c>
      <c r="G42" s="11"/>
      <c r="H42" s="11">
        <f t="shared" si="5"/>
        <v>5595818096650401</v>
      </c>
      <c r="I42" s="11">
        <f t="shared" si="5"/>
        <v>-60170087060757</v>
      </c>
      <c r="J42" s="11">
        <f t="shared" si="5"/>
        <v>646990183449</v>
      </c>
      <c r="K42" s="11">
        <f t="shared" si="5"/>
        <v>-6956883693</v>
      </c>
      <c r="L42" s="11">
        <f t="shared" si="5"/>
        <v>74805201</v>
      </c>
      <c r="M42" s="11">
        <f t="shared" si="5"/>
        <v>-804357</v>
      </c>
      <c r="N42" s="11">
        <f t="shared" si="5"/>
        <v>8649</v>
      </c>
      <c r="O42" s="11">
        <f t="shared" si="5"/>
        <v>-93</v>
      </c>
      <c r="P42" s="11">
        <f t="shared" si="7"/>
        <v>0</v>
      </c>
    </row>
    <row r="43" spans="1:16" x14ac:dyDescent="0.25">
      <c r="A43" s="11">
        <f t="shared" si="6"/>
        <v>-12</v>
      </c>
      <c r="B43">
        <v>-9.0342732989683601</v>
      </c>
      <c r="E43" s="11">
        <f>A43-'Mastercurve bestimmen'!$B$2</f>
        <v>-92</v>
      </c>
      <c r="F43" s="11">
        <f t="shared" si="4"/>
        <v>-9.0342732989683601</v>
      </c>
      <c r="G43" s="11"/>
      <c r="H43" s="11">
        <f t="shared" si="5"/>
        <v>5132188731375616</v>
      </c>
      <c r="I43" s="11">
        <f t="shared" si="5"/>
        <v>-55784660123648</v>
      </c>
      <c r="J43" s="11">
        <f t="shared" si="5"/>
        <v>606355001344</v>
      </c>
      <c r="K43" s="11">
        <f t="shared" si="5"/>
        <v>-6590815232</v>
      </c>
      <c r="L43" s="11">
        <f t="shared" si="5"/>
        <v>71639296</v>
      </c>
      <c r="M43" s="11">
        <f t="shared" si="5"/>
        <v>-778688</v>
      </c>
      <c r="N43" s="11">
        <f t="shared" si="5"/>
        <v>8464</v>
      </c>
      <c r="O43" s="11">
        <f t="shared" si="5"/>
        <v>-92</v>
      </c>
      <c r="P43" s="11">
        <f t="shared" si="7"/>
        <v>0</v>
      </c>
    </row>
    <row r="44" spans="1:16" x14ac:dyDescent="0.25">
      <c r="A44" s="11">
        <f t="shared" si="6"/>
        <v>-11</v>
      </c>
      <c r="B44">
        <v>-8.9337516536032169</v>
      </c>
      <c r="E44" s="11">
        <f>A44-'Mastercurve bestimmen'!$B$2</f>
        <v>-91</v>
      </c>
      <c r="F44" s="11">
        <f t="shared" si="4"/>
        <v>-8.9337516536032169</v>
      </c>
      <c r="G44" s="11"/>
      <c r="H44" s="11">
        <f t="shared" si="5"/>
        <v>4702525276151521</v>
      </c>
      <c r="I44" s="11">
        <f t="shared" si="5"/>
        <v>-51676101935731</v>
      </c>
      <c r="J44" s="11">
        <f t="shared" si="5"/>
        <v>567869252041</v>
      </c>
      <c r="K44" s="11">
        <f t="shared" si="5"/>
        <v>-6240321451</v>
      </c>
      <c r="L44" s="11">
        <f t="shared" si="5"/>
        <v>68574961</v>
      </c>
      <c r="M44" s="11">
        <f t="shared" si="5"/>
        <v>-753571</v>
      </c>
      <c r="N44" s="11">
        <f t="shared" si="5"/>
        <v>8281</v>
      </c>
      <c r="O44" s="11">
        <f t="shared" si="5"/>
        <v>-91</v>
      </c>
      <c r="P44" s="11">
        <f t="shared" si="7"/>
        <v>0</v>
      </c>
    </row>
    <row r="45" spans="1:16" x14ac:dyDescent="0.25">
      <c r="A45" s="11">
        <f t="shared" si="6"/>
        <v>-10</v>
      </c>
      <c r="B45">
        <v>-8.8303217628953146</v>
      </c>
      <c r="E45" s="11">
        <f>A45-'Mastercurve bestimmen'!$B$2</f>
        <v>-90</v>
      </c>
      <c r="F45" s="11">
        <f t="shared" si="4"/>
        <v>-8.8303217628953146</v>
      </c>
      <c r="G45" s="11"/>
      <c r="H45" s="11">
        <f t="shared" si="5"/>
        <v>4304672100000000</v>
      </c>
      <c r="I45" s="11">
        <f t="shared" si="5"/>
        <v>-47829690000000</v>
      </c>
      <c r="J45" s="11">
        <f t="shared" si="5"/>
        <v>531441000000</v>
      </c>
      <c r="K45" s="11">
        <f t="shared" si="5"/>
        <v>-5904900000</v>
      </c>
      <c r="L45" s="11">
        <f t="shared" si="5"/>
        <v>65610000</v>
      </c>
      <c r="M45" s="11">
        <f t="shared" si="5"/>
        <v>-729000</v>
      </c>
      <c r="N45" s="11">
        <f t="shared" si="5"/>
        <v>8100</v>
      </c>
      <c r="O45" s="11">
        <f t="shared" si="5"/>
        <v>-90</v>
      </c>
      <c r="P45" s="11">
        <f t="shared" si="7"/>
        <v>0</v>
      </c>
    </row>
    <row r="46" spans="1:16" x14ac:dyDescent="0.25">
      <c r="A46" s="11">
        <f t="shared" si="6"/>
        <v>-9</v>
      </c>
      <c r="B46">
        <v>-8.7238833425224875</v>
      </c>
      <c r="E46" s="11">
        <f>A46-'Mastercurve bestimmen'!$B$2</f>
        <v>-89</v>
      </c>
      <c r="F46" s="11">
        <f t="shared" si="4"/>
        <v>-8.7238833425224875</v>
      </c>
      <c r="G46" s="11"/>
      <c r="H46" s="11">
        <f t="shared" si="5"/>
        <v>3936588805702081</v>
      </c>
      <c r="I46" s="11">
        <f t="shared" si="5"/>
        <v>-44231334895529</v>
      </c>
      <c r="J46" s="11">
        <f t="shared" si="5"/>
        <v>496981290961</v>
      </c>
      <c r="K46" s="11">
        <f t="shared" si="5"/>
        <v>-5584059449</v>
      </c>
      <c r="L46" s="11">
        <f t="shared" si="5"/>
        <v>62742241</v>
      </c>
      <c r="M46" s="11">
        <f t="shared" si="5"/>
        <v>-704969</v>
      </c>
      <c r="N46" s="11">
        <f t="shared" si="5"/>
        <v>7921</v>
      </c>
      <c r="O46" s="11">
        <f t="shared" si="5"/>
        <v>-89</v>
      </c>
      <c r="P46" s="11">
        <f t="shared" si="7"/>
        <v>0</v>
      </c>
    </row>
    <row r="47" spans="1:16" x14ac:dyDescent="0.25">
      <c r="A47" s="11">
        <f t="shared" si="6"/>
        <v>-8</v>
      </c>
      <c r="B47">
        <v>-8.614336108162572</v>
      </c>
      <c r="E47" s="11">
        <f>A47-'Mastercurve bestimmen'!$B$2</f>
        <v>-88</v>
      </c>
      <c r="F47" s="11">
        <f t="shared" si="4"/>
        <v>-8.614336108162572</v>
      </c>
      <c r="G47" s="11"/>
      <c r="H47" s="11">
        <f t="shared" si="5"/>
        <v>3596345248055296</v>
      </c>
      <c r="I47" s="11">
        <f t="shared" si="5"/>
        <v>-40867559636992</v>
      </c>
      <c r="J47" s="11">
        <f t="shared" si="5"/>
        <v>464404086784</v>
      </c>
      <c r="K47" s="11">
        <f t="shared" si="5"/>
        <v>-5277319168</v>
      </c>
      <c r="L47" s="11">
        <f t="shared" si="5"/>
        <v>59969536</v>
      </c>
      <c r="M47" s="11">
        <f t="shared" si="5"/>
        <v>-681472</v>
      </c>
      <c r="N47" s="11">
        <f t="shared" si="5"/>
        <v>7744</v>
      </c>
      <c r="O47" s="11">
        <f t="shared" si="5"/>
        <v>-88</v>
      </c>
      <c r="P47" s="11">
        <f t="shared" si="7"/>
        <v>0</v>
      </c>
    </row>
    <row r="48" spans="1:16" x14ac:dyDescent="0.25">
      <c r="A48" s="11">
        <f t="shared" si="6"/>
        <v>-7</v>
      </c>
      <c r="B48">
        <v>-8.5015797754934042</v>
      </c>
      <c r="E48" s="11">
        <f>A48-'Mastercurve bestimmen'!$B$2</f>
        <v>-87</v>
      </c>
      <c r="F48" s="11">
        <f t="shared" si="4"/>
        <v>-8.5015797754934042</v>
      </c>
      <c r="G48" s="11"/>
      <c r="H48" s="11">
        <f t="shared" ref="H48:O79" si="8">IF($H$12&gt;=H$14,$E48^H$14,0)</f>
        <v>3282116715437121</v>
      </c>
      <c r="I48" s="11">
        <f t="shared" si="8"/>
        <v>-37725479487783</v>
      </c>
      <c r="J48" s="11">
        <f t="shared" si="8"/>
        <v>433626201009</v>
      </c>
      <c r="K48" s="11">
        <f t="shared" si="8"/>
        <v>-4984209207</v>
      </c>
      <c r="L48" s="11">
        <f t="shared" si="8"/>
        <v>57289761</v>
      </c>
      <c r="M48" s="11">
        <f t="shared" si="8"/>
        <v>-658503</v>
      </c>
      <c r="N48" s="11">
        <f t="shared" si="8"/>
        <v>7569</v>
      </c>
      <c r="O48" s="11">
        <f t="shared" si="8"/>
        <v>-87</v>
      </c>
      <c r="P48" s="11">
        <f t="shared" si="7"/>
        <v>0</v>
      </c>
    </row>
    <row r="49" spans="1:16" x14ac:dyDescent="0.25">
      <c r="A49" s="11">
        <f t="shared" si="6"/>
        <v>-6</v>
      </c>
      <c r="B49">
        <v>-8.3855140601928184</v>
      </c>
      <c r="E49" s="11">
        <f>A49-'Mastercurve bestimmen'!$B$2</f>
        <v>-86</v>
      </c>
      <c r="F49" s="11">
        <f t="shared" si="4"/>
        <v>-8.3855140601928184</v>
      </c>
      <c r="G49" s="11"/>
      <c r="H49" s="11">
        <f t="shared" si="8"/>
        <v>2992179271065856</v>
      </c>
      <c r="I49" s="11">
        <f t="shared" si="8"/>
        <v>-34792782221696</v>
      </c>
      <c r="J49" s="11">
        <f t="shared" si="8"/>
        <v>404567235136</v>
      </c>
      <c r="K49" s="11">
        <f t="shared" si="8"/>
        <v>-4704270176</v>
      </c>
      <c r="L49" s="11">
        <f t="shared" si="8"/>
        <v>54700816</v>
      </c>
      <c r="M49" s="11">
        <f t="shared" si="8"/>
        <v>-636056</v>
      </c>
      <c r="N49" s="11">
        <f t="shared" si="8"/>
        <v>7396</v>
      </c>
      <c r="O49" s="11">
        <f t="shared" si="8"/>
        <v>-86</v>
      </c>
      <c r="P49" s="11">
        <f t="shared" si="7"/>
        <v>0</v>
      </c>
    </row>
    <row r="50" spans="1:16" x14ac:dyDescent="0.25">
      <c r="A50" s="11">
        <f t="shared" si="6"/>
        <v>-5</v>
      </c>
      <c r="B50">
        <v>-8.2660386779386528</v>
      </c>
      <c r="E50" s="11">
        <f>A50-'Mastercurve bestimmen'!$B$2</f>
        <v>-85</v>
      </c>
      <c r="F50" s="11">
        <f t="shared" si="4"/>
        <v>-8.2660386779386528</v>
      </c>
      <c r="G50" s="11"/>
      <c r="H50" s="11">
        <f t="shared" si="8"/>
        <v>2724905250390625</v>
      </c>
      <c r="I50" s="11">
        <f t="shared" si="8"/>
        <v>-32057708828125</v>
      </c>
      <c r="J50" s="11">
        <f t="shared" si="8"/>
        <v>377149515625</v>
      </c>
      <c r="K50" s="11">
        <f t="shared" si="8"/>
        <v>-4437053125</v>
      </c>
      <c r="L50" s="11">
        <f t="shared" si="8"/>
        <v>52200625</v>
      </c>
      <c r="M50" s="11">
        <f t="shared" si="8"/>
        <v>-614125</v>
      </c>
      <c r="N50" s="11">
        <f t="shared" si="8"/>
        <v>7225</v>
      </c>
      <c r="O50" s="11">
        <f t="shared" si="8"/>
        <v>-85</v>
      </c>
      <c r="P50" s="11">
        <f t="shared" si="7"/>
        <v>0</v>
      </c>
    </row>
    <row r="51" spans="1:16" x14ac:dyDescent="0.25">
      <c r="A51" s="11">
        <f t="shared" si="6"/>
        <v>-4</v>
      </c>
      <c r="B51">
        <v>-8.1430533444087416</v>
      </c>
      <c r="E51" s="11">
        <f>A51-'Mastercurve bestimmen'!$B$2</f>
        <v>-84</v>
      </c>
      <c r="F51" s="11">
        <f t="shared" si="4"/>
        <v>-8.1430533444087416</v>
      </c>
      <c r="G51" s="11"/>
      <c r="H51" s="11">
        <f t="shared" si="8"/>
        <v>2478758911082496</v>
      </c>
      <c r="I51" s="11">
        <f t="shared" si="8"/>
        <v>-29509034655744</v>
      </c>
      <c r="J51" s="11">
        <f t="shared" si="8"/>
        <v>351298031616</v>
      </c>
      <c r="K51" s="11">
        <f t="shared" si="8"/>
        <v>-4182119424</v>
      </c>
      <c r="L51" s="11">
        <f t="shared" si="8"/>
        <v>49787136</v>
      </c>
      <c r="M51" s="11">
        <f t="shared" si="8"/>
        <v>-592704</v>
      </c>
      <c r="N51" s="11">
        <f t="shared" si="8"/>
        <v>7056</v>
      </c>
      <c r="O51" s="11">
        <f t="shared" si="8"/>
        <v>-84</v>
      </c>
      <c r="P51" s="11">
        <f t="shared" si="7"/>
        <v>0</v>
      </c>
    </row>
    <row r="52" spans="1:16" x14ac:dyDescent="0.25">
      <c r="A52" s="11">
        <f t="shared" si="6"/>
        <v>-3</v>
      </c>
      <c r="B52">
        <v>-8.0164577752809212</v>
      </c>
      <c r="E52" s="11">
        <f>A52-'Mastercurve bestimmen'!$B$2</f>
        <v>-83</v>
      </c>
      <c r="F52" s="11">
        <f t="shared" si="4"/>
        <v>-8.0164577752809212</v>
      </c>
      <c r="G52" s="11"/>
      <c r="H52" s="11">
        <f t="shared" si="8"/>
        <v>2252292232139041</v>
      </c>
      <c r="I52" s="11">
        <f t="shared" si="8"/>
        <v>-27136050989627</v>
      </c>
      <c r="J52" s="11">
        <f t="shared" si="8"/>
        <v>326940373369</v>
      </c>
      <c r="K52" s="11">
        <f t="shared" si="8"/>
        <v>-3939040643</v>
      </c>
      <c r="L52" s="11">
        <f t="shared" si="8"/>
        <v>47458321</v>
      </c>
      <c r="M52" s="11">
        <f t="shared" si="8"/>
        <v>-571787</v>
      </c>
      <c r="N52" s="11">
        <f t="shared" si="8"/>
        <v>6889</v>
      </c>
      <c r="O52" s="11">
        <f t="shared" si="8"/>
        <v>-83</v>
      </c>
      <c r="P52" s="11">
        <f t="shared" si="7"/>
        <v>0</v>
      </c>
    </row>
    <row r="53" spans="1:16" x14ac:dyDescent="0.25">
      <c r="A53" s="11">
        <f t="shared" si="6"/>
        <v>-2</v>
      </c>
      <c r="B53">
        <v>-7.8861516862330259</v>
      </c>
      <c r="E53" s="11">
        <f>A53-'Mastercurve bestimmen'!$B$2</f>
        <v>-82</v>
      </c>
      <c r="F53" s="11">
        <f t="shared" si="4"/>
        <v>-7.8861516862330259</v>
      </c>
      <c r="G53" s="11"/>
      <c r="H53" s="11">
        <f t="shared" si="8"/>
        <v>2044140858654976</v>
      </c>
      <c r="I53" s="11">
        <f t="shared" si="8"/>
        <v>-24928547056768</v>
      </c>
      <c r="J53" s="11">
        <f t="shared" si="8"/>
        <v>304006671424</v>
      </c>
      <c r="K53" s="11">
        <f t="shared" si="8"/>
        <v>-3707398432</v>
      </c>
      <c r="L53" s="11">
        <f t="shared" si="8"/>
        <v>45212176</v>
      </c>
      <c r="M53" s="11">
        <f t="shared" si="8"/>
        <v>-551368</v>
      </c>
      <c r="N53" s="11">
        <f t="shared" si="8"/>
        <v>6724</v>
      </c>
      <c r="O53" s="11">
        <f t="shared" si="8"/>
        <v>-82</v>
      </c>
      <c r="P53" s="11">
        <f t="shared" si="7"/>
        <v>0</v>
      </c>
    </row>
    <row r="54" spans="1:16" x14ac:dyDescent="0.25">
      <c r="A54" s="11">
        <f t="shared" si="6"/>
        <v>-1</v>
      </c>
      <c r="B54">
        <v>-7.7520347929428954</v>
      </c>
      <c r="E54" s="11">
        <f>A54-'Mastercurve bestimmen'!$B$2</f>
        <v>-81</v>
      </c>
      <c r="F54" s="11">
        <f t="shared" si="4"/>
        <v>-7.7520347929428954</v>
      </c>
      <c r="G54" s="11"/>
      <c r="H54" s="11">
        <f t="shared" si="8"/>
        <v>1853020188851841</v>
      </c>
      <c r="I54" s="11">
        <f t="shared" si="8"/>
        <v>-22876792454961</v>
      </c>
      <c r="J54" s="11">
        <f t="shared" si="8"/>
        <v>282429536481</v>
      </c>
      <c r="K54" s="11">
        <f t="shared" si="8"/>
        <v>-3486784401</v>
      </c>
      <c r="L54" s="11">
        <f t="shared" si="8"/>
        <v>43046721</v>
      </c>
      <c r="M54" s="11">
        <f t="shared" si="8"/>
        <v>-531441</v>
      </c>
      <c r="N54" s="11">
        <f t="shared" si="8"/>
        <v>6561</v>
      </c>
      <c r="O54" s="11">
        <f t="shared" si="8"/>
        <v>-81</v>
      </c>
      <c r="P54" s="11">
        <f t="shared" si="7"/>
        <v>0</v>
      </c>
    </row>
    <row r="55" spans="1:16" x14ac:dyDescent="0.25">
      <c r="A55" s="11">
        <f t="shared" si="6"/>
        <v>0</v>
      </c>
      <c r="B55">
        <v>-7.6140068110883616</v>
      </c>
      <c r="E55" s="11">
        <f>A55-'Mastercurve bestimmen'!$B$2</f>
        <v>-80</v>
      </c>
      <c r="F55" s="11">
        <f t="shared" si="4"/>
        <v>-7.6140068110883616</v>
      </c>
      <c r="G55" s="11"/>
      <c r="H55" s="11">
        <f t="shared" si="8"/>
        <v>1677721600000000</v>
      </c>
      <c r="I55" s="11">
        <f t="shared" si="8"/>
        <v>-20971520000000</v>
      </c>
      <c r="J55" s="11">
        <f t="shared" si="8"/>
        <v>262144000000</v>
      </c>
      <c r="K55" s="11">
        <f t="shared" si="8"/>
        <v>-3276800000</v>
      </c>
      <c r="L55" s="11">
        <f t="shared" si="8"/>
        <v>40960000</v>
      </c>
      <c r="M55" s="11">
        <f t="shared" si="8"/>
        <v>-512000</v>
      </c>
      <c r="N55" s="11">
        <f t="shared" si="8"/>
        <v>6400</v>
      </c>
      <c r="O55" s="11">
        <f t="shared" si="8"/>
        <v>-80</v>
      </c>
      <c r="P55" s="11">
        <f t="shared" si="7"/>
        <v>0</v>
      </c>
    </row>
    <row r="56" spans="1:16" x14ac:dyDescent="0.25">
      <c r="A56" s="11">
        <f t="shared" si="6"/>
        <v>1</v>
      </c>
      <c r="B56">
        <v>-7.5336012600480515</v>
      </c>
      <c r="E56" s="11">
        <f>A56-'Mastercurve bestimmen'!$B$2</f>
        <v>-79</v>
      </c>
      <c r="F56" s="11">
        <f t="shared" si="4"/>
        <v>-7.5336012600480515</v>
      </c>
      <c r="G56" s="11"/>
      <c r="H56" s="11">
        <f t="shared" si="8"/>
        <v>1517108809906561</v>
      </c>
      <c r="I56" s="11">
        <f t="shared" si="8"/>
        <v>-19203908986159</v>
      </c>
      <c r="J56" s="11">
        <f t="shared" si="8"/>
        <v>243087455521</v>
      </c>
      <c r="K56" s="11">
        <f t="shared" si="8"/>
        <v>-3077056399</v>
      </c>
      <c r="L56" s="11">
        <f t="shared" si="8"/>
        <v>38950081</v>
      </c>
      <c r="M56" s="11">
        <f t="shared" si="8"/>
        <v>-493039</v>
      </c>
      <c r="N56" s="11">
        <f t="shared" si="8"/>
        <v>6241</v>
      </c>
      <c r="O56" s="11">
        <f t="shared" si="8"/>
        <v>-79</v>
      </c>
      <c r="P56" s="11">
        <f t="shared" si="7"/>
        <v>0</v>
      </c>
    </row>
    <row r="57" spans="1:16" x14ac:dyDescent="0.25">
      <c r="A57" s="11">
        <f t="shared" si="6"/>
        <v>2</v>
      </c>
      <c r="B57">
        <v>-7.4494274009929038</v>
      </c>
      <c r="E57" s="11">
        <f>A57-'Mastercurve bestimmen'!$B$2</f>
        <v>-78</v>
      </c>
      <c r="F57" s="11">
        <f t="shared" si="4"/>
        <v>-7.4494274009929038</v>
      </c>
      <c r="G57" s="11"/>
      <c r="H57" s="11">
        <f t="shared" si="8"/>
        <v>1370114370683136</v>
      </c>
      <c r="I57" s="11">
        <f t="shared" si="8"/>
        <v>-17565568854912</v>
      </c>
      <c r="J57" s="11">
        <f t="shared" si="8"/>
        <v>225199600704</v>
      </c>
      <c r="K57" s="11">
        <f t="shared" si="8"/>
        <v>-2887174368</v>
      </c>
      <c r="L57" s="11">
        <f t="shared" si="8"/>
        <v>37015056</v>
      </c>
      <c r="M57" s="11">
        <f t="shared" si="8"/>
        <v>-474552</v>
      </c>
      <c r="N57" s="11">
        <f t="shared" si="8"/>
        <v>6084</v>
      </c>
      <c r="O57" s="11">
        <f t="shared" si="8"/>
        <v>-78</v>
      </c>
      <c r="P57" s="11">
        <f t="shared" si="7"/>
        <v>0</v>
      </c>
    </row>
    <row r="58" spans="1:16" x14ac:dyDescent="0.25">
      <c r="A58" s="11">
        <f t="shared" si="6"/>
        <v>3</v>
      </c>
      <c r="B58">
        <v>-7.3617282987946462</v>
      </c>
      <c r="E58" s="11">
        <f>A58-'Mastercurve bestimmen'!$B$2</f>
        <v>-77</v>
      </c>
      <c r="F58" s="11">
        <f t="shared" si="4"/>
        <v>-7.3617282987946462</v>
      </c>
      <c r="G58" s="11"/>
      <c r="H58" s="11">
        <f t="shared" si="8"/>
        <v>1235736291547681</v>
      </c>
      <c r="I58" s="11">
        <f t="shared" si="8"/>
        <v>-16048523266853</v>
      </c>
      <c r="J58" s="11">
        <f t="shared" si="8"/>
        <v>208422380089</v>
      </c>
      <c r="K58" s="11">
        <f t="shared" si="8"/>
        <v>-2706784157</v>
      </c>
      <c r="L58" s="11">
        <f t="shared" si="8"/>
        <v>35153041</v>
      </c>
      <c r="M58" s="11">
        <f t="shared" si="8"/>
        <v>-456533</v>
      </c>
      <c r="N58" s="11">
        <f t="shared" si="8"/>
        <v>5929</v>
      </c>
      <c r="O58" s="11">
        <f t="shared" si="8"/>
        <v>-77</v>
      </c>
      <c r="P58" s="11">
        <f t="shared" si="7"/>
        <v>0</v>
      </c>
    </row>
    <row r="59" spans="1:16" x14ac:dyDescent="0.25">
      <c r="A59" s="11">
        <f t="shared" si="6"/>
        <v>4</v>
      </c>
      <c r="B59">
        <v>-7.2707470183250047</v>
      </c>
      <c r="E59" s="11">
        <f>A59-'Mastercurve bestimmen'!$B$2</f>
        <v>-76</v>
      </c>
      <c r="F59" s="11">
        <f t="shared" si="4"/>
        <v>-7.2707470183250047</v>
      </c>
      <c r="G59" s="11"/>
      <c r="H59" s="11">
        <f t="shared" si="8"/>
        <v>1113034787454976</v>
      </c>
      <c r="I59" s="11">
        <f t="shared" si="8"/>
        <v>-14645194571776</v>
      </c>
      <c r="J59" s="11">
        <f t="shared" si="8"/>
        <v>192699928576</v>
      </c>
      <c r="K59" s="11">
        <f t="shared" si="8"/>
        <v>-2535525376</v>
      </c>
      <c r="L59" s="11">
        <f t="shared" si="8"/>
        <v>33362176</v>
      </c>
      <c r="M59" s="11">
        <f t="shared" si="8"/>
        <v>-438976</v>
      </c>
      <c r="N59" s="11">
        <f t="shared" si="8"/>
        <v>5776</v>
      </c>
      <c r="O59" s="11">
        <f t="shared" si="8"/>
        <v>-76</v>
      </c>
      <c r="P59" s="11">
        <f t="shared" si="7"/>
        <v>0</v>
      </c>
    </row>
    <row r="60" spans="1:16" x14ac:dyDescent="0.25">
      <c r="A60" s="11">
        <f t="shared" si="6"/>
        <v>5</v>
      </c>
      <c r="B60">
        <v>-7.1767266244557097</v>
      </c>
      <c r="E60" s="11">
        <f>A60-'Mastercurve bestimmen'!$B$2</f>
        <v>-75</v>
      </c>
      <c r="F60" s="11">
        <f t="shared" si="4"/>
        <v>-7.1767266244557097</v>
      </c>
      <c r="G60" s="11"/>
      <c r="H60" s="11">
        <f t="shared" si="8"/>
        <v>1001129150390625</v>
      </c>
      <c r="I60" s="11">
        <f t="shared" si="8"/>
        <v>-13348388671875</v>
      </c>
      <c r="J60" s="11">
        <f t="shared" si="8"/>
        <v>177978515625</v>
      </c>
      <c r="K60" s="11">
        <f t="shared" si="8"/>
        <v>-2373046875</v>
      </c>
      <c r="L60" s="11">
        <f t="shared" si="8"/>
        <v>31640625</v>
      </c>
      <c r="M60" s="11">
        <f t="shared" si="8"/>
        <v>-421875</v>
      </c>
      <c r="N60" s="11">
        <f t="shared" si="8"/>
        <v>5625</v>
      </c>
      <c r="O60" s="11">
        <f t="shared" si="8"/>
        <v>-75</v>
      </c>
      <c r="P60" s="11">
        <f t="shared" si="7"/>
        <v>0</v>
      </c>
    </row>
    <row r="61" spans="1:16" x14ac:dyDescent="0.25">
      <c r="A61" s="11">
        <f t="shared" si="6"/>
        <v>6</v>
      </c>
      <c r="B61">
        <v>-7.0799101820584847</v>
      </c>
      <c r="E61" s="11">
        <f>A61-'Mastercurve bestimmen'!$B$2</f>
        <v>-74</v>
      </c>
      <c r="F61" s="11">
        <f t="shared" si="4"/>
        <v>-7.0799101820584847</v>
      </c>
      <c r="G61" s="11"/>
      <c r="H61" s="11">
        <f t="shared" si="8"/>
        <v>899194740203776</v>
      </c>
      <c r="I61" s="11">
        <f t="shared" si="8"/>
        <v>-12151280273024</v>
      </c>
      <c r="J61" s="11">
        <f t="shared" si="8"/>
        <v>164206490176</v>
      </c>
      <c r="K61" s="11">
        <f t="shared" si="8"/>
        <v>-2219006624</v>
      </c>
      <c r="L61" s="11">
        <f t="shared" si="8"/>
        <v>29986576</v>
      </c>
      <c r="M61" s="11">
        <f t="shared" si="8"/>
        <v>-405224</v>
      </c>
      <c r="N61" s="11">
        <f t="shared" si="8"/>
        <v>5476</v>
      </c>
      <c r="O61" s="11">
        <f t="shared" si="8"/>
        <v>-74</v>
      </c>
      <c r="P61" s="11">
        <f t="shared" si="7"/>
        <v>0</v>
      </c>
    </row>
    <row r="62" spans="1:16" x14ac:dyDescent="0.25">
      <c r="A62" s="11">
        <f t="shared" si="6"/>
        <v>7</v>
      </c>
      <c r="B62">
        <v>-6.9805407560050625</v>
      </c>
      <c r="E62" s="11">
        <f>A62-'Mastercurve bestimmen'!$B$2</f>
        <v>-73</v>
      </c>
      <c r="F62" s="11">
        <f t="shared" si="4"/>
        <v>-6.9805407560050625</v>
      </c>
      <c r="G62" s="11"/>
      <c r="H62" s="11">
        <f t="shared" si="8"/>
        <v>806460091894081</v>
      </c>
      <c r="I62" s="11">
        <f t="shared" si="8"/>
        <v>-11047398519097</v>
      </c>
      <c r="J62" s="11">
        <f t="shared" si="8"/>
        <v>151334226289</v>
      </c>
      <c r="K62" s="11">
        <f t="shared" si="8"/>
        <v>-2073071593</v>
      </c>
      <c r="L62" s="11">
        <f t="shared" si="8"/>
        <v>28398241</v>
      </c>
      <c r="M62" s="11">
        <f t="shared" si="8"/>
        <v>-389017</v>
      </c>
      <c r="N62" s="11">
        <f t="shared" si="8"/>
        <v>5329</v>
      </c>
      <c r="O62" s="11">
        <f t="shared" si="8"/>
        <v>-73</v>
      </c>
      <c r="P62" s="11">
        <f t="shared" si="7"/>
        <v>0</v>
      </c>
    </row>
    <row r="63" spans="1:16" x14ac:dyDescent="0.25">
      <c r="A63" s="11">
        <f t="shared" si="6"/>
        <v>8</v>
      </c>
      <c r="B63">
        <v>-6.8788614111671667</v>
      </c>
      <c r="E63" s="11">
        <f>A63-'Mastercurve bestimmen'!$B$2</f>
        <v>-72</v>
      </c>
      <c r="F63" s="11">
        <f t="shared" si="4"/>
        <v>-6.8788614111671667</v>
      </c>
      <c r="G63" s="11"/>
      <c r="H63" s="11">
        <f t="shared" si="8"/>
        <v>722204136308736</v>
      </c>
      <c r="I63" s="11">
        <f t="shared" si="8"/>
        <v>-10030613004288</v>
      </c>
      <c r="J63" s="11">
        <f t="shared" si="8"/>
        <v>139314069504</v>
      </c>
      <c r="K63" s="11">
        <f t="shared" si="8"/>
        <v>-1934917632</v>
      </c>
      <c r="L63" s="11">
        <f t="shared" si="8"/>
        <v>26873856</v>
      </c>
      <c r="M63" s="11">
        <f t="shared" si="8"/>
        <v>-373248</v>
      </c>
      <c r="N63" s="11">
        <f t="shared" si="8"/>
        <v>5184</v>
      </c>
      <c r="O63" s="11">
        <f t="shared" si="8"/>
        <v>-72</v>
      </c>
      <c r="P63" s="11">
        <f t="shared" si="7"/>
        <v>0</v>
      </c>
    </row>
    <row r="64" spans="1:16" x14ac:dyDescent="0.25">
      <c r="A64" s="11">
        <f t="shared" si="6"/>
        <v>9</v>
      </c>
      <c r="B64">
        <v>-6.7751152124165284</v>
      </c>
      <c r="E64" s="11">
        <f>A64-'Mastercurve bestimmen'!$B$2</f>
        <v>-71</v>
      </c>
      <c r="F64" s="11">
        <f t="shared" si="4"/>
        <v>-6.7751152124165284</v>
      </c>
      <c r="G64" s="11"/>
      <c r="H64" s="11">
        <f t="shared" si="8"/>
        <v>645753531245761</v>
      </c>
      <c r="I64" s="11">
        <f t="shared" si="8"/>
        <v>-9095120158391</v>
      </c>
      <c r="J64" s="11">
        <f t="shared" si="8"/>
        <v>128100283921</v>
      </c>
      <c r="K64" s="11">
        <f t="shared" si="8"/>
        <v>-1804229351</v>
      </c>
      <c r="L64" s="11">
        <f t="shared" si="8"/>
        <v>25411681</v>
      </c>
      <c r="M64" s="11">
        <f t="shared" si="8"/>
        <v>-357911</v>
      </c>
      <c r="N64" s="11">
        <f t="shared" si="8"/>
        <v>5041</v>
      </c>
      <c r="O64" s="11">
        <f t="shared" si="8"/>
        <v>-71</v>
      </c>
      <c r="P64" s="11">
        <f t="shared" si="7"/>
        <v>0</v>
      </c>
    </row>
    <row r="65" spans="1:16" x14ac:dyDescent="0.25">
      <c r="A65" s="11">
        <f t="shared" si="6"/>
        <v>10</v>
      </c>
      <c r="B65">
        <v>-6.6695452246248728</v>
      </c>
      <c r="E65" s="11">
        <f>A65-'Mastercurve bestimmen'!$B$2</f>
        <v>-70</v>
      </c>
      <c r="F65" s="11">
        <f t="shared" si="4"/>
        <v>-6.6695452246248728</v>
      </c>
      <c r="G65" s="11"/>
      <c r="H65" s="11">
        <f t="shared" si="8"/>
        <v>576480100000000</v>
      </c>
      <c r="I65" s="11">
        <f t="shared" si="8"/>
        <v>-8235430000000</v>
      </c>
      <c r="J65" s="11">
        <f t="shared" si="8"/>
        <v>117649000000</v>
      </c>
      <c r="K65" s="11">
        <f t="shared" si="8"/>
        <v>-1680700000</v>
      </c>
      <c r="L65" s="11">
        <f t="shared" si="8"/>
        <v>24010000</v>
      </c>
      <c r="M65" s="11">
        <f t="shared" si="8"/>
        <v>-343000</v>
      </c>
      <c r="N65" s="11">
        <f t="shared" si="8"/>
        <v>4900</v>
      </c>
      <c r="O65" s="11">
        <f t="shared" si="8"/>
        <v>-70</v>
      </c>
      <c r="P65" s="11">
        <f t="shared" si="7"/>
        <v>0</v>
      </c>
    </row>
    <row r="66" spans="1:16" x14ac:dyDescent="0.25">
      <c r="A66" s="11">
        <f t="shared" si="6"/>
        <v>11</v>
      </c>
      <c r="B66">
        <v>-6.5623945126639285</v>
      </c>
      <c r="E66" s="11">
        <f>A66-'Mastercurve bestimmen'!$B$2</f>
        <v>-69</v>
      </c>
      <c r="F66" s="11">
        <f t="shared" si="4"/>
        <v>-6.5623945126639285</v>
      </c>
      <c r="G66" s="11"/>
      <c r="H66" s="11">
        <f t="shared" si="8"/>
        <v>513798374428641</v>
      </c>
      <c r="I66" s="11">
        <f t="shared" si="8"/>
        <v>-7446353252589</v>
      </c>
      <c r="J66" s="11">
        <f t="shared" si="8"/>
        <v>107918163081</v>
      </c>
      <c r="K66" s="11">
        <f t="shared" si="8"/>
        <v>-1564031349</v>
      </c>
      <c r="L66" s="11">
        <f t="shared" si="8"/>
        <v>22667121</v>
      </c>
      <c r="M66" s="11">
        <f t="shared" si="8"/>
        <v>-328509</v>
      </c>
      <c r="N66" s="11">
        <f t="shared" si="8"/>
        <v>4761</v>
      </c>
      <c r="O66" s="11">
        <f t="shared" si="8"/>
        <v>-69</v>
      </c>
      <c r="P66" s="11">
        <f t="shared" si="7"/>
        <v>0</v>
      </c>
    </row>
    <row r="67" spans="1:16" x14ac:dyDescent="0.25">
      <c r="A67" s="11">
        <f t="shared" si="6"/>
        <v>12</v>
      </c>
      <c r="B67">
        <v>-6.4539061414054224</v>
      </c>
      <c r="E67" s="11">
        <f>A67-'Mastercurve bestimmen'!$B$2</f>
        <v>-68</v>
      </c>
      <c r="F67" s="11">
        <f t="shared" si="4"/>
        <v>-6.4539061414054224</v>
      </c>
      <c r="G67" s="11"/>
      <c r="H67" s="11">
        <f t="shared" si="8"/>
        <v>457163239653376</v>
      </c>
      <c r="I67" s="11">
        <f t="shared" si="8"/>
        <v>-6722988818432</v>
      </c>
      <c r="J67" s="11">
        <f t="shared" si="8"/>
        <v>98867482624</v>
      </c>
      <c r="K67" s="11">
        <f t="shared" si="8"/>
        <v>-1453933568</v>
      </c>
      <c r="L67" s="11">
        <f t="shared" si="8"/>
        <v>21381376</v>
      </c>
      <c r="M67" s="11">
        <f t="shared" si="8"/>
        <v>-314432</v>
      </c>
      <c r="N67" s="11">
        <f t="shared" si="8"/>
        <v>4624</v>
      </c>
      <c r="O67" s="11">
        <f t="shared" si="8"/>
        <v>-68</v>
      </c>
      <c r="P67" s="11">
        <f t="shared" si="7"/>
        <v>0</v>
      </c>
    </row>
    <row r="68" spans="1:16" x14ac:dyDescent="0.25">
      <c r="A68" s="11">
        <f t="shared" si="6"/>
        <v>13</v>
      </c>
      <c r="B68">
        <v>-6.3443231757210832</v>
      </c>
      <c r="E68" s="11">
        <f>A68-'Mastercurve bestimmen'!$B$2</f>
        <v>-67</v>
      </c>
      <c r="F68" s="11">
        <f t="shared" si="4"/>
        <v>-6.3443231757210832</v>
      </c>
      <c r="G68" s="11"/>
      <c r="H68" s="11">
        <f t="shared" si="8"/>
        <v>406067677556641</v>
      </c>
      <c r="I68" s="11">
        <f t="shared" si="8"/>
        <v>-6060711605323</v>
      </c>
      <c r="J68" s="11">
        <f t="shared" si="8"/>
        <v>90458382169</v>
      </c>
      <c r="K68" s="11">
        <f t="shared" si="8"/>
        <v>-1350125107</v>
      </c>
      <c r="L68" s="11">
        <f t="shared" si="8"/>
        <v>20151121</v>
      </c>
      <c r="M68" s="11">
        <f t="shared" si="8"/>
        <v>-300763</v>
      </c>
      <c r="N68" s="11">
        <f t="shared" si="8"/>
        <v>4489</v>
      </c>
      <c r="O68" s="11">
        <f t="shared" si="8"/>
        <v>-67</v>
      </c>
      <c r="P68" s="11">
        <f t="shared" si="7"/>
        <v>0</v>
      </c>
    </row>
    <row r="69" spans="1:16" x14ac:dyDescent="0.25">
      <c r="A69" s="11">
        <f t="shared" si="6"/>
        <v>14</v>
      </c>
      <c r="B69">
        <v>-6.2338886804826394</v>
      </c>
      <c r="E69" s="11">
        <f>A69-'Mastercurve bestimmen'!$B$2</f>
        <v>-66</v>
      </c>
      <c r="F69" s="11">
        <f t="shared" si="4"/>
        <v>-6.2338886804826394</v>
      </c>
      <c r="G69" s="11"/>
      <c r="H69" s="11">
        <f t="shared" si="8"/>
        <v>360040606269696</v>
      </c>
      <c r="I69" s="11">
        <f t="shared" si="8"/>
        <v>-5455160701056</v>
      </c>
      <c r="J69" s="11">
        <f t="shared" si="8"/>
        <v>82653950016</v>
      </c>
      <c r="K69" s="11">
        <f t="shared" si="8"/>
        <v>-1252332576</v>
      </c>
      <c r="L69" s="11">
        <f t="shared" si="8"/>
        <v>18974736</v>
      </c>
      <c r="M69" s="11">
        <f t="shared" si="8"/>
        <v>-287496</v>
      </c>
      <c r="N69" s="11">
        <f t="shared" si="8"/>
        <v>4356</v>
      </c>
      <c r="O69" s="11">
        <f t="shared" si="8"/>
        <v>-66</v>
      </c>
      <c r="P69" s="11">
        <f t="shared" si="7"/>
        <v>0</v>
      </c>
    </row>
    <row r="70" spans="1:16" x14ac:dyDescent="0.25">
      <c r="A70" s="11">
        <f t="shared" si="6"/>
        <v>15</v>
      </c>
      <c r="B70">
        <v>-6.1228457205618172</v>
      </c>
      <c r="E70" s="11">
        <f>A70-'Mastercurve bestimmen'!$B$2</f>
        <v>-65</v>
      </c>
      <c r="F70" s="11">
        <f t="shared" si="4"/>
        <v>-6.1228457205618172</v>
      </c>
      <c r="G70" s="11"/>
      <c r="H70" s="11">
        <f t="shared" si="8"/>
        <v>318644812890625</v>
      </c>
      <c r="I70" s="11">
        <f t="shared" si="8"/>
        <v>-4902227890625</v>
      </c>
      <c r="J70" s="11">
        <f t="shared" si="8"/>
        <v>75418890625</v>
      </c>
      <c r="K70" s="11">
        <f t="shared" si="8"/>
        <v>-1160290625</v>
      </c>
      <c r="L70" s="11">
        <f t="shared" si="8"/>
        <v>17850625</v>
      </c>
      <c r="M70" s="11">
        <f t="shared" si="8"/>
        <v>-274625</v>
      </c>
      <c r="N70" s="11">
        <f t="shared" si="8"/>
        <v>4225</v>
      </c>
      <c r="O70" s="11">
        <f t="shared" si="8"/>
        <v>-65</v>
      </c>
      <c r="P70" s="11">
        <f t="shared" si="7"/>
        <v>0</v>
      </c>
    </row>
    <row r="71" spans="1:16" x14ac:dyDescent="0.25">
      <c r="A71" s="11">
        <f t="shared" si="6"/>
        <v>16</v>
      </c>
      <c r="B71">
        <v>-6.0114373608303442</v>
      </c>
      <c r="E71" s="11">
        <f>A71-'Mastercurve bestimmen'!$B$2</f>
        <v>-64</v>
      </c>
      <c r="F71" s="11">
        <f t="shared" si="4"/>
        <v>-6.0114373608303442</v>
      </c>
      <c r="G71" s="11"/>
      <c r="H71" s="11">
        <f t="shared" si="8"/>
        <v>281474976710656</v>
      </c>
      <c r="I71" s="11">
        <f t="shared" si="8"/>
        <v>-4398046511104</v>
      </c>
      <c r="J71" s="11">
        <f t="shared" si="8"/>
        <v>68719476736</v>
      </c>
      <c r="K71" s="11">
        <f t="shared" si="8"/>
        <v>-1073741824</v>
      </c>
      <c r="L71" s="11">
        <f t="shared" si="8"/>
        <v>16777216</v>
      </c>
      <c r="M71" s="11">
        <f t="shared" si="8"/>
        <v>-262144</v>
      </c>
      <c r="N71" s="11">
        <f t="shared" si="8"/>
        <v>4096</v>
      </c>
      <c r="O71" s="11">
        <f t="shared" si="8"/>
        <v>-64</v>
      </c>
      <c r="P71" s="11">
        <f t="shared" si="7"/>
        <v>0</v>
      </c>
    </row>
    <row r="72" spans="1:16" x14ac:dyDescent="0.25">
      <c r="A72" s="11">
        <f t="shared" si="6"/>
        <v>17</v>
      </c>
      <c r="B72">
        <v>-5.8999066661599491</v>
      </c>
      <c r="E72" s="11">
        <f>A72-'Mastercurve bestimmen'!$B$2</f>
        <v>-63</v>
      </c>
      <c r="F72" s="11">
        <f t="shared" si="4"/>
        <v>-5.8999066661599491</v>
      </c>
      <c r="G72" s="11"/>
      <c r="H72" s="11">
        <f t="shared" si="8"/>
        <v>248155780267521</v>
      </c>
      <c r="I72" s="11">
        <f t="shared" si="8"/>
        <v>-3938980639167</v>
      </c>
      <c r="J72" s="11">
        <f t="shared" si="8"/>
        <v>62523502209</v>
      </c>
      <c r="K72" s="11">
        <f t="shared" si="8"/>
        <v>-992436543</v>
      </c>
      <c r="L72" s="11">
        <f t="shared" si="8"/>
        <v>15752961</v>
      </c>
      <c r="M72" s="11">
        <f t="shared" si="8"/>
        <v>-250047</v>
      </c>
      <c r="N72" s="11">
        <f t="shared" si="8"/>
        <v>3969</v>
      </c>
      <c r="O72" s="11">
        <f t="shared" si="8"/>
        <v>-63</v>
      </c>
      <c r="P72" s="11">
        <f t="shared" si="7"/>
        <v>0</v>
      </c>
    </row>
    <row r="73" spans="1:16" x14ac:dyDescent="0.25">
      <c r="A73" s="11">
        <f t="shared" si="6"/>
        <v>18</v>
      </c>
      <c r="B73">
        <v>-5.7884967014223587</v>
      </c>
      <c r="E73" s="11">
        <f>A73-'Mastercurve bestimmen'!$B$2</f>
        <v>-62</v>
      </c>
      <c r="F73" s="11">
        <f t="shared" si="4"/>
        <v>-5.7884967014223587</v>
      </c>
      <c r="G73" s="11"/>
      <c r="H73" s="11">
        <f t="shared" si="8"/>
        <v>218340105584896</v>
      </c>
      <c r="I73" s="11">
        <f t="shared" si="8"/>
        <v>-3521614606208</v>
      </c>
      <c r="J73" s="11">
        <f t="shared" si="8"/>
        <v>56800235584</v>
      </c>
      <c r="K73" s="11">
        <f t="shared" si="8"/>
        <v>-916132832</v>
      </c>
      <c r="L73" s="11">
        <f t="shared" si="8"/>
        <v>14776336</v>
      </c>
      <c r="M73" s="11">
        <f t="shared" si="8"/>
        <v>-238328</v>
      </c>
      <c r="N73" s="11">
        <f t="shared" si="8"/>
        <v>3844</v>
      </c>
      <c r="O73" s="11">
        <f t="shared" si="8"/>
        <v>-62</v>
      </c>
      <c r="P73" s="11">
        <f t="shared" si="7"/>
        <v>0</v>
      </c>
    </row>
    <row r="74" spans="1:16" x14ac:dyDescent="0.25">
      <c r="A74" s="11">
        <f t="shared" si="6"/>
        <v>19</v>
      </c>
      <c r="B74">
        <v>-5.6774505314893009</v>
      </c>
      <c r="E74" s="11">
        <f>A74-'Mastercurve bestimmen'!$B$2</f>
        <v>-61</v>
      </c>
      <c r="F74" s="11">
        <f t="shared" si="4"/>
        <v>-5.6774505314893009</v>
      </c>
      <c r="G74" s="11"/>
      <c r="H74" s="11">
        <f t="shared" si="8"/>
        <v>191707312997281</v>
      </c>
      <c r="I74" s="11">
        <f t="shared" si="8"/>
        <v>-3142742836021</v>
      </c>
      <c r="J74" s="11">
        <f t="shared" si="8"/>
        <v>51520374361</v>
      </c>
      <c r="K74" s="11">
        <f t="shared" si="8"/>
        <v>-844596301</v>
      </c>
      <c r="L74" s="11">
        <f t="shared" si="8"/>
        <v>13845841</v>
      </c>
      <c r="M74" s="11">
        <f t="shared" si="8"/>
        <v>-226981</v>
      </c>
      <c r="N74" s="11">
        <f t="shared" si="8"/>
        <v>3721</v>
      </c>
      <c r="O74" s="11">
        <f t="shared" si="8"/>
        <v>-61</v>
      </c>
      <c r="P74" s="11">
        <f t="shared" si="7"/>
        <v>0</v>
      </c>
    </row>
    <row r="75" spans="1:16" x14ac:dyDescent="0.25">
      <c r="A75" s="11">
        <f t="shared" si="6"/>
        <v>20</v>
      </c>
      <c r="B75">
        <v>-5.5670112212325051</v>
      </c>
      <c r="E75" s="11">
        <f>A75-'Mastercurve bestimmen'!$B$2</f>
        <v>-60</v>
      </c>
      <c r="F75" s="11">
        <f t="shared" si="4"/>
        <v>-5.5670112212325051</v>
      </c>
      <c r="G75" s="11"/>
      <c r="H75" s="11">
        <f t="shared" si="8"/>
        <v>167961600000000</v>
      </c>
      <c r="I75" s="11">
        <f t="shared" si="8"/>
        <v>-2799360000000</v>
      </c>
      <c r="J75" s="11">
        <f t="shared" si="8"/>
        <v>46656000000</v>
      </c>
      <c r="K75" s="11">
        <f t="shared" si="8"/>
        <v>-777600000</v>
      </c>
      <c r="L75" s="11">
        <f t="shared" si="8"/>
        <v>12960000</v>
      </c>
      <c r="M75" s="11">
        <f t="shared" si="8"/>
        <v>-216000</v>
      </c>
      <c r="N75" s="11">
        <f t="shared" si="8"/>
        <v>3600</v>
      </c>
      <c r="O75" s="11">
        <f t="shared" si="8"/>
        <v>-60</v>
      </c>
      <c r="P75" s="11">
        <f t="shared" si="7"/>
        <v>0</v>
      </c>
    </row>
    <row r="76" spans="1:16" x14ac:dyDescent="0.25">
      <c r="A76" s="11">
        <f t="shared" si="6"/>
        <v>21</v>
      </c>
      <c r="B76">
        <v>-5.4574218355236965</v>
      </c>
      <c r="E76" s="11">
        <f>A76-'Mastercurve bestimmen'!$B$2</f>
        <v>-59</v>
      </c>
      <c r="F76" s="11">
        <f t="shared" si="4"/>
        <v>-5.4574218355236965</v>
      </c>
      <c r="G76" s="11"/>
      <c r="H76" s="11">
        <f t="shared" si="8"/>
        <v>146830437604321</v>
      </c>
      <c r="I76" s="11">
        <f t="shared" si="8"/>
        <v>-2488651484819</v>
      </c>
      <c r="J76" s="11">
        <f t="shared" si="8"/>
        <v>42180533641</v>
      </c>
      <c r="K76" s="11">
        <f t="shared" si="8"/>
        <v>-714924299</v>
      </c>
      <c r="L76" s="11">
        <f t="shared" si="8"/>
        <v>12117361</v>
      </c>
      <c r="M76" s="11">
        <f t="shared" si="8"/>
        <v>-205379</v>
      </c>
      <c r="N76" s="11">
        <f t="shared" si="8"/>
        <v>3481</v>
      </c>
      <c r="O76" s="11">
        <f t="shared" si="8"/>
        <v>-59</v>
      </c>
      <c r="P76" s="11">
        <f t="shared" si="7"/>
        <v>0</v>
      </c>
    </row>
    <row r="77" spans="1:16" x14ac:dyDescent="0.25">
      <c r="A77" s="11">
        <f t="shared" si="6"/>
        <v>22</v>
      </c>
      <c r="B77">
        <v>-5.3489254392346046</v>
      </c>
      <c r="E77" s="11">
        <f>A77-'Mastercurve bestimmen'!$B$2</f>
        <v>-58</v>
      </c>
      <c r="F77" s="11">
        <f t="shared" si="4"/>
        <v>-5.3489254392346046</v>
      </c>
      <c r="G77" s="11"/>
      <c r="H77" s="11">
        <f t="shared" si="8"/>
        <v>128063081718016</v>
      </c>
      <c r="I77" s="11">
        <f t="shared" si="8"/>
        <v>-2207984167552</v>
      </c>
      <c r="J77" s="11">
        <f t="shared" si="8"/>
        <v>38068692544</v>
      </c>
      <c r="K77" s="11">
        <f t="shared" si="8"/>
        <v>-656356768</v>
      </c>
      <c r="L77" s="11">
        <f t="shared" si="8"/>
        <v>11316496</v>
      </c>
      <c r="M77" s="11">
        <f t="shared" si="8"/>
        <v>-195112</v>
      </c>
      <c r="N77" s="11">
        <f t="shared" si="8"/>
        <v>3364</v>
      </c>
      <c r="O77" s="11">
        <f t="shared" si="8"/>
        <v>-58</v>
      </c>
      <c r="P77" s="11">
        <f t="shared" si="7"/>
        <v>0</v>
      </c>
    </row>
    <row r="78" spans="1:16" x14ac:dyDescent="0.25">
      <c r="A78" s="11">
        <f t="shared" si="6"/>
        <v>23</v>
      </c>
      <c r="B78">
        <v>-5.2417650972369554</v>
      </c>
      <c r="E78" s="11">
        <f>A78-'Mastercurve bestimmen'!$B$2</f>
        <v>-57</v>
      </c>
      <c r="F78" s="11">
        <f t="shared" si="4"/>
        <v>-5.2417650972369554</v>
      </c>
      <c r="G78" s="11"/>
      <c r="H78" s="11">
        <f t="shared" si="8"/>
        <v>111429157112001</v>
      </c>
      <c r="I78" s="11">
        <f t="shared" si="8"/>
        <v>-1954897493193</v>
      </c>
      <c r="J78" s="11">
        <f t="shared" si="8"/>
        <v>34296447249</v>
      </c>
      <c r="K78" s="11">
        <f t="shared" si="8"/>
        <v>-601692057</v>
      </c>
      <c r="L78" s="11">
        <f t="shared" si="8"/>
        <v>10556001</v>
      </c>
      <c r="M78" s="11">
        <f t="shared" si="8"/>
        <v>-185193</v>
      </c>
      <c r="N78" s="11">
        <f t="shared" si="8"/>
        <v>3249</v>
      </c>
      <c r="O78" s="11">
        <f t="shared" si="8"/>
        <v>-57</v>
      </c>
      <c r="P78" s="11">
        <f t="shared" si="7"/>
        <v>0</v>
      </c>
    </row>
    <row r="79" spans="1:16" x14ac:dyDescent="0.25">
      <c r="A79" s="11">
        <f t="shared" si="6"/>
        <v>24</v>
      </c>
      <c r="B79">
        <v>-5.1361838744024793</v>
      </c>
      <c r="E79" s="11">
        <f>A79-'Mastercurve bestimmen'!$B$2</f>
        <v>-56</v>
      </c>
      <c r="F79" s="11">
        <f t="shared" si="4"/>
        <v>-5.1361838744024793</v>
      </c>
      <c r="G79" s="11"/>
      <c r="H79" s="11">
        <f t="shared" si="8"/>
        <v>96717311574016</v>
      </c>
      <c r="I79" s="11">
        <f t="shared" si="8"/>
        <v>-1727094849536</v>
      </c>
      <c r="J79" s="11">
        <f t="shared" si="8"/>
        <v>30840979456</v>
      </c>
      <c r="K79" s="11">
        <f t="shared" si="8"/>
        <v>-550731776</v>
      </c>
      <c r="L79" s="11">
        <f t="shared" si="8"/>
        <v>9834496</v>
      </c>
      <c r="M79" s="11">
        <f t="shared" si="8"/>
        <v>-175616</v>
      </c>
      <c r="N79" s="11">
        <f t="shared" si="8"/>
        <v>3136</v>
      </c>
      <c r="O79" s="11">
        <f t="shared" ref="I79:O116" si="9">IF($H$12&gt;=O$14,$E79^O$14,0)</f>
        <v>-56</v>
      </c>
      <c r="P79" s="11">
        <f t="shared" si="7"/>
        <v>0</v>
      </c>
    </row>
    <row r="80" spans="1:16" x14ac:dyDescent="0.25">
      <c r="A80" s="11">
        <f t="shared" si="6"/>
        <v>25</v>
      </c>
      <c r="B80">
        <v>-5.0324248356029004</v>
      </c>
      <c r="E80" s="11">
        <f>A80-'Mastercurve bestimmen'!$B$2</f>
        <v>-55</v>
      </c>
      <c r="F80" s="11">
        <f t="shared" ref="F80:F143" si="10">B80</f>
        <v>-5.0324248356029004</v>
      </c>
      <c r="G80" s="11"/>
      <c r="H80" s="11">
        <f t="shared" ref="H80:H143" si="11">IF($H$12&gt;=H$14,$E80^H$14,0)</f>
        <v>83733937890625</v>
      </c>
      <c r="I80" s="11">
        <f t="shared" si="9"/>
        <v>-1522435234375</v>
      </c>
      <c r="J80" s="11">
        <f t="shared" si="9"/>
        <v>27680640625</v>
      </c>
      <c r="K80" s="11">
        <f t="shared" si="9"/>
        <v>-503284375</v>
      </c>
      <c r="L80" s="11">
        <f t="shared" si="9"/>
        <v>9150625</v>
      </c>
      <c r="M80" s="11">
        <f t="shared" si="9"/>
        <v>-166375</v>
      </c>
      <c r="N80" s="11">
        <f t="shared" si="9"/>
        <v>3025</v>
      </c>
      <c r="O80" s="11">
        <f t="shared" si="9"/>
        <v>-55</v>
      </c>
      <c r="P80" s="11">
        <f t="shared" si="7"/>
        <v>0</v>
      </c>
    </row>
    <row r="81" spans="1:16" x14ac:dyDescent="0.25">
      <c r="A81" s="11">
        <f t="shared" ref="A81:A144" si="12">A80+1</f>
        <v>26</v>
      </c>
      <c r="B81">
        <v>-4.9306730305112678</v>
      </c>
      <c r="E81" s="11">
        <f>A81-'Mastercurve bestimmen'!$B$2</f>
        <v>-54</v>
      </c>
      <c r="F81" s="11">
        <f t="shared" si="10"/>
        <v>-4.9306730305112678</v>
      </c>
      <c r="G81" s="11"/>
      <c r="H81" s="11">
        <f t="shared" si="11"/>
        <v>72301961339136</v>
      </c>
      <c r="I81" s="11">
        <f t="shared" si="9"/>
        <v>-1338925209984</v>
      </c>
      <c r="J81" s="11">
        <f t="shared" si="9"/>
        <v>24794911296</v>
      </c>
      <c r="K81" s="11">
        <f t="shared" si="9"/>
        <v>-459165024</v>
      </c>
      <c r="L81" s="11">
        <f t="shared" si="9"/>
        <v>8503056</v>
      </c>
      <c r="M81" s="11">
        <f t="shared" si="9"/>
        <v>-157464</v>
      </c>
      <c r="N81" s="11">
        <f t="shared" si="9"/>
        <v>2916</v>
      </c>
      <c r="O81" s="11">
        <f t="shared" si="9"/>
        <v>-54</v>
      </c>
      <c r="P81" s="11">
        <f t="shared" ref="P81:P144" si="13">P80</f>
        <v>0</v>
      </c>
    </row>
    <row r="82" spans="1:16" x14ac:dyDescent="0.25">
      <c r="A82" s="11">
        <f t="shared" si="12"/>
        <v>27</v>
      </c>
      <c r="B82">
        <v>-4.8308814480058935</v>
      </c>
      <c r="E82" s="11">
        <f>A82-'Mastercurve bestimmen'!$B$2</f>
        <v>-53</v>
      </c>
      <c r="F82" s="11">
        <f t="shared" si="10"/>
        <v>-4.8308814480058935</v>
      </c>
      <c r="G82" s="11"/>
      <c r="H82" s="11">
        <f t="shared" si="11"/>
        <v>62259690411361</v>
      </c>
      <c r="I82" s="11">
        <f t="shared" si="9"/>
        <v>-1174711139837</v>
      </c>
      <c r="J82" s="11">
        <f t="shared" si="9"/>
        <v>22164361129</v>
      </c>
      <c r="K82" s="11">
        <f t="shared" si="9"/>
        <v>-418195493</v>
      </c>
      <c r="L82" s="11">
        <f t="shared" si="9"/>
        <v>7890481</v>
      </c>
      <c r="M82" s="11">
        <f t="shared" si="9"/>
        <v>-148877</v>
      </c>
      <c r="N82" s="11">
        <f t="shared" si="9"/>
        <v>2809</v>
      </c>
      <c r="O82" s="11">
        <f t="shared" si="9"/>
        <v>-53</v>
      </c>
      <c r="P82" s="11">
        <f t="shared" si="13"/>
        <v>0</v>
      </c>
    </row>
    <row r="83" spans="1:16" x14ac:dyDescent="0.25">
      <c r="A83" s="11">
        <f t="shared" si="12"/>
        <v>28</v>
      </c>
      <c r="B83">
        <v>-4.7329450617664151</v>
      </c>
      <c r="E83" s="11">
        <f>A83-'Mastercurve bestimmen'!$B$2</f>
        <v>-52</v>
      </c>
      <c r="F83" s="11">
        <f t="shared" si="10"/>
        <v>-4.7329450617664151</v>
      </c>
      <c r="G83" s="11"/>
      <c r="H83" s="11">
        <f t="shared" si="11"/>
        <v>53459728531456</v>
      </c>
      <c r="I83" s="11">
        <f t="shared" si="9"/>
        <v>-1028071702528</v>
      </c>
      <c r="J83" s="11">
        <f t="shared" si="9"/>
        <v>19770609664</v>
      </c>
      <c r="K83" s="11">
        <f t="shared" si="9"/>
        <v>-380204032</v>
      </c>
      <c r="L83" s="11">
        <f t="shared" si="9"/>
        <v>7311616</v>
      </c>
      <c r="M83" s="11">
        <f t="shared" si="9"/>
        <v>-140608</v>
      </c>
      <c r="N83" s="11">
        <f t="shared" si="9"/>
        <v>2704</v>
      </c>
      <c r="O83" s="11">
        <f t="shared" si="9"/>
        <v>-52</v>
      </c>
      <c r="P83" s="11">
        <f t="shared" si="13"/>
        <v>0</v>
      </c>
    </row>
    <row r="84" spans="1:16" x14ac:dyDescent="0.25">
      <c r="A84" s="11">
        <f t="shared" si="12"/>
        <v>29</v>
      </c>
      <c r="B84">
        <v>-4.6367588454724613</v>
      </c>
      <c r="E84" s="11">
        <f>A84-'Mastercurve bestimmen'!$B$2</f>
        <v>-51</v>
      </c>
      <c r="F84" s="11">
        <f t="shared" si="10"/>
        <v>-4.6367588454724613</v>
      </c>
      <c r="G84" s="11"/>
      <c r="H84" s="11">
        <f t="shared" si="11"/>
        <v>45767944570401</v>
      </c>
      <c r="I84" s="11">
        <f t="shared" si="9"/>
        <v>-897410677851</v>
      </c>
      <c r="J84" s="11">
        <f t="shared" si="9"/>
        <v>17596287801</v>
      </c>
      <c r="K84" s="11">
        <f t="shared" si="9"/>
        <v>-345025251</v>
      </c>
      <c r="L84" s="11">
        <f t="shared" si="9"/>
        <v>6765201</v>
      </c>
      <c r="M84" s="11">
        <f t="shared" si="9"/>
        <v>-132651</v>
      </c>
      <c r="N84" s="11">
        <f t="shared" si="9"/>
        <v>2601</v>
      </c>
      <c r="O84" s="11">
        <f t="shared" si="9"/>
        <v>-51</v>
      </c>
      <c r="P84" s="11">
        <f t="shared" si="13"/>
        <v>0</v>
      </c>
    </row>
    <row r="85" spans="1:16" x14ac:dyDescent="0.25">
      <c r="A85" s="11">
        <f t="shared" si="12"/>
        <v>30</v>
      </c>
      <c r="B85">
        <v>-4.5422177728036699</v>
      </c>
      <c r="E85" s="11">
        <f>A85-'Mastercurve bestimmen'!$B$2</f>
        <v>-50</v>
      </c>
      <c r="F85" s="11">
        <f t="shared" si="10"/>
        <v>-4.5422177728036699</v>
      </c>
      <c r="G85" s="11"/>
      <c r="H85" s="11">
        <f t="shared" si="11"/>
        <v>39062500000000</v>
      </c>
      <c r="I85" s="11">
        <f t="shared" si="9"/>
        <v>-781250000000</v>
      </c>
      <c r="J85" s="11">
        <f t="shared" si="9"/>
        <v>15625000000</v>
      </c>
      <c r="K85" s="11">
        <f t="shared" si="9"/>
        <v>-312500000</v>
      </c>
      <c r="L85" s="11">
        <f t="shared" si="9"/>
        <v>6250000</v>
      </c>
      <c r="M85" s="11">
        <f t="shared" si="9"/>
        <v>-125000</v>
      </c>
      <c r="N85" s="11">
        <f t="shared" si="9"/>
        <v>2500</v>
      </c>
      <c r="O85" s="11">
        <f t="shared" si="9"/>
        <v>-50</v>
      </c>
      <c r="P85" s="11">
        <f t="shared" si="13"/>
        <v>0</v>
      </c>
    </row>
    <row r="86" spans="1:16" x14ac:dyDescent="0.25">
      <c r="A86" s="11">
        <f t="shared" si="12"/>
        <v>31</v>
      </c>
      <c r="B86">
        <v>-4.4492168174396713</v>
      </c>
      <c r="E86" s="11">
        <f>A86-'Mastercurve bestimmen'!$B$2</f>
        <v>-49</v>
      </c>
      <c r="F86" s="11">
        <f t="shared" si="10"/>
        <v>-4.4492168174396713</v>
      </c>
      <c r="G86" s="11"/>
      <c r="H86" s="11">
        <f t="shared" si="11"/>
        <v>33232930569601</v>
      </c>
      <c r="I86" s="11">
        <f t="shared" si="9"/>
        <v>-678223072849</v>
      </c>
      <c r="J86" s="11">
        <f t="shared" si="9"/>
        <v>13841287201</v>
      </c>
      <c r="K86" s="11">
        <f t="shared" si="9"/>
        <v>-282475249</v>
      </c>
      <c r="L86" s="11">
        <f t="shared" si="9"/>
        <v>5764801</v>
      </c>
      <c r="M86" s="11">
        <f t="shared" si="9"/>
        <v>-117649</v>
      </c>
      <c r="N86" s="11">
        <f t="shared" si="9"/>
        <v>2401</v>
      </c>
      <c r="O86" s="11">
        <f t="shared" si="9"/>
        <v>-49</v>
      </c>
      <c r="P86" s="11">
        <f t="shared" si="13"/>
        <v>0</v>
      </c>
    </row>
    <row r="87" spans="1:16" x14ac:dyDescent="0.25">
      <c r="A87" s="11">
        <f t="shared" si="12"/>
        <v>32</v>
      </c>
      <c r="B87">
        <v>-4.3576509530601006</v>
      </c>
      <c r="E87" s="11">
        <f>A87-'Mastercurve bestimmen'!$B$2</f>
        <v>-48</v>
      </c>
      <c r="F87" s="11">
        <f t="shared" si="10"/>
        <v>-4.3576509530601006</v>
      </c>
      <c r="G87" s="11"/>
      <c r="H87" s="11">
        <f t="shared" si="11"/>
        <v>28179280429056</v>
      </c>
      <c r="I87" s="11">
        <f t="shared" si="9"/>
        <v>-587068342272</v>
      </c>
      <c r="J87" s="11">
        <f t="shared" si="9"/>
        <v>12230590464</v>
      </c>
      <c r="K87" s="11">
        <f t="shared" si="9"/>
        <v>-254803968</v>
      </c>
      <c r="L87" s="11">
        <f t="shared" si="9"/>
        <v>5308416</v>
      </c>
      <c r="M87" s="11">
        <f t="shared" si="9"/>
        <v>-110592</v>
      </c>
      <c r="N87" s="11">
        <f t="shared" si="9"/>
        <v>2304</v>
      </c>
      <c r="O87" s="11">
        <f t="shared" si="9"/>
        <v>-48</v>
      </c>
      <c r="P87" s="11">
        <f t="shared" si="13"/>
        <v>0</v>
      </c>
    </row>
    <row r="88" spans="1:16" x14ac:dyDescent="0.25">
      <c r="A88" s="11">
        <f t="shared" si="12"/>
        <v>33</v>
      </c>
      <c r="B88">
        <v>-4.267415153344591</v>
      </c>
      <c r="E88" s="11">
        <f>A88-'Mastercurve bestimmen'!$B$2</f>
        <v>-47</v>
      </c>
      <c r="F88" s="11">
        <f t="shared" si="10"/>
        <v>-4.267415153344591</v>
      </c>
      <c r="G88" s="11"/>
      <c r="H88" s="11">
        <f t="shared" si="11"/>
        <v>23811286661761</v>
      </c>
      <c r="I88" s="11">
        <f t="shared" si="9"/>
        <v>-506623120463</v>
      </c>
      <c r="J88" s="11">
        <f t="shared" si="9"/>
        <v>10779215329</v>
      </c>
      <c r="K88" s="11">
        <f t="shared" si="9"/>
        <v>-229345007</v>
      </c>
      <c r="L88" s="11">
        <f t="shared" si="9"/>
        <v>4879681</v>
      </c>
      <c r="M88" s="11">
        <f t="shared" si="9"/>
        <v>-103823</v>
      </c>
      <c r="N88" s="11">
        <f t="shared" si="9"/>
        <v>2209</v>
      </c>
      <c r="O88" s="11">
        <f t="shared" si="9"/>
        <v>-47</v>
      </c>
      <c r="P88" s="11">
        <f t="shared" si="13"/>
        <v>0</v>
      </c>
    </row>
    <row r="89" spans="1:16" x14ac:dyDescent="0.25">
      <c r="A89" s="11">
        <f t="shared" si="12"/>
        <v>34</v>
      </c>
      <c r="B89">
        <v>-4.1784043919727747</v>
      </c>
      <c r="E89" s="11">
        <f>A89-'Mastercurve bestimmen'!$B$2</f>
        <v>-46</v>
      </c>
      <c r="F89" s="11">
        <f t="shared" si="10"/>
        <v>-4.1784043919727747</v>
      </c>
      <c r="G89" s="11"/>
      <c r="H89" s="11">
        <f t="shared" si="11"/>
        <v>20047612231936</v>
      </c>
      <c r="I89" s="11">
        <f t="shared" si="9"/>
        <v>-435817657216</v>
      </c>
      <c r="J89" s="11">
        <f t="shared" si="9"/>
        <v>9474296896</v>
      </c>
      <c r="K89" s="11">
        <f t="shared" si="9"/>
        <v>-205962976</v>
      </c>
      <c r="L89" s="11">
        <f t="shared" si="9"/>
        <v>4477456</v>
      </c>
      <c r="M89" s="11">
        <f t="shared" si="9"/>
        <v>-97336</v>
      </c>
      <c r="N89" s="11">
        <f t="shared" si="9"/>
        <v>2116</v>
      </c>
      <c r="O89" s="11">
        <f t="shared" si="9"/>
        <v>-46</v>
      </c>
      <c r="P89" s="11">
        <f t="shared" si="13"/>
        <v>0</v>
      </c>
    </row>
    <row r="90" spans="1:16" x14ac:dyDescent="0.25">
      <c r="A90" s="11">
        <f t="shared" si="12"/>
        <v>35</v>
      </c>
      <c r="B90">
        <v>-4.0905136426242867</v>
      </c>
      <c r="E90" s="11">
        <f>A90-'Mastercurve bestimmen'!$B$2</f>
        <v>-45</v>
      </c>
      <c r="F90" s="11">
        <f t="shared" si="10"/>
        <v>-4.0905136426242867</v>
      </c>
      <c r="G90" s="11"/>
      <c r="H90" s="11">
        <f t="shared" si="11"/>
        <v>16815125390625</v>
      </c>
      <c r="I90" s="11">
        <f t="shared" si="9"/>
        <v>-373669453125</v>
      </c>
      <c r="J90" s="11">
        <f t="shared" si="9"/>
        <v>8303765625</v>
      </c>
      <c r="K90" s="11">
        <f t="shared" si="9"/>
        <v>-184528125</v>
      </c>
      <c r="L90" s="11">
        <f t="shared" si="9"/>
        <v>4100625</v>
      </c>
      <c r="M90" s="11">
        <f t="shared" si="9"/>
        <v>-91125</v>
      </c>
      <c r="N90" s="11">
        <f t="shared" si="9"/>
        <v>2025</v>
      </c>
      <c r="O90" s="11">
        <f t="shared" si="9"/>
        <v>-45</v>
      </c>
      <c r="P90" s="11">
        <f t="shared" si="13"/>
        <v>0</v>
      </c>
    </row>
    <row r="91" spans="1:16" x14ac:dyDescent="0.25">
      <c r="A91" s="11">
        <f t="shared" si="12"/>
        <v>36</v>
      </c>
      <c r="B91">
        <v>-4.0036378789787594</v>
      </c>
      <c r="E91" s="11">
        <f>A91-'Mastercurve bestimmen'!$B$2</f>
        <v>-44</v>
      </c>
      <c r="F91" s="11">
        <f t="shared" si="10"/>
        <v>-4.0036378789787594</v>
      </c>
      <c r="G91" s="11"/>
      <c r="H91" s="11">
        <f t="shared" si="11"/>
        <v>14048223625216</v>
      </c>
      <c r="I91" s="11">
        <f t="shared" si="9"/>
        <v>-319277809664</v>
      </c>
      <c r="J91" s="11">
        <f t="shared" si="9"/>
        <v>7256313856</v>
      </c>
      <c r="K91" s="11">
        <f t="shared" si="9"/>
        <v>-164916224</v>
      </c>
      <c r="L91" s="11">
        <f t="shared" si="9"/>
        <v>3748096</v>
      </c>
      <c r="M91" s="11">
        <f t="shared" si="9"/>
        <v>-85184</v>
      </c>
      <c r="N91" s="11">
        <f t="shared" si="9"/>
        <v>1936</v>
      </c>
      <c r="O91" s="11">
        <f t="shared" si="9"/>
        <v>-44</v>
      </c>
      <c r="P91" s="11">
        <f t="shared" si="13"/>
        <v>0</v>
      </c>
    </row>
    <row r="92" spans="1:16" x14ac:dyDescent="0.25">
      <c r="A92" s="11">
        <f t="shared" si="12"/>
        <v>37</v>
      </c>
      <c r="B92">
        <v>-3.9176720747158269</v>
      </c>
      <c r="E92" s="11">
        <f>A92-'Mastercurve bestimmen'!$B$2</f>
        <v>-43</v>
      </c>
      <c r="F92" s="11">
        <f t="shared" si="10"/>
        <v>-3.9176720747158269</v>
      </c>
      <c r="G92" s="11"/>
      <c r="H92" s="11">
        <f t="shared" si="11"/>
        <v>11688200277601</v>
      </c>
      <c r="I92" s="11">
        <f t="shared" si="9"/>
        <v>-271818611107</v>
      </c>
      <c r="J92" s="11">
        <f t="shared" si="9"/>
        <v>6321363049</v>
      </c>
      <c r="K92" s="11">
        <f t="shared" si="9"/>
        <v>-147008443</v>
      </c>
      <c r="L92" s="11">
        <f t="shared" si="9"/>
        <v>3418801</v>
      </c>
      <c r="M92" s="11">
        <f t="shared" si="9"/>
        <v>-79507</v>
      </c>
      <c r="N92" s="11">
        <f t="shared" si="9"/>
        <v>1849</v>
      </c>
      <c r="O92" s="11">
        <f t="shared" si="9"/>
        <v>-43</v>
      </c>
      <c r="P92" s="11">
        <f t="shared" si="13"/>
        <v>0</v>
      </c>
    </row>
    <row r="93" spans="1:16" x14ac:dyDescent="0.25">
      <c r="A93" s="11">
        <f t="shared" si="12"/>
        <v>38</v>
      </c>
      <c r="B93">
        <v>-3.8325112035151219</v>
      </c>
      <c r="E93" s="11">
        <f>A93-'Mastercurve bestimmen'!$B$2</f>
        <v>-42</v>
      </c>
      <c r="F93" s="11">
        <f t="shared" si="10"/>
        <v>-3.8325112035151219</v>
      </c>
      <c r="G93" s="11"/>
      <c r="H93" s="11">
        <f t="shared" si="11"/>
        <v>9682651996416</v>
      </c>
      <c r="I93" s="11">
        <f t="shared" si="9"/>
        <v>-230539333248</v>
      </c>
      <c r="J93" s="11">
        <f t="shared" si="9"/>
        <v>5489031744</v>
      </c>
      <c r="K93" s="11">
        <f t="shared" si="9"/>
        <v>-130691232</v>
      </c>
      <c r="L93" s="11">
        <f t="shared" si="9"/>
        <v>3111696</v>
      </c>
      <c r="M93" s="11">
        <f t="shared" si="9"/>
        <v>-74088</v>
      </c>
      <c r="N93" s="11">
        <f t="shared" si="9"/>
        <v>1764</v>
      </c>
      <c r="O93" s="11">
        <f t="shared" si="9"/>
        <v>-42</v>
      </c>
      <c r="P93" s="11">
        <f t="shared" si="13"/>
        <v>0</v>
      </c>
    </row>
    <row r="94" spans="1:16" x14ac:dyDescent="0.25">
      <c r="A94" s="11">
        <f t="shared" si="12"/>
        <v>39</v>
      </c>
      <c r="B94">
        <v>-3.748050239056278</v>
      </c>
      <c r="E94" s="11">
        <f>A94-'Mastercurve bestimmen'!$B$2</f>
        <v>-41</v>
      </c>
      <c r="F94" s="11">
        <f t="shared" si="10"/>
        <v>-3.748050239056278</v>
      </c>
      <c r="G94" s="11"/>
      <c r="H94" s="11">
        <f t="shared" si="11"/>
        <v>7984925229121</v>
      </c>
      <c r="I94" s="11">
        <f t="shared" si="9"/>
        <v>-194754273881</v>
      </c>
      <c r="J94" s="11">
        <f t="shared" si="9"/>
        <v>4750104241</v>
      </c>
      <c r="K94" s="11">
        <f t="shared" si="9"/>
        <v>-115856201</v>
      </c>
      <c r="L94" s="11">
        <f t="shared" si="9"/>
        <v>2825761</v>
      </c>
      <c r="M94" s="11">
        <f t="shared" si="9"/>
        <v>-68921</v>
      </c>
      <c r="N94" s="11">
        <f t="shared" si="9"/>
        <v>1681</v>
      </c>
      <c r="O94" s="11">
        <f t="shared" si="9"/>
        <v>-41</v>
      </c>
      <c r="P94" s="11">
        <f t="shared" si="13"/>
        <v>0</v>
      </c>
    </row>
    <row r="95" spans="1:16" x14ac:dyDescent="0.25">
      <c r="A95" s="11">
        <f t="shared" si="12"/>
        <v>40</v>
      </c>
      <c r="B95">
        <v>-3.6641841550189289</v>
      </c>
      <c r="E95" s="11">
        <f>A95-'Mastercurve bestimmen'!$B$2</f>
        <v>-40</v>
      </c>
      <c r="F95" s="11">
        <f t="shared" si="10"/>
        <v>-3.6641841550189289</v>
      </c>
      <c r="G95" s="11"/>
      <c r="H95" s="11">
        <f t="shared" si="11"/>
        <v>6553600000000</v>
      </c>
      <c r="I95" s="11">
        <f t="shared" si="9"/>
        <v>-163840000000</v>
      </c>
      <c r="J95" s="11">
        <f t="shared" si="9"/>
        <v>4096000000</v>
      </c>
      <c r="K95" s="11">
        <f t="shared" si="9"/>
        <v>-102400000</v>
      </c>
      <c r="L95" s="11">
        <f t="shared" si="9"/>
        <v>2560000</v>
      </c>
      <c r="M95" s="11">
        <f t="shared" si="9"/>
        <v>-64000</v>
      </c>
      <c r="N95" s="11">
        <f t="shared" si="9"/>
        <v>1600</v>
      </c>
      <c r="O95" s="11">
        <f t="shared" si="9"/>
        <v>-40</v>
      </c>
      <c r="P95" s="11">
        <f t="shared" si="13"/>
        <v>0</v>
      </c>
    </row>
    <row r="96" spans="1:16" x14ac:dyDescent="0.25">
      <c r="A96" s="11">
        <f t="shared" si="12"/>
        <v>41</v>
      </c>
      <c r="B96">
        <v>-3.5808079250827078</v>
      </c>
      <c r="E96" s="11">
        <f>A96-'Mastercurve bestimmen'!$B$2</f>
        <v>-39</v>
      </c>
      <c r="F96" s="11">
        <f t="shared" si="10"/>
        <v>-3.5808079250827078</v>
      </c>
      <c r="G96" s="11"/>
      <c r="H96" s="11">
        <f t="shared" si="11"/>
        <v>5352009260481</v>
      </c>
      <c r="I96" s="11">
        <f t="shared" si="9"/>
        <v>-137231006679</v>
      </c>
      <c r="J96" s="11">
        <f t="shared" si="9"/>
        <v>3518743761</v>
      </c>
      <c r="K96" s="11">
        <f t="shared" si="9"/>
        <v>-90224199</v>
      </c>
      <c r="L96" s="11">
        <f t="shared" si="9"/>
        <v>2313441</v>
      </c>
      <c r="M96" s="11">
        <f t="shared" si="9"/>
        <v>-59319</v>
      </c>
      <c r="N96" s="11">
        <f t="shared" si="9"/>
        <v>1521</v>
      </c>
      <c r="O96" s="11">
        <f t="shared" si="9"/>
        <v>-39</v>
      </c>
      <c r="P96" s="11">
        <f t="shared" si="13"/>
        <v>0</v>
      </c>
    </row>
    <row r="97" spans="1:16" x14ac:dyDescent="0.25">
      <c r="A97" s="11">
        <f t="shared" si="12"/>
        <v>42</v>
      </c>
      <c r="B97">
        <v>-3.4978165229272484</v>
      </c>
      <c r="E97" s="11">
        <f>A97-'Mastercurve bestimmen'!$B$2</f>
        <v>-38</v>
      </c>
      <c r="F97" s="11">
        <f t="shared" si="10"/>
        <v>-3.4978165229272484</v>
      </c>
      <c r="G97" s="11"/>
      <c r="H97" s="11">
        <f t="shared" si="11"/>
        <v>4347792138496</v>
      </c>
      <c r="I97" s="11">
        <f t="shared" si="9"/>
        <v>-114415582592</v>
      </c>
      <c r="J97" s="11">
        <f t="shared" si="9"/>
        <v>3010936384</v>
      </c>
      <c r="K97" s="11">
        <f t="shared" si="9"/>
        <v>-79235168</v>
      </c>
      <c r="L97" s="11">
        <f t="shared" si="9"/>
        <v>2085136</v>
      </c>
      <c r="M97" s="11">
        <f t="shared" si="9"/>
        <v>-54872</v>
      </c>
      <c r="N97" s="11">
        <f t="shared" si="9"/>
        <v>1444</v>
      </c>
      <c r="O97" s="11">
        <f t="shared" si="9"/>
        <v>-38</v>
      </c>
      <c r="P97" s="11">
        <f t="shared" si="13"/>
        <v>0</v>
      </c>
    </row>
    <row r="98" spans="1:16" x14ac:dyDescent="0.25">
      <c r="A98" s="11">
        <f t="shared" si="12"/>
        <v>43</v>
      </c>
      <c r="B98">
        <v>-3.4151049222321839</v>
      </c>
      <c r="E98" s="11">
        <f>A98-'Mastercurve bestimmen'!$B$2</f>
        <v>-37</v>
      </c>
      <c r="F98" s="11">
        <f t="shared" si="10"/>
        <v>-3.4151049222321839</v>
      </c>
      <c r="G98" s="11"/>
      <c r="H98" s="11">
        <f t="shared" si="11"/>
        <v>3512479453921</v>
      </c>
      <c r="I98" s="11">
        <f t="shared" si="9"/>
        <v>-94931877133</v>
      </c>
      <c r="J98" s="11">
        <f t="shared" si="9"/>
        <v>2565726409</v>
      </c>
      <c r="K98" s="11">
        <f t="shared" si="9"/>
        <v>-69343957</v>
      </c>
      <c r="L98" s="11">
        <f t="shared" si="9"/>
        <v>1874161</v>
      </c>
      <c r="M98" s="11">
        <f t="shared" si="9"/>
        <v>-50653</v>
      </c>
      <c r="N98" s="11">
        <f t="shared" si="9"/>
        <v>1369</v>
      </c>
      <c r="O98" s="11">
        <f t="shared" si="9"/>
        <v>-37</v>
      </c>
      <c r="P98" s="11">
        <f t="shared" si="13"/>
        <v>0</v>
      </c>
    </row>
    <row r="99" spans="1:16" x14ac:dyDescent="0.25">
      <c r="A99" s="11">
        <f t="shared" si="12"/>
        <v>44</v>
      </c>
      <c r="B99">
        <v>-3.3325680966771474</v>
      </c>
      <c r="E99" s="11">
        <f>A99-'Mastercurve bestimmen'!$B$2</f>
        <v>-36</v>
      </c>
      <c r="F99" s="11">
        <f t="shared" si="10"/>
        <v>-3.3325680966771474</v>
      </c>
      <c r="G99" s="11"/>
      <c r="H99" s="11">
        <f t="shared" si="11"/>
        <v>2821109907456</v>
      </c>
      <c r="I99" s="11">
        <f t="shared" si="9"/>
        <v>-78364164096</v>
      </c>
      <c r="J99" s="11">
        <f t="shared" si="9"/>
        <v>2176782336</v>
      </c>
      <c r="K99" s="11">
        <f t="shared" si="9"/>
        <v>-60466176</v>
      </c>
      <c r="L99" s="11">
        <f t="shared" si="9"/>
        <v>1679616</v>
      </c>
      <c r="M99" s="11">
        <f t="shared" si="9"/>
        <v>-46656</v>
      </c>
      <c r="N99" s="11">
        <f t="shared" si="9"/>
        <v>1296</v>
      </c>
      <c r="O99" s="11">
        <f t="shared" si="9"/>
        <v>-36</v>
      </c>
      <c r="P99" s="11">
        <f t="shared" si="13"/>
        <v>0</v>
      </c>
    </row>
    <row r="100" spans="1:16" x14ac:dyDescent="0.25">
      <c r="A100" s="11">
        <f t="shared" si="12"/>
        <v>45</v>
      </c>
      <c r="B100">
        <v>-3.2501010199417726</v>
      </c>
      <c r="E100" s="11">
        <f>A100-'Mastercurve bestimmen'!$B$2</f>
        <v>-35</v>
      </c>
      <c r="F100" s="11">
        <f t="shared" si="10"/>
        <v>-3.2501010199417726</v>
      </c>
      <c r="G100" s="11"/>
      <c r="H100" s="11">
        <f t="shared" si="11"/>
        <v>2251875390625</v>
      </c>
      <c r="I100" s="11">
        <f t="shared" si="9"/>
        <v>-64339296875</v>
      </c>
      <c r="J100" s="11">
        <f t="shared" si="9"/>
        <v>1838265625</v>
      </c>
      <c r="K100" s="11">
        <f t="shared" si="9"/>
        <v>-52521875</v>
      </c>
      <c r="L100" s="11">
        <f t="shared" si="9"/>
        <v>1500625</v>
      </c>
      <c r="M100" s="11">
        <f t="shared" si="9"/>
        <v>-42875</v>
      </c>
      <c r="N100" s="11">
        <f t="shared" si="9"/>
        <v>1225</v>
      </c>
      <c r="O100" s="11">
        <f t="shared" si="9"/>
        <v>-35</v>
      </c>
      <c r="P100" s="11">
        <f t="shared" si="13"/>
        <v>0</v>
      </c>
    </row>
    <row r="101" spans="1:16" x14ac:dyDescent="0.25">
      <c r="A101" s="11">
        <f t="shared" si="12"/>
        <v>46</v>
      </c>
      <c r="B101">
        <v>-3.1675986657056936</v>
      </c>
      <c r="E101" s="11">
        <f>A101-'Mastercurve bestimmen'!$B$2</f>
        <v>-34</v>
      </c>
      <c r="F101" s="11">
        <f t="shared" si="10"/>
        <v>-3.1675986657056936</v>
      </c>
      <c r="G101" s="11"/>
      <c r="H101" s="11">
        <f t="shared" si="11"/>
        <v>1785793904896</v>
      </c>
      <c r="I101" s="11">
        <f t="shared" si="9"/>
        <v>-52523350144</v>
      </c>
      <c r="J101" s="11">
        <f t="shared" si="9"/>
        <v>1544804416</v>
      </c>
      <c r="K101" s="11">
        <f t="shared" si="9"/>
        <v>-45435424</v>
      </c>
      <c r="L101" s="11">
        <f t="shared" si="9"/>
        <v>1336336</v>
      </c>
      <c r="M101" s="11">
        <f t="shared" si="9"/>
        <v>-39304</v>
      </c>
      <c r="N101" s="11">
        <f t="shared" si="9"/>
        <v>1156</v>
      </c>
      <c r="O101" s="11">
        <f t="shared" si="9"/>
        <v>-34</v>
      </c>
      <c r="P101" s="11">
        <f t="shared" si="13"/>
        <v>0</v>
      </c>
    </row>
    <row r="102" spans="1:16" x14ac:dyDescent="0.25">
      <c r="A102" s="11">
        <f t="shared" si="12"/>
        <v>47</v>
      </c>
      <c r="B102">
        <v>-3.0849560076485427</v>
      </c>
      <c r="E102" s="11">
        <f>A102-'Mastercurve bestimmen'!$B$2</f>
        <v>-33</v>
      </c>
      <c r="F102" s="11">
        <f t="shared" si="10"/>
        <v>-3.0849560076485427</v>
      </c>
      <c r="G102" s="11"/>
      <c r="H102" s="11">
        <f t="shared" si="11"/>
        <v>1406408618241</v>
      </c>
      <c r="I102" s="11">
        <f t="shared" si="9"/>
        <v>-42618442977</v>
      </c>
      <c r="J102" s="11">
        <f t="shared" si="9"/>
        <v>1291467969</v>
      </c>
      <c r="K102" s="11">
        <f t="shared" si="9"/>
        <v>-39135393</v>
      </c>
      <c r="L102" s="11">
        <f t="shared" si="9"/>
        <v>1185921</v>
      </c>
      <c r="M102" s="11">
        <f t="shared" si="9"/>
        <v>-35937</v>
      </c>
      <c r="N102" s="11">
        <f t="shared" si="9"/>
        <v>1089</v>
      </c>
      <c r="O102" s="11">
        <f t="shared" si="9"/>
        <v>-33</v>
      </c>
      <c r="P102" s="11">
        <f t="shared" si="13"/>
        <v>0</v>
      </c>
    </row>
    <row r="103" spans="1:16" x14ac:dyDescent="0.25">
      <c r="A103" s="11">
        <f t="shared" si="12"/>
        <v>48</v>
      </c>
      <c r="B103">
        <v>-3.0020680194499541</v>
      </c>
      <c r="E103" s="11">
        <f>A103-'Mastercurve bestimmen'!$B$2</f>
        <v>-32</v>
      </c>
      <c r="F103" s="11">
        <f t="shared" si="10"/>
        <v>-3.0020680194499541</v>
      </c>
      <c r="G103" s="11"/>
      <c r="H103" s="11">
        <f t="shared" si="11"/>
        <v>1099511627776</v>
      </c>
      <c r="I103" s="11">
        <f t="shared" si="9"/>
        <v>-34359738368</v>
      </c>
      <c r="J103" s="11">
        <f t="shared" si="9"/>
        <v>1073741824</v>
      </c>
      <c r="K103" s="11">
        <f t="shared" si="9"/>
        <v>-33554432</v>
      </c>
      <c r="L103" s="11">
        <f t="shared" si="9"/>
        <v>1048576</v>
      </c>
      <c r="M103" s="11">
        <f t="shared" si="9"/>
        <v>-32768</v>
      </c>
      <c r="N103" s="11">
        <f t="shared" si="9"/>
        <v>1024</v>
      </c>
      <c r="O103" s="11">
        <f t="shared" si="9"/>
        <v>-32</v>
      </c>
      <c r="P103" s="11">
        <f t="shared" si="13"/>
        <v>0</v>
      </c>
    </row>
    <row r="104" spans="1:16" x14ac:dyDescent="0.25">
      <c r="A104" s="11">
        <f t="shared" si="12"/>
        <v>49</v>
      </c>
      <c r="B104">
        <v>-2.9188296747895603</v>
      </c>
      <c r="E104" s="11">
        <f>A104-'Mastercurve bestimmen'!$B$2</f>
        <v>-31</v>
      </c>
      <c r="F104" s="11">
        <f t="shared" si="10"/>
        <v>-2.9188296747895603</v>
      </c>
      <c r="G104" s="11"/>
      <c r="H104" s="11">
        <f t="shared" si="11"/>
        <v>852891037441</v>
      </c>
      <c r="I104" s="11">
        <f t="shared" si="9"/>
        <v>-27512614111</v>
      </c>
      <c r="J104" s="11">
        <f t="shared" si="9"/>
        <v>887503681</v>
      </c>
      <c r="K104" s="11">
        <f t="shared" si="9"/>
        <v>-28629151</v>
      </c>
      <c r="L104" s="11">
        <f t="shared" si="9"/>
        <v>923521</v>
      </c>
      <c r="M104" s="11">
        <f t="shared" si="9"/>
        <v>-29791</v>
      </c>
      <c r="N104" s="11">
        <f t="shared" si="9"/>
        <v>961</v>
      </c>
      <c r="O104" s="11">
        <f t="shared" si="9"/>
        <v>-31</v>
      </c>
      <c r="P104" s="11">
        <f t="shared" si="13"/>
        <v>0</v>
      </c>
    </row>
    <row r="105" spans="1:16" x14ac:dyDescent="0.25">
      <c r="A105" s="11">
        <f t="shared" si="12"/>
        <v>50</v>
      </c>
      <c r="B105">
        <v>-2.8351359473469957</v>
      </c>
      <c r="E105" s="11">
        <f>A105-'Mastercurve bestimmen'!$B$2</f>
        <v>-30</v>
      </c>
      <c r="F105" s="11">
        <f t="shared" si="10"/>
        <v>-2.8351359473469957</v>
      </c>
      <c r="G105" s="11"/>
      <c r="H105" s="11">
        <f t="shared" si="11"/>
        <v>656100000000</v>
      </c>
      <c r="I105" s="11">
        <f t="shared" si="9"/>
        <v>-21870000000</v>
      </c>
      <c r="J105" s="11">
        <f t="shared" si="9"/>
        <v>729000000</v>
      </c>
      <c r="K105" s="11">
        <f t="shared" si="9"/>
        <v>-24300000</v>
      </c>
      <c r="L105" s="11">
        <f t="shared" si="9"/>
        <v>810000</v>
      </c>
      <c r="M105" s="11">
        <f t="shared" si="9"/>
        <v>-27000</v>
      </c>
      <c r="N105" s="11">
        <f t="shared" si="9"/>
        <v>900</v>
      </c>
      <c r="O105" s="11">
        <f t="shared" si="9"/>
        <v>-30</v>
      </c>
      <c r="P105" s="11">
        <f t="shared" si="13"/>
        <v>0</v>
      </c>
    </row>
    <row r="106" spans="1:16" x14ac:dyDescent="0.25">
      <c r="A106" s="11">
        <f t="shared" si="12"/>
        <v>51</v>
      </c>
      <c r="B106">
        <v>-2.7508969352248065</v>
      </c>
      <c r="E106" s="11">
        <f>A106-'Mastercurve bestimmen'!$B$2</f>
        <v>-29</v>
      </c>
      <c r="F106" s="11">
        <f t="shared" si="10"/>
        <v>-2.7508969352248065</v>
      </c>
      <c r="G106" s="11"/>
      <c r="H106" s="11">
        <f t="shared" si="11"/>
        <v>500246412961</v>
      </c>
      <c r="I106" s="11">
        <f t="shared" si="9"/>
        <v>-17249876309</v>
      </c>
      <c r="J106" s="11">
        <f t="shared" si="9"/>
        <v>594823321</v>
      </c>
      <c r="K106" s="11">
        <f t="shared" si="9"/>
        <v>-20511149</v>
      </c>
      <c r="L106" s="11">
        <f t="shared" si="9"/>
        <v>707281</v>
      </c>
      <c r="M106" s="11">
        <f t="shared" si="9"/>
        <v>-24389</v>
      </c>
      <c r="N106" s="11">
        <f t="shared" si="9"/>
        <v>841</v>
      </c>
      <c r="O106" s="11">
        <f t="shared" si="9"/>
        <v>-29</v>
      </c>
      <c r="P106" s="11">
        <f t="shared" si="13"/>
        <v>0</v>
      </c>
    </row>
    <row r="107" spans="1:16" x14ac:dyDescent="0.25">
      <c r="A107" s="11">
        <f t="shared" si="12"/>
        <v>52</v>
      </c>
      <c r="B107">
        <v>-2.6660832342171923</v>
      </c>
      <c r="E107" s="11">
        <f>A107-'Mastercurve bestimmen'!$B$2</f>
        <v>-28</v>
      </c>
      <c r="F107" s="11">
        <f t="shared" si="10"/>
        <v>-2.6660832342171923</v>
      </c>
      <c r="G107" s="11"/>
      <c r="H107" s="11">
        <f t="shared" si="11"/>
        <v>377801998336</v>
      </c>
      <c r="I107" s="11">
        <f t="shared" si="9"/>
        <v>-13492928512</v>
      </c>
      <c r="J107" s="11">
        <f t="shared" si="9"/>
        <v>481890304</v>
      </c>
      <c r="K107" s="11">
        <f t="shared" si="9"/>
        <v>-17210368</v>
      </c>
      <c r="L107" s="11">
        <f t="shared" si="9"/>
        <v>614656</v>
      </c>
      <c r="M107" s="11">
        <f t="shared" si="9"/>
        <v>-21952</v>
      </c>
      <c r="N107" s="11">
        <f t="shared" si="9"/>
        <v>784</v>
      </c>
      <c r="O107" s="11">
        <f t="shared" si="9"/>
        <v>-28</v>
      </c>
      <c r="P107" s="11">
        <f t="shared" si="13"/>
        <v>0</v>
      </c>
    </row>
    <row r="108" spans="1:16" x14ac:dyDescent="0.25">
      <c r="A108" s="11">
        <f t="shared" si="12"/>
        <v>53</v>
      </c>
      <c r="B108">
        <v>-2.5806805645412663</v>
      </c>
      <c r="E108" s="11">
        <f>A108-'Mastercurve bestimmen'!$B$2</f>
        <v>-27</v>
      </c>
      <c r="F108" s="11">
        <f t="shared" si="10"/>
        <v>-2.5806805645412663</v>
      </c>
      <c r="G108" s="11"/>
      <c r="H108" s="11">
        <f t="shared" si="11"/>
        <v>282429536481</v>
      </c>
      <c r="I108" s="11">
        <f t="shared" si="9"/>
        <v>-10460353203</v>
      </c>
      <c r="J108" s="11">
        <f t="shared" si="9"/>
        <v>387420489</v>
      </c>
      <c r="K108" s="11">
        <f t="shared" si="9"/>
        <v>-14348907</v>
      </c>
      <c r="L108" s="11">
        <f t="shared" si="9"/>
        <v>531441</v>
      </c>
      <c r="M108" s="11">
        <f t="shared" si="9"/>
        <v>-19683</v>
      </c>
      <c r="N108" s="11">
        <f t="shared" si="9"/>
        <v>729</v>
      </c>
      <c r="O108" s="11">
        <f t="shared" si="9"/>
        <v>-27</v>
      </c>
      <c r="P108" s="11">
        <f t="shared" si="13"/>
        <v>0</v>
      </c>
    </row>
    <row r="109" spans="1:16" x14ac:dyDescent="0.25">
      <c r="A109" s="11">
        <f t="shared" si="12"/>
        <v>54</v>
      </c>
      <c r="B109">
        <v>-2.4946746464141412</v>
      </c>
      <c r="E109" s="11">
        <f>A109-'Mastercurve bestimmen'!$B$2</f>
        <v>-26</v>
      </c>
      <c r="F109" s="11">
        <f t="shared" si="10"/>
        <v>-2.4946746464141412</v>
      </c>
      <c r="G109" s="11"/>
      <c r="H109" s="11">
        <f t="shared" si="11"/>
        <v>208827064576</v>
      </c>
      <c r="I109" s="11">
        <f t="shared" si="9"/>
        <v>-8031810176</v>
      </c>
      <c r="J109" s="11">
        <f t="shared" si="9"/>
        <v>308915776</v>
      </c>
      <c r="K109" s="11">
        <f t="shared" si="9"/>
        <v>-11881376</v>
      </c>
      <c r="L109" s="11">
        <f t="shared" si="9"/>
        <v>456976</v>
      </c>
      <c r="M109" s="11">
        <f t="shared" si="9"/>
        <v>-17576</v>
      </c>
      <c r="N109" s="11">
        <f t="shared" si="9"/>
        <v>676</v>
      </c>
      <c r="O109" s="11">
        <f t="shared" si="9"/>
        <v>-26</v>
      </c>
      <c r="P109" s="11">
        <f t="shared" si="13"/>
        <v>0</v>
      </c>
    </row>
    <row r="110" spans="1:16" x14ac:dyDescent="0.25">
      <c r="A110" s="11">
        <f t="shared" si="12"/>
        <v>55</v>
      </c>
      <c r="B110">
        <v>-2.4080512000529306</v>
      </c>
      <c r="E110" s="11">
        <f>A110-'Mastercurve bestimmen'!$B$2</f>
        <v>-25</v>
      </c>
      <c r="F110" s="11">
        <f t="shared" si="10"/>
        <v>-2.4080512000529306</v>
      </c>
      <c r="G110" s="11"/>
      <c r="H110" s="11">
        <f t="shared" si="11"/>
        <v>152587890625</v>
      </c>
      <c r="I110" s="11">
        <f t="shared" si="9"/>
        <v>-6103515625</v>
      </c>
      <c r="J110" s="11">
        <f t="shared" si="9"/>
        <v>244140625</v>
      </c>
      <c r="K110" s="11">
        <f t="shared" si="9"/>
        <v>-9765625</v>
      </c>
      <c r="L110" s="11">
        <f t="shared" si="9"/>
        <v>390625</v>
      </c>
      <c r="M110" s="11">
        <f t="shared" si="9"/>
        <v>-15625</v>
      </c>
      <c r="N110" s="11">
        <f t="shared" si="9"/>
        <v>625</v>
      </c>
      <c r="O110" s="11">
        <f t="shared" si="9"/>
        <v>-25</v>
      </c>
      <c r="P110" s="11">
        <f t="shared" si="13"/>
        <v>0</v>
      </c>
    </row>
    <row r="111" spans="1:16" x14ac:dyDescent="0.25">
      <c r="A111" s="11">
        <f t="shared" si="12"/>
        <v>56</v>
      </c>
      <c r="B111">
        <v>-2.3207959456747465</v>
      </c>
      <c r="E111" s="11">
        <f>A111-'Mastercurve bestimmen'!$B$2</f>
        <v>-24</v>
      </c>
      <c r="F111" s="11">
        <f t="shared" si="10"/>
        <v>-2.3207959456747465</v>
      </c>
      <c r="G111" s="11"/>
      <c r="H111" s="11">
        <f t="shared" si="11"/>
        <v>110075314176</v>
      </c>
      <c r="I111" s="11">
        <f t="shared" si="9"/>
        <v>-4586471424</v>
      </c>
      <c r="J111" s="11">
        <f t="shared" si="9"/>
        <v>191102976</v>
      </c>
      <c r="K111" s="11">
        <f t="shared" si="9"/>
        <v>-7962624</v>
      </c>
      <c r="L111" s="11">
        <f t="shared" si="9"/>
        <v>331776</v>
      </c>
      <c r="M111" s="11">
        <f t="shared" si="9"/>
        <v>-13824</v>
      </c>
      <c r="N111" s="11">
        <f t="shared" si="9"/>
        <v>576</v>
      </c>
      <c r="O111" s="11">
        <f t="shared" si="9"/>
        <v>-24</v>
      </c>
      <c r="P111" s="11">
        <f t="shared" si="13"/>
        <v>0</v>
      </c>
    </row>
    <row r="112" spans="1:16" x14ac:dyDescent="0.25">
      <c r="A112" s="11">
        <f t="shared" si="12"/>
        <v>57</v>
      </c>
      <c r="B112">
        <v>-2.2328946034967019</v>
      </c>
      <c r="E112" s="11">
        <f>A112-'Mastercurve bestimmen'!$B$2</f>
        <v>-23</v>
      </c>
      <c r="F112" s="11">
        <f t="shared" si="10"/>
        <v>-2.2328946034967019</v>
      </c>
      <c r="G112" s="11"/>
      <c r="H112" s="11">
        <f t="shared" si="11"/>
        <v>78310985281</v>
      </c>
      <c r="I112" s="11">
        <f t="shared" si="9"/>
        <v>-3404825447</v>
      </c>
      <c r="J112" s="11">
        <f t="shared" si="9"/>
        <v>148035889</v>
      </c>
      <c r="K112" s="11">
        <f t="shared" si="9"/>
        <v>-6436343</v>
      </c>
      <c r="L112" s="11">
        <f t="shared" si="9"/>
        <v>279841</v>
      </c>
      <c r="M112" s="11">
        <f t="shared" si="9"/>
        <v>-12167</v>
      </c>
      <c r="N112" s="11">
        <f t="shared" si="9"/>
        <v>529</v>
      </c>
      <c r="O112" s="11">
        <f t="shared" si="9"/>
        <v>-23</v>
      </c>
      <c r="P112" s="11">
        <f t="shared" si="13"/>
        <v>0</v>
      </c>
    </row>
    <row r="113" spans="1:16" x14ac:dyDescent="0.25">
      <c r="A113" s="11">
        <f t="shared" si="12"/>
        <v>58</v>
      </c>
      <c r="B113">
        <v>-2.1443328937359105</v>
      </c>
      <c r="E113" s="11">
        <f>A113-'Mastercurve bestimmen'!$B$2</f>
        <v>-22</v>
      </c>
      <c r="F113" s="11">
        <f t="shared" si="10"/>
        <v>-2.1443328937359105</v>
      </c>
      <c r="G113" s="11"/>
      <c r="H113" s="11">
        <f t="shared" si="11"/>
        <v>54875873536</v>
      </c>
      <c r="I113" s="11">
        <f t="shared" si="9"/>
        <v>-2494357888</v>
      </c>
      <c r="J113" s="11">
        <f t="shared" si="9"/>
        <v>113379904</v>
      </c>
      <c r="K113" s="11">
        <f t="shared" si="9"/>
        <v>-5153632</v>
      </c>
      <c r="L113" s="11">
        <f t="shared" si="9"/>
        <v>234256</v>
      </c>
      <c r="M113" s="11">
        <f t="shared" si="9"/>
        <v>-10648</v>
      </c>
      <c r="N113" s="11">
        <f t="shared" si="9"/>
        <v>484</v>
      </c>
      <c r="O113" s="11">
        <f t="shared" si="9"/>
        <v>-22</v>
      </c>
      <c r="P113" s="11">
        <f t="shared" si="13"/>
        <v>0</v>
      </c>
    </row>
    <row r="114" spans="1:16" x14ac:dyDescent="0.25">
      <c r="A114" s="11">
        <f t="shared" si="12"/>
        <v>59</v>
      </c>
      <c r="B114">
        <v>-2.0550965366094847</v>
      </c>
      <c r="E114" s="11">
        <f>A114-'Mastercurve bestimmen'!$B$2</f>
        <v>-21</v>
      </c>
      <c r="F114" s="11">
        <f t="shared" si="10"/>
        <v>-2.0550965366094847</v>
      </c>
      <c r="G114" s="11"/>
      <c r="H114" s="11">
        <f t="shared" si="11"/>
        <v>37822859361</v>
      </c>
      <c r="I114" s="11">
        <f t="shared" si="9"/>
        <v>-1801088541</v>
      </c>
      <c r="J114" s="11">
        <f t="shared" si="9"/>
        <v>85766121</v>
      </c>
      <c r="K114" s="11">
        <f t="shared" si="9"/>
        <v>-4084101</v>
      </c>
      <c r="L114" s="11">
        <f t="shared" si="9"/>
        <v>194481</v>
      </c>
      <c r="M114" s="11">
        <f t="shared" si="9"/>
        <v>-9261</v>
      </c>
      <c r="N114" s="11">
        <f t="shared" si="9"/>
        <v>441</v>
      </c>
      <c r="O114" s="11">
        <f t="shared" si="9"/>
        <v>-21</v>
      </c>
      <c r="P114" s="11">
        <f t="shared" si="13"/>
        <v>0</v>
      </c>
    </row>
    <row r="115" spans="1:16" x14ac:dyDescent="0.25">
      <c r="A115" s="11">
        <f t="shared" si="12"/>
        <v>60</v>
      </c>
      <c r="B115">
        <v>-1.9651712523345373</v>
      </c>
      <c r="E115" s="11">
        <f>A115-'Mastercurve bestimmen'!$B$2</f>
        <v>-20</v>
      </c>
      <c r="F115" s="11">
        <f t="shared" si="10"/>
        <v>-1.9651712523345373</v>
      </c>
      <c r="G115" s="11"/>
      <c r="H115" s="11">
        <f t="shared" si="11"/>
        <v>25600000000</v>
      </c>
      <c r="I115" s="11">
        <f t="shared" si="9"/>
        <v>-1280000000</v>
      </c>
      <c r="J115" s="11">
        <f t="shared" si="9"/>
        <v>64000000</v>
      </c>
      <c r="K115" s="11">
        <f t="shared" si="9"/>
        <v>-3200000</v>
      </c>
      <c r="L115" s="11">
        <f t="shared" si="9"/>
        <v>160000</v>
      </c>
      <c r="M115" s="11">
        <f t="shared" si="9"/>
        <v>-8000</v>
      </c>
      <c r="N115" s="11">
        <f t="shared" si="9"/>
        <v>400</v>
      </c>
      <c r="O115" s="11">
        <f t="shared" si="9"/>
        <v>-20</v>
      </c>
      <c r="P115" s="11">
        <f t="shared" si="13"/>
        <v>0</v>
      </c>
    </row>
    <row r="116" spans="1:16" x14ac:dyDescent="0.25">
      <c r="A116" s="11">
        <f t="shared" si="12"/>
        <v>61</v>
      </c>
      <c r="B116">
        <v>-1.8745427611281813</v>
      </c>
      <c r="E116" s="11">
        <f>A116-'Mastercurve bestimmen'!$B$2</f>
        <v>-19</v>
      </c>
      <c r="F116" s="11">
        <f t="shared" si="10"/>
        <v>-1.8745427611281813</v>
      </c>
      <c r="G116" s="11"/>
      <c r="H116" s="11">
        <f t="shared" si="11"/>
        <v>16983563041</v>
      </c>
      <c r="I116" s="11">
        <f t="shared" si="9"/>
        <v>-893871739</v>
      </c>
      <c r="J116" s="11">
        <f t="shared" si="9"/>
        <v>47045881</v>
      </c>
      <c r="K116" s="11">
        <f t="shared" ref="I116:O152" si="14">IF($H$12&gt;=K$14,$E116^K$14,0)</f>
        <v>-2476099</v>
      </c>
      <c r="L116" s="11">
        <f t="shared" si="14"/>
        <v>130321</v>
      </c>
      <c r="M116" s="11">
        <f t="shared" si="14"/>
        <v>-6859</v>
      </c>
      <c r="N116" s="11">
        <f t="shared" si="14"/>
        <v>361</v>
      </c>
      <c r="O116" s="11">
        <f t="shared" si="14"/>
        <v>-19</v>
      </c>
      <c r="P116" s="11">
        <f t="shared" si="13"/>
        <v>0</v>
      </c>
    </row>
    <row r="117" spans="1:16" x14ac:dyDescent="0.25">
      <c r="A117" s="11">
        <f t="shared" si="12"/>
        <v>62</v>
      </c>
      <c r="B117">
        <v>-1.7831967832075297</v>
      </c>
      <c r="E117" s="11">
        <f>A117-'Mastercurve bestimmen'!$B$2</f>
        <v>-18</v>
      </c>
      <c r="F117" s="11">
        <f t="shared" si="10"/>
        <v>-1.7831967832075297</v>
      </c>
      <c r="G117" s="11"/>
      <c r="H117" s="11">
        <f t="shared" si="11"/>
        <v>11019960576</v>
      </c>
      <c r="I117" s="11">
        <f t="shared" si="14"/>
        <v>-612220032</v>
      </c>
      <c r="J117" s="11">
        <f t="shared" si="14"/>
        <v>34012224</v>
      </c>
      <c r="K117" s="11">
        <f t="shared" si="14"/>
        <v>-1889568</v>
      </c>
      <c r="L117" s="11">
        <f t="shared" si="14"/>
        <v>104976</v>
      </c>
      <c r="M117" s="11">
        <f t="shared" si="14"/>
        <v>-5832</v>
      </c>
      <c r="N117" s="11">
        <f t="shared" si="14"/>
        <v>324</v>
      </c>
      <c r="O117" s="11">
        <f t="shared" si="14"/>
        <v>-18</v>
      </c>
      <c r="P117" s="11">
        <f t="shared" si="13"/>
        <v>0</v>
      </c>
    </row>
    <row r="118" spans="1:16" x14ac:dyDescent="0.25">
      <c r="A118" s="11">
        <f t="shared" si="12"/>
        <v>63</v>
      </c>
      <c r="B118">
        <v>-1.6911190387896957</v>
      </c>
      <c r="E118" s="11">
        <f>A118-'Mastercurve bestimmen'!$B$2</f>
        <v>-17</v>
      </c>
      <c r="F118" s="11">
        <f t="shared" si="10"/>
        <v>-1.6911190387896957</v>
      </c>
      <c r="G118" s="11"/>
      <c r="H118" s="11">
        <f t="shared" si="11"/>
        <v>6975757441</v>
      </c>
      <c r="I118" s="11">
        <f t="shared" si="14"/>
        <v>-410338673</v>
      </c>
      <c r="J118" s="11">
        <f t="shared" si="14"/>
        <v>24137569</v>
      </c>
      <c r="K118" s="11">
        <f t="shared" si="14"/>
        <v>-1419857</v>
      </c>
      <c r="L118" s="11">
        <f t="shared" si="14"/>
        <v>83521</v>
      </c>
      <c r="M118" s="11">
        <f t="shared" si="14"/>
        <v>-4913</v>
      </c>
      <c r="N118" s="11">
        <f t="shared" si="14"/>
        <v>289</v>
      </c>
      <c r="O118" s="11">
        <f t="shared" si="14"/>
        <v>-17</v>
      </c>
      <c r="P118" s="11">
        <f t="shared" si="13"/>
        <v>0</v>
      </c>
    </row>
    <row r="119" spans="1:16" x14ac:dyDescent="0.25">
      <c r="A119" s="11">
        <f t="shared" si="12"/>
        <v>64</v>
      </c>
      <c r="B119">
        <v>-1.598295248091792</v>
      </c>
      <c r="E119" s="11">
        <f>A119-'Mastercurve bestimmen'!$B$2</f>
        <v>-16</v>
      </c>
      <c r="F119" s="11">
        <f t="shared" si="10"/>
        <v>-1.598295248091792</v>
      </c>
      <c r="G119" s="11"/>
      <c r="H119" s="11">
        <f t="shared" si="11"/>
        <v>4294967296</v>
      </c>
      <c r="I119" s="11">
        <f t="shared" si="14"/>
        <v>-268435456</v>
      </c>
      <c r="J119" s="11">
        <f t="shared" si="14"/>
        <v>16777216</v>
      </c>
      <c r="K119" s="11">
        <f t="shared" si="14"/>
        <v>-1048576</v>
      </c>
      <c r="L119" s="11">
        <f t="shared" si="14"/>
        <v>65536</v>
      </c>
      <c r="M119" s="11">
        <f t="shared" si="14"/>
        <v>-4096</v>
      </c>
      <c r="N119" s="11">
        <f t="shared" si="14"/>
        <v>256</v>
      </c>
      <c r="O119" s="11">
        <f t="shared" si="14"/>
        <v>-16</v>
      </c>
      <c r="P119" s="11">
        <f t="shared" si="13"/>
        <v>0</v>
      </c>
    </row>
    <row r="120" spans="1:16" x14ac:dyDescent="0.25">
      <c r="A120" s="11">
        <f t="shared" si="12"/>
        <v>65</v>
      </c>
      <c r="B120">
        <v>-1.5047111313309316</v>
      </c>
      <c r="E120" s="11">
        <f>A120-'Mastercurve bestimmen'!$B$2</f>
        <v>-15</v>
      </c>
      <c r="F120" s="11">
        <f t="shared" si="10"/>
        <v>-1.5047111313309316</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-1.410352408724227</v>
      </c>
      <c r="E121" s="11">
        <f>A121-'Mastercurve bestimmen'!$B$2</f>
        <v>-14</v>
      </c>
      <c r="F121" s="11">
        <f t="shared" si="10"/>
        <v>-1.410352408724227</v>
      </c>
      <c r="G121" s="11"/>
      <c r="H121" s="11">
        <f t="shared" si="11"/>
        <v>1475789056</v>
      </c>
      <c r="I121" s="11">
        <f t="shared" si="14"/>
        <v>-105413504</v>
      </c>
      <c r="J121" s="11">
        <f t="shared" si="14"/>
        <v>7529536</v>
      </c>
      <c r="K121" s="11">
        <f t="shared" si="14"/>
        <v>-537824</v>
      </c>
      <c r="L121" s="11">
        <f t="shared" si="14"/>
        <v>38416</v>
      </c>
      <c r="M121" s="11">
        <f t="shared" si="14"/>
        <v>-2744</v>
      </c>
      <c r="N121" s="11">
        <f t="shared" si="14"/>
        <v>196</v>
      </c>
      <c r="O121" s="11">
        <f t="shared" si="14"/>
        <v>-14</v>
      </c>
      <c r="P121" s="11">
        <f t="shared" si="13"/>
        <v>0</v>
      </c>
    </row>
    <row r="122" spans="1:16" x14ac:dyDescent="0.25">
      <c r="A122" s="11">
        <f t="shared" si="12"/>
        <v>67</v>
      </c>
      <c r="B122">
        <v>-1.3152048004887917</v>
      </c>
      <c r="E122" s="11">
        <f>A122-'Mastercurve bestimmen'!$B$2</f>
        <v>-13</v>
      </c>
      <c r="F122" s="11">
        <f t="shared" si="10"/>
        <v>-1.3152048004887917</v>
      </c>
      <c r="G122" s="11"/>
      <c r="H122" s="11">
        <f t="shared" si="11"/>
        <v>815730721</v>
      </c>
      <c r="I122" s="11">
        <f t="shared" si="14"/>
        <v>-62748517</v>
      </c>
      <c r="J122" s="11">
        <f t="shared" si="14"/>
        <v>4826809</v>
      </c>
      <c r="K122" s="11">
        <f t="shared" si="14"/>
        <v>-371293</v>
      </c>
      <c r="L122" s="11">
        <f t="shared" si="14"/>
        <v>28561</v>
      </c>
      <c r="M122" s="11">
        <f t="shared" si="14"/>
        <v>-2197</v>
      </c>
      <c r="N122" s="11">
        <f t="shared" si="14"/>
        <v>169</v>
      </c>
      <c r="O122" s="11">
        <f t="shared" si="14"/>
        <v>-13</v>
      </c>
      <c r="P122" s="11">
        <f t="shared" si="13"/>
        <v>0</v>
      </c>
    </row>
    <row r="123" spans="1:16" x14ac:dyDescent="0.25">
      <c r="A123" s="11">
        <f t="shared" si="12"/>
        <v>68</v>
      </c>
      <c r="B123">
        <v>-1.2192540268417382</v>
      </c>
      <c r="E123" s="11">
        <f>A123-'Mastercurve bestimmen'!$B$2</f>
        <v>-12</v>
      </c>
      <c r="F123" s="11">
        <f t="shared" si="10"/>
        <v>-1.2192540268417382</v>
      </c>
      <c r="G123" s="11"/>
      <c r="H123" s="11">
        <f t="shared" si="11"/>
        <v>429981696</v>
      </c>
      <c r="I123" s="11">
        <f t="shared" si="14"/>
        <v>-35831808</v>
      </c>
      <c r="J123" s="11">
        <f t="shared" si="14"/>
        <v>2985984</v>
      </c>
      <c r="K123" s="11">
        <f t="shared" si="14"/>
        <v>-248832</v>
      </c>
      <c r="L123" s="11">
        <f t="shared" si="14"/>
        <v>20736</v>
      </c>
      <c r="M123" s="11">
        <f t="shared" si="14"/>
        <v>-1728</v>
      </c>
      <c r="N123" s="11">
        <f t="shared" si="14"/>
        <v>144</v>
      </c>
      <c r="O123" s="11">
        <f t="shared" si="14"/>
        <v>-12</v>
      </c>
      <c r="P123" s="11">
        <f t="shared" si="13"/>
        <v>0</v>
      </c>
    </row>
    <row r="124" spans="1:16" x14ac:dyDescent="0.25">
      <c r="A124" s="11">
        <f t="shared" si="12"/>
        <v>69</v>
      </c>
      <c r="B124">
        <v>-1.1224858080001798</v>
      </c>
      <c r="E124" s="11">
        <f>A124-'Mastercurve bestimmen'!$B$2</f>
        <v>-11</v>
      </c>
      <c r="F124" s="11">
        <f t="shared" si="10"/>
        <v>-1.1224858080001798</v>
      </c>
      <c r="G124" s="11"/>
      <c r="H124" s="11">
        <f t="shared" si="11"/>
        <v>214358881</v>
      </c>
      <c r="I124" s="11">
        <f t="shared" si="14"/>
        <v>-19487171</v>
      </c>
      <c r="J124" s="11">
        <f t="shared" si="14"/>
        <v>1771561</v>
      </c>
      <c r="K124" s="11">
        <f t="shared" si="14"/>
        <v>-161051</v>
      </c>
      <c r="L124" s="11">
        <f t="shared" si="14"/>
        <v>14641</v>
      </c>
      <c r="M124" s="11">
        <f t="shared" si="14"/>
        <v>-1331</v>
      </c>
      <c r="N124" s="11">
        <f t="shared" si="14"/>
        <v>121</v>
      </c>
      <c r="O124" s="11">
        <f t="shared" si="14"/>
        <v>-11</v>
      </c>
      <c r="P124" s="11">
        <f t="shared" si="13"/>
        <v>0</v>
      </c>
    </row>
    <row r="125" spans="1:16" x14ac:dyDescent="0.25">
      <c r="A125" s="11">
        <f t="shared" si="12"/>
        <v>70</v>
      </c>
      <c r="B125">
        <v>-1.0248858641812295</v>
      </c>
      <c r="E125" s="11">
        <f>A125-'Mastercurve bestimmen'!$B$2</f>
        <v>-10</v>
      </c>
      <c r="F125" s="11">
        <f t="shared" si="10"/>
        <v>-1.0248858641812295</v>
      </c>
      <c r="G125" s="11"/>
      <c r="H125" s="11">
        <f t="shared" si="11"/>
        <v>100000000</v>
      </c>
      <c r="I125" s="11">
        <f t="shared" si="14"/>
        <v>-10000000</v>
      </c>
      <c r="J125" s="11">
        <f t="shared" si="14"/>
        <v>1000000</v>
      </c>
      <c r="K125" s="11">
        <f t="shared" si="14"/>
        <v>-100000</v>
      </c>
      <c r="L125" s="11">
        <f t="shared" si="14"/>
        <v>10000</v>
      </c>
      <c r="M125" s="11">
        <f t="shared" si="14"/>
        <v>-1000</v>
      </c>
      <c r="N125" s="11">
        <f t="shared" si="14"/>
        <v>100</v>
      </c>
      <c r="O125" s="11">
        <f t="shared" si="14"/>
        <v>-10</v>
      </c>
      <c r="P125" s="11">
        <f t="shared" si="13"/>
        <v>0</v>
      </c>
    </row>
    <row r="126" spans="1:16" x14ac:dyDescent="0.25">
      <c r="A126" s="11">
        <f t="shared" si="12"/>
        <v>71</v>
      </c>
      <c r="B126">
        <v>-0.92643991560199968</v>
      </c>
      <c r="E126" s="11">
        <f>A126-'Mastercurve bestimmen'!$B$2</f>
        <v>-9</v>
      </c>
      <c r="F126" s="11">
        <f t="shared" si="10"/>
        <v>-0.92643991560199968</v>
      </c>
      <c r="G126" s="11"/>
      <c r="H126" s="11">
        <f t="shared" si="11"/>
        <v>43046721</v>
      </c>
      <c r="I126" s="11">
        <f t="shared" si="14"/>
        <v>-4782969</v>
      </c>
      <c r="J126" s="11">
        <f t="shared" si="14"/>
        <v>531441</v>
      </c>
      <c r="K126" s="11">
        <f t="shared" si="14"/>
        <v>-59049</v>
      </c>
      <c r="L126" s="11">
        <f t="shared" si="14"/>
        <v>6561</v>
      </c>
      <c r="M126" s="11">
        <f t="shared" si="14"/>
        <v>-729</v>
      </c>
      <c r="N126" s="11">
        <f t="shared" si="14"/>
        <v>81</v>
      </c>
      <c r="O126" s="11">
        <f t="shared" si="14"/>
        <v>-9</v>
      </c>
      <c r="P126" s="11">
        <f t="shared" si="13"/>
        <v>0</v>
      </c>
    </row>
    <row r="127" spans="1:16" x14ac:dyDescent="0.25">
      <c r="A127" s="11">
        <f t="shared" si="12"/>
        <v>72</v>
      </c>
      <c r="B127">
        <v>-0.8271336824796035</v>
      </c>
      <c r="E127" s="11">
        <f>A127-'Mastercurve bestimmen'!$B$2</f>
        <v>-8</v>
      </c>
      <c r="F127" s="11">
        <f t="shared" si="10"/>
        <v>-0.8271336824796035</v>
      </c>
      <c r="G127" s="11"/>
      <c r="H127" s="11">
        <f t="shared" si="11"/>
        <v>16777216</v>
      </c>
      <c r="I127" s="11">
        <f t="shared" si="14"/>
        <v>-2097152</v>
      </c>
      <c r="J127" s="11">
        <f t="shared" si="14"/>
        <v>262144</v>
      </c>
      <c r="K127" s="11">
        <f t="shared" si="14"/>
        <v>-32768</v>
      </c>
      <c r="L127" s="11">
        <f t="shared" si="14"/>
        <v>4096</v>
      </c>
      <c r="M127" s="11">
        <f t="shared" si="14"/>
        <v>-512</v>
      </c>
      <c r="N127" s="11">
        <f t="shared" si="14"/>
        <v>64</v>
      </c>
      <c r="O127" s="11">
        <f t="shared" si="14"/>
        <v>-8</v>
      </c>
      <c r="P127" s="11">
        <f t="shared" si="13"/>
        <v>0</v>
      </c>
    </row>
    <row r="128" spans="1:16" x14ac:dyDescent="0.25">
      <c r="A128" s="11">
        <f t="shared" si="12"/>
        <v>73</v>
      </c>
      <c r="B128">
        <v>-0.72695288503115418</v>
      </c>
      <c r="E128" s="11">
        <f>A128-'Mastercurve bestimmen'!$B$2</f>
        <v>-7</v>
      </c>
      <c r="F128" s="11">
        <f t="shared" si="10"/>
        <v>-0.72695288503115418</v>
      </c>
      <c r="G128" s="11"/>
      <c r="H128" s="11">
        <f t="shared" si="11"/>
        <v>5764801</v>
      </c>
      <c r="I128" s="11">
        <f t="shared" si="14"/>
        <v>-823543</v>
      </c>
      <c r="J128" s="11">
        <f t="shared" si="14"/>
        <v>117649</v>
      </c>
      <c r="K128" s="11">
        <f t="shared" si="14"/>
        <v>-16807</v>
      </c>
      <c r="L128" s="11">
        <f t="shared" si="14"/>
        <v>2401</v>
      </c>
      <c r="M128" s="11">
        <f t="shared" si="14"/>
        <v>-343</v>
      </c>
      <c r="N128" s="11">
        <f t="shared" si="14"/>
        <v>49</v>
      </c>
      <c r="O128" s="11">
        <f t="shared" si="14"/>
        <v>-7</v>
      </c>
      <c r="P128" s="11">
        <f t="shared" si="13"/>
        <v>0</v>
      </c>
    </row>
    <row r="129" spans="1:16" x14ac:dyDescent="0.25">
      <c r="A129" s="11">
        <f t="shared" si="12"/>
        <v>74</v>
      </c>
      <c r="B129">
        <v>-0.62588324347376423</v>
      </c>
      <c r="E129" s="11">
        <f>A129-'Mastercurve bestimmen'!$B$2</f>
        <v>-6</v>
      </c>
      <c r="F129" s="11">
        <f t="shared" si="10"/>
        <v>-0.62588324347376423</v>
      </c>
      <c r="G129" s="11"/>
      <c r="H129" s="11">
        <f t="shared" si="11"/>
        <v>1679616</v>
      </c>
      <c r="I129" s="11">
        <f t="shared" si="14"/>
        <v>-279936</v>
      </c>
      <c r="J129" s="11">
        <f t="shared" si="14"/>
        <v>46656</v>
      </c>
      <c r="K129" s="11">
        <f t="shared" si="14"/>
        <v>-7776</v>
      </c>
      <c r="L129" s="11">
        <f t="shared" si="14"/>
        <v>1296</v>
      </c>
      <c r="M129" s="11">
        <f t="shared" si="14"/>
        <v>-216</v>
      </c>
      <c r="N129" s="11">
        <f t="shared" si="14"/>
        <v>36</v>
      </c>
      <c r="O129" s="11">
        <f t="shared" si="14"/>
        <v>-6</v>
      </c>
      <c r="P129" s="11">
        <f t="shared" si="13"/>
        <v>0</v>
      </c>
    </row>
    <row r="130" spans="1:16" x14ac:dyDescent="0.25">
      <c r="A130" s="11">
        <f t="shared" si="12"/>
        <v>75</v>
      </c>
      <c r="B130">
        <v>-0.52391047802454693</v>
      </c>
      <c r="E130" s="11">
        <f>A130-'Mastercurve bestimmen'!$B$2</f>
        <v>-5</v>
      </c>
      <c r="F130" s="11">
        <f t="shared" si="10"/>
        <v>-0.52391047802454693</v>
      </c>
      <c r="G130" s="11"/>
      <c r="H130" s="11">
        <f t="shared" si="11"/>
        <v>390625</v>
      </c>
      <c r="I130" s="11">
        <f t="shared" si="14"/>
        <v>-78125</v>
      </c>
      <c r="J130" s="11">
        <f t="shared" si="14"/>
        <v>15625</v>
      </c>
      <c r="K130" s="11">
        <f t="shared" si="14"/>
        <v>-3125</v>
      </c>
      <c r="L130" s="11">
        <f t="shared" si="14"/>
        <v>625</v>
      </c>
      <c r="M130" s="11">
        <f t="shared" si="14"/>
        <v>-125</v>
      </c>
      <c r="N130" s="11">
        <f t="shared" si="14"/>
        <v>25</v>
      </c>
      <c r="O130" s="11">
        <f t="shared" si="14"/>
        <v>-5</v>
      </c>
      <c r="P130" s="11">
        <f t="shared" si="13"/>
        <v>0</v>
      </c>
    </row>
    <row r="131" spans="1:16" x14ac:dyDescent="0.25">
      <c r="A131" s="11">
        <f t="shared" si="12"/>
        <v>76</v>
      </c>
      <c r="B131">
        <v>-0.42102030890061498</v>
      </c>
      <c r="E131" s="11">
        <f>A131-'Mastercurve bestimmen'!$B$2</f>
        <v>-4</v>
      </c>
      <c r="F131" s="11">
        <f t="shared" si="10"/>
        <v>-0.42102030890061498</v>
      </c>
      <c r="G131" s="11"/>
      <c r="H131" s="11">
        <f t="shared" si="11"/>
        <v>65536</v>
      </c>
      <c r="I131" s="11">
        <f t="shared" si="14"/>
        <v>-16384</v>
      </c>
      <c r="J131" s="11">
        <f t="shared" si="14"/>
        <v>4096</v>
      </c>
      <c r="K131" s="11">
        <f t="shared" si="14"/>
        <v>-1024</v>
      </c>
      <c r="L131" s="11">
        <f t="shared" si="14"/>
        <v>256</v>
      </c>
      <c r="M131" s="11">
        <f t="shared" si="14"/>
        <v>-64</v>
      </c>
      <c r="N131" s="11">
        <f t="shared" si="14"/>
        <v>16</v>
      </c>
      <c r="O131" s="11">
        <f t="shared" si="14"/>
        <v>-4</v>
      </c>
      <c r="P131" s="11">
        <f t="shared" si="13"/>
        <v>0</v>
      </c>
    </row>
    <row r="132" spans="1:16" x14ac:dyDescent="0.25">
      <c r="A132" s="11">
        <f t="shared" si="12"/>
        <v>77</v>
      </c>
      <c r="B132">
        <v>-0.31719845631908139</v>
      </c>
      <c r="E132" s="11">
        <f>A132-'Mastercurve bestimmen'!$B$2</f>
        <v>-3</v>
      </c>
      <c r="F132" s="11">
        <f t="shared" si="10"/>
        <v>-0.31719845631908139</v>
      </c>
      <c r="G132" s="11"/>
      <c r="H132" s="11">
        <f t="shared" si="11"/>
        <v>6561</v>
      </c>
      <c r="I132" s="11">
        <f t="shared" si="14"/>
        <v>-2187</v>
      </c>
      <c r="J132" s="11">
        <f t="shared" si="14"/>
        <v>729</v>
      </c>
      <c r="K132" s="11">
        <f t="shared" si="14"/>
        <v>-243</v>
      </c>
      <c r="L132" s="11">
        <f t="shared" si="14"/>
        <v>81</v>
      </c>
      <c r="M132" s="11">
        <f t="shared" si="14"/>
        <v>-27</v>
      </c>
      <c r="N132" s="11">
        <f t="shared" si="14"/>
        <v>9</v>
      </c>
      <c r="O132" s="11">
        <f t="shared" si="14"/>
        <v>-3</v>
      </c>
      <c r="P132" s="11">
        <f t="shared" si="13"/>
        <v>0</v>
      </c>
    </row>
    <row r="133" spans="1:16" x14ac:dyDescent="0.25">
      <c r="A133" s="11">
        <f t="shared" si="12"/>
        <v>78</v>
      </c>
      <c r="B133">
        <v>-0.21243064049705906</v>
      </c>
      <c r="E133" s="11">
        <f>A133-'Mastercurve bestimmen'!$B$2</f>
        <v>-2</v>
      </c>
      <c r="F133" s="11">
        <f t="shared" si="10"/>
        <v>-0.21243064049705906</v>
      </c>
      <c r="G133" s="11"/>
      <c r="H133" s="11">
        <f t="shared" si="11"/>
        <v>256</v>
      </c>
      <c r="I133" s="11">
        <f t="shared" si="14"/>
        <v>-128</v>
      </c>
      <c r="J133" s="11">
        <f t="shared" si="14"/>
        <v>64</v>
      </c>
      <c r="K133" s="11">
        <f t="shared" si="14"/>
        <v>-32</v>
      </c>
      <c r="L133" s="11">
        <f t="shared" si="14"/>
        <v>16</v>
      </c>
      <c r="M133" s="11">
        <f t="shared" si="14"/>
        <v>-8</v>
      </c>
      <c r="N133" s="11">
        <f t="shared" si="14"/>
        <v>4</v>
      </c>
      <c r="O133" s="11">
        <f t="shared" si="14"/>
        <v>-2</v>
      </c>
      <c r="P133" s="11">
        <f t="shared" si="13"/>
        <v>0</v>
      </c>
    </row>
    <row r="134" spans="1:16" x14ac:dyDescent="0.25">
      <c r="A134" s="11">
        <f t="shared" si="12"/>
        <v>79</v>
      </c>
      <c r="B134">
        <v>-0.10670258165166097</v>
      </c>
      <c r="E134" s="11">
        <f>A134-'Mastercurve bestimmen'!$B$2</f>
        <v>-1</v>
      </c>
      <c r="F134" s="11">
        <f t="shared" si="10"/>
        <v>-0.10670258165166097</v>
      </c>
      <c r="G134" s="11"/>
      <c r="H134" s="11">
        <f t="shared" si="11"/>
        <v>1</v>
      </c>
      <c r="I134" s="11">
        <f t="shared" si="14"/>
        <v>-1</v>
      </c>
      <c r="J134" s="11">
        <f t="shared" si="14"/>
        <v>1</v>
      </c>
      <c r="K134" s="11">
        <f t="shared" si="14"/>
        <v>-1</v>
      </c>
      <c r="L134" s="11">
        <f t="shared" si="14"/>
        <v>1</v>
      </c>
      <c r="M134" s="11">
        <f t="shared" si="14"/>
        <v>-1</v>
      </c>
      <c r="N134" s="11">
        <f t="shared" si="14"/>
        <v>1</v>
      </c>
      <c r="O134" s="11">
        <f t="shared" si="14"/>
        <v>-1</v>
      </c>
      <c r="P134" s="11">
        <f t="shared" si="13"/>
        <v>0</v>
      </c>
    </row>
    <row r="135" spans="1:16" x14ac:dyDescent="0.25">
      <c r="A135" s="11">
        <f t="shared" si="12"/>
        <v>80</v>
      </c>
      <c r="B135">
        <v>0</v>
      </c>
      <c r="E135" s="11">
        <f>A135-'Mastercurve bestimmen'!$B$2</f>
        <v>0</v>
      </c>
      <c r="F135" s="11">
        <f t="shared" si="10"/>
        <v>0</v>
      </c>
      <c r="G135" s="11"/>
      <c r="H135" s="11">
        <f t="shared" si="11"/>
        <v>0</v>
      </c>
      <c r="I135" s="11">
        <f t="shared" si="14"/>
        <v>0</v>
      </c>
      <c r="J135" s="11">
        <f t="shared" si="14"/>
        <v>0</v>
      </c>
      <c r="K135" s="11">
        <f t="shared" si="14"/>
        <v>0</v>
      </c>
      <c r="L135" s="11">
        <f t="shared" si="14"/>
        <v>0</v>
      </c>
      <c r="M135" s="11">
        <f t="shared" si="14"/>
        <v>0</v>
      </c>
      <c r="N135" s="11">
        <f t="shared" si="14"/>
        <v>0</v>
      </c>
      <c r="O135" s="11">
        <f t="shared" si="14"/>
        <v>0</v>
      </c>
      <c r="P135" s="11">
        <f t="shared" si="13"/>
        <v>0</v>
      </c>
    </row>
    <row r="136" spans="1:16" x14ac:dyDescent="0.25">
      <c r="A136" s="11">
        <f t="shared" si="12"/>
        <v>81</v>
      </c>
      <c r="B136">
        <v>0.10768898305695912</v>
      </c>
      <c r="E136" s="11">
        <f>A136-'Mastercurve bestimmen'!$B$2</f>
        <v>1</v>
      </c>
      <c r="F136" s="11">
        <f t="shared" si="10"/>
        <v>0.10768898305695912</v>
      </c>
      <c r="G136" s="11"/>
      <c r="H136" s="11">
        <f t="shared" si="11"/>
        <v>1</v>
      </c>
      <c r="I136" s="11">
        <f t="shared" si="14"/>
        <v>1</v>
      </c>
      <c r="J136" s="11">
        <f t="shared" si="14"/>
        <v>1</v>
      </c>
      <c r="K136" s="11">
        <f t="shared" si="14"/>
        <v>1</v>
      </c>
      <c r="L136" s="11">
        <f t="shared" si="14"/>
        <v>1</v>
      </c>
      <c r="M136" s="11">
        <f t="shared" si="14"/>
        <v>1</v>
      </c>
      <c r="N136" s="11">
        <f t="shared" si="14"/>
        <v>1</v>
      </c>
      <c r="O136" s="11">
        <f t="shared" si="14"/>
        <v>1</v>
      </c>
      <c r="P136" s="11">
        <f t="shared" si="13"/>
        <v>0</v>
      </c>
    </row>
    <row r="137" spans="1:16" x14ac:dyDescent="0.25">
      <c r="A137" s="11">
        <f t="shared" si="12"/>
        <v>82</v>
      </c>
      <c r="B137">
        <v>0.21636664138284467</v>
      </c>
      <c r="E137" s="11">
        <f>A137-'Mastercurve bestimmen'!$B$2</f>
        <v>2</v>
      </c>
      <c r="F137" s="11">
        <f t="shared" si="10"/>
        <v>0.21636664138284467</v>
      </c>
      <c r="G137" s="11"/>
      <c r="H137" s="11">
        <f t="shared" si="11"/>
        <v>256</v>
      </c>
      <c r="I137" s="11">
        <f t="shared" si="14"/>
        <v>128</v>
      </c>
      <c r="J137" s="11">
        <f t="shared" si="14"/>
        <v>64</v>
      </c>
      <c r="K137" s="11">
        <f t="shared" si="14"/>
        <v>32</v>
      </c>
      <c r="L137" s="11">
        <f t="shared" si="14"/>
        <v>16</v>
      </c>
      <c r="M137" s="11">
        <f t="shared" si="14"/>
        <v>8</v>
      </c>
      <c r="N137" s="11">
        <f t="shared" si="14"/>
        <v>4</v>
      </c>
      <c r="O137" s="11">
        <f t="shared" si="14"/>
        <v>2</v>
      </c>
      <c r="P137" s="11">
        <f t="shared" si="13"/>
        <v>0</v>
      </c>
    </row>
    <row r="138" spans="1:16" x14ac:dyDescent="0.25">
      <c r="A138" s="11">
        <f t="shared" si="12"/>
        <v>83</v>
      </c>
      <c r="B138">
        <v>0.32603284765743296</v>
      </c>
      <c r="E138" s="11">
        <f>A138-'Mastercurve bestimmen'!$B$2</f>
        <v>3</v>
      </c>
      <c r="F138" s="11">
        <f t="shared" si="10"/>
        <v>0.32603284765743296</v>
      </c>
      <c r="G138" s="11"/>
      <c r="H138" s="11">
        <f t="shared" si="11"/>
        <v>6561</v>
      </c>
      <c r="I138" s="11">
        <f t="shared" si="14"/>
        <v>2187</v>
      </c>
      <c r="J138" s="11">
        <f t="shared" si="14"/>
        <v>729</v>
      </c>
      <c r="K138" s="11">
        <f t="shared" si="14"/>
        <v>243</v>
      </c>
      <c r="L138" s="11">
        <f t="shared" si="14"/>
        <v>81</v>
      </c>
      <c r="M138" s="11">
        <f t="shared" si="14"/>
        <v>27</v>
      </c>
      <c r="N138" s="11">
        <f t="shared" si="14"/>
        <v>9</v>
      </c>
      <c r="O138" s="11">
        <f t="shared" si="14"/>
        <v>3</v>
      </c>
      <c r="P138" s="11">
        <f t="shared" si="13"/>
        <v>0</v>
      </c>
    </row>
    <row r="139" spans="1:16" x14ac:dyDescent="0.25">
      <c r="A139" s="11">
        <f t="shared" si="12"/>
        <v>84</v>
      </c>
      <c r="B139">
        <v>0.4366874745605005</v>
      </c>
      <c r="E139" s="11">
        <f>A139-'Mastercurve bestimmen'!$B$2</f>
        <v>4</v>
      </c>
      <c r="F139" s="11">
        <f t="shared" si="10"/>
        <v>0.4366874745605005</v>
      </c>
      <c r="G139" s="11"/>
      <c r="H139" s="11">
        <f t="shared" si="11"/>
        <v>65536</v>
      </c>
      <c r="I139" s="11">
        <f t="shared" si="14"/>
        <v>16384</v>
      </c>
      <c r="J139" s="11">
        <f t="shared" si="14"/>
        <v>4096</v>
      </c>
      <c r="K139" s="11">
        <f t="shared" si="14"/>
        <v>1024</v>
      </c>
      <c r="L139" s="11">
        <f t="shared" si="14"/>
        <v>256</v>
      </c>
      <c r="M139" s="11">
        <f t="shared" si="14"/>
        <v>64</v>
      </c>
      <c r="N139" s="11">
        <f t="shared" si="14"/>
        <v>16</v>
      </c>
      <c r="O139" s="11">
        <f t="shared" si="14"/>
        <v>4</v>
      </c>
      <c r="P139" s="11">
        <f t="shared" si="13"/>
        <v>0</v>
      </c>
    </row>
    <row r="140" spans="1:16" x14ac:dyDescent="0.25">
      <c r="A140" s="11">
        <f t="shared" si="12"/>
        <v>85</v>
      </c>
      <c r="B140">
        <v>0.54833039477182366</v>
      </c>
      <c r="E140" s="11">
        <f>A140-'Mastercurve bestimmen'!$B$2</f>
        <v>5</v>
      </c>
      <c r="F140" s="11">
        <f t="shared" si="10"/>
        <v>0.54833039477182366</v>
      </c>
      <c r="G140" s="11"/>
      <c r="H140" s="11">
        <f t="shared" si="11"/>
        <v>390625</v>
      </c>
      <c r="I140" s="11">
        <f t="shared" si="14"/>
        <v>78125</v>
      </c>
      <c r="J140" s="11">
        <f t="shared" si="14"/>
        <v>15625</v>
      </c>
      <c r="K140" s="11">
        <f t="shared" si="14"/>
        <v>3125</v>
      </c>
      <c r="L140" s="11">
        <f t="shared" si="14"/>
        <v>625</v>
      </c>
      <c r="M140" s="11">
        <f t="shared" si="14"/>
        <v>125</v>
      </c>
      <c r="N140" s="11">
        <f t="shared" si="14"/>
        <v>25</v>
      </c>
      <c r="O140" s="11">
        <f t="shared" si="14"/>
        <v>5</v>
      </c>
      <c r="P140" s="11">
        <f t="shared" si="13"/>
        <v>0</v>
      </c>
    </row>
    <row r="141" spans="1:16" x14ac:dyDescent="0.25">
      <c r="A141" s="11">
        <f t="shared" si="12"/>
        <v>86</v>
      </c>
      <c r="B141">
        <v>0.66096148097117902</v>
      </c>
      <c r="E141" s="11">
        <f>A141-'Mastercurve bestimmen'!$B$2</f>
        <v>6</v>
      </c>
      <c r="F141" s="11">
        <f t="shared" si="10"/>
        <v>0.66096148097117902</v>
      </c>
      <c r="G141" s="11"/>
      <c r="H141" s="11">
        <f t="shared" si="11"/>
        <v>1679616</v>
      </c>
      <c r="I141" s="11">
        <f t="shared" si="14"/>
        <v>279936</v>
      </c>
      <c r="J141" s="11">
        <f t="shared" si="14"/>
        <v>46656</v>
      </c>
      <c r="K141" s="11">
        <f t="shared" si="14"/>
        <v>7776</v>
      </c>
      <c r="L141" s="11">
        <f t="shared" si="14"/>
        <v>1296</v>
      </c>
      <c r="M141" s="11">
        <f t="shared" si="14"/>
        <v>216</v>
      </c>
      <c r="N141" s="11">
        <f t="shared" si="14"/>
        <v>36</v>
      </c>
      <c r="O141" s="11">
        <f t="shared" si="14"/>
        <v>6</v>
      </c>
      <c r="P141" s="11">
        <f t="shared" si="13"/>
        <v>0</v>
      </c>
    </row>
    <row r="142" spans="1:16" x14ac:dyDescent="0.25">
      <c r="A142" s="11">
        <f t="shared" si="12"/>
        <v>87</v>
      </c>
      <c r="B142">
        <v>0.77458060583834276</v>
      </c>
      <c r="E142" s="11">
        <f>A142-'Mastercurve bestimmen'!$B$2</f>
        <v>7</v>
      </c>
      <c r="F142" s="11">
        <f t="shared" si="10"/>
        <v>0.77458060583834276</v>
      </c>
      <c r="G142" s="11"/>
      <c r="H142" s="11">
        <f t="shared" si="11"/>
        <v>5764801</v>
      </c>
      <c r="I142" s="11">
        <f t="shared" si="14"/>
        <v>823543</v>
      </c>
      <c r="J142" s="11">
        <f t="shared" si="14"/>
        <v>117649</v>
      </c>
      <c r="K142" s="11">
        <f t="shared" si="14"/>
        <v>16807</v>
      </c>
      <c r="L142" s="11">
        <f t="shared" si="14"/>
        <v>2401</v>
      </c>
      <c r="M142" s="11">
        <f t="shared" si="14"/>
        <v>343</v>
      </c>
      <c r="N142" s="11">
        <f t="shared" si="14"/>
        <v>49</v>
      </c>
      <c r="O142" s="11">
        <f t="shared" si="14"/>
        <v>7</v>
      </c>
      <c r="P142" s="11">
        <f t="shared" si="13"/>
        <v>0</v>
      </c>
    </row>
    <row r="143" spans="1:16" x14ac:dyDescent="0.25">
      <c r="A143" s="11">
        <f t="shared" si="12"/>
        <v>88</v>
      </c>
      <c r="B143">
        <v>0.88918764205309153</v>
      </c>
      <c r="E143" s="11">
        <f>A143-'Mastercurve bestimmen'!$B$2</f>
        <v>8</v>
      </c>
      <c r="F143" s="11">
        <f t="shared" si="10"/>
        <v>0.88918764205309153</v>
      </c>
      <c r="G143" s="11"/>
      <c r="H143" s="11">
        <f t="shared" si="11"/>
        <v>16777216</v>
      </c>
      <c r="I143" s="11">
        <f t="shared" si="14"/>
        <v>2097152</v>
      </c>
      <c r="J143" s="11">
        <f t="shared" si="14"/>
        <v>262144</v>
      </c>
      <c r="K143" s="11">
        <f t="shared" si="14"/>
        <v>32768</v>
      </c>
      <c r="L143" s="11">
        <f t="shared" si="14"/>
        <v>4096</v>
      </c>
      <c r="M143" s="11">
        <f t="shared" si="14"/>
        <v>512</v>
      </c>
      <c r="N143" s="11">
        <f t="shared" si="14"/>
        <v>64</v>
      </c>
      <c r="O143" s="11">
        <f t="shared" si="14"/>
        <v>8</v>
      </c>
      <c r="P143" s="11">
        <f t="shared" si="13"/>
        <v>0</v>
      </c>
    </row>
    <row r="144" spans="1:16" x14ac:dyDescent="0.25">
      <c r="A144" s="11">
        <f t="shared" si="12"/>
        <v>89</v>
      </c>
      <c r="B144">
        <v>1.0047824622952017</v>
      </c>
      <c r="E144" s="11">
        <f>A144-'Mastercurve bestimmen'!$B$2</f>
        <v>9</v>
      </c>
      <c r="F144" s="11">
        <f t="shared" ref="F144:F207" si="15">B144</f>
        <v>1.0047824622952017</v>
      </c>
      <c r="G144" s="11"/>
      <c r="H144" s="11">
        <f t="shared" ref="H144:H207" si="16">IF($H$12&gt;=H$14,$E144^H$14,0)</f>
        <v>43046721</v>
      </c>
      <c r="I144" s="11">
        <f t="shared" si="14"/>
        <v>4782969</v>
      </c>
      <c r="J144" s="11">
        <f t="shared" si="14"/>
        <v>531441</v>
      </c>
      <c r="K144" s="11">
        <f t="shared" si="14"/>
        <v>59049</v>
      </c>
      <c r="L144" s="11">
        <f t="shared" si="14"/>
        <v>6561</v>
      </c>
      <c r="M144" s="11">
        <f t="shared" si="14"/>
        <v>729</v>
      </c>
      <c r="N144" s="11">
        <f t="shared" si="14"/>
        <v>81</v>
      </c>
      <c r="O144" s="11">
        <f t="shared" si="14"/>
        <v>9</v>
      </c>
      <c r="P144" s="11">
        <f t="shared" si="13"/>
        <v>0</v>
      </c>
    </row>
    <row r="145" spans="1:16" x14ac:dyDescent="0.25">
      <c r="A145" s="11">
        <f t="shared" ref="A145:A208" si="17">A144+1</f>
        <v>90</v>
      </c>
      <c r="B145">
        <v>1.1213649392444496</v>
      </c>
      <c r="E145" s="11">
        <f>A145-'Mastercurve bestimmen'!$B$2</f>
        <v>10</v>
      </c>
      <c r="F145" s="11">
        <f t="shared" si="15"/>
        <v>1.1213649392444496</v>
      </c>
      <c r="G145" s="11"/>
      <c r="H145" s="11">
        <f t="shared" si="16"/>
        <v>100000000</v>
      </c>
      <c r="I145" s="11">
        <f t="shared" si="14"/>
        <v>10000000</v>
      </c>
      <c r="J145" s="11">
        <f t="shared" si="14"/>
        <v>1000000</v>
      </c>
      <c r="K145" s="11">
        <f t="shared" si="14"/>
        <v>100000</v>
      </c>
      <c r="L145" s="11">
        <f t="shared" si="14"/>
        <v>10000</v>
      </c>
      <c r="M145" s="11">
        <f t="shared" si="14"/>
        <v>1000</v>
      </c>
      <c r="N145" s="11">
        <f t="shared" si="14"/>
        <v>100</v>
      </c>
      <c r="O145" s="11">
        <f t="shared" si="14"/>
        <v>10</v>
      </c>
      <c r="P145" s="11">
        <f t="shared" ref="P145:P208" si="18">P144</f>
        <v>0</v>
      </c>
    </row>
    <row r="146" spans="1:16" x14ac:dyDescent="0.25">
      <c r="A146" s="11">
        <f t="shared" si="17"/>
        <v>91</v>
      </c>
      <c r="B146">
        <v>1.2389349455806118</v>
      </c>
      <c r="E146" s="11">
        <f>A146-'Mastercurve bestimmen'!$B$2</f>
        <v>11</v>
      </c>
      <c r="F146" s="11">
        <f t="shared" si="15"/>
        <v>1.2389349455806118</v>
      </c>
      <c r="G146" s="11"/>
      <c r="H146" s="11">
        <f t="shared" si="16"/>
        <v>214358881</v>
      </c>
      <c r="I146" s="11">
        <f t="shared" si="14"/>
        <v>19487171</v>
      </c>
      <c r="J146" s="11">
        <f t="shared" si="14"/>
        <v>1771561</v>
      </c>
      <c r="K146" s="11">
        <f t="shared" si="14"/>
        <v>161051</v>
      </c>
      <c r="L146" s="11">
        <f t="shared" si="14"/>
        <v>14641</v>
      </c>
      <c r="M146" s="11">
        <f t="shared" si="14"/>
        <v>1331</v>
      </c>
      <c r="N146" s="11">
        <f t="shared" si="14"/>
        <v>121</v>
      </c>
      <c r="O146" s="11">
        <f t="shared" si="14"/>
        <v>11</v>
      </c>
      <c r="P146" s="11">
        <f t="shared" si="18"/>
        <v>0</v>
      </c>
    </row>
    <row r="147" spans="1:16" x14ac:dyDescent="0.25">
      <c r="A147" s="11">
        <f t="shared" si="17"/>
        <v>92</v>
      </c>
      <c r="B147">
        <v>1.3574923539834647</v>
      </c>
      <c r="E147" s="11">
        <f>A147-'Mastercurve bestimmen'!$B$2</f>
        <v>12</v>
      </c>
      <c r="F147" s="11">
        <f t="shared" si="15"/>
        <v>1.3574923539834647</v>
      </c>
      <c r="G147" s="11"/>
      <c r="H147" s="11">
        <f t="shared" si="16"/>
        <v>429981696</v>
      </c>
      <c r="I147" s="11">
        <f t="shared" si="14"/>
        <v>35831808</v>
      </c>
      <c r="J147" s="11">
        <f t="shared" si="14"/>
        <v>2985984</v>
      </c>
      <c r="K147" s="11">
        <f t="shared" si="14"/>
        <v>248832</v>
      </c>
      <c r="L147" s="11">
        <f t="shared" si="14"/>
        <v>20736</v>
      </c>
      <c r="M147" s="11">
        <f t="shared" si="14"/>
        <v>1728</v>
      </c>
      <c r="N147" s="11">
        <f t="shared" si="14"/>
        <v>144</v>
      </c>
      <c r="O147" s="11">
        <f t="shared" si="14"/>
        <v>12</v>
      </c>
      <c r="P147" s="11">
        <f t="shared" si="18"/>
        <v>0</v>
      </c>
    </row>
    <row r="148" spans="1:16" x14ac:dyDescent="0.25">
      <c r="A148" s="11">
        <f t="shared" si="17"/>
        <v>93</v>
      </c>
      <c r="B148">
        <v>1.4770370371327846</v>
      </c>
      <c r="E148" s="11">
        <f>A148-'Mastercurve bestimmen'!$B$2</f>
        <v>13</v>
      </c>
      <c r="F148" s="11">
        <f t="shared" si="15"/>
        <v>1.4770370371327846</v>
      </c>
      <c r="G148" s="11"/>
      <c r="H148" s="11">
        <f t="shared" si="16"/>
        <v>815730721</v>
      </c>
      <c r="I148" s="11">
        <f t="shared" si="14"/>
        <v>62748517</v>
      </c>
      <c r="J148" s="11">
        <f t="shared" si="14"/>
        <v>4826809</v>
      </c>
      <c r="K148" s="11">
        <f t="shared" si="14"/>
        <v>371293</v>
      </c>
      <c r="L148" s="11">
        <f t="shared" si="14"/>
        <v>28561</v>
      </c>
      <c r="M148" s="11">
        <f t="shared" si="14"/>
        <v>2197</v>
      </c>
      <c r="N148" s="11">
        <f t="shared" si="14"/>
        <v>169</v>
      </c>
      <c r="O148" s="11">
        <f t="shared" si="14"/>
        <v>13</v>
      </c>
      <c r="P148" s="11">
        <f t="shared" si="18"/>
        <v>0</v>
      </c>
    </row>
    <row r="149" spans="1:16" x14ac:dyDescent="0.25">
      <c r="A149" s="11">
        <f t="shared" si="17"/>
        <v>94</v>
      </c>
      <c r="B149">
        <v>1.5975688677083479</v>
      </c>
      <c r="E149" s="11">
        <f>A149-'Mastercurve bestimmen'!$B$2</f>
        <v>14</v>
      </c>
      <c r="F149" s="11">
        <f t="shared" si="15"/>
        <v>1.5975688677083479</v>
      </c>
      <c r="G149" s="11"/>
      <c r="H149" s="11">
        <f t="shared" si="16"/>
        <v>1475789056</v>
      </c>
      <c r="I149" s="11">
        <f t="shared" si="14"/>
        <v>105413504</v>
      </c>
      <c r="J149" s="11">
        <f t="shared" si="14"/>
        <v>7529536</v>
      </c>
      <c r="K149" s="11">
        <f t="shared" si="14"/>
        <v>537824</v>
      </c>
      <c r="L149" s="11">
        <f t="shared" si="14"/>
        <v>38416</v>
      </c>
      <c r="M149" s="11">
        <f t="shared" si="14"/>
        <v>2744</v>
      </c>
      <c r="N149" s="11">
        <f t="shared" si="14"/>
        <v>196</v>
      </c>
      <c r="O149" s="11">
        <f t="shared" si="14"/>
        <v>14</v>
      </c>
      <c r="P149" s="11">
        <f t="shared" si="18"/>
        <v>0</v>
      </c>
    </row>
    <row r="150" spans="1:16" x14ac:dyDescent="0.25">
      <c r="A150" s="11">
        <f t="shared" si="17"/>
        <v>95</v>
      </c>
      <c r="B150">
        <v>1.7190877183899314</v>
      </c>
      <c r="E150" s="11">
        <f>A150-'Mastercurve bestimmen'!$B$2</f>
        <v>15</v>
      </c>
      <c r="F150" s="11">
        <f t="shared" si="15"/>
        <v>1.7190877183899314</v>
      </c>
      <c r="G150" s="11"/>
      <c r="H150" s="11">
        <f t="shared" si="16"/>
        <v>2562890625</v>
      </c>
      <c r="I150" s="11">
        <f t="shared" si="14"/>
        <v>170859375</v>
      </c>
      <c r="J150" s="11">
        <f t="shared" si="14"/>
        <v>11390625</v>
      </c>
      <c r="K150" s="11">
        <f t="shared" si="14"/>
        <v>759375</v>
      </c>
      <c r="L150" s="11">
        <f t="shared" si="14"/>
        <v>50625</v>
      </c>
      <c r="M150" s="11">
        <f t="shared" si="14"/>
        <v>3375</v>
      </c>
      <c r="N150" s="11">
        <f t="shared" si="14"/>
        <v>225</v>
      </c>
      <c r="O150" s="11">
        <f t="shared" si="14"/>
        <v>15</v>
      </c>
      <c r="P150" s="11">
        <f t="shared" si="18"/>
        <v>0</v>
      </c>
    </row>
    <row r="151" spans="1:16" x14ac:dyDescent="0.25">
      <c r="A151" s="11">
        <f t="shared" si="17"/>
        <v>96</v>
      </c>
      <c r="B151">
        <v>1.8415934618573111</v>
      </c>
      <c r="E151" s="11">
        <f>A151-'Mastercurve bestimmen'!$B$2</f>
        <v>16</v>
      </c>
      <c r="F151" s="11">
        <f t="shared" si="15"/>
        <v>1.8415934618573111</v>
      </c>
      <c r="G151" s="11"/>
      <c r="H151" s="11">
        <f t="shared" si="16"/>
        <v>4294967296</v>
      </c>
      <c r="I151" s="11">
        <f t="shared" si="14"/>
        <v>268435456</v>
      </c>
      <c r="J151" s="11">
        <f t="shared" si="14"/>
        <v>16777216</v>
      </c>
      <c r="K151" s="11">
        <f t="shared" si="14"/>
        <v>1048576</v>
      </c>
      <c r="L151" s="11">
        <f t="shared" si="14"/>
        <v>65536</v>
      </c>
      <c r="M151" s="11">
        <f t="shared" si="14"/>
        <v>4096</v>
      </c>
      <c r="N151" s="11">
        <f t="shared" si="14"/>
        <v>256</v>
      </c>
      <c r="O151" s="11">
        <f t="shared" si="14"/>
        <v>16</v>
      </c>
      <c r="P151" s="11">
        <f t="shared" si="18"/>
        <v>0</v>
      </c>
    </row>
    <row r="152" spans="1:16" x14ac:dyDescent="0.25">
      <c r="A152" s="11">
        <f t="shared" si="17"/>
        <v>97</v>
      </c>
      <c r="B152">
        <v>1.9650859707902637</v>
      </c>
      <c r="E152" s="11">
        <f>A152-'Mastercurve bestimmen'!$B$2</f>
        <v>17</v>
      </c>
      <c r="F152" s="11">
        <f t="shared" si="15"/>
        <v>1.9650859707902637</v>
      </c>
      <c r="G152" s="11"/>
      <c r="H152" s="11">
        <f t="shared" si="16"/>
        <v>6975757441</v>
      </c>
      <c r="I152" s="11">
        <f t="shared" si="14"/>
        <v>410338673</v>
      </c>
      <c r="J152" s="11">
        <f t="shared" si="14"/>
        <v>24137569</v>
      </c>
      <c r="K152" s="11">
        <f t="shared" si="14"/>
        <v>1419857</v>
      </c>
      <c r="L152" s="11">
        <f t="shared" si="14"/>
        <v>83521</v>
      </c>
      <c r="M152" s="11">
        <f t="shared" si="14"/>
        <v>4913</v>
      </c>
      <c r="N152" s="11">
        <f t="shared" ref="I152:O189" si="19">IF($H$12&gt;=N$14,$E152^N$14,0)</f>
        <v>289</v>
      </c>
      <c r="O152" s="11">
        <f t="shared" si="19"/>
        <v>17</v>
      </c>
      <c r="P152" s="11">
        <f t="shared" si="18"/>
        <v>0</v>
      </c>
    </row>
    <row r="153" spans="1:16" x14ac:dyDescent="0.25">
      <c r="A153" s="11">
        <f t="shared" si="17"/>
        <v>98</v>
      </c>
      <c r="B153">
        <v>2.0895651178685659</v>
      </c>
      <c r="E153" s="11">
        <f>A153-'Mastercurve bestimmen'!$B$2</f>
        <v>18</v>
      </c>
      <c r="F153" s="11">
        <f t="shared" si="15"/>
        <v>2.0895651178685659</v>
      </c>
      <c r="G153" s="11"/>
      <c r="H153" s="11">
        <f t="shared" si="16"/>
        <v>11019960576</v>
      </c>
      <c r="I153" s="11">
        <f t="shared" si="19"/>
        <v>612220032</v>
      </c>
      <c r="J153" s="11">
        <f t="shared" si="19"/>
        <v>34012224</v>
      </c>
      <c r="K153" s="11">
        <f t="shared" si="19"/>
        <v>1889568</v>
      </c>
      <c r="L153" s="11">
        <f t="shared" si="19"/>
        <v>104976</v>
      </c>
      <c r="M153" s="11">
        <f t="shared" si="19"/>
        <v>5832</v>
      </c>
      <c r="N153" s="11">
        <f t="shared" si="19"/>
        <v>324</v>
      </c>
      <c r="O153" s="11">
        <f t="shared" si="19"/>
        <v>18</v>
      </c>
      <c r="P153" s="11">
        <f t="shared" si="18"/>
        <v>0</v>
      </c>
    </row>
    <row r="154" spans="1:16" x14ac:dyDescent="0.25">
      <c r="A154" s="11">
        <f t="shared" si="17"/>
        <v>99</v>
      </c>
      <c r="B154">
        <v>2.2150307757719934</v>
      </c>
      <c r="E154" s="11">
        <f>A154-'Mastercurve bestimmen'!$B$2</f>
        <v>19</v>
      </c>
      <c r="F154" s="11">
        <f t="shared" si="15"/>
        <v>2.2150307757719934</v>
      </c>
      <c r="G154" s="11"/>
      <c r="H154" s="11">
        <f t="shared" si="16"/>
        <v>16983563041</v>
      </c>
      <c r="I154" s="11">
        <f t="shared" si="19"/>
        <v>893871739</v>
      </c>
      <c r="J154" s="11">
        <f t="shared" si="19"/>
        <v>47045881</v>
      </c>
      <c r="K154" s="11">
        <f t="shared" si="19"/>
        <v>2476099</v>
      </c>
      <c r="L154" s="11">
        <f t="shared" si="19"/>
        <v>130321</v>
      </c>
      <c r="M154" s="11">
        <f t="shared" si="19"/>
        <v>6859</v>
      </c>
      <c r="N154" s="11">
        <f t="shared" si="19"/>
        <v>361</v>
      </c>
      <c r="O154" s="11">
        <f t="shared" si="19"/>
        <v>19</v>
      </c>
      <c r="P154" s="11">
        <f t="shared" si="18"/>
        <v>0</v>
      </c>
    </row>
    <row r="155" spans="1:16" x14ac:dyDescent="0.25">
      <c r="A155" s="11">
        <f t="shared" si="17"/>
        <v>100</v>
      </c>
      <c r="B155">
        <v>2.341482817180323</v>
      </c>
      <c r="E155" s="11">
        <f>A155-'Mastercurve bestimmen'!$B$2</f>
        <v>20</v>
      </c>
      <c r="F155" s="11">
        <f t="shared" si="15"/>
        <v>2.341482817180323</v>
      </c>
      <c r="G155" s="11"/>
      <c r="H155" s="11">
        <f t="shared" si="16"/>
        <v>25600000000</v>
      </c>
      <c r="I155" s="11">
        <f t="shared" si="19"/>
        <v>1280000000</v>
      </c>
      <c r="J155" s="11">
        <f t="shared" si="19"/>
        <v>64000000</v>
      </c>
      <c r="K155" s="11">
        <f t="shared" si="19"/>
        <v>3200000</v>
      </c>
      <c r="L155" s="11">
        <f t="shared" si="19"/>
        <v>160000</v>
      </c>
      <c r="M155" s="11">
        <f t="shared" si="19"/>
        <v>8000</v>
      </c>
      <c r="N155" s="11">
        <f t="shared" si="19"/>
        <v>400</v>
      </c>
      <c r="O155" s="11">
        <f t="shared" si="19"/>
        <v>20</v>
      </c>
      <c r="P155" s="11">
        <f t="shared" si="18"/>
        <v>0</v>
      </c>
    </row>
    <row r="156" spans="1:16" x14ac:dyDescent="0.25">
      <c r="A156" s="11">
        <f t="shared" si="17"/>
        <v>101</v>
      </c>
      <c r="B156">
        <v>2.4689211147733308</v>
      </c>
      <c r="E156" s="11">
        <f>A156-'Mastercurve bestimmen'!$B$2</f>
        <v>21</v>
      </c>
      <c r="F156" s="11">
        <f t="shared" si="15"/>
        <v>2.4689211147733308</v>
      </c>
      <c r="G156" s="11"/>
      <c r="H156" s="11">
        <f t="shared" si="16"/>
        <v>37822859361</v>
      </c>
      <c r="I156" s="11">
        <f t="shared" si="19"/>
        <v>1801088541</v>
      </c>
      <c r="J156" s="11">
        <f t="shared" si="19"/>
        <v>85766121</v>
      </c>
      <c r="K156" s="11">
        <f t="shared" si="19"/>
        <v>4084101</v>
      </c>
      <c r="L156" s="11">
        <f t="shared" si="19"/>
        <v>194481</v>
      </c>
      <c r="M156" s="11">
        <f t="shared" si="19"/>
        <v>9261</v>
      </c>
      <c r="N156" s="11">
        <f t="shared" si="19"/>
        <v>441</v>
      </c>
      <c r="O156" s="11">
        <f t="shared" si="19"/>
        <v>21</v>
      </c>
      <c r="P156" s="11">
        <f t="shared" si="18"/>
        <v>0</v>
      </c>
    </row>
    <row r="157" spans="1:16" x14ac:dyDescent="0.25">
      <c r="A157" s="11">
        <f t="shared" si="17"/>
        <v>102</v>
      </c>
      <c r="B157">
        <v>2.5973455412307942</v>
      </c>
      <c r="E157" s="11">
        <f>A157-'Mastercurve bestimmen'!$B$2</f>
        <v>22</v>
      </c>
      <c r="F157" s="11">
        <f t="shared" si="15"/>
        <v>2.5973455412307942</v>
      </c>
      <c r="G157" s="11"/>
      <c r="H157" s="11">
        <f t="shared" si="16"/>
        <v>54875873536</v>
      </c>
      <c r="I157" s="11">
        <f t="shared" si="19"/>
        <v>2494357888</v>
      </c>
      <c r="J157" s="11">
        <f t="shared" si="19"/>
        <v>113379904</v>
      </c>
      <c r="K157" s="11">
        <f t="shared" si="19"/>
        <v>5153632</v>
      </c>
      <c r="L157" s="11">
        <f t="shared" si="19"/>
        <v>234256</v>
      </c>
      <c r="M157" s="11">
        <f t="shared" si="19"/>
        <v>10648</v>
      </c>
      <c r="N157" s="11">
        <f t="shared" si="19"/>
        <v>484</v>
      </c>
      <c r="O157" s="11">
        <f t="shared" si="19"/>
        <v>22</v>
      </c>
      <c r="P157" s="11">
        <f t="shared" si="18"/>
        <v>0</v>
      </c>
    </row>
    <row r="158" spans="1:16" x14ac:dyDescent="0.25">
      <c r="A158" s="11">
        <f t="shared" si="17"/>
        <v>103</v>
      </c>
      <c r="B158">
        <v>2.7267559692324892</v>
      </c>
      <c r="E158" s="11">
        <f>A158-'Mastercurve bestimmen'!$B$2</f>
        <v>23</v>
      </c>
      <c r="F158" s="11">
        <f t="shared" si="15"/>
        <v>2.7267559692324892</v>
      </c>
      <c r="G158" s="11"/>
      <c r="H158" s="11">
        <f t="shared" si="16"/>
        <v>78310985281</v>
      </c>
      <c r="I158" s="11">
        <f t="shared" si="19"/>
        <v>3404825447</v>
      </c>
      <c r="J158" s="11">
        <f t="shared" si="19"/>
        <v>148035889</v>
      </c>
      <c r="K158" s="11">
        <f t="shared" si="19"/>
        <v>6436343</v>
      </c>
      <c r="L158" s="11">
        <f t="shared" si="19"/>
        <v>279841</v>
      </c>
      <c r="M158" s="11">
        <f t="shared" si="19"/>
        <v>12167</v>
      </c>
      <c r="N158" s="11">
        <f t="shared" si="19"/>
        <v>529</v>
      </c>
      <c r="O158" s="11">
        <f t="shared" si="19"/>
        <v>23</v>
      </c>
      <c r="P158" s="11">
        <f t="shared" si="18"/>
        <v>0</v>
      </c>
    </row>
    <row r="159" spans="1:16" x14ac:dyDescent="0.25">
      <c r="A159" s="11">
        <f t="shared" si="17"/>
        <v>104</v>
      </c>
      <c r="B159">
        <v>2.8571522714581912</v>
      </c>
      <c r="E159" s="11">
        <f>A159-'Mastercurve bestimmen'!$B$2</f>
        <v>24</v>
      </c>
      <c r="F159" s="11">
        <f t="shared" si="15"/>
        <v>2.8571522714581912</v>
      </c>
      <c r="G159" s="11"/>
      <c r="H159" s="11">
        <f t="shared" si="16"/>
        <v>110075314176</v>
      </c>
      <c r="I159" s="11">
        <f t="shared" si="19"/>
        <v>4586471424</v>
      </c>
      <c r="J159" s="11">
        <f t="shared" si="19"/>
        <v>191102976</v>
      </c>
      <c r="K159" s="11">
        <f t="shared" si="19"/>
        <v>7962624</v>
      </c>
      <c r="L159" s="11">
        <f t="shared" si="19"/>
        <v>331776</v>
      </c>
      <c r="M159" s="11">
        <f t="shared" si="19"/>
        <v>13824</v>
      </c>
      <c r="N159" s="11">
        <f t="shared" si="19"/>
        <v>576</v>
      </c>
      <c r="O159" s="11">
        <f t="shared" si="19"/>
        <v>24</v>
      </c>
      <c r="P159" s="11">
        <f t="shared" si="18"/>
        <v>0</v>
      </c>
    </row>
    <row r="160" spans="1:16" x14ac:dyDescent="0.25">
      <c r="A160" s="11">
        <f t="shared" si="17"/>
        <v>105</v>
      </c>
      <c r="B160">
        <v>2.9885343205876778</v>
      </c>
      <c r="E160" s="11">
        <f>A160-'Mastercurve bestimmen'!$B$2</f>
        <v>25</v>
      </c>
      <c r="F160" s="11">
        <f t="shared" si="15"/>
        <v>2.9885343205876778</v>
      </c>
      <c r="G160" s="11"/>
      <c r="H160" s="11">
        <f t="shared" si="16"/>
        <v>152587890625</v>
      </c>
      <c r="I160" s="11">
        <f t="shared" si="19"/>
        <v>6103515625</v>
      </c>
      <c r="J160" s="11">
        <f t="shared" si="19"/>
        <v>244140625</v>
      </c>
      <c r="K160" s="11">
        <f t="shared" si="19"/>
        <v>9765625</v>
      </c>
      <c r="L160" s="11">
        <f t="shared" si="19"/>
        <v>390625</v>
      </c>
      <c r="M160" s="11">
        <f t="shared" si="19"/>
        <v>15625</v>
      </c>
      <c r="N160" s="11">
        <f t="shared" si="19"/>
        <v>625</v>
      </c>
      <c r="O160" s="11">
        <f t="shared" si="19"/>
        <v>25</v>
      </c>
      <c r="P160" s="11">
        <f t="shared" si="18"/>
        <v>0</v>
      </c>
    </row>
    <row r="161" spans="1:16" x14ac:dyDescent="0.25">
      <c r="A161" s="11">
        <f t="shared" si="17"/>
        <v>106</v>
      </c>
      <c r="B161">
        <v>3.1209019893007253</v>
      </c>
      <c r="E161" s="11">
        <f>A161-'Mastercurve bestimmen'!$B$2</f>
        <v>26</v>
      </c>
      <c r="F161" s="11">
        <f t="shared" si="15"/>
        <v>3.1209019893007253</v>
      </c>
      <c r="G161" s="11"/>
      <c r="H161" s="11">
        <f t="shared" si="16"/>
        <v>208827064576</v>
      </c>
      <c r="I161" s="11">
        <f t="shared" si="19"/>
        <v>8031810176</v>
      </c>
      <c r="J161" s="11">
        <f t="shared" si="19"/>
        <v>308915776</v>
      </c>
      <c r="K161" s="11">
        <f t="shared" si="19"/>
        <v>11881376</v>
      </c>
      <c r="L161" s="11">
        <f t="shared" si="19"/>
        <v>456976</v>
      </c>
      <c r="M161" s="11">
        <f t="shared" si="19"/>
        <v>17576</v>
      </c>
      <c r="N161" s="11">
        <f t="shared" si="19"/>
        <v>676</v>
      </c>
      <c r="O161" s="11">
        <f t="shared" si="19"/>
        <v>26</v>
      </c>
      <c r="P161" s="11">
        <f t="shared" si="18"/>
        <v>0</v>
      </c>
    </row>
    <row r="162" spans="1:16" x14ac:dyDescent="0.25">
      <c r="A162" s="11">
        <f t="shared" si="17"/>
        <v>107</v>
      </c>
      <c r="B162">
        <v>3.25425515027711</v>
      </c>
      <c r="E162" s="11">
        <f>A162-'Mastercurve bestimmen'!$B$2</f>
        <v>27</v>
      </c>
      <c r="F162" s="11">
        <f t="shared" si="15"/>
        <v>3.25425515027711</v>
      </c>
      <c r="G162" s="11"/>
      <c r="H162" s="11">
        <f t="shared" si="16"/>
        <v>282429536481</v>
      </c>
      <c r="I162" s="11">
        <f t="shared" si="19"/>
        <v>10460353203</v>
      </c>
      <c r="J162" s="11">
        <f t="shared" si="19"/>
        <v>387420489</v>
      </c>
      <c r="K162" s="11">
        <f t="shared" si="19"/>
        <v>14348907</v>
      </c>
      <c r="L162" s="11">
        <f t="shared" si="19"/>
        <v>531441</v>
      </c>
      <c r="M162" s="11">
        <f t="shared" si="19"/>
        <v>19683</v>
      </c>
      <c r="N162" s="11">
        <f t="shared" si="19"/>
        <v>729</v>
      </c>
      <c r="O162" s="11">
        <f t="shared" si="19"/>
        <v>27</v>
      </c>
      <c r="P162" s="11">
        <f t="shared" si="18"/>
        <v>0</v>
      </c>
    </row>
    <row r="163" spans="1:16" x14ac:dyDescent="0.25">
      <c r="A163" s="11">
        <f t="shared" si="17"/>
        <v>108</v>
      </c>
      <c r="B163">
        <v>3.3885936761966078</v>
      </c>
      <c r="E163" s="11">
        <f>A163-'Mastercurve bestimmen'!$B$2</f>
        <v>28</v>
      </c>
      <c r="F163" s="11">
        <f t="shared" si="15"/>
        <v>3.3885936761966078</v>
      </c>
      <c r="G163" s="11"/>
      <c r="H163" s="11">
        <f t="shared" si="16"/>
        <v>377801998336</v>
      </c>
      <c r="I163" s="11">
        <f t="shared" si="19"/>
        <v>13492928512</v>
      </c>
      <c r="J163" s="11">
        <f t="shared" si="19"/>
        <v>481890304</v>
      </c>
      <c r="K163" s="11">
        <f t="shared" si="19"/>
        <v>17210368</v>
      </c>
      <c r="L163" s="11">
        <f t="shared" si="19"/>
        <v>614656</v>
      </c>
      <c r="M163" s="11">
        <f t="shared" si="19"/>
        <v>21952</v>
      </c>
      <c r="N163" s="11">
        <f t="shared" si="19"/>
        <v>784</v>
      </c>
      <c r="O163" s="11">
        <f t="shared" si="19"/>
        <v>28</v>
      </c>
      <c r="P163" s="11">
        <f t="shared" si="18"/>
        <v>0</v>
      </c>
    </row>
    <row r="164" spans="1:16" x14ac:dyDescent="0.25">
      <c r="A164" s="11">
        <f t="shared" si="17"/>
        <v>109</v>
      </c>
      <c r="B164">
        <v>3.5239174397389954</v>
      </c>
      <c r="E164" s="11">
        <f>A164-'Mastercurve bestimmen'!$B$2</f>
        <v>29</v>
      </c>
      <c r="F164" s="11">
        <f t="shared" si="15"/>
        <v>3.5239174397389954</v>
      </c>
      <c r="G164" s="11"/>
      <c r="H164" s="11">
        <f t="shared" si="16"/>
        <v>500246412961</v>
      </c>
      <c r="I164" s="11">
        <f t="shared" si="19"/>
        <v>17249876309</v>
      </c>
      <c r="J164" s="11">
        <f t="shared" si="19"/>
        <v>594823321</v>
      </c>
      <c r="K164" s="11">
        <f t="shared" si="19"/>
        <v>20511149</v>
      </c>
      <c r="L164" s="11">
        <f t="shared" si="19"/>
        <v>707281</v>
      </c>
      <c r="M164" s="11">
        <f t="shared" si="19"/>
        <v>24389</v>
      </c>
      <c r="N164" s="11">
        <f t="shared" si="19"/>
        <v>841</v>
      </c>
      <c r="O164" s="11">
        <f t="shared" si="19"/>
        <v>29</v>
      </c>
      <c r="P164" s="11">
        <f t="shared" si="18"/>
        <v>0</v>
      </c>
    </row>
    <row r="165" spans="1:16" x14ac:dyDescent="0.25">
      <c r="A165" s="11">
        <f t="shared" si="17"/>
        <v>110</v>
      </c>
      <c r="B165">
        <v>3.66022631358405</v>
      </c>
      <c r="E165" s="11">
        <f>A165-'Mastercurve bestimmen'!$B$2</f>
        <v>30</v>
      </c>
      <c r="F165" s="11">
        <f t="shared" si="15"/>
        <v>3.66022631358405</v>
      </c>
      <c r="G165" s="11"/>
      <c r="H165" s="11">
        <f t="shared" si="16"/>
        <v>656100000000</v>
      </c>
      <c r="I165" s="11">
        <f t="shared" si="19"/>
        <v>21870000000</v>
      </c>
      <c r="J165" s="11">
        <f t="shared" si="19"/>
        <v>729000000</v>
      </c>
      <c r="K165" s="11">
        <f t="shared" si="19"/>
        <v>24300000</v>
      </c>
      <c r="L165" s="11">
        <f t="shared" si="19"/>
        <v>810000</v>
      </c>
      <c r="M165" s="11">
        <f t="shared" si="19"/>
        <v>27000</v>
      </c>
      <c r="N165" s="11">
        <f t="shared" si="19"/>
        <v>900</v>
      </c>
      <c r="O165" s="11">
        <f t="shared" si="19"/>
        <v>30</v>
      </c>
      <c r="P165" s="11">
        <f t="shared" si="18"/>
        <v>0</v>
      </c>
    </row>
    <row r="166" spans="1:16" x14ac:dyDescent="0.25">
      <c r="A166" s="11">
        <f t="shared" si="17"/>
        <v>111</v>
      </c>
      <c r="B166">
        <v>3.7975201704115475</v>
      </c>
      <c r="E166" s="11">
        <f>A166-'Mastercurve bestimmen'!$B$2</f>
        <v>31</v>
      </c>
      <c r="F166" s="11">
        <f t="shared" si="15"/>
        <v>3.7975201704115475</v>
      </c>
      <c r="G166" s="11"/>
      <c r="H166" s="11">
        <f t="shared" si="16"/>
        <v>852891037441</v>
      </c>
      <c r="I166" s="11">
        <f t="shared" si="19"/>
        <v>27512614111</v>
      </c>
      <c r="J166" s="11">
        <f t="shared" si="19"/>
        <v>887503681</v>
      </c>
      <c r="K166" s="11">
        <f t="shared" si="19"/>
        <v>28629151</v>
      </c>
      <c r="L166" s="11">
        <f t="shared" si="19"/>
        <v>923521</v>
      </c>
      <c r="M166" s="11">
        <f t="shared" si="19"/>
        <v>29791</v>
      </c>
      <c r="N166" s="11">
        <f t="shared" si="19"/>
        <v>961</v>
      </c>
      <c r="O166" s="11">
        <f t="shared" si="19"/>
        <v>31</v>
      </c>
      <c r="P166" s="11">
        <f t="shared" si="18"/>
        <v>0</v>
      </c>
    </row>
    <row r="167" spans="1:16" x14ac:dyDescent="0.25">
      <c r="A167" s="11">
        <f t="shared" si="17"/>
        <v>112</v>
      </c>
      <c r="B167">
        <v>3.9357988829012638</v>
      </c>
      <c r="E167" s="11">
        <f>A167-'Mastercurve bestimmen'!$B$2</f>
        <v>32</v>
      </c>
      <c r="F167" s="11">
        <f t="shared" si="15"/>
        <v>3.9357988829012638</v>
      </c>
      <c r="G167" s="11"/>
      <c r="H167" s="11">
        <f t="shared" si="16"/>
        <v>1099511627776</v>
      </c>
      <c r="I167" s="11">
        <f t="shared" si="19"/>
        <v>34359738368</v>
      </c>
      <c r="J167" s="11">
        <f t="shared" si="19"/>
        <v>1073741824</v>
      </c>
      <c r="K167" s="11">
        <f t="shared" si="19"/>
        <v>33554432</v>
      </c>
      <c r="L167" s="11">
        <f t="shared" si="19"/>
        <v>1048576</v>
      </c>
      <c r="M167" s="11">
        <f t="shared" si="19"/>
        <v>32768</v>
      </c>
      <c r="N167" s="11">
        <f t="shared" si="19"/>
        <v>1024</v>
      </c>
      <c r="O167" s="11">
        <f t="shared" si="19"/>
        <v>32</v>
      </c>
      <c r="P167" s="11">
        <f t="shared" si="18"/>
        <v>0</v>
      </c>
    </row>
    <row r="168" spans="1:16" x14ac:dyDescent="0.25">
      <c r="A168" s="11">
        <f t="shared" si="17"/>
        <v>113</v>
      </c>
      <c r="B168">
        <v>4.0750623237329764</v>
      </c>
      <c r="E168" s="11">
        <f>A168-'Mastercurve bestimmen'!$B$2</f>
        <v>33</v>
      </c>
      <c r="F168" s="11">
        <f t="shared" si="15"/>
        <v>4.0750623237329764</v>
      </c>
      <c r="G168" s="11"/>
      <c r="H168" s="11">
        <f t="shared" si="16"/>
        <v>1406408618241</v>
      </c>
      <c r="I168" s="11">
        <f t="shared" si="19"/>
        <v>42618442977</v>
      </c>
      <c r="J168" s="11">
        <f t="shared" si="19"/>
        <v>1291467969</v>
      </c>
      <c r="K168" s="11">
        <f t="shared" si="19"/>
        <v>39135393</v>
      </c>
      <c r="L168" s="11">
        <f t="shared" si="19"/>
        <v>1185921</v>
      </c>
      <c r="M168" s="11">
        <f t="shared" si="19"/>
        <v>35937</v>
      </c>
      <c r="N168" s="11">
        <f t="shared" si="19"/>
        <v>1089</v>
      </c>
      <c r="O168" s="11">
        <f t="shared" si="19"/>
        <v>33</v>
      </c>
      <c r="P168" s="11">
        <f t="shared" si="18"/>
        <v>0</v>
      </c>
    </row>
    <row r="169" spans="1:16" x14ac:dyDescent="0.25">
      <c r="A169" s="11">
        <f t="shared" si="17"/>
        <v>114</v>
      </c>
      <c r="B169">
        <v>4.2153103655864603</v>
      </c>
      <c r="E169" s="11">
        <f>A169-'Mastercurve bestimmen'!$B$2</f>
        <v>34</v>
      </c>
      <c r="F169" s="11">
        <f t="shared" si="15"/>
        <v>4.2153103655864603</v>
      </c>
      <c r="G169" s="11"/>
      <c r="H169" s="11">
        <f t="shared" si="16"/>
        <v>1785793904896</v>
      </c>
      <c r="I169" s="11">
        <f t="shared" si="19"/>
        <v>52523350144</v>
      </c>
      <c r="J169" s="11">
        <f t="shared" si="19"/>
        <v>1544804416</v>
      </c>
      <c r="K169" s="11">
        <f t="shared" si="19"/>
        <v>45435424</v>
      </c>
      <c r="L169" s="11">
        <f t="shared" si="19"/>
        <v>1336336</v>
      </c>
      <c r="M169" s="11">
        <f t="shared" si="19"/>
        <v>39304</v>
      </c>
      <c r="N169" s="11">
        <f t="shared" si="19"/>
        <v>1156</v>
      </c>
      <c r="O169" s="11">
        <f t="shared" si="19"/>
        <v>34</v>
      </c>
      <c r="P169" s="11">
        <f t="shared" si="18"/>
        <v>0</v>
      </c>
    </row>
    <row r="170" spans="1:16" x14ac:dyDescent="0.25">
      <c r="A170" s="11">
        <f t="shared" si="17"/>
        <v>115</v>
      </c>
      <c r="B170">
        <v>4.3565428811414941</v>
      </c>
      <c r="E170" s="11">
        <f>A170-'Mastercurve bestimmen'!$B$2</f>
        <v>35</v>
      </c>
      <c r="F170" s="11">
        <f t="shared" si="15"/>
        <v>4.3565428811414941</v>
      </c>
      <c r="G170" s="11"/>
      <c r="H170" s="11">
        <f t="shared" si="16"/>
        <v>2251875390625</v>
      </c>
      <c r="I170" s="11">
        <f t="shared" si="19"/>
        <v>64339296875</v>
      </c>
      <c r="J170" s="11">
        <f t="shared" si="19"/>
        <v>1838265625</v>
      </c>
      <c r="K170" s="11">
        <f t="shared" si="19"/>
        <v>52521875</v>
      </c>
      <c r="L170" s="11">
        <f t="shared" si="19"/>
        <v>1500625</v>
      </c>
      <c r="M170" s="11">
        <f t="shared" si="19"/>
        <v>42875</v>
      </c>
      <c r="N170" s="11">
        <f t="shared" si="19"/>
        <v>1225</v>
      </c>
      <c r="O170" s="11">
        <f t="shared" si="19"/>
        <v>35</v>
      </c>
      <c r="P170" s="11">
        <f t="shared" si="18"/>
        <v>0</v>
      </c>
    </row>
    <row r="171" spans="1:16" x14ac:dyDescent="0.25">
      <c r="A171" s="11">
        <f t="shared" si="17"/>
        <v>116</v>
      </c>
      <c r="B171">
        <v>4.4987597430778514</v>
      </c>
      <c r="E171" s="11">
        <f>A171-'Mastercurve bestimmen'!$B$2</f>
        <v>36</v>
      </c>
      <c r="F171" s="11">
        <f t="shared" si="15"/>
        <v>4.4987597430778514</v>
      </c>
      <c r="G171" s="11"/>
      <c r="H171" s="11">
        <f t="shared" si="16"/>
        <v>2821109907456</v>
      </c>
      <c r="I171" s="11">
        <f t="shared" si="19"/>
        <v>78364164096</v>
      </c>
      <c r="J171" s="11">
        <f t="shared" si="19"/>
        <v>2176782336</v>
      </c>
      <c r="K171" s="11">
        <f t="shared" si="19"/>
        <v>60466176</v>
      </c>
      <c r="L171" s="11">
        <f t="shared" si="19"/>
        <v>1679616</v>
      </c>
      <c r="M171" s="11">
        <f t="shared" si="19"/>
        <v>46656</v>
      </c>
      <c r="N171" s="11">
        <f t="shared" si="19"/>
        <v>1296</v>
      </c>
      <c r="O171" s="11">
        <f t="shared" si="19"/>
        <v>36</v>
      </c>
      <c r="P171" s="11">
        <f t="shared" si="18"/>
        <v>0</v>
      </c>
    </row>
    <row r="172" spans="1:16" x14ac:dyDescent="0.25">
      <c r="A172" s="11">
        <f t="shared" si="17"/>
        <v>117</v>
      </c>
      <c r="B172">
        <v>4.6419608240753103</v>
      </c>
      <c r="E172" s="11">
        <f>A172-'Mastercurve bestimmen'!$B$2</f>
        <v>37</v>
      </c>
      <c r="F172" s="11">
        <f t="shared" si="15"/>
        <v>4.6419608240753103</v>
      </c>
      <c r="G172" s="11"/>
      <c r="H172" s="11">
        <f t="shared" si="16"/>
        <v>3512479453921</v>
      </c>
      <c r="I172" s="11">
        <f t="shared" si="19"/>
        <v>94931877133</v>
      </c>
      <c r="J172" s="11">
        <f t="shared" si="19"/>
        <v>2565726409</v>
      </c>
      <c r="K172" s="11">
        <f t="shared" si="19"/>
        <v>69343957</v>
      </c>
      <c r="L172" s="11">
        <f t="shared" si="19"/>
        <v>1874161</v>
      </c>
      <c r="M172" s="11">
        <f t="shared" si="19"/>
        <v>50653</v>
      </c>
      <c r="N172" s="11">
        <f t="shared" si="19"/>
        <v>1369</v>
      </c>
      <c r="O172" s="11">
        <f t="shared" si="19"/>
        <v>37</v>
      </c>
      <c r="P172" s="11">
        <f t="shared" si="18"/>
        <v>0</v>
      </c>
    </row>
    <row r="173" spans="1:16" x14ac:dyDescent="0.25">
      <c r="A173" s="11">
        <f t="shared" si="17"/>
        <v>118</v>
      </c>
      <c r="B173">
        <v>4.7861459968136479</v>
      </c>
      <c r="E173" s="11">
        <f>A173-'Mastercurve bestimmen'!$B$2</f>
        <v>38</v>
      </c>
      <c r="F173" s="11">
        <f t="shared" si="15"/>
        <v>4.7861459968136479</v>
      </c>
      <c r="G173" s="11"/>
      <c r="H173" s="11">
        <f t="shared" si="16"/>
        <v>4347792138496</v>
      </c>
      <c r="I173" s="11">
        <f t="shared" si="19"/>
        <v>114415582592</v>
      </c>
      <c r="J173" s="11">
        <f t="shared" si="19"/>
        <v>3010936384</v>
      </c>
      <c r="K173" s="11">
        <f t="shared" si="19"/>
        <v>79235168</v>
      </c>
      <c r="L173" s="11">
        <f t="shared" si="19"/>
        <v>2085136</v>
      </c>
      <c r="M173" s="11">
        <f t="shared" si="19"/>
        <v>54872</v>
      </c>
      <c r="N173" s="11">
        <f t="shared" si="19"/>
        <v>1444</v>
      </c>
      <c r="O173" s="11">
        <f t="shared" si="19"/>
        <v>38</v>
      </c>
      <c r="P173" s="11">
        <f t="shared" si="18"/>
        <v>0</v>
      </c>
    </row>
    <row r="174" spans="1:16" x14ac:dyDescent="0.25">
      <c r="A174" s="11">
        <f t="shared" si="17"/>
        <v>119</v>
      </c>
      <c r="B174">
        <v>4.9313151339726398</v>
      </c>
      <c r="E174" s="11">
        <f>A174-'Mastercurve bestimmen'!$B$2</f>
        <v>39</v>
      </c>
      <c r="F174" s="11">
        <f t="shared" si="15"/>
        <v>4.9313151339726398</v>
      </c>
      <c r="G174" s="11"/>
      <c r="H174" s="11">
        <f t="shared" si="16"/>
        <v>5352009260481</v>
      </c>
      <c r="I174" s="11">
        <f t="shared" si="19"/>
        <v>137231006679</v>
      </c>
      <c r="J174" s="11">
        <f t="shared" si="19"/>
        <v>3518743761</v>
      </c>
      <c r="K174" s="11">
        <f t="shared" si="19"/>
        <v>90224199</v>
      </c>
      <c r="L174" s="11">
        <f t="shared" si="19"/>
        <v>2313441</v>
      </c>
      <c r="M174" s="11">
        <f t="shared" si="19"/>
        <v>59319</v>
      </c>
      <c r="N174" s="11">
        <f t="shared" si="19"/>
        <v>1521</v>
      </c>
      <c r="O174" s="11">
        <f t="shared" si="19"/>
        <v>39</v>
      </c>
      <c r="P174" s="11">
        <f t="shared" si="18"/>
        <v>0</v>
      </c>
    </row>
    <row r="175" spans="1:16" x14ac:dyDescent="0.25">
      <c r="A175" s="11">
        <f t="shared" si="17"/>
        <v>120</v>
      </c>
      <c r="B175">
        <v>5.0774681082320612</v>
      </c>
      <c r="E175" s="11">
        <f>A175-'Mastercurve bestimmen'!$B$2</f>
        <v>40</v>
      </c>
      <c r="F175" s="11">
        <f t="shared" si="15"/>
        <v>5.0774681082320612</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5.2246047922716903</v>
      </c>
      <c r="E176" s="11">
        <f>A176-'Mastercurve bestimmen'!$B$2</f>
        <v>41</v>
      </c>
      <c r="F176" s="11">
        <f t="shared" si="15"/>
        <v>5.2246047922716903</v>
      </c>
      <c r="G176" s="11"/>
      <c r="H176" s="11">
        <f t="shared" si="16"/>
        <v>7984925229121</v>
      </c>
      <c r="I176" s="11">
        <f t="shared" si="19"/>
        <v>194754273881</v>
      </c>
      <c r="J176" s="11">
        <f t="shared" si="19"/>
        <v>4750104241</v>
      </c>
      <c r="K176" s="11">
        <f t="shared" si="19"/>
        <v>115856201</v>
      </c>
      <c r="L176" s="11">
        <f t="shared" si="19"/>
        <v>2825761</v>
      </c>
      <c r="M176" s="11">
        <f t="shared" si="19"/>
        <v>68921</v>
      </c>
      <c r="N176" s="11">
        <f t="shared" si="19"/>
        <v>1681</v>
      </c>
      <c r="O176" s="11">
        <f t="shared" si="19"/>
        <v>41</v>
      </c>
      <c r="P176" s="11">
        <f t="shared" si="18"/>
        <v>0</v>
      </c>
    </row>
    <row r="177" spans="1:16" x14ac:dyDescent="0.25">
      <c r="A177" s="11">
        <f t="shared" si="17"/>
        <v>122</v>
      </c>
      <c r="B177">
        <v>5.3727250587713034</v>
      </c>
      <c r="E177" s="11">
        <f>A177-'Mastercurve bestimmen'!$B$2</f>
        <v>42</v>
      </c>
      <c r="F177" s="11">
        <f t="shared" si="15"/>
        <v>5.3727250587713034</v>
      </c>
      <c r="G177" s="11"/>
      <c r="H177" s="11">
        <f t="shared" si="16"/>
        <v>9682651996416</v>
      </c>
      <c r="I177" s="11">
        <f t="shared" si="19"/>
        <v>230539333248</v>
      </c>
      <c r="J177" s="11">
        <f t="shared" si="19"/>
        <v>5489031744</v>
      </c>
      <c r="K177" s="11">
        <f t="shared" si="19"/>
        <v>130691232</v>
      </c>
      <c r="L177" s="11">
        <f t="shared" si="19"/>
        <v>3111696</v>
      </c>
      <c r="M177" s="11">
        <f t="shared" si="19"/>
        <v>74088</v>
      </c>
      <c r="N177" s="11">
        <f t="shared" si="19"/>
        <v>1764</v>
      </c>
      <c r="O177" s="11">
        <f t="shared" si="19"/>
        <v>42</v>
      </c>
      <c r="P177" s="11">
        <f t="shared" si="18"/>
        <v>0</v>
      </c>
    </row>
    <row r="178" spans="1:16" x14ac:dyDescent="0.25">
      <c r="A178" s="11">
        <f t="shared" si="17"/>
        <v>123</v>
      </c>
      <c r="B178">
        <v>5.5218287804106767</v>
      </c>
      <c r="E178" s="11">
        <f>A178-'Mastercurve bestimmen'!$B$2</f>
        <v>43</v>
      </c>
      <c r="F178" s="11">
        <f t="shared" si="15"/>
        <v>5.5218287804106767</v>
      </c>
      <c r="G178" s="11"/>
      <c r="H178" s="11">
        <f t="shared" si="16"/>
        <v>11688200277601</v>
      </c>
      <c r="I178" s="11">
        <f t="shared" si="19"/>
        <v>271818611107</v>
      </c>
      <c r="J178" s="11">
        <f t="shared" si="19"/>
        <v>6321363049</v>
      </c>
      <c r="K178" s="11">
        <f t="shared" si="19"/>
        <v>147008443</v>
      </c>
      <c r="L178" s="11">
        <f t="shared" si="19"/>
        <v>3418801</v>
      </c>
      <c r="M178" s="11">
        <f t="shared" si="19"/>
        <v>79507</v>
      </c>
      <c r="N178" s="11">
        <f t="shared" si="19"/>
        <v>1849</v>
      </c>
      <c r="O178" s="11">
        <f t="shared" si="19"/>
        <v>43</v>
      </c>
      <c r="P178" s="11">
        <f t="shared" si="18"/>
        <v>0</v>
      </c>
    </row>
    <row r="179" spans="1:16" x14ac:dyDescent="0.25">
      <c r="A179" s="11">
        <f t="shared" si="17"/>
        <v>124</v>
      </c>
      <c r="B179">
        <v>5.6719158298695858</v>
      </c>
      <c r="E179" s="11">
        <f>A179-'Mastercurve bestimmen'!$B$2</f>
        <v>44</v>
      </c>
      <c r="F179" s="11">
        <f t="shared" si="15"/>
        <v>5.6719158298695858</v>
      </c>
      <c r="G179" s="11"/>
      <c r="H179" s="11">
        <f t="shared" si="16"/>
        <v>14048223625216</v>
      </c>
      <c r="I179" s="11">
        <f t="shared" si="19"/>
        <v>319277809664</v>
      </c>
      <c r="J179" s="11">
        <f t="shared" si="19"/>
        <v>7256313856</v>
      </c>
      <c r="K179" s="11">
        <f t="shared" si="19"/>
        <v>164916224</v>
      </c>
      <c r="L179" s="11">
        <f t="shared" si="19"/>
        <v>3748096</v>
      </c>
      <c r="M179" s="11">
        <f t="shared" si="19"/>
        <v>85184</v>
      </c>
      <c r="N179" s="11">
        <f t="shared" si="19"/>
        <v>1936</v>
      </c>
      <c r="O179" s="11">
        <f t="shared" si="19"/>
        <v>44</v>
      </c>
      <c r="P179" s="11">
        <f t="shared" si="18"/>
        <v>0</v>
      </c>
    </row>
    <row r="180" spans="1:16" x14ac:dyDescent="0.25">
      <c r="A180" s="11">
        <f t="shared" si="17"/>
        <v>125</v>
      </c>
      <c r="B180">
        <v>5.8229860798278077</v>
      </c>
      <c r="E180" s="11">
        <f>A180-'Mastercurve bestimmen'!$B$2</f>
        <v>45</v>
      </c>
      <c r="F180" s="11">
        <f t="shared" si="15"/>
        <v>5.8229860798278077</v>
      </c>
      <c r="G180" s="11"/>
      <c r="H180" s="11">
        <f t="shared" si="16"/>
        <v>16815125390625</v>
      </c>
      <c r="I180" s="11">
        <f t="shared" si="19"/>
        <v>373669453125</v>
      </c>
      <c r="J180" s="11">
        <f t="shared" si="19"/>
        <v>8303765625</v>
      </c>
      <c r="K180" s="11">
        <f t="shared" si="19"/>
        <v>184528125</v>
      </c>
      <c r="L180" s="11">
        <f t="shared" si="19"/>
        <v>4100625</v>
      </c>
      <c r="M180" s="11">
        <f t="shared" si="19"/>
        <v>91125</v>
      </c>
      <c r="N180" s="11">
        <f t="shared" si="19"/>
        <v>2025</v>
      </c>
      <c r="O180" s="11">
        <f t="shared" si="19"/>
        <v>45</v>
      </c>
      <c r="P180" s="11">
        <f t="shared" si="18"/>
        <v>0</v>
      </c>
    </row>
    <row r="181" spans="1:16" x14ac:dyDescent="0.25">
      <c r="A181" s="11">
        <f t="shared" si="17"/>
        <v>126</v>
      </c>
      <c r="B181">
        <v>5.9750347428843043</v>
      </c>
      <c r="E181" s="11">
        <f>A181-'Mastercurve bestimmen'!$B$2</f>
        <v>46</v>
      </c>
      <c r="F181" s="11">
        <f t="shared" si="15"/>
        <v>5.9750347428843043</v>
      </c>
      <c r="G181" s="11"/>
      <c r="H181" s="11">
        <f t="shared" si="16"/>
        <v>20047612231936</v>
      </c>
      <c r="I181" s="11">
        <f t="shared" si="19"/>
        <v>435817657216</v>
      </c>
      <c r="J181" s="11">
        <f t="shared" si="19"/>
        <v>9474296896</v>
      </c>
      <c r="K181" s="11">
        <f t="shared" si="19"/>
        <v>205962976</v>
      </c>
      <c r="L181" s="11">
        <f t="shared" si="19"/>
        <v>4477456</v>
      </c>
      <c r="M181" s="11">
        <f t="shared" si="19"/>
        <v>97336</v>
      </c>
      <c r="N181" s="11">
        <f t="shared" si="19"/>
        <v>2116</v>
      </c>
      <c r="O181" s="11">
        <f t="shared" si="19"/>
        <v>46</v>
      </c>
      <c r="P181" s="11">
        <f t="shared" si="18"/>
        <v>0</v>
      </c>
    </row>
    <row r="182" spans="1:16" x14ac:dyDescent="0.25">
      <c r="A182" s="11">
        <f t="shared" si="17"/>
        <v>127</v>
      </c>
      <c r="B182">
        <v>6.1280383913147718</v>
      </c>
      <c r="E182" s="11">
        <f>A182-'Mastercurve bestimmen'!$B$2</f>
        <v>47</v>
      </c>
      <c r="F182" s="11">
        <f t="shared" si="15"/>
        <v>6.1280383913147718</v>
      </c>
      <c r="G182" s="11"/>
      <c r="H182" s="11">
        <f t="shared" si="16"/>
        <v>23811286661761</v>
      </c>
      <c r="I182" s="11">
        <f t="shared" si="19"/>
        <v>506623120463</v>
      </c>
      <c r="J182" s="11">
        <f t="shared" si="19"/>
        <v>10779215329</v>
      </c>
      <c r="K182" s="11">
        <f t="shared" si="19"/>
        <v>229345007</v>
      </c>
      <c r="L182" s="11">
        <f t="shared" si="19"/>
        <v>4879681</v>
      </c>
      <c r="M182" s="11">
        <f t="shared" si="19"/>
        <v>103823</v>
      </c>
      <c r="N182" s="11">
        <f t="shared" si="19"/>
        <v>2209</v>
      </c>
      <c r="O182" s="11">
        <f t="shared" si="19"/>
        <v>47</v>
      </c>
      <c r="P182" s="11">
        <f t="shared" si="18"/>
        <v>0</v>
      </c>
    </row>
    <row r="183" spans="1:16" x14ac:dyDescent="0.25">
      <c r="A183" s="11">
        <f t="shared" si="17"/>
        <v>128</v>
      </c>
      <c r="B183">
        <v>6.2819689373140966</v>
      </c>
      <c r="E183" s="11">
        <f>A183-'Mastercurve bestimmen'!$B$2</f>
        <v>48</v>
      </c>
      <c r="F183" s="11">
        <f t="shared" si="15"/>
        <v>6.2819689373140966</v>
      </c>
      <c r="G183" s="11"/>
      <c r="H183" s="11">
        <f t="shared" si="16"/>
        <v>28179280429056</v>
      </c>
      <c r="I183" s="11">
        <f t="shared" si="19"/>
        <v>587068342272</v>
      </c>
      <c r="J183" s="11">
        <f t="shared" si="19"/>
        <v>12230590464</v>
      </c>
      <c r="K183" s="11">
        <f t="shared" si="19"/>
        <v>254803968</v>
      </c>
      <c r="L183" s="11">
        <f t="shared" si="19"/>
        <v>5308416</v>
      </c>
      <c r="M183" s="11">
        <f t="shared" si="19"/>
        <v>110592</v>
      </c>
      <c r="N183" s="11">
        <f t="shared" si="19"/>
        <v>2304</v>
      </c>
      <c r="O183" s="11">
        <f t="shared" si="19"/>
        <v>48</v>
      </c>
      <c r="P183" s="11">
        <f t="shared" si="18"/>
        <v>0</v>
      </c>
    </row>
    <row r="184" spans="1:16" x14ac:dyDescent="0.25">
      <c r="A184" s="11">
        <f t="shared" si="17"/>
        <v>129</v>
      </c>
      <c r="B184">
        <v>6.4367982930771586</v>
      </c>
      <c r="E184" s="11">
        <f>A184-'Mastercurve bestimmen'!$B$2</f>
        <v>49</v>
      </c>
      <c r="F184" s="11">
        <f t="shared" si="15"/>
        <v>6.4367982930771586</v>
      </c>
      <c r="G184" s="11"/>
      <c r="H184" s="11">
        <f t="shared" si="16"/>
        <v>33232930569601</v>
      </c>
      <c r="I184" s="11">
        <f t="shared" si="19"/>
        <v>678223072849</v>
      </c>
      <c r="J184" s="11">
        <f t="shared" si="19"/>
        <v>13841287201</v>
      </c>
      <c r="K184" s="11">
        <f t="shared" si="19"/>
        <v>282475249</v>
      </c>
      <c r="L184" s="11">
        <f t="shared" si="19"/>
        <v>5764801</v>
      </c>
      <c r="M184" s="11">
        <f t="shared" si="19"/>
        <v>117649</v>
      </c>
      <c r="N184" s="11">
        <f t="shared" si="19"/>
        <v>2401</v>
      </c>
      <c r="O184" s="11">
        <f t="shared" si="19"/>
        <v>49</v>
      </c>
      <c r="P184" s="11">
        <f t="shared" si="18"/>
        <v>0</v>
      </c>
    </row>
    <row r="185" spans="1:16" x14ac:dyDescent="0.25">
      <c r="A185" s="11">
        <f t="shared" si="17"/>
        <v>130</v>
      </c>
      <c r="B185">
        <v>6.5924983707988432</v>
      </c>
      <c r="E185" s="11">
        <f>A185-'Mastercurve bestimmen'!$B$2</f>
        <v>50</v>
      </c>
      <c r="F185" s="11">
        <f t="shared" si="15"/>
        <v>6.5924983707988432</v>
      </c>
      <c r="G185" s="11"/>
      <c r="H185" s="11">
        <f t="shared" si="16"/>
        <v>39062500000000</v>
      </c>
      <c r="I185" s="11">
        <f t="shared" si="19"/>
        <v>781250000000</v>
      </c>
      <c r="J185" s="11">
        <f t="shared" si="19"/>
        <v>15625000000</v>
      </c>
      <c r="K185" s="11">
        <f t="shared" si="19"/>
        <v>312500000</v>
      </c>
      <c r="L185" s="11">
        <f t="shared" si="19"/>
        <v>6250000</v>
      </c>
      <c r="M185" s="11">
        <f t="shared" si="19"/>
        <v>125000</v>
      </c>
      <c r="N185" s="11">
        <f t="shared" si="19"/>
        <v>2500</v>
      </c>
      <c r="O185" s="11">
        <f t="shared" si="19"/>
        <v>50</v>
      </c>
      <c r="P185" s="11">
        <f t="shared" si="18"/>
        <v>0</v>
      </c>
    </row>
    <row r="186" spans="1:16" x14ac:dyDescent="0.25">
      <c r="A186" s="11">
        <f t="shared" si="17"/>
        <v>131</v>
      </c>
      <c r="B186">
        <v>6.7490410826740339</v>
      </c>
      <c r="E186" s="11">
        <f>A186-'Mastercurve bestimmen'!$B$2</f>
        <v>51</v>
      </c>
      <c r="F186" s="11">
        <f t="shared" si="15"/>
        <v>6.7490410826740339</v>
      </c>
      <c r="G186" s="11"/>
      <c r="H186" s="11">
        <f t="shared" si="16"/>
        <v>45767944570401</v>
      </c>
      <c r="I186" s="11">
        <f t="shared" si="19"/>
        <v>897410677851</v>
      </c>
      <c r="J186" s="11">
        <f t="shared" si="19"/>
        <v>17596287801</v>
      </c>
      <c r="K186" s="11">
        <f t="shared" si="19"/>
        <v>345025251</v>
      </c>
      <c r="L186" s="11">
        <f t="shared" si="19"/>
        <v>6765201</v>
      </c>
      <c r="M186" s="11">
        <f t="shared" si="19"/>
        <v>132651</v>
      </c>
      <c r="N186" s="11">
        <f t="shared" si="19"/>
        <v>2601</v>
      </c>
      <c r="O186" s="11">
        <f t="shared" si="19"/>
        <v>51</v>
      </c>
      <c r="P186" s="11">
        <f t="shared" si="18"/>
        <v>0</v>
      </c>
    </row>
    <row r="187" spans="1:16" x14ac:dyDescent="0.25">
      <c r="A187" s="11">
        <f t="shared" si="17"/>
        <v>132</v>
      </c>
      <c r="B187">
        <v>6.9063983408976117</v>
      </c>
      <c r="E187" s="11">
        <f>A187-'Mastercurve bestimmen'!$B$2</f>
        <v>52</v>
      </c>
      <c r="F187" s="11">
        <f t="shared" si="15"/>
        <v>6.9063983408976117</v>
      </c>
      <c r="G187" s="11"/>
      <c r="H187" s="11">
        <f t="shared" si="16"/>
        <v>53459728531456</v>
      </c>
      <c r="I187" s="11">
        <f t="shared" si="19"/>
        <v>1028071702528</v>
      </c>
      <c r="J187" s="11">
        <f t="shared" si="19"/>
        <v>19770609664</v>
      </c>
      <c r="K187" s="11">
        <f t="shared" si="19"/>
        <v>380204032</v>
      </c>
      <c r="L187" s="11">
        <f t="shared" si="19"/>
        <v>7311616</v>
      </c>
      <c r="M187" s="11">
        <f t="shared" si="19"/>
        <v>140608</v>
      </c>
      <c r="N187" s="11">
        <f t="shared" si="19"/>
        <v>2704</v>
      </c>
      <c r="O187" s="11">
        <f t="shared" si="19"/>
        <v>52</v>
      </c>
      <c r="P187" s="11">
        <f t="shared" si="18"/>
        <v>0</v>
      </c>
    </row>
    <row r="188" spans="1:16" x14ac:dyDescent="0.25">
      <c r="A188" s="11">
        <f t="shared" si="17"/>
        <v>133</v>
      </c>
      <c r="B188">
        <v>7.064542057664462</v>
      </c>
      <c r="E188" s="11">
        <f>A188-'Mastercurve bestimmen'!$B$2</f>
        <v>53</v>
      </c>
      <c r="F188" s="11">
        <f t="shared" si="15"/>
        <v>7.064542057664462</v>
      </c>
      <c r="G188" s="11"/>
      <c r="H188" s="11">
        <f t="shared" si="16"/>
        <v>62259690411361</v>
      </c>
      <c r="I188" s="11">
        <f t="shared" si="19"/>
        <v>1174711139837</v>
      </c>
      <c r="J188" s="11">
        <f t="shared" si="19"/>
        <v>22164361129</v>
      </c>
      <c r="K188" s="11">
        <f t="shared" si="19"/>
        <v>418195493</v>
      </c>
      <c r="L188" s="11">
        <f t="shared" si="19"/>
        <v>7890481</v>
      </c>
      <c r="M188" s="11">
        <f t="shared" si="19"/>
        <v>148877</v>
      </c>
      <c r="N188" s="11">
        <f t="shared" si="19"/>
        <v>2809</v>
      </c>
      <c r="O188" s="11">
        <f t="shared" si="19"/>
        <v>53</v>
      </c>
      <c r="P188" s="11">
        <f t="shared" si="18"/>
        <v>0</v>
      </c>
    </row>
    <row r="189" spans="1:16" x14ac:dyDescent="0.25">
      <c r="A189" s="11">
        <f t="shared" si="17"/>
        <v>134</v>
      </c>
      <c r="B189">
        <v>7.2234441451694646</v>
      </c>
      <c r="E189" s="11">
        <f>A189-'Mastercurve bestimmen'!$B$2</f>
        <v>54</v>
      </c>
      <c r="F189" s="11">
        <f t="shared" si="15"/>
        <v>7.2234441451694646</v>
      </c>
      <c r="G189" s="11"/>
      <c r="H189" s="11">
        <f t="shared" si="16"/>
        <v>72301961339136</v>
      </c>
      <c r="I189" s="11">
        <f t="shared" si="19"/>
        <v>1338925209984</v>
      </c>
      <c r="J189" s="11">
        <f t="shared" ref="I189:O215" si="20">IF($H$12&gt;=J$14,$E189^J$14,0)</f>
        <v>24794911296</v>
      </c>
      <c r="K189" s="11">
        <f t="shared" si="20"/>
        <v>459165024</v>
      </c>
      <c r="L189" s="11">
        <f t="shared" si="20"/>
        <v>8503056</v>
      </c>
      <c r="M189" s="11">
        <f t="shared" si="20"/>
        <v>157464</v>
      </c>
      <c r="N189" s="11">
        <f t="shared" si="20"/>
        <v>2916</v>
      </c>
      <c r="O189" s="11">
        <f t="shared" si="20"/>
        <v>54</v>
      </c>
      <c r="P189" s="11">
        <f t="shared" si="18"/>
        <v>0</v>
      </c>
    </row>
    <row r="190" spans="1:16" x14ac:dyDescent="0.25">
      <c r="A190" s="11">
        <f t="shared" si="17"/>
        <v>135</v>
      </c>
      <c r="B190">
        <v>7.3830765156075069</v>
      </c>
      <c r="E190" s="11">
        <f>A190-'Mastercurve bestimmen'!$B$2</f>
        <v>55</v>
      </c>
      <c r="F190" s="11">
        <f t="shared" si="15"/>
        <v>7.3830765156075069</v>
      </c>
      <c r="G190" s="11"/>
      <c r="H190" s="11">
        <f t="shared" si="16"/>
        <v>83733937890625</v>
      </c>
      <c r="I190" s="11">
        <f t="shared" si="20"/>
        <v>1522435234375</v>
      </c>
      <c r="J190" s="11">
        <f t="shared" si="20"/>
        <v>27680640625</v>
      </c>
      <c r="K190" s="11">
        <f t="shared" si="20"/>
        <v>503284375</v>
      </c>
      <c r="L190" s="11">
        <f t="shared" si="20"/>
        <v>9150625</v>
      </c>
      <c r="M190" s="11">
        <f t="shared" si="20"/>
        <v>166375</v>
      </c>
      <c r="N190" s="11">
        <f t="shared" si="20"/>
        <v>3025</v>
      </c>
      <c r="O190" s="11">
        <f t="shared" si="20"/>
        <v>55</v>
      </c>
      <c r="P190" s="11">
        <f t="shared" si="18"/>
        <v>0</v>
      </c>
    </row>
    <row r="191" spans="1:16" x14ac:dyDescent="0.25">
      <c r="A191" s="11">
        <f t="shared" si="17"/>
        <v>136</v>
      </c>
      <c r="B191">
        <v>7.5434110811734705</v>
      </c>
      <c r="E191" s="11">
        <f>A191-'Mastercurve bestimmen'!$B$2</f>
        <v>56</v>
      </c>
      <c r="F191" s="11">
        <f t="shared" si="15"/>
        <v>7.5434110811734705</v>
      </c>
      <c r="G191" s="11"/>
      <c r="H191" s="11">
        <f t="shared" si="16"/>
        <v>96717311574016</v>
      </c>
      <c r="I191" s="11">
        <f t="shared" si="20"/>
        <v>1727094849536</v>
      </c>
      <c r="J191" s="11">
        <f t="shared" si="20"/>
        <v>30840979456</v>
      </c>
      <c r="K191" s="11">
        <f t="shared" si="20"/>
        <v>550731776</v>
      </c>
      <c r="L191" s="11">
        <f t="shared" si="20"/>
        <v>9834496</v>
      </c>
      <c r="M191" s="11">
        <f t="shared" si="20"/>
        <v>175616</v>
      </c>
      <c r="N191" s="11">
        <f t="shared" si="20"/>
        <v>3136</v>
      </c>
      <c r="O191" s="11">
        <f t="shared" si="20"/>
        <v>56</v>
      </c>
      <c r="P191" s="11">
        <f t="shared" si="18"/>
        <v>0</v>
      </c>
    </row>
    <row r="192" spans="1:16" x14ac:dyDescent="0.25">
      <c r="A192" s="11">
        <f t="shared" si="17"/>
        <v>137</v>
      </c>
      <c r="B192">
        <v>7.7044197540622363</v>
      </c>
      <c r="E192" s="11">
        <f>A192-'Mastercurve bestimmen'!$B$2</f>
        <v>57</v>
      </c>
      <c r="F192" s="11">
        <f t="shared" si="15"/>
        <v>7.7044197540622363</v>
      </c>
      <c r="G192" s="11"/>
      <c r="H192" s="11">
        <f t="shared" si="16"/>
        <v>111429157112001</v>
      </c>
      <c r="I192" s="11">
        <f t="shared" si="20"/>
        <v>1954897493193</v>
      </c>
      <c r="J192" s="11">
        <f t="shared" si="20"/>
        <v>34296447249</v>
      </c>
      <c r="K192" s="11">
        <f t="shared" si="20"/>
        <v>601692057</v>
      </c>
      <c r="L192" s="11">
        <f t="shared" si="20"/>
        <v>10556001</v>
      </c>
      <c r="M192" s="11">
        <f t="shared" si="20"/>
        <v>185193</v>
      </c>
      <c r="N192" s="11">
        <f t="shared" si="20"/>
        <v>3249</v>
      </c>
      <c r="O192" s="11">
        <f t="shared" si="20"/>
        <v>57</v>
      </c>
      <c r="P192" s="11">
        <f t="shared" si="18"/>
        <v>0</v>
      </c>
    </row>
    <row r="193" spans="1:16" x14ac:dyDescent="0.25">
      <c r="A193" s="11">
        <f t="shared" si="17"/>
        <v>138</v>
      </c>
      <c r="B193">
        <v>7.8660744464686907</v>
      </c>
      <c r="E193" s="11">
        <f>A193-'Mastercurve bestimmen'!$B$2</f>
        <v>58</v>
      </c>
      <c r="F193" s="11">
        <f t="shared" si="15"/>
        <v>7.8660744464686907</v>
      </c>
      <c r="G193" s="11"/>
      <c r="H193" s="11">
        <f t="shared" si="16"/>
        <v>128063081718016</v>
      </c>
      <c r="I193" s="11">
        <f t="shared" si="20"/>
        <v>2207984167552</v>
      </c>
      <c r="J193" s="11">
        <f t="shared" si="20"/>
        <v>38068692544</v>
      </c>
      <c r="K193" s="11">
        <f t="shared" si="20"/>
        <v>656356768</v>
      </c>
      <c r="L193" s="11">
        <f t="shared" si="20"/>
        <v>11316496</v>
      </c>
      <c r="M193" s="11">
        <f t="shared" si="20"/>
        <v>195112</v>
      </c>
      <c r="N193" s="11">
        <f t="shared" si="20"/>
        <v>3364</v>
      </c>
      <c r="O193" s="11">
        <f t="shared" si="20"/>
        <v>58</v>
      </c>
      <c r="P193" s="11">
        <f t="shared" si="18"/>
        <v>0</v>
      </c>
    </row>
    <row r="194" spans="1:16" x14ac:dyDescent="0.25">
      <c r="A194" s="11">
        <f t="shared" si="17"/>
        <v>139</v>
      </c>
      <c r="B194">
        <v>8.0283470705877154</v>
      </c>
      <c r="E194" s="11">
        <f>A194-'Mastercurve bestimmen'!$B$2</f>
        <v>59</v>
      </c>
      <c r="F194" s="11">
        <f t="shared" si="15"/>
        <v>8.0283470705877154</v>
      </c>
      <c r="G194" s="11"/>
      <c r="H194" s="11">
        <f t="shared" si="16"/>
        <v>146830437604321</v>
      </c>
      <c r="I194" s="11">
        <f t="shared" si="20"/>
        <v>2488651484819</v>
      </c>
      <c r="J194" s="11">
        <f t="shared" si="20"/>
        <v>42180533641</v>
      </c>
      <c r="K194" s="11">
        <f t="shared" si="20"/>
        <v>714924299</v>
      </c>
      <c r="L194" s="11">
        <f t="shared" si="20"/>
        <v>12117361</v>
      </c>
      <c r="M194" s="11">
        <f t="shared" si="20"/>
        <v>205379</v>
      </c>
      <c r="N194" s="11">
        <f t="shared" si="20"/>
        <v>3481</v>
      </c>
      <c r="O194" s="11">
        <f t="shared" si="20"/>
        <v>59</v>
      </c>
      <c r="P194" s="11">
        <f t="shared" si="18"/>
        <v>0</v>
      </c>
    </row>
    <row r="195" spans="1:16" x14ac:dyDescent="0.25">
      <c r="A195" s="11">
        <f t="shared" si="17"/>
        <v>140</v>
      </c>
      <c r="B195">
        <v>8.1912095386141939</v>
      </c>
      <c r="E195" s="11">
        <f>A195-'Mastercurve bestimmen'!$B$2</f>
        <v>60</v>
      </c>
      <c r="F195" s="11">
        <f t="shared" si="15"/>
        <v>8.1912095386141939</v>
      </c>
      <c r="G195" s="11"/>
      <c r="H195" s="11">
        <f t="shared" si="16"/>
        <v>167961600000000</v>
      </c>
      <c r="I195" s="11">
        <f t="shared" si="20"/>
        <v>2799360000000</v>
      </c>
      <c r="J195" s="11">
        <f t="shared" si="20"/>
        <v>46656000000</v>
      </c>
      <c r="K195" s="11">
        <f t="shared" si="20"/>
        <v>777600000</v>
      </c>
      <c r="L195" s="11">
        <f t="shared" si="20"/>
        <v>12960000</v>
      </c>
      <c r="M195" s="11">
        <f t="shared" si="20"/>
        <v>216000</v>
      </c>
      <c r="N195" s="11">
        <f t="shared" si="20"/>
        <v>3600</v>
      </c>
      <c r="O195" s="11">
        <f t="shared" si="20"/>
        <v>60</v>
      </c>
      <c r="P195" s="11">
        <f t="shared" si="18"/>
        <v>0</v>
      </c>
    </row>
    <row r="196" spans="1:16" x14ac:dyDescent="0.25">
      <c r="A196" s="11">
        <f t="shared" si="17"/>
        <v>141</v>
      </c>
      <c r="B196">
        <v>8.3546337627430098</v>
      </c>
      <c r="E196" s="11">
        <f>A196-'Mastercurve bestimmen'!$B$2</f>
        <v>61</v>
      </c>
      <c r="F196" s="11">
        <f t="shared" si="15"/>
        <v>8.3546337627430098</v>
      </c>
      <c r="G196" s="11"/>
      <c r="H196" s="11">
        <f t="shared" si="16"/>
        <v>191707312997281</v>
      </c>
      <c r="I196" s="11">
        <f t="shared" si="20"/>
        <v>3142742836021</v>
      </c>
      <c r="J196" s="11">
        <f t="shared" si="20"/>
        <v>51520374361</v>
      </c>
      <c r="K196" s="11">
        <f t="shared" si="20"/>
        <v>844596301</v>
      </c>
      <c r="L196" s="11">
        <f t="shared" si="20"/>
        <v>13845841</v>
      </c>
      <c r="M196" s="11">
        <f t="shared" si="20"/>
        <v>226981</v>
      </c>
      <c r="N196" s="11">
        <f t="shared" si="20"/>
        <v>3721</v>
      </c>
      <c r="O196" s="11">
        <f t="shared" si="20"/>
        <v>61</v>
      </c>
      <c r="P196" s="11">
        <f t="shared" si="18"/>
        <v>0</v>
      </c>
    </row>
    <row r="197" spans="1:16" x14ac:dyDescent="0.25">
      <c r="A197" s="11">
        <f t="shared" si="17"/>
        <v>142</v>
      </c>
      <c r="B197">
        <v>8.5185916551690433</v>
      </c>
      <c r="E197" s="11">
        <f>A197-'Mastercurve bestimmen'!$B$2</f>
        <v>62</v>
      </c>
      <c r="F197" s="11">
        <f t="shared" si="15"/>
        <v>8.5185916551690433</v>
      </c>
      <c r="G197" s="11"/>
      <c r="H197" s="11">
        <f t="shared" si="16"/>
        <v>218340105584896</v>
      </c>
      <c r="I197" s="11">
        <f t="shared" si="20"/>
        <v>3521614606208</v>
      </c>
      <c r="J197" s="11">
        <f t="shared" si="20"/>
        <v>56800235584</v>
      </c>
      <c r="K197" s="11">
        <f t="shared" si="20"/>
        <v>916132832</v>
      </c>
      <c r="L197" s="11">
        <f t="shared" si="20"/>
        <v>14776336</v>
      </c>
      <c r="M197" s="11">
        <f t="shared" si="20"/>
        <v>238328</v>
      </c>
      <c r="N197" s="11">
        <f t="shared" si="20"/>
        <v>3844</v>
      </c>
      <c r="O197" s="11">
        <f t="shared" si="20"/>
        <v>62</v>
      </c>
      <c r="P197" s="11">
        <f t="shared" si="18"/>
        <v>0</v>
      </c>
    </row>
    <row r="198" spans="1:16" x14ac:dyDescent="0.25">
      <c r="A198" s="11">
        <f t="shared" si="17"/>
        <v>143</v>
      </c>
      <c r="B198">
        <v>8.6830551280871813</v>
      </c>
      <c r="E198" s="11">
        <f>A198-'Mastercurve bestimmen'!$B$2</f>
        <v>63</v>
      </c>
      <c r="F198" s="11">
        <f t="shared" si="15"/>
        <v>8.6830551280871813</v>
      </c>
      <c r="G198" s="11"/>
      <c r="H198" s="11">
        <f t="shared" si="16"/>
        <v>248155780267521</v>
      </c>
      <c r="I198" s="11">
        <f t="shared" si="20"/>
        <v>3938980639167</v>
      </c>
      <c r="J198" s="11">
        <f t="shared" si="20"/>
        <v>62523502209</v>
      </c>
      <c r="K198" s="11">
        <f t="shared" si="20"/>
        <v>992436543</v>
      </c>
      <c r="L198" s="11">
        <f t="shared" si="20"/>
        <v>15752961</v>
      </c>
      <c r="M198" s="11">
        <f t="shared" si="20"/>
        <v>250047</v>
      </c>
      <c r="N198" s="11">
        <f t="shared" si="20"/>
        <v>3969</v>
      </c>
      <c r="O198" s="11">
        <f t="shared" si="20"/>
        <v>63</v>
      </c>
      <c r="P198" s="11">
        <f t="shared" si="18"/>
        <v>0</v>
      </c>
    </row>
    <row r="199" spans="1:16" x14ac:dyDescent="0.25">
      <c r="A199" s="11">
        <f t="shared" si="17"/>
        <v>144</v>
      </c>
      <c r="B199">
        <v>8.8479960936923057</v>
      </c>
      <c r="E199" s="11">
        <f>A199-'Mastercurve bestimmen'!$B$2</f>
        <v>64</v>
      </c>
      <c r="F199" s="11">
        <f t="shared" si="15"/>
        <v>8.8479960936923057</v>
      </c>
      <c r="G199" s="11"/>
      <c r="H199" s="11">
        <f t="shared" si="16"/>
        <v>281474976710656</v>
      </c>
      <c r="I199" s="11">
        <f t="shared" si="20"/>
        <v>4398046511104</v>
      </c>
      <c r="J199" s="11">
        <f t="shared" si="20"/>
        <v>68719476736</v>
      </c>
      <c r="K199" s="11">
        <f t="shared" si="20"/>
        <v>1073741824</v>
      </c>
      <c r="L199" s="11">
        <f t="shared" si="20"/>
        <v>16777216</v>
      </c>
      <c r="M199" s="11">
        <f t="shared" si="20"/>
        <v>262144</v>
      </c>
      <c r="N199" s="11">
        <f t="shared" si="20"/>
        <v>4096</v>
      </c>
      <c r="O199" s="11">
        <f t="shared" si="20"/>
        <v>64</v>
      </c>
      <c r="P199" s="11">
        <f t="shared" si="18"/>
        <v>0</v>
      </c>
    </row>
    <row r="200" spans="1:16" x14ac:dyDescent="0.25">
      <c r="A200" s="11">
        <f t="shared" si="17"/>
        <v>145</v>
      </c>
      <c r="B200">
        <v>9.0133864641792982</v>
      </c>
      <c r="E200" s="11">
        <f>A200-'Mastercurve bestimmen'!$B$2</f>
        <v>65</v>
      </c>
      <c r="F200" s="11">
        <f t="shared" si="15"/>
        <v>9.0133864641792982</v>
      </c>
      <c r="G200" s="11"/>
      <c r="H200" s="11">
        <f t="shared" si="16"/>
        <v>318644812890625</v>
      </c>
      <c r="I200" s="11">
        <f t="shared" si="20"/>
        <v>4902227890625</v>
      </c>
      <c r="J200" s="11">
        <f t="shared" si="20"/>
        <v>75418890625</v>
      </c>
      <c r="K200" s="11">
        <f t="shared" si="20"/>
        <v>1160290625</v>
      </c>
      <c r="L200" s="11">
        <f t="shared" si="20"/>
        <v>17850625</v>
      </c>
      <c r="M200" s="11">
        <f t="shared" si="20"/>
        <v>274625</v>
      </c>
      <c r="N200" s="11">
        <f t="shared" si="20"/>
        <v>4225</v>
      </c>
      <c r="O200" s="11">
        <f t="shared" si="20"/>
        <v>65</v>
      </c>
      <c r="P200" s="11">
        <f t="shared" si="18"/>
        <v>0</v>
      </c>
    </row>
    <row r="201" spans="1:16" x14ac:dyDescent="0.25">
      <c r="A201" s="11">
        <f t="shared" si="17"/>
        <v>146</v>
      </c>
      <c r="B201">
        <v>9.1791981517430443</v>
      </c>
      <c r="E201" s="11">
        <f>A201-'Mastercurve bestimmen'!$B$2</f>
        <v>66</v>
      </c>
      <c r="F201" s="11">
        <f t="shared" si="15"/>
        <v>9.1791981517430443</v>
      </c>
      <c r="G201" s="11"/>
      <c r="H201" s="11">
        <f t="shared" si="16"/>
        <v>360040606269696</v>
      </c>
      <c r="I201" s="11">
        <f t="shared" si="20"/>
        <v>5455160701056</v>
      </c>
      <c r="J201" s="11">
        <f t="shared" si="20"/>
        <v>82653950016</v>
      </c>
      <c r="K201" s="11">
        <f t="shared" si="20"/>
        <v>1252332576</v>
      </c>
      <c r="L201" s="11">
        <f t="shared" si="20"/>
        <v>18974736</v>
      </c>
      <c r="M201" s="11">
        <f t="shared" si="20"/>
        <v>287496</v>
      </c>
      <c r="N201" s="11">
        <f t="shared" si="20"/>
        <v>4356</v>
      </c>
      <c r="O201" s="11">
        <f t="shared" si="20"/>
        <v>66</v>
      </c>
      <c r="P201" s="11">
        <f t="shared" si="18"/>
        <v>0</v>
      </c>
    </row>
    <row r="202" spans="1:16" x14ac:dyDescent="0.25">
      <c r="A202" s="11">
        <f t="shared" si="17"/>
        <v>147</v>
      </c>
      <c r="B202">
        <v>9.3454030685784275</v>
      </c>
      <c r="E202" s="11">
        <f>A202-'Mastercurve bestimmen'!$B$2</f>
        <v>67</v>
      </c>
      <c r="F202" s="11">
        <f t="shared" si="15"/>
        <v>9.3454030685784275</v>
      </c>
      <c r="G202" s="11"/>
      <c r="H202" s="11">
        <f t="shared" si="16"/>
        <v>406067677556641</v>
      </c>
      <c r="I202" s="11">
        <f t="shared" si="20"/>
        <v>6060711605323</v>
      </c>
      <c r="J202" s="11">
        <f t="shared" si="20"/>
        <v>90458382169</v>
      </c>
      <c r="K202" s="11">
        <f t="shared" si="20"/>
        <v>1350125107</v>
      </c>
      <c r="L202" s="11">
        <f t="shared" si="20"/>
        <v>20151121</v>
      </c>
      <c r="M202" s="11">
        <f t="shared" si="20"/>
        <v>300763</v>
      </c>
      <c r="N202" s="11">
        <f t="shared" si="20"/>
        <v>4489</v>
      </c>
      <c r="O202" s="11">
        <f t="shared" si="20"/>
        <v>67</v>
      </c>
      <c r="P202" s="11">
        <f t="shared" si="18"/>
        <v>0</v>
      </c>
    </row>
    <row r="203" spans="1:16" x14ac:dyDescent="0.25">
      <c r="A203" s="11">
        <f t="shared" si="17"/>
        <v>148</v>
      </c>
      <c r="B203">
        <v>9.5119731268803278</v>
      </c>
      <c r="E203" s="11">
        <f>A203-'Mastercurve bestimmen'!$B$2</f>
        <v>68</v>
      </c>
      <c r="F203" s="11">
        <f t="shared" si="15"/>
        <v>9.5119731268803278</v>
      </c>
      <c r="G203" s="11"/>
      <c r="H203" s="11">
        <f t="shared" si="16"/>
        <v>457163239653376</v>
      </c>
      <c r="I203" s="11">
        <f t="shared" si="20"/>
        <v>6722988818432</v>
      </c>
      <c r="J203" s="11">
        <f t="shared" si="20"/>
        <v>98867482624</v>
      </c>
      <c r="K203" s="11">
        <f t="shared" si="20"/>
        <v>1453933568</v>
      </c>
      <c r="L203" s="11">
        <f t="shared" si="20"/>
        <v>21381376</v>
      </c>
      <c r="M203" s="11">
        <f t="shared" si="20"/>
        <v>314432</v>
      </c>
      <c r="N203" s="11">
        <f t="shared" si="20"/>
        <v>4624</v>
      </c>
      <c r="O203" s="11">
        <f t="shared" si="20"/>
        <v>68</v>
      </c>
      <c r="P203" s="11">
        <f t="shared" si="18"/>
        <v>0</v>
      </c>
    </row>
    <row r="204" spans="1:16" x14ac:dyDescent="0.25">
      <c r="A204" s="11">
        <f t="shared" si="17"/>
        <v>149</v>
      </c>
      <c r="B204">
        <v>9.6788802388436306</v>
      </c>
      <c r="E204" s="11">
        <f>A204-'Mastercurve bestimmen'!$B$2</f>
        <v>69</v>
      </c>
      <c r="F204" s="11">
        <f t="shared" si="15"/>
        <v>9.6788802388436306</v>
      </c>
      <c r="G204" s="11"/>
      <c r="H204" s="11">
        <f t="shared" si="16"/>
        <v>513798374428641</v>
      </c>
      <c r="I204" s="11">
        <f t="shared" si="20"/>
        <v>7446353252589</v>
      </c>
      <c r="J204" s="11">
        <f t="shared" si="20"/>
        <v>107918163081</v>
      </c>
      <c r="K204" s="11">
        <f t="shared" si="20"/>
        <v>1564031349</v>
      </c>
      <c r="L204" s="11">
        <f t="shared" si="20"/>
        <v>22667121</v>
      </c>
      <c r="M204" s="11">
        <f t="shared" si="20"/>
        <v>328509</v>
      </c>
      <c r="N204" s="11">
        <f t="shared" si="20"/>
        <v>4761</v>
      </c>
      <c r="O204" s="11">
        <f t="shared" si="20"/>
        <v>69</v>
      </c>
      <c r="P204" s="11">
        <f t="shared" si="18"/>
        <v>0</v>
      </c>
    </row>
    <row r="205" spans="1:16" x14ac:dyDescent="0.25">
      <c r="A205" s="11">
        <f t="shared" si="17"/>
        <v>150</v>
      </c>
      <c r="B205">
        <v>9.8460963166632176</v>
      </c>
      <c r="E205" s="11">
        <f>A205-'Mastercurve bestimmen'!$B$2</f>
        <v>70</v>
      </c>
      <c r="F205" s="11">
        <f t="shared" si="15"/>
        <v>9.8460963166632176</v>
      </c>
      <c r="G205" s="11"/>
      <c r="H205" s="11">
        <f t="shared" si="16"/>
        <v>576480100000000</v>
      </c>
      <c r="I205" s="11">
        <f t="shared" si="20"/>
        <v>8235430000000</v>
      </c>
      <c r="J205" s="11">
        <f t="shared" si="20"/>
        <v>117649000000</v>
      </c>
      <c r="K205" s="11">
        <f t="shared" si="20"/>
        <v>1680700000</v>
      </c>
      <c r="L205" s="11">
        <f t="shared" si="20"/>
        <v>24010000</v>
      </c>
      <c r="M205" s="11">
        <f t="shared" si="20"/>
        <v>343000</v>
      </c>
      <c r="N205" s="11">
        <f t="shared" si="20"/>
        <v>4900</v>
      </c>
      <c r="O205" s="11">
        <f t="shared" si="20"/>
        <v>70</v>
      </c>
      <c r="P205" s="11">
        <f t="shared" si="18"/>
        <v>0</v>
      </c>
    </row>
    <row r="206" spans="1:16" x14ac:dyDescent="0.25">
      <c r="A206" s="11">
        <f t="shared" si="17"/>
        <v>151</v>
      </c>
      <c r="B206">
        <v>10.013593272533974</v>
      </c>
      <c r="E206" s="11">
        <f>A206-'Mastercurve bestimmen'!$B$2</f>
        <v>71</v>
      </c>
      <c r="F206" s="11">
        <f t="shared" si="15"/>
        <v>10.013593272533974</v>
      </c>
      <c r="G206" s="11"/>
      <c r="H206" s="11">
        <f t="shared" si="16"/>
        <v>645753531245761</v>
      </c>
      <c r="I206" s="11">
        <f t="shared" si="20"/>
        <v>9095120158391</v>
      </c>
      <c r="J206" s="11">
        <f t="shared" si="20"/>
        <v>128100283921</v>
      </c>
      <c r="K206" s="11">
        <f t="shared" si="20"/>
        <v>1804229351</v>
      </c>
      <c r="L206" s="11">
        <f t="shared" si="20"/>
        <v>25411681</v>
      </c>
      <c r="M206" s="11">
        <f t="shared" si="20"/>
        <v>357911</v>
      </c>
      <c r="N206" s="11">
        <f t="shared" si="20"/>
        <v>5041</v>
      </c>
      <c r="O206" s="11">
        <f t="shared" si="20"/>
        <v>71</v>
      </c>
      <c r="P206" s="11">
        <f t="shared" si="18"/>
        <v>0</v>
      </c>
    </row>
    <row r="207" spans="1:16" x14ac:dyDescent="0.25">
      <c r="A207" s="11">
        <f t="shared" si="17"/>
        <v>152</v>
      </c>
      <c r="B207">
        <v>10.181343018650782</v>
      </c>
      <c r="E207" s="11">
        <f>A207-'Mastercurve bestimmen'!$B$2</f>
        <v>72</v>
      </c>
      <c r="F207" s="11">
        <f t="shared" si="15"/>
        <v>10.181343018650782</v>
      </c>
      <c r="G207" s="11"/>
      <c r="H207" s="11">
        <f t="shared" si="16"/>
        <v>722204136308736</v>
      </c>
      <c r="I207" s="11">
        <f t="shared" si="20"/>
        <v>10030613004288</v>
      </c>
      <c r="J207" s="11">
        <f t="shared" si="20"/>
        <v>139314069504</v>
      </c>
      <c r="K207" s="11">
        <f t="shared" si="20"/>
        <v>1934917632</v>
      </c>
      <c r="L207" s="11">
        <f t="shared" si="20"/>
        <v>26873856</v>
      </c>
      <c r="M207" s="11">
        <f t="shared" si="20"/>
        <v>373248</v>
      </c>
      <c r="N207" s="11">
        <f t="shared" si="20"/>
        <v>5184</v>
      </c>
      <c r="O207" s="11">
        <f t="shared" si="20"/>
        <v>72</v>
      </c>
      <c r="P207" s="11">
        <f t="shared" si="18"/>
        <v>0</v>
      </c>
    </row>
    <row r="208" spans="1:16" x14ac:dyDescent="0.25">
      <c r="A208" s="11">
        <f t="shared" si="17"/>
        <v>153</v>
      </c>
      <c r="B208">
        <v>10.349317467208525</v>
      </c>
      <c r="E208" s="11">
        <f>A208-'Mastercurve bestimmen'!$B$2</f>
        <v>73</v>
      </c>
      <c r="F208" s="11">
        <f t="shared" ref="F208:F215" si="21">B208</f>
        <v>10.349317467208525</v>
      </c>
      <c r="G208" s="11"/>
      <c r="H208" s="11">
        <f t="shared" ref="H208:H215" si="22">IF($H$12&gt;=H$14,$E208^H$14,0)</f>
        <v>806460091894081</v>
      </c>
      <c r="I208" s="11">
        <f t="shared" si="20"/>
        <v>11047398519097</v>
      </c>
      <c r="J208" s="11">
        <f t="shared" si="20"/>
        <v>151334226289</v>
      </c>
      <c r="K208" s="11">
        <f t="shared" si="20"/>
        <v>2073071593</v>
      </c>
      <c r="L208" s="11">
        <f t="shared" si="20"/>
        <v>28398241</v>
      </c>
      <c r="M208" s="11">
        <f t="shared" si="20"/>
        <v>389017</v>
      </c>
      <c r="N208" s="11">
        <f t="shared" si="20"/>
        <v>5329</v>
      </c>
      <c r="O208" s="11">
        <f t="shared" si="20"/>
        <v>73</v>
      </c>
      <c r="P208" s="11">
        <f t="shared" si="18"/>
        <v>0</v>
      </c>
    </row>
    <row r="209" spans="1:16" x14ac:dyDescent="0.25">
      <c r="A209" s="11">
        <f t="shared" ref="A209:A215" si="23">A208+1</f>
        <v>154</v>
      </c>
      <c r="B209">
        <v>10.517488530402085</v>
      </c>
      <c r="E209" s="11">
        <f>A209-'Mastercurve bestimmen'!$B$2</f>
        <v>74</v>
      </c>
      <c r="F209" s="11">
        <f t="shared" si="21"/>
        <v>10.517488530402085</v>
      </c>
      <c r="G209" s="11"/>
      <c r="H209" s="11">
        <f t="shared" si="22"/>
        <v>899194740203776</v>
      </c>
      <c r="I209" s="11">
        <f t="shared" si="20"/>
        <v>12151280273024</v>
      </c>
      <c r="J209" s="11">
        <f t="shared" si="20"/>
        <v>164206490176</v>
      </c>
      <c r="K209" s="11">
        <f t="shared" si="20"/>
        <v>2219006624</v>
      </c>
      <c r="L209" s="11">
        <f t="shared" si="20"/>
        <v>29986576</v>
      </c>
      <c r="M209" s="11">
        <f t="shared" si="20"/>
        <v>405224</v>
      </c>
      <c r="N209" s="11">
        <f t="shared" si="20"/>
        <v>5476</v>
      </c>
      <c r="O209" s="11">
        <f t="shared" si="20"/>
        <v>74</v>
      </c>
      <c r="P209" s="11">
        <f t="shared" ref="P209:P215" si="24">P208</f>
        <v>0</v>
      </c>
    </row>
    <row r="210" spans="1:16" x14ac:dyDescent="0.25">
      <c r="A210" s="11">
        <f t="shared" si="23"/>
        <v>155</v>
      </c>
      <c r="B210">
        <v>10.685828120426345</v>
      </c>
      <c r="E210" s="11">
        <f>A210-'Mastercurve bestimmen'!$B$2</f>
        <v>75</v>
      </c>
      <c r="F210" s="11">
        <f t="shared" si="21"/>
        <v>10.685828120426345</v>
      </c>
      <c r="G210" s="11"/>
      <c r="H210" s="11">
        <f t="shared" si="22"/>
        <v>1001129150390625</v>
      </c>
      <c r="I210" s="11">
        <f t="shared" si="20"/>
        <v>13348388671875</v>
      </c>
      <c r="J210" s="11">
        <f t="shared" si="20"/>
        <v>177978515625</v>
      </c>
      <c r="K210" s="11">
        <f t="shared" si="20"/>
        <v>2373046875</v>
      </c>
      <c r="L210" s="11">
        <f t="shared" si="20"/>
        <v>31640625</v>
      </c>
      <c r="M210" s="11">
        <f t="shared" si="20"/>
        <v>421875</v>
      </c>
      <c r="N210" s="11">
        <f t="shared" si="20"/>
        <v>5625</v>
      </c>
      <c r="O210" s="11">
        <f t="shared" si="20"/>
        <v>75</v>
      </c>
      <c r="P210" s="11">
        <f t="shared" si="24"/>
        <v>0</v>
      </c>
    </row>
    <row r="211" spans="1:16" x14ac:dyDescent="0.25">
      <c r="A211" s="11">
        <f t="shared" si="23"/>
        <v>156</v>
      </c>
      <c r="B211">
        <v>10.854308149476191</v>
      </c>
      <c r="E211" s="11">
        <f>A211-'Mastercurve bestimmen'!$B$2</f>
        <v>76</v>
      </c>
      <c r="F211" s="11">
        <f t="shared" si="21"/>
        <v>10.854308149476191</v>
      </c>
      <c r="G211" s="11"/>
      <c r="H211" s="11">
        <f t="shared" si="22"/>
        <v>1113034787454976</v>
      </c>
      <c r="I211" s="11">
        <f t="shared" si="20"/>
        <v>14645194571776</v>
      </c>
      <c r="J211" s="11">
        <f t="shared" si="20"/>
        <v>192699928576</v>
      </c>
      <c r="K211" s="11">
        <f t="shared" si="20"/>
        <v>2535525376</v>
      </c>
      <c r="L211" s="11">
        <f t="shared" si="20"/>
        <v>33362176</v>
      </c>
      <c r="M211" s="11">
        <f t="shared" si="20"/>
        <v>438976</v>
      </c>
      <c r="N211" s="11">
        <f t="shared" si="20"/>
        <v>5776</v>
      </c>
      <c r="O211" s="11">
        <f t="shared" si="20"/>
        <v>76</v>
      </c>
      <c r="P211" s="11">
        <f t="shared" si="24"/>
        <v>0</v>
      </c>
    </row>
    <row r="212" spans="1:16" x14ac:dyDescent="0.25">
      <c r="A212" s="11">
        <f t="shared" si="23"/>
        <v>157</v>
      </c>
      <c r="B212">
        <v>11.022900529746504</v>
      </c>
      <c r="E212" s="11">
        <f>A212-'Mastercurve bestimmen'!$B$2</f>
        <v>77</v>
      </c>
      <c r="F212" s="11">
        <f t="shared" si="21"/>
        <v>11.022900529746504</v>
      </c>
      <c r="G212" s="11"/>
      <c r="H212" s="11">
        <f t="shared" si="22"/>
        <v>1235736291547681</v>
      </c>
      <c r="I212" s="11">
        <f t="shared" si="20"/>
        <v>16048523266853</v>
      </c>
      <c r="J212" s="11">
        <f t="shared" si="20"/>
        <v>208422380089</v>
      </c>
      <c r="K212" s="11">
        <f t="shared" si="20"/>
        <v>2706784157</v>
      </c>
      <c r="L212" s="11">
        <f t="shared" si="20"/>
        <v>35153041</v>
      </c>
      <c r="M212" s="11">
        <f t="shared" si="20"/>
        <v>456533</v>
      </c>
      <c r="N212" s="11">
        <f t="shared" si="20"/>
        <v>5929</v>
      </c>
      <c r="O212" s="11">
        <f t="shared" si="20"/>
        <v>77</v>
      </c>
      <c r="P212" s="11">
        <f t="shared" si="24"/>
        <v>0</v>
      </c>
    </row>
    <row r="213" spans="1:16" x14ac:dyDescent="0.25">
      <c r="A213" s="11">
        <f t="shared" si="23"/>
        <v>158</v>
      </c>
      <c r="B213">
        <v>11.191577173432169</v>
      </c>
      <c r="E213" s="11">
        <f>A213-'Mastercurve bestimmen'!$B$2</f>
        <v>78</v>
      </c>
      <c r="F213" s="11">
        <f t="shared" si="21"/>
        <v>11.191577173432169</v>
      </c>
      <c r="G213" s="11"/>
      <c r="H213" s="11">
        <f t="shared" si="22"/>
        <v>1370114370683136</v>
      </c>
      <c r="I213" s="11">
        <f t="shared" si="20"/>
        <v>17565568854912</v>
      </c>
      <c r="J213" s="11">
        <f t="shared" si="20"/>
        <v>225199600704</v>
      </c>
      <c r="K213" s="11">
        <f t="shared" si="20"/>
        <v>2887174368</v>
      </c>
      <c r="L213" s="11">
        <f t="shared" si="20"/>
        <v>37015056</v>
      </c>
      <c r="M213" s="11">
        <f t="shared" si="20"/>
        <v>474552</v>
      </c>
      <c r="N213" s="11">
        <f t="shared" si="20"/>
        <v>6084</v>
      </c>
      <c r="O213" s="11">
        <f t="shared" si="20"/>
        <v>78</v>
      </c>
      <c r="P213" s="11">
        <f t="shared" si="24"/>
        <v>0</v>
      </c>
    </row>
    <row r="214" spans="1:16" x14ac:dyDescent="0.25">
      <c r="A214" s="11">
        <f t="shared" si="23"/>
        <v>159</v>
      </c>
      <c r="B214">
        <v>11.360309992728066</v>
      </c>
      <c r="E214" s="11">
        <f>A214-'Mastercurve bestimmen'!$B$2</f>
        <v>79</v>
      </c>
      <c r="F214" s="11">
        <f t="shared" si="21"/>
        <v>11.360309992728066</v>
      </c>
      <c r="G214" s="11"/>
      <c r="H214" s="11">
        <f t="shared" si="22"/>
        <v>1517108809906561</v>
      </c>
      <c r="I214" s="11">
        <f t="shared" si="20"/>
        <v>19203908986159</v>
      </c>
      <c r="J214" s="11">
        <f t="shared" si="20"/>
        <v>243087455521</v>
      </c>
      <c r="K214" s="11">
        <f t="shared" si="20"/>
        <v>3077056399</v>
      </c>
      <c r="L214" s="11">
        <f t="shared" si="20"/>
        <v>38950081</v>
      </c>
      <c r="M214" s="11">
        <f t="shared" si="20"/>
        <v>493039</v>
      </c>
      <c r="N214" s="11">
        <f t="shared" si="20"/>
        <v>6241</v>
      </c>
      <c r="O214" s="11">
        <f t="shared" si="20"/>
        <v>79</v>
      </c>
      <c r="P214" s="11">
        <f t="shared" si="24"/>
        <v>0</v>
      </c>
    </row>
    <row r="215" spans="1:16" x14ac:dyDescent="0.25">
      <c r="A215" s="11">
        <f t="shared" si="23"/>
        <v>160</v>
      </c>
      <c r="B215">
        <v>11.529070899829078</v>
      </c>
      <c r="E215" s="11">
        <f>A215-'Mastercurve bestimmen'!$B$2</f>
        <v>80</v>
      </c>
      <c r="F215" s="11">
        <f t="shared" si="21"/>
        <v>11.529070899829078</v>
      </c>
      <c r="G215" s="11"/>
      <c r="H215" s="11">
        <f t="shared" si="22"/>
        <v>1677721600000000</v>
      </c>
      <c r="I215" s="11">
        <f t="shared" si="20"/>
        <v>20971520000000</v>
      </c>
      <c r="J215" s="11">
        <f t="shared" si="20"/>
        <v>262144000000</v>
      </c>
      <c r="K215" s="11">
        <f t="shared" si="20"/>
        <v>3276800000</v>
      </c>
      <c r="L215" s="11">
        <f t="shared" si="20"/>
        <v>40960000</v>
      </c>
      <c r="M215" s="11">
        <f t="shared" si="20"/>
        <v>512000</v>
      </c>
      <c r="N215" s="11">
        <f t="shared" si="20"/>
        <v>6400</v>
      </c>
      <c r="O215" s="11">
        <f t="shared" si="20"/>
        <v>80</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0.10697861512627423</v>
      </c>
      <c r="J217" s="98">
        <v>5.310726068744378E-4</v>
      </c>
      <c r="K217" s="98">
        <v>7.9501731416279246E-7</v>
      </c>
      <c r="L217" s="98">
        <v>-6.9295904053095754E-8</v>
      </c>
      <c r="M217" s="98">
        <v>5.6397586461418594E-10</v>
      </c>
      <c r="N217" s="98">
        <v>8.188194592910787E-12</v>
      </c>
      <c r="O217" s="98">
        <v>-5.7131557925725807E-14</v>
      </c>
      <c r="P217" s="98">
        <v>-4.8899573991007246E-16</v>
      </c>
    </row>
    <row r="218" spans="1:16" x14ac:dyDescent="0.25">
      <c r="G218" s="11"/>
      <c r="H218" s="11">
        <v>0</v>
      </c>
      <c r="I218" s="11">
        <v>2.1761077831514898E-4</v>
      </c>
      <c r="J218" s="11">
        <v>4.0533369454409098E-6</v>
      </c>
      <c r="K218" s="3">
        <v>2.0594840372084602E-7</v>
      </c>
      <c r="L218" s="3">
        <v>1.8752214750912034E-9</v>
      </c>
      <c r="M218" s="3">
        <v>5.888230544794662E-11</v>
      </c>
      <c r="N218" s="3">
        <v>3.2356445588769447E-13</v>
      </c>
      <c r="O218" s="11">
        <v>5.20310488690475E-15</v>
      </c>
      <c r="P218" s="11">
        <v>3.1640010961270997E-17</v>
      </c>
    </row>
    <row r="219" spans="1:16" x14ac:dyDescent="0.25">
      <c r="G219" s="11"/>
      <c r="H219" s="11">
        <v>0.99998859575100407</v>
      </c>
      <c r="I219" s="11">
        <v>2.2512865519743491E-2</v>
      </c>
      <c r="J219" s="11" t="e">
        <v>#N/A</v>
      </c>
      <c r="K219" s="11" t="e">
        <v>#N/A</v>
      </c>
      <c r="L219" s="11" t="e">
        <v>#N/A</v>
      </c>
      <c r="M219" s="11" t="e">
        <v>#N/A</v>
      </c>
      <c r="N219" s="11" t="e">
        <v>#N/A</v>
      </c>
      <c r="O219" s="11" t="e">
        <v>#N/A</v>
      </c>
      <c r="P219" s="11" t="e">
        <v>#N/A</v>
      </c>
    </row>
    <row r="222" spans="1:16" x14ac:dyDescent="0.25">
      <c r="E222">
        <f>E15</f>
        <v>-120</v>
      </c>
      <c r="F222">
        <f>$H$217*0+E222*$I$217+E222^2*$J$217+E222^3*$K$217+E222^4*$L$217+E222^5*$M$217+E222^6*$N$217+E222^7*$O$217+E222^8*$P$217</f>
        <v>-11.07133466550976</v>
      </c>
      <c r="G222">
        <f>F15</f>
        <v>-11.075286108018116</v>
      </c>
    </row>
    <row r="223" spans="1:16" x14ac:dyDescent="0.25">
      <c r="E223" s="11">
        <f t="shared" ref="E223:E286" si="25">E16</f>
        <v>-119</v>
      </c>
      <c r="F223" s="11">
        <f t="shared" ref="F223:F286" si="26">$H$217*0+E223*$I$217+E223^2*$J$217+E223^3*$K$217+E223^4*$L$217+E223^5*$M$217+E223^6*$N$217+E223^7*$O$217+E223^8*$P$217</f>
        <v>-11.009637729956061</v>
      </c>
      <c r="G223" s="11">
        <f t="shared" ref="G223:G286" si="27">F16</f>
        <v>-11.015479897451616</v>
      </c>
    </row>
    <row r="224" spans="1:16" x14ac:dyDescent="0.25">
      <c r="E224" s="11">
        <f t="shared" si="25"/>
        <v>-118</v>
      </c>
      <c r="F224" s="11">
        <f t="shared" si="26"/>
        <v>-10.949475831514093</v>
      </c>
      <c r="G224" s="11">
        <f t="shared" si="27"/>
        <v>-10.955573402562955</v>
      </c>
    </row>
    <row r="225" spans="5:7" x14ac:dyDescent="0.25">
      <c r="E225" s="11">
        <f t="shared" si="25"/>
        <v>-117</v>
      </c>
      <c r="F225" s="11">
        <f t="shared" si="26"/>
        <v>-10.890333216874883</v>
      </c>
      <c r="G225" s="11">
        <f t="shared" si="27"/>
        <v>-10.895466339029964</v>
      </c>
    </row>
    <row r="226" spans="5:7" x14ac:dyDescent="0.25">
      <c r="E226" s="11">
        <f t="shared" si="25"/>
        <v>-116</v>
      </c>
      <c r="F226" s="11">
        <f t="shared" si="26"/>
        <v>-10.831743176631473</v>
      </c>
      <c r="G226" s="11">
        <f t="shared" si="27"/>
        <v>-10.83505842253048</v>
      </c>
    </row>
    <row r="227" spans="5:7" x14ac:dyDescent="0.25">
      <c r="E227" s="11">
        <f t="shared" si="25"/>
        <v>-115</v>
      </c>
      <c r="F227" s="11">
        <f t="shared" si="26"/>
        <v>-10.773285326861801</v>
      </c>
      <c r="G227" s="11">
        <f t="shared" si="27"/>
        <v>-10.774249368742339</v>
      </c>
    </row>
    <row r="228" spans="5:7" x14ac:dyDescent="0.25">
      <c r="E228" s="11">
        <f t="shared" si="25"/>
        <v>-114</v>
      </c>
      <c r="F228" s="11">
        <f t="shared" si="26"/>
        <v>-10.714582986080002</v>
      </c>
      <c r="G228" s="11">
        <f t="shared" si="27"/>
        <v>-10.712938893343379</v>
      </c>
    </row>
    <row r="229" spans="5:7" x14ac:dyDescent="0.25">
      <c r="E229" s="11">
        <f t="shared" si="25"/>
        <v>-113</v>
      </c>
      <c r="F229" s="11">
        <f t="shared" si="26"/>
        <v>-10.65530064554696</v>
      </c>
      <c r="G229" s="11">
        <f t="shared" si="27"/>
        <v>-10.651026712011433</v>
      </c>
    </row>
    <row r="230" spans="5:7" x14ac:dyDescent="0.25">
      <c r="E230" s="11">
        <f t="shared" si="25"/>
        <v>-112</v>
      </c>
      <c r="F230" s="11">
        <f t="shared" si="26"/>
        <v>-10.595141530951034</v>
      </c>
      <c r="G230" s="11">
        <f t="shared" si="27"/>
        <v>-10.588412540424338</v>
      </c>
    </row>
    <row r="231" spans="5:7" x14ac:dyDescent="0.25">
      <c r="E231" s="11">
        <f t="shared" si="25"/>
        <v>-111</v>
      </c>
      <c r="F231" s="11">
        <f t="shared" si="26"/>
        <v>-10.533845253489226</v>
      </c>
      <c r="G231" s="11">
        <f t="shared" si="27"/>
        <v>-10.524996094259929</v>
      </c>
    </row>
    <row r="232" spans="5:7" x14ac:dyDescent="0.25">
      <c r="E232" s="11">
        <f t="shared" si="25"/>
        <v>-110</v>
      </c>
      <c r="F232" s="11">
        <f t="shared" si="26"/>
        <v>-10.471185548398967</v>
      </c>
      <c r="G232" s="11">
        <f t="shared" si="27"/>
        <v>-10.460677089196047</v>
      </c>
    </row>
    <row r="233" spans="5:7" x14ac:dyDescent="0.25">
      <c r="E233" s="11">
        <f t="shared" si="25"/>
        <v>-109</v>
      </c>
      <c r="F233" s="11">
        <f t="shared" si="26"/>
        <v>-10.406968099010445</v>
      </c>
      <c r="G233" s="11">
        <f t="shared" si="27"/>
        <v>-10.395355240910517</v>
      </c>
    </row>
    <row r="234" spans="5:7" x14ac:dyDescent="0.25">
      <c r="E234" s="11">
        <f t="shared" si="25"/>
        <v>-108</v>
      </c>
      <c r="F234" s="11">
        <f t="shared" si="26"/>
        <v>-10.341028444408947</v>
      </c>
      <c r="G234" s="11">
        <f t="shared" si="27"/>
        <v>-10.328930265081187</v>
      </c>
    </row>
    <row r="235" spans="5:7" x14ac:dyDescent="0.25">
      <c r="E235" s="11">
        <f t="shared" si="25"/>
        <v>-107</v>
      </c>
      <c r="F235" s="11">
        <f t="shared" si="26"/>
        <v>-10.27322996881659</v>
      </c>
      <c r="G235" s="11">
        <f t="shared" si="27"/>
        <v>-10.261301877385884</v>
      </c>
    </row>
    <row r="236" spans="5:7" x14ac:dyDescent="0.25">
      <c r="E236" s="11">
        <f t="shared" si="25"/>
        <v>-106</v>
      </c>
      <c r="F236" s="11">
        <f t="shared" si="26"/>
        <v>-10.203461970822428</v>
      </c>
      <c r="G236" s="11">
        <f t="shared" si="27"/>
        <v>-10.192369793502447</v>
      </c>
    </row>
    <row r="237" spans="5:7" x14ac:dyDescent="0.25">
      <c r="E237" s="11">
        <f t="shared" si="25"/>
        <v>-105</v>
      </c>
      <c r="F237" s="11">
        <f t="shared" si="26"/>
        <v>-10.131637810609607</v>
      </c>
      <c r="G237" s="11">
        <f t="shared" si="27"/>
        <v>-10.122033729108713</v>
      </c>
    </row>
    <row r="238" spans="5:7" x14ac:dyDescent="0.25">
      <c r="E238" s="11">
        <f t="shared" si="25"/>
        <v>-104</v>
      </c>
      <c r="F238" s="11">
        <f t="shared" si="26"/>
        <v>-10.057693133348089</v>
      </c>
      <c r="G238" s="11">
        <f t="shared" si="27"/>
        <v>-10.050193399882518</v>
      </c>
    </row>
    <row r="239" spans="5:7" x14ac:dyDescent="0.25">
      <c r="E239" s="11">
        <f t="shared" si="25"/>
        <v>-103</v>
      </c>
      <c r="F239" s="11">
        <f t="shared" si="26"/>
        <v>-9.9815841669410332</v>
      </c>
      <c r="G239" s="11">
        <f t="shared" si="27"/>
        <v>-9.9767485215016958</v>
      </c>
    </row>
    <row r="240" spans="5:7" x14ac:dyDescent="0.25">
      <c r="E240" s="11">
        <f t="shared" si="25"/>
        <v>-102</v>
      </c>
      <c r="F240" s="11">
        <f t="shared" si="26"/>
        <v>-9.9032860923327597</v>
      </c>
      <c r="G240" s="11">
        <f t="shared" si="27"/>
        <v>-9.9015988096440815</v>
      </c>
    </row>
    <row r="241" spans="5:7" x14ac:dyDescent="0.25">
      <c r="E241" s="11">
        <f t="shared" si="25"/>
        <v>-101</v>
      </c>
      <c r="F241" s="11">
        <f t="shared" si="26"/>
        <v>-9.8227914846058351</v>
      </c>
      <c r="G241" s="11">
        <f t="shared" si="27"/>
        <v>-9.8246439799875134</v>
      </c>
    </row>
    <row r="242" spans="5:7" x14ac:dyDescent="0.25">
      <c r="E242" s="11">
        <f t="shared" si="25"/>
        <v>-100</v>
      </c>
      <c r="F242" s="11">
        <f t="shared" si="26"/>
        <v>-9.7401088231146318</v>
      </c>
      <c r="G242" s="11">
        <f t="shared" si="27"/>
        <v>-9.7457837482098277</v>
      </c>
    </row>
    <row r="243" spans="5:7" x14ac:dyDescent="0.25">
      <c r="E243" s="11">
        <f t="shared" si="25"/>
        <v>-99</v>
      </c>
      <c r="F243" s="11">
        <f t="shared" si="26"/>
        <v>-9.6552610689223286</v>
      </c>
      <c r="G243" s="11">
        <f t="shared" si="27"/>
        <v>-9.6649178299888572</v>
      </c>
    </row>
    <row r="244" spans="5:7" x14ac:dyDescent="0.25">
      <c r="E244" s="11">
        <f t="shared" si="25"/>
        <v>-98</v>
      </c>
      <c r="F244" s="11">
        <f t="shared" si="26"/>
        <v>-9.5682843078281792</v>
      </c>
      <c r="G244" s="11">
        <f t="shared" si="27"/>
        <v>-9.5819459410024415</v>
      </c>
    </row>
    <row r="245" spans="5:7" x14ac:dyDescent="0.25">
      <c r="E245" s="11">
        <f t="shared" si="25"/>
        <v>-97</v>
      </c>
      <c r="F245" s="11">
        <f t="shared" si="26"/>
        <v>-9.4792264572913876</v>
      </c>
      <c r="G245" s="11">
        <f t="shared" si="27"/>
        <v>-9.4967677969284132</v>
      </c>
    </row>
    <row r="246" spans="5:7" x14ac:dyDescent="0.25">
      <c r="E246" s="11">
        <f t="shared" si="25"/>
        <v>-96</v>
      </c>
      <c r="F246" s="11">
        <f t="shared" si="26"/>
        <v>-9.3881460355778223</v>
      </c>
      <c r="G246" s="11">
        <f t="shared" si="27"/>
        <v>-9.4092831134446087</v>
      </c>
    </row>
    <row r="247" spans="5:7" x14ac:dyDescent="0.25">
      <c r="E247" s="11">
        <f t="shared" si="25"/>
        <v>-95</v>
      </c>
      <c r="F247" s="11">
        <f t="shared" si="26"/>
        <v>-9.2951109914755072</v>
      </c>
      <c r="G247" s="11">
        <f t="shared" si="27"/>
        <v>-9.3193916062288675</v>
      </c>
    </row>
    <row r="248" spans="5:7" x14ac:dyDescent="0.25">
      <c r="E248" s="11">
        <f t="shared" si="25"/>
        <v>-94</v>
      </c>
      <c r="F248" s="11">
        <f t="shared" si="26"/>
        <v>-9.200197592944388</v>
      </c>
      <c r="G248" s="11">
        <f t="shared" si="27"/>
        <v>-9.2269929909590207</v>
      </c>
    </row>
    <row r="249" spans="5:7" x14ac:dyDescent="0.25">
      <c r="E249" s="11">
        <f t="shared" si="25"/>
        <v>-93</v>
      </c>
      <c r="F249" s="11">
        <f t="shared" si="26"/>
        <v>-9.1034893730857522</v>
      </c>
      <c r="G249" s="11">
        <f t="shared" si="27"/>
        <v>-9.1319869833129061</v>
      </c>
    </row>
    <row r="250" spans="5:7" x14ac:dyDescent="0.25">
      <c r="E250" s="11">
        <f t="shared" si="25"/>
        <v>-92</v>
      </c>
      <c r="F250" s="11">
        <f t="shared" si="26"/>
        <v>-9.0050761318363364</v>
      </c>
      <c r="G250" s="11">
        <f t="shared" si="27"/>
        <v>-9.0342732989683601</v>
      </c>
    </row>
    <row r="251" spans="5:7" x14ac:dyDescent="0.25">
      <c r="E251" s="11">
        <f t="shared" si="25"/>
        <v>-91</v>
      </c>
      <c r="F251" s="11">
        <f t="shared" si="26"/>
        <v>-8.9050529918118606</v>
      </c>
      <c r="G251" s="11">
        <f t="shared" si="27"/>
        <v>-8.9337516536032169</v>
      </c>
    </row>
    <row r="252" spans="5:7" x14ac:dyDescent="0.25">
      <c r="E252" s="11">
        <f t="shared" si="25"/>
        <v>-90</v>
      </c>
      <c r="F252" s="11">
        <f t="shared" si="26"/>
        <v>-8.8035195067444665</v>
      </c>
      <c r="G252" s="11">
        <f t="shared" si="27"/>
        <v>-8.8303217628953146</v>
      </c>
    </row>
    <row r="253" spans="5:7" x14ac:dyDescent="0.25">
      <c r="E253" s="11">
        <f t="shared" si="25"/>
        <v>-89</v>
      </c>
      <c r="F253" s="11">
        <f t="shared" si="26"/>
        <v>-8.7005788209782366</v>
      </c>
      <c r="G253" s="11">
        <f t="shared" si="27"/>
        <v>-8.7238833425224875</v>
      </c>
    </row>
    <row r="254" spans="5:7" x14ac:dyDescent="0.25">
      <c r="E254" s="11">
        <f t="shared" si="25"/>
        <v>-88</v>
      </c>
      <c r="F254" s="11">
        <f t="shared" si="26"/>
        <v>-8.5963368785067082</v>
      </c>
      <c r="G254" s="11">
        <f t="shared" si="27"/>
        <v>-8.614336108162572</v>
      </c>
    </row>
    <row r="255" spans="5:7" x14ac:dyDescent="0.25">
      <c r="E255" s="11">
        <f t="shared" si="25"/>
        <v>-87</v>
      </c>
      <c r="F255" s="11">
        <f t="shared" si="26"/>
        <v>-8.4909016800559733</v>
      </c>
      <c r="G255" s="11">
        <f t="shared" si="27"/>
        <v>-8.5015797754934042</v>
      </c>
    </row>
    <row r="256" spans="5:7" x14ac:dyDescent="0.25">
      <c r="E256" s="11">
        <f t="shared" si="25"/>
        <v>-86</v>
      </c>
      <c r="F256" s="11">
        <f t="shared" si="26"/>
        <v>-8.3843825867367237</v>
      </c>
      <c r="G256" s="11">
        <f t="shared" si="27"/>
        <v>-8.3855140601928184</v>
      </c>
    </row>
    <row r="257" spans="5:7" x14ac:dyDescent="0.25">
      <c r="E257" s="11">
        <f t="shared" si="25"/>
        <v>-85</v>
      </c>
      <c r="F257" s="11">
        <f t="shared" si="26"/>
        <v>-8.2768896688082858</v>
      </c>
      <c r="G257" s="11">
        <f t="shared" si="27"/>
        <v>-8.2660386779386528</v>
      </c>
    </row>
    <row r="258" spans="5:7" x14ac:dyDescent="0.25">
      <c r="E258" s="11">
        <f t="shared" si="25"/>
        <v>-84</v>
      </c>
      <c r="F258" s="11">
        <f t="shared" si="26"/>
        <v>-8.168533098117404</v>
      </c>
      <c r="G258" s="11">
        <f t="shared" si="27"/>
        <v>-8.1430533444087416</v>
      </c>
    </row>
    <row r="259" spans="5:7" x14ac:dyDescent="0.25">
      <c r="E259" s="11">
        <f t="shared" si="25"/>
        <v>-83</v>
      </c>
      <c r="F259" s="11">
        <f t="shared" si="26"/>
        <v>-8.0594225827942587</v>
      </c>
      <c r="G259" s="11">
        <f t="shared" si="27"/>
        <v>-8.0164577752809212</v>
      </c>
    </row>
    <row r="260" spans="5:7" x14ac:dyDescent="0.25">
      <c r="E260" s="11">
        <f t="shared" si="25"/>
        <v>-82</v>
      </c>
      <c r="F260" s="11">
        <f t="shared" si="26"/>
        <v>-7.9496668428079067</v>
      </c>
      <c r="G260" s="11">
        <f t="shared" si="27"/>
        <v>-7.8861516862330259</v>
      </c>
    </row>
    <row r="261" spans="5:7" x14ac:dyDescent="0.25">
      <c r="E261" s="11">
        <f t="shared" si="25"/>
        <v>-81</v>
      </c>
      <c r="F261" s="11">
        <f t="shared" si="26"/>
        <v>-7.8393731250031005</v>
      </c>
      <c r="G261" s="11">
        <f t="shared" si="27"/>
        <v>-7.7520347929428954</v>
      </c>
    </row>
    <row r="262" spans="5:7" x14ac:dyDescent="0.25">
      <c r="E262" s="11">
        <f t="shared" si="25"/>
        <v>-80</v>
      </c>
      <c r="F262" s="11">
        <f t="shared" si="26"/>
        <v>-7.7286467562600407</v>
      </c>
      <c r="G262" s="11">
        <f t="shared" si="27"/>
        <v>-7.6140068110883616</v>
      </c>
    </row>
    <row r="263" spans="5:7" x14ac:dyDescent="0.25">
      <c r="E263" s="11">
        <f t="shared" si="25"/>
        <v>-79</v>
      </c>
      <c r="F263" s="11">
        <f t="shared" si="26"/>
        <v>-7.6175907334384991</v>
      </c>
      <c r="G263" s="11">
        <f t="shared" si="27"/>
        <v>-7.5336012600480515</v>
      </c>
    </row>
    <row r="264" spans="5:7" x14ac:dyDescent="0.25">
      <c r="E264" s="11">
        <f t="shared" si="25"/>
        <v>-78</v>
      </c>
      <c r="F264" s="11">
        <f t="shared" si="26"/>
        <v>-7.5063053487873059</v>
      </c>
      <c r="G264" s="11">
        <f t="shared" si="27"/>
        <v>-7.4494274009929038</v>
      </c>
    </row>
    <row r="265" spans="5:7" x14ac:dyDescent="0.25">
      <c r="E265" s="11">
        <f t="shared" si="25"/>
        <v>-77</v>
      </c>
      <c r="F265" s="11">
        <f t="shared" si="26"/>
        <v>-7.3948878495200221</v>
      </c>
      <c r="G265" s="11">
        <f t="shared" si="27"/>
        <v>-7.3617282987946462</v>
      </c>
    </row>
    <row r="266" spans="5:7" x14ac:dyDescent="0.25">
      <c r="E266" s="11">
        <f t="shared" si="25"/>
        <v>-76</v>
      </c>
      <c r="F266" s="11">
        <f t="shared" si="26"/>
        <v>-7.2834321302772693</v>
      </c>
      <c r="G266" s="11">
        <f t="shared" si="27"/>
        <v>-7.2707470183250047</v>
      </c>
    </row>
    <row r="267" spans="5:7" x14ac:dyDescent="0.25">
      <c r="E267" s="11">
        <f t="shared" si="25"/>
        <v>-75</v>
      </c>
      <c r="F267" s="11">
        <f t="shared" si="26"/>
        <v>-7.1720284572159461</v>
      </c>
      <c r="G267" s="11">
        <f t="shared" si="27"/>
        <v>-7.1767266244557097</v>
      </c>
    </row>
    <row r="268" spans="5:7" x14ac:dyDescent="0.25">
      <c r="E268" s="11">
        <f t="shared" si="25"/>
        <v>-74</v>
      </c>
      <c r="F268" s="11">
        <f t="shared" si="26"/>
        <v>-7.0607632224852539</v>
      </c>
      <c r="G268" s="11">
        <f t="shared" si="27"/>
        <v>-7.0799101820584847</v>
      </c>
    </row>
    <row r="269" spans="5:7" x14ac:dyDescent="0.25">
      <c r="E269" s="11">
        <f t="shared" si="25"/>
        <v>-73</v>
      </c>
      <c r="F269" s="11">
        <f t="shared" si="26"/>
        <v>-6.9497187278691772</v>
      </c>
      <c r="G269" s="11">
        <f t="shared" si="27"/>
        <v>-6.9805407560050625</v>
      </c>
    </row>
    <row r="270" spans="5:7" x14ac:dyDescent="0.25">
      <c r="E270" s="11">
        <f t="shared" si="25"/>
        <v>-72</v>
      </c>
      <c r="F270" s="11">
        <f t="shared" si="26"/>
        <v>-6.8389729963947747</v>
      </c>
      <c r="G270" s="11">
        <f t="shared" si="27"/>
        <v>-6.8788614111671667</v>
      </c>
    </row>
    <row r="271" spans="5:7" x14ac:dyDescent="0.25">
      <c r="E271" s="11">
        <f t="shared" si="25"/>
        <v>-71</v>
      </c>
      <c r="F271" s="11">
        <f t="shared" si="26"/>
        <v>-6.7285996107253858</v>
      </c>
      <c r="G271" s="11">
        <f t="shared" si="27"/>
        <v>-6.7751152124165284</v>
      </c>
    </row>
    <row r="272" spans="5:7" x14ac:dyDescent="0.25">
      <c r="E272" s="11">
        <f t="shared" si="25"/>
        <v>-70</v>
      </c>
      <c r="F272" s="11">
        <f t="shared" si="26"/>
        <v>-6.618667577177491</v>
      </c>
      <c r="G272" s="11">
        <f t="shared" si="27"/>
        <v>-6.6695452246248728</v>
      </c>
    </row>
    <row r="273" spans="5:7" x14ac:dyDescent="0.25">
      <c r="E273" s="11">
        <f t="shared" si="25"/>
        <v>-69</v>
      </c>
      <c r="F273" s="11">
        <f t="shared" si="26"/>
        <v>-6.5092412142198182</v>
      </c>
      <c r="G273" s="11">
        <f t="shared" si="27"/>
        <v>-6.5623945126639285</v>
      </c>
    </row>
    <row r="274" spans="5:7" x14ac:dyDescent="0.25">
      <c r="E274" s="11">
        <f t="shared" si="25"/>
        <v>-68</v>
      </c>
      <c r="F274" s="11">
        <f t="shared" si="26"/>
        <v>-6.4003800643328299</v>
      </c>
      <c r="G274" s="11">
        <f t="shared" si="27"/>
        <v>-6.4539061414054224</v>
      </c>
    </row>
    <row r="275" spans="5:7" x14ac:dyDescent="0.25">
      <c r="E275" s="11">
        <f t="shared" si="25"/>
        <v>-67</v>
      </c>
      <c r="F275" s="11">
        <f t="shared" si="26"/>
        <v>-6.2921388281266148</v>
      </c>
      <c r="G275" s="11">
        <f t="shared" si="27"/>
        <v>-6.3443231757210832</v>
      </c>
    </row>
    <row r="276" spans="5:7" x14ac:dyDescent="0.25">
      <c r="E276" s="11">
        <f t="shared" si="25"/>
        <v>-66</v>
      </c>
      <c r="F276" s="11">
        <f t="shared" si="26"/>
        <v>-6.1845673196347946</v>
      </c>
      <c r="G276" s="11">
        <f t="shared" si="27"/>
        <v>-6.2338886804826394</v>
      </c>
    </row>
    <row r="277" spans="5:7" x14ac:dyDescent="0.25">
      <c r="E277" s="11">
        <f t="shared" si="25"/>
        <v>-65</v>
      </c>
      <c r="F277" s="11">
        <f t="shared" si="26"/>
        <v>-6.0777104417218357</v>
      </c>
      <c r="G277" s="11">
        <f t="shared" si="27"/>
        <v>-6.1228457205618172</v>
      </c>
    </row>
    <row r="278" spans="5:7" x14ac:dyDescent="0.25">
      <c r="E278" s="11">
        <f t="shared" si="25"/>
        <v>-64</v>
      </c>
      <c r="F278" s="11">
        <f t="shared" si="26"/>
        <v>-5.9716081805608709</v>
      </c>
      <c r="G278" s="11">
        <f t="shared" si="27"/>
        <v>-6.0114373608303442</v>
      </c>
    </row>
    <row r="279" spans="5:7" x14ac:dyDescent="0.25">
      <c r="E279" s="11">
        <f t="shared" si="25"/>
        <v>-63</v>
      </c>
      <c r="F279" s="11">
        <f t="shared" si="26"/>
        <v>-5.8662956181588113</v>
      </c>
      <c r="G279" s="11">
        <f t="shared" si="27"/>
        <v>-5.8999066661599491</v>
      </c>
    </row>
    <row r="280" spans="5:7" x14ac:dyDescent="0.25">
      <c r="E280" s="11">
        <f t="shared" si="25"/>
        <v>-62</v>
      </c>
      <c r="F280" s="11">
        <f t="shared" si="26"/>
        <v>-5.7618029619253077</v>
      </c>
      <c r="G280" s="11">
        <f t="shared" si="27"/>
        <v>-5.7884967014223587</v>
      </c>
    </row>
    <row r="281" spans="5:7" x14ac:dyDescent="0.25">
      <c r="E281" s="11">
        <f t="shared" si="25"/>
        <v>-61</v>
      </c>
      <c r="F281" s="11">
        <f t="shared" si="26"/>
        <v>-5.6581555903017708</v>
      </c>
      <c r="G281" s="11">
        <f t="shared" si="27"/>
        <v>-5.6774505314893009</v>
      </c>
    </row>
    <row r="282" spans="5:7" x14ac:dyDescent="0.25">
      <c r="E282" s="11">
        <f t="shared" si="25"/>
        <v>-60</v>
      </c>
      <c r="F282" s="11">
        <f t="shared" si="26"/>
        <v>-5.5553741134864261</v>
      </c>
      <c r="G282" s="11">
        <f t="shared" si="27"/>
        <v>-5.5670112212325051</v>
      </c>
    </row>
    <row r="283" spans="5:7" x14ac:dyDescent="0.25">
      <c r="E283" s="11">
        <f t="shared" si="25"/>
        <v>-59</v>
      </c>
      <c r="F283" s="11">
        <f t="shared" si="26"/>
        <v>-5.4534744483110789</v>
      </c>
      <c r="G283" s="11">
        <f t="shared" si="27"/>
        <v>-5.4574218355236965</v>
      </c>
    </row>
    <row r="284" spans="5:7" x14ac:dyDescent="0.25">
      <c r="E284" s="11">
        <f t="shared" si="25"/>
        <v>-58</v>
      </c>
      <c r="F284" s="11">
        <f t="shared" si="26"/>
        <v>-5.3524679063449607</v>
      </c>
      <c r="G284" s="11">
        <f t="shared" si="27"/>
        <v>-5.3489254392346046</v>
      </c>
    </row>
    <row r="285" spans="5:7" x14ac:dyDescent="0.25">
      <c r="E285" s="11">
        <f t="shared" si="25"/>
        <v>-57</v>
      </c>
      <c r="F285" s="11">
        <f t="shared" si="26"/>
        <v>-5.252361294320794</v>
      </c>
      <c r="G285" s="11">
        <f t="shared" si="27"/>
        <v>-5.2417650972369554</v>
      </c>
    </row>
    <row r="286" spans="5:7" x14ac:dyDescent="0.25">
      <c r="E286" s="11">
        <f t="shared" si="25"/>
        <v>-56</v>
      </c>
      <c r="F286" s="11">
        <f t="shared" si="26"/>
        <v>-5.1531570259978619</v>
      </c>
      <c r="G286" s="11">
        <f t="shared" si="27"/>
        <v>-5.1361838744024793</v>
      </c>
    </row>
    <row r="287" spans="5:7" x14ac:dyDescent="0.25">
      <c r="E287" s="11">
        <f t="shared" ref="E287:E350" si="28">E80</f>
        <v>-55</v>
      </c>
      <c r="F287" s="11">
        <f t="shared" ref="F287:F350" si="29">$H$217*0+E287*$I$217+E287^2*$J$217+E287^3*$K$217+E287^4*$L$217+E287^5*$M$217+E287^6*$N$217+E287^7*$O$217+E287^8*$P$217</f>
        <v>-5.0548532445966545</v>
      </c>
      <c r="G287" s="11">
        <f t="shared" ref="G287:G350" si="30">F80</f>
        <v>-5.0324248356029004</v>
      </c>
    </row>
    <row r="288" spans="5:7" x14ac:dyDescent="0.25">
      <c r="E288" s="11">
        <f t="shared" si="28"/>
        <v>-54</v>
      </c>
      <c r="F288" s="11">
        <f t="shared" si="29"/>
        <v>-4.9574439549593263</v>
      </c>
      <c r="G288" s="11">
        <f t="shared" si="30"/>
        <v>-4.9306730305112678</v>
      </c>
    </row>
    <row r="289" spans="5:7" x14ac:dyDescent="0.25">
      <c r="E289" s="11">
        <f t="shared" si="28"/>
        <v>-53</v>
      </c>
      <c r="F289" s="11">
        <f t="shared" si="29"/>
        <v>-4.8609191646099417</v>
      </c>
      <c r="G289" s="11">
        <f t="shared" si="30"/>
        <v>-4.8308814480058935</v>
      </c>
    </row>
    <row r="290" spans="5:7" x14ac:dyDescent="0.25">
      <c r="E290" s="11">
        <f t="shared" si="28"/>
        <v>-52</v>
      </c>
      <c r="F290" s="11">
        <f t="shared" si="29"/>
        <v>-4.7652650329081991</v>
      </c>
      <c r="G290" s="11">
        <f t="shared" si="30"/>
        <v>-4.7329450617664151</v>
      </c>
    </row>
    <row r="291" spans="5:7" x14ac:dyDescent="0.25">
      <c r="E291" s="11">
        <f t="shared" si="28"/>
        <v>-51</v>
      </c>
      <c r="F291" s="11">
        <f t="shared" si="29"/>
        <v>-4.6704640275100475</v>
      </c>
      <c r="G291" s="11">
        <f t="shared" si="30"/>
        <v>-4.6367588454724613</v>
      </c>
    </row>
    <row r="292" spans="5:7" x14ac:dyDescent="0.25">
      <c r="E292" s="11">
        <f t="shared" si="28"/>
        <v>-50</v>
      </c>
      <c r="F292" s="11">
        <f t="shared" si="29"/>
        <v>-4.5764950873682793</v>
      </c>
      <c r="G292" s="11">
        <f t="shared" si="30"/>
        <v>-4.5422177728036699</v>
      </c>
    </row>
    <row r="293" spans="5:7" x14ac:dyDescent="0.25">
      <c r="E293" s="11">
        <f t="shared" si="28"/>
        <v>-49</v>
      </c>
      <c r="F293" s="11">
        <f t="shared" si="29"/>
        <v>-4.4833337915259959</v>
      </c>
      <c r="G293" s="11">
        <f t="shared" si="30"/>
        <v>-4.4492168174396713</v>
      </c>
    </row>
    <row r="294" spans="5:7" x14ac:dyDescent="0.25">
      <c r="E294" s="11">
        <f t="shared" si="28"/>
        <v>-48</v>
      </c>
      <c r="F294" s="11">
        <f t="shared" si="29"/>
        <v>-4.3909525329754295</v>
      </c>
      <c r="G294" s="11">
        <f t="shared" si="30"/>
        <v>-4.3576509530601006</v>
      </c>
    </row>
    <row r="295" spans="5:7" x14ac:dyDescent="0.25">
      <c r="E295" s="11">
        <f t="shared" si="28"/>
        <v>-47</v>
      </c>
      <c r="F295" s="11">
        <f t="shared" si="29"/>
        <v>-4.2993206968744628</v>
      </c>
      <c r="G295" s="11">
        <f t="shared" si="30"/>
        <v>-4.267415153344591</v>
      </c>
    </row>
    <row r="296" spans="5:7" x14ac:dyDescent="0.25">
      <c r="E296" s="11">
        <f t="shared" si="28"/>
        <v>-46</v>
      </c>
      <c r="F296" s="11">
        <f t="shared" si="29"/>
        <v>-4.2084048424327598</v>
      </c>
      <c r="G296" s="11">
        <f t="shared" si="30"/>
        <v>-4.1784043919727747</v>
      </c>
    </row>
    <row r="297" spans="5:7" x14ac:dyDescent="0.25">
      <c r="E297" s="11">
        <f t="shared" si="28"/>
        <v>-45</v>
      </c>
      <c r="F297" s="11">
        <f t="shared" si="29"/>
        <v>-4.1181688877992846</v>
      </c>
      <c r="G297" s="11">
        <f t="shared" si="30"/>
        <v>-4.0905136426242867</v>
      </c>
    </row>
    <row r="298" spans="5:7" x14ac:dyDescent="0.25">
      <c r="E298" s="11">
        <f t="shared" si="28"/>
        <v>-44</v>
      </c>
      <c r="F298" s="11">
        <f t="shared" si="29"/>
        <v>-4.0285742973025505</v>
      </c>
      <c r="G298" s="11">
        <f t="shared" si="30"/>
        <v>-4.0036378789787594</v>
      </c>
    </row>
    <row r="299" spans="5:7" x14ac:dyDescent="0.25">
      <c r="E299" s="11">
        <f t="shared" si="28"/>
        <v>-43</v>
      </c>
      <c r="F299" s="11">
        <f t="shared" si="29"/>
        <v>-3.9395802704148006</v>
      </c>
      <c r="G299" s="11">
        <f t="shared" si="30"/>
        <v>-3.9176720747158269</v>
      </c>
    </row>
    <row r="300" spans="5:7" x14ac:dyDescent="0.25">
      <c r="E300" s="11">
        <f t="shared" si="28"/>
        <v>-42</v>
      </c>
      <c r="F300" s="11">
        <f t="shared" si="29"/>
        <v>-3.8511439318309231</v>
      </c>
      <c r="G300" s="11">
        <f t="shared" si="30"/>
        <v>-3.8325112035151219</v>
      </c>
    </row>
    <row r="301" spans="5:7" x14ac:dyDescent="0.25">
      <c r="E301" s="11">
        <f t="shared" si="28"/>
        <v>-41</v>
      </c>
      <c r="F301" s="11">
        <f t="shared" si="29"/>
        <v>-3.7632205220727033</v>
      </c>
      <c r="G301" s="11">
        <f t="shared" si="30"/>
        <v>-3.748050239056278</v>
      </c>
    </row>
    <row r="302" spans="5:7" x14ac:dyDescent="0.25">
      <c r="E302" s="11">
        <f t="shared" si="28"/>
        <v>-40</v>
      </c>
      <c r="F302" s="11">
        <f t="shared" si="29"/>
        <v>-3.6757635880486657</v>
      </c>
      <c r="G302" s="11">
        <f t="shared" si="30"/>
        <v>-3.6641841550189289</v>
      </c>
    </row>
    <row r="303" spans="5:7" x14ac:dyDescent="0.25">
      <c r="E303" s="11">
        <f t="shared" si="28"/>
        <v>-39</v>
      </c>
      <c r="F303" s="11">
        <f t="shared" si="29"/>
        <v>-3.5887251730195318</v>
      </c>
      <c r="G303" s="11">
        <f t="shared" si="30"/>
        <v>-3.5808079250827078</v>
      </c>
    </row>
    <row r="304" spans="5:7" x14ac:dyDescent="0.25">
      <c r="E304" s="11">
        <f t="shared" si="28"/>
        <v>-38</v>
      </c>
      <c r="F304" s="11">
        <f t="shared" si="29"/>
        <v>-3.5020560054389906</v>
      </c>
      <c r="G304" s="11">
        <f t="shared" si="30"/>
        <v>-3.4978165229272484</v>
      </c>
    </row>
    <row r="305" spans="5:7" x14ac:dyDescent="0.25">
      <c r="E305" s="11">
        <f t="shared" si="28"/>
        <v>-37</v>
      </c>
      <c r="F305" s="11">
        <f t="shared" si="29"/>
        <v>-3.4157056861592316</v>
      </c>
      <c r="G305" s="11">
        <f t="shared" si="30"/>
        <v>-3.4151049222321839</v>
      </c>
    </row>
    <row r="306" spans="5:7" x14ac:dyDescent="0.25">
      <c r="E306" s="11">
        <f t="shared" si="28"/>
        <v>-36</v>
      </c>
      <c r="F306" s="11">
        <f t="shared" si="29"/>
        <v>-3.3296228735103726</v>
      </c>
      <c r="G306" s="11">
        <f t="shared" si="30"/>
        <v>-3.3325680966771474</v>
      </c>
    </row>
    <row r="307" spans="5:7" x14ac:dyDescent="0.25">
      <c r="E307" s="11">
        <f t="shared" si="28"/>
        <v>-35</v>
      </c>
      <c r="F307" s="11">
        <f t="shared" si="29"/>
        <v>-3.2437554657826517</v>
      </c>
      <c r="G307" s="11">
        <f t="shared" si="30"/>
        <v>-3.2501010199417726</v>
      </c>
    </row>
    <row r="308" spans="5:7" x14ac:dyDescent="0.25">
      <c r="E308" s="11">
        <f t="shared" si="28"/>
        <v>-34</v>
      </c>
      <c r="F308" s="11">
        <f t="shared" si="29"/>
        <v>-3.1580507806599885</v>
      </c>
      <c r="G308" s="11">
        <f t="shared" si="30"/>
        <v>-3.1675986657056936</v>
      </c>
    </row>
    <row r="309" spans="5:7" x14ac:dyDescent="0.25">
      <c r="E309" s="11">
        <f t="shared" si="28"/>
        <v>-33</v>
      </c>
      <c r="F309" s="11">
        <f t="shared" si="29"/>
        <v>-3.0724557311731617</v>
      </c>
      <c r="G309" s="11">
        <f t="shared" si="30"/>
        <v>-3.0849560076485427</v>
      </c>
    </row>
    <row r="310" spans="5:7" x14ac:dyDescent="0.25">
      <c r="E310" s="11">
        <f t="shared" si="28"/>
        <v>-32</v>
      </c>
      <c r="F310" s="11">
        <f t="shared" si="29"/>
        <v>-2.9869169977606749</v>
      </c>
      <c r="G310" s="11">
        <f t="shared" si="30"/>
        <v>-3.0020680194499541</v>
      </c>
    </row>
    <row r="311" spans="5:7" x14ac:dyDescent="0.25">
      <c r="E311" s="11">
        <f t="shared" si="28"/>
        <v>-31</v>
      </c>
      <c r="F311" s="11">
        <f t="shared" si="29"/>
        <v>-2.9013811960449969</v>
      </c>
      <c r="G311" s="11">
        <f t="shared" si="30"/>
        <v>-2.9188296747895603</v>
      </c>
    </row>
    <row r="312" spans="5:7" x14ac:dyDescent="0.25">
      <c r="E312" s="11">
        <f t="shared" si="28"/>
        <v>-30</v>
      </c>
      <c r="F312" s="11">
        <f t="shared" si="29"/>
        <v>-2.8157950399516483</v>
      </c>
      <c r="G312" s="11">
        <f t="shared" si="30"/>
        <v>-2.8351359473469957</v>
      </c>
    </row>
    <row r="313" spans="5:7" x14ac:dyDescent="0.25">
      <c r="E313" s="11">
        <f t="shared" si="28"/>
        <v>-29</v>
      </c>
      <c r="F313" s="11">
        <f t="shared" si="29"/>
        <v>-2.730105499818285</v>
      </c>
      <c r="G313" s="11">
        <f t="shared" si="30"/>
        <v>-2.7508969352248065</v>
      </c>
    </row>
    <row r="314" spans="5:7" x14ac:dyDescent="0.25">
      <c r="E314" s="11">
        <f t="shared" si="28"/>
        <v>-28</v>
      </c>
      <c r="F314" s="11">
        <f t="shared" si="29"/>
        <v>-2.6442599551606643</v>
      </c>
      <c r="G314" s="11">
        <f t="shared" si="30"/>
        <v>-2.6660832342171923</v>
      </c>
    </row>
    <row r="315" spans="5:7" x14ac:dyDescent="0.25">
      <c r="E315" s="11">
        <f t="shared" si="28"/>
        <v>-27</v>
      </c>
      <c r="F315" s="11">
        <f t="shared" si="29"/>
        <v>-2.5582063417820908</v>
      </c>
      <c r="G315" s="11">
        <f t="shared" si="30"/>
        <v>-2.5806805645412663</v>
      </c>
    </row>
    <row r="316" spans="5:7" x14ac:dyDescent="0.25">
      <c r="E316" s="11">
        <f t="shared" si="28"/>
        <v>-26</v>
      </c>
      <c r="F316" s="11">
        <f t="shared" si="29"/>
        <v>-2.4718932929326378</v>
      </c>
      <c r="G316" s="11">
        <f t="shared" si="30"/>
        <v>-2.4946746464141412</v>
      </c>
    </row>
    <row r="317" spans="5:7" x14ac:dyDescent="0.25">
      <c r="E317" s="11">
        <f t="shared" si="28"/>
        <v>-25</v>
      </c>
      <c r="F317" s="11">
        <f t="shared" si="29"/>
        <v>-2.3852702742442013</v>
      </c>
      <c r="G317" s="11">
        <f t="shared" si="30"/>
        <v>-2.4080512000529306</v>
      </c>
    </row>
    <row r="318" spans="5:7" x14ac:dyDescent="0.25">
      <c r="E318" s="11">
        <f t="shared" si="28"/>
        <v>-24</v>
      </c>
      <c r="F318" s="11">
        <f t="shared" si="29"/>
        <v>-2.2982877121871037</v>
      </c>
      <c r="G318" s="11">
        <f t="shared" si="30"/>
        <v>-2.3207959456747465</v>
      </c>
    </row>
    <row r="319" spans="5:7" x14ac:dyDescent="0.25">
      <c r="E319" s="11">
        <f t="shared" si="28"/>
        <v>-23</v>
      </c>
      <c r="F319" s="11">
        <f t="shared" si="29"/>
        <v>-2.2108971158137214</v>
      </c>
      <c r="G319" s="11">
        <f t="shared" si="30"/>
        <v>-2.2328946034967019</v>
      </c>
    </row>
    <row r="320" spans="5:7" x14ac:dyDescent="0.25">
      <c r="E320" s="11">
        <f t="shared" si="28"/>
        <v>-22</v>
      </c>
      <c r="F320" s="11">
        <f t="shared" si="29"/>
        <v>-2.1230511915743149</v>
      </c>
      <c r="G320" s="11">
        <f t="shared" si="30"/>
        <v>-2.1443328937359105</v>
      </c>
    </row>
    <row r="321" spans="5:7" x14ac:dyDescent="0.25">
      <c r="E321" s="11">
        <f t="shared" si="28"/>
        <v>-21</v>
      </c>
      <c r="F321" s="11">
        <f t="shared" si="29"/>
        <v>-2.034703951009952</v>
      </c>
      <c r="G321" s="11">
        <f t="shared" si="30"/>
        <v>-2.0550965366094847</v>
      </c>
    </row>
    <row r="322" spans="5:7" x14ac:dyDescent="0.25">
      <c r="E322" s="11">
        <f t="shared" si="28"/>
        <v>-20</v>
      </c>
      <c r="F322" s="11">
        <f t="shared" si="29"/>
        <v>-1.9458108111471231</v>
      </c>
      <c r="G322" s="11">
        <f t="shared" si="30"/>
        <v>-1.9651712523345373</v>
      </c>
    </row>
    <row r="323" spans="5:7" x14ac:dyDescent="0.25">
      <c r="E323" s="11">
        <f t="shared" si="28"/>
        <v>-19</v>
      </c>
      <c r="F323" s="11">
        <f t="shared" si="29"/>
        <v>-1.8563286874383975</v>
      </c>
      <c r="G323" s="11">
        <f t="shared" si="30"/>
        <v>-1.8745427611281813</v>
      </c>
    </row>
    <row r="324" spans="5:7" x14ac:dyDescent="0.25">
      <c r="E324" s="11">
        <f t="shared" si="28"/>
        <v>-18</v>
      </c>
      <c r="F324" s="11">
        <f t="shared" si="29"/>
        <v>-1.7662160791131454</v>
      </c>
      <c r="G324" s="11">
        <f t="shared" si="30"/>
        <v>-1.7831967832075297</v>
      </c>
    </row>
    <row r="325" spans="5:7" x14ac:dyDescent="0.25">
      <c r="E325" s="11">
        <f t="shared" si="28"/>
        <v>-17</v>
      </c>
      <c r="F325" s="11">
        <f t="shared" si="29"/>
        <v>-1.6754331468220867</v>
      </c>
      <c r="G325" s="11">
        <f t="shared" si="30"/>
        <v>-1.6911190387896957</v>
      </c>
    </row>
    <row r="326" spans="5:7" x14ac:dyDescent="0.25">
      <c r="E326" s="11">
        <f t="shared" si="28"/>
        <v>-16</v>
      </c>
      <c r="F326" s="11">
        <f t="shared" si="29"/>
        <v>-1.5839417824791517</v>
      </c>
      <c r="G326" s="11">
        <f t="shared" si="30"/>
        <v>-1.598295248091792</v>
      </c>
    </row>
    <row r="327" spans="5:7" x14ac:dyDescent="0.25">
      <c r="E327" s="11">
        <f t="shared" si="28"/>
        <v>-15</v>
      </c>
      <c r="F327" s="11">
        <f t="shared" si="29"/>
        <v>-1.4917056712238261</v>
      </c>
      <c r="G327" s="11">
        <f t="shared" si="30"/>
        <v>-1.5047111313309316</v>
      </c>
    </row>
    <row r="328" spans="5:7" x14ac:dyDescent="0.25">
      <c r="E328" s="11">
        <f t="shared" si="28"/>
        <v>-14</v>
      </c>
      <c r="F328" s="11">
        <f t="shared" si="29"/>
        <v>-1.3986903454469153</v>
      </c>
      <c r="G328" s="11">
        <f t="shared" si="30"/>
        <v>-1.410352408724227</v>
      </c>
    </row>
    <row r="329" spans="5:7" x14ac:dyDescent="0.25">
      <c r="E329" s="11">
        <f t="shared" si="28"/>
        <v>-13</v>
      </c>
      <c r="F329" s="11">
        <f t="shared" si="29"/>
        <v>-1.3048632308423203</v>
      </c>
      <c r="G329" s="11">
        <f t="shared" si="30"/>
        <v>-1.3152048004887917</v>
      </c>
    </row>
    <row r="330" spans="5:7" x14ac:dyDescent="0.25">
      <c r="E330" s="11">
        <f t="shared" si="28"/>
        <v>-12</v>
      </c>
      <c r="F330" s="11">
        <f t="shared" si="29"/>
        <v>-1.2101936844671937</v>
      </c>
      <c r="G330" s="11">
        <f t="shared" si="30"/>
        <v>-1.2192540268417382</v>
      </c>
    </row>
    <row r="331" spans="5:7" x14ac:dyDescent="0.25">
      <c r="E331" s="11">
        <f t="shared" si="28"/>
        <v>-11</v>
      </c>
      <c r="F331" s="11">
        <f t="shared" si="29"/>
        <v>-1.114653024812513</v>
      </c>
      <c r="G331" s="11">
        <f t="shared" si="30"/>
        <v>-1.1224858080001798</v>
      </c>
    </row>
    <row r="332" spans="5:7" x14ac:dyDescent="0.25">
      <c r="E332" s="11">
        <f t="shared" si="28"/>
        <v>-10</v>
      </c>
      <c r="F332" s="11">
        <f t="shared" si="29"/>
        <v>-1.0182145539058554</v>
      </c>
      <c r="G332" s="11">
        <f t="shared" si="30"/>
        <v>-1.0248858641812295</v>
      </c>
    </row>
    <row r="333" spans="5:7" x14ac:dyDescent="0.25">
      <c r="E333" s="11">
        <f t="shared" si="28"/>
        <v>-9</v>
      </c>
      <c r="F333" s="11">
        <f t="shared" si="29"/>
        <v>-0.9208535714878554</v>
      </c>
      <c r="G333" s="11">
        <f t="shared" si="30"/>
        <v>-0.92643991560199968</v>
      </c>
    </row>
    <row r="334" spans="5:7" x14ac:dyDescent="0.25">
      <c r="E334" s="11">
        <f t="shared" si="28"/>
        <v>-8</v>
      </c>
      <c r="F334" s="11">
        <f t="shared" si="29"/>
        <v>-0.8225473813235572</v>
      </c>
      <c r="G334" s="11">
        <f t="shared" si="30"/>
        <v>-0.8271336824796035</v>
      </c>
    </row>
    <row r="335" spans="5:7" x14ac:dyDescent="0.25">
      <c r="E335" s="11">
        <f t="shared" si="28"/>
        <v>-7</v>
      </c>
      <c r="F335" s="11">
        <f t="shared" si="29"/>
        <v>-0.72327528972958077</v>
      </c>
      <c r="G335" s="11">
        <f t="shared" si="30"/>
        <v>-0.72695288503115418</v>
      </c>
    </row>
    <row r="336" spans="5:7" x14ac:dyDescent="0.25">
      <c r="E336" s="11">
        <f t="shared" si="28"/>
        <v>-6</v>
      </c>
      <c r="F336" s="11">
        <f t="shared" si="29"/>
        <v>-0.62301859641773927</v>
      </c>
      <c r="G336" s="11">
        <f t="shared" si="30"/>
        <v>-0.62588324347376423</v>
      </c>
    </row>
    <row r="337" spans="5:7" x14ac:dyDescent="0.25">
      <c r="E337" s="11">
        <f t="shared" si="28"/>
        <v>-5</v>
      </c>
      <c r="F337" s="11">
        <f t="shared" si="29"/>
        <v>-0.52176057777546114</v>
      </c>
      <c r="G337" s="11">
        <f t="shared" si="30"/>
        <v>-0.52391047802454693</v>
      </c>
    </row>
    <row r="338" spans="5:7" x14ac:dyDescent="0.25">
      <c r="E338" s="11">
        <f t="shared" si="28"/>
        <v>-4</v>
      </c>
      <c r="F338" s="11">
        <f t="shared" si="29"/>
        <v>-0.41948646272309359</v>
      </c>
      <c r="G338" s="11">
        <f t="shared" si="30"/>
        <v>-0.42102030890061498</v>
      </c>
    </row>
    <row r="339" spans="5:7" x14ac:dyDescent="0.25">
      <c r="E339" s="11">
        <f t="shared" si="28"/>
        <v>-3</v>
      </c>
      <c r="F339" s="11">
        <f t="shared" si="29"/>
        <v>-0.31618340130786632</v>
      </c>
      <c r="G339" s="11">
        <f t="shared" si="30"/>
        <v>-0.31719845631908139</v>
      </c>
    </row>
    <row r="340" spans="5:7" x14ac:dyDescent="0.25">
      <c r="E340" s="11">
        <f t="shared" si="28"/>
        <v>-2</v>
      </c>
      <c r="F340" s="11">
        <f t="shared" si="29"/>
        <v>-0.21184042621402438</v>
      </c>
      <c r="G340" s="11">
        <f t="shared" si="30"/>
        <v>-0.21243064049705906</v>
      </c>
    </row>
    <row r="341" spans="5:7" x14ac:dyDescent="0.25">
      <c r="E341" s="11">
        <f t="shared" si="28"/>
        <v>-1</v>
      </c>
      <c r="F341" s="11">
        <f t="shared" si="29"/>
        <v>-0.10644840738834903</v>
      </c>
      <c r="G341" s="11">
        <f t="shared" si="30"/>
        <v>-0.10670258165166097</v>
      </c>
    </row>
    <row r="342" spans="5:7" x14ac:dyDescent="0.25">
      <c r="E342" s="11">
        <f t="shared" si="28"/>
        <v>0</v>
      </c>
      <c r="F342" s="11">
        <f t="shared" si="29"/>
        <v>0</v>
      </c>
      <c r="G342" s="11">
        <f t="shared" si="30"/>
        <v>0</v>
      </c>
    </row>
    <row r="343" spans="5:7" x14ac:dyDescent="0.25">
      <c r="E343" s="11">
        <f t="shared" si="28"/>
        <v>1</v>
      </c>
      <c r="F343" s="11">
        <f t="shared" si="29"/>
        <v>0.10751041402666521</v>
      </c>
      <c r="G343" s="11">
        <f t="shared" si="30"/>
        <v>0.10768898305695912</v>
      </c>
    </row>
    <row r="344" spans="5:7" x14ac:dyDescent="0.25">
      <c r="E344" s="11">
        <f t="shared" si="28"/>
        <v>2</v>
      </c>
      <c r="F344" s="11">
        <f t="shared" si="29"/>
        <v>0.21608679064792874</v>
      </c>
      <c r="G344" s="11">
        <f t="shared" si="30"/>
        <v>0.21636664138284467</v>
      </c>
    </row>
    <row r="345" spans="5:7" x14ac:dyDescent="0.25">
      <c r="E345" s="11">
        <f t="shared" si="28"/>
        <v>3</v>
      </c>
      <c r="F345" s="11">
        <f t="shared" si="29"/>
        <v>0.32573149422712061</v>
      </c>
      <c r="G345" s="11">
        <f t="shared" si="30"/>
        <v>0.32603284765743296</v>
      </c>
    </row>
    <row r="346" spans="5:7" x14ac:dyDescent="0.25">
      <c r="E346" s="11">
        <f t="shared" si="28"/>
        <v>4</v>
      </c>
      <c r="F346" s="11">
        <f t="shared" si="29"/>
        <v>0.43644537365379682</v>
      </c>
      <c r="G346" s="11">
        <f t="shared" si="30"/>
        <v>0.4366874745605005</v>
      </c>
    </row>
    <row r="347" spans="5:7" x14ac:dyDescent="0.25">
      <c r="E347" s="11">
        <f t="shared" si="28"/>
        <v>5</v>
      </c>
      <c r="F347" s="11">
        <f t="shared" si="29"/>
        <v>0.54822784373816968</v>
      </c>
      <c r="G347" s="11">
        <f t="shared" si="30"/>
        <v>0.54833039477182366</v>
      </c>
    </row>
    <row r="348" spans="5:7" x14ac:dyDescent="0.25">
      <c r="E348" s="11">
        <f t="shared" si="28"/>
        <v>6</v>
      </c>
      <c r="F348" s="11">
        <f t="shared" si="29"/>
        <v>0.66107697154355671</v>
      </c>
      <c r="G348" s="11">
        <f t="shared" si="30"/>
        <v>0.66096148097117902</v>
      </c>
    </row>
    <row r="349" spans="5:7" x14ac:dyDescent="0.25">
      <c r="E349" s="11">
        <f t="shared" si="28"/>
        <v>7</v>
      </c>
      <c r="F349" s="11">
        <f t="shared" si="29"/>
        <v>0.77498956729989776</v>
      </c>
      <c r="G349" s="11">
        <f t="shared" si="30"/>
        <v>0.77458060583834276</v>
      </c>
    </row>
    <row r="350" spans="5:7" x14ac:dyDescent="0.25">
      <c r="E350" s="11">
        <f t="shared" si="28"/>
        <v>8</v>
      </c>
      <c r="F350" s="11">
        <f t="shared" si="29"/>
        <v>0.88996127952167459</v>
      </c>
      <c r="G350" s="11">
        <f t="shared" si="30"/>
        <v>0.88918764205309153</v>
      </c>
    </row>
    <row r="351" spans="5:7" x14ac:dyDescent="0.25">
      <c r="E351" s="11">
        <f t="shared" ref="E351:E414" si="31">E144</f>
        <v>9</v>
      </c>
      <c r="F351" s="11">
        <f t="shared" ref="F351:F414" si="32">$H$217*0+E351*$I$217+E351^2*$J$217+E351^3*$K$217+E351^4*$L$217+E351^5*$M$217+E351^6*$N$217+E351^7*$O$217+E351^8*$P$217</f>
        <v>1.0059866939338484</v>
      </c>
      <c r="G351" s="11">
        <f t="shared" ref="G351:G414" si="33">F144</f>
        <v>1.0047824622952017</v>
      </c>
    </row>
    <row r="352" spans="5:7" x14ac:dyDescent="0.25">
      <c r="E352" s="11">
        <f t="shared" si="31"/>
        <v>10</v>
      </c>
      <c r="F352" s="11">
        <f t="shared" si="32"/>
        <v>1.123059435789719</v>
      </c>
      <c r="G352" s="11">
        <f t="shared" si="33"/>
        <v>1.1213649392444496</v>
      </c>
    </row>
    <row r="353" spans="5:7" x14ac:dyDescent="0.25">
      <c r="E353" s="11">
        <f t="shared" si="31"/>
        <v>11</v>
      </c>
      <c r="F353" s="11">
        <f t="shared" si="32"/>
        <v>1.2411722751448875</v>
      </c>
      <c r="G353" s="11">
        <f t="shared" si="33"/>
        <v>1.2389349455806118</v>
      </c>
    </row>
    <row r="354" spans="5:7" x14ac:dyDescent="0.25">
      <c r="E354" s="11">
        <f t="shared" si="31"/>
        <v>12</v>
      </c>
      <c r="F354" s="11">
        <f t="shared" si="32"/>
        <v>1.3603172346317931</v>
      </c>
      <c r="G354" s="11">
        <f t="shared" si="33"/>
        <v>1.3574923539834647</v>
      </c>
    </row>
    <row r="355" spans="5:7" x14ac:dyDescent="0.25">
      <c r="E355" s="11">
        <f t="shared" si="31"/>
        <v>13</v>
      </c>
      <c r="F355" s="11">
        <f t="shared" si="32"/>
        <v>1.4804856992595739</v>
      </c>
      <c r="G355" s="11">
        <f t="shared" si="33"/>
        <v>1.4770370371327846</v>
      </c>
    </row>
    <row r="356" spans="5:7" x14ac:dyDescent="0.25">
      <c r="E356" s="11">
        <f t="shared" si="31"/>
        <v>14</v>
      </c>
      <c r="F356" s="11">
        <f t="shared" si="32"/>
        <v>1.6016685277442892</v>
      </c>
      <c r="G356" s="11">
        <f t="shared" si="33"/>
        <v>1.5975688677083479</v>
      </c>
    </row>
    <row r="357" spans="5:7" x14ac:dyDescent="0.25">
      <c r="E357" s="11">
        <f t="shared" si="31"/>
        <v>15</v>
      </c>
      <c r="F357" s="11">
        <f t="shared" si="32"/>
        <v>1.7238561648548221</v>
      </c>
      <c r="G357" s="11">
        <f t="shared" si="33"/>
        <v>1.7190877183899314</v>
      </c>
    </row>
    <row r="358" spans="5:7" x14ac:dyDescent="0.25">
      <c r="E358" s="11">
        <f t="shared" si="31"/>
        <v>16</v>
      </c>
      <c r="F358" s="11">
        <f t="shared" si="32"/>
        <v>1.8470387542400648</v>
      </c>
      <c r="G358" s="11">
        <f t="shared" si="33"/>
        <v>1.8415934618573111</v>
      </c>
    </row>
    <row r="359" spans="5:7" x14ac:dyDescent="0.25">
      <c r="E359" s="11">
        <f t="shared" si="31"/>
        <v>17</v>
      </c>
      <c r="F359" s="11">
        <f t="shared" si="32"/>
        <v>1.9712062511832762</v>
      </c>
      <c r="G359" s="11">
        <f t="shared" si="33"/>
        <v>1.9650859707902637</v>
      </c>
    </row>
    <row r="360" spans="5:7" x14ac:dyDescent="0.25">
      <c r="E360" s="11">
        <f t="shared" si="31"/>
        <v>18</v>
      </c>
      <c r="F360" s="11">
        <f t="shared" si="32"/>
        <v>2.0963485347097732</v>
      </c>
      <c r="G360" s="11">
        <f t="shared" si="33"/>
        <v>2.0895651178685659</v>
      </c>
    </row>
    <row r="361" spans="5:7" x14ac:dyDescent="0.25">
      <c r="E361" s="11">
        <f t="shared" si="31"/>
        <v>19</v>
      </c>
      <c r="F361" s="11">
        <f t="shared" si="32"/>
        <v>2.2224555184544288</v>
      </c>
      <c r="G361" s="11">
        <f t="shared" si="33"/>
        <v>2.2150307757719934</v>
      </c>
    </row>
    <row r="362" spans="5:7" x14ac:dyDescent="0.25">
      <c r="E362" s="11">
        <f t="shared" si="31"/>
        <v>20</v>
      </c>
      <c r="F362" s="11">
        <f t="shared" si="32"/>
        <v>2.3495172596756917</v>
      </c>
      <c r="G362" s="11">
        <f t="shared" si="33"/>
        <v>2.341482817180323</v>
      </c>
    </row>
    <row r="363" spans="5:7" x14ac:dyDescent="0.25">
      <c r="E363" s="11">
        <f t="shared" si="31"/>
        <v>21</v>
      </c>
      <c r="F363" s="11">
        <f t="shared" si="32"/>
        <v>2.4775240657831628</v>
      </c>
      <c r="G363" s="11">
        <f t="shared" si="33"/>
        <v>2.4689211147733308</v>
      </c>
    </row>
    <row r="364" spans="5:7" x14ac:dyDescent="0.25">
      <c r="E364" s="11">
        <f t="shared" si="31"/>
        <v>22</v>
      </c>
      <c r="F364" s="11">
        <f t="shared" si="32"/>
        <v>2.6064665977260368</v>
      </c>
      <c r="G364" s="11">
        <f t="shared" si="33"/>
        <v>2.5973455412307942</v>
      </c>
    </row>
    <row r="365" spans="5:7" x14ac:dyDescent="0.25">
      <c r="E365" s="11">
        <f t="shared" si="31"/>
        <v>23</v>
      </c>
      <c r="F365" s="11">
        <f t="shared" si="32"/>
        <v>2.7363359695699838</v>
      </c>
      <c r="G365" s="11">
        <f t="shared" si="33"/>
        <v>2.7267559692324892</v>
      </c>
    </row>
    <row r="366" spans="5:7" x14ac:dyDescent="0.25">
      <c r="E366" s="11">
        <f t="shared" si="31"/>
        <v>24</v>
      </c>
      <c r="F366" s="11">
        <f t="shared" si="32"/>
        <v>2.8671238435703583</v>
      </c>
      <c r="G366" s="11">
        <f t="shared" si="33"/>
        <v>2.8571522714581912</v>
      </c>
    </row>
    <row r="367" spans="5:7" x14ac:dyDescent="0.25">
      <c r="E367" s="11">
        <f t="shared" si="31"/>
        <v>25</v>
      </c>
      <c r="F367" s="11">
        <f t="shared" si="32"/>
        <v>2.9988225200298824</v>
      </c>
      <c r="G367" s="11">
        <f t="shared" si="33"/>
        <v>2.9885343205876778</v>
      </c>
    </row>
    <row r="368" spans="5:7" x14ac:dyDescent="0.25">
      <c r="E368" s="11">
        <f t="shared" si="31"/>
        <v>26</v>
      </c>
      <c r="F368" s="11">
        <f t="shared" si="32"/>
        <v>3.1314250212092478</v>
      </c>
      <c r="G368" s="11">
        <f t="shared" si="33"/>
        <v>3.1209019893007253</v>
      </c>
    </row>
    <row r="369" spans="5:7" x14ac:dyDescent="0.25">
      <c r="E369" s="11">
        <f t="shared" si="31"/>
        <v>27</v>
      </c>
      <c r="F369" s="11">
        <f t="shared" si="32"/>
        <v>3.2649251685393557</v>
      </c>
      <c r="G369" s="11">
        <f t="shared" si="33"/>
        <v>3.25425515027711</v>
      </c>
    </row>
    <row r="370" spans="5:7" x14ac:dyDescent="0.25">
      <c r="E370" s="11">
        <f t="shared" si="31"/>
        <v>28</v>
      </c>
      <c r="F370" s="11">
        <f t="shared" si="32"/>
        <v>3.3993176523642097</v>
      </c>
      <c r="G370" s="11">
        <f t="shared" si="33"/>
        <v>3.3885936761966078</v>
      </c>
    </row>
    <row r="371" spans="5:7" x14ac:dyDescent="0.25">
      <c r="E371" s="11">
        <f t="shared" si="31"/>
        <v>29</v>
      </c>
      <c r="F371" s="11">
        <f t="shared" si="32"/>
        <v>3.5345980934237455</v>
      </c>
      <c r="G371" s="11">
        <f t="shared" si="33"/>
        <v>3.5239174397389954</v>
      </c>
    </row>
    <row r="372" spans="5:7" x14ac:dyDescent="0.25">
      <c r="E372" s="11">
        <f t="shared" si="31"/>
        <v>30</v>
      </c>
      <c r="F372" s="11">
        <f t="shared" si="32"/>
        <v>3.6707630952661749</v>
      </c>
      <c r="G372" s="11">
        <f t="shared" si="33"/>
        <v>3.66022631358405</v>
      </c>
    </row>
    <row r="373" spans="5:7" x14ac:dyDescent="0.25">
      <c r="E373" s="11">
        <f t="shared" si="31"/>
        <v>31</v>
      </c>
      <c r="F373" s="11">
        <f t="shared" si="32"/>
        <v>3.8078102867597012</v>
      </c>
      <c r="G373" s="11">
        <f t="shared" si="33"/>
        <v>3.7975201704115475</v>
      </c>
    </row>
    <row r="374" spans="5:7" x14ac:dyDescent="0.25">
      <c r="E374" s="11">
        <f t="shared" si="31"/>
        <v>32</v>
      </c>
      <c r="F374" s="11">
        <f t="shared" si="32"/>
        <v>3.9457383538537556</v>
      </c>
      <c r="G374" s="11">
        <f t="shared" si="33"/>
        <v>3.9357988829012638</v>
      </c>
    </row>
    <row r="375" spans="5:7" x14ac:dyDescent="0.25">
      <c r="E375" s="11">
        <f t="shared" si="31"/>
        <v>33</v>
      </c>
      <c r="F375" s="11">
        <f t="shared" si="32"/>
        <v>4.0845470597201663</v>
      </c>
      <c r="G375" s="11">
        <f t="shared" si="33"/>
        <v>4.0750623237329764</v>
      </c>
    </row>
    <row r="376" spans="5:7" x14ac:dyDescent="0.25">
      <c r="E376" s="11">
        <f t="shared" si="31"/>
        <v>34</v>
      </c>
      <c r="F376" s="11">
        <f t="shared" si="32"/>
        <v>4.2242372523849809</v>
      </c>
      <c r="G376" s="11">
        <f t="shared" si="33"/>
        <v>4.2153103655864603</v>
      </c>
    </row>
    <row r="377" spans="5:7" x14ac:dyDescent="0.25">
      <c r="E377" s="11">
        <f t="shared" si="31"/>
        <v>35</v>
      </c>
      <c r="F377" s="11">
        <f t="shared" si="32"/>
        <v>4.3648108589419401</v>
      </c>
      <c r="G377" s="11">
        <f t="shared" si="33"/>
        <v>4.3565428811414941</v>
      </c>
    </row>
    <row r="378" spans="5:7" x14ac:dyDescent="0.25">
      <c r="E378" s="11">
        <f t="shared" si="31"/>
        <v>36</v>
      </c>
      <c r="F378" s="11">
        <f t="shared" si="32"/>
        <v>4.5062708654188546</v>
      </c>
      <c r="G378" s="11">
        <f t="shared" si="33"/>
        <v>4.4987597430778514</v>
      </c>
    </row>
    <row r="379" spans="5:7" x14ac:dyDescent="0.25">
      <c r="E379" s="11">
        <f t="shared" si="31"/>
        <v>37</v>
      </c>
      <c r="F379" s="11">
        <f t="shared" si="32"/>
        <v>4.6486212813484808</v>
      </c>
      <c r="G379" s="11">
        <f t="shared" si="33"/>
        <v>4.6419608240753103</v>
      </c>
    </row>
    <row r="380" spans="5:7" x14ac:dyDescent="0.25">
      <c r="E380" s="11">
        <f t="shared" si="31"/>
        <v>38</v>
      </c>
      <c r="F380" s="11">
        <f t="shared" si="32"/>
        <v>4.791867088075711</v>
      </c>
      <c r="G380" s="11">
        <f t="shared" si="33"/>
        <v>4.7861459968136479</v>
      </c>
    </row>
    <row r="381" spans="5:7" x14ac:dyDescent="0.25">
      <c r="E381" s="11">
        <f t="shared" si="31"/>
        <v>39</v>
      </c>
      <c r="F381" s="11">
        <f t="shared" si="32"/>
        <v>4.9360141698132241</v>
      </c>
      <c r="G381" s="11">
        <f t="shared" si="33"/>
        <v>4.9313151339726398</v>
      </c>
    </row>
    <row r="382" spans="5:7" x14ac:dyDescent="0.25">
      <c r="E382" s="11">
        <f t="shared" si="31"/>
        <v>40</v>
      </c>
      <c r="F382" s="11">
        <f t="shared" si="32"/>
        <v>5.0810692264379913</v>
      </c>
      <c r="G382" s="11">
        <f t="shared" si="33"/>
        <v>5.0774681082320612</v>
      </c>
    </row>
    <row r="383" spans="5:7" x14ac:dyDescent="0.25">
      <c r="E383" s="11">
        <f t="shared" si="31"/>
        <v>41</v>
      </c>
      <c r="F383" s="11">
        <f t="shared" si="32"/>
        <v>5.2270396670013604</v>
      </c>
      <c r="G383" s="11">
        <f t="shared" si="33"/>
        <v>5.2246047922716903</v>
      </c>
    </row>
    <row r="384" spans="5:7" x14ac:dyDescent="0.25">
      <c r="E384" s="11">
        <f t="shared" si="31"/>
        <v>42</v>
      </c>
      <c r="F384" s="11">
        <f t="shared" si="32"/>
        <v>5.3739334829056515</v>
      </c>
      <c r="G384" s="11">
        <f t="shared" si="33"/>
        <v>5.3727250587713034</v>
      </c>
    </row>
    <row r="385" spans="5:7" x14ac:dyDescent="0.25">
      <c r="E385" s="11">
        <f t="shared" si="31"/>
        <v>43</v>
      </c>
      <c r="F385" s="11">
        <f t="shared" si="32"/>
        <v>5.5217590996805859</v>
      </c>
      <c r="G385" s="11">
        <f t="shared" si="33"/>
        <v>5.5218287804106767</v>
      </c>
    </row>
    <row r="386" spans="5:7" x14ac:dyDescent="0.25">
      <c r="E386" s="11">
        <f t="shared" si="31"/>
        <v>44</v>
      </c>
      <c r="F386" s="11">
        <f t="shared" si="32"/>
        <v>5.6705252062730453</v>
      </c>
      <c r="G386" s="11">
        <f t="shared" si="33"/>
        <v>5.6719158298695858</v>
      </c>
    </row>
    <row r="387" spans="5:7" x14ac:dyDescent="0.25">
      <c r="E387" s="11">
        <f t="shared" si="31"/>
        <v>45</v>
      </c>
      <c r="F387" s="11">
        <f t="shared" si="32"/>
        <v>5.820240560744014</v>
      </c>
      <c r="G387" s="11">
        <f t="shared" si="33"/>
        <v>5.8229860798278077</v>
      </c>
    </row>
    <row r="388" spans="5:7" x14ac:dyDescent="0.25">
      <c r="E388" s="11">
        <f t="shared" si="31"/>
        <v>46</v>
      </c>
      <c r="F388" s="11">
        <f t="shared" si="32"/>
        <v>5.9709137712468108</v>
      </c>
      <c r="G388" s="11">
        <f t="shared" si="33"/>
        <v>5.9750347428843043</v>
      </c>
    </row>
    <row r="389" spans="5:7" x14ac:dyDescent="0.25">
      <c r="E389" s="11">
        <f t="shared" si="31"/>
        <v>47</v>
      </c>
      <c r="F389" s="11">
        <f t="shared" si="32"/>
        <v>6.1225530511410193</v>
      </c>
      <c r="G389" s="11">
        <f t="shared" si="33"/>
        <v>6.1280383913147718</v>
      </c>
    </row>
    <row r="390" spans="5:7" x14ac:dyDescent="0.25">
      <c r="E390" s="11">
        <f t="shared" si="31"/>
        <v>48</v>
      </c>
      <c r="F390" s="11">
        <f t="shared" si="32"/>
        <v>6.2751659470767853</v>
      </c>
      <c r="G390" s="11">
        <f t="shared" si="33"/>
        <v>6.2819689373140966</v>
      </c>
    </row>
    <row r="391" spans="5:7" x14ac:dyDescent="0.25">
      <c r="E391" s="11">
        <f t="shared" si="31"/>
        <v>49</v>
      </c>
      <c r="F391" s="11">
        <f t="shared" si="32"/>
        <v>6.428759038864448</v>
      </c>
      <c r="G391" s="11">
        <f t="shared" si="33"/>
        <v>6.4367982930771586</v>
      </c>
    </row>
    <row r="392" spans="5:7" x14ac:dyDescent="0.25">
      <c r="E392" s="11">
        <f t="shared" si="31"/>
        <v>50</v>
      </c>
      <c r="F392" s="11">
        <f t="shared" si="32"/>
        <v>6.5833376099247616</v>
      </c>
      <c r="G392" s="11">
        <f t="shared" si="33"/>
        <v>6.5924983707988432</v>
      </c>
    </row>
    <row r="393" spans="5:7" x14ac:dyDescent="0.25">
      <c r="E393" s="11">
        <f t="shared" si="31"/>
        <v>51</v>
      </c>
      <c r="F393" s="11">
        <f t="shared" si="32"/>
        <v>6.7389052870952257</v>
      </c>
      <c r="G393" s="11">
        <f t="shared" si="33"/>
        <v>6.7490410826740339</v>
      </c>
    </row>
    <row r="394" spans="5:7" x14ac:dyDescent="0.25">
      <c r="E394" s="11">
        <f t="shared" si="31"/>
        <v>52</v>
      </c>
      <c r="F394" s="11">
        <f t="shared" si="32"/>
        <v>6.8954636485483674</v>
      </c>
      <c r="G394" s="11">
        <f t="shared" si="33"/>
        <v>6.9063983408976117</v>
      </c>
    </row>
    <row r="395" spans="5:7" x14ac:dyDescent="0.25">
      <c r="E395" s="11">
        <f t="shared" si="31"/>
        <v>53</v>
      </c>
      <c r="F395" s="11">
        <f t="shared" si="32"/>
        <v>7.053011798558031</v>
      </c>
      <c r="G395" s="11">
        <f t="shared" si="33"/>
        <v>7.064542057664462</v>
      </c>
    </row>
    <row r="396" spans="5:7" x14ac:dyDescent="0.25">
      <c r="E396" s="11">
        <f t="shared" si="31"/>
        <v>54</v>
      </c>
      <c r="F396" s="11">
        <f t="shared" si="32"/>
        <v>7.2115459078301063</v>
      </c>
      <c r="G396" s="11">
        <f t="shared" si="33"/>
        <v>7.2234441451694646</v>
      </c>
    </row>
    <row r="397" spans="5:7" x14ac:dyDescent="0.25">
      <c r="E397" s="11">
        <f t="shared" si="31"/>
        <v>55</v>
      </c>
      <c r="F397" s="11">
        <f t="shared" si="32"/>
        <v>7.3710587180943277</v>
      </c>
      <c r="G397" s="11">
        <f t="shared" si="33"/>
        <v>7.3830765156075069</v>
      </c>
    </row>
    <row r="398" spans="5:7" x14ac:dyDescent="0.25">
      <c r="E398" s="11">
        <f t="shared" si="31"/>
        <v>56</v>
      </c>
      <c r="F398" s="11">
        <f t="shared" si="32"/>
        <v>7.5315390096341126</v>
      </c>
      <c r="G398" s="11">
        <f t="shared" si="33"/>
        <v>7.5434110811734705</v>
      </c>
    </row>
    <row r="399" spans="5:7" x14ac:dyDescent="0.25">
      <c r="E399" s="11">
        <f t="shared" si="31"/>
        <v>57</v>
      </c>
      <c r="F399" s="11">
        <f t="shared" si="32"/>
        <v>7.6929710304116696</v>
      </c>
      <c r="G399" s="11">
        <f t="shared" si="33"/>
        <v>7.7044197540622363</v>
      </c>
    </row>
    <row r="400" spans="5:7" x14ac:dyDescent="0.25">
      <c r="E400" s="11">
        <f t="shared" si="31"/>
        <v>58</v>
      </c>
      <c r="F400" s="11">
        <f t="shared" si="32"/>
        <v>7.8553338854258934</v>
      </c>
      <c r="G400" s="11">
        <f t="shared" si="33"/>
        <v>7.8660744464686907</v>
      </c>
    </row>
    <row r="401" spans="5:7" x14ac:dyDescent="0.25">
      <c r="E401" s="11">
        <f t="shared" si="31"/>
        <v>59</v>
      </c>
      <c r="F401" s="11">
        <f t="shared" si="32"/>
        <v>8.0186008849208328</v>
      </c>
      <c r="G401" s="11">
        <f t="shared" si="33"/>
        <v>8.0283470705877154</v>
      </c>
    </row>
    <row r="402" spans="5:7" x14ac:dyDescent="0.25">
      <c r="E402" s="11">
        <f t="shared" si="31"/>
        <v>60</v>
      </c>
      <c r="F402" s="11">
        <f t="shared" si="32"/>
        <v>8.1827388500428704</v>
      </c>
      <c r="G402" s="11">
        <f t="shared" si="33"/>
        <v>8.1912095386141939</v>
      </c>
    </row>
    <row r="403" spans="5:7" x14ac:dyDescent="0.25">
      <c r="E403" s="11">
        <f t="shared" si="31"/>
        <v>61</v>
      </c>
      <c r="F403" s="11">
        <f t="shared" si="32"/>
        <v>8.3477073745249015</v>
      </c>
      <c r="G403" s="11">
        <f t="shared" si="33"/>
        <v>8.3546337627430098</v>
      </c>
    </row>
    <row r="404" spans="5:7" x14ac:dyDescent="0.25">
      <c r="E404" s="11">
        <f t="shared" si="31"/>
        <v>62</v>
      </c>
      <c r="F404" s="11">
        <f t="shared" si="32"/>
        <v>8.5134580409562535</v>
      </c>
      <c r="G404" s="11">
        <f t="shared" si="33"/>
        <v>8.5185916551690433</v>
      </c>
    </row>
    <row r="405" spans="5:7" x14ac:dyDescent="0.25">
      <c r="E405" s="11">
        <f t="shared" si="31"/>
        <v>63</v>
      </c>
      <c r="F405" s="11">
        <f t="shared" si="32"/>
        <v>8.6799335901771837</v>
      </c>
      <c r="G405" s="11">
        <f t="shared" si="33"/>
        <v>8.6830551280871813</v>
      </c>
    </row>
    <row r="406" spans="5:7" x14ac:dyDescent="0.25">
      <c r="E406" s="11">
        <f t="shared" si="31"/>
        <v>64</v>
      </c>
      <c r="F406" s="11">
        <f t="shared" si="32"/>
        <v>8.8470670423172919</v>
      </c>
      <c r="G406" s="11">
        <f t="shared" si="33"/>
        <v>8.8479960936923057</v>
      </c>
    </row>
    <row r="407" spans="5:7" x14ac:dyDescent="0.25">
      <c r="E407" s="11">
        <f t="shared" si="31"/>
        <v>65</v>
      </c>
      <c r="F407" s="11">
        <f t="shared" si="32"/>
        <v>9.0147807679772463</v>
      </c>
      <c r="G407" s="11">
        <f t="shared" si="33"/>
        <v>9.0133864641792982</v>
      </c>
    </row>
    <row r="408" spans="5:7" x14ac:dyDescent="0.25">
      <c r="E408" s="11">
        <f t="shared" si="31"/>
        <v>66</v>
      </c>
      <c r="F408" s="11">
        <f t="shared" si="32"/>
        <v>9.1829855080336689</v>
      </c>
      <c r="G408" s="11">
        <f t="shared" si="33"/>
        <v>9.1791981517430443</v>
      </c>
    </row>
    <row r="409" spans="5:7" x14ac:dyDescent="0.25">
      <c r="E409" s="11">
        <f t="shared" si="31"/>
        <v>67</v>
      </c>
      <c r="F409" s="11">
        <f t="shared" si="32"/>
        <v>9.3515793405272518</v>
      </c>
      <c r="G409" s="11">
        <f t="shared" si="33"/>
        <v>9.3454030685784275</v>
      </c>
    </row>
    <row r="410" spans="5:7" x14ac:dyDescent="0.25">
      <c r="E410" s="11">
        <f t="shared" si="31"/>
        <v>68</v>
      </c>
      <c r="F410" s="11">
        <f t="shared" si="32"/>
        <v>9.5204465930744036</v>
      </c>
      <c r="G410" s="11">
        <f t="shared" si="33"/>
        <v>9.5119731268803278</v>
      </c>
    </row>
    <row r="411" spans="5:7" x14ac:dyDescent="0.25">
      <c r="E411" s="11">
        <f t="shared" si="31"/>
        <v>69</v>
      </c>
      <c r="F411" s="11">
        <f t="shared" si="32"/>
        <v>9.6894566992231574</v>
      </c>
      <c r="G411" s="11">
        <f t="shared" si="33"/>
        <v>9.6788802388436306</v>
      </c>
    </row>
    <row r="412" spans="5:7" x14ac:dyDescent="0.25">
      <c r="E412" s="11">
        <f t="shared" si="31"/>
        <v>70</v>
      </c>
      <c r="F412" s="11">
        <f t="shared" si="32"/>
        <v>9.8584629971541808</v>
      </c>
      <c r="G412" s="11">
        <f t="shared" si="33"/>
        <v>9.8460963166632176</v>
      </c>
    </row>
    <row r="413" spans="5:7" x14ac:dyDescent="0.25">
      <c r="E413" s="11">
        <f t="shared" si="31"/>
        <v>71</v>
      </c>
      <c r="F413" s="11">
        <f t="shared" si="32"/>
        <v>10.027301469108124</v>
      </c>
      <c r="G413" s="11">
        <f t="shared" si="33"/>
        <v>10.013593272533974</v>
      </c>
    </row>
    <row r="414" spans="5:7" x14ac:dyDescent="0.25">
      <c r="E414" s="11">
        <f t="shared" si="31"/>
        <v>72</v>
      </c>
      <c r="F414" s="11">
        <f t="shared" si="32"/>
        <v>10.195789419900812</v>
      </c>
      <c r="G414" s="11">
        <f t="shared" si="33"/>
        <v>10.181343018650782</v>
      </c>
    </row>
    <row r="415" spans="5:7" x14ac:dyDescent="0.25">
      <c r="E415" s="11">
        <f t="shared" ref="E415:E422" si="34">E208</f>
        <v>73</v>
      </c>
      <c r="F415" s="11">
        <f t="shared" ref="F415:F422" si="35">$H$217*0+E415*$I$217+E415^2*$J$217+E415^3*$K$217+E415^4*$L$217+E415^5*$M$217+E415^6*$N$217+E415^7*$O$217+E415^8*$P$217</f>
        <v>10.363724092868026</v>
      </c>
      <c r="G415" s="11">
        <f t="shared" ref="G415:G422" si="36">F208</f>
        <v>10.349317467208525</v>
      </c>
    </row>
    <row r="416" spans="5:7" x14ac:dyDescent="0.25">
      <c r="E416" s="11">
        <f t="shared" si="34"/>
        <v>74</v>
      </c>
      <c r="F416" s="11">
        <f t="shared" si="35"/>
        <v>10.53088122156195</v>
      </c>
      <c r="G416" s="11">
        <f t="shared" si="36"/>
        <v>10.517488530402085</v>
      </c>
    </row>
    <row r="417" spans="5:7" x14ac:dyDescent="0.25">
      <c r="E417" s="11">
        <f t="shared" si="34"/>
        <v>75</v>
      </c>
      <c r="F417" s="11">
        <f t="shared" si="35"/>
        <v>10.697013515501622</v>
      </c>
      <c r="G417" s="11">
        <f t="shared" si="36"/>
        <v>10.685828120426345</v>
      </c>
    </row>
    <row r="418" spans="5:7" x14ac:dyDescent="0.25">
      <c r="E418" s="11">
        <f t="shared" si="34"/>
        <v>76</v>
      </c>
      <c r="F418" s="11">
        <f t="shared" si="35"/>
        <v>10.861849078259992</v>
      </c>
      <c r="G418" s="11">
        <f t="shared" si="36"/>
        <v>10.854308149476191</v>
      </c>
    </row>
    <row r="419" spans="5:7" x14ac:dyDescent="0.25">
      <c r="E419" s="11">
        <f t="shared" si="34"/>
        <v>77</v>
      </c>
      <c r="F419" s="11">
        <f t="shared" si="35"/>
        <v>11.025089756150544</v>
      </c>
      <c r="G419" s="11">
        <f t="shared" si="36"/>
        <v>11.022900529746504</v>
      </c>
    </row>
    <row r="420" spans="5:7" x14ac:dyDescent="0.25">
      <c r="E420" s="11">
        <f t="shared" si="34"/>
        <v>78</v>
      </c>
      <c r="F420" s="11">
        <f t="shared" si="35"/>
        <v>11.186409415756607</v>
      </c>
      <c r="G420" s="11">
        <f t="shared" si="36"/>
        <v>11.191577173432169</v>
      </c>
    </row>
    <row r="421" spans="5:7" x14ac:dyDescent="0.25">
      <c r="E421" s="11">
        <f t="shared" si="34"/>
        <v>79</v>
      </c>
      <c r="F421" s="11">
        <f t="shared" si="35"/>
        <v>11.345452148526908</v>
      </c>
      <c r="G421" s="11">
        <f t="shared" si="36"/>
        <v>11.360309992728066</v>
      </c>
    </row>
    <row r="422" spans="5:7" x14ac:dyDescent="0.25">
      <c r="E422" s="11">
        <f t="shared" si="34"/>
        <v>80</v>
      </c>
      <c r="F422" s="11">
        <f t="shared" si="35"/>
        <v>11.50183040064103</v>
      </c>
      <c r="G422" s="11">
        <f t="shared" si="36"/>
        <v>11.529070899829078</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9.3029999999999995E-5</v>
      </c>
      <c r="C3" s="2">
        <v>1.204E-4</v>
      </c>
      <c r="D3" s="2">
        <v>-3.3950000000000001E-4</v>
      </c>
      <c r="E3" s="2">
        <v>0</v>
      </c>
      <c r="F3" s="2">
        <v>0</v>
      </c>
      <c r="G3" s="2">
        <v>0</v>
      </c>
      <c r="H3" s="2">
        <v>4.5256902999999999E-5</v>
      </c>
      <c r="I3" s="2">
        <v>1.200315E-5</v>
      </c>
      <c r="J3" s="2">
        <v>-1.2599827999999999E-4</v>
      </c>
      <c r="K3" s="3"/>
      <c r="L3" s="3">
        <f>-B3/D3</f>
        <v>0.27402061855670101</v>
      </c>
      <c r="M3" s="3"/>
      <c r="N3" s="2">
        <f>IF('Modell einstellen'!$B$1="Voll",H3/0.35,H3/0.35*2)</f>
        <v>1.2930543714285715E-4</v>
      </c>
      <c r="O3" s="2">
        <f>IF('Modell einstellen'!$B$1="Voll",J3/0.35,J3/0.35*2)</f>
        <v>-3.5999508571428571E-4</v>
      </c>
      <c r="P3" s="3">
        <f>-N3/O3</f>
        <v>0.35918667302442542</v>
      </c>
      <c r="Q3" s="3"/>
      <c r="R3" s="3"/>
      <c r="S3" s="3"/>
      <c r="T3" s="3"/>
      <c r="U3" s="3"/>
      <c r="V3" s="3"/>
      <c r="W3" s="3"/>
    </row>
    <row r="4" spans="1:23" x14ac:dyDescent="0.25">
      <c r="A4" s="2">
        <v>1E-14</v>
      </c>
      <c r="B4" s="2">
        <v>9.3360000000000001E-5</v>
      </c>
      <c r="C4" s="2">
        <v>1.215E-4</v>
      </c>
      <c r="D4" s="2">
        <v>-3.412E-4</v>
      </c>
      <c r="E4" s="2">
        <v>0</v>
      </c>
      <c r="F4" s="2">
        <v>0</v>
      </c>
      <c r="G4" s="2">
        <v>0</v>
      </c>
      <c r="H4" s="2">
        <v>4.5766544999999999E-5</v>
      </c>
      <c r="I4" s="2">
        <v>1.2127703000000001E-5</v>
      </c>
      <c r="J4" s="2">
        <v>-1.2697509999999999E-4</v>
      </c>
      <c r="K4" s="3"/>
      <c r="L4" s="3">
        <f t="shared" ref="L4:L33" si="0">-B4/D4</f>
        <v>0.27362250879249705</v>
      </c>
      <c r="M4" s="3"/>
      <c r="N4" s="2">
        <f>IF('Modell einstellen'!$B$1="Voll",H4/0.35,H4/0.35*2)</f>
        <v>1.3076155714285715E-4</v>
      </c>
      <c r="O4" s="2">
        <f>IF('Modell einstellen'!$B$1="Voll",J4/0.35,J4/0.35*2)</f>
        <v>-3.6278599999999998E-4</v>
      </c>
      <c r="P4" s="3">
        <f t="shared" ref="P4:P33" si="1">-N4/O4</f>
        <v>0.36043716445192803</v>
      </c>
      <c r="Q4" s="3"/>
      <c r="R4" s="3"/>
      <c r="S4" s="3"/>
      <c r="T4" s="3"/>
      <c r="U4" s="3"/>
      <c r="V4" s="3"/>
      <c r="W4" s="3"/>
    </row>
    <row r="5" spans="1:23" x14ac:dyDescent="0.25">
      <c r="A5" s="2">
        <v>1E-13</v>
      </c>
      <c r="B5" s="2">
        <v>9.5340000000000005E-5</v>
      </c>
      <c r="C5" s="2">
        <v>1.259E-4</v>
      </c>
      <c r="D5" s="2">
        <v>-3.4820000000000001E-4</v>
      </c>
      <c r="E5" s="2">
        <v>0</v>
      </c>
      <c r="F5" s="2">
        <v>0</v>
      </c>
      <c r="G5" s="2">
        <v>0</v>
      </c>
      <c r="H5" s="2">
        <v>4.7655207000000003E-5</v>
      </c>
      <c r="I5" s="2">
        <v>1.2589958E-5</v>
      </c>
      <c r="J5" s="2">
        <v>-1.3063405000000001E-4</v>
      </c>
      <c r="K5" s="3"/>
      <c r="L5" s="3">
        <f t="shared" si="0"/>
        <v>0.27380815623205057</v>
      </c>
      <c r="M5" s="3"/>
      <c r="N5" s="2">
        <f>IF('Modell einstellen'!$B$1="Voll",H5/0.35,H5/0.35*2)</f>
        <v>1.3615773428571429E-4</v>
      </c>
      <c r="O5" s="2">
        <f>IF('Modell einstellen'!$B$1="Voll",J5/0.35,J5/0.35*2)</f>
        <v>-3.7324014285714294E-4</v>
      </c>
      <c r="P5" s="3">
        <f t="shared" si="1"/>
        <v>0.36479927706444065</v>
      </c>
      <c r="Q5" s="3"/>
      <c r="R5" s="3"/>
      <c r="S5" s="3"/>
      <c r="T5" s="3"/>
      <c r="U5" s="3"/>
      <c r="V5" s="3"/>
      <c r="W5" s="3"/>
    </row>
    <row r="6" spans="1:23" x14ac:dyDescent="0.25">
      <c r="A6" s="2">
        <v>9.9999999999999998E-13</v>
      </c>
      <c r="B6" s="2">
        <v>9.6509999999999996E-5</v>
      </c>
      <c r="C6" s="2">
        <v>1.2889999999999999E-4</v>
      </c>
      <c r="D6" s="2">
        <v>-3.5290000000000001E-4</v>
      </c>
      <c r="E6" s="2">
        <v>0</v>
      </c>
      <c r="F6" s="2">
        <v>0</v>
      </c>
      <c r="G6" s="2">
        <v>0</v>
      </c>
      <c r="H6" s="2">
        <v>4.9006703000000001E-5</v>
      </c>
      <c r="I6" s="2">
        <v>1.2916457999999999E-5</v>
      </c>
      <c r="J6" s="2">
        <v>-1.3323200999999999E-4</v>
      </c>
      <c r="K6" s="3"/>
      <c r="L6" s="3">
        <f t="shared" si="0"/>
        <v>0.27347690563899119</v>
      </c>
      <c r="M6" s="3"/>
      <c r="N6" s="2">
        <f>IF('Modell einstellen'!$B$1="Voll",H6/0.35,H6/0.35*2)</f>
        <v>1.4001915142857144E-4</v>
      </c>
      <c r="O6" s="2">
        <f>IF('Modell einstellen'!$B$1="Voll",J6/0.35,J6/0.35*2)</f>
        <v>-3.806628857142857E-4</v>
      </c>
      <c r="P6" s="3">
        <f t="shared" si="1"/>
        <v>0.36782979555738898</v>
      </c>
      <c r="Q6" s="3"/>
      <c r="R6" s="3"/>
      <c r="S6" s="3"/>
      <c r="T6" s="3"/>
      <c r="U6" s="3"/>
      <c r="V6" s="3"/>
      <c r="W6" s="3"/>
    </row>
    <row r="7" spans="1:23" x14ac:dyDescent="0.25">
      <c r="A7" s="2">
        <v>9.9999999999999994E-12</v>
      </c>
      <c r="B7" s="2">
        <v>9.7579999999999997E-5</v>
      </c>
      <c r="C7" s="2">
        <v>1.3180000000000001E-4</v>
      </c>
      <c r="D7" s="2">
        <v>-3.5740000000000001E-4</v>
      </c>
      <c r="E7" s="2">
        <v>0</v>
      </c>
      <c r="F7" s="2">
        <v>0</v>
      </c>
      <c r="G7" s="2">
        <v>0</v>
      </c>
      <c r="H7" s="2">
        <v>5.0328477999999997E-5</v>
      </c>
      <c r="I7" s="2">
        <v>1.3233172000000001E-5</v>
      </c>
      <c r="J7" s="2">
        <v>-1.3576263E-4</v>
      </c>
      <c r="K7" s="3"/>
      <c r="L7" s="3">
        <f t="shared" si="0"/>
        <v>0.27302742025741467</v>
      </c>
      <c r="M7" s="3"/>
      <c r="N7" s="2">
        <f>IF('Modell einstellen'!$B$1="Voll",H7/0.35,H7/0.35*2)</f>
        <v>1.4379565142857143E-4</v>
      </c>
      <c r="O7" s="2">
        <f>IF('Modell einstellen'!$B$1="Voll",J7/0.35,J7/0.35*2)</f>
        <v>-3.878932285714286E-4</v>
      </c>
      <c r="P7" s="3">
        <f t="shared" si="1"/>
        <v>0.37070936236282398</v>
      </c>
      <c r="Q7" s="3"/>
      <c r="R7" s="3"/>
      <c r="S7" s="3"/>
      <c r="T7" s="3"/>
      <c r="U7" s="3"/>
      <c r="V7" s="3"/>
      <c r="W7" s="3"/>
    </row>
    <row r="8" spans="1:23" x14ac:dyDescent="0.25">
      <c r="A8" s="2">
        <v>1E-10</v>
      </c>
      <c r="B8" s="2">
        <v>9.8720000000000003E-5</v>
      </c>
      <c r="C8" s="2">
        <v>1.351E-4</v>
      </c>
      <c r="D8" s="2">
        <v>-3.6240000000000003E-4</v>
      </c>
      <c r="E8" s="2">
        <v>0</v>
      </c>
      <c r="F8" s="2">
        <v>0</v>
      </c>
      <c r="G8" s="2">
        <v>0</v>
      </c>
      <c r="H8" s="2">
        <v>5.1850778000000002E-5</v>
      </c>
      <c r="I8" s="2">
        <v>1.3594670999999999E-5</v>
      </c>
      <c r="J8" s="2">
        <v>-1.3866409999999999E-4</v>
      </c>
      <c r="K8" s="3"/>
      <c r="L8" s="3">
        <f t="shared" si="0"/>
        <v>0.27240618101545255</v>
      </c>
      <c r="M8" s="3"/>
      <c r="N8" s="2">
        <f>IF('Modell einstellen'!$B$1="Voll",H8/0.35,H8/0.35*2)</f>
        <v>1.4814508E-4</v>
      </c>
      <c r="O8" s="2">
        <f>IF('Modell einstellen'!$B$1="Voll",J8/0.35,J8/0.35*2)</f>
        <v>-3.9618314285714287E-4</v>
      </c>
      <c r="P8" s="3">
        <f t="shared" si="1"/>
        <v>0.37393080112300153</v>
      </c>
      <c r="Q8" s="3"/>
      <c r="R8" s="3"/>
      <c r="S8" s="3"/>
      <c r="T8" s="3"/>
      <c r="U8" s="3"/>
      <c r="V8" s="3"/>
      <c r="W8" s="3"/>
    </row>
    <row r="9" spans="1:23" x14ac:dyDescent="0.25">
      <c r="A9" s="2">
        <v>1.0000000000000001E-9</v>
      </c>
      <c r="B9" s="2">
        <v>9.9870000000000004E-5</v>
      </c>
      <c r="C9" s="2">
        <v>1.3870000000000001E-4</v>
      </c>
      <c r="D9" s="2">
        <v>-3.678E-4</v>
      </c>
      <c r="E9" s="2">
        <v>0</v>
      </c>
      <c r="F9" s="2">
        <v>0</v>
      </c>
      <c r="G9" s="2">
        <v>0</v>
      </c>
      <c r="H9" s="2">
        <v>5.3534444999999997E-5</v>
      </c>
      <c r="I9" s="2">
        <v>1.3990455E-5</v>
      </c>
      <c r="J9" s="2">
        <v>-1.4185688E-4</v>
      </c>
      <c r="K9" s="3"/>
      <c r="L9" s="3">
        <f t="shared" si="0"/>
        <v>0.27153344208809138</v>
      </c>
      <c r="M9" s="3"/>
      <c r="N9" s="2">
        <f>IF('Modell einstellen'!$B$1="Voll",H9/0.35,H9/0.35*2)</f>
        <v>1.5295555714285713E-4</v>
      </c>
      <c r="O9" s="2">
        <f>IF('Modell einstellen'!$B$1="Voll",J9/0.35,J9/0.35*2)</f>
        <v>-4.0530537142857145E-4</v>
      </c>
      <c r="P9" s="3">
        <f t="shared" si="1"/>
        <v>0.37738349384252629</v>
      </c>
      <c r="Q9" s="3"/>
      <c r="R9" s="3"/>
      <c r="S9" s="3"/>
      <c r="T9" s="3"/>
      <c r="U9" s="3"/>
      <c r="V9" s="3"/>
      <c r="W9" s="3"/>
    </row>
    <row r="10" spans="1:23" x14ac:dyDescent="0.25">
      <c r="A10" s="2">
        <v>1E-8</v>
      </c>
      <c r="B10" s="2">
        <v>1.011E-4</v>
      </c>
      <c r="C10" s="2">
        <v>1.4300000000000001E-4</v>
      </c>
      <c r="D10" s="2">
        <v>-3.7399999999999998E-4</v>
      </c>
      <c r="E10" s="2">
        <v>0</v>
      </c>
      <c r="F10" s="2">
        <v>0</v>
      </c>
      <c r="G10" s="2">
        <v>0</v>
      </c>
      <c r="H10" s="2">
        <v>5.5577649999999998E-5</v>
      </c>
      <c r="I10" s="2">
        <v>1.4465203999999999E-5</v>
      </c>
      <c r="J10" s="2">
        <v>-1.457095E-4</v>
      </c>
      <c r="K10" s="3"/>
      <c r="L10" s="3">
        <f t="shared" si="0"/>
        <v>0.27032085561497327</v>
      </c>
      <c r="M10" s="3"/>
      <c r="N10" s="2">
        <f>IF('Modell einstellen'!$B$1="Voll",H10/0.35,H10/0.35*2)</f>
        <v>1.5879328571428571E-4</v>
      </c>
      <c r="O10" s="2">
        <f>IF('Modell einstellen'!$B$1="Voll",J10/0.35,J10/0.35*2)</f>
        <v>-4.1631285714285719E-4</v>
      </c>
      <c r="P10" s="3">
        <f t="shared" si="1"/>
        <v>0.38142777238272035</v>
      </c>
      <c r="Q10" s="3"/>
      <c r="R10" s="3"/>
      <c r="S10" s="3"/>
      <c r="T10" s="3"/>
      <c r="U10" s="3"/>
      <c r="V10" s="3"/>
      <c r="W10" s="3"/>
    </row>
    <row r="11" spans="1:23" x14ac:dyDescent="0.25">
      <c r="A11" s="2">
        <v>9.9999999999999995E-8</v>
      </c>
      <c r="B11" s="2">
        <v>1.0230000000000001E-4</v>
      </c>
      <c r="C11" s="2">
        <v>1.4760000000000001E-4</v>
      </c>
      <c r="D11" s="2">
        <v>-3.8059999999999998E-4</v>
      </c>
      <c r="E11" s="2">
        <v>0</v>
      </c>
      <c r="F11" s="2">
        <v>0</v>
      </c>
      <c r="G11" s="2">
        <v>0</v>
      </c>
      <c r="H11" s="2">
        <v>5.7838172000000001E-5</v>
      </c>
      <c r="I11" s="2">
        <v>1.4983349999999999E-5</v>
      </c>
      <c r="J11" s="2">
        <v>-1.4994379E-4</v>
      </c>
      <c r="K11" s="3"/>
      <c r="L11" s="3">
        <f t="shared" si="0"/>
        <v>0.26878612716763006</v>
      </c>
      <c r="M11" s="3"/>
      <c r="N11" s="2">
        <f>IF('Modell einstellen'!$B$1="Voll",H11/0.35,H11/0.35*2)</f>
        <v>1.6525192E-4</v>
      </c>
      <c r="O11" s="2">
        <f>IF('Modell einstellen'!$B$1="Voll",J11/0.35,J11/0.35*2)</f>
        <v>-4.2841082857142859E-4</v>
      </c>
      <c r="P11" s="3">
        <f t="shared" si="1"/>
        <v>0.38573236010641054</v>
      </c>
      <c r="Q11" s="3"/>
      <c r="R11" s="3"/>
      <c r="S11" s="3"/>
      <c r="T11" s="3"/>
      <c r="U11" s="3"/>
      <c r="V11" s="3"/>
      <c r="W11" s="3"/>
    </row>
    <row r="12" spans="1:23" x14ac:dyDescent="0.25">
      <c r="A12" s="2">
        <v>9.9999999999999995E-7</v>
      </c>
      <c r="B12" s="2">
        <v>1.0340000000000001E-4</v>
      </c>
      <c r="C12" s="2">
        <v>1.5310000000000001E-4</v>
      </c>
      <c r="D12" s="2">
        <v>-3.881E-4</v>
      </c>
      <c r="E12" s="2">
        <v>0</v>
      </c>
      <c r="F12" s="2">
        <v>0</v>
      </c>
      <c r="G12" s="2">
        <v>0</v>
      </c>
      <c r="H12" s="2">
        <v>6.0551667999999997E-5</v>
      </c>
      <c r="I12" s="2">
        <v>1.5595718E-5</v>
      </c>
      <c r="J12" s="2">
        <v>-1.5498911000000001E-4</v>
      </c>
      <c r="K12" s="3"/>
      <c r="L12" s="3">
        <f t="shared" si="0"/>
        <v>0.26642617881989178</v>
      </c>
      <c r="M12" s="3"/>
      <c r="N12" s="2">
        <f>IF('Modell einstellen'!$B$1="Voll",H12/0.35,H12/0.35*2)</f>
        <v>1.7300476571428572E-4</v>
      </c>
      <c r="O12" s="2">
        <f>IF('Modell einstellen'!$B$1="Voll",J12/0.35,J12/0.35*2)</f>
        <v>-4.4282602857142865E-4</v>
      </c>
      <c r="P12" s="3">
        <f t="shared" si="1"/>
        <v>0.39068337123814695</v>
      </c>
      <c r="Q12" s="3"/>
      <c r="R12" s="3"/>
      <c r="S12" s="3"/>
      <c r="T12" s="3"/>
      <c r="U12" s="3"/>
      <c r="V12" s="3"/>
      <c r="W12" s="3"/>
    </row>
    <row r="13" spans="1:23" x14ac:dyDescent="0.25">
      <c r="A13" s="2">
        <v>1.0000000000000001E-5</v>
      </c>
      <c r="B13" s="2">
        <v>1.042E-4</v>
      </c>
      <c r="C13" s="2">
        <v>1.582E-4</v>
      </c>
      <c r="D13" s="2">
        <v>-3.949E-4</v>
      </c>
      <c r="E13" s="2">
        <v>0</v>
      </c>
      <c r="F13" s="2">
        <v>0</v>
      </c>
      <c r="G13" s="2">
        <v>0</v>
      </c>
      <c r="H13" s="2">
        <v>6.3163086999999996E-5</v>
      </c>
      <c r="I13" s="2">
        <v>1.6174773999999999E-5</v>
      </c>
      <c r="J13" s="2">
        <v>-1.5980435E-4</v>
      </c>
      <c r="K13" s="3"/>
      <c r="L13" s="3">
        <f t="shared" si="0"/>
        <v>0.26386426943530006</v>
      </c>
      <c r="M13" s="3"/>
      <c r="N13" s="2">
        <f>IF('Modell einstellen'!$B$1="Voll",H13/0.35,H13/0.35*2)</f>
        <v>1.8046596285714285E-4</v>
      </c>
      <c r="O13" s="2">
        <f>IF('Modell einstellen'!$B$1="Voll",J13/0.35,J13/0.35*2)</f>
        <v>-4.5658385714285717E-4</v>
      </c>
      <c r="P13" s="3">
        <f t="shared" si="1"/>
        <v>0.39525261358655128</v>
      </c>
      <c r="Q13" s="3"/>
      <c r="R13" s="3"/>
      <c r="S13" s="3"/>
      <c r="T13" s="3"/>
      <c r="U13" s="3"/>
      <c r="V13" s="3"/>
      <c r="W13" s="3"/>
    </row>
    <row r="14" spans="1:23" x14ac:dyDescent="0.25">
      <c r="A14" s="2">
        <v>1E-4</v>
      </c>
      <c r="B14" s="2">
        <v>1.048E-4</v>
      </c>
      <c r="C14" s="2">
        <v>1.639E-4</v>
      </c>
      <c r="D14" s="2">
        <v>-4.0220000000000002E-4</v>
      </c>
      <c r="E14" s="2">
        <v>0</v>
      </c>
      <c r="F14" s="2">
        <v>0</v>
      </c>
      <c r="G14" s="2">
        <v>0</v>
      </c>
      <c r="H14" s="2">
        <v>6.6154943000000003E-5</v>
      </c>
      <c r="I14" s="2">
        <v>1.6827084999999999E-5</v>
      </c>
      <c r="J14" s="2">
        <v>-1.6527841999999999E-4</v>
      </c>
      <c r="K14" s="3"/>
      <c r="L14" s="3">
        <f t="shared" si="0"/>
        <v>0.26056688214818496</v>
      </c>
      <c r="M14" s="3"/>
      <c r="N14" s="2">
        <f>IF('Modell einstellen'!$B$1="Voll",H14/0.35,H14/0.35*2)</f>
        <v>1.8901412285714288E-4</v>
      </c>
      <c r="O14" s="2">
        <f>IF('Modell einstellen'!$B$1="Voll",J14/0.35,J14/0.35*2)</f>
        <v>-4.7222405714285716E-4</v>
      </c>
      <c r="P14" s="3">
        <f t="shared" si="1"/>
        <v>0.40026364603437042</v>
      </c>
      <c r="Q14" s="3"/>
      <c r="R14" s="3"/>
      <c r="S14" s="3"/>
      <c r="T14" s="3"/>
      <c r="U14" s="3"/>
      <c r="V14" s="3"/>
      <c r="W14" s="3"/>
    </row>
    <row r="15" spans="1:23" x14ac:dyDescent="0.25">
      <c r="A15" s="2">
        <v>1E-3</v>
      </c>
      <c r="B15" s="2">
        <v>1.052E-4</v>
      </c>
      <c r="C15" s="2">
        <v>1.7129999999999999E-4</v>
      </c>
      <c r="D15" s="2">
        <v>-4.1120000000000002E-4</v>
      </c>
      <c r="E15" s="2">
        <v>0</v>
      </c>
      <c r="F15" s="2">
        <v>0</v>
      </c>
      <c r="G15" s="2">
        <v>0</v>
      </c>
      <c r="H15" s="2">
        <v>7.0143365000000001E-5</v>
      </c>
      <c r="I15" s="2">
        <v>1.7678177999999999E-5</v>
      </c>
      <c r="J15" s="2">
        <v>-1.7250478999999999E-4</v>
      </c>
      <c r="K15" s="3"/>
      <c r="L15" s="3">
        <f t="shared" si="0"/>
        <v>0.25583657587548636</v>
      </c>
      <c r="M15" s="3"/>
      <c r="N15" s="2">
        <f>IF('Modell einstellen'!$B$1="Voll",H15/0.35,H15/0.35*2)</f>
        <v>2.0040961428571431E-4</v>
      </c>
      <c r="O15" s="2">
        <f>IF('Modell einstellen'!$B$1="Voll",J15/0.35,J15/0.35*2)</f>
        <v>-4.9287082857142855E-4</v>
      </c>
      <c r="P15" s="3">
        <f t="shared" si="1"/>
        <v>0.40661691191299681</v>
      </c>
      <c r="Q15" s="3"/>
      <c r="R15" s="3"/>
      <c r="S15" s="3"/>
      <c r="T15" s="3"/>
      <c r="U15" s="3"/>
      <c r="V15" s="3"/>
      <c r="W15" s="3"/>
    </row>
    <row r="16" spans="1:23" x14ac:dyDescent="0.25">
      <c r="A16" s="2">
        <v>0.01</v>
      </c>
      <c r="B16" s="2">
        <v>1.049E-4</v>
      </c>
      <c r="C16" s="2">
        <v>1.8000000000000001E-4</v>
      </c>
      <c r="D16" s="2">
        <v>-4.2099999999999999E-4</v>
      </c>
      <c r="E16" s="2">
        <v>0</v>
      </c>
      <c r="F16" s="2">
        <v>0</v>
      </c>
      <c r="G16" s="2">
        <v>0</v>
      </c>
      <c r="H16" s="2">
        <v>7.5064675999999994E-5</v>
      </c>
      <c r="I16" s="2">
        <v>1.8698231000000001E-5</v>
      </c>
      <c r="J16" s="2">
        <v>-1.8130555000000001E-4</v>
      </c>
      <c r="K16" s="3"/>
      <c r="L16" s="3">
        <f t="shared" si="0"/>
        <v>0.24916864608076011</v>
      </c>
      <c r="M16" s="3"/>
      <c r="N16" s="2">
        <f>IF('Modell einstellen'!$B$1="Voll",H16/0.35,H16/0.35*2)</f>
        <v>2.1447050285714286E-4</v>
      </c>
      <c r="O16" s="2">
        <f>IF('Modell einstellen'!$B$1="Voll",J16/0.35,J16/0.35*2)</f>
        <v>-5.1801585714285716E-4</v>
      </c>
      <c r="P16" s="3">
        <f t="shared" si="1"/>
        <v>0.41402304562656794</v>
      </c>
      <c r="Q16" s="3"/>
      <c r="R16" s="3"/>
      <c r="S16" s="3"/>
      <c r="T16" s="3"/>
      <c r="U16" s="3"/>
      <c r="V16" s="3"/>
      <c r="W16" s="3"/>
    </row>
    <row r="17" spans="1:23" x14ac:dyDescent="0.25">
      <c r="A17" s="2">
        <v>0.1</v>
      </c>
      <c r="B17" s="2">
        <v>1.038E-4</v>
      </c>
      <c r="C17" s="2">
        <v>1.886E-4</v>
      </c>
      <c r="D17" s="2">
        <v>-4.2989999999999999E-4</v>
      </c>
      <c r="E17" s="2">
        <v>0</v>
      </c>
      <c r="F17" s="2">
        <v>0</v>
      </c>
      <c r="G17" s="2">
        <v>0</v>
      </c>
      <c r="H17" s="2">
        <v>8.0194111999999998E-5</v>
      </c>
      <c r="I17" s="2">
        <v>1.9725416999999999E-5</v>
      </c>
      <c r="J17" s="2">
        <v>-1.9034031000000001E-4</v>
      </c>
      <c r="K17" s="3"/>
      <c r="L17" s="3">
        <f t="shared" si="0"/>
        <v>0.24145150034891835</v>
      </c>
      <c r="M17" s="3"/>
      <c r="N17" s="2">
        <f>IF('Modell einstellen'!$B$1="Voll",H17/0.35,H17/0.35*2)</f>
        <v>2.2912603428571428E-4</v>
      </c>
      <c r="O17" s="2">
        <f>IF('Modell einstellen'!$B$1="Voll",J17/0.35,J17/0.35*2)</f>
        <v>-5.4382945714285722E-4</v>
      </c>
      <c r="P17" s="3">
        <f t="shared" si="1"/>
        <v>0.4213196458490584</v>
      </c>
      <c r="Q17" s="3"/>
      <c r="R17" s="3"/>
      <c r="S17" s="3"/>
      <c r="T17" s="3"/>
      <c r="U17" s="3"/>
      <c r="V17" s="3"/>
      <c r="W17" s="3"/>
    </row>
    <row r="18" spans="1:23" x14ac:dyDescent="0.25">
      <c r="A18" s="2">
        <v>1</v>
      </c>
      <c r="B18" s="2">
        <v>1.021E-4</v>
      </c>
      <c r="C18" s="2">
        <v>1.9589999999999999E-4</v>
      </c>
      <c r="D18" s="2">
        <v>-4.3669999999999999E-4</v>
      </c>
      <c r="E18" s="2">
        <v>0</v>
      </c>
      <c r="F18" s="2">
        <v>0</v>
      </c>
      <c r="G18" s="2">
        <v>0</v>
      </c>
      <c r="H18" s="2">
        <v>8.4727028999999996E-5</v>
      </c>
      <c r="I18" s="2">
        <v>2.0603751E-5</v>
      </c>
      <c r="J18" s="2">
        <v>-1.9821185E-4</v>
      </c>
      <c r="K18" s="3"/>
      <c r="L18" s="3">
        <f t="shared" si="0"/>
        <v>0.23379894664529427</v>
      </c>
      <c r="M18" s="3"/>
      <c r="N18" s="2">
        <f>IF('Modell einstellen'!$B$1="Voll",H18/0.35,H18/0.35*2)</f>
        <v>2.4207722571428572E-4</v>
      </c>
      <c r="O18" s="2">
        <f>IF('Modell einstellen'!$B$1="Voll",J18/0.35,J18/0.35*2)</f>
        <v>-5.6631957142857148E-4</v>
      </c>
      <c r="P18" s="3">
        <f t="shared" si="1"/>
        <v>0.42745693055183126</v>
      </c>
      <c r="Q18" s="3"/>
      <c r="R18" s="3"/>
      <c r="S18" s="3"/>
      <c r="T18" s="3"/>
      <c r="U18" s="3"/>
      <c r="V18" s="3"/>
      <c r="W18" s="3"/>
    </row>
    <row r="19" spans="1:23" x14ac:dyDescent="0.25">
      <c r="A19" s="2">
        <v>10</v>
      </c>
      <c r="B19" s="2">
        <v>9.9549999999999994E-5</v>
      </c>
      <c r="C19" s="2">
        <v>2.0379999999999999E-4</v>
      </c>
      <c r="D19" s="2">
        <v>-4.4329999999999999E-4</v>
      </c>
      <c r="E19" s="2">
        <v>0</v>
      </c>
      <c r="F19" s="2">
        <v>0</v>
      </c>
      <c r="G19" s="2">
        <v>0</v>
      </c>
      <c r="H19" s="2">
        <v>8.9836380999999994E-5</v>
      </c>
      <c r="I19" s="2">
        <v>2.1564857999999999E-5</v>
      </c>
      <c r="J19" s="2">
        <v>-2.0697466000000001E-4</v>
      </c>
      <c r="K19" s="3"/>
      <c r="L19" s="3">
        <f t="shared" si="0"/>
        <v>0.22456575682382132</v>
      </c>
      <c r="M19" s="3"/>
      <c r="N19" s="2">
        <f>IF('Modell einstellen'!$B$1="Voll",H19/0.35,H19/0.35*2)</f>
        <v>2.5667537428571428E-4</v>
      </c>
      <c r="O19" s="2">
        <f>IF('Modell einstellen'!$B$1="Voll",J19/0.35,J19/0.35*2)</f>
        <v>-5.9135617142857145E-4</v>
      </c>
      <c r="P19" s="3">
        <f t="shared" si="1"/>
        <v>0.43404531260010282</v>
      </c>
      <c r="Q19" s="3"/>
      <c r="R19" s="3"/>
      <c r="S19" s="3"/>
      <c r="T19" s="3"/>
      <c r="U19" s="3"/>
      <c r="V19" s="3"/>
      <c r="W19" s="3"/>
    </row>
    <row r="20" spans="1:23" x14ac:dyDescent="0.25">
      <c r="A20" s="2">
        <v>100</v>
      </c>
      <c r="B20" s="2">
        <v>9.6150000000000006E-5</v>
      </c>
      <c r="C20" s="2">
        <v>2.117E-4</v>
      </c>
      <c r="D20" s="2">
        <v>-4.4920000000000002E-4</v>
      </c>
      <c r="E20" s="2">
        <v>0</v>
      </c>
      <c r="F20" s="2">
        <v>0</v>
      </c>
      <c r="G20" s="2">
        <v>0</v>
      </c>
      <c r="H20" s="2">
        <v>9.5248750000000005E-5</v>
      </c>
      <c r="I20" s="2">
        <v>2.2548738E-5</v>
      </c>
      <c r="J20" s="2">
        <v>-2.1612625999999999E-4</v>
      </c>
      <c r="K20" s="3"/>
      <c r="L20" s="3">
        <f t="shared" si="0"/>
        <v>0.21404719501335709</v>
      </c>
      <c r="M20" s="3"/>
      <c r="N20" s="2">
        <f>IF('Modell einstellen'!$B$1="Voll",H20/0.35,H20/0.35*2)</f>
        <v>2.7213928571428574E-4</v>
      </c>
      <c r="O20" s="2">
        <f>IF('Modell einstellen'!$B$1="Voll",J20/0.35,J20/0.35*2)</f>
        <v>-6.1750360000000003E-4</v>
      </c>
      <c r="P20" s="3">
        <f t="shared" si="1"/>
        <v>0.44070882455468396</v>
      </c>
      <c r="Q20" s="3"/>
      <c r="R20" s="3"/>
      <c r="S20" s="3"/>
      <c r="T20" s="3"/>
      <c r="U20" s="3"/>
      <c r="V20" s="3"/>
      <c r="W20" s="3"/>
    </row>
    <row r="21" spans="1:23" x14ac:dyDescent="0.25">
      <c r="A21" s="2">
        <v>1000</v>
      </c>
      <c r="B21" s="2">
        <v>9.1409999999999994E-5</v>
      </c>
      <c r="C21" s="2">
        <v>2.206E-4</v>
      </c>
      <c r="D21" s="2">
        <v>-4.5469999999999999E-4</v>
      </c>
      <c r="E21" s="2">
        <v>0</v>
      </c>
      <c r="F21" s="2">
        <v>0</v>
      </c>
      <c r="G21" s="2">
        <v>0</v>
      </c>
      <c r="H21" s="2">
        <v>1.0157988E-4</v>
      </c>
      <c r="I21" s="2">
        <v>2.3667205E-5</v>
      </c>
      <c r="J21" s="2">
        <v>-2.2670222E-4</v>
      </c>
      <c r="K21" s="3"/>
      <c r="L21" s="3">
        <f t="shared" si="0"/>
        <v>0.20103364855948977</v>
      </c>
      <c r="M21" s="3"/>
      <c r="N21" s="2">
        <f>IF('Modell einstellen'!$B$1="Voll",H21/0.35,H21/0.35*2)</f>
        <v>2.9022822857142862E-4</v>
      </c>
      <c r="O21" s="2">
        <f>IF('Modell einstellen'!$B$1="Voll",J21/0.35,J21/0.35*2)</f>
        <v>-6.4772062857142859E-4</v>
      </c>
      <c r="P21" s="3">
        <f t="shared" si="1"/>
        <v>0.44807624733449902</v>
      </c>
      <c r="Q21" s="3"/>
      <c r="R21" s="3"/>
      <c r="S21" s="3"/>
      <c r="T21" s="3"/>
      <c r="U21" s="3"/>
      <c r="V21" s="3"/>
      <c r="W21" s="3"/>
    </row>
    <row r="22" spans="1:23" x14ac:dyDescent="0.25">
      <c r="A22" s="2">
        <v>10000</v>
      </c>
      <c r="B22" s="2">
        <v>8.6349999999999998E-5</v>
      </c>
      <c r="C22" s="2">
        <v>2.3039999999999999E-4</v>
      </c>
      <c r="D22" s="2">
        <v>-4.6059999999999997E-4</v>
      </c>
      <c r="E22" s="2">
        <v>0</v>
      </c>
      <c r="F22" s="2">
        <v>0</v>
      </c>
      <c r="G22" s="2">
        <v>0</v>
      </c>
      <c r="H22" s="2">
        <v>1.0817081000000001E-4</v>
      </c>
      <c r="I22" s="2">
        <v>2.4903907E-5</v>
      </c>
      <c r="J22" s="2">
        <v>-2.379212E-4</v>
      </c>
      <c r="K22" s="3"/>
      <c r="L22" s="3">
        <f t="shared" si="0"/>
        <v>0.18747286148501954</v>
      </c>
      <c r="M22" s="3"/>
      <c r="N22" s="2">
        <f>IF('Modell einstellen'!$B$1="Voll",H22/0.35,H22/0.35*2)</f>
        <v>3.0905945714285719E-4</v>
      </c>
      <c r="O22" s="2">
        <f>IF('Modell einstellen'!$B$1="Voll",J22/0.35,J22/0.35*2)</f>
        <v>-6.7977485714285719E-4</v>
      </c>
      <c r="P22" s="3">
        <f t="shared" si="1"/>
        <v>0.45464973276866461</v>
      </c>
      <c r="Q22" s="3"/>
      <c r="R22" s="3"/>
      <c r="S22" s="3"/>
      <c r="T22" s="3"/>
      <c r="U22" s="3"/>
      <c r="V22" s="3"/>
      <c r="W22" s="3"/>
    </row>
    <row r="23" spans="1:23" x14ac:dyDescent="0.25">
      <c r="A23" s="2">
        <v>100000</v>
      </c>
      <c r="B23" s="2">
        <v>8.2319999999999998E-5</v>
      </c>
      <c r="C23" s="2">
        <v>2.4949999999999999E-4</v>
      </c>
      <c r="D23" s="2">
        <v>-4.7649999999999998E-4</v>
      </c>
      <c r="E23" s="2">
        <v>0</v>
      </c>
      <c r="F23" s="2">
        <v>0</v>
      </c>
      <c r="G23" s="2">
        <v>0</v>
      </c>
      <c r="H23" s="2">
        <v>1.1750177E-4</v>
      </c>
      <c r="I23" s="2">
        <v>2.7326585999999999E-5</v>
      </c>
      <c r="J23" s="2">
        <v>-2.5598046E-4</v>
      </c>
      <c r="K23" s="3"/>
      <c r="L23" s="3">
        <f t="shared" si="0"/>
        <v>0.17275970619097586</v>
      </c>
      <c r="M23" s="3"/>
      <c r="N23" s="2">
        <f>IF('Modell einstellen'!$B$1="Voll",H23/0.35,H23/0.35*2)</f>
        <v>3.3571934285714285E-4</v>
      </c>
      <c r="O23" s="2">
        <f>IF('Modell einstellen'!$B$1="Voll",J23/0.35,J23/0.35*2)</f>
        <v>-7.3137274285714287E-4</v>
      </c>
      <c r="P23" s="3">
        <f t="shared" si="1"/>
        <v>0.45902632568126489</v>
      </c>
      <c r="Q23" s="3"/>
      <c r="R23" s="3"/>
      <c r="S23" s="3"/>
      <c r="T23" s="3"/>
      <c r="U23" s="3"/>
      <c r="V23" s="3"/>
      <c r="W23" s="3"/>
    </row>
    <row r="24" spans="1:23" x14ac:dyDescent="0.25">
      <c r="A24" s="2">
        <v>1000000</v>
      </c>
      <c r="B24" s="2">
        <v>8.4330000000000001E-5</v>
      </c>
      <c r="C24" s="2">
        <v>2.8190000000000002E-4</v>
      </c>
      <c r="D24" s="2">
        <v>-5.1020000000000004E-4</v>
      </c>
      <c r="E24" s="2">
        <v>0</v>
      </c>
      <c r="F24" s="2">
        <v>0</v>
      </c>
      <c r="G24" s="2">
        <v>0</v>
      </c>
      <c r="H24" s="2">
        <v>1.2832318E-4</v>
      </c>
      <c r="I24" s="2">
        <v>3.1465494000000002E-5</v>
      </c>
      <c r="J24" s="2">
        <v>-2.8133732000000002E-4</v>
      </c>
      <c r="K24" s="3"/>
      <c r="L24" s="3">
        <f t="shared" si="0"/>
        <v>0.16528812230497844</v>
      </c>
      <c r="M24" s="3"/>
      <c r="N24" s="2">
        <f>IF('Modell einstellen'!$B$1="Voll",H24/0.35,H24/0.35*2)</f>
        <v>3.6663765714285717E-4</v>
      </c>
      <c r="O24" s="2">
        <f>IF('Modell einstellen'!$B$1="Voll",J24/0.35,J24/0.35*2)</f>
        <v>-8.0382091428571442E-4</v>
      </c>
      <c r="P24" s="3">
        <f t="shared" si="1"/>
        <v>0.45611858391200993</v>
      </c>
      <c r="Q24" s="3"/>
      <c r="R24" s="3"/>
      <c r="S24" s="3"/>
      <c r="T24" s="3"/>
      <c r="U24" s="3"/>
      <c r="V24" s="3"/>
      <c r="W24" s="3"/>
    </row>
    <row r="25" spans="1:23" x14ac:dyDescent="0.25">
      <c r="A25" s="2">
        <v>10000000</v>
      </c>
      <c r="B25" s="2">
        <v>8.6089999999999997E-5</v>
      </c>
      <c r="C25" s="2">
        <v>3.2620000000000001E-4</v>
      </c>
      <c r="D25" s="2">
        <v>-5.555E-4</v>
      </c>
      <c r="E25" s="2">
        <v>0</v>
      </c>
      <c r="F25" s="2">
        <v>0</v>
      </c>
      <c r="G25" s="2">
        <v>0</v>
      </c>
      <c r="H25" s="2">
        <v>1.4307290000000001E-4</v>
      </c>
      <c r="I25" s="2">
        <v>3.7255092E-5</v>
      </c>
      <c r="J25" s="2">
        <v>-3.1654987E-4</v>
      </c>
      <c r="K25" s="3"/>
      <c r="L25" s="3">
        <f t="shared" si="0"/>
        <v>0.15497749774977498</v>
      </c>
      <c r="M25" s="3"/>
      <c r="N25" s="2">
        <f>IF('Modell einstellen'!$B$1="Voll",H25/0.35,H25/0.35*2)</f>
        <v>4.0877971428571435E-4</v>
      </c>
      <c r="O25" s="2">
        <f>IF('Modell einstellen'!$B$1="Voll",J25/0.35,J25/0.35*2)</f>
        <v>-9.0442820000000005E-4</v>
      </c>
      <c r="P25" s="3">
        <f t="shared" si="1"/>
        <v>0.45197586086514591</v>
      </c>
      <c r="Q25" s="3"/>
      <c r="R25" s="3"/>
      <c r="S25" s="3"/>
      <c r="T25" s="3"/>
      <c r="U25" s="3"/>
      <c r="V25" s="3"/>
      <c r="W25" s="3"/>
    </row>
    <row r="26" spans="1:23" x14ac:dyDescent="0.25">
      <c r="A26" s="2">
        <v>100000000</v>
      </c>
      <c r="B26" s="2">
        <v>7.5939999999999995E-5</v>
      </c>
      <c r="C26" s="2">
        <v>3.7800000000000003E-4</v>
      </c>
      <c r="D26" s="2">
        <v>-5.9730000000000004E-4</v>
      </c>
      <c r="E26" s="2">
        <v>0</v>
      </c>
      <c r="F26" s="2">
        <v>0</v>
      </c>
      <c r="G26" s="2">
        <v>0</v>
      </c>
      <c r="H26" s="2">
        <v>1.6307084E-4</v>
      </c>
      <c r="I26" s="2">
        <v>4.4350268E-5</v>
      </c>
      <c r="J26" s="2">
        <v>-3.6191077000000002E-4</v>
      </c>
      <c r="K26" s="3"/>
      <c r="L26" s="3">
        <f t="shared" si="0"/>
        <v>0.12713879122718899</v>
      </c>
      <c r="M26" s="3"/>
      <c r="N26" s="2">
        <f>IF('Modell einstellen'!$B$1="Voll",H26/0.35,H26/0.35*2)</f>
        <v>4.6591668571428573E-4</v>
      </c>
      <c r="O26" s="2">
        <f>IF('Modell einstellen'!$B$1="Voll",J26/0.35,J26/0.35*2)</f>
        <v>-1.0340307714285716E-3</v>
      </c>
      <c r="P26" s="3">
        <f t="shared" si="1"/>
        <v>0.45058299867671792</v>
      </c>
      <c r="Q26" s="3"/>
      <c r="R26" s="3"/>
      <c r="S26" s="3"/>
      <c r="T26" s="3"/>
      <c r="U26" s="3"/>
      <c r="V26" s="3"/>
      <c r="W26" s="3"/>
    </row>
    <row r="27" spans="1:23" x14ac:dyDescent="0.25">
      <c r="A27" s="2">
        <v>1000000000</v>
      </c>
      <c r="B27" s="2">
        <v>3.7809999999999999E-5</v>
      </c>
      <c r="C27" s="2">
        <v>4.4410000000000001E-4</v>
      </c>
      <c r="D27" s="2">
        <v>-6.269E-4</v>
      </c>
      <c r="E27" s="2">
        <v>0</v>
      </c>
      <c r="F27" s="2">
        <v>0</v>
      </c>
      <c r="G27" s="2">
        <v>0</v>
      </c>
      <c r="H27" s="2">
        <v>1.941585E-4</v>
      </c>
      <c r="I27" s="2">
        <v>5.3956304000000001E-5</v>
      </c>
      <c r="J27" s="2">
        <v>-4.2774665000000001E-4</v>
      </c>
      <c r="K27" s="3"/>
      <c r="L27" s="3">
        <f t="shared" si="0"/>
        <v>6.0312649545382034E-2</v>
      </c>
      <c r="M27" s="3"/>
      <c r="N27" s="2">
        <f>IF('Modell einstellen'!$B$1="Voll",H27/0.35,H27/0.35*2)</f>
        <v>5.5473857142857149E-4</v>
      </c>
      <c r="O27" s="2">
        <f>IF('Modell einstellen'!$B$1="Voll",J27/0.35,J27/0.35*2)</f>
        <v>-1.2221332857142858E-3</v>
      </c>
      <c r="P27" s="3">
        <f t="shared" si="1"/>
        <v>0.45391004231126064</v>
      </c>
      <c r="Q27" s="3"/>
      <c r="R27" s="3"/>
      <c r="S27" s="3"/>
      <c r="T27" s="3"/>
      <c r="U27" s="3"/>
      <c r="V27" s="3"/>
      <c r="W27" s="3"/>
    </row>
    <row r="28" spans="1:23" x14ac:dyDescent="0.25">
      <c r="A28" s="2">
        <v>10000000000</v>
      </c>
      <c r="B28" s="2">
        <v>-5.6879999999999998E-5</v>
      </c>
      <c r="C28" s="2">
        <v>5.3490000000000005E-4</v>
      </c>
      <c r="D28" s="2">
        <v>-6.2589999999999998E-4</v>
      </c>
      <c r="E28" s="2">
        <v>0</v>
      </c>
      <c r="F28" s="2">
        <v>0</v>
      </c>
      <c r="G28" s="2">
        <v>0</v>
      </c>
      <c r="H28" s="2">
        <v>2.4391889999999999E-4</v>
      </c>
      <c r="I28" s="2">
        <v>6.8064414999999999E-5</v>
      </c>
      <c r="J28" s="2">
        <v>-5.2885290999999995E-4</v>
      </c>
      <c r="K28" s="3"/>
      <c r="L28" s="3">
        <f t="shared" si="0"/>
        <v>-9.0877136922831128E-2</v>
      </c>
      <c r="M28" s="3"/>
      <c r="N28" s="2">
        <f>IF('Modell einstellen'!$B$1="Voll",H28/0.35,H28/0.35*2)</f>
        <v>6.9691114285714282E-4</v>
      </c>
      <c r="O28" s="2">
        <f>IF('Modell einstellen'!$B$1="Voll",J28/0.35,J28/0.35*2)</f>
        <v>-1.5110083142857143E-3</v>
      </c>
      <c r="P28" s="3">
        <f t="shared" si="1"/>
        <v>0.46122257321038468</v>
      </c>
      <c r="Q28" s="3"/>
      <c r="R28" s="3"/>
      <c r="S28" s="3"/>
      <c r="T28" s="3"/>
      <c r="U28" s="3"/>
      <c r="V28" s="3"/>
      <c r="W28" s="3"/>
    </row>
    <row r="29" spans="1:23" x14ac:dyDescent="0.25">
      <c r="A29" s="2">
        <v>100000000000</v>
      </c>
      <c r="B29" s="2">
        <v>-2.8160000000000001E-4</v>
      </c>
      <c r="C29" s="2">
        <v>6.7520000000000004E-4</v>
      </c>
      <c r="D29" s="2">
        <v>-5.4540000000000003E-4</v>
      </c>
      <c r="E29" s="2">
        <v>0</v>
      </c>
      <c r="F29" s="2">
        <v>0</v>
      </c>
      <c r="G29" s="2">
        <v>0</v>
      </c>
      <c r="H29" s="2">
        <v>3.3211554000000003E-4</v>
      </c>
      <c r="I29" s="2">
        <v>9.1448072000000006E-5</v>
      </c>
      <c r="J29" s="2">
        <v>-7.0234659999999995E-4</v>
      </c>
      <c r="K29" s="3"/>
      <c r="L29" s="3">
        <f t="shared" si="0"/>
        <v>-0.51631829849651634</v>
      </c>
      <c r="M29" s="3"/>
      <c r="N29" s="2">
        <f>IF('Modell einstellen'!$B$1="Voll",H29/0.35,H29/0.35*2)</f>
        <v>9.4890154285714296E-4</v>
      </c>
      <c r="O29" s="2">
        <f>IF('Modell einstellen'!$B$1="Voll",J29/0.35,J29/0.35*2)</f>
        <v>-2.0067045714285713E-3</v>
      </c>
      <c r="P29" s="3">
        <f t="shared" si="1"/>
        <v>0.47286559086354235</v>
      </c>
      <c r="Q29" s="3"/>
      <c r="R29" s="3"/>
      <c r="S29" s="3"/>
      <c r="T29" s="3"/>
      <c r="U29" s="3"/>
      <c r="V29" s="3"/>
      <c r="W29" s="3"/>
    </row>
    <row r="30" spans="1:23" x14ac:dyDescent="0.25">
      <c r="A30" s="2">
        <v>1000000000000</v>
      </c>
      <c r="B30" s="2">
        <v>-6.8389999999999998E-4</v>
      </c>
      <c r="C30" s="2">
        <v>8.6370000000000001E-4</v>
      </c>
      <c r="D30" s="2">
        <v>-3.3520000000000002E-4</v>
      </c>
      <c r="E30" s="2">
        <v>0</v>
      </c>
      <c r="F30" s="2">
        <v>0</v>
      </c>
      <c r="G30" s="2">
        <v>0</v>
      </c>
      <c r="H30" s="2">
        <v>4.6491061999999998E-4</v>
      </c>
      <c r="I30" s="2">
        <v>1.2499762E-4</v>
      </c>
      <c r="J30" s="2">
        <v>-9.5744837999999996E-4</v>
      </c>
      <c r="K30" s="3"/>
      <c r="L30" s="3">
        <f t="shared" si="0"/>
        <v>-2.0402744630071599</v>
      </c>
      <c r="M30" s="3"/>
      <c r="N30" s="2">
        <f>IF('Modell einstellen'!$B$1="Voll",H30/0.35,H30/0.35*2)</f>
        <v>1.3283160571428572E-3</v>
      </c>
      <c r="O30" s="2">
        <f>IF('Modell einstellen'!$B$1="Voll",J30/0.35,J30/0.35*2)</f>
        <v>-2.7355667999999999E-3</v>
      </c>
      <c r="P30" s="3">
        <f t="shared" si="1"/>
        <v>0.48557251723586398</v>
      </c>
      <c r="Q30" s="3"/>
      <c r="R30" s="3"/>
      <c r="S30" s="3"/>
      <c r="T30" s="3"/>
      <c r="U30" s="3"/>
      <c r="V30" s="3"/>
      <c r="W30" s="3"/>
    </row>
    <row r="31" spans="1:23" x14ac:dyDescent="0.25">
      <c r="A31" s="2">
        <v>10000000000000</v>
      </c>
      <c r="B31" s="2">
        <v>-1.3140000000000001E-3</v>
      </c>
      <c r="C31" s="2">
        <v>1.1100000000000001E-3</v>
      </c>
      <c r="D31" s="2">
        <v>4.613E-5</v>
      </c>
      <c r="E31" s="2">
        <v>0</v>
      </c>
      <c r="F31" s="2">
        <v>0</v>
      </c>
      <c r="G31" s="2">
        <v>0</v>
      </c>
      <c r="H31" s="2">
        <v>6.5525694000000004E-4</v>
      </c>
      <c r="I31" s="2">
        <v>1.7092086E-4</v>
      </c>
      <c r="J31" s="2">
        <v>-1.3148941999999999E-3</v>
      </c>
      <c r="K31" s="3"/>
      <c r="L31" s="3">
        <f t="shared" si="0"/>
        <v>28.484717103836985</v>
      </c>
      <c r="M31" s="3"/>
      <c r="N31" s="2">
        <f>IF('Modell einstellen'!$B$1="Voll",H31/0.35,H31/0.35*2)</f>
        <v>1.872162685714286E-3</v>
      </c>
      <c r="O31" s="2">
        <f>IF('Modell einstellen'!$B$1="Voll",J31/0.35,J31/0.35*2)</f>
        <v>-3.7568405714285716E-3</v>
      </c>
      <c r="P31" s="3">
        <f t="shared" si="1"/>
        <v>0.49833434507506391</v>
      </c>
      <c r="Q31" s="3"/>
      <c r="R31" s="3"/>
      <c r="S31" s="3"/>
      <c r="T31" s="3"/>
      <c r="U31" s="3"/>
      <c r="V31" s="3"/>
      <c r="W31" s="3"/>
    </row>
    <row r="32" spans="1:23" x14ac:dyDescent="0.25">
      <c r="A32" s="2">
        <v>100000000000000</v>
      </c>
      <c r="B32" s="2">
        <v>-1.915E-3</v>
      </c>
      <c r="C32" s="2">
        <v>1.3270000000000001E-3</v>
      </c>
      <c r="D32" s="2">
        <v>4.283E-4</v>
      </c>
      <c r="E32" s="2">
        <v>0</v>
      </c>
      <c r="F32" s="2">
        <v>0</v>
      </c>
      <c r="G32" s="2">
        <v>0</v>
      </c>
      <c r="H32" s="2">
        <v>8.2902365999999999E-4</v>
      </c>
      <c r="I32" s="2">
        <v>2.1255037999999999E-4</v>
      </c>
      <c r="J32" s="2">
        <v>-1.6397065000000001E-3</v>
      </c>
      <c r="K32" s="3"/>
      <c r="L32" s="3">
        <f t="shared" si="0"/>
        <v>4.4711650712117672</v>
      </c>
      <c r="M32" s="3"/>
      <c r="N32" s="2">
        <f>IF('Modell einstellen'!$B$1="Voll",H32/0.35,H32/0.35*2)</f>
        <v>2.3686390285714287E-3</v>
      </c>
      <c r="O32" s="2">
        <f>IF('Modell einstellen'!$B$1="Voll",J32/0.35,J32/0.35*2)</f>
        <v>-4.6848757142857146E-3</v>
      </c>
      <c r="P32" s="3">
        <f t="shared" si="1"/>
        <v>0.50559271430588337</v>
      </c>
      <c r="Q32" s="3"/>
      <c r="R32" s="3"/>
      <c r="S32" s="3"/>
      <c r="T32" s="3"/>
      <c r="U32" s="3"/>
      <c r="V32" s="3"/>
      <c r="W32" s="3"/>
    </row>
    <row r="33" spans="1:23" x14ac:dyDescent="0.25">
      <c r="A33" s="2">
        <v>1000000000000000</v>
      </c>
      <c r="B33" s="2">
        <v>-2.4199999999999998E-3</v>
      </c>
      <c r="C33" s="2">
        <v>1.505E-3</v>
      </c>
      <c r="D33" s="2">
        <v>7.5520000000000003E-4</v>
      </c>
      <c r="E33" s="2">
        <v>0</v>
      </c>
      <c r="F33" s="2">
        <v>0</v>
      </c>
      <c r="G33" s="2">
        <v>0</v>
      </c>
      <c r="H33" s="2">
        <v>9.7326358999999996E-4</v>
      </c>
      <c r="I33" s="2">
        <v>2.4709378999999997E-4</v>
      </c>
      <c r="J33" s="2">
        <v>-1.9089707000000001E-3</v>
      </c>
      <c r="K33" s="3"/>
      <c r="L33" s="3">
        <f t="shared" si="0"/>
        <v>3.2044491525423724</v>
      </c>
      <c r="M33" s="3"/>
      <c r="N33" s="2">
        <f>IF('Modell einstellen'!$B$1="Voll",H33/0.35,H33/0.35*2)</f>
        <v>2.7807531142857145E-3</v>
      </c>
      <c r="O33" s="2">
        <f>IF('Modell einstellen'!$B$1="Voll",J33/0.35,J33/0.35*2)</f>
        <v>-5.4542020000000009E-3</v>
      </c>
      <c r="P33" s="3">
        <f t="shared" si="1"/>
        <v>0.50983684034542798</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9.4790000000000006E-5</v>
      </c>
      <c r="C3" s="3">
        <v>1.226E-4</v>
      </c>
      <c r="D3" s="3">
        <v>-3.4370000000000001E-4</v>
      </c>
      <c r="E3" s="3">
        <v>0</v>
      </c>
      <c r="F3" s="3">
        <v>0</v>
      </c>
      <c r="G3" s="3">
        <v>0</v>
      </c>
      <c r="H3" s="3">
        <v>4.6113411999999997E-5</v>
      </c>
      <c r="I3" s="3">
        <v>1.2237786999999999E-5</v>
      </c>
      <c r="J3" s="3">
        <v>-1.2774705000000001E-4</v>
      </c>
      <c r="L3" s="3">
        <f>-B3/D3</f>
        <v>0.27579284259528658</v>
      </c>
      <c r="M3" s="3"/>
      <c r="N3" s="2">
        <f>IF('Modell einstellen'!$B$1="Voll",H3/0.35,H3/0.35*2)</f>
        <v>1.317526057142857E-4</v>
      </c>
      <c r="O3" s="2">
        <f>IF('Modell einstellen'!$B$1="Voll",J3/0.35,J3/0.35*2)</f>
        <v>-3.6499157142857151E-4</v>
      </c>
      <c r="P3" s="3">
        <f>-N3/O3</f>
        <v>0.36097437866471271</v>
      </c>
    </row>
    <row r="4" spans="1:16" x14ac:dyDescent="0.25">
      <c r="A4" s="3">
        <v>1E-14</v>
      </c>
      <c r="B4" s="3">
        <v>9.6849999999999996E-5</v>
      </c>
      <c r="C4" s="3">
        <v>1.2750000000000001E-4</v>
      </c>
      <c r="D4" s="3">
        <v>-3.5149999999999998E-4</v>
      </c>
      <c r="E4" s="3">
        <v>0</v>
      </c>
      <c r="F4" s="3">
        <v>0</v>
      </c>
      <c r="G4" s="3">
        <v>0</v>
      </c>
      <c r="H4" s="3">
        <v>4.8291144000000003E-5</v>
      </c>
      <c r="I4" s="3">
        <v>1.2772734E-5</v>
      </c>
      <c r="J4" s="3">
        <v>-1.3195865999999999E-4</v>
      </c>
      <c r="L4" s="3">
        <f t="shared" ref="L4:L33" si="0">-B4/D4</f>
        <v>0.27553342816500714</v>
      </c>
      <c r="M4" s="3"/>
      <c r="N4" s="2">
        <f>IF('Modell einstellen'!$B$1="Voll",H4/0.35,H4/0.35*2)</f>
        <v>1.3797469714285716E-4</v>
      </c>
      <c r="O4" s="2">
        <f>IF('Modell einstellen'!$B$1="Voll",J4/0.35,J4/0.35*2)</f>
        <v>-3.7702474285714288E-4</v>
      </c>
      <c r="P4" s="3">
        <f t="shared" ref="P4:P33" si="1">-N4/O4</f>
        <v>0.3659566109567951</v>
      </c>
    </row>
    <row r="5" spans="1:16" x14ac:dyDescent="0.25">
      <c r="A5" s="3">
        <v>1E-13</v>
      </c>
      <c r="B5" s="3">
        <v>9.7979999999999994E-5</v>
      </c>
      <c r="C5" s="3">
        <v>1.305E-4</v>
      </c>
      <c r="D5" s="3">
        <v>-3.5609999999999998E-4</v>
      </c>
      <c r="E5" s="3">
        <v>0</v>
      </c>
      <c r="F5" s="3">
        <v>0</v>
      </c>
      <c r="G5" s="3">
        <v>0</v>
      </c>
      <c r="H5" s="3">
        <v>4.9617865999999998E-5</v>
      </c>
      <c r="I5" s="3">
        <v>1.3095233999999999E-5</v>
      </c>
      <c r="J5" s="3">
        <v>-1.3451357E-4</v>
      </c>
      <c r="L5" s="3">
        <f t="shared" si="0"/>
        <v>0.27514743049705137</v>
      </c>
      <c r="M5" s="3"/>
      <c r="N5" s="2">
        <f>IF('Modell einstellen'!$B$1="Voll",H5/0.35,H5/0.35*2)</f>
        <v>1.4176533142857143E-4</v>
      </c>
      <c r="O5" s="2">
        <f>IF('Modell einstellen'!$B$1="Voll",J5/0.35,J5/0.35*2)</f>
        <v>-3.8432448571428576E-4</v>
      </c>
      <c r="P5" s="3">
        <f t="shared" si="1"/>
        <v>0.36886885092708488</v>
      </c>
    </row>
    <row r="6" spans="1:16" x14ac:dyDescent="0.25">
      <c r="A6" s="3">
        <v>9.9999999999999998E-13</v>
      </c>
      <c r="B6" s="3">
        <v>9.9099999999999996E-5</v>
      </c>
      <c r="C6" s="3">
        <v>1.3359999999999999E-4</v>
      </c>
      <c r="D6" s="3">
        <v>-3.6079999999999999E-4</v>
      </c>
      <c r="E6" s="3">
        <v>0</v>
      </c>
      <c r="F6" s="3">
        <v>0</v>
      </c>
      <c r="G6" s="3">
        <v>0</v>
      </c>
      <c r="H6" s="3">
        <v>5.1019395999999997E-5</v>
      </c>
      <c r="I6" s="3">
        <v>1.3432961E-5</v>
      </c>
      <c r="J6" s="3">
        <v>-1.3720114999999999E-4</v>
      </c>
      <c r="L6" s="3">
        <f t="shared" si="0"/>
        <v>0.27466740576496673</v>
      </c>
      <c r="M6" s="3"/>
      <c r="N6" s="2">
        <f>IF('Modell einstellen'!$B$1="Voll",H6/0.35,H6/0.35*2)</f>
        <v>1.4576970285714287E-4</v>
      </c>
      <c r="O6" s="2">
        <f>IF('Modell einstellen'!$B$1="Voll",J6/0.35,J6/0.35*2)</f>
        <v>-3.9200328571428571E-4</v>
      </c>
      <c r="P6" s="3">
        <f t="shared" si="1"/>
        <v>0.37185836999179678</v>
      </c>
    </row>
    <row r="7" spans="1:16" x14ac:dyDescent="0.25">
      <c r="A7" s="3">
        <v>9.9999999999999994E-12</v>
      </c>
      <c r="B7" s="3">
        <v>1.003E-4</v>
      </c>
      <c r="C7" s="3">
        <v>1.37E-4</v>
      </c>
      <c r="D7" s="3">
        <v>-3.6600000000000001E-4</v>
      </c>
      <c r="E7" s="3">
        <v>0</v>
      </c>
      <c r="F7" s="3">
        <v>0</v>
      </c>
      <c r="G7" s="3">
        <v>0</v>
      </c>
      <c r="H7" s="3">
        <v>5.2591813000000002E-5</v>
      </c>
      <c r="I7" s="3">
        <v>1.3808335E-5</v>
      </c>
      <c r="J7" s="3">
        <v>-1.4020221E-4</v>
      </c>
      <c r="L7" s="3">
        <f t="shared" si="0"/>
        <v>0.27404371584699455</v>
      </c>
      <c r="M7" s="3"/>
      <c r="N7" s="2">
        <f>IF('Modell einstellen'!$B$1="Voll",H7/0.35,H7/0.35*2)</f>
        <v>1.5026232285714287E-4</v>
      </c>
      <c r="O7" s="2">
        <f>IF('Modell einstellen'!$B$1="Voll",J7/0.35,J7/0.35*2)</f>
        <v>-4.0057774285714288E-4</v>
      </c>
      <c r="P7" s="3">
        <f t="shared" si="1"/>
        <v>0.37511400854522908</v>
      </c>
    </row>
    <row r="8" spans="1:16" x14ac:dyDescent="0.25">
      <c r="A8" s="3">
        <v>1E-10</v>
      </c>
      <c r="B8" s="3">
        <v>1.015E-4</v>
      </c>
      <c r="C8" s="3">
        <v>1.4100000000000001E-4</v>
      </c>
      <c r="D8" s="3">
        <v>-3.7179999999999998E-4</v>
      </c>
      <c r="E8" s="3">
        <v>0</v>
      </c>
      <c r="F8" s="3">
        <v>0</v>
      </c>
      <c r="G8" s="3">
        <v>0</v>
      </c>
      <c r="H8" s="3">
        <v>5.4421678000000001E-5</v>
      </c>
      <c r="I8" s="3">
        <v>1.4240702E-5</v>
      </c>
      <c r="J8" s="3">
        <v>-1.436768E-4</v>
      </c>
      <c r="L8" s="3">
        <f t="shared" si="0"/>
        <v>0.27299623453469607</v>
      </c>
      <c r="M8" s="3"/>
      <c r="N8" s="2">
        <f>IF('Modell einstellen'!$B$1="Voll",H8/0.35,H8/0.35*2)</f>
        <v>1.5549050857142859E-4</v>
      </c>
      <c r="O8" s="2">
        <f>IF('Modell einstellen'!$B$1="Voll",J8/0.35,J8/0.35*2)</f>
        <v>-4.1050514285714286E-4</v>
      </c>
      <c r="P8" s="3">
        <f t="shared" si="1"/>
        <v>0.37877846666963633</v>
      </c>
    </row>
    <row r="9" spans="1:16" x14ac:dyDescent="0.25">
      <c r="A9" s="3">
        <v>1.0000000000000001E-9</v>
      </c>
      <c r="B9" s="3">
        <v>1.027E-4</v>
      </c>
      <c r="C9" s="3">
        <v>1.4540000000000001E-4</v>
      </c>
      <c r="D9" s="3">
        <v>-3.7819999999999998E-4</v>
      </c>
      <c r="E9" s="3">
        <v>0</v>
      </c>
      <c r="F9" s="3">
        <v>0</v>
      </c>
      <c r="G9" s="3">
        <v>0</v>
      </c>
      <c r="H9" s="3">
        <v>5.6533480999999998E-5</v>
      </c>
      <c r="I9" s="3">
        <v>1.4733568E-5</v>
      </c>
      <c r="J9" s="3">
        <v>-1.4766249999999999E-4</v>
      </c>
      <c r="L9" s="3">
        <f t="shared" si="0"/>
        <v>0.27154944473823378</v>
      </c>
      <c r="M9" s="3"/>
      <c r="N9" s="2">
        <f>IF('Modell einstellen'!$B$1="Voll",H9/0.35,H9/0.35*2)</f>
        <v>1.6152423142857142E-4</v>
      </c>
      <c r="O9" s="2">
        <f>IF('Modell einstellen'!$B$1="Voll",J9/0.35,J9/0.35*2)</f>
        <v>-4.2189285714285712E-4</v>
      </c>
      <c r="P9" s="3">
        <f t="shared" si="1"/>
        <v>0.38285604672818085</v>
      </c>
    </row>
    <row r="10" spans="1:16" x14ac:dyDescent="0.25">
      <c r="A10" s="3">
        <v>1E-8</v>
      </c>
      <c r="B10" s="3">
        <v>1.039E-4</v>
      </c>
      <c r="C10" s="3">
        <v>1.505E-4</v>
      </c>
      <c r="D10" s="3">
        <v>-3.8529999999999999E-4</v>
      </c>
      <c r="E10" s="3">
        <v>0</v>
      </c>
      <c r="F10" s="3">
        <v>0</v>
      </c>
      <c r="G10" s="3">
        <v>0</v>
      </c>
      <c r="H10" s="3">
        <v>5.8996897999999999E-5</v>
      </c>
      <c r="I10" s="3">
        <v>1.530069E-5</v>
      </c>
      <c r="J10" s="3">
        <v>-1.5228118999999999E-4</v>
      </c>
      <c r="L10" s="3">
        <f t="shared" si="0"/>
        <v>0.26966000519076044</v>
      </c>
      <c r="M10" s="3"/>
      <c r="N10" s="2">
        <f>IF('Modell einstellen'!$B$1="Voll",H10/0.35,H10/0.35*2)</f>
        <v>1.6856256571428572E-4</v>
      </c>
      <c r="O10" s="2">
        <f>IF('Modell einstellen'!$B$1="Voll",J10/0.35,J10/0.35*2)</f>
        <v>-4.350891142857143E-4</v>
      </c>
      <c r="P10" s="3">
        <f t="shared" si="1"/>
        <v>0.38742078388013651</v>
      </c>
    </row>
    <row r="11" spans="1:16" x14ac:dyDescent="0.25">
      <c r="A11" s="3">
        <v>9.9999999999999995E-8</v>
      </c>
      <c r="B11" s="3">
        <v>1.049E-4</v>
      </c>
      <c r="C11" s="3">
        <v>1.5579999999999999E-4</v>
      </c>
      <c r="D11" s="3">
        <v>-3.926E-4</v>
      </c>
      <c r="E11" s="3">
        <v>0</v>
      </c>
      <c r="F11" s="3">
        <v>0</v>
      </c>
      <c r="G11" s="3">
        <v>0</v>
      </c>
      <c r="H11" s="3">
        <v>6.1670152999999996E-5</v>
      </c>
      <c r="I11" s="3">
        <v>1.5906020000000001E-5</v>
      </c>
      <c r="J11" s="3">
        <v>-1.5725386E-4</v>
      </c>
      <c r="L11" s="3">
        <f t="shared" si="0"/>
        <v>0.2671930718288334</v>
      </c>
      <c r="M11" s="3"/>
      <c r="N11" s="2">
        <f>IF('Modell einstellen'!$B$1="Voll",H11/0.35,H11/0.35*2)</f>
        <v>1.7620043714285715E-4</v>
      </c>
      <c r="O11" s="2">
        <f>IF('Modell einstellen'!$B$1="Voll",J11/0.35,J11/0.35*2)</f>
        <v>-4.4929674285714289E-4</v>
      </c>
      <c r="P11" s="3">
        <f t="shared" si="1"/>
        <v>0.39216940684317697</v>
      </c>
    </row>
    <row r="12" spans="1:16" x14ac:dyDescent="0.25">
      <c r="A12" s="3">
        <v>9.9999999999999995E-7</v>
      </c>
      <c r="B12" s="3">
        <v>1.0569999999999999E-4</v>
      </c>
      <c r="C12" s="3">
        <v>1.6110000000000001E-4</v>
      </c>
      <c r="D12" s="3">
        <v>-3.9950000000000001E-4</v>
      </c>
      <c r="E12" s="3">
        <v>0</v>
      </c>
      <c r="F12" s="3">
        <v>0</v>
      </c>
      <c r="G12" s="3">
        <v>0</v>
      </c>
      <c r="H12" s="3">
        <v>6.4370942999999995E-5</v>
      </c>
      <c r="I12" s="3">
        <v>1.6507691E-5</v>
      </c>
      <c r="J12" s="3">
        <v>-1.6223931000000001E-4</v>
      </c>
      <c r="L12" s="3">
        <f t="shared" si="0"/>
        <v>0.26458072590738418</v>
      </c>
      <c r="M12" s="3"/>
      <c r="N12" s="2">
        <f>IF('Modell einstellen'!$B$1="Voll",H12/0.35,H12/0.35*2)</f>
        <v>1.8391697999999999E-4</v>
      </c>
      <c r="O12" s="2">
        <f>IF('Modell einstellen'!$B$1="Voll",J12/0.35,J12/0.35*2)</f>
        <v>-4.6354088571428579E-4</v>
      </c>
      <c r="P12" s="3">
        <f t="shared" si="1"/>
        <v>0.39676538934984368</v>
      </c>
    </row>
    <row r="13" spans="1:16" x14ac:dyDescent="0.25">
      <c r="A13" s="3">
        <v>1.0000000000000001E-5</v>
      </c>
      <c r="B13" s="3">
        <v>1.0620000000000001E-4</v>
      </c>
      <c r="C13" s="3">
        <v>1.6750000000000001E-4</v>
      </c>
      <c r="D13" s="3">
        <v>-4.0749999999999998E-4</v>
      </c>
      <c r="E13" s="3">
        <v>0</v>
      </c>
      <c r="F13" s="3">
        <v>0</v>
      </c>
      <c r="G13" s="3">
        <v>0</v>
      </c>
      <c r="H13" s="3">
        <v>6.7725370000000005E-5</v>
      </c>
      <c r="I13" s="3">
        <v>1.7241733000000002E-5</v>
      </c>
      <c r="J13" s="3">
        <v>-1.6838062E-4</v>
      </c>
      <c r="L13" s="3">
        <f t="shared" si="0"/>
        <v>0.26061349693251534</v>
      </c>
      <c r="M13" s="3"/>
      <c r="N13" s="2">
        <f>IF('Modell einstellen'!$B$1="Voll",H13/0.35,H13/0.35*2)</f>
        <v>1.9350105714285718E-4</v>
      </c>
      <c r="O13" s="2">
        <f>IF('Modell einstellen'!$B$1="Voll",J13/0.35,J13/0.35*2)</f>
        <v>-4.8108748571428574E-4</v>
      </c>
      <c r="P13" s="3">
        <f t="shared" si="1"/>
        <v>0.40221594385387111</v>
      </c>
    </row>
    <row r="14" spans="1:16" x14ac:dyDescent="0.25">
      <c r="A14" s="3">
        <v>1E-4</v>
      </c>
      <c r="B14" s="3">
        <v>1.064E-4</v>
      </c>
      <c r="C14" s="3">
        <v>1.7560000000000001E-4</v>
      </c>
      <c r="D14" s="3">
        <v>-4.17E-4</v>
      </c>
      <c r="E14" s="3">
        <v>0</v>
      </c>
      <c r="F14" s="3">
        <v>0</v>
      </c>
      <c r="G14" s="3">
        <v>0</v>
      </c>
      <c r="H14" s="3">
        <v>7.2106434000000004E-5</v>
      </c>
      <c r="I14" s="3">
        <v>1.8177641999999998E-5</v>
      </c>
      <c r="J14" s="3">
        <v>-1.7631402999999999E-4</v>
      </c>
      <c r="L14" s="3">
        <f t="shared" si="0"/>
        <v>0.25515587529976019</v>
      </c>
      <c r="M14" s="3"/>
      <c r="N14" s="2">
        <f>IF('Modell einstellen'!$B$1="Voll",H14/0.35,H14/0.35*2)</f>
        <v>2.0601838285714289E-4</v>
      </c>
      <c r="O14" s="2">
        <f>IF('Modell einstellen'!$B$1="Voll",J14/0.35,J14/0.35*2)</f>
        <v>-5.0375437142857141E-4</v>
      </c>
      <c r="P14" s="3">
        <f t="shared" si="1"/>
        <v>0.40896594559151084</v>
      </c>
    </row>
    <row r="15" spans="1:16" x14ac:dyDescent="0.25">
      <c r="A15" s="3">
        <v>1E-3</v>
      </c>
      <c r="B15" s="3">
        <v>1.058E-4</v>
      </c>
      <c r="C15" s="3">
        <v>1.8450000000000001E-4</v>
      </c>
      <c r="D15" s="3">
        <v>-4.2680000000000002E-4</v>
      </c>
      <c r="E15" s="3">
        <v>0</v>
      </c>
      <c r="F15" s="3">
        <v>0</v>
      </c>
      <c r="G15" s="3">
        <v>0</v>
      </c>
      <c r="H15" s="3">
        <v>7.7191012000000006E-5</v>
      </c>
      <c r="I15" s="3">
        <v>1.9230794999999999E-5</v>
      </c>
      <c r="J15" s="3">
        <v>-1.8539467E-4</v>
      </c>
      <c r="L15" s="3">
        <f t="shared" si="0"/>
        <v>0.24789128397375818</v>
      </c>
      <c r="M15" s="3"/>
      <c r="N15" s="2">
        <f>IF('Modell einstellen'!$B$1="Voll",H15/0.35,H15/0.35*2)</f>
        <v>2.2054574857142861E-4</v>
      </c>
      <c r="O15" s="2">
        <f>IF('Modell einstellen'!$B$1="Voll",J15/0.35,J15/0.35*2)</f>
        <v>-5.2969905714285719E-4</v>
      </c>
      <c r="P15" s="3">
        <f t="shared" si="1"/>
        <v>0.41636047034146129</v>
      </c>
    </row>
    <row r="16" spans="1:16" x14ac:dyDescent="0.25">
      <c r="A16" s="3">
        <v>0.01</v>
      </c>
      <c r="B16" s="3">
        <v>1.044E-4</v>
      </c>
      <c r="C16" s="3">
        <v>1.9269999999999999E-4</v>
      </c>
      <c r="D16" s="3">
        <v>-4.348E-4</v>
      </c>
      <c r="E16" s="3">
        <v>0</v>
      </c>
      <c r="F16" s="3">
        <v>0</v>
      </c>
      <c r="G16" s="3">
        <v>0</v>
      </c>
      <c r="H16" s="3">
        <v>8.2042080000000004E-5</v>
      </c>
      <c r="I16" s="3">
        <v>2.0202170999999998E-5</v>
      </c>
      <c r="J16" s="3">
        <v>-1.9393046000000001E-4</v>
      </c>
      <c r="L16" s="3">
        <f t="shared" si="0"/>
        <v>0.24011039558417663</v>
      </c>
      <c r="M16" s="3"/>
      <c r="N16" s="2">
        <f>IF('Modell einstellen'!$B$1="Voll",H16/0.35,H16/0.35*2)</f>
        <v>2.344059428571429E-4</v>
      </c>
      <c r="O16" s="2">
        <f>IF('Modell einstellen'!$B$1="Voll",J16/0.35,J16/0.35*2)</f>
        <v>-5.5408702857142863E-4</v>
      </c>
      <c r="P16" s="3">
        <f t="shared" si="1"/>
        <v>0.42304896301488693</v>
      </c>
    </row>
    <row r="17" spans="1:16" x14ac:dyDescent="0.25">
      <c r="A17" s="3">
        <v>0.1</v>
      </c>
      <c r="B17" s="3">
        <v>1.024E-4</v>
      </c>
      <c r="C17" s="3">
        <v>2.0019999999999999E-4</v>
      </c>
      <c r="D17" s="3">
        <v>-4.416E-4</v>
      </c>
      <c r="E17" s="3">
        <v>0</v>
      </c>
      <c r="F17" s="3">
        <v>0</v>
      </c>
      <c r="G17" s="3">
        <v>0</v>
      </c>
      <c r="H17" s="3">
        <v>8.6756880999999997E-5</v>
      </c>
      <c r="I17" s="3">
        <v>2.1118996000000001E-5</v>
      </c>
      <c r="J17" s="3">
        <v>-2.0212278999999999E-4</v>
      </c>
      <c r="L17" s="3">
        <f t="shared" si="0"/>
        <v>0.2318840579710145</v>
      </c>
      <c r="M17" s="3"/>
      <c r="N17" s="2">
        <f>IF('Modell einstellen'!$B$1="Voll",H17/0.35,H17/0.35*2)</f>
        <v>2.4787680285714287E-4</v>
      </c>
      <c r="O17" s="2">
        <f>IF('Modell einstellen'!$B$1="Voll",J17/0.35,J17/0.35*2)</f>
        <v>-5.774936857142857E-4</v>
      </c>
      <c r="P17" s="3">
        <f t="shared" si="1"/>
        <v>0.42922859416298381</v>
      </c>
    </row>
    <row r="18" spans="1:16" x14ac:dyDescent="0.25">
      <c r="A18" s="3">
        <v>1</v>
      </c>
      <c r="B18" s="3">
        <v>9.959E-5</v>
      </c>
      <c r="C18" s="3">
        <v>2.0819999999999999E-4</v>
      </c>
      <c r="D18" s="3">
        <v>-4.4799999999999999E-4</v>
      </c>
      <c r="E18" s="3">
        <v>0</v>
      </c>
      <c r="F18" s="3">
        <v>0</v>
      </c>
      <c r="G18" s="3">
        <v>0</v>
      </c>
      <c r="H18" s="3">
        <v>9.1944983000000002E-5</v>
      </c>
      <c r="I18" s="3">
        <v>2.2096280999999999E-5</v>
      </c>
      <c r="J18" s="3">
        <v>-2.1101754000000001E-4</v>
      </c>
      <c r="L18" s="3">
        <f t="shared" si="0"/>
        <v>0.22229910714285714</v>
      </c>
      <c r="M18" s="3"/>
      <c r="N18" s="2">
        <f>IF('Modell einstellen'!$B$1="Voll",H18/0.35,H18/0.35*2)</f>
        <v>2.6269995142857143E-4</v>
      </c>
      <c r="O18" s="2">
        <f>IF('Modell einstellen'!$B$1="Voll",J18/0.35,J18/0.35*2)</f>
        <v>-6.0290725714285721E-4</v>
      </c>
      <c r="P18" s="3">
        <f t="shared" si="1"/>
        <v>0.43572199258886246</v>
      </c>
    </row>
    <row r="19" spans="1:16" x14ac:dyDescent="0.25">
      <c r="A19" s="3">
        <v>10</v>
      </c>
      <c r="B19" s="3">
        <v>9.569E-5</v>
      </c>
      <c r="C19" s="3">
        <v>2.1670000000000001E-4</v>
      </c>
      <c r="D19" s="3">
        <v>-4.5399999999999998E-4</v>
      </c>
      <c r="E19" s="3">
        <v>0</v>
      </c>
      <c r="F19" s="3">
        <v>0</v>
      </c>
      <c r="G19" s="3">
        <v>0</v>
      </c>
      <c r="H19" s="3">
        <v>9.7739307E-5</v>
      </c>
      <c r="I19" s="3">
        <v>2.3155308E-5</v>
      </c>
      <c r="J19" s="3">
        <v>-2.2082577E-4</v>
      </c>
      <c r="L19" s="3">
        <f t="shared" si="0"/>
        <v>0.21077092511013218</v>
      </c>
      <c r="M19" s="3"/>
      <c r="N19" s="2">
        <f>IF('Modell einstellen'!$B$1="Voll",H19/0.35,H19/0.35*2)</f>
        <v>2.7925516285714287E-4</v>
      </c>
      <c r="O19" s="2">
        <f>IF('Modell einstellen'!$B$1="Voll",J19/0.35,J19/0.35*2)</f>
        <v>-6.3093077142857145E-4</v>
      </c>
      <c r="P19" s="3">
        <f t="shared" si="1"/>
        <v>0.44260824721679903</v>
      </c>
    </row>
    <row r="20" spans="1:16" x14ac:dyDescent="0.25">
      <c r="A20" s="3">
        <v>100</v>
      </c>
      <c r="B20" s="3">
        <v>9.0950000000000002E-5</v>
      </c>
      <c r="C20" s="3">
        <v>2.2589999999999999E-4</v>
      </c>
      <c r="D20" s="3">
        <v>-4.5970000000000001E-4</v>
      </c>
      <c r="E20" s="3">
        <v>0</v>
      </c>
      <c r="F20" s="3">
        <v>0</v>
      </c>
      <c r="G20" s="3">
        <v>0</v>
      </c>
      <c r="H20" s="3">
        <v>1.0403789E-4</v>
      </c>
      <c r="I20" s="3">
        <v>2.4317586000000001E-5</v>
      </c>
      <c r="J20" s="3">
        <v>-2.3149828999999999E-4</v>
      </c>
      <c r="L20" s="3">
        <f t="shared" si="0"/>
        <v>0.19784642157929083</v>
      </c>
      <c r="M20" s="3"/>
      <c r="N20" s="2">
        <f>IF('Modell einstellen'!$B$1="Voll",H20/0.35,H20/0.35*2)</f>
        <v>2.9725111428571431E-4</v>
      </c>
      <c r="O20" s="2">
        <f>IF('Modell einstellen'!$B$1="Voll",J20/0.35,J20/0.35*2)</f>
        <v>-6.6142368571428577E-4</v>
      </c>
      <c r="P20" s="3">
        <f t="shared" si="1"/>
        <v>0.44941105180517749</v>
      </c>
    </row>
    <row r="21" spans="1:16" x14ac:dyDescent="0.25">
      <c r="A21" s="3">
        <v>1000</v>
      </c>
      <c r="B21" s="3">
        <v>8.7239999999999998E-5</v>
      </c>
      <c r="C21" s="3">
        <v>2.4020000000000001E-4</v>
      </c>
      <c r="D21" s="3">
        <v>-4.7120000000000002E-4</v>
      </c>
      <c r="E21" s="3">
        <v>0</v>
      </c>
      <c r="F21" s="3">
        <v>0</v>
      </c>
      <c r="G21" s="3">
        <v>0</v>
      </c>
      <c r="H21" s="3">
        <v>1.1163507E-4</v>
      </c>
      <c r="I21" s="3">
        <v>2.6126708E-5</v>
      </c>
      <c r="J21" s="3">
        <v>-2.4567498000000002E-4</v>
      </c>
      <c r="L21" s="3">
        <f t="shared" si="0"/>
        <v>0.18514431239388793</v>
      </c>
      <c r="M21" s="3"/>
      <c r="N21" s="2">
        <f>IF('Modell einstellen'!$B$1="Voll",H21/0.35,H21/0.35*2)</f>
        <v>3.1895734285714288E-4</v>
      </c>
      <c r="O21" s="2">
        <f>IF('Modell einstellen'!$B$1="Voll",J21/0.35,J21/0.35*2)</f>
        <v>-7.0192851428571438E-4</v>
      </c>
      <c r="P21" s="3">
        <f t="shared" si="1"/>
        <v>0.45440146163846229</v>
      </c>
    </row>
    <row r="22" spans="1:16" x14ac:dyDescent="0.25">
      <c r="A22" s="3">
        <v>10000</v>
      </c>
      <c r="B22" s="3">
        <v>8.8700000000000001E-5</v>
      </c>
      <c r="C22" s="3">
        <v>2.677E-4</v>
      </c>
      <c r="D22" s="3">
        <v>-4.9989999999999995E-4</v>
      </c>
      <c r="E22" s="3">
        <v>0</v>
      </c>
      <c r="F22" s="3">
        <v>0</v>
      </c>
      <c r="G22" s="3">
        <v>0</v>
      </c>
      <c r="H22" s="3">
        <v>1.2147889E-4</v>
      </c>
      <c r="I22" s="3">
        <v>2.9607184E-5</v>
      </c>
      <c r="J22" s="3">
        <v>-2.6778008000000002E-4</v>
      </c>
      <c r="L22" s="3">
        <f t="shared" si="0"/>
        <v>0.17743548709741949</v>
      </c>
      <c r="M22" s="3"/>
      <c r="N22" s="2">
        <f>IF('Modell einstellen'!$B$1="Voll",H22/0.35,H22/0.35*2)</f>
        <v>3.4708254285714289E-4</v>
      </c>
      <c r="O22" s="2">
        <f>IF('Modell einstellen'!$B$1="Voll",J22/0.35,J22/0.35*2)</f>
        <v>-7.6508594285714293E-4</v>
      </c>
      <c r="P22" s="3">
        <f t="shared" si="1"/>
        <v>0.45365170553388434</v>
      </c>
    </row>
    <row r="23" spans="1:16" x14ac:dyDescent="0.25">
      <c r="A23" s="3">
        <v>100000</v>
      </c>
      <c r="B23" s="3">
        <v>9.3049999999999998E-5</v>
      </c>
      <c r="C23" s="3">
        <v>3.0630000000000002E-4</v>
      </c>
      <c r="D23" s="3">
        <v>-5.419E-4</v>
      </c>
      <c r="E23" s="3">
        <v>0</v>
      </c>
      <c r="F23" s="3">
        <v>0</v>
      </c>
      <c r="G23" s="3">
        <v>0</v>
      </c>
      <c r="H23" s="3">
        <v>1.3368283999999999E-4</v>
      </c>
      <c r="I23" s="3">
        <v>3.4573931999999999E-5</v>
      </c>
      <c r="J23" s="3">
        <v>-2.9743708000000001E-4</v>
      </c>
      <c r="L23" s="3">
        <f t="shared" si="0"/>
        <v>0.17171064772098174</v>
      </c>
      <c r="M23" s="3"/>
      <c r="N23" s="2">
        <f>IF('Modell einstellen'!$B$1="Voll",H23/0.35,H23/0.35*2)</f>
        <v>3.8195097142857141E-4</v>
      </c>
      <c r="O23" s="2">
        <f>IF('Modell einstellen'!$B$1="Voll",J23/0.35,J23/0.35*2)</f>
        <v>-8.4982022857142865E-4</v>
      </c>
      <c r="P23" s="3">
        <f t="shared" si="1"/>
        <v>0.44944914063841662</v>
      </c>
    </row>
    <row r="24" spans="1:16" x14ac:dyDescent="0.25">
      <c r="A24" s="3">
        <v>1000000</v>
      </c>
      <c r="B24" s="3">
        <v>9.1949999999999999E-5</v>
      </c>
      <c r="C24" s="3">
        <v>3.5260000000000001E-4</v>
      </c>
      <c r="D24" s="3">
        <v>-5.8690000000000001E-4</v>
      </c>
      <c r="E24" s="3">
        <v>0</v>
      </c>
      <c r="F24" s="3">
        <v>0</v>
      </c>
      <c r="G24" s="3">
        <v>0</v>
      </c>
      <c r="H24" s="3">
        <v>1.5032813E-4</v>
      </c>
      <c r="I24" s="3">
        <v>4.0763743999999998E-5</v>
      </c>
      <c r="J24" s="3">
        <v>-3.361099E-4</v>
      </c>
      <c r="L24" s="3">
        <f t="shared" si="0"/>
        <v>0.15667064235815301</v>
      </c>
      <c r="M24" s="3"/>
      <c r="N24" s="2">
        <f>IF('Modell einstellen'!$B$1="Voll",H24/0.35,H24/0.35*2)</f>
        <v>4.2950894285714289E-4</v>
      </c>
      <c r="O24" s="2">
        <f>IF('Modell einstellen'!$B$1="Voll",J24/0.35,J24/0.35*2)</f>
        <v>-9.6031400000000009E-4</v>
      </c>
      <c r="P24" s="3">
        <f t="shared" si="1"/>
        <v>0.44725885789142183</v>
      </c>
    </row>
    <row r="25" spans="1:16" x14ac:dyDescent="0.25">
      <c r="A25" s="3">
        <v>10000000</v>
      </c>
      <c r="B25" s="3">
        <v>7.2570000000000005E-5</v>
      </c>
      <c r="C25" s="3">
        <v>4.0779999999999999E-4</v>
      </c>
      <c r="D25" s="3">
        <v>-6.2370000000000004E-4</v>
      </c>
      <c r="E25" s="3">
        <v>0</v>
      </c>
      <c r="F25" s="3">
        <v>0</v>
      </c>
      <c r="G25" s="3">
        <v>0</v>
      </c>
      <c r="H25" s="3">
        <v>1.7414690999999999E-4</v>
      </c>
      <c r="I25" s="3">
        <v>4.8547558999999997E-5</v>
      </c>
      <c r="J25" s="3">
        <v>-3.8795797E-4</v>
      </c>
      <c r="L25" s="3">
        <f t="shared" si="0"/>
        <v>0.11635401635401635</v>
      </c>
      <c r="M25" s="3"/>
      <c r="N25" s="2">
        <f>IF('Modell einstellen'!$B$1="Voll",H25/0.35,H25/0.35*2)</f>
        <v>4.9756259999999999E-4</v>
      </c>
      <c r="O25" s="2">
        <f>IF('Modell einstellen'!$B$1="Voll",J25/0.35,J25/0.35*2)</f>
        <v>-1.1084513428571429E-3</v>
      </c>
      <c r="P25" s="3">
        <f t="shared" si="1"/>
        <v>0.4488808671722867</v>
      </c>
    </row>
    <row r="26" spans="1:16" x14ac:dyDescent="0.25">
      <c r="A26" s="3">
        <v>100000000</v>
      </c>
      <c r="B26" s="3">
        <v>1.5999999999999999E-5</v>
      </c>
      <c r="C26" s="3">
        <v>4.8109999999999998E-4</v>
      </c>
      <c r="D26" s="3">
        <v>-6.4269999999999996E-4</v>
      </c>
      <c r="E26" s="3">
        <v>0</v>
      </c>
      <c r="F26" s="3">
        <v>0</v>
      </c>
      <c r="G26" s="3">
        <v>0</v>
      </c>
      <c r="H26" s="3">
        <v>2.1136846999999999E-4</v>
      </c>
      <c r="I26" s="3">
        <v>5.9524531000000001E-5</v>
      </c>
      <c r="J26" s="3">
        <v>-4.6504723000000001E-4</v>
      </c>
      <c r="L26" s="3">
        <f t="shared" si="0"/>
        <v>2.4894974327057725E-2</v>
      </c>
      <c r="M26" s="3"/>
      <c r="N26" s="2">
        <f>IF('Modell einstellen'!$B$1="Voll",H26/0.35,H26/0.35*2)</f>
        <v>6.0390991428571432E-4</v>
      </c>
      <c r="O26" s="2">
        <f>IF('Modell einstellen'!$B$1="Voll",J26/0.35,J26/0.35*2)</f>
        <v>-1.3287063714285715E-3</v>
      </c>
      <c r="P26" s="3">
        <f t="shared" si="1"/>
        <v>0.45450968496253596</v>
      </c>
    </row>
    <row r="27" spans="1:16" x14ac:dyDescent="0.25">
      <c r="A27" s="3">
        <v>1000000000</v>
      </c>
      <c r="B27" s="3">
        <v>-1.209E-4</v>
      </c>
      <c r="C27" s="3">
        <v>5.886E-4</v>
      </c>
      <c r="D27" s="3">
        <v>-6.1689999999999998E-4</v>
      </c>
      <c r="E27" s="3">
        <v>0</v>
      </c>
      <c r="F27" s="3">
        <v>0</v>
      </c>
      <c r="G27" s="3">
        <v>0</v>
      </c>
      <c r="H27" s="3">
        <v>2.7376766999999999E-4</v>
      </c>
      <c r="I27" s="3">
        <v>7.6737693999999999E-5</v>
      </c>
      <c r="J27" s="3">
        <v>-5.9019556999999995E-4</v>
      </c>
      <c r="L27" s="3">
        <f t="shared" si="0"/>
        <v>-0.19597989949748745</v>
      </c>
      <c r="M27" s="3"/>
      <c r="N27" s="2">
        <f>IF('Modell einstellen'!$B$1="Voll",H27/0.35,H27/0.35*2)</f>
        <v>7.8219334285714289E-4</v>
      </c>
      <c r="O27" s="2">
        <f>IF('Modell einstellen'!$B$1="Voll",J27/0.35,J27/0.35*2)</f>
        <v>-1.6862730571428571E-3</v>
      </c>
      <c r="P27" s="3">
        <f t="shared" si="1"/>
        <v>0.46385924245415805</v>
      </c>
    </row>
    <row r="28" spans="1:16" x14ac:dyDescent="0.25">
      <c r="A28" s="3">
        <v>10000000000</v>
      </c>
      <c r="B28" s="3">
        <v>-4.1520000000000001E-4</v>
      </c>
      <c r="C28" s="3">
        <v>7.4910000000000005E-4</v>
      </c>
      <c r="D28" s="3">
        <v>-4.8700000000000002E-4</v>
      </c>
      <c r="E28" s="3">
        <v>0</v>
      </c>
      <c r="F28" s="3">
        <v>0</v>
      </c>
      <c r="G28" s="3">
        <v>0</v>
      </c>
      <c r="H28" s="3">
        <v>3.7939232000000001E-4</v>
      </c>
      <c r="I28" s="3">
        <v>1.0430163000000001E-4</v>
      </c>
      <c r="J28" s="3">
        <v>-7.9637101E-4</v>
      </c>
      <c r="L28" s="3">
        <f t="shared" si="0"/>
        <v>-0.85256673511293635</v>
      </c>
      <c r="M28" s="3"/>
      <c r="N28" s="2">
        <f>IF('Modell einstellen'!$B$1="Voll",H28/0.35,H28/0.35*2)</f>
        <v>1.0839780571428573E-3</v>
      </c>
      <c r="O28" s="2">
        <f>IF('Modell einstellen'!$B$1="Voll",J28/0.35,J28/0.35*2)</f>
        <v>-2.2753457428571428E-3</v>
      </c>
      <c r="P28" s="3">
        <f t="shared" si="1"/>
        <v>0.47640147021424106</v>
      </c>
    </row>
    <row r="29" spans="1:16" x14ac:dyDescent="0.25">
      <c r="A29" s="3">
        <v>100000000000</v>
      </c>
      <c r="B29" s="3">
        <v>-9.0819999999999996E-4</v>
      </c>
      <c r="C29" s="3">
        <v>9.6139999999999995E-4</v>
      </c>
      <c r="D29" s="3">
        <v>-2.098E-4</v>
      </c>
      <c r="E29" s="3">
        <v>0</v>
      </c>
      <c r="F29" s="3">
        <v>0</v>
      </c>
      <c r="G29" s="3">
        <v>0</v>
      </c>
      <c r="H29" s="3">
        <v>5.3487304E-4</v>
      </c>
      <c r="I29" s="3">
        <v>1.4293169000000001E-4</v>
      </c>
      <c r="J29" s="3">
        <v>-1.0926040000000001E-3</v>
      </c>
      <c r="L29" s="3">
        <f t="shared" si="0"/>
        <v>-4.3288846520495712</v>
      </c>
      <c r="M29" s="3"/>
      <c r="N29" s="2">
        <f>IF('Modell einstellen'!$B$1="Voll",H29/0.35,H29/0.35*2)</f>
        <v>1.5282086857142858E-3</v>
      </c>
      <c r="O29" s="2">
        <f>IF('Modell einstellen'!$B$1="Voll",J29/0.35,J29/0.35*2)</f>
        <v>-3.1217257142857145E-3</v>
      </c>
      <c r="P29" s="3">
        <f t="shared" si="1"/>
        <v>0.48953970514477341</v>
      </c>
    </row>
    <row r="30" spans="1:16" x14ac:dyDescent="0.25">
      <c r="A30" s="3">
        <v>1000000000000</v>
      </c>
      <c r="B30" s="3">
        <v>-1.57E-3</v>
      </c>
      <c r="C30" s="3">
        <v>1.209E-3</v>
      </c>
      <c r="D30" s="3">
        <v>2.028E-4</v>
      </c>
      <c r="E30" s="3">
        <v>0</v>
      </c>
      <c r="F30" s="3">
        <v>0</v>
      </c>
      <c r="G30" s="3">
        <v>0</v>
      </c>
      <c r="H30" s="3">
        <v>7.3035378000000002E-4</v>
      </c>
      <c r="I30" s="3">
        <v>1.8973808000000001E-4</v>
      </c>
      <c r="J30" s="3">
        <v>-1.4582206000000001E-3</v>
      </c>
      <c r="L30" s="3">
        <f t="shared" si="0"/>
        <v>7.7416173570019726</v>
      </c>
      <c r="M30" s="3"/>
      <c r="N30" s="2">
        <f>IF('Modell einstellen'!$B$1="Voll",H30/0.35,H30/0.35*2)</f>
        <v>2.0867250857142857E-3</v>
      </c>
      <c r="O30" s="2">
        <f>IF('Modell einstellen'!$B$1="Voll",J30/0.35,J30/0.35*2)</f>
        <v>-4.1663445714285718E-3</v>
      </c>
      <c r="P30" s="3">
        <f t="shared" si="1"/>
        <v>0.50085273791907747</v>
      </c>
    </row>
    <row r="31" spans="1:16" x14ac:dyDescent="0.25">
      <c r="A31" s="3">
        <v>10000000000000</v>
      </c>
      <c r="B31" s="3">
        <v>-2.1280000000000001E-3</v>
      </c>
      <c r="C31" s="3">
        <v>1.408E-3</v>
      </c>
      <c r="D31" s="3">
        <v>5.6079999999999997E-4</v>
      </c>
      <c r="E31" s="3">
        <v>0</v>
      </c>
      <c r="F31" s="3">
        <v>0</v>
      </c>
      <c r="G31" s="3">
        <v>0</v>
      </c>
      <c r="H31" s="3">
        <v>8.9063733999999995E-4</v>
      </c>
      <c r="I31" s="3">
        <v>2.2808394999999999E-4</v>
      </c>
      <c r="J31" s="3">
        <v>-1.7574909000000001E-3</v>
      </c>
      <c r="L31" s="3">
        <f t="shared" si="0"/>
        <v>3.7945791726105567</v>
      </c>
      <c r="M31" s="3"/>
      <c r="N31" s="2">
        <f>IF('Modell einstellen'!$B$1="Voll",H31/0.35,H31/0.35*2)</f>
        <v>2.5446781142857144E-3</v>
      </c>
      <c r="O31" s="2">
        <f>IF('Modell einstellen'!$B$1="Voll",J31/0.35,J31/0.35*2)</f>
        <v>-5.0214025714285723E-3</v>
      </c>
      <c r="P31" s="3">
        <f t="shared" si="1"/>
        <v>0.50676640203371748</v>
      </c>
    </row>
    <row r="32" spans="1:16" x14ac:dyDescent="0.25">
      <c r="A32" s="3">
        <v>100000000000000</v>
      </c>
      <c r="B32" s="3">
        <v>-2.5349999999999999E-3</v>
      </c>
      <c r="C32" s="3">
        <v>1.5510000000000001E-3</v>
      </c>
      <c r="D32" s="3">
        <v>8.2370000000000002E-4</v>
      </c>
      <c r="E32" s="3">
        <v>0</v>
      </c>
      <c r="F32" s="3">
        <v>0</v>
      </c>
      <c r="G32" s="3">
        <v>0</v>
      </c>
      <c r="H32" s="3">
        <v>1.0063603999999999E-3</v>
      </c>
      <c r="I32" s="3">
        <v>2.5596434999999997E-4</v>
      </c>
      <c r="J32" s="3">
        <v>-1.9740483000000001E-3</v>
      </c>
      <c r="L32" s="3">
        <f t="shared" si="0"/>
        <v>3.0775767876654121</v>
      </c>
      <c r="M32" s="3"/>
      <c r="N32" s="2">
        <f>IF('Modell einstellen'!$B$1="Voll",H32/0.35,H32/0.35*2)</f>
        <v>2.8753154285714286E-3</v>
      </c>
      <c r="O32" s="2">
        <f>IF('Modell einstellen'!$B$1="Voll",J32/0.35,J32/0.35*2)</f>
        <v>-5.6401380000000003E-3</v>
      </c>
      <c r="P32" s="3">
        <f t="shared" si="1"/>
        <v>0.50979522638833097</v>
      </c>
    </row>
    <row r="33" spans="1:16" x14ac:dyDescent="0.25">
      <c r="A33" s="3">
        <v>1000000000000000</v>
      </c>
      <c r="B33" s="3">
        <v>-2.7659999999999998E-3</v>
      </c>
      <c r="C33" s="3">
        <v>1.634E-3</v>
      </c>
      <c r="D33" s="3">
        <v>9.7170000000000004E-4</v>
      </c>
      <c r="E33" s="3">
        <v>0</v>
      </c>
      <c r="F33" s="3">
        <v>0</v>
      </c>
      <c r="G33" s="3">
        <v>0</v>
      </c>
      <c r="H33" s="3">
        <v>1.0722454E-3</v>
      </c>
      <c r="I33" s="3">
        <v>2.7219494E-4</v>
      </c>
      <c r="J33" s="3">
        <v>-2.0985484000000001E-3</v>
      </c>
      <c r="L33" s="3">
        <f t="shared" si="0"/>
        <v>2.8465575794998452</v>
      </c>
      <c r="M33" s="3"/>
      <c r="N33" s="2">
        <f>IF('Modell einstellen'!$B$1="Voll",H33/0.35,H33/0.35*2)</f>
        <v>3.0635582857142861E-3</v>
      </c>
      <c r="O33" s="2">
        <f>IF('Modell einstellen'!$B$1="Voll",J33/0.35,J33/0.35*2)</f>
        <v>-5.9958525714285723E-3</v>
      </c>
      <c r="P33" s="3">
        <f t="shared" si="1"/>
        <v>0.51094623311999854</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9.7310000000000002E-5</v>
      </c>
      <c r="C3" s="3">
        <v>1.273E-4</v>
      </c>
      <c r="D3" s="3">
        <v>-3.5159999999999998E-4</v>
      </c>
      <c r="E3" s="3">
        <v>0</v>
      </c>
      <c r="F3" s="3">
        <v>0</v>
      </c>
      <c r="G3" s="3">
        <v>0</v>
      </c>
      <c r="H3" s="3">
        <v>4.8136965999999997E-5</v>
      </c>
      <c r="I3" s="3">
        <v>1.2750401E-5</v>
      </c>
      <c r="J3" s="3">
        <v>-1.3171883999999999E-4</v>
      </c>
      <c r="K3" s="3"/>
      <c r="L3" s="3">
        <f>-B3/D3</f>
        <v>0.27676336746302621</v>
      </c>
      <c r="M3" s="3"/>
      <c r="N3" s="2">
        <f>IF('Modell einstellen'!$B$1="Voll",H3/0.35,H3/0.35*2)</f>
        <v>1.3753418857142857E-4</v>
      </c>
      <c r="O3" s="2">
        <f>IF('Modell einstellen'!$B$1="Voll",J3/0.35,J3/0.35*2)</f>
        <v>-3.7633954285714287E-4</v>
      </c>
      <c r="P3" s="3">
        <f>-N3/O3</f>
        <v>0.36545239845719868</v>
      </c>
      <c r="Q3" s="3"/>
      <c r="R3" s="3"/>
      <c r="S3" s="3"/>
      <c r="T3" s="3"/>
      <c r="U3" s="3"/>
    </row>
    <row r="4" spans="1:21" x14ac:dyDescent="0.25">
      <c r="A4" s="3">
        <v>1E-14</v>
      </c>
      <c r="B4" s="3">
        <v>9.8750000000000002E-5</v>
      </c>
      <c r="C4" s="3">
        <v>1.3100000000000001E-4</v>
      </c>
      <c r="D4" s="3">
        <v>-3.5730000000000001E-4</v>
      </c>
      <c r="E4" s="3">
        <v>0</v>
      </c>
      <c r="F4" s="3">
        <v>0</v>
      </c>
      <c r="G4" s="3">
        <v>0</v>
      </c>
      <c r="H4" s="3">
        <v>4.9782735999999999E-5</v>
      </c>
      <c r="I4" s="3">
        <v>1.3153213E-5</v>
      </c>
      <c r="J4" s="3">
        <v>-1.3489137000000001E-4</v>
      </c>
      <c r="K4" s="3"/>
      <c r="L4" s="3">
        <f t="shared" ref="L4:L33" si="0">-B4/D4</f>
        <v>0.276378393506857</v>
      </c>
      <c r="M4" s="3"/>
      <c r="N4" s="2">
        <f>IF('Modell einstellen'!$B$1="Voll",H4/0.35,H4/0.35*2)</f>
        <v>1.4223638857142857E-4</v>
      </c>
      <c r="O4" s="2">
        <f>IF('Modell einstellen'!$B$1="Voll",J4/0.35,J4/0.35*2)</f>
        <v>-3.8540391428571434E-4</v>
      </c>
      <c r="P4" s="3">
        <f t="shared" ref="P4:P33" si="1">-N4/O4</f>
        <v>0.36905797605880936</v>
      </c>
      <c r="Q4" s="3"/>
      <c r="R4" s="3"/>
      <c r="S4" s="3"/>
      <c r="T4" s="3"/>
      <c r="U4" s="3"/>
    </row>
    <row r="5" spans="1:21" x14ac:dyDescent="0.25">
      <c r="A5" s="3">
        <v>1E-13</v>
      </c>
      <c r="B5" s="3">
        <v>9.9900000000000002E-5</v>
      </c>
      <c r="C5" s="3">
        <v>1.3420000000000001E-4</v>
      </c>
      <c r="D5" s="3">
        <v>-3.6220000000000002E-4</v>
      </c>
      <c r="E5" s="3">
        <v>0</v>
      </c>
      <c r="F5" s="3">
        <v>0</v>
      </c>
      <c r="G5" s="3">
        <v>0</v>
      </c>
      <c r="H5" s="3">
        <v>5.1229649000000002E-5</v>
      </c>
      <c r="I5" s="3">
        <v>1.3504047E-5</v>
      </c>
      <c r="J5" s="3">
        <v>-1.3767259999999999E-4</v>
      </c>
      <c r="K5" s="3"/>
      <c r="L5" s="3">
        <f t="shared" si="0"/>
        <v>0.27581446714522362</v>
      </c>
      <c r="M5" s="3"/>
      <c r="N5" s="2">
        <f>IF('Modell einstellen'!$B$1="Voll",H5/0.35,H5/0.35*2)</f>
        <v>1.4637042571428573E-4</v>
      </c>
      <c r="O5" s="2">
        <f>IF('Modell einstellen'!$B$1="Voll",J5/0.35,J5/0.35*2)</f>
        <v>-3.9335028571428572E-4</v>
      </c>
      <c r="P5" s="3">
        <f t="shared" si="1"/>
        <v>0.37211216320458834</v>
      </c>
      <c r="Q5" s="3"/>
      <c r="R5" s="3"/>
      <c r="S5" s="3"/>
      <c r="T5" s="3"/>
      <c r="U5" s="3"/>
    </row>
    <row r="6" spans="1:21" x14ac:dyDescent="0.25">
      <c r="A6" s="3">
        <v>9.9999999999999998E-13</v>
      </c>
      <c r="B6" s="3">
        <v>1.011E-4</v>
      </c>
      <c r="C6" s="3">
        <v>1.3770000000000001E-4</v>
      </c>
      <c r="D6" s="3">
        <v>-3.6749999999999999E-4</v>
      </c>
      <c r="E6" s="3">
        <v>0</v>
      </c>
      <c r="F6" s="3">
        <v>0</v>
      </c>
      <c r="G6" s="3">
        <v>0</v>
      </c>
      <c r="H6" s="3">
        <v>5.2815934999999999E-5</v>
      </c>
      <c r="I6" s="3">
        <v>1.3884939999999999E-5</v>
      </c>
      <c r="J6" s="3">
        <v>-1.4070677999999999E-4</v>
      </c>
      <c r="K6" s="3"/>
      <c r="L6" s="3">
        <f t="shared" si="0"/>
        <v>0.27510204081632655</v>
      </c>
      <c r="M6" s="3"/>
      <c r="N6" s="2">
        <f>IF('Modell einstellen'!$B$1="Voll",H6/0.35,H6/0.35*2)</f>
        <v>1.5090267142857145E-4</v>
      </c>
      <c r="O6" s="2">
        <f>IF('Modell einstellen'!$B$1="Voll",J6/0.35,J6/0.35*2)</f>
        <v>-4.0201937142857143E-4</v>
      </c>
      <c r="P6" s="3">
        <f t="shared" si="1"/>
        <v>0.37536169188151419</v>
      </c>
      <c r="Q6" s="3"/>
      <c r="R6" s="3"/>
      <c r="S6" s="3"/>
      <c r="T6" s="3"/>
      <c r="U6" s="3"/>
    </row>
    <row r="7" spans="1:21" x14ac:dyDescent="0.25">
      <c r="A7" s="3">
        <v>9.9999999999999994E-12</v>
      </c>
      <c r="B7" s="3">
        <v>1.0230000000000001E-4</v>
      </c>
      <c r="C7" s="3">
        <v>1.418E-4</v>
      </c>
      <c r="D7" s="3">
        <v>-3.7340000000000002E-4</v>
      </c>
      <c r="E7" s="3">
        <v>0</v>
      </c>
      <c r="F7" s="3">
        <v>0</v>
      </c>
      <c r="G7" s="3">
        <v>0</v>
      </c>
      <c r="H7" s="3">
        <v>5.4682860999999998E-5</v>
      </c>
      <c r="I7" s="3">
        <v>1.4328581999999999E-5</v>
      </c>
      <c r="J7" s="3">
        <v>-1.4425918E-4</v>
      </c>
      <c r="K7" s="3"/>
      <c r="L7" s="3">
        <f t="shared" si="0"/>
        <v>0.27396893411890733</v>
      </c>
      <c r="M7" s="3"/>
      <c r="N7" s="2">
        <f>IF('Modell einstellen'!$B$1="Voll",H7/0.35,H7/0.35*2)</f>
        <v>1.5623674571428573E-4</v>
      </c>
      <c r="O7" s="2">
        <f>IF('Modell einstellen'!$B$1="Voll",J7/0.35,J7/0.35*2)</f>
        <v>-4.1216908571428576E-4</v>
      </c>
      <c r="P7" s="3">
        <f t="shared" si="1"/>
        <v>0.37905983522157827</v>
      </c>
      <c r="Q7" s="3"/>
      <c r="R7" s="3"/>
      <c r="S7" s="3"/>
      <c r="T7" s="3"/>
      <c r="U7" s="3"/>
    </row>
    <row r="8" spans="1:21" x14ac:dyDescent="0.25">
      <c r="A8" s="3">
        <v>1E-10</v>
      </c>
      <c r="B8" s="3">
        <v>1.0349999999999999E-4</v>
      </c>
      <c r="C8" s="3">
        <v>1.462E-4</v>
      </c>
      <c r="D8" s="3">
        <v>-3.7980000000000002E-4</v>
      </c>
      <c r="E8" s="3">
        <v>0</v>
      </c>
      <c r="F8" s="3">
        <v>0</v>
      </c>
      <c r="G8" s="3">
        <v>0</v>
      </c>
      <c r="H8" s="3">
        <v>5.6808631000000002E-5</v>
      </c>
      <c r="I8" s="3">
        <v>1.4827483E-5</v>
      </c>
      <c r="J8" s="3">
        <v>-1.4827924000000001E-4</v>
      </c>
      <c r="K8" s="3"/>
      <c r="L8" s="3">
        <f t="shared" si="0"/>
        <v>0.27251184834123221</v>
      </c>
      <c r="M8" s="3"/>
      <c r="N8" s="2">
        <f>IF('Modell einstellen'!$B$1="Voll",H8/0.35,H8/0.35*2)</f>
        <v>1.623103742857143E-4</v>
      </c>
      <c r="O8" s="2">
        <f>IF('Modell einstellen'!$B$1="Voll",J8/0.35,J8/0.35*2)</f>
        <v>-4.2365497142857146E-4</v>
      </c>
      <c r="P8" s="3">
        <f t="shared" si="1"/>
        <v>0.38311924852056162</v>
      </c>
      <c r="Q8" s="3"/>
      <c r="R8" s="3"/>
      <c r="S8" s="3"/>
      <c r="T8" s="3"/>
      <c r="U8" s="3"/>
    </row>
    <row r="9" spans="1:21" x14ac:dyDescent="0.25">
      <c r="A9" s="3">
        <v>1.0000000000000001E-9</v>
      </c>
      <c r="B9" s="3">
        <v>1.048E-4</v>
      </c>
      <c r="C9" s="3">
        <v>1.5139999999999999E-4</v>
      </c>
      <c r="D9" s="3">
        <v>-3.8709999999999998E-4</v>
      </c>
      <c r="E9" s="3">
        <v>0</v>
      </c>
      <c r="F9" s="3">
        <v>0</v>
      </c>
      <c r="G9" s="3">
        <v>0</v>
      </c>
      <c r="H9" s="3">
        <v>5.9321830000000001E-5</v>
      </c>
      <c r="I9" s="3">
        <v>1.5409267000000001E-5</v>
      </c>
      <c r="J9" s="3">
        <v>-1.5300040000000001E-4</v>
      </c>
      <c r="K9" s="3"/>
      <c r="L9" s="3">
        <f t="shared" si="0"/>
        <v>0.27073107724102302</v>
      </c>
      <c r="M9" s="3"/>
      <c r="N9" s="2">
        <f>IF('Modell einstellen'!$B$1="Voll",H9/0.35,H9/0.35*2)</f>
        <v>1.6949094285714287E-4</v>
      </c>
      <c r="O9" s="2">
        <f>IF('Modell einstellen'!$B$1="Voll",J9/0.35,J9/0.35*2)</f>
        <v>-4.3714400000000004E-4</v>
      </c>
      <c r="P9" s="3">
        <f t="shared" si="1"/>
        <v>0.38772336542910996</v>
      </c>
      <c r="Q9" s="3"/>
      <c r="R9" s="3"/>
      <c r="S9" s="3"/>
      <c r="T9" s="3"/>
      <c r="U9" s="3"/>
    </row>
    <row r="10" spans="1:21" x14ac:dyDescent="0.25">
      <c r="A10" s="3">
        <v>1E-8</v>
      </c>
      <c r="B10" s="3">
        <v>1.0569999999999999E-4</v>
      </c>
      <c r="C10" s="3">
        <v>1.5679999999999999E-4</v>
      </c>
      <c r="D10" s="3">
        <v>-3.9429999999999999E-4</v>
      </c>
      <c r="E10" s="3">
        <v>0</v>
      </c>
      <c r="F10" s="3">
        <v>0</v>
      </c>
      <c r="G10" s="3">
        <v>0</v>
      </c>
      <c r="H10" s="3">
        <v>6.1974566000000002E-5</v>
      </c>
      <c r="I10" s="3">
        <v>1.6013247E-5</v>
      </c>
      <c r="J10" s="3">
        <v>-1.5794415E-4</v>
      </c>
      <c r="K10" s="3"/>
      <c r="L10" s="3">
        <f t="shared" si="0"/>
        <v>0.26806999746386001</v>
      </c>
      <c r="M10" s="3"/>
      <c r="N10" s="2">
        <f>IF('Modell einstellen'!$B$1="Voll",H10/0.35,H10/0.35*2)</f>
        <v>1.7707018857142858E-4</v>
      </c>
      <c r="O10" s="2">
        <f>IF('Modell einstellen'!$B$1="Voll",J10/0.35,J10/0.35*2)</f>
        <v>-4.5126900000000002E-4</v>
      </c>
      <c r="P10" s="3">
        <f t="shared" si="1"/>
        <v>0.39238278847301405</v>
      </c>
      <c r="Q10" s="3"/>
      <c r="R10" s="3"/>
      <c r="S10" s="3"/>
      <c r="T10" s="3"/>
      <c r="U10" s="3"/>
    </row>
    <row r="11" spans="1:21" x14ac:dyDescent="0.25">
      <c r="A11" s="3">
        <v>9.9999999999999995E-8</v>
      </c>
      <c r="B11" s="3">
        <v>1.065E-4</v>
      </c>
      <c r="C11" s="3">
        <v>1.6220000000000001E-4</v>
      </c>
      <c r="D11" s="3">
        <v>-4.013E-4</v>
      </c>
      <c r="E11" s="3">
        <v>0</v>
      </c>
      <c r="F11" s="3">
        <v>0</v>
      </c>
      <c r="G11" s="3">
        <v>0</v>
      </c>
      <c r="H11" s="3">
        <v>6.4706723999999994E-5</v>
      </c>
      <c r="I11" s="3">
        <v>1.6625421999999999E-5</v>
      </c>
      <c r="J11" s="3">
        <v>-1.629976E-4</v>
      </c>
      <c r="K11" s="3"/>
      <c r="L11" s="3">
        <f t="shared" si="0"/>
        <v>0.26538749065537004</v>
      </c>
      <c r="M11" s="3"/>
      <c r="N11" s="2">
        <f>IF('Modell einstellen'!$B$1="Voll",H11/0.35,H11/0.35*2)</f>
        <v>1.8487635428571429E-4</v>
      </c>
      <c r="O11" s="2">
        <f>IF('Modell einstellen'!$B$1="Voll",J11/0.35,J11/0.35*2)</f>
        <v>-4.6570742857142861E-4</v>
      </c>
      <c r="P11" s="3">
        <f t="shared" si="1"/>
        <v>0.39697961196974679</v>
      </c>
      <c r="Q11" s="3"/>
      <c r="R11" s="3"/>
      <c r="S11" s="3"/>
      <c r="T11" s="3"/>
      <c r="U11" s="3"/>
    </row>
    <row r="12" spans="1:21" x14ac:dyDescent="0.25">
      <c r="A12" s="3">
        <v>9.9999999999999995E-7</v>
      </c>
      <c r="B12" s="3">
        <v>1.071E-4</v>
      </c>
      <c r="C12" s="3">
        <v>1.6880000000000001E-4</v>
      </c>
      <c r="D12" s="3">
        <v>-4.0959999999999998E-4</v>
      </c>
      <c r="E12" s="3">
        <v>0</v>
      </c>
      <c r="F12" s="3">
        <v>0</v>
      </c>
      <c r="G12" s="3">
        <v>0</v>
      </c>
      <c r="H12" s="3">
        <v>6.8156760999999998E-5</v>
      </c>
      <c r="I12" s="3">
        <v>1.7384649E-5</v>
      </c>
      <c r="J12" s="3">
        <v>-1.6932604999999999E-4</v>
      </c>
      <c r="K12" s="3"/>
      <c r="L12" s="3">
        <f t="shared" si="0"/>
        <v>0.261474609375</v>
      </c>
      <c r="M12" s="3"/>
      <c r="N12" s="2">
        <f>IF('Modell einstellen'!$B$1="Voll",H12/0.35,H12/0.35*2)</f>
        <v>1.9473360285714286E-4</v>
      </c>
      <c r="O12" s="2">
        <f>IF('Modell einstellen'!$B$1="Voll",J12/0.35,J12/0.35*2)</f>
        <v>-4.8378871428571426E-4</v>
      </c>
      <c r="P12" s="3">
        <f t="shared" si="1"/>
        <v>0.40251787010917695</v>
      </c>
      <c r="Q12" s="3"/>
      <c r="R12" s="3"/>
      <c r="S12" s="3"/>
      <c r="T12" s="3"/>
      <c r="U12" s="3"/>
    </row>
    <row r="13" spans="1:21" x14ac:dyDescent="0.25">
      <c r="A13" s="3">
        <v>1.0000000000000001E-5</v>
      </c>
      <c r="B13" s="3">
        <v>1.072E-4</v>
      </c>
      <c r="C13" s="3">
        <v>1.7699999999999999E-4</v>
      </c>
      <c r="D13" s="3">
        <v>-4.193E-4</v>
      </c>
      <c r="E13" s="3">
        <v>0</v>
      </c>
      <c r="F13" s="3">
        <v>0</v>
      </c>
      <c r="G13" s="3">
        <v>0</v>
      </c>
      <c r="H13" s="3">
        <v>7.2625534999999993E-5</v>
      </c>
      <c r="I13" s="3">
        <v>1.8344361999999999E-5</v>
      </c>
      <c r="J13" s="3">
        <v>-1.7743229E-4</v>
      </c>
      <c r="K13" s="3"/>
      <c r="L13" s="3">
        <f t="shared" si="0"/>
        <v>0.25566420224183162</v>
      </c>
      <c r="M13" s="3"/>
      <c r="N13" s="2">
        <f>IF('Modell einstellen'!$B$1="Voll",H13/0.35,H13/0.35*2)</f>
        <v>2.0750152857142856E-4</v>
      </c>
      <c r="O13" s="2">
        <f>IF('Modell einstellen'!$B$1="Voll",J13/0.35,J13/0.35*2)</f>
        <v>-5.0694940000000006E-4</v>
      </c>
      <c r="P13" s="3">
        <f t="shared" si="1"/>
        <v>0.4093140825720053</v>
      </c>
      <c r="Q13" s="3"/>
      <c r="R13" s="3"/>
      <c r="S13" s="3"/>
      <c r="T13" s="3"/>
      <c r="U13" s="3"/>
    </row>
    <row r="14" spans="1:21" x14ac:dyDescent="0.25">
      <c r="A14" s="3">
        <v>1E-4</v>
      </c>
      <c r="B14" s="3">
        <v>1.065E-4</v>
      </c>
      <c r="C14" s="3">
        <v>1.861E-4</v>
      </c>
      <c r="D14" s="3">
        <v>-4.2900000000000002E-4</v>
      </c>
      <c r="E14" s="3">
        <v>0</v>
      </c>
      <c r="F14" s="3">
        <v>0</v>
      </c>
      <c r="G14" s="3">
        <v>0</v>
      </c>
      <c r="H14" s="3">
        <v>7.7727688999999994E-5</v>
      </c>
      <c r="I14" s="3">
        <v>1.9406678000000002E-5</v>
      </c>
      <c r="J14" s="3">
        <v>-1.8655951000000001E-4</v>
      </c>
      <c r="K14" s="3"/>
      <c r="L14" s="3">
        <f t="shared" si="0"/>
        <v>0.24825174825174823</v>
      </c>
      <c r="M14" s="3"/>
      <c r="N14" s="2">
        <f>IF('Modell einstellen'!$B$1="Voll",H14/0.35,H14/0.35*2)</f>
        <v>2.2207911142857142E-4</v>
      </c>
      <c r="O14" s="2">
        <f>IF('Modell einstellen'!$B$1="Voll",J14/0.35,J14/0.35*2)</f>
        <v>-5.3302717142857147E-4</v>
      </c>
      <c r="P14" s="3">
        <f t="shared" si="1"/>
        <v>0.41663750617698336</v>
      </c>
      <c r="Q14" s="3"/>
      <c r="R14" s="3"/>
      <c r="S14" s="3"/>
      <c r="T14" s="3"/>
      <c r="U14" s="3"/>
    </row>
    <row r="15" spans="1:21" x14ac:dyDescent="0.25">
      <c r="A15" s="3">
        <v>1E-3</v>
      </c>
      <c r="B15" s="3">
        <v>1.0509999999999999E-4</v>
      </c>
      <c r="C15" s="3">
        <v>1.941E-4</v>
      </c>
      <c r="D15" s="3">
        <v>-4.3689999999999999E-4</v>
      </c>
      <c r="E15" s="3">
        <v>0</v>
      </c>
      <c r="F15" s="3">
        <v>0</v>
      </c>
      <c r="G15" s="3">
        <v>0</v>
      </c>
      <c r="H15" s="3">
        <v>8.2496445999999998E-5</v>
      </c>
      <c r="I15" s="3">
        <v>2.0367038000000001E-5</v>
      </c>
      <c r="J15" s="3">
        <v>-1.9496602999999999E-4</v>
      </c>
      <c r="K15" s="3"/>
      <c r="L15" s="3">
        <f t="shared" si="0"/>
        <v>0.24055848020141907</v>
      </c>
      <c r="M15" s="3"/>
      <c r="N15" s="2">
        <f>IF('Modell einstellen'!$B$1="Voll",H15/0.35,H15/0.35*2)</f>
        <v>2.3570413142857144E-4</v>
      </c>
      <c r="O15" s="2">
        <f>IF('Modell einstellen'!$B$1="Voll",J15/0.35,J15/0.35*2)</f>
        <v>-5.5704579999999999E-4</v>
      </c>
      <c r="P15" s="3">
        <f t="shared" si="1"/>
        <v>0.42313240927150236</v>
      </c>
      <c r="Q15" s="3"/>
      <c r="R15" s="3"/>
      <c r="S15" s="3"/>
      <c r="T15" s="3"/>
      <c r="U15" s="3"/>
    </row>
    <row r="16" spans="1:21" x14ac:dyDescent="0.25">
      <c r="A16" s="3">
        <v>0.01</v>
      </c>
      <c r="B16" s="3">
        <v>1.03E-4</v>
      </c>
      <c r="C16" s="3">
        <v>2.018E-4</v>
      </c>
      <c r="D16" s="3">
        <v>-4.438E-4</v>
      </c>
      <c r="E16" s="3">
        <v>0</v>
      </c>
      <c r="F16" s="3">
        <v>0</v>
      </c>
      <c r="G16" s="3">
        <v>0</v>
      </c>
      <c r="H16" s="3">
        <v>8.7273881000000006E-5</v>
      </c>
      <c r="I16" s="3">
        <v>2.1302112999999999E-5</v>
      </c>
      <c r="J16" s="3">
        <v>-2.0328532000000001E-4</v>
      </c>
      <c r="K16" s="3"/>
      <c r="L16" s="3">
        <f t="shared" si="0"/>
        <v>0.23208652546191977</v>
      </c>
      <c r="M16" s="3"/>
      <c r="N16" s="2">
        <f>IF('Modell einstellen'!$B$1="Voll",H16/0.35,H16/0.35*2)</f>
        <v>2.4935394571428576E-4</v>
      </c>
      <c r="O16" s="2">
        <f>IF('Modell einstellen'!$B$1="Voll",J16/0.35,J16/0.35*2)</f>
        <v>-5.8081520000000011E-4</v>
      </c>
      <c r="P16" s="3">
        <f t="shared" si="1"/>
        <v>0.4293171833558862</v>
      </c>
      <c r="Q16" s="3"/>
      <c r="R16" s="3"/>
      <c r="S16" s="3"/>
      <c r="T16" s="3"/>
      <c r="U16" s="3"/>
    </row>
    <row r="17" spans="1:25" x14ac:dyDescent="0.25">
      <c r="A17" s="3">
        <v>0.1</v>
      </c>
      <c r="B17" s="3">
        <v>1.0009999999999999E-4</v>
      </c>
      <c r="C17" s="3">
        <v>2.098E-4</v>
      </c>
      <c r="D17" s="3">
        <v>-4.5009999999999999E-4</v>
      </c>
      <c r="E17" s="3">
        <v>0</v>
      </c>
      <c r="F17" s="3">
        <v>0</v>
      </c>
      <c r="G17" s="3">
        <v>0</v>
      </c>
      <c r="H17" s="3">
        <v>9.2470346999999996E-5</v>
      </c>
      <c r="I17" s="3">
        <v>2.2287179000000002E-5</v>
      </c>
      <c r="J17" s="3">
        <v>-2.1221283E-4</v>
      </c>
      <c r="K17" s="3"/>
      <c r="L17" s="3">
        <f t="shared" si="0"/>
        <v>0.22239502332814928</v>
      </c>
      <c r="M17" s="3"/>
      <c r="N17" s="2">
        <f>IF('Modell einstellen'!$B$1="Voll",H17/0.35,H17/0.35*2)</f>
        <v>2.6420099142857143E-4</v>
      </c>
      <c r="O17" s="2">
        <f>IF('Modell einstellen'!$B$1="Voll",J17/0.35,J17/0.35*2)</f>
        <v>-6.0632237142857145E-4</v>
      </c>
      <c r="P17" s="3">
        <f t="shared" si="1"/>
        <v>0.43574343266615878</v>
      </c>
      <c r="Q17" s="3"/>
      <c r="R17" s="3"/>
      <c r="S17" s="3"/>
      <c r="T17" s="3"/>
      <c r="U17" s="3"/>
      <c r="V17" s="3"/>
      <c r="W17" s="3"/>
      <c r="X17" s="3"/>
      <c r="Y17" s="3"/>
    </row>
    <row r="18" spans="1:25" x14ac:dyDescent="0.25">
      <c r="A18" s="3">
        <v>1</v>
      </c>
      <c r="B18" s="3">
        <v>9.6069999999999993E-5</v>
      </c>
      <c r="C18" s="3">
        <v>2.185E-4</v>
      </c>
      <c r="D18" s="3">
        <v>-4.5609999999999997E-4</v>
      </c>
      <c r="E18" s="3">
        <v>0</v>
      </c>
      <c r="F18" s="3">
        <v>0</v>
      </c>
      <c r="G18" s="3">
        <v>0</v>
      </c>
      <c r="H18" s="3">
        <v>9.8359188000000006E-5</v>
      </c>
      <c r="I18" s="3">
        <v>2.3369010999999999E-5</v>
      </c>
      <c r="J18" s="3">
        <v>-2.2219741E-4</v>
      </c>
      <c r="K18" s="3"/>
      <c r="L18" s="3">
        <f t="shared" si="0"/>
        <v>0.21063363297522472</v>
      </c>
      <c r="M18" s="3"/>
      <c r="N18" s="2">
        <f>IF('Modell einstellen'!$B$1="Voll",H18/0.35,H18/0.35*2)</f>
        <v>2.8102625142857146E-4</v>
      </c>
      <c r="O18" s="2">
        <f>IF('Modell einstellen'!$B$1="Voll",J18/0.35,J18/0.35*2)</f>
        <v>-6.3484974285714293E-4</v>
      </c>
      <c r="P18" s="3">
        <f t="shared" si="1"/>
        <v>0.44266577184675554</v>
      </c>
      <c r="Q18" s="3"/>
      <c r="R18" s="3"/>
      <c r="S18" s="3"/>
      <c r="T18" s="3"/>
      <c r="U18" s="3"/>
      <c r="V18" s="3"/>
      <c r="W18" s="3"/>
      <c r="X18" s="3"/>
      <c r="Y18" s="3"/>
    </row>
    <row r="19" spans="1:25" x14ac:dyDescent="0.25">
      <c r="A19" s="3">
        <v>10</v>
      </c>
      <c r="B19" s="3">
        <v>9.1130000000000003E-5</v>
      </c>
      <c r="C19" s="3">
        <v>2.275E-4</v>
      </c>
      <c r="D19" s="3">
        <v>-4.615E-4</v>
      </c>
      <c r="E19" s="3">
        <v>0</v>
      </c>
      <c r="F19" s="3">
        <v>0</v>
      </c>
      <c r="G19" s="3">
        <v>0</v>
      </c>
      <c r="H19" s="3">
        <v>1.0463891999999999E-4</v>
      </c>
      <c r="I19" s="3">
        <v>2.4516511000000002E-5</v>
      </c>
      <c r="J19" s="3">
        <v>-2.3279986000000001E-4</v>
      </c>
      <c r="K19" s="3"/>
      <c r="L19" s="3">
        <f t="shared" si="0"/>
        <v>0.19746478873239437</v>
      </c>
      <c r="M19" s="3"/>
      <c r="N19" s="2">
        <f>IF('Modell einstellen'!$B$1="Voll",H19/0.35,H19/0.35*2)</f>
        <v>2.9896834285714284E-4</v>
      </c>
      <c r="O19" s="2">
        <f>IF('Modell einstellen'!$B$1="Voll",J19/0.35,J19/0.35*2)</f>
        <v>-6.6514245714285717E-4</v>
      </c>
      <c r="P19" s="3">
        <f t="shared" si="1"/>
        <v>0.44948016721315892</v>
      </c>
      <c r="Q19" s="3"/>
      <c r="R19" s="3"/>
      <c r="S19" s="3"/>
      <c r="T19" s="3"/>
      <c r="U19" s="3"/>
      <c r="V19" s="3"/>
      <c r="W19" s="3"/>
      <c r="X19" s="3"/>
      <c r="Y19" s="3"/>
    </row>
    <row r="20" spans="1:25" x14ac:dyDescent="0.25">
      <c r="A20" s="3">
        <v>100</v>
      </c>
      <c r="B20" s="3">
        <v>8.6180000000000005E-5</v>
      </c>
      <c r="C20" s="3">
        <v>2.4130000000000001E-4</v>
      </c>
      <c r="D20" s="3">
        <v>-4.7150000000000002E-4</v>
      </c>
      <c r="E20" s="3">
        <v>0</v>
      </c>
      <c r="F20" s="3">
        <v>0</v>
      </c>
      <c r="G20" s="3">
        <v>0</v>
      </c>
      <c r="H20" s="3">
        <v>1.1254941E-4</v>
      </c>
      <c r="I20" s="3">
        <v>2.6266886999999999E-5</v>
      </c>
      <c r="J20" s="3">
        <v>-2.4712505000000002E-4</v>
      </c>
      <c r="K20" s="3"/>
      <c r="L20" s="3">
        <f t="shared" si="0"/>
        <v>0.18277836691410393</v>
      </c>
      <c r="M20" s="3"/>
      <c r="N20" s="2">
        <f>IF('Modell einstellen'!$B$1="Voll",H20/0.35,H20/0.35*2)</f>
        <v>3.2156974285714289E-4</v>
      </c>
      <c r="O20" s="2">
        <f>IF('Modell einstellen'!$B$1="Voll",J20/0.35,J20/0.35*2)</f>
        <v>-7.0607157142857152E-4</v>
      </c>
      <c r="P20" s="3">
        <f t="shared" si="1"/>
        <v>0.45543505201111745</v>
      </c>
      <c r="Q20" s="3"/>
      <c r="R20" s="3"/>
      <c r="S20" s="3"/>
      <c r="T20" s="3"/>
      <c r="U20" s="3"/>
      <c r="V20" s="3"/>
      <c r="W20" s="3"/>
      <c r="X20" s="3"/>
      <c r="Y20" s="3"/>
    </row>
    <row r="21" spans="1:25" x14ac:dyDescent="0.25">
      <c r="A21" s="3">
        <v>1000</v>
      </c>
      <c r="B21" s="3">
        <v>8.5829999999999996E-5</v>
      </c>
      <c r="C21" s="3">
        <v>2.675E-4</v>
      </c>
      <c r="D21" s="3">
        <v>-4.9720000000000005E-4</v>
      </c>
      <c r="E21" s="3">
        <v>0</v>
      </c>
      <c r="F21" s="3">
        <v>0</v>
      </c>
      <c r="G21" s="3">
        <v>0</v>
      </c>
      <c r="H21" s="3">
        <v>1.2252743999999999E-4</v>
      </c>
      <c r="I21" s="3">
        <v>2.9590327000000001E-5</v>
      </c>
      <c r="J21" s="3">
        <v>-2.6885633999999999E-4</v>
      </c>
      <c r="K21" s="3"/>
      <c r="L21" s="3">
        <f t="shared" si="0"/>
        <v>0.1726267095736122</v>
      </c>
      <c r="M21" s="3"/>
      <c r="N21" s="2">
        <f>IF('Modell einstellen'!$B$1="Voll",H21/0.35,H21/0.35*2)</f>
        <v>3.5007840000000001E-4</v>
      </c>
      <c r="O21" s="2">
        <f>IF('Modell einstellen'!$B$1="Voll",J21/0.35,J21/0.35*2)</f>
        <v>-7.6816097142857142E-4</v>
      </c>
      <c r="P21" s="3">
        <f t="shared" si="1"/>
        <v>0.4557357286050982</v>
      </c>
      <c r="Q21" s="3"/>
      <c r="R21" s="3"/>
      <c r="S21" s="3"/>
      <c r="T21" s="3"/>
      <c r="U21" s="3"/>
      <c r="V21" s="3"/>
      <c r="W21" s="3"/>
      <c r="X21" s="3"/>
      <c r="Y21" s="3"/>
    </row>
    <row r="22" spans="1:25" x14ac:dyDescent="0.25">
      <c r="A22" s="3">
        <v>10000</v>
      </c>
      <c r="B22" s="3">
        <v>8.8739999999999994E-5</v>
      </c>
      <c r="C22" s="3">
        <v>3.0620000000000002E-4</v>
      </c>
      <c r="D22" s="3">
        <v>-5.3799999999999996E-4</v>
      </c>
      <c r="E22" s="3">
        <v>0</v>
      </c>
      <c r="F22" s="3">
        <v>0</v>
      </c>
      <c r="G22" s="3">
        <v>0</v>
      </c>
      <c r="H22" s="3">
        <v>1.3509393E-4</v>
      </c>
      <c r="I22" s="3">
        <v>3.4591687000000001E-5</v>
      </c>
      <c r="J22" s="3">
        <v>-2.9901411E-4</v>
      </c>
      <c r="K22" s="3"/>
      <c r="L22" s="3">
        <f t="shared" si="0"/>
        <v>0.16494423791821561</v>
      </c>
      <c r="M22" s="3"/>
      <c r="N22" s="2">
        <f>IF('Modell einstellen'!$B$1="Voll",H22/0.35,H22/0.35*2)</f>
        <v>3.8598265714285716E-4</v>
      </c>
      <c r="O22" s="2">
        <f>IF('Modell einstellen'!$B$1="Voll",J22/0.35,J22/0.35*2)</f>
        <v>-8.5432602857142862E-4</v>
      </c>
      <c r="P22" s="3">
        <f t="shared" si="1"/>
        <v>0.45179784325227995</v>
      </c>
      <c r="Q22" s="3"/>
      <c r="R22" s="3"/>
      <c r="S22" s="3"/>
      <c r="T22" s="3"/>
      <c r="U22" s="3"/>
      <c r="V22" s="3"/>
      <c r="W22" s="3"/>
      <c r="X22" s="3"/>
      <c r="Y22" s="3"/>
    </row>
    <row r="23" spans="1:25" x14ac:dyDescent="0.25">
      <c r="A23" s="3">
        <v>100000</v>
      </c>
      <c r="B23" s="3">
        <v>8.6479999999999999E-5</v>
      </c>
      <c r="C23" s="3">
        <v>3.5369999999999998E-4</v>
      </c>
      <c r="D23" s="3">
        <v>-5.8299999999999997E-4</v>
      </c>
      <c r="E23" s="3">
        <v>0</v>
      </c>
      <c r="F23" s="3">
        <v>0</v>
      </c>
      <c r="G23" s="3">
        <v>0</v>
      </c>
      <c r="H23" s="3">
        <v>1.5215927E-4</v>
      </c>
      <c r="I23" s="3">
        <v>4.0943628000000002E-5</v>
      </c>
      <c r="J23" s="3">
        <v>-3.3867662000000001E-4</v>
      </c>
      <c r="K23" s="3"/>
      <c r="L23" s="3">
        <f t="shared" si="0"/>
        <v>0.14833619210977703</v>
      </c>
      <c r="M23" s="3"/>
      <c r="N23" s="2">
        <f>IF('Modell einstellen'!$B$1="Voll",H23/0.35,H23/0.35*2)</f>
        <v>4.3474077142857144E-4</v>
      </c>
      <c r="O23" s="2">
        <f>IF('Modell einstellen'!$B$1="Voll",J23/0.35,J23/0.35*2)</f>
        <v>-9.6764748571428582E-4</v>
      </c>
      <c r="P23" s="3">
        <f t="shared" si="1"/>
        <v>0.44927597895597277</v>
      </c>
      <c r="Q23" s="3"/>
      <c r="R23" s="3"/>
      <c r="S23" s="3"/>
      <c r="T23" s="3"/>
      <c r="U23" s="3"/>
      <c r="V23" s="3"/>
      <c r="W23" s="3"/>
      <c r="X23" s="3"/>
      <c r="Y23" s="3"/>
    </row>
    <row r="24" spans="1:25" x14ac:dyDescent="0.25">
      <c r="A24" s="3">
        <v>1000000</v>
      </c>
      <c r="B24" s="3">
        <v>6.4759999999999997E-5</v>
      </c>
      <c r="C24" s="3">
        <v>4.1110000000000002E-4</v>
      </c>
      <c r="D24" s="3">
        <v>-6.1959999999999999E-4</v>
      </c>
      <c r="E24" s="3">
        <v>0</v>
      </c>
      <c r="F24" s="3">
        <v>0</v>
      </c>
      <c r="G24" s="3">
        <v>0</v>
      </c>
      <c r="H24" s="3">
        <v>1.7695948999999999E-4</v>
      </c>
      <c r="I24" s="3">
        <v>4.9047508999999999E-5</v>
      </c>
      <c r="J24" s="3">
        <v>-3.9265004999999999E-4</v>
      </c>
      <c r="K24" s="3"/>
      <c r="L24" s="3">
        <f t="shared" si="0"/>
        <v>0.10451904454486766</v>
      </c>
      <c r="M24" s="3"/>
      <c r="N24" s="2">
        <f>IF('Modell einstellen'!$B$1="Voll",H24/0.35,H24/0.35*2)</f>
        <v>5.0559854285714282E-4</v>
      </c>
      <c r="O24" s="2">
        <f>IF('Modell einstellen'!$B$1="Voll",J24/0.35,J24/0.35*2)</f>
        <v>-1.1218572857142858E-3</v>
      </c>
      <c r="P24" s="3">
        <f t="shared" si="1"/>
        <v>0.45067991204890967</v>
      </c>
      <c r="Q24" s="3"/>
      <c r="R24" s="3"/>
      <c r="S24" s="3"/>
      <c r="T24" s="3"/>
      <c r="U24" s="3"/>
      <c r="V24" s="3"/>
      <c r="W24" s="3"/>
      <c r="X24" s="3"/>
      <c r="Y24" s="3"/>
    </row>
    <row r="25" spans="1:25" x14ac:dyDescent="0.25">
      <c r="A25" s="3">
        <v>10000000</v>
      </c>
      <c r="B25" s="3">
        <v>3.641E-6</v>
      </c>
      <c r="C25" s="3">
        <v>4.8710000000000002E-4</v>
      </c>
      <c r="D25" s="3">
        <v>-6.3679999999999997E-4</v>
      </c>
      <c r="E25" s="3">
        <v>0</v>
      </c>
      <c r="F25" s="3">
        <v>0</v>
      </c>
      <c r="G25" s="3">
        <v>0</v>
      </c>
      <c r="H25" s="3">
        <v>2.1578769000000001E-4</v>
      </c>
      <c r="I25" s="3">
        <v>6.0478137000000001E-5</v>
      </c>
      <c r="J25" s="3">
        <v>-4.7298035999999999E-4</v>
      </c>
      <c r="K25" s="3"/>
      <c r="L25" s="3">
        <f t="shared" si="0"/>
        <v>5.7176507537688446E-3</v>
      </c>
      <c r="M25" s="3"/>
      <c r="N25" s="2">
        <f>IF('Modell einstellen'!$B$1="Voll",H25/0.35,H25/0.35*2)</f>
        <v>6.1653625714285724E-4</v>
      </c>
      <c r="O25" s="2">
        <f>IF('Modell einstellen'!$B$1="Voll",J25/0.35,J25/0.35*2)</f>
        <v>-1.3513724571428572E-3</v>
      </c>
      <c r="P25" s="3">
        <f t="shared" si="1"/>
        <v>0.45622970475983404</v>
      </c>
      <c r="Q25" s="3"/>
      <c r="R25" s="3"/>
      <c r="S25" s="3"/>
      <c r="T25" s="3"/>
      <c r="U25" s="3"/>
      <c r="V25" s="3"/>
      <c r="W25" s="3"/>
      <c r="X25" s="3"/>
      <c r="Y25" s="3"/>
    </row>
    <row r="26" spans="1:25" x14ac:dyDescent="0.25">
      <c r="A26" s="3">
        <v>100000000</v>
      </c>
      <c r="B26" s="3">
        <v>-1.4430000000000001E-4</v>
      </c>
      <c r="C26" s="3">
        <v>5.9940000000000004E-4</v>
      </c>
      <c r="D26" s="3">
        <v>-6.0479999999999996E-4</v>
      </c>
      <c r="E26" s="3">
        <v>0</v>
      </c>
      <c r="F26" s="3">
        <v>0</v>
      </c>
      <c r="G26" s="3">
        <v>0</v>
      </c>
      <c r="H26" s="3">
        <v>2.8171993999999998E-4</v>
      </c>
      <c r="I26" s="3">
        <v>7.8549946999999993E-5</v>
      </c>
      <c r="J26" s="3">
        <v>-6.0477885999999997E-4</v>
      </c>
      <c r="K26" s="3"/>
      <c r="L26" s="3">
        <f t="shared" si="0"/>
        <v>-0.23859126984126988</v>
      </c>
      <c r="M26" s="3"/>
      <c r="N26" s="2">
        <f>IF('Modell einstellen'!$B$1="Voll",H26/0.35,H26/0.35*2)</f>
        <v>8.0491411428571425E-4</v>
      </c>
      <c r="O26" s="2">
        <f>IF('Modell einstellen'!$B$1="Voll",J26/0.35,J26/0.35*2)</f>
        <v>-1.7279395999999999E-3</v>
      </c>
      <c r="P26" s="3">
        <f t="shared" si="1"/>
        <v>0.46582306134179358</v>
      </c>
      <c r="Q26" s="3"/>
      <c r="R26" s="3"/>
      <c r="S26" s="3"/>
      <c r="T26" s="3"/>
      <c r="U26" s="3"/>
      <c r="V26" s="3"/>
      <c r="W26" s="3"/>
      <c r="X26" s="3"/>
      <c r="Y26" s="3"/>
    </row>
    <row r="27" spans="1:25" x14ac:dyDescent="0.25">
      <c r="A27" s="3">
        <v>1000000000</v>
      </c>
      <c r="B27" s="3">
        <v>-4.5300000000000001E-4</v>
      </c>
      <c r="C27" s="3">
        <v>7.6369999999999997E-4</v>
      </c>
      <c r="D27" s="3">
        <v>-4.6430000000000001E-4</v>
      </c>
      <c r="E27" s="3">
        <v>0</v>
      </c>
      <c r="F27" s="3">
        <v>0</v>
      </c>
      <c r="G27" s="3">
        <v>0</v>
      </c>
      <c r="H27" s="3">
        <v>3.9111518000000002E-4</v>
      </c>
      <c r="I27" s="3">
        <v>1.0692068000000001E-4</v>
      </c>
      <c r="J27" s="3">
        <v>-8.1764090999999995E-4</v>
      </c>
      <c r="K27" s="3"/>
      <c r="L27" s="3">
        <f t="shared" si="0"/>
        <v>-0.97566228731423643</v>
      </c>
      <c r="M27" s="3"/>
      <c r="N27" s="2">
        <f>IF('Modell einstellen'!$B$1="Voll",H27/0.35,H27/0.35*2)</f>
        <v>1.1174719428571429E-3</v>
      </c>
      <c r="O27" s="2">
        <f>IF('Modell einstellen'!$B$1="Voll",J27/0.35,J27/0.35*2)</f>
        <v>-2.3361168857142858E-3</v>
      </c>
      <c r="P27" s="3">
        <f t="shared" si="1"/>
        <v>0.47834590370484276</v>
      </c>
      <c r="Q27" s="3"/>
      <c r="R27" s="3"/>
      <c r="S27" s="3"/>
      <c r="T27" s="3"/>
      <c r="U27" s="3"/>
      <c r="V27" s="3"/>
      <c r="W27" s="3"/>
      <c r="X27" s="3"/>
      <c r="Y27" s="3"/>
    </row>
    <row r="28" spans="1:25" x14ac:dyDescent="0.25">
      <c r="A28" s="3">
        <v>10000000000</v>
      </c>
      <c r="B28" s="3">
        <v>-9.6690000000000003E-4</v>
      </c>
      <c r="C28" s="3">
        <v>9.8149999999999995E-4</v>
      </c>
      <c r="D28" s="3">
        <v>-1.7149999999999999E-4</v>
      </c>
      <c r="E28" s="3">
        <v>0</v>
      </c>
      <c r="F28" s="3">
        <v>0</v>
      </c>
      <c r="G28" s="3">
        <v>0</v>
      </c>
      <c r="H28" s="3">
        <v>5.5213829000000001E-4</v>
      </c>
      <c r="I28" s="3">
        <v>1.4669219E-4</v>
      </c>
      <c r="J28" s="3">
        <v>-1.1235335999999999E-3</v>
      </c>
      <c r="K28" s="3"/>
      <c r="L28" s="3">
        <f t="shared" si="0"/>
        <v>-5.6379008746355685</v>
      </c>
      <c r="M28" s="3"/>
      <c r="N28" s="2">
        <f>IF('Modell einstellen'!$B$1="Voll",H28/0.35,H28/0.35*2)</f>
        <v>1.5775379714285716E-3</v>
      </c>
      <c r="O28" s="2">
        <f>IF('Modell einstellen'!$B$1="Voll",J28/0.35,J28/0.35*2)</f>
        <v>-3.210096E-3</v>
      </c>
      <c r="P28" s="3">
        <f t="shared" si="1"/>
        <v>0.49143015393576134</v>
      </c>
      <c r="Q28" s="3"/>
      <c r="R28" s="3"/>
      <c r="S28" s="3"/>
      <c r="T28" s="3"/>
      <c r="U28" s="3"/>
      <c r="V28" s="3"/>
      <c r="W28" s="3"/>
      <c r="X28" s="3"/>
      <c r="Y28" s="3"/>
    </row>
    <row r="29" spans="1:25" x14ac:dyDescent="0.25">
      <c r="A29" s="3">
        <v>100000000000</v>
      </c>
      <c r="B29" s="3">
        <v>-1.6249999999999999E-3</v>
      </c>
      <c r="C29" s="3">
        <v>1.2260000000000001E-3</v>
      </c>
      <c r="D29" s="3">
        <v>2.4010000000000001E-4</v>
      </c>
      <c r="E29" s="3">
        <v>0</v>
      </c>
      <c r="F29" s="3">
        <v>0</v>
      </c>
      <c r="G29" s="3">
        <v>0</v>
      </c>
      <c r="H29" s="3">
        <v>7.4568340000000005E-4</v>
      </c>
      <c r="I29" s="3">
        <v>1.9298513999999999E-4</v>
      </c>
      <c r="J29" s="3">
        <v>-1.4852931E-3</v>
      </c>
      <c r="K29" s="3"/>
      <c r="L29" s="3">
        <f t="shared" si="0"/>
        <v>6.7680133277800909</v>
      </c>
      <c r="M29" s="3"/>
      <c r="N29" s="2">
        <f>IF('Modell einstellen'!$B$1="Voll",H29/0.35,H29/0.35*2)</f>
        <v>2.1305240000000004E-3</v>
      </c>
      <c r="O29" s="2">
        <f>IF('Modell einstellen'!$B$1="Voll",J29/0.35,J29/0.35*2)</f>
        <v>-4.2436945714285712E-3</v>
      </c>
      <c r="P29" s="3">
        <f t="shared" si="1"/>
        <v>0.50204461328205197</v>
      </c>
      <c r="Q29" s="3"/>
      <c r="R29" s="3"/>
      <c r="S29" s="3"/>
      <c r="T29" s="3"/>
      <c r="U29" s="3"/>
      <c r="V29" s="3"/>
      <c r="W29" s="3"/>
      <c r="X29" s="3"/>
      <c r="Y29" s="3"/>
    </row>
    <row r="30" spans="1:25" x14ac:dyDescent="0.25">
      <c r="A30" s="3">
        <v>1000000000000</v>
      </c>
      <c r="B30" s="3">
        <v>-2.1779999999999998E-3</v>
      </c>
      <c r="C30" s="3">
        <v>1.423E-3</v>
      </c>
      <c r="D30" s="3">
        <v>5.955E-4</v>
      </c>
      <c r="E30" s="3">
        <v>0</v>
      </c>
      <c r="F30" s="3">
        <v>0</v>
      </c>
      <c r="G30" s="3">
        <v>0</v>
      </c>
      <c r="H30" s="3">
        <v>9.0451116E-4</v>
      </c>
      <c r="I30" s="3">
        <v>2.3102925E-4</v>
      </c>
      <c r="J30" s="3">
        <v>-1.7819767E-3</v>
      </c>
      <c r="K30" s="3"/>
      <c r="L30" s="3">
        <f t="shared" si="0"/>
        <v>3.6574307304785889</v>
      </c>
      <c r="M30" s="3"/>
      <c r="N30" s="2">
        <f>IF('Modell einstellen'!$B$1="Voll",H30/0.35,H30/0.35*2)</f>
        <v>2.5843176000000002E-3</v>
      </c>
      <c r="O30" s="2">
        <f>IF('Modell einstellen'!$B$1="Voll",J30/0.35,J30/0.35*2)</f>
        <v>-5.0913620000000003E-3</v>
      </c>
      <c r="P30" s="3">
        <f t="shared" si="1"/>
        <v>0.5075886570234055</v>
      </c>
      <c r="Q30" s="3"/>
      <c r="R30" s="3"/>
      <c r="S30" s="3"/>
      <c r="T30" s="3"/>
      <c r="U30" s="3"/>
      <c r="V30" s="3"/>
      <c r="W30" s="3"/>
      <c r="X30" s="3"/>
      <c r="Y30" s="3"/>
    </row>
    <row r="31" spans="1:25" x14ac:dyDescent="0.25">
      <c r="A31" s="3">
        <v>10000000000000</v>
      </c>
      <c r="B31" s="3">
        <v>-2.5579999999999999E-3</v>
      </c>
      <c r="C31" s="3">
        <v>1.5579999999999999E-3</v>
      </c>
      <c r="D31" s="3">
        <v>8.4020000000000004E-4</v>
      </c>
      <c r="E31" s="3">
        <v>0</v>
      </c>
      <c r="F31" s="3">
        <v>0</v>
      </c>
      <c r="G31" s="3">
        <v>0</v>
      </c>
      <c r="H31" s="3">
        <v>1.0125774999999999E-3</v>
      </c>
      <c r="I31" s="3">
        <v>2.5729425000000001E-4</v>
      </c>
      <c r="J31" s="3">
        <v>-1.9850181999999999E-3</v>
      </c>
      <c r="K31" s="3"/>
      <c r="L31" s="3">
        <f t="shared" si="0"/>
        <v>3.0445132111402047</v>
      </c>
      <c r="M31" s="3"/>
      <c r="N31" s="2">
        <f>IF('Modell einstellen'!$B$1="Voll",H31/0.35,H31/0.35*2)</f>
        <v>2.8930785714285714E-3</v>
      </c>
      <c r="O31" s="2">
        <f>IF('Modell einstellen'!$B$1="Voll",J31/0.35,J31/0.35*2)</f>
        <v>-5.6714805714285716E-3</v>
      </c>
      <c r="P31" s="3">
        <f t="shared" si="1"/>
        <v>0.51010993249331416</v>
      </c>
      <c r="Q31" s="3"/>
      <c r="R31" s="3"/>
      <c r="S31" s="3"/>
      <c r="T31" s="3"/>
      <c r="U31" s="3"/>
      <c r="V31" s="3"/>
      <c r="W31" s="3"/>
      <c r="X31" s="3"/>
      <c r="Y31" s="3"/>
    </row>
    <row r="32" spans="1:25" x14ac:dyDescent="0.25">
      <c r="A32" s="3">
        <v>100000000000000</v>
      </c>
      <c r="B32" s="3">
        <v>-2.7910000000000001E-3</v>
      </c>
      <c r="C32" s="3">
        <v>1.6410000000000001E-3</v>
      </c>
      <c r="D32" s="3">
        <v>9.8890000000000002E-4</v>
      </c>
      <c r="E32" s="3">
        <v>0</v>
      </c>
      <c r="F32" s="3">
        <v>0</v>
      </c>
      <c r="G32" s="3">
        <v>0</v>
      </c>
      <c r="H32" s="3">
        <v>1.0788970000000001E-3</v>
      </c>
      <c r="I32" s="3">
        <v>2.7363685999999999E-4</v>
      </c>
      <c r="J32" s="3">
        <v>-2.1103508999999999E-3</v>
      </c>
      <c r="K32" s="3"/>
      <c r="L32" s="3">
        <f t="shared" si="0"/>
        <v>2.8223278390130448</v>
      </c>
      <c r="M32" s="3"/>
      <c r="N32" s="2">
        <f>IF('Modell einstellen'!$B$1="Voll",H32/0.35,H32/0.35*2)</f>
        <v>3.0825628571428576E-3</v>
      </c>
      <c r="O32" s="2">
        <f>IF('Modell einstellen'!$B$1="Voll",J32/0.35,J32/0.35*2)</f>
        <v>-6.0295740000000002E-3</v>
      </c>
      <c r="P32" s="3">
        <f t="shared" si="1"/>
        <v>0.51124057141397672</v>
      </c>
      <c r="Q32" s="3"/>
      <c r="R32" s="3"/>
      <c r="S32" s="3"/>
      <c r="T32" s="3"/>
      <c r="U32" s="3"/>
      <c r="V32" s="3"/>
      <c r="W32" s="3"/>
      <c r="X32" s="3"/>
      <c r="Y32" s="3"/>
    </row>
    <row r="33" spans="1:25" x14ac:dyDescent="0.25">
      <c r="A33" s="2">
        <v>1000000000000000</v>
      </c>
      <c r="B33" s="3">
        <v>-2.9629999999999999E-3</v>
      </c>
      <c r="C33" s="3">
        <v>1.702E-3</v>
      </c>
      <c r="D33" s="3">
        <v>1.1000000000000001E-3</v>
      </c>
      <c r="E33" s="3">
        <v>0</v>
      </c>
      <c r="F33" s="3">
        <v>0</v>
      </c>
      <c r="G33" s="3">
        <v>0</v>
      </c>
      <c r="H33" s="3">
        <v>1.1283097000000001E-3</v>
      </c>
      <c r="I33" s="3">
        <v>2.8565549E-4</v>
      </c>
      <c r="J33" s="3">
        <v>-2.2031231E-3</v>
      </c>
      <c r="K33" s="3"/>
      <c r="L33" s="3">
        <f t="shared" si="0"/>
        <v>2.6936363636363634</v>
      </c>
      <c r="M33" s="3"/>
      <c r="N33" s="2">
        <f>IF('Modell einstellen'!$B$1="Voll",H33/0.35,H33/0.35*2)</f>
        <v>3.2237420000000004E-3</v>
      </c>
      <c r="O33" s="2">
        <f>IF('Modell einstellen'!$B$1="Voll",J33/0.35,J33/0.35*2)</f>
        <v>-6.2946374285714288E-3</v>
      </c>
      <c r="P33" s="3">
        <f t="shared" si="1"/>
        <v>0.51214101472586804</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9.9110000000000005E-5</v>
      </c>
      <c r="C3" s="3">
        <v>1.304E-4</v>
      </c>
      <c r="D3" s="3">
        <v>-3.569E-4</v>
      </c>
      <c r="E3" s="3">
        <v>0</v>
      </c>
      <c r="F3" s="3">
        <v>0</v>
      </c>
      <c r="G3" s="3">
        <v>0</v>
      </c>
      <c r="H3" s="3">
        <v>4.9460333999999998E-5</v>
      </c>
      <c r="I3" s="3">
        <v>1.3092459E-5</v>
      </c>
      <c r="J3" s="3">
        <v>-1.3433793E-4</v>
      </c>
      <c r="K3" s="3"/>
      <c r="L3" s="3">
        <f>-B3/D3</f>
        <v>0.27769683384701599</v>
      </c>
      <c r="M3" s="3"/>
      <c r="N3" s="2">
        <f>IF('Modell einstellen'!$B$1="Voll",H3/0.35,H3/0.35*2)</f>
        <v>1.4131524E-4</v>
      </c>
      <c r="O3" s="2">
        <f>IF('Modell einstellen'!$B$1="Voll",J3/0.35,J3/0.35*2)</f>
        <v>-3.8382265714285714E-4</v>
      </c>
      <c r="P3" s="3">
        <f>-N3/O3</f>
        <v>0.36817847349590693</v>
      </c>
      <c r="Q3" s="3"/>
      <c r="R3" s="3"/>
      <c r="S3" s="3"/>
      <c r="T3" s="3"/>
      <c r="U3" s="3"/>
    </row>
    <row r="4" spans="1:21" x14ac:dyDescent="0.25">
      <c r="A4" s="3">
        <v>1E-14</v>
      </c>
      <c r="B4" s="3">
        <v>1.005E-4</v>
      </c>
      <c r="C4" s="3">
        <v>1.3439999999999999E-4</v>
      </c>
      <c r="D4" s="3">
        <v>-3.6289999999999998E-4</v>
      </c>
      <c r="E4" s="3">
        <v>0</v>
      </c>
      <c r="F4" s="3">
        <v>0</v>
      </c>
      <c r="G4" s="3">
        <v>0</v>
      </c>
      <c r="H4" s="3">
        <v>5.1199209999999997E-5</v>
      </c>
      <c r="I4" s="3">
        <v>1.3517342999999999E-5</v>
      </c>
      <c r="J4" s="3">
        <v>-1.3768455999999999E-4</v>
      </c>
      <c r="K4" s="3"/>
      <c r="L4" s="3">
        <f t="shared" ref="L4:L33" si="0">-B4/D4</f>
        <v>0.27693579498484433</v>
      </c>
      <c r="M4" s="3"/>
      <c r="N4" s="2">
        <f>IF('Modell einstellen'!$B$1="Voll",H4/0.35,H4/0.35*2)</f>
        <v>1.4628345714285713E-4</v>
      </c>
      <c r="O4" s="2">
        <f>IF('Modell einstellen'!$B$1="Voll",J4/0.35,J4/0.35*2)</f>
        <v>-3.9338445714285714E-4</v>
      </c>
      <c r="P4" s="3">
        <f t="shared" ref="P4:P33" si="1">-N4/O4</f>
        <v>0.37185876179580335</v>
      </c>
      <c r="Q4" s="3"/>
      <c r="R4" s="3"/>
      <c r="S4" s="3"/>
      <c r="T4" s="3"/>
      <c r="U4" s="3"/>
    </row>
    <row r="5" spans="1:21" x14ac:dyDescent="0.25">
      <c r="A5" s="3">
        <v>1E-13</v>
      </c>
      <c r="B5" s="3">
        <v>1.0170000000000001E-4</v>
      </c>
      <c r="C5" s="3">
        <v>1.3789999999999999E-4</v>
      </c>
      <c r="D5" s="3">
        <v>-3.6820000000000001E-4</v>
      </c>
      <c r="E5" s="3">
        <v>0</v>
      </c>
      <c r="F5" s="3">
        <v>0</v>
      </c>
      <c r="G5" s="3">
        <v>0</v>
      </c>
      <c r="H5" s="3">
        <v>5.2807555999999999E-5</v>
      </c>
      <c r="I5" s="3">
        <v>1.390634E-5</v>
      </c>
      <c r="J5" s="3">
        <v>-1.4076966E-4</v>
      </c>
      <c r="K5" s="3"/>
      <c r="L5" s="3">
        <f t="shared" si="0"/>
        <v>0.2762085822922325</v>
      </c>
      <c r="M5" s="3"/>
      <c r="N5" s="2">
        <f>IF('Modell einstellen'!$B$1="Voll",H5/0.35,H5/0.35*2)</f>
        <v>1.5087873142857142E-4</v>
      </c>
      <c r="O5" s="2">
        <f>IF('Modell einstellen'!$B$1="Voll",J5/0.35,J5/0.35*2)</f>
        <v>-4.0219902857142859E-4</v>
      </c>
      <c r="P5" s="3">
        <f t="shared" si="1"/>
        <v>0.3751344998631097</v>
      </c>
      <c r="Q5" s="3"/>
      <c r="R5" s="3"/>
      <c r="S5" s="3"/>
      <c r="T5" s="3"/>
      <c r="U5" s="3"/>
    </row>
    <row r="6" spans="1:21" x14ac:dyDescent="0.25">
      <c r="A6" s="3">
        <v>9.9999999999999998E-13</v>
      </c>
      <c r="B6" s="3">
        <v>1.03E-4</v>
      </c>
      <c r="C6" s="3">
        <v>1.4190000000000001E-4</v>
      </c>
      <c r="D6" s="3">
        <v>-3.7409999999999999E-4</v>
      </c>
      <c r="E6" s="3">
        <v>0</v>
      </c>
      <c r="F6" s="3">
        <v>0</v>
      </c>
      <c r="G6" s="3">
        <v>0</v>
      </c>
      <c r="H6" s="3">
        <v>5.4658932E-5</v>
      </c>
      <c r="I6" s="3">
        <v>1.4349431E-5</v>
      </c>
      <c r="J6" s="3">
        <v>-1.4430224000000001E-4</v>
      </c>
      <c r="K6" s="3"/>
      <c r="L6" s="3">
        <f t="shared" si="0"/>
        <v>0.27532745255279339</v>
      </c>
      <c r="M6" s="3"/>
      <c r="N6" s="2">
        <f>IF('Modell einstellen'!$B$1="Voll",H6/0.35,H6/0.35*2)</f>
        <v>1.5616837714285716E-4</v>
      </c>
      <c r="O6" s="2">
        <f>IF('Modell einstellen'!$B$1="Voll",J6/0.35,J6/0.35*2)</f>
        <v>-4.1229211428571433E-4</v>
      </c>
      <c r="P6" s="3">
        <f t="shared" si="1"/>
        <v>0.37878089764926726</v>
      </c>
      <c r="Q6" s="3"/>
      <c r="R6" s="3"/>
      <c r="S6" s="3"/>
      <c r="T6" s="3"/>
      <c r="U6" s="3"/>
    </row>
    <row r="7" spans="1:21" x14ac:dyDescent="0.25">
      <c r="A7" s="3">
        <v>9.9999999999999994E-12</v>
      </c>
      <c r="B7" s="3">
        <v>1.042E-4</v>
      </c>
      <c r="C7" s="3">
        <v>1.4640000000000001E-4</v>
      </c>
      <c r="D7" s="3">
        <v>-3.8059999999999998E-4</v>
      </c>
      <c r="E7" s="3">
        <v>0</v>
      </c>
      <c r="F7" s="3">
        <v>0</v>
      </c>
      <c r="G7" s="3">
        <v>0</v>
      </c>
      <c r="H7" s="3">
        <v>5.6776127000000001E-5</v>
      </c>
      <c r="I7" s="3">
        <v>1.4849967999999999E-5</v>
      </c>
      <c r="J7" s="3">
        <v>-1.4831743000000001E-4</v>
      </c>
      <c r="K7" s="3"/>
      <c r="L7" s="3">
        <f t="shared" si="0"/>
        <v>0.27377824487651076</v>
      </c>
      <c r="M7" s="3"/>
      <c r="N7" s="2">
        <f>IF('Modell einstellen'!$B$1="Voll",H7/0.35,H7/0.35*2)</f>
        <v>1.6221750571428572E-4</v>
      </c>
      <c r="O7" s="2">
        <f>IF('Modell einstellen'!$B$1="Voll",J7/0.35,J7/0.35*2)</f>
        <v>-4.237640857142858E-4</v>
      </c>
      <c r="P7" s="3">
        <f t="shared" si="1"/>
        <v>0.38280144821818979</v>
      </c>
      <c r="Q7" s="3"/>
      <c r="R7" s="3"/>
      <c r="S7" s="3"/>
      <c r="T7" s="3"/>
      <c r="U7" s="3"/>
    </row>
    <row r="8" spans="1:21" x14ac:dyDescent="0.25">
      <c r="A8" s="3">
        <v>1E-10</v>
      </c>
      <c r="B8" s="3">
        <v>1.055E-4</v>
      </c>
      <c r="C8" s="3">
        <v>1.516E-4</v>
      </c>
      <c r="D8" s="3">
        <v>-3.879E-4</v>
      </c>
      <c r="E8" s="3">
        <v>0</v>
      </c>
      <c r="F8" s="3">
        <v>0</v>
      </c>
      <c r="G8" s="3">
        <v>0</v>
      </c>
      <c r="H8" s="3">
        <v>5.9264320999999998E-5</v>
      </c>
      <c r="I8" s="3">
        <v>1.5430324999999999E-5</v>
      </c>
      <c r="J8" s="3">
        <v>-1.5300515999999999E-4</v>
      </c>
      <c r="K8" s="3"/>
      <c r="L8" s="3">
        <f t="shared" si="0"/>
        <v>0.27197731374065481</v>
      </c>
      <c r="M8" s="3"/>
      <c r="N8" s="2">
        <f>IF('Modell einstellen'!$B$1="Voll",H8/0.35,H8/0.35*2)</f>
        <v>1.6932663142857143E-4</v>
      </c>
      <c r="O8" s="2">
        <f>IF('Modell einstellen'!$B$1="Voll",J8/0.35,J8/0.35*2)</f>
        <v>-4.3715760000000002E-4</v>
      </c>
      <c r="P8" s="3">
        <f t="shared" si="1"/>
        <v>0.38733544019038313</v>
      </c>
      <c r="Q8" s="3"/>
      <c r="R8" s="3"/>
      <c r="S8" s="3"/>
      <c r="T8" s="3"/>
      <c r="U8" s="3"/>
    </row>
    <row r="9" spans="1:21" x14ac:dyDescent="0.25">
      <c r="A9" s="3">
        <v>1.0000000000000001E-9</v>
      </c>
      <c r="B9" s="3">
        <v>1.065E-4</v>
      </c>
      <c r="C9" s="3">
        <v>1.5699999999999999E-4</v>
      </c>
      <c r="D9" s="3">
        <v>-3.9520000000000001E-4</v>
      </c>
      <c r="E9" s="3">
        <v>0</v>
      </c>
      <c r="F9" s="3">
        <v>0</v>
      </c>
      <c r="G9" s="3">
        <v>0</v>
      </c>
      <c r="H9" s="3">
        <v>6.1922609E-5</v>
      </c>
      <c r="I9" s="3">
        <v>1.6040349E-5</v>
      </c>
      <c r="J9" s="3">
        <v>-1.5797418999999999E-4</v>
      </c>
      <c r="K9" s="3"/>
      <c r="L9" s="3">
        <f t="shared" si="0"/>
        <v>0.26948380566801616</v>
      </c>
      <c r="M9" s="3"/>
      <c r="N9" s="2">
        <f>IF('Modell einstellen'!$B$1="Voll",H9/0.35,H9/0.35*2)</f>
        <v>1.7692174000000002E-4</v>
      </c>
      <c r="O9" s="2">
        <f>IF('Modell einstellen'!$B$1="Voll",J9/0.35,J9/0.35*2)</f>
        <v>-4.5135482857142859E-4</v>
      </c>
      <c r="P9" s="3">
        <f t="shared" si="1"/>
        <v>0.39197927838718466</v>
      </c>
      <c r="Q9" s="3"/>
      <c r="R9" s="3"/>
      <c r="S9" s="3"/>
      <c r="T9" s="3"/>
      <c r="U9" s="3"/>
    </row>
    <row r="10" spans="1:21" x14ac:dyDescent="0.25">
      <c r="A10" s="3">
        <v>1E-8</v>
      </c>
      <c r="B10" s="3">
        <v>1.0730000000000001E-4</v>
      </c>
      <c r="C10" s="3">
        <v>1.6239999999999999E-4</v>
      </c>
      <c r="D10" s="3">
        <v>-4.0220000000000002E-4</v>
      </c>
      <c r="E10" s="3">
        <v>0</v>
      </c>
      <c r="F10" s="3">
        <v>0</v>
      </c>
      <c r="G10" s="3">
        <v>0</v>
      </c>
      <c r="H10" s="3">
        <v>6.4636566999999993E-5</v>
      </c>
      <c r="I10" s="3">
        <v>1.6653371999999999E-5</v>
      </c>
      <c r="J10" s="3">
        <v>-1.6300937E-4</v>
      </c>
      <c r="K10" s="3"/>
      <c r="L10" s="3">
        <f t="shared" si="0"/>
        <v>0.26678269517652908</v>
      </c>
      <c r="M10" s="3"/>
      <c r="N10" s="2">
        <f>IF('Modell einstellen'!$B$1="Voll",H10/0.35,H10/0.35*2)</f>
        <v>1.8467590571428572E-4</v>
      </c>
      <c r="O10" s="2">
        <f>IF('Modell einstellen'!$B$1="Voll",J10/0.35,J10/0.35*2)</f>
        <v>-4.6574105714285716E-4</v>
      </c>
      <c r="P10" s="3">
        <f t="shared" si="1"/>
        <v>0.39652056197751084</v>
      </c>
      <c r="Q10" s="3"/>
      <c r="R10" s="3"/>
      <c r="S10" s="3"/>
      <c r="T10" s="3"/>
      <c r="U10" s="3"/>
    </row>
    <row r="11" spans="1:21" x14ac:dyDescent="0.25">
      <c r="A11" s="3">
        <v>9.9999999999999995E-8</v>
      </c>
      <c r="B11" s="3">
        <v>1.0789999999999999E-4</v>
      </c>
      <c r="C11" s="3">
        <v>1.6899999999999999E-4</v>
      </c>
      <c r="D11" s="3">
        <v>-4.104E-4</v>
      </c>
      <c r="E11" s="3">
        <v>0</v>
      </c>
      <c r="F11" s="3">
        <v>0</v>
      </c>
      <c r="G11" s="3">
        <v>0</v>
      </c>
      <c r="H11" s="3">
        <v>6.8038557999999994E-5</v>
      </c>
      <c r="I11" s="3">
        <v>1.7408406000000001E-5</v>
      </c>
      <c r="J11" s="3">
        <v>-1.6926981000000001E-4</v>
      </c>
      <c r="K11" s="3"/>
      <c r="L11" s="3">
        <f t="shared" si="0"/>
        <v>0.26291423001949316</v>
      </c>
      <c r="M11" s="3"/>
      <c r="N11" s="2">
        <f>IF('Modell einstellen'!$B$1="Voll",H11/0.35,H11/0.35*2)</f>
        <v>1.9439587999999999E-4</v>
      </c>
      <c r="O11" s="2">
        <f>IF('Modell einstellen'!$B$1="Voll",J11/0.35,J11/0.35*2)</f>
        <v>-4.8362802857142864E-4</v>
      </c>
      <c r="P11" s="3">
        <f t="shared" si="1"/>
        <v>0.40195329574718602</v>
      </c>
      <c r="Q11" s="3"/>
      <c r="R11" s="3"/>
      <c r="S11" s="3"/>
      <c r="T11" s="3"/>
      <c r="U11" s="3"/>
    </row>
    <row r="12" spans="1:21" x14ac:dyDescent="0.25">
      <c r="A12" s="3">
        <v>9.9999999999999995E-7</v>
      </c>
      <c r="B12" s="3">
        <v>1.08E-4</v>
      </c>
      <c r="C12" s="3">
        <v>1.773E-4</v>
      </c>
      <c r="D12" s="3">
        <v>-4.2010000000000002E-4</v>
      </c>
      <c r="E12" s="3">
        <v>0</v>
      </c>
      <c r="F12" s="3">
        <v>0</v>
      </c>
      <c r="G12" s="3">
        <v>0</v>
      </c>
      <c r="H12" s="3">
        <v>7.2460772999999995E-5</v>
      </c>
      <c r="I12" s="3">
        <v>1.8366869E-5</v>
      </c>
      <c r="J12" s="3">
        <v>-1.7731959E-4</v>
      </c>
      <c r="K12" s="3"/>
      <c r="L12" s="3">
        <f t="shared" si="0"/>
        <v>0.25708164722685073</v>
      </c>
      <c r="M12" s="3"/>
      <c r="N12" s="2">
        <f>IF('Modell einstellen'!$B$1="Voll",H12/0.35,H12/0.35*2)</f>
        <v>2.0703078E-4</v>
      </c>
      <c r="O12" s="2">
        <f>IF('Modell einstellen'!$B$1="Voll",J12/0.35,J12/0.35*2)</f>
        <v>-5.0662740000000008E-4</v>
      </c>
      <c r="P12" s="3">
        <f t="shared" si="1"/>
        <v>0.40864505157044401</v>
      </c>
      <c r="Q12" s="3"/>
      <c r="R12" s="3"/>
      <c r="S12" s="3"/>
      <c r="T12" s="3"/>
      <c r="U12" s="3"/>
    </row>
    <row r="13" spans="1:21" x14ac:dyDescent="0.25">
      <c r="A13" s="3">
        <v>1.0000000000000001E-5</v>
      </c>
      <c r="B13" s="3">
        <v>1.0739999999999999E-4</v>
      </c>
      <c r="C13" s="3">
        <v>1.863E-4</v>
      </c>
      <c r="D13" s="3">
        <v>-4.2999999999999999E-4</v>
      </c>
      <c r="E13" s="3">
        <v>0</v>
      </c>
      <c r="F13" s="3">
        <v>0</v>
      </c>
      <c r="G13" s="3">
        <v>0</v>
      </c>
      <c r="H13" s="3">
        <v>7.7545886999999997E-5</v>
      </c>
      <c r="I13" s="3">
        <v>1.943617E-5</v>
      </c>
      <c r="J13" s="3">
        <v>-1.8645050000000001E-4</v>
      </c>
      <c r="K13" s="3"/>
      <c r="L13" s="3">
        <f t="shared" si="0"/>
        <v>0.24976744186046512</v>
      </c>
      <c r="M13" s="3"/>
      <c r="N13" s="2">
        <f>IF('Modell einstellen'!$B$1="Voll",H13/0.35,H13/0.35*2)</f>
        <v>2.2155967714285714E-4</v>
      </c>
      <c r="O13" s="2">
        <f>IF('Modell einstellen'!$B$1="Voll",J13/0.35,J13/0.35*2)</f>
        <v>-5.3271571428571435E-4</v>
      </c>
      <c r="P13" s="3">
        <f t="shared" si="1"/>
        <v>0.41590602867785276</v>
      </c>
      <c r="Q13" s="3"/>
      <c r="R13" s="3"/>
      <c r="S13" s="3"/>
      <c r="T13" s="3"/>
      <c r="U13" s="3"/>
    </row>
    <row r="14" spans="1:21" x14ac:dyDescent="0.25">
      <c r="A14" s="3">
        <v>1E-4</v>
      </c>
      <c r="B14" s="3">
        <v>1.06E-4</v>
      </c>
      <c r="C14" s="3">
        <v>1.9450000000000001E-4</v>
      </c>
      <c r="D14" s="3">
        <v>-4.3800000000000002E-4</v>
      </c>
      <c r="E14" s="3">
        <v>0</v>
      </c>
      <c r="F14" s="3">
        <v>0</v>
      </c>
      <c r="G14" s="3">
        <v>0</v>
      </c>
      <c r="H14" s="3">
        <v>8.2340898000000004E-5</v>
      </c>
      <c r="I14" s="3">
        <v>2.0411924999999999E-5</v>
      </c>
      <c r="J14" s="3">
        <v>-1.9493637E-4</v>
      </c>
      <c r="K14" s="3"/>
      <c r="L14" s="3">
        <f t="shared" si="0"/>
        <v>0.24200913242009131</v>
      </c>
      <c r="M14" s="3"/>
      <c r="N14" s="2">
        <f>IF('Modell einstellen'!$B$1="Voll",H14/0.35,H14/0.35*2)</f>
        <v>2.3525970857142859E-4</v>
      </c>
      <c r="O14" s="2">
        <f>IF('Modell einstellen'!$B$1="Voll",J14/0.35,J14/0.35*2)</f>
        <v>-5.569610571428572E-4</v>
      </c>
      <c r="P14" s="3">
        <f t="shared" si="1"/>
        <v>0.42239884737773664</v>
      </c>
      <c r="Q14" s="3"/>
      <c r="R14" s="3"/>
      <c r="S14" s="3"/>
      <c r="T14" s="3"/>
      <c r="U14" s="3"/>
    </row>
    <row r="15" spans="1:21" x14ac:dyDescent="0.25">
      <c r="A15" s="3">
        <v>1E-3</v>
      </c>
      <c r="B15" s="3">
        <v>1.0399999999999999E-4</v>
      </c>
      <c r="C15" s="3">
        <v>2.0220000000000001E-4</v>
      </c>
      <c r="D15" s="3">
        <v>-4.4499999999999997E-4</v>
      </c>
      <c r="E15" s="3">
        <v>0</v>
      </c>
      <c r="F15" s="3">
        <v>0</v>
      </c>
      <c r="G15" s="3">
        <v>0</v>
      </c>
      <c r="H15" s="3">
        <v>8.7079653000000004E-5</v>
      </c>
      <c r="I15" s="3">
        <v>2.1349371E-5</v>
      </c>
      <c r="J15" s="3">
        <v>-2.0322090999999999E-4</v>
      </c>
      <c r="K15" s="3"/>
      <c r="L15" s="3">
        <f t="shared" si="0"/>
        <v>0.23370786516853934</v>
      </c>
      <c r="M15" s="3"/>
      <c r="N15" s="2">
        <f>IF('Modell einstellen'!$B$1="Voll",H15/0.35,H15/0.35*2)</f>
        <v>2.4879900857142857E-4</v>
      </c>
      <c r="O15" s="2">
        <f>IF('Modell einstellen'!$B$1="Voll",J15/0.35,J15/0.35*2)</f>
        <v>-5.8063117142857139E-4</v>
      </c>
      <c r="P15" s="3">
        <f t="shared" si="1"/>
        <v>0.42849750549783489</v>
      </c>
      <c r="Q15" s="3"/>
      <c r="R15" s="3"/>
      <c r="S15" s="3"/>
      <c r="T15" s="3"/>
      <c r="U15" s="3"/>
    </row>
    <row r="16" spans="1:21" x14ac:dyDescent="0.25">
      <c r="A16" s="3">
        <v>0.01</v>
      </c>
      <c r="B16" s="3">
        <v>1.011E-4</v>
      </c>
      <c r="C16" s="3">
        <v>2.1029999999999999E-4</v>
      </c>
      <c r="D16" s="3">
        <v>-4.5140000000000002E-4</v>
      </c>
      <c r="E16" s="3">
        <v>0</v>
      </c>
      <c r="F16" s="3">
        <v>0</v>
      </c>
      <c r="G16" s="3">
        <v>0</v>
      </c>
      <c r="H16" s="3">
        <v>9.2259535999999998E-5</v>
      </c>
      <c r="I16" s="3">
        <v>2.2342363E-5</v>
      </c>
      <c r="J16" s="3">
        <v>-2.1215665E-4</v>
      </c>
      <c r="K16" s="3"/>
      <c r="L16" s="3">
        <f t="shared" si="0"/>
        <v>0.22396987151085512</v>
      </c>
      <c r="M16" s="3"/>
      <c r="N16" s="2">
        <f>IF('Modell einstellen'!$B$1="Voll",H16/0.35,H16/0.35*2)</f>
        <v>2.6359867428571432E-4</v>
      </c>
      <c r="O16" s="2">
        <f>IF('Modell einstellen'!$B$1="Voll",J16/0.35,J16/0.35*2)</f>
        <v>-6.0616185714285715E-4</v>
      </c>
      <c r="P16" s="3">
        <f t="shared" si="1"/>
        <v>0.43486516213373472</v>
      </c>
      <c r="Q16" s="3"/>
      <c r="R16" s="3"/>
      <c r="S16" s="3"/>
      <c r="T16" s="3"/>
      <c r="U16" s="3"/>
    </row>
    <row r="17" spans="1:21" x14ac:dyDescent="0.25">
      <c r="A17" s="3">
        <v>0.1</v>
      </c>
      <c r="B17" s="3">
        <v>9.7139999999999995E-5</v>
      </c>
      <c r="C17" s="3">
        <v>2.1900000000000001E-4</v>
      </c>
      <c r="D17" s="3">
        <v>-4.5750000000000001E-4</v>
      </c>
      <c r="E17" s="3">
        <v>0</v>
      </c>
      <c r="F17" s="3">
        <v>0</v>
      </c>
      <c r="G17" s="3">
        <v>0</v>
      </c>
      <c r="H17" s="3">
        <v>9.8091642000000003E-5</v>
      </c>
      <c r="I17" s="3">
        <v>2.3424817E-5</v>
      </c>
      <c r="J17" s="3">
        <v>-2.2208212999999999E-4</v>
      </c>
      <c r="K17" s="3"/>
      <c r="L17" s="3">
        <f t="shared" si="0"/>
        <v>0.212327868852459</v>
      </c>
      <c r="M17" s="3"/>
      <c r="N17" s="2">
        <f>IF('Modell einstellen'!$B$1="Voll",H17/0.35,H17/0.35*2)</f>
        <v>2.8026183428571432E-4</v>
      </c>
      <c r="O17" s="2">
        <f>IF('Modell einstellen'!$B$1="Voll",J17/0.35,J17/0.35*2)</f>
        <v>-6.3452037142857146E-4</v>
      </c>
      <c r="P17" s="3">
        <f t="shared" si="1"/>
        <v>0.44169083752934107</v>
      </c>
      <c r="Q17" s="3"/>
      <c r="R17" s="3"/>
      <c r="S17" s="3"/>
      <c r="T17" s="3"/>
      <c r="U17" s="3"/>
    </row>
    <row r="18" spans="1:21" x14ac:dyDescent="0.25">
      <c r="A18" s="3">
        <v>1</v>
      </c>
      <c r="B18" s="3">
        <v>9.2079999999999999E-5</v>
      </c>
      <c r="C18" s="3">
        <v>2.2800000000000001E-4</v>
      </c>
      <c r="D18" s="3">
        <v>-4.6270000000000003E-4</v>
      </c>
      <c r="E18" s="3">
        <v>0</v>
      </c>
      <c r="F18" s="3">
        <v>0</v>
      </c>
      <c r="G18" s="3">
        <v>0</v>
      </c>
      <c r="H18" s="3">
        <v>1.0436461999999999E-4</v>
      </c>
      <c r="I18" s="3">
        <v>2.4563282999999999E-5</v>
      </c>
      <c r="J18" s="3">
        <v>-2.3264974E-4</v>
      </c>
      <c r="K18" s="3"/>
      <c r="L18" s="3">
        <f t="shared" si="0"/>
        <v>0.19900583531445859</v>
      </c>
      <c r="M18" s="3"/>
      <c r="N18" s="2">
        <f>IF('Modell einstellen'!$B$1="Voll",H18/0.35,H18/0.35*2)</f>
        <v>2.9818462857142858E-4</v>
      </c>
      <c r="O18" s="2">
        <f>IF('Modell einstellen'!$B$1="Voll",J18/0.35,J18/0.35*2)</f>
        <v>-6.6471354285714285E-4</v>
      </c>
      <c r="P18" s="3">
        <f t="shared" si="1"/>
        <v>0.44859117401119813</v>
      </c>
      <c r="Q18" s="3"/>
      <c r="R18" s="3"/>
      <c r="S18" s="3"/>
      <c r="T18" s="3"/>
      <c r="U18" s="3"/>
    </row>
    <row r="19" spans="1:21" x14ac:dyDescent="0.25">
      <c r="A19" s="3">
        <v>10</v>
      </c>
      <c r="B19" s="3">
        <v>8.6130000000000004E-5</v>
      </c>
      <c r="C19" s="3">
        <v>2.4030000000000001E-4</v>
      </c>
      <c r="D19" s="3">
        <v>-4.704E-4</v>
      </c>
      <c r="E19" s="3">
        <v>0</v>
      </c>
      <c r="F19" s="3">
        <v>0</v>
      </c>
      <c r="G19" s="3">
        <v>0</v>
      </c>
      <c r="H19" s="3">
        <v>1.1215078E-4</v>
      </c>
      <c r="I19" s="3">
        <v>2.613031E-5</v>
      </c>
      <c r="J19" s="3">
        <v>-2.4624233999999997E-4</v>
      </c>
      <c r="K19" s="3"/>
      <c r="L19" s="3">
        <f t="shared" si="0"/>
        <v>0.18309948979591836</v>
      </c>
      <c r="M19" s="3"/>
      <c r="N19" s="2">
        <f>IF('Modell einstellen'!$B$1="Voll",H19/0.35,H19/0.35*2)</f>
        <v>3.2043080000000002E-4</v>
      </c>
      <c r="O19" s="2">
        <f>IF('Modell einstellen'!$B$1="Voll",J19/0.35,J19/0.35*2)</f>
        <v>-7.0354954285714285E-4</v>
      </c>
      <c r="P19" s="3">
        <f t="shared" si="1"/>
        <v>0.45544880705730789</v>
      </c>
      <c r="Q19" s="3"/>
      <c r="R19" s="3"/>
      <c r="S19" s="3"/>
      <c r="T19" s="3"/>
      <c r="U19" s="3"/>
    </row>
    <row r="20" spans="1:21" x14ac:dyDescent="0.25">
      <c r="A20" s="3">
        <v>100</v>
      </c>
      <c r="B20" s="3">
        <v>8.3020000000000001E-5</v>
      </c>
      <c r="C20" s="3">
        <v>2.632E-4</v>
      </c>
      <c r="D20" s="3">
        <v>-4.906E-4</v>
      </c>
      <c r="E20" s="3">
        <v>0</v>
      </c>
      <c r="F20" s="3">
        <v>0</v>
      </c>
      <c r="G20" s="3">
        <v>0</v>
      </c>
      <c r="H20" s="3">
        <v>1.2211264999999999E-4</v>
      </c>
      <c r="I20" s="3">
        <v>2.9056566999999999E-5</v>
      </c>
      <c r="J20" s="3">
        <v>-2.6664320999999998E-4</v>
      </c>
      <c r="K20" s="3"/>
      <c r="L20" s="3">
        <f t="shared" si="0"/>
        <v>0.16922136159804321</v>
      </c>
      <c r="M20" s="3"/>
      <c r="N20" s="2">
        <f>IF('Modell einstellen'!$B$1="Voll",H20/0.35,H20/0.35*2)</f>
        <v>3.4889328571428569E-4</v>
      </c>
      <c r="O20" s="2">
        <f>IF('Modell einstellen'!$B$1="Voll",J20/0.35,J20/0.35*2)</f>
        <v>-7.6183774285714279E-4</v>
      </c>
      <c r="P20" s="3">
        <f t="shared" si="1"/>
        <v>0.45796272104585001</v>
      </c>
      <c r="Q20" s="3"/>
      <c r="R20" s="3"/>
      <c r="S20" s="3"/>
      <c r="T20" s="3"/>
      <c r="U20" s="3"/>
    </row>
    <row r="21" spans="1:21" x14ac:dyDescent="0.25">
      <c r="A21" s="3">
        <v>1000</v>
      </c>
      <c r="B21" s="3">
        <v>8.4419999999999995E-5</v>
      </c>
      <c r="C21" s="3">
        <v>3.0009999999999998E-4</v>
      </c>
      <c r="D21" s="3">
        <v>-5.2820000000000005E-4</v>
      </c>
      <c r="E21" s="3">
        <v>0</v>
      </c>
      <c r="F21" s="3">
        <v>0</v>
      </c>
      <c r="G21" s="3">
        <v>0</v>
      </c>
      <c r="H21" s="3">
        <v>1.3450796E-4</v>
      </c>
      <c r="I21" s="3">
        <v>3.3826184999999997E-5</v>
      </c>
      <c r="J21" s="3">
        <v>-2.9582585999999997E-4</v>
      </c>
      <c r="K21" s="3"/>
      <c r="L21" s="3">
        <f t="shared" si="0"/>
        <v>0.15982582355168495</v>
      </c>
      <c r="M21" s="3"/>
      <c r="N21" s="2">
        <f>IF('Modell einstellen'!$B$1="Voll",H21/0.35,H21/0.35*2)</f>
        <v>3.8430845714285719E-4</v>
      </c>
      <c r="O21" s="2">
        <f>IF('Modell einstellen'!$B$1="Voll",J21/0.35,J21/0.35*2)</f>
        <v>-8.4521674285714286E-4</v>
      </c>
      <c r="P21" s="3">
        <f t="shared" si="1"/>
        <v>0.45468628063821065</v>
      </c>
      <c r="Q21" s="3"/>
      <c r="R21" s="3"/>
      <c r="S21" s="3"/>
      <c r="T21" s="3"/>
      <c r="U21" s="3"/>
    </row>
    <row r="22" spans="1:21" x14ac:dyDescent="0.25">
      <c r="A22" s="3">
        <v>10000</v>
      </c>
      <c r="B22" s="3">
        <v>8.2230000000000004E-5</v>
      </c>
      <c r="C22" s="3">
        <v>3.4759999999999999E-4</v>
      </c>
      <c r="D22" s="3">
        <v>-5.731E-4</v>
      </c>
      <c r="E22" s="3">
        <v>0</v>
      </c>
      <c r="F22" s="3">
        <v>0</v>
      </c>
      <c r="G22" s="3">
        <v>0</v>
      </c>
      <c r="H22" s="3">
        <v>1.5132627999999999E-4</v>
      </c>
      <c r="I22" s="3">
        <v>4.0153256E-5</v>
      </c>
      <c r="J22" s="3">
        <v>-3.3511336999999999E-4</v>
      </c>
      <c r="K22" s="3"/>
      <c r="L22" s="3">
        <f t="shared" si="0"/>
        <v>0.14348281277264002</v>
      </c>
      <c r="M22" s="3"/>
      <c r="N22" s="2">
        <f>IF('Modell einstellen'!$B$1="Voll",H22/0.35,H22/0.35*2)</f>
        <v>4.3236080000000002E-4</v>
      </c>
      <c r="O22" s="2">
        <f>IF('Modell einstellen'!$B$1="Voll",J22/0.35,J22/0.35*2)</f>
        <v>-9.5746677142857144E-4</v>
      </c>
      <c r="P22" s="3">
        <f t="shared" si="1"/>
        <v>0.45156742030316488</v>
      </c>
      <c r="Q22" s="3"/>
      <c r="R22" s="3"/>
      <c r="S22" s="3"/>
      <c r="T22" s="3"/>
      <c r="U22" s="3"/>
    </row>
    <row r="23" spans="1:21" x14ac:dyDescent="0.25">
      <c r="A23" s="3">
        <v>100000</v>
      </c>
      <c r="B23" s="3">
        <v>6.1779999999999995E-5</v>
      </c>
      <c r="C23" s="3">
        <v>4.0519999999999998E-4</v>
      </c>
      <c r="D23" s="3">
        <v>-6.11E-4</v>
      </c>
      <c r="E23" s="3">
        <v>0</v>
      </c>
      <c r="F23" s="3">
        <v>0</v>
      </c>
      <c r="G23" s="3">
        <v>0</v>
      </c>
      <c r="H23" s="3">
        <v>1.7562198000000001E-4</v>
      </c>
      <c r="I23" s="3">
        <v>4.8234047999999997E-5</v>
      </c>
      <c r="J23" s="3">
        <v>-3.8844440000000002E-4</v>
      </c>
      <c r="K23" s="3"/>
      <c r="L23" s="3">
        <f t="shared" si="0"/>
        <v>0.10111292962356791</v>
      </c>
      <c r="M23" s="3"/>
      <c r="N23" s="2">
        <f>IF('Modell einstellen'!$B$1="Voll",H23/0.35,H23/0.35*2)</f>
        <v>5.0177708571428573E-4</v>
      </c>
      <c r="O23" s="2">
        <f>IF('Modell einstellen'!$B$1="Voll",J23/0.35,J23/0.35*2)</f>
        <v>-1.1098411428571431E-3</v>
      </c>
      <c r="P23" s="3">
        <f t="shared" si="1"/>
        <v>0.45211613296523251</v>
      </c>
      <c r="Q23" s="3"/>
      <c r="R23" s="3"/>
      <c r="S23" s="3"/>
      <c r="T23" s="3"/>
      <c r="U23" s="3"/>
    </row>
    <row r="24" spans="1:21" x14ac:dyDescent="0.25">
      <c r="A24" s="3">
        <v>1000000</v>
      </c>
      <c r="B24" s="3">
        <v>3.1109999999999999E-6</v>
      </c>
      <c r="C24" s="3">
        <v>4.8089999999999998E-4</v>
      </c>
      <c r="D24" s="3">
        <v>-6.3020000000000003E-4</v>
      </c>
      <c r="E24" s="3">
        <v>0</v>
      </c>
      <c r="F24" s="3">
        <v>0</v>
      </c>
      <c r="G24" s="3">
        <v>0</v>
      </c>
      <c r="H24" s="3">
        <v>2.1371861999999999E-4</v>
      </c>
      <c r="I24" s="3">
        <v>5.9550077000000001E-5</v>
      </c>
      <c r="J24" s="3">
        <v>-4.6758092E-4</v>
      </c>
      <c r="K24" s="3"/>
      <c r="L24" s="3">
        <f t="shared" si="0"/>
        <v>4.9365280863218021E-3</v>
      </c>
      <c r="M24" s="3"/>
      <c r="N24" s="2">
        <f>IF('Modell einstellen'!$B$1="Voll",H24/0.35,H24/0.35*2)</f>
        <v>6.1062462857142856E-4</v>
      </c>
      <c r="O24" s="2">
        <f>IF('Modell einstellen'!$B$1="Voll",J24/0.35,J24/0.35*2)</f>
        <v>-1.3359454857142859E-3</v>
      </c>
      <c r="P24" s="3">
        <f t="shared" si="1"/>
        <v>0.45707301315887733</v>
      </c>
      <c r="Q24" s="3"/>
      <c r="R24" s="3"/>
      <c r="S24" s="3"/>
      <c r="T24" s="3"/>
      <c r="U24" s="3"/>
    </row>
    <row r="25" spans="1:21" x14ac:dyDescent="0.25">
      <c r="A25" s="3">
        <v>10000000</v>
      </c>
      <c r="B25" s="3">
        <v>-1.392E-4</v>
      </c>
      <c r="C25" s="3">
        <v>5.9130000000000001E-4</v>
      </c>
      <c r="D25" s="3">
        <v>-6.0170000000000004E-4</v>
      </c>
      <c r="E25" s="3">
        <v>0</v>
      </c>
      <c r="F25" s="3">
        <v>0</v>
      </c>
      <c r="G25" s="3">
        <v>0</v>
      </c>
      <c r="H25" s="3">
        <v>2.7816693000000002E-4</v>
      </c>
      <c r="I25" s="3">
        <v>7.7251737000000006E-5</v>
      </c>
      <c r="J25" s="3">
        <v>-5.9651306999999995E-4</v>
      </c>
      <c r="K25" s="3"/>
      <c r="L25" s="3">
        <f t="shared" si="0"/>
        <v>-0.23134452384909421</v>
      </c>
      <c r="M25" s="3"/>
      <c r="N25" s="2">
        <f>IF('Modell einstellen'!$B$1="Voll",H25/0.35,H25/0.35*2)</f>
        <v>7.9476265714285724E-4</v>
      </c>
      <c r="O25" s="2">
        <f>IF('Modell einstellen'!$B$1="Voll",J25/0.35,J25/0.35*2)</f>
        <v>-1.7043230571428571E-3</v>
      </c>
      <c r="P25" s="3">
        <f t="shared" si="1"/>
        <v>0.46632160130204697</v>
      </c>
      <c r="Q25" s="3"/>
      <c r="R25" s="3"/>
      <c r="S25" s="3"/>
      <c r="T25" s="3"/>
      <c r="U25" s="3"/>
    </row>
    <row r="26" spans="1:21" x14ac:dyDescent="0.25">
      <c r="A26" s="3">
        <v>100000000</v>
      </c>
      <c r="B26" s="3">
        <v>-4.4079999999999998E-4</v>
      </c>
      <c r="C26" s="3">
        <v>7.5389999999999995E-4</v>
      </c>
      <c r="D26" s="3">
        <v>-4.6660000000000001E-4</v>
      </c>
      <c r="E26" s="3">
        <v>0</v>
      </c>
      <c r="F26" s="3">
        <v>0</v>
      </c>
      <c r="G26" s="3">
        <v>0</v>
      </c>
      <c r="H26" s="3">
        <v>3.8608463E-4</v>
      </c>
      <c r="I26" s="3">
        <v>1.0522171E-4</v>
      </c>
      <c r="J26" s="3">
        <v>-8.0641619999999997E-4</v>
      </c>
      <c r="K26" s="3"/>
      <c r="L26" s="3">
        <f t="shared" si="0"/>
        <v>-0.94470638662666084</v>
      </c>
      <c r="M26" s="3"/>
      <c r="N26" s="2">
        <f>IF('Modell einstellen'!$B$1="Voll",H26/0.35,H26/0.35*2)</f>
        <v>1.1030989428571429E-3</v>
      </c>
      <c r="O26" s="2">
        <f>IF('Modell einstellen'!$B$1="Voll",J26/0.35,J26/0.35*2)</f>
        <v>-2.3040462857142857E-3</v>
      </c>
      <c r="P26" s="3">
        <f t="shared" si="1"/>
        <v>0.47876596477104505</v>
      </c>
      <c r="Q26" s="3"/>
      <c r="R26" s="3"/>
      <c r="S26" s="3"/>
      <c r="T26" s="3"/>
      <c r="U26" s="3"/>
    </row>
    <row r="27" spans="1:21" x14ac:dyDescent="0.25">
      <c r="A27" s="3">
        <v>1000000000</v>
      </c>
      <c r="B27" s="3">
        <v>-9.4490000000000004E-4</v>
      </c>
      <c r="C27" s="3">
        <v>9.6920000000000003E-4</v>
      </c>
      <c r="D27" s="3">
        <v>-1.8120000000000001E-4</v>
      </c>
      <c r="E27" s="3">
        <v>0</v>
      </c>
      <c r="F27" s="3">
        <v>0</v>
      </c>
      <c r="G27" s="3">
        <v>0</v>
      </c>
      <c r="H27" s="3">
        <v>5.4480641999999995E-4</v>
      </c>
      <c r="I27" s="3">
        <v>1.4443713E-4</v>
      </c>
      <c r="J27" s="3">
        <v>-1.1079727000000001E-3</v>
      </c>
      <c r="K27" s="3"/>
      <c r="L27" s="3">
        <f t="shared" si="0"/>
        <v>-5.2146799116997791</v>
      </c>
      <c r="M27" s="3"/>
      <c r="N27" s="2">
        <f>IF('Modell einstellen'!$B$1="Voll",H27/0.35,H27/0.35*2)</f>
        <v>1.5565897714285713E-3</v>
      </c>
      <c r="O27" s="2">
        <f>IF('Modell einstellen'!$B$1="Voll",J27/0.35,J27/0.35*2)</f>
        <v>-3.1656362857142859E-3</v>
      </c>
      <c r="P27" s="3">
        <f t="shared" si="1"/>
        <v>0.49171466047854784</v>
      </c>
      <c r="Q27" s="3"/>
      <c r="R27" s="3"/>
      <c r="S27" s="3"/>
      <c r="T27" s="3"/>
      <c r="U27" s="3"/>
    </row>
    <row r="28" spans="1:21" x14ac:dyDescent="0.25">
      <c r="A28" s="3">
        <v>10000000000</v>
      </c>
      <c r="B28" s="3">
        <v>-1.6050000000000001E-3</v>
      </c>
      <c r="C28" s="3">
        <v>1.2149999999999999E-3</v>
      </c>
      <c r="D28" s="3">
        <v>2.3049999999999999E-4</v>
      </c>
      <c r="E28" s="3">
        <v>0</v>
      </c>
      <c r="F28" s="3">
        <v>0</v>
      </c>
      <c r="G28" s="3">
        <v>0</v>
      </c>
      <c r="H28" s="3">
        <v>7.3938002999999997E-4</v>
      </c>
      <c r="I28" s="3">
        <v>1.9098259E-4</v>
      </c>
      <c r="J28" s="3">
        <v>-1.4716829000000001E-3</v>
      </c>
      <c r="K28" s="3"/>
      <c r="L28" s="3">
        <f t="shared" si="0"/>
        <v>6.9631236442516276</v>
      </c>
      <c r="M28" s="3"/>
      <c r="N28" s="2">
        <f>IF('Modell einstellen'!$B$1="Voll",H28/0.35,H28/0.35*2)</f>
        <v>2.1125143714285713E-3</v>
      </c>
      <c r="O28" s="2">
        <f>IF('Modell einstellen'!$B$1="Voll",J28/0.35,J28/0.35*2)</f>
        <v>-4.2048082857142864E-3</v>
      </c>
      <c r="P28" s="3">
        <f t="shared" si="1"/>
        <v>0.50240444459876499</v>
      </c>
      <c r="Q28" s="3"/>
      <c r="R28" s="3"/>
      <c r="S28" s="3"/>
      <c r="T28" s="3"/>
      <c r="U28" s="3"/>
    </row>
    <row r="29" spans="1:21" x14ac:dyDescent="0.25">
      <c r="A29" s="3">
        <v>100000000000</v>
      </c>
      <c r="B29" s="3">
        <v>-2.16E-3</v>
      </c>
      <c r="C29" s="3">
        <v>1.4139999999999999E-3</v>
      </c>
      <c r="D29" s="3">
        <v>5.8600000000000004E-4</v>
      </c>
      <c r="E29" s="3">
        <v>0</v>
      </c>
      <c r="F29" s="3">
        <v>0</v>
      </c>
      <c r="G29" s="3">
        <v>0</v>
      </c>
      <c r="H29" s="3">
        <v>8.9873489999999997E-4</v>
      </c>
      <c r="I29" s="3">
        <v>2.2926439000000001E-4</v>
      </c>
      <c r="J29" s="3">
        <v>-1.7697612E-3</v>
      </c>
      <c r="K29" s="3"/>
      <c r="L29" s="3">
        <f t="shared" si="0"/>
        <v>3.6860068259385663</v>
      </c>
      <c r="M29" s="3"/>
      <c r="N29" s="2">
        <f>IF('Modell einstellen'!$B$1="Voll",H29/0.35,H29/0.35*2)</f>
        <v>2.5678140000000003E-3</v>
      </c>
      <c r="O29" s="2">
        <f>IF('Modell einstellen'!$B$1="Voll",J29/0.35,J29/0.35*2)</f>
        <v>-5.0564605714285716E-3</v>
      </c>
      <c r="P29" s="3">
        <f t="shared" si="1"/>
        <v>0.50782834429865453</v>
      </c>
      <c r="Q29" s="3"/>
      <c r="R29" s="3"/>
      <c r="S29" s="3"/>
      <c r="T29" s="3"/>
      <c r="U29" s="3"/>
    </row>
    <row r="30" spans="1:21" x14ac:dyDescent="0.25">
      <c r="A30" s="3">
        <v>1000000000000</v>
      </c>
      <c r="B30" s="3">
        <v>-2.5509999999999999E-3</v>
      </c>
      <c r="C30" s="3">
        <v>1.5529999999999999E-3</v>
      </c>
      <c r="D30" s="3">
        <v>8.3750000000000003E-4</v>
      </c>
      <c r="E30" s="3">
        <v>0</v>
      </c>
      <c r="F30" s="3">
        <v>0</v>
      </c>
      <c r="G30" s="3">
        <v>0</v>
      </c>
      <c r="H30" s="3">
        <v>1.010064E-3</v>
      </c>
      <c r="I30" s="3">
        <v>2.5638969E-4</v>
      </c>
      <c r="J30" s="3">
        <v>-1.979181E-3</v>
      </c>
      <c r="K30" s="3"/>
      <c r="L30" s="3">
        <f t="shared" si="0"/>
        <v>3.0459701492537312</v>
      </c>
      <c r="M30" s="3"/>
      <c r="N30" s="2">
        <f>IF('Modell einstellen'!$B$1="Voll",H30/0.35,H30/0.35*2)</f>
        <v>2.8858971428571429E-3</v>
      </c>
      <c r="O30" s="2">
        <f>IF('Modell einstellen'!$B$1="Voll",J30/0.35,J30/0.35*2)</f>
        <v>-5.6548028571428571E-3</v>
      </c>
      <c r="P30" s="3">
        <f t="shared" si="1"/>
        <v>0.51034443034770449</v>
      </c>
      <c r="Q30" s="3"/>
      <c r="R30" s="3"/>
      <c r="S30" s="3"/>
      <c r="T30" s="3"/>
      <c r="U30" s="3"/>
    </row>
    <row r="31" spans="1:21" x14ac:dyDescent="0.25">
      <c r="A31" s="3">
        <v>10000000000000</v>
      </c>
      <c r="B31" s="3">
        <v>-2.7820000000000002E-3</v>
      </c>
      <c r="C31" s="3">
        <v>1.637E-3</v>
      </c>
      <c r="D31" s="3">
        <v>9.8459999999999997E-4</v>
      </c>
      <c r="E31" s="3">
        <v>0</v>
      </c>
      <c r="F31" s="3">
        <v>0</v>
      </c>
      <c r="G31" s="3">
        <v>0</v>
      </c>
      <c r="H31" s="3">
        <v>1.0760399999999999E-3</v>
      </c>
      <c r="I31" s="3">
        <v>2.7280913000000002E-4</v>
      </c>
      <c r="J31" s="3">
        <v>-2.1044504E-3</v>
      </c>
      <c r="K31" s="3"/>
      <c r="L31" s="3">
        <f t="shared" si="0"/>
        <v>2.8255128986390416</v>
      </c>
      <c r="M31" s="3"/>
      <c r="N31" s="2">
        <f>IF('Modell einstellen'!$B$1="Voll",H31/0.35,H31/0.35*2)</f>
        <v>3.0743999999999997E-3</v>
      </c>
      <c r="O31" s="2">
        <f>IF('Modell einstellen'!$B$1="Voll",J31/0.35,J31/0.35*2)</f>
        <v>-6.0127154285714293E-3</v>
      </c>
      <c r="P31" s="3">
        <f t="shared" si="1"/>
        <v>0.5113163988089241</v>
      </c>
      <c r="Q31" s="3"/>
      <c r="R31" s="3"/>
      <c r="S31" s="3"/>
      <c r="T31" s="3"/>
      <c r="U31" s="3"/>
    </row>
    <row r="32" spans="1:21" x14ac:dyDescent="0.25">
      <c r="A32" s="3">
        <v>100000000000000</v>
      </c>
      <c r="B32" s="3">
        <v>-2.96E-3</v>
      </c>
      <c r="C32" s="3">
        <v>1.6999999999999999E-3</v>
      </c>
      <c r="D32" s="3">
        <v>1.0989999999999999E-3</v>
      </c>
      <c r="E32" s="3">
        <v>0</v>
      </c>
      <c r="F32" s="3">
        <v>0</v>
      </c>
      <c r="G32" s="3">
        <v>0</v>
      </c>
      <c r="H32" s="3">
        <v>1.1270130000000001E-3</v>
      </c>
      <c r="I32" s="3">
        <v>2.8524752000000001E-4</v>
      </c>
      <c r="J32" s="3">
        <v>-2.2002987000000001E-3</v>
      </c>
      <c r="K32" s="3"/>
      <c r="L32" s="3">
        <f t="shared" si="0"/>
        <v>2.6933575978161968</v>
      </c>
      <c r="M32" s="3"/>
      <c r="N32" s="2">
        <f>IF('Modell einstellen'!$B$1="Voll",H32/0.35,H32/0.35*2)</f>
        <v>3.220037142857143E-3</v>
      </c>
      <c r="O32" s="2">
        <f>IF('Modell einstellen'!$B$1="Voll",J32/0.35,J32/0.35*2)</f>
        <v>-6.2865677142857146E-3</v>
      </c>
      <c r="P32" s="3">
        <f t="shared" si="1"/>
        <v>0.51220909233823575</v>
      </c>
      <c r="Q32" s="3"/>
      <c r="R32" s="3"/>
      <c r="S32" s="3"/>
      <c r="T32" s="3"/>
      <c r="U32" s="3"/>
    </row>
    <row r="33" spans="1:21" x14ac:dyDescent="0.25">
      <c r="A33" s="2">
        <v>1000000000000000</v>
      </c>
      <c r="B33" s="3">
        <v>-3.045E-3</v>
      </c>
      <c r="C33" s="3">
        <v>1.7290000000000001E-3</v>
      </c>
      <c r="D33" s="3">
        <v>1.155E-3</v>
      </c>
      <c r="E33" s="3">
        <v>0</v>
      </c>
      <c r="F33" s="3">
        <v>0</v>
      </c>
      <c r="G33" s="3">
        <v>0</v>
      </c>
      <c r="H33" s="3">
        <v>1.1508366999999999E-3</v>
      </c>
      <c r="I33" s="3">
        <v>2.9101696999999998E-4</v>
      </c>
      <c r="J33" s="3">
        <v>-2.2449112000000001E-3</v>
      </c>
      <c r="K33" s="3"/>
      <c r="L33" s="3">
        <f t="shared" si="0"/>
        <v>2.6363636363636362</v>
      </c>
      <c r="M33" s="3"/>
      <c r="N33" s="2">
        <f>IF('Modell einstellen'!$B$1="Voll",H33/0.35,H33/0.35*2)</f>
        <v>3.2881048571428572E-3</v>
      </c>
      <c r="O33" s="2">
        <f>IF('Modell einstellen'!$B$1="Voll",J33/0.35,J33/0.35*2)</f>
        <v>-6.4140320000000009E-3</v>
      </c>
      <c r="P33" s="3">
        <f t="shared" si="1"/>
        <v>0.51264241543273503</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1.014E-4</v>
      </c>
      <c r="C3" s="3">
        <v>1.3459999999999999E-4</v>
      </c>
      <c r="D3" s="3">
        <v>-3.6380000000000001E-4</v>
      </c>
      <c r="E3" s="3">
        <v>0</v>
      </c>
      <c r="F3" s="3">
        <v>0</v>
      </c>
      <c r="G3" s="3">
        <v>0</v>
      </c>
      <c r="H3" s="3">
        <v>5.1204169999999998E-5</v>
      </c>
      <c r="I3" s="3">
        <v>1.3542549E-5</v>
      </c>
      <c r="J3" s="3">
        <v>-1.3778269000000001E-4</v>
      </c>
      <c r="K3" s="2"/>
      <c r="L3" s="3"/>
      <c r="M3" s="3"/>
      <c r="N3" s="2">
        <f>IF('Modell einstellen'!$B$1="Voll",H3/0.35,H3/0.35*2)</f>
        <v>1.4629762857142856E-4</v>
      </c>
      <c r="O3" s="2">
        <f>IF('Modell einstellen'!$B$1="Voll",J3/0.35,J3/0.35*2)</f>
        <v>-3.9366482857142865E-4</v>
      </c>
      <c r="P3" s="3">
        <f>-N3/O3</f>
        <v>0.3716299195494005</v>
      </c>
      <c r="Q3" s="3"/>
      <c r="R3" s="3"/>
      <c r="S3" s="3"/>
      <c r="T3" s="3"/>
      <c r="U3" s="3"/>
    </row>
    <row r="4" spans="1:21" x14ac:dyDescent="0.25">
      <c r="A4" s="3">
        <v>1E-14</v>
      </c>
      <c r="B4" s="3">
        <v>1.0289999999999999E-4</v>
      </c>
      <c r="C4" s="3">
        <v>1.3909999999999999E-4</v>
      </c>
      <c r="D4" s="3">
        <v>-3.7060000000000001E-4</v>
      </c>
      <c r="E4" s="3">
        <v>0</v>
      </c>
      <c r="F4" s="3">
        <v>0</v>
      </c>
      <c r="G4" s="3">
        <v>0</v>
      </c>
      <c r="H4" s="3">
        <v>5.3255252E-5</v>
      </c>
      <c r="I4" s="3">
        <v>1.4042207E-5</v>
      </c>
      <c r="J4" s="3">
        <v>-1.4172132E-4</v>
      </c>
      <c r="K4" s="2"/>
      <c r="L4" s="3"/>
      <c r="M4" s="3"/>
      <c r="N4" s="2">
        <f>IF('Modell einstellen'!$B$1="Voll",H4/0.35,H4/0.35*2)</f>
        <v>1.5215786285714287E-4</v>
      </c>
      <c r="O4" s="2">
        <f>IF('Modell einstellen'!$B$1="Voll",J4/0.35,J4/0.35*2)</f>
        <v>-4.0491805714285717E-4</v>
      </c>
      <c r="P4" s="3">
        <f t="shared" ref="P4:P33" si="0">-N4/O4</f>
        <v>0.37577445651790431</v>
      </c>
      <c r="Q4" s="3"/>
      <c r="R4" s="3"/>
      <c r="S4" s="3"/>
      <c r="T4" s="3"/>
      <c r="U4" s="3"/>
    </row>
    <row r="5" spans="1:21" x14ac:dyDescent="0.25">
      <c r="A5" s="3">
        <v>1E-13</v>
      </c>
      <c r="B5" s="3">
        <v>1.042E-4</v>
      </c>
      <c r="C5" s="3">
        <v>1.4339999999999999E-4</v>
      </c>
      <c r="D5" s="3">
        <v>-3.769E-4</v>
      </c>
      <c r="E5" s="3">
        <v>0</v>
      </c>
      <c r="F5" s="3">
        <v>0</v>
      </c>
      <c r="G5" s="3">
        <v>0</v>
      </c>
      <c r="H5" s="3">
        <v>5.5231185E-5</v>
      </c>
      <c r="I5" s="3">
        <v>1.4517870999999999E-5</v>
      </c>
      <c r="J5" s="3">
        <v>-1.4549879E-4</v>
      </c>
      <c r="K5" s="2"/>
      <c r="L5" s="3"/>
      <c r="M5" s="3"/>
      <c r="N5" s="2">
        <f>IF('Modell einstellen'!$B$1="Voll",H5/0.35,H5/0.35*2)</f>
        <v>1.5780338571428571E-4</v>
      </c>
      <c r="O5" s="2">
        <f>IF('Modell einstellen'!$B$1="Voll",J5/0.35,J5/0.35*2)</f>
        <v>-4.1571082857142861E-4</v>
      </c>
      <c r="P5" s="3">
        <f t="shared" si="0"/>
        <v>0.37959892999797451</v>
      </c>
      <c r="Q5" s="3"/>
      <c r="R5" s="3"/>
      <c r="S5" s="3"/>
      <c r="T5" s="3"/>
      <c r="U5" s="3"/>
    </row>
    <row r="6" spans="1:21" x14ac:dyDescent="0.25">
      <c r="A6" s="3">
        <v>9.9999999999999998E-13</v>
      </c>
      <c r="B6" s="3">
        <v>1.055E-4</v>
      </c>
      <c r="C6" s="3">
        <v>1.4809999999999999E-4</v>
      </c>
      <c r="D6" s="3">
        <v>-3.835E-4</v>
      </c>
      <c r="E6" s="3">
        <v>0</v>
      </c>
      <c r="F6" s="3">
        <v>0</v>
      </c>
      <c r="G6" s="3">
        <v>0</v>
      </c>
      <c r="H6" s="3">
        <v>5.7395529000000002E-5</v>
      </c>
      <c r="I6" s="3">
        <v>1.5032300999999999E-5</v>
      </c>
      <c r="J6" s="3">
        <v>-1.4961034E-4</v>
      </c>
      <c r="K6" s="2"/>
      <c r="L6" s="3"/>
      <c r="M6" s="3"/>
      <c r="N6" s="2">
        <f>IF('Modell einstellen'!$B$1="Voll",H6/0.35,H6/0.35*2)</f>
        <v>1.6398722571428574E-4</v>
      </c>
      <c r="O6" s="2">
        <f>IF('Modell einstellen'!$B$1="Voll",J6/0.35,J6/0.35*2)</f>
        <v>-4.2745811428571433E-4</v>
      </c>
      <c r="P6" s="3">
        <f t="shared" si="0"/>
        <v>0.38363343736803218</v>
      </c>
      <c r="Q6" s="3"/>
      <c r="R6" s="3"/>
      <c r="S6" s="3"/>
      <c r="T6" s="3"/>
      <c r="U6" s="3"/>
    </row>
    <row r="7" spans="1:21" x14ac:dyDescent="0.25">
      <c r="A7" s="3">
        <v>9.9999999999999994E-12</v>
      </c>
      <c r="B7" s="3">
        <v>1.0670000000000001E-4</v>
      </c>
      <c r="C7" s="3">
        <v>1.5349999999999999E-4</v>
      </c>
      <c r="D7" s="3">
        <v>-3.9110000000000002E-4</v>
      </c>
      <c r="E7" s="3">
        <v>0</v>
      </c>
      <c r="F7" s="3">
        <v>0</v>
      </c>
      <c r="G7" s="3">
        <v>0</v>
      </c>
      <c r="H7" s="3">
        <v>6.0001080000000003E-5</v>
      </c>
      <c r="I7" s="3">
        <v>1.5643117999999999E-5</v>
      </c>
      <c r="J7" s="3">
        <v>-1.5452675E-4</v>
      </c>
      <c r="K7" s="2"/>
      <c r="L7" s="3"/>
      <c r="M7" s="3"/>
      <c r="N7" s="2">
        <f>IF('Modell einstellen'!$B$1="Voll",H7/0.35,H7/0.35*2)</f>
        <v>1.7143165714285716E-4</v>
      </c>
      <c r="O7" s="2">
        <f>IF('Modell einstellen'!$B$1="Voll",J7/0.35,J7/0.35*2)</f>
        <v>-4.4150500000000002E-4</v>
      </c>
      <c r="P7" s="3">
        <f t="shared" si="0"/>
        <v>0.38828927677570391</v>
      </c>
      <c r="Q7" s="3"/>
      <c r="R7" s="3"/>
      <c r="S7" s="3"/>
      <c r="T7" s="3"/>
      <c r="U7" s="3"/>
    </row>
    <row r="8" spans="1:21" x14ac:dyDescent="0.25">
      <c r="A8" s="3">
        <v>1E-10</v>
      </c>
      <c r="B8" s="3">
        <v>1.077E-4</v>
      </c>
      <c r="C8" s="3">
        <v>1.5890000000000001E-4</v>
      </c>
      <c r="D8" s="3">
        <v>-3.9819999999999998E-4</v>
      </c>
      <c r="E8" s="3">
        <v>0</v>
      </c>
      <c r="F8" s="3">
        <v>0</v>
      </c>
      <c r="G8" s="3">
        <v>0</v>
      </c>
      <c r="H8" s="3">
        <v>6.2616624999999994E-5</v>
      </c>
      <c r="I8" s="3">
        <v>1.6246296E-5</v>
      </c>
      <c r="J8" s="3">
        <v>-1.5942288E-4</v>
      </c>
      <c r="K8" s="2"/>
      <c r="L8" s="3"/>
      <c r="M8" s="3"/>
      <c r="N8" s="2">
        <f>IF('Modell einstellen'!$B$1="Voll",H8/0.35,H8/0.35*2)</f>
        <v>1.7890464285714286E-4</v>
      </c>
      <c r="O8" s="2">
        <f>IF('Modell einstellen'!$B$1="Voll",J8/0.35,J8/0.35*2)</f>
        <v>-4.554939428571429E-4</v>
      </c>
      <c r="P8" s="3">
        <f t="shared" si="0"/>
        <v>0.39277062991209288</v>
      </c>
      <c r="Q8" s="3"/>
      <c r="R8" s="3"/>
      <c r="S8" s="3"/>
      <c r="T8" s="3"/>
      <c r="U8" s="3"/>
    </row>
    <row r="9" spans="1:21" x14ac:dyDescent="0.25">
      <c r="A9" s="3">
        <v>1.0000000000000001E-9</v>
      </c>
      <c r="B9" s="3">
        <v>1.0840000000000001E-4</v>
      </c>
      <c r="C9" s="3">
        <v>1.6449999999999999E-4</v>
      </c>
      <c r="D9" s="3">
        <v>-4.0539999999999999E-4</v>
      </c>
      <c r="E9" s="3">
        <v>0</v>
      </c>
      <c r="F9" s="3">
        <v>0</v>
      </c>
      <c r="G9" s="3">
        <v>0</v>
      </c>
      <c r="H9" s="3">
        <v>6.5421734000000004E-5</v>
      </c>
      <c r="I9" s="3">
        <v>1.6883275999999999E-5</v>
      </c>
      <c r="J9" s="3">
        <v>-1.6463565E-4</v>
      </c>
      <c r="K9" s="2"/>
      <c r="L9" s="3"/>
      <c r="M9" s="3"/>
      <c r="N9" s="2">
        <f>IF('Modell einstellen'!$B$1="Voll",H9/0.35,H9/0.35*2)</f>
        <v>1.8691924000000003E-4</v>
      </c>
      <c r="O9" s="2">
        <f>IF('Modell einstellen'!$B$1="Voll",J9/0.35,J9/0.35*2)</f>
        <v>-4.7038757142857146E-4</v>
      </c>
      <c r="P9" s="3">
        <f t="shared" si="0"/>
        <v>0.39737282903186527</v>
      </c>
      <c r="Q9" s="3"/>
      <c r="R9" s="3"/>
      <c r="S9" s="3"/>
      <c r="T9" s="3"/>
      <c r="U9" s="3"/>
    </row>
    <row r="10" spans="1:21" x14ac:dyDescent="0.25">
      <c r="A10" s="3">
        <v>1E-8</v>
      </c>
      <c r="B10" s="3">
        <v>1.0900000000000001E-4</v>
      </c>
      <c r="C10" s="3">
        <v>1.7149999999999999E-4</v>
      </c>
      <c r="D10" s="3">
        <v>-4.1419999999999998E-4</v>
      </c>
      <c r="E10" s="3">
        <v>0</v>
      </c>
      <c r="F10" s="3">
        <v>0</v>
      </c>
      <c r="G10" s="3">
        <v>0</v>
      </c>
      <c r="H10" s="3">
        <v>6.9067643E-5</v>
      </c>
      <c r="I10" s="3">
        <v>1.769623E-5</v>
      </c>
      <c r="J10" s="3">
        <v>-1.7135372000000001E-4</v>
      </c>
      <c r="K10" s="2"/>
      <c r="L10" s="3"/>
      <c r="M10" s="3"/>
      <c r="N10" s="2">
        <f>IF('Modell einstellen'!$B$1="Voll",H10/0.35,H10/0.35*2)</f>
        <v>1.9733612285714286E-4</v>
      </c>
      <c r="O10" s="2">
        <f>IF('Modell einstellen'!$B$1="Voll",J10/0.35,J10/0.35*2)</f>
        <v>-4.8958205714285719E-4</v>
      </c>
      <c r="P10" s="3">
        <f t="shared" si="0"/>
        <v>0.40307057821680203</v>
      </c>
      <c r="Q10" s="3"/>
      <c r="R10" s="3"/>
      <c r="S10" s="3"/>
      <c r="T10" s="3"/>
      <c r="U10" s="3"/>
    </row>
    <row r="11" spans="1:21" x14ac:dyDescent="0.25">
      <c r="A11" s="3">
        <v>9.9999999999999995E-8</v>
      </c>
      <c r="B11" s="3">
        <v>1.0900000000000001E-4</v>
      </c>
      <c r="C11" s="3">
        <v>1.8019999999999999E-4</v>
      </c>
      <c r="D11" s="3">
        <v>-4.2420000000000001E-4</v>
      </c>
      <c r="E11" s="3">
        <v>0</v>
      </c>
      <c r="F11" s="3">
        <v>0</v>
      </c>
      <c r="G11" s="3">
        <v>0</v>
      </c>
      <c r="H11" s="3">
        <v>7.3708435000000003E-5</v>
      </c>
      <c r="I11" s="3">
        <v>1.8705598E-5</v>
      </c>
      <c r="J11" s="3">
        <v>-1.7980772999999999E-4</v>
      </c>
      <c r="K11" s="2"/>
      <c r="L11" s="3"/>
      <c r="M11" s="3"/>
      <c r="N11" s="2">
        <f>IF('Modell einstellen'!$B$1="Voll",H11/0.35,H11/0.35*2)</f>
        <v>2.105955285714286E-4</v>
      </c>
      <c r="O11" s="2">
        <f>IF('Modell einstellen'!$B$1="Voll",J11/0.35,J11/0.35*2)</f>
        <v>-5.1373637142857148E-4</v>
      </c>
      <c r="P11" s="3">
        <f t="shared" si="0"/>
        <v>0.40992917823944497</v>
      </c>
      <c r="Q11" s="3"/>
      <c r="R11" s="3"/>
      <c r="S11" s="3"/>
      <c r="T11" s="3"/>
      <c r="U11" s="3"/>
    </row>
    <row r="12" spans="1:21" x14ac:dyDescent="0.25">
      <c r="A12" s="3">
        <v>9.9999999999999995E-7</v>
      </c>
      <c r="B12" s="3">
        <v>1.082E-4</v>
      </c>
      <c r="C12" s="3">
        <v>1.8929999999999999E-4</v>
      </c>
      <c r="D12" s="3">
        <v>-4.3389999999999998E-4</v>
      </c>
      <c r="E12" s="3">
        <v>0</v>
      </c>
      <c r="F12" s="3">
        <v>0</v>
      </c>
      <c r="G12" s="3">
        <v>0</v>
      </c>
      <c r="H12" s="3">
        <v>7.8829455999999994E-5</v>
      </c>
      <c r="I12" s="3">
        <v>1.9785543E-5</v>
      </c>
      <c r="J12" s="3">
        <v>-1.8900735E-4</v>
      </c>
      <c r="K12" s="2"/>
      <c r="L12" s="3"/>
      <c r="M12" s="3"/>
      <c r="N12" s="2">
        <f>IF('Modell einstellen'!$B$1="Voll",H12/0.35,H12/0.35*2)</f>
        <v>2.2522701714285714E-4</v>
      </c>
      <c r="O12" s="2">
        <f>IF('Modell einstellen'!$B$1="Voll",J12/0.35,J12/0.35*2)</f>
        <v>-5.4002100000000001E-4</v>
      </c>
      <c r="P12" s="3">
        <f t="shared" si="0"/>
        <v>0.41707084936114919</v>
      </c>
      <c r="Q12" s="3"/>
      <c r="R12" s="3"/>
      <c r="S12" s="3"/>
      <c r="T12" s="3"/>
      <c r="U12" s="3"/>
    </row>
    <row r="13" spans="1:21" x14ac:dyDescent="0.25">
      <c r="A13" s="3">
        <v>1.0000000000000001E-5</v>
      </c>
      <c r="B13" s="3">
        <v>1.0670000000000001E-4</v>
      </c>
      <c r="C13" s="3">
        <v>1.972E-4</v>
      </c>
      <c r="D13" s="3">
        <v>-4.415E-4</v>
      </c>
      <c r="E13" s="3">
        <v>0</v>
      </c>
      <c r="F13" s="3">
        <v>0</v>
      </c>
      <c r="G13" s="3">
        <v>0</v>
      </c>
      <c r="H13" s="3">
        <v>8.3444184000000006E-5</v>
      </c>
      <c r="I13" s="3">
        <v>2.0728058000000001E-5</v>
      </c>
      <c r="J13" s="3">
        <v>-1.9718080000000001E-4</v>
      </c>
      <c r="K13" s="2"/>
      <c r="L13" s="3"/>
      <c r="M13" s="3"/>
      <c r="N13" s="2">
        <f>IF('Modell einstellen'!$B$1="Voll",H13/0.35,H13/0.35*2)</f>
        <v>2.3841195428571431E-4</v>
      </c>
      <c r="O13" s="2">
        <f>IF('Modell einstellen'!$B$1="Voll",J13/0.35,J13/0.35*2)</f>
        <v>-5.6337371428571439E-4</v>
      </c>
      <c r="P13" s="3">
        <f t="shared" si="0"/>
        <v>0.42318615199857185</v>
      </c>
      <c r="Q13" s="3"/>
      <c r="R13" s="3"/>
      <c r="S13" s="3"/>
      <c r="T13" s="3"/>
      <c r="U13" s="3"/>
    </row>
    <row r="14" spans="1:21" x14ac:dyDescent="0.25">
      <c r="A14" s="3">
        <v>1E-4</v>
      </c>
      <c r="B14" s="3">
        <v>1.0450000000000001E-4</v>
      </c>
      <c r="C14" s="3">
        <v>2.052E-4</v>
      </c>
      <c r="D14" s="3">
        <v>-4.4850000000000001E-4</v>
      </c>
      <c r="E14" s="3">
        <v>0</v>
      </c>
      <c r="F14" s="3">
        <v>0</v>
      </c>
      <c r="G14" s="3">
        <v>0</v>
      </c>
      <c r="H14" s="3">
        <v>8.8342143E-5</v>
      </c>
      <c r="I14" s="3">
        <v>2.1701699E-5</v>
      </c>
      <c r="J14" s="3">
        <v>-2.0575511999999999E-4</v>
      </c>
      <c r="K14" s="2"/>
      <c r="L14" s="3"/>
      <c r="M14" s="3"/>
      <c r="N14" s="2">
        <f>IF('Modell einstellen'!$B$1="Voll",H14/0.35,H14/0.35*2)</f>
        <v>2.5240612285714286E-4</v>
      </c>
      <c r="O14" s="2">
        <f>IF('Modell einstellen'!$B$1="Voll",J14/0.35,J14/0.35*2)</f>
        <v>-5.8787177142857142E-4</v>
      </c>
      <c r="P14" s="3">
        <f t="shared" si="0"/>
        <v>0.42935574580112512</v>
      </c>
      <c r="Q14" s="3"/>
      <c r="R14" s="3"/>
      <c r="S14" s="3"/>
      <c r="T14" s="3"/>
      <c r="U14" s="3"/>
    </row>
    <row r="15" spans="1:21" x14ac:dyDescent="0.25">
      <c r="A15" s="3">
        <v>1E-3</v>
      </c>
      <c r="B15" s="3">
        <v>1.014E-4</v>
      </c>
      <c r="C15" s="3">
        <v>2.1330000000000001E-4</v>
      </c>
      <c r="D15" s="3">
        <v>-4.549E-4</v>
      </c>
      <c r="E15" s="3">
        <v>0</v>
      </c>
      <c r="F15" s="3">
        <v>0</v>
      </c>
      <c r="G15" s="3">
        <v>0</v>
      </c>
      <c r="H15" s="3">
        <v>9.3565431000000002E-5</v>
      </c>
      <c r="I15" s="3">
        <v>2.2707324000000001E-5</v>
      </c>
      <c r="J15" s="3">
        <v>-2.1477542000000001E-4</v>
      </c>
      <c r="K15" s="2"/>
      <c r="L15" s="3"/>
      <c r="M15" s="3"/>
      <c r="N15" s="2">
        <f>IF('Modell einstellen'!$B$1="Voll",H15/0.35,H15/0.35*2)</f>
        <v>2.6732980285714287E-4</v>
      </c>
      <c r="O15" s="2">
        <f>IF('Modell einstellen'!$B$1="Voll",J15/0.35,J15/0.35*2)</f>
        <v>-6.1364405714285717E-4</v>
      </c>
      <c r="P15" s="3">
        <f t="shared" si="0"/>
        <v>0.43564310571479736</v>
      </c>
      <c r="Q15" s="3"/>
      <c r="R15" s="3"/>
      <c r="S15" s="3"/>
      <c r="T15" s="3"/>
      <c r="U15" s="3"/>
    </row>
    <row r="16" spans="1:21" x14ac:dyDescent="0.25">
      <c r="A16" s="3">
        <v>0.01</v>
      </c>
      <c r="B16" s="3">
        <v>9.7070000000000004E-5</v>
      </c>
      <c r="C16" s="3">
        <v>2.2230000000000001E-4</v>
      </c>
      <c r="D16" s="3">
        <v>-4.6089999999999998E-4</v>
      </c>
      <c r="E16" s="3">
        <v>0</v>
      </c>
      <c r="F16" s="3">
        <v>0</v>
      </c>
      <c r="G16" s="3">
        <v>0</v>
      </c>
      <c r="H16" s="3">
        <v>9.9628676999999994E-5</v>
      </c>
      <c r="I16" s="3">
        <v>2.3836581999999999E-5</v>
      </c>
      <c r="J16" s="3">
        <v>-2.2510223E-4</v>
      </c>
      <c r="K16" s="2"/>
      <c r="L16" s="3"/>
      <c r="M16" s="3"/>
      <c r="N16" s="2">
        <f>IF('Modell einstellen'!$B$1="Voll",H16/0.35,H16/0.35*2)</f>
        <v>2.8465336285714288E-4</v>
      </c>
      <c r="O16" s="2">
        <f>IF('Modell einstellen'!$B$1="Voll",J16/0.35,J16/0.35*2)</f>
        <v>-6.4314922857142858E-4</v>
      </c>
      <c r="P16" s="3">
        <f t="shared" si="0"/>
        <v>0.44259302540005935</v>
      </c>
      <c r="Q16" s="3"/>
      <c r="R16" s="3"/>
      <c r="S16" s="3"/>
      <c r="T16" s="3"/>
      <c r="U16" s="3"/>
    </row>
    <row r="17" spans="1:21" x14ac:dyDescent="0.25">
      <c r="A17" s="3">
        <v>0.1</v>
      </c>
      <c r="B17" s="3">
        <v>9.1719999999999996E-5</v>
      </c>
      <c r="C17" s="3">
        <v>2.3130000000000001E-4</v>
      </c>
      <c r="D17" s="3">
        <v>-4.6579999999999999E-4</v>
      </c>
      <c r="E17" s="3">
        <v>0</v>
      </c>
      <c r="F17" s="3">
        <v>0</v>
      </c>
      <c r="G17" s="3">
        <v>0</v>
      </c>
      <c r="H17" s="3">
        <v>1.0590650999999999E-4</v>
      </c>
      <c r="I17" s="3">
        <v>2.4970006999999999E-5</v>
      </c>
      <c r="J17" s="3">
        <v>-2.3565395999999999E-4</v>
      </c>
      <c r="K17" s="2"/>
      <c r="L17" s="3"/>
      <c r="M17" s="3"/>
      <c r="N17" s="2">
        <f>IF('Modell einstellen'!$B$1="Voll",H17/0.35,H17/0.35*2)</f>
        <v>3.0259002857142858E-4</v>
      </c>
      <c r="O17" s="2">
        <f>IF('Modell einstellen'!$B$1="Voll",J17/0.35,J17/0.35*2)</f>
        <v>-6.7329702857142854E-4</v>
      </c>
      <c r="P17" s="3">
        <f t="shared" si="0"/>
        <v>0.4494153631027461</v>
      </c>
      <c r="Q17" s="3"/>
      <c r="R17" s="3"/>
      <c r="S17" s="3"/>
      <c r="T17" s="3"/>
      <c r="U17" s="3"/>
    </row>
    <row r="18" spans="1:21" x14ac:dyDescent="0.25">
      <c r="A18" s="3">
        <v>1</v>
      </c>
      <c r="B18" s="3">
        <v>8.4049999999999997E-5</v>
      </c>
      <c r="C18" s="3">
        <v>2.4369999999999999E-4</v>
      </c>
      <c r="D18" s="3">
        <v>-4.7209999999999998E-4</v>
      </c>
      <c r="E18" s="3">
        <v>0</v>
      </c>
      <c r="F18" s="3">
        <v>0</v>
      </c>
      <c r="G18" s="3">
        <v>0</v>
      </c>
      <c r="H18" s="3">
        <v>1.1445318E-4</v>
      </c>
      <c r="I18" s="3">
        <v>2.6572671000000001E-5</v>
      </c>
      <c r="J18" s="3">
        <v>-2.5018478E-4</v>
      </c>
      <c r="K18" s="2"/>
      <c r="L18" s="3"/>
      <c r="M18" s="3"/>
      <c r="N18" s="2">
        <f>IF('Modell einstellen'!$B$1="Voll",H18/0.35,H18/0.35*2)</f>
        <v>3.2700908571428573E-4</v>
      </c>
      <c r="O18" s="2">
        <f>IF('Modell einstellen'!$B$1="Voll",J18/0.35,J18/0.35*2)</f>
        <v>-7.1481365714285718E-4</v>
      </c>
      <c r="P18" s="3">
        <f t="shared" si="0"/>
        <v>0.45747459138001917</v>
      </c>
      <c r="Q18" s="3"/>
      <c r="R18" s="3"/>
      <c r="S18" s="3"/>
      <c r="T18" s="3"/>
      <c r="U18" s="3"/>
    </row>
    <row r="19" spans="1:21" x14ac:dyDescent="0.25">
      <c r="A19" s="3">
        <v>10</v>
      </c>
      <c r="B19" s="3">
        <v>7.7639999999999995E-5</v>
      </c>
      <c r="C19" s="3">
        <v>2.6429999999999997E-4</v>
      </c>
      <c r="D19" s="3">
        <v>-4.8720000000000002E-4</v>
      </c>
      <c r="E19" s="3">
        <v>0</v>
      </c>
      <c r="F19" s="3">
        <v>0</v>
      </c>
      <c r="G19" s="3">
        <v>0</v>
      </c>
      <c r="H19" s="3">
        <v>1.2482676E-4</v>
      </c>
      <c r="I19" s="3">
        <v>2.9233327000000001E-5</v>
      </c>
      <c r="J19" s="3">
        <v>-2.7014770000000001E-4</v>
      </c>
      <c r="K19" s="2"/>
      <c r="L19" s="3"/>
      <c r="M19" s="3"/>
      <c r="N19" s="2">
        <f>IF('Modell einstellen'!$B$1="Voll",H19/0.35,H19/0.35*2)</f>
        <v>3.5664788571428574E-4</v>
      </c>
      <c r="O19" s="2">
        <f>IF('Modell einstellen'!$B$1="Voll",J19/0.35,J19/0.35*2)</f>
        <v>-7.7185057142857148E-4</v>
      </c>
      <c r="P19" s="3">
        <f t="shared" si="0"/>
        <v>0.4620685647147838</v>
      </c>
      <c r="Q19" s="3"/>
      <c r="R19" s="3"/>
      <c r="S19" s="3"/>
      <c r="T19" s="3"/>
      <c r="U19" s="3"/>
    </row>
    <row r="20" spans="1:21" x14ac:dyDescent="0.25">
      <c r="A20" s="3">
        <v>100</v>
      </c>
      <c r="B20" s="3">
        <v>7.4939999999999997E-5</v>
      </c>
      <c r="C20" s="3">
        <v>3.009E-4</v>
      </c>
      <c r="D20" s="3">
        <v>-5.2070000000000003E-4</v>
      </c>
      <c r="E20" s="3">
        <v>0</v>
      </c>
      <c r="F20" s="3">
        <v>0</v>
      </c>
      <c r="G20" s="3">
        <v>0</v>
      </c>
      <c r="H20" s="3">
        <v>1.3821315000000001E-4</v>
      </c>
      <c r="I20" s="3">
        <v>3.3988754000000003E-5</v>
      </c>
      <c r="J20" s="3">
        <v>-3.0033902999999999E-4</v>
      </c>
      <c r="K20" s="2"/>
      <c r="L20" s="3"/>
      <c r="M20" s="3"/>
      <c r="N20" s="2">
        <f>IF('Modell einstellen'!$B$1="Voll",H20/0.35,H20/0.35*2)</f>
        <v>3.9489471428571436E-4</v>
      </c>
      <c r="O20" s="2">
        <f>IF('Modell einstellen'!$B$1="Voll",J20/0.35,J20/0.35*2)</f>
        <v>-8.5811151428571433E-4</v>
      </c>
      <c r="P20" s="3">
        <f t="shared" si="0"/>
        <v>0.460190438785129</v>
      </c>
      <c r="Q20" s="3"/>
      <c r="R20" s="3"/>
      <c r="S20" s="3"/>
      <c r="T20" s="3"/>
      <c r="U20" s="3"/>
    </row>
    <row r="21" spans="1:21" x14ac:dyDescent="0.25">
      <c r="A21" s="3">
        <v>1000</v>
      </c>
      <c r="B21" s="3">
        <v>6.9170000000000004E-5</v>
      </c>
      <c r="C21" s="3">
        <v>3.5070000000000001E-4</v>
      </c>
      <c r="D21" s="3">
        <v>-5.643E-4</v>
      </c>
      <c r="E21" s="3">
        <v>0</v>
      </c>
      <c r="F21" s="3">
        <v>0</v>
      </c>
      <c r="G21" s="3">
        <v>0</v>
      </c>
      <c r="H21" s="3">
        <v>1.5620382E-4</v>
      </c>
      <c r="I21" s="3">
        <v>4.0652043000000001E-5</v>
      </c>
      <c r="J21" s="3">
        <v>-3.4200016999999999E-4</v>
      </c>
      <c r="K21" s="2"/>
      <c r="L21" s="3"/>
      <c r="M21" s="3"/>
      <c r="N21" s="2">
        <f>IF('Modell einstellen'!$B$1="Voll",H21/0.35,H21/0.35*2)</f>
        <v>4.4629662857142857E-4</v>
      </c>
      <c r="O21" s="2">
        <f>IF('Modell einstellen'!$B$1="Voll",J21/0.35,J21/0.35*2)</f>
        <v>-9.7714334285714283E-4</v>
      </c>
      <c r="P21" s="3">
        <f t="shared" si="0"/>
        <v>0.45673608875691496</v>
      </c>
      <c r="Q21" s="3"/>
      <c r="R21" s="3"/>
      <c r="S21" s="3"/>
      <c r="T21" s="3"/>
      <c r="U21" s="3"/>
    </row>
    <row r="22" spans="1:21" x14ac:dyDescent="0.25">
      <c r="A22" s="3">
        <v>10000</v>
      </c>
      <c r="B22" s="3">
        <v>4.21E-5</v>
      </c>
      <c r="C22" s="3">
        <v>4.1340000000000002E-4</v>
      </c>
      <c r="D22" s="3">
        <v>-6.0070000000000002E-4</v>
      </c>
      <c r="E22" s="3">
        <v>0</v>
      </c>
      <c r="F22" s="3">
        <v>0</v>
      </c>
      <c r="G22" s="3">
        <v>0</v>
      </c>
      <c r="H22" s="3">
        <v>1.8312052999999999E-4</v>
      </c>
      <c r="I22" s="3">
        <v>4.9517909E-5</v>
      </c>
      <c r="J22" s="3">
        <v>-4.0077198E-4</v>
      </c>
      <c r="K22" s="2"/>
      <c r="L22" s="3"/>
      <c r="M22" s="3"/>
      <c r="N22" s="2">
        <f>IF('Modell einstellen'!$B$1="Voll",H22/0.35,H22/0.35*2)</f>
        <v>5.2320151428571432E-4</v>
      </c>
      <c r="O22" s="2">
        <f>IF('Modell einstellen'!$B$1="Voll",J22/0.35,J22/0.35*2)</f>
        <v>-1.1450628000000001E-3</v>
      </c>
      <c r="P22" s="3">
        <f t="shared" si="0"/>
        <v>0.45691949322405223</v>
      </c>
      <c r="Q22" s="3"/>
      <c r="R22" s="3"/>
      <c r="S22" s="3"/>
      <c r="T22" s="3"/>
      <c r="U22" s="3"/>
    </row>
    <row r="23" spans="1:21" x14ac:dyDescent="0.25">
      <c r="A23" s="3">
        <v>100000</v>
      </c>
      <c r="B23" s="3">
        <v>-2.936E-5</v>
      </c>
      <c r="C23" s="3">
        <v>4.9620000000000003E-4</v>
      </c>
      <c r="D23" s="3">
        <v>-6.1419999999999997E-4</v>
      </c>
      <c r="E23" s="3">
        <v>0</v>
      </c>
      <c r="F23" s="3">
        <v>0</v>
      </c>
      <c r="G23" s="3">
        <v>0</v>
      </c>
      <c r="H23" s="3">
        <v>2.2558588E-4</v>
      </c>
      <c r="I23" s="3">
        <v>6.2017654000000002E-5</v>
      </c>
      <c r="J23" s="3">
        <v>-4.8855412000000005E-4</v>
      </c>
      <c r="K23" s="2"/>
      <c r="L23" s="3"/>
      <c r="M23" s="3"/>
      <c r="N23" s="2">
        <f>IF('Modell einstellen'!$B$1="Voll",H23/0.35,H23/0.35*2)</f>
        <v>6.4453108571428577E-4</v>
      </c>
      <c r="O23" s="2">
        <f>IF('Modell einstellen'!$B$1="Voll",J23/0.35,J23/0.35*2)</f>
        <v>-1.3958689142857146E-3</v>
      </c>
      <c r="P23" s="3">
        <f t="shared" si="0"/>
        <v>0.46174184346250108</v>
      </c>
      <c r="Q23" s="3"/>
      <c r="R23" s="3"/>
      <c r="S23" s="3"/>
      <c r="T23" s="3"/>
      <c r="U23" s="3"/>
    </row>
    <row r="24" spans="1:21" x14ac:dyDescent="0.25">
      <c r="A24" s="3">
        <v>1000000</v>
      </c>
      <c r="B24" s="3">
        <v>-2.0230000000000001E-4</v>
      </c>
      <c r="C24" s="3">
        <v>6.1910000000000003E-4</v>
      </c>
      <c r="D24" s="3">
        <v>-5.6780000000000003E-4</v>
      </c>
      <c r="E24" s="3">
        <v>0</v>
      </c>
      <c r="F24" s="3">
        <v>0</v>
      </c>
      <c r="G24" s="3">
        <v>0</v>
      </c>
      <c r="H24" s="3">
        <v>2.9955447000000002E-4</v>
      </c>
      <c r="I24" s="3">
        <v>8.1973131999999997E-5</v>
      </c>
      <c r="J24" s="3">
        <v>-6.3519743000000001E-4</v>
      </c>
      <c r="K24" s="2"/>
      <c r="L24" s="3"/>
      <c r="M24" s="3"/>
      <c r="N24" s="2">
        <f>IF('Modell einstellen'!$B$1="Voll",H24/0.35,H24/0.35*2)</f>
        <v>8.558699142857144E-4</v>
      </c>
      <c r="O24" s="2">
        <f>IF('Modell einstellen'!$B$1="Voll",J24/0.35,J24/0.35*2)</f>
        <v>-1.8148498000000002E-3</v>
      </c>
      <c r="P24" s="3">
        <f t="shared" si="0"/>
        <v>0.47159269835206985</v>
      </c>
      <c r="Q24" s="3"/>
      <c r="R24" s="3"/>
      <c r="S24" s="3"/>
      <c r="T24" s="3"/>
      <c r="U24" s="3"/>
    </row>
    <row r="25" spans="1:21" x14ac:dyDescent="0.25">
      <c r="A25" s="3">
        <v>10000000</v>
      </c>
      <c r="B25" s="3">
        <v>-5.4169999999999999E-4</v>
      </c>
      <c r="C25" s="3">
        <v>7.917E-4</v>
      </c>
      <c r="D25" s="3">
        <v>-4.0460000000000002E-4</v>
      </c>
      <c r="E25" s="3">
        <v>0</v>
      </c>
      <c r="F25" s="3">
        <v>0</v>
      </c>
      <c r="G25" s="3">
        <v>0</v>
      </c>
      <c r="H25" s="3">
        <v>4.1729041E-4</v>
      </c>
      <c r="I25" s="3">
        <v>1.1202855E-4</v>
      </c>
      <c r="J25" s="3">
        <v>-8.6246282000000001E-4</v>
      </c>
      <c r="K25" s="2"/>
      <c r="L25" s="3"/>
      <c r="M25" s="3"/>
      <c r="N25" s="2">
        <f>IF('Modell einstellen'!$B$1="Voll",H25/0.35,H25/0.35*2)</f>
        <v>1.1922583142857143E-3</v>
      </c>
      <c r="O25" s="2">
        <f>IF('Modell einstellen'!$B$1="Voll",J25/0.35,J25/0.35*2)</f>
        <v>-2.464179485714286E-3</v>
      </c>
      <c r="P25" s="3">
        <f t="shared" si="0"/>
        <v>0.48383582494605387</v>
      </c>
      <c r="Q25" s="3"/>
      <c r="R25" s="3"/>
      <c r="S25" s="3"/>
      <c r="T25" s="3"/>
      <c r="U25" s="3"/>
    </row>
    <row r="26" spans="1:21" x14ac:dyDescent="0.25">
      <c r="A26" s="3">
        <v>100000000</v>
      </c>
      <c r="B26" s="3">
        <v>-1.1000000000000001E-3</v>
      </c>
      <c r="C26" s="3">
        <v>1.021E-3</v>
      </c>
      <c r="D26" s="3">
        <v>-7.8880000000000004E-5</v>
      </c>
      <c r="E26" s="3">
        <v>0</v>
      </c>
      <c r="F26" s="3">
        <v>0</v>
      </c>
      <c r="G26" s="3">
        <v>0</v>
      </c>
      <c r="H26" s="3">
        <v>5.9018472000000005E-4</v>
      </c>
      <c r="I26" s="3">
        <v>1.5413235999999999E-4</v>
      </c>
      <c r="J26" s="3">
        <v>-1.1886105000000001E-3</v>
      </c>
      <c r="K26" s="2"/>
      <c r="L26" s="3"/>
      <c r="M26" s="3"/>
      <c r="N26" s="2">
        <f>IF('Modell einstellen'!$B$1="Voll",H26/0.35,H26/0.35*2)</f>
        <v>1.6862420571428574E-3</v>
      </c>
      <c r="O26" s="2">
        <f>IF('Modell einstellen'!$B$1="Voll",J26/0.35,J26/0.35*2)</f>
        <v>-3.3960300000000004E-3</v>
      </c>
      <c r="P26" s="3">
        <f t="shared" si="0"/>
        <v>0.49653332189140181</v>
      </c>
      <c r="Q26" s="3"/>
      <c r="R26" s="3"/>
      <c r="S26" s="3"/>
      <c r="T26" s="3"/>
      <c r="U26" s="3"/>
    </row>
    <row r="27" spans="1:21" x14ac:dyDescent="0.25">
      <c r="A27" s="3">
        <v>1000000000</v>
      </c>
      <c r="B27" s="3">
        <v>-1.7409999999999999E-3</v>
      </c>
      <c r="C27" s="3">
        <v>1.2570000000000001E-3</v>
      </c>
      <c r="D27" s="3">
        <v>3.2459999999999998E-4</v>
      </c>
      <c r="E27" s="3">
        <v>0</v>
      </c>
      <c r="F27" s="3">
        <v>0</v>
      </c>
      <c r="G27" s="3">
        <v>0</v>
      </c>
      <c r="H27" s="3">
        <v>7.7781422999999999E-4</v>
      </c>
      <c r="I27" s="3">
        <v>1.9904581000000001E-4</v>
      </c>
      <c r="J27" s="3">
        <v>-1.5393167E-3</v>
      </c>
      <c r="K27" s="2"/>
      <c r="L27" s="3"/>
      <c r="M27" s="3"/>
      <c r="N27" s="2">
        <f>IF('Modell einstellen'!$B$1="Voll",H27/0.35,H27/0.35*2)</f>
        <v>2.2223263714285717E-3</v>
      </c>
      <c r="O27" s="2">
        <f>IF('Modell einstellen'!$B$1="Voll",J27/0.35,J27/0.35*2)</f>
        <v>-4.3980477142857143E-3</v>
      </c>
      <c r="P27" s="3">
        <f t="shared" si="0"/>
        <v>0.50529837687072454</v>
      </c>
      <c r="Q27" s="3"/>
      <c r="R27" s="3"/>
      <c r="S27" s="3"/>
      <c r="T27" s="3"/>
      <c r="U27" s="3"/>
    </row>
    <row r="28" spans="1:21" x14ac:dyDescent="0.25">
      <c r="A28" s="3">
        <v>10000000000</v>
      </c>
      <c r="B28" s="3">
        <v>-2.2829999999999999E-3</v>
      </c>
      <c r="C28" s="3">
        <v>1.451E-3</v>
      </c>
      <c r="D28" s="3">
        <v>6.7239999999999997E-4</v>
      </c>
      <c r="E28" s="3">
        <v>0</v>
      </c>
      <c r="F28" s="3">
        <v>0</v>
      </c>
      <c r="G28" s="3">
        <v>0</v>
      </c>
      <c r="H28" s="3">
        <v>9.3310276999999996E-4</v>
      </c>
      <c r="I28" s="3">
        <v>2.3650464999999999E-4</v>
      </c>
      <c r="J28" s="3">
        <v>-1.8302612E-3</v>
      </c>
      <c r="K28" s="2"/>
      <c r="L28" s="3"/>
      <c r="M28" s="3"/>
      <c r="N28" s="2">
        <f>IF('Modell einstellen'!$B$1="Voll",H28/0.35,H28/0.35*2)</f>
        <v>2.6660079142857142E-3</v>
      </c>
      <c r="O28" s="2">
        <f>IF('Modell einstellen'!$B$1="Voll",J28/0.35,J28/0.35*2)</f>
        <v>-5.2293177142857146E-3</v>
      </c>
      <c r="P28" s="3">
        <f t="shared" si="0"/>
        <v>0.50981945637048953</v>
      </c>
      <c r="Q28" s="3"/>
      <c r="R28" s="3"/>
      <c r="S28" s="3"/>
      <c r="T28" s="3"/>
      <c r="U28" s="3"/>
    </row>
    <row r="29" spans="1:21" x14ac:dyDescent="0.25">
      <c r="A29" s="3">
        <v>100000000000</v>
      </c>
      <c r="B29" s="3">
        <v>-2.6090000000000002E-3</v>
      </c>
      <c r="C29" s="3">
        <v>1.57E-3</v>
      </c>
      <c r="D29" s="3">
        <v>8.7870000000000005E-4</v>
      </c>
      <c r="E29" s="3">
        <v>0</v>
      </c>
      <c r="F29" s="3">
        <v>0</v>
      </c>
      <c r="G29" s="3">
        <v>0</v>
      </c>
      <c r="H29" s="3">
        <v>1.0253949999999999E-3</v>
      </c>
      <c r="I29" s="3">
        <v>2.5965207999999998E-4</v>
      </c>
      <c r="J29" s="3">
        <v>-2.0062254000000001E-3</v>
      </c>
      <c r="K29" s="2"/>
      <c r="L29" s="3"/>
      <c r="M29" s="3"/>
      <c r="N29" s="2">
        <f>IF('Modell einstellen'!$B$1="Voll",H29/0.35,H29/0.35*2)</f>
        <v>2.9296999999999999E-3</v>
      </c>
      <c r="O29" s="2">
        <f>IF('Modell einstellen'!$B$1="Voll",J29/0.35,J29/0.35*2)</f>
        <v>-5.7320725714285724E-3</v>
      </c>
      <c r="P29" s="3">
        <f t="shared" si="0"/>
        <v>0.51110657855293817</v>
      </c>
      <c r="Q29" s="3"/>
      <c r="R29" s="3"/>
      <c r="S29" s="3"/>
      <c r="T29" s="3"/>
      <c r="U29" s="3"/>
    </row>
    <row r="30" spans="1:21" x14ac:dyDescent="0.25">
      <c r="A30" s="3">
        <v>1000000000000</v>
      </c>
      <c r="B30" s="3">
        <v>-2.8419999999999999E-3</v>
      </c>
      <c r="C30" s="3">
        <v>1.655E-3</v>
      </c>
      <c r="D30" s="3">
        <v>1.0269999999999999E-3</v>
      </c>
      <c r="E30" s="3">
        <v>0</v>
      </c>
      <c r="F30" s="3">
        <v>0</v>
      </c>
      <c r="G30" s="3">
        <v>0</v>
      </c>
      <c r="H30" s="3">
        <v>1.0922391000000001E-3</v>
      </c>
      <c r="I30" s="3">
        <v>2.7630212999999999E-4</v>
      </c>
      <c r="J30" s="3">
        <v>-2.1331814000000002E-3</v>
      </c>
      <c r="K30" s="2"/>
      <c r="L30" s="3"/>
      <c r="M30" s="3"/>
      <c r="N30" s="2">
        <f>IF('Modell einstellen'!$B$1="Voll",H30/0.35,H30/0.35*2)</f>
        <v>3.1206831428571432E-3</v>
      </c>
      <c r="O30" s="2">
        <f>IF('Modell einstellen'!$B$1="Voll",J30/0.35,J30/0.35*2)</f>
        <v>-6.0948040000000005E-3</v>
      </c>
      <c r="P30" s="3">
        <f t="shared" si="0"/>
        <v>0.51202354380176018</v>
      </c>
      <c r="Q30" s="3"/>
      <c r="R30" s="3"/>
      <c r="S30" s="3"/>
      <c r="T30" s="3"/>
      <c r="U30" s="3"/>
    </row>
    <row r="31" spans="1:21" x14ac:dyDescent="0.25">
      <c r="A31" s="3">
        <v>10000000000000</v>
      </c>
      <c r="B31" s="3">
        <v>-2.9940000000000001E-3</v>
      </c>
      <c r="C31" s="3">
        <v>1.7049999999999999E-3</v>
      </c>
      <c r="D31" s="3">
        <v>1.129E-3</v>
      </c>
      <c r="E31" s="3">
        <v>0</v>
      </c>
      <c r="F31" s="3">
        <v>0</v>
      </c>
      <c r="G31" s="3">
        <v>0</v>
      </c>
      <c r="H31" s="3">
        <v>1.1345432999999999E-3</v>
      </c>
      <c r="I31" s="3">
        <v>2.8622423999999998E-4</v>
      </c>
      <c r="J31" s="3">
        <v>-2.2112479999999999E-3</v>
      </c>
      <c r="K31" s="2"/>
      <c r="L31" s="3"/>
      <c r="M31" s="3"/>
      <c r="N31" s="2">
        <f>IF('Modell einstellen'!$B$1="Voll",H31/0.35,H31/0.35*2)</f>
        <v>3.2415522857142855E-3</v>
      </c>
      <c r="O31" s="2">
        <f>IF('Modell einstellen'!$B$1="Voll",J31/0.35,J31/0.35*2)</f>
        <v>-6.3178514285714285E-3</v>
      </c>
      <c r="P31" s="3">
        <f t="shared" si="0"/>
        <v>0.51307827073218382</v>
      </c>
      <c r="Q31" s="3"/>
      <c r="R31" s="3"/>
      <c r="S31" s="3"/>
      <c r="T31" s="3"/>
      <c r="U31" s="3"/>
    </row>
    <row r="32" spans="1:21" x14ac:dyDescent="0.25">
      <c r="A32" s="3">
        <v>100000000000000</v>
      </c>
      <c r="B32" s="3">
        <v>-3.0720000000000001E-3</v>
      </c>
      <c r="C32" s="3">
        <v>1.7359999999999999E-3</v>
      </c>
      <c r="D32" s="3">
        <v>1.175E-3</v>
      </c>
      <c r="E32" s="3">
        <v>0</v>
      </c>
      <c r="F32" s="3">
        <v>0</v>
      </c>
      <c r="G32" s="3">
        <v>0</v>
      </c>
      <c r="H32" s="3">
        <v>1.1561500000000001E-3</v>
      </c>
      <c r="I32" s="3">
        <v>2.9236090000000001E-4</v>
      </c>
      <c r="J32" s="3">
        <v>-2.2549974E-3</v>
      </c>
      <c r="K32" s="2"/>
      <c r="L32" s="3"/>
      <c r="M32" s="3"/>
      <c r="N32" s="2">
        <f>IF('Modell einstellen'!$B$1="Voll",H32/0.35,H32/0.35*2)</f>
        <v>3.3032857142857148E-3</v>
      </c>
      <c r="O32" s="2">
        <f>IF('Modell einstellen'!$B$1="Voll",J32/0.35,J32/0.35*2)</f>
        <v>-6.4428497142857144E-3</v>
      </c>
      <c r="P32" s="3">
        <f t="shared" si="0"/>
        <v>0.51270569092452178</v>
      </c>
      <c r="Q32" s="3"/>
      <c r="R32" s="3"/>
      <c r="S32" s="3"/>
      <c r="T32" s="3"/>
      <c r="U32" s="3"/>
    </row>
    <row r="33" spans="1:21" x14ac:dyDescent="0.25">
      <c r="A33" s="2">
        <v>1000000000000000</v>
      </c>
      <c r="B33" s="3">
        <v>-3.2750000000000001E-3</v>
      </c>
      <c r="C33" s="3">
        <v>1.807E-3</v>
      </c>
      <c r="D33" s="3">
        <v>1.307E-3</v>
      </c>
      <c r="E33" s="3">
        <v>0</v>
      </c>
      <c r="F33" s="3">
        <v>0</v>
      </c>
      <c r="G33" s="3">
        <v>0</v>
      </c>
      <c r="H33" s="3">
        <v>1.215994E-3</v>
      </c>
      <c r="I33" s="3">
        <v>3.062559E-4</v>
      </c>
      <c r="J33" s="3">
        <v>-2.3649074E-3</v>
      </c>
      <c r="K33" s="2"/>
      <c r="L33" s="3"/>
      <c r="M33" s="3"/>
      <c r="N33" s="2">
        <f>IF('Modell einstellen'!$B$1="Voll",H33/0.35,H33/0.35*2)</f>
        <v>3.4742685714285715E-3</v>
      </c>
      <c r="O33" s="2">
        <f>IF('Modell einstellen'!$B$1="Voll",J33/0.35,J33/0.35*2)</f>
        <v>-6.7568782857142864E-3</v>
      </c>
      <c r="P33" s="3">
        <f t="shared" si="0"/>
        <v>0.51418250033806812</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1.061E-4</v>
      </c>
      <c r="C3" s="3">
        <v>1.4569999999999999E-4</v>
      </c>
      <c r="D3" s="3">
        <v>-3.812E-4</v>
      </c>
      <c r="E3" s="3">
        <v>0</v>
      </c>
      <c r="F3" s="3">
        <v>0</v>
      </c>
      <c r="G3" s="3">
        <v>0</v>
      </c>
      <c r="H3" s="3">
        <v>5.6118625999999999E-5</v>
      </c>
      <c r="I3" s="3">
        <v>1.4776821E-5</v>
      </c>
      <c r="J3" s="3">
        <v>-1.4734892000000001E-4</v>
      </c>
      <c r="L3" s="3">
        <f>-B3/D3</f>
        <v>0.27833158447009443</v>
      </c>
      <c r="M3" s="3"/>
      <c r="N3" s="2">
        <f>IF('Modell einstellen'!$B$1="Voll",H3/0.35,H3/0.35*2)</f>
        <v>1.6033893142857145E-4</v>
      </c>
      <c r="O3" s="2">
        <f>IF('Modell einstellen'!$B$1="Voll",J3/0.35,J3/0.35*2)</f>
        <v>-4.2099691428571434E-4</v>
      </c>
      <c r="P3" s="3">
        <f>-N3/O3</f>
        <v>0.38085536018859178</v>
      </c>
    </row>
    <row r="4" spans="1:16" x14ac:dyDescent="0.25">
      <c r="A4" s="3">
        <v>1E-14</v>
      </c>
      <c r="B4" s="3">
        <v>1.077E-4</v>
      </c>
      <c r="C4" s="3">
        <v>1.5200000000000001E-4</v>
      </c>
      <c r="D4" s="3">
        <v>-3.8999999999999999E-4</v>
      </c>
      <c r="E4" s="3">
        <v>0</v>
      </c>
      <c r="F4" s="3">
        <v>0</v>
      </c>
      <c r="G4" s="3">
        <v>0</v>
      </c>
      <c r="H4" s="3">
        <v>5.9024919000000003E-5</v>
      </c>
      <c r="I4" s="3">
        <v>1.5472959E-5</v>
      </c>
      <c r="J4" s="3">
        <v>-1.5287760000000001E-4</v>
      </c>
      <c r="L4" s="3">
        <f t="shared" ref="L4:L33" si="0">-B4/D4</f>
        <v>0.27615384615384614</v>
      </c>
      <c r="M4" s="3"/>
      <c r="N4" s="2">
        <f>IF('Modell einstellen'!$B$1="Voll",H4/0.35,H4/0.35*2)</f>
        <v>1.6864262571428574E-4</v>
      </c>
      <c r="O4" s="2">
        <f>IF('Modell einstellen'!$B$1="Voll",J4/0.35,J4/0.35*2)</f>
        <v>-4.3679314285714293E-4</v>
      </c>
      <c r="P4" s="3">
        <f t="shared" ref="P4:P33" si="1">-N4/O4</f>
        <v>0.38609265844047785</v>
      </c>
    </row>
    <row r="5" spans="1:16" x14ac:dyDescent="0.25">
      <c r="A5" s="3">
        <v>1E-13</v>
      </c>
      <c r="B5" s="3">
        <v>1.089E-4</v>
      </c>
      <c r="C5" s="3">
        <v>1.5770000000000001E-4</v>
      </c>
      <c r="D5" s="3">
        <v>-3.9770000000000002E-4</v>
      </c>
      <c r="E5" s="3">
        <v>0</v>
      </c>
      <c r="F5" s="3">
        <v>0</v>
      </c>
      <c r="G5" s="3">
        <v>0</v>
      </c>
      <c r="H5" s="3">
        <v>6.1755568999999997E-5</v>
      </c>
      <c r="I5" s="3">
        <v>1.6116E-5</v>
      </c>
      <c r="J5" s="3">
        <v>-1.5803424E-4</v>
      </c>
      <c r="L5" s="3">
        <f t="shared" si="0"/>
        <v>0.27382449082222782</v>
      </c>
      <c r="M5" s="3"/>
      <c r="N5" s="2">
        <f>IF('Modell einstellen'!$B$1="Voll",H5/0.35,H5/0.35*2)</f>
        <v>1.7644448285714285E-4</v>
      </c>
      <c r="O5" s="2">
        <f>IF('Modell einstellen'!$B$1="Voll",J5/0.35,J5/0.35*2)</f>
        <v>-4.5152640000000003E-4</v>
      </c>
      <c r="P5" s="3">
        <f t="shared" si="1"/>
        <v>0.39077334759859633</v>
      </c>
    </row>
    <row r="6" spans="1:16" x14ac:dyDescent="0.25">
      <c r="A6" s="3">
        <v>9.9999999999999998E-13</v>
      </c>
      <c r="B6" s="3">
        <v>1.097E-4</v>
      </c>
      <c r="C6" s="3">
        <v>1.6320000000000001E-4</v>
      </c>
      <c r="D6" s="3">
        <v>-4.0489999999999998E-4</v>
      </c>
      <c r="E6" s="3">
        <v>0</v>
      </c>
      <c r="F6" s="3">
        <v>0</v>
      </c>
      <c r="G6" s="3">
        <v>0</v>
      </c>
      <c r="H6" s="3">
        <v>6.4419568000000001E-5</v>
      </c>
      <c r="I6" s="3">
        <v>1.6733576999999999E-5</v>
      </c>
      <c r="J6" s="3">
        <v>-1.6302695000000001E-4</v>
      </c>
      <c r="L6" s="3">
        <f t="shared" si="0"/>
        <v>0.27093109409730798</v>
      </c>
      <c r="M6" s="3"/>
      <c r="N6" s="2">
        <f>IF('Modell einstellen'!$B$1="Voll",H6/0.35,H6/0.35*2)</f>
        <v>1.840559085714286E-4</v>
      </c>
      <c r="O6" s="2">
        <f>IF('Modell einstellen'!$B$1="Voll",J6/0.35,J6/0.35*2)</f>
        <v>-4.6579128571428574E-4</v>
      </c>
      <c r="P6" s="3">
        <f t="shared" si="1"/>
        <v>0.39514674107563202</v>
      </c>
    </row>
    <row r="7" spans="1:16" x14ac:dyDescent="0.25">
      <c r="A7" s="3">
        <v>9.9999999999999994E-12</v>
      </c>
      <c r="B7" s="3">
        <v>1.104E-4</v>
      </c>
      <c r="C7" s="3">
        <v>1.696E-4</v>
      </c>
      <c r="D7" s="3">
        <v>-4.1300000000000001E-4</v>
      </c>
      <c r="E7" s="3">
        <v>0</v>
      </c>
      <c r="F7" s="3">
        <v>0</v>
      </c>
      <c r="G7" s="3">
        <v>0</v>
      </c>
      <c r="H7" s="3">
        <v>6.7669161999999995E-5</v>
      </c>
      <c r="I7" s="3">
        <v>1.7474541999999998E-5</v>
      </c>
      <c r="J7" s="3">
        <v>-1.6906968000000001E-4</v>
      </c>
      <c r="L7" s="3">
        <f t="shared" si="0"/>
        <v>0.26731234866828085</v>
      </c>
      <c r="M7" s="3"/>
      <c r="N7" s="2">
        <f>IF('Modell einstellen'!$B$1="Voll",H7/0.35,H7/0.35*2)</f>
        <v>1.9334046285714285E-4</v>
      </c>
      <c r="O7" s="2">
        <f>IF('Modell einstellen'!$B$1="Voll",J7/0.35,J7/0.35*2)</f>
        <v>-4.8305622857142865E-4</v>
      </c>
      <c r="P7" s="3">
        <f t="shared" si="1"/>
        <v>0.40024421883332356</v>
      </c>
    </row>
    <row r="8" spans="1:16" x14ac:dyDescent="0.25">
      <c r="A8" s="3">
        <v>1E-10</v>
      </c>
      <c r="B8" s="3">
        <v>1.1069999999999999E-4</v>
      </c>
      <c r="C8" s="3">
        <v>1.7780000000000001E-4</v>
      </c>
      <c r="D8" s="3">
        <v>-4.2279999999999998E-4</v>
      </c>
      <c r="E8" s="3">
        <v>0</v>
      </c>
      <c r="F8" s="3">
        <v>0</v>
      </c>
      <c r="G8" s="3">
        <v>0</v>
      </c>
      <c r="H8" s="3">
        <v>7.1940580000000006E-5</v>
      </c>
      <c r="I8" s="3">
        <v>1.8427477999999999E-5</v>
      </c>
      <c r="J8" s="3">
        <v>-1.7693202999999999E-4</v>
      </c>
      <c r="L8" s="3">
        <f t="shared" si="0"/>
        <v>0.26182592242194891</v>
      </c>
      <c r="M8" s="3"/>
      <c r="N8" s="2">
        <f>IF('Modell einstellen'!$B$1="Voll",H8/0.35,H8/0.35*2)</f>
        <v>2.0554451428571433E-4</v>
      </c>
      <c r="O8" s="2">
        <f>IF('Modell einstellen'!$B$1="Voll",J8/0.35,J8/0.35*2)</f>
        <v>-5.0552008571428568E-4</v>
      </c>
      <c r="P8" s="3">
        <f t="shared" si="1"/>
        <v>0.40660009383264306</v>
      </c>
    </row>
    <row r="9" spans="1:16" x14ac:dyDescent="0.25">
      <c r="A9" s="3">
        <v>1.0000000000000001E-9</v>
      </c>
      <c r="B9" s="3">
        <v>1.102E-4</v>
      </c>
      <c r="C9" s="3">
        <v>1.8709999999999999E-4</v>
      </c>
      <c r="D9" s="3">
        <v>-4.3300000000000001E-4</v>
      </c>
      <c r="E9" s="3">
        <v>0</v>
      </c>
      <c r="F9" s="3">
        <v>0</v>
      </c>
      <c r="G9" s="3">
        <v>0</v>
      </c>
      <c r="H9" s="3">
        <v>7.6966114999999996E-5</v>
      </c>
      <c r="I9" s="3">
        <v>1.9517568E-5</v>
      </c>
      <c r="J9" s="3">
        <v>-1.8606385999999999E-4</v>
      </c>
      <c r="L9" s="3">
        <f t="shared" si="0"/>
        <v>0.25450346420323322</v>
      </c>
      <c r="M9" s="3"/>
      <c r="N9" s="2">
        <f>IF('Modell einstellen'!$B$1="Voll",H9/0.35,H9/0.35*2)</f>
        <v>2.1990318571428572E-4</v>
      </c>
      <c r="O9" s="2">
        <f>IF('Modell einstellen'!$B$1="Voll",J9/0.35,J9/0.35*2)</f>
        <v>-5.3161102857142862E-4</v>
      </c>
      <c r="P9" s="3">
        <f t="shared" si="1"/>
        <v>0.41365429589604341</v>
      </c>
    </row>
    <row r="10" spans="1:16" x14ac:dyDescent="0.25">
      <c r="A10" s="3">
        <v>1E-8</v>
      </c>
      <c r="B10" s="3">
        <v>1.0900000000000001E-4</v>
      </c>
      <c r="C10" s="3">
        <v>1.9570000000000001E-4</v>
      </c>
      <c r="D10" s="3">
        <v>-4.416E-4</v>
      </c>
      <c r="E10" s="3">
        <v>0</v>
      </c>
      <c r="F10" s="3">
        <v>0</v>
      </c>
      <c r="G10" s="3">
        <v>0</v>
      </c>
      <c r="H10" s="3">
        <v>8.1849819000000002E-5</v>
      </c>
      <c r="I10" s="3">
        <v>2.0544299999999999E-5</v>
      </c>
      <c r="J10" s="3">
        <v>-1.9481410999999999E-4</v>
      </c>
      <c r="L10" s="3">
        <f t="shared" si="0"/>
        <v>0.24682971014492755</v>
      </c>
      <c r="M10" s="3"/>
      <c r="N10" s="2">
        <f>IF('Modell einstellen'!$B$1="Voll",H10/0.35,H10/0.35*2)</f>
        <v>2.3385662571428573E-4</v>
      </c>
      <c r="O10" s="2">
        <f>IF('Modell einstellen'!$B$1="Voll",J10/0.35,J10/0.35*2)</f>
        <v>-5.5661174285714281E-4</v>
      </c>
      <c r="P10" s="3">
        <f t="shared" si="1"/>
        <v>0.42014317648757582</v>
      </c>
    </row>
    <row r="11" spans="1:16" x14ac:dyDescent="0.25">
      <c r="A11" s="3">
        <v>9.9999999999999995E-8</v>
      </c>
      <c r="B11" s="3">
        <v>1.071E-4</v>
      </c>
      <c r="C11" s="3">
        <v>2.0350000000000001E-4</v>
      </c>
      <c r="D11" s="3">
        <v>-4.4870000000000001E-4</v>
      </c>
      <c r="E11" s="3">
        <v>0</v>
      </c>
      <c r="F11" s="3">
        <v>0</v>
      </c>
      <c r="G11" s="3">
        <v>0</v>
      </c>
      <c r="H11" s="3">
        <v>8.6466450999999995E-5</v>
      </c>
      <c r="I11" s="3">
        <v>2.1488459000000001E-5</v>
      </c>
      <c r="J11" s="3">
        <v>-2.02986E-4</v>
      </c>
      <c r="L11" s="3">
        <f t="shared" si="0"/>
        <v>0.23868954758190328</v>
      </c>
      <c r="M11" s="3"/>
      <c r="N11" s="2">
        <f>IF('Modell einstellen'!$B$1="Voll",H11/0.35,H11/0.35*2)</f>
        <v>2.4704700285714288E-4</v>
      </c>
      <c r="O11" s="2">
        <f>IF('Modell einstellen'!$B$1="Voll",J11/0.35,J11/0.35*2)</f>
        <v>-5.7996000000000002E-4</v>
      </c>
      <c r="P11" s="3">
        <f t="shared" si="1"/>
        <v>0.42597248578719715</v>
      </c>
    </row>
    <row r="12" spans="1:16" x14ac:dyDescent="0.25">
      <c r="A12" s="3">
        <v>9.9999999999999995E-7</v>
      </c>
      <c r="B12" s="3">
        <v>1.044E-4</v>
      </c>
      <c r="C12" s="3">
        <v>2.118E-4</v>
      </c>
      <c r="D12" s="3">
        <v>-4.5560000000000002E-4</v>
      </c>
      <c r="E12" s="3">
        <v>0</v>
      </c>
      <c r="F12" s="3">
        <v>0</v>
      </c>
      <c r="G12" s="3">
        <v>0</v>
      </c>
      <c r="H12" s="3">
        <v>9.1596968000000003E-5</v>
      </c>
      <c r="I12" s="3">
        <v>2.2507358999999999E-5</v>
      </c>
      <c r="J12" s="3">
        <v>-2.119534E-4</v>
      </c>
      <c r="L12" s="3">
        <f t="shared" si="0"/>
        <v>0.22914837576821773</v>
      </c>
      <c r="M12" s="3"/>
      <c r="N12" s="2">
        <f>IF('Modell einstellen'!$B$1="Voll",H12/0.35,H12/0.35*2)</f>
        <v>2.6170562285714286E-4</v>
      </c>
      <c r="O12" s="2">
        <f>IF('Modell einstellen'!$B$1="Voll",J12/0.35,J12/0.35*2)</f>
        <v>-6.0558114285714289E-4</v>
      </c>
      <c r="P12" s="3">
        <f t="shared" si="1"/>
        <v>0.43215616262820034</v>
      </c>
    </row>
    <row r="13" spans="1:16" x14ac:dyDescent="0.25">
      <c r="A13" s="3">
        <v>1.0000000000000001E-5</v>
      </c>
      <c r="B13" s="3">
        <v>1.0060000000000001E-4</v>
      </c>
      <c r="C13" s="3">
        <v>2.206E-4</v>
      </c>
      <c r="D13" s="3">
        <v>-4.618E-4</v>
      </c>
      <c r="E13" s="3">
        <v>0</v>
      </c>
      <c r="F13" s="3">
        <v>0</v>
      </c>
      <c r="G13" s="3">
        <v>0</v>
      </c>
      <c r="H13" s="3">
        <v>9.7244852000000003E-5</v>
      </c>
      <c r="I13" s="3">
        <v>2.3593635E-5</v>
      </c>
      <c r="J13" s="3">
        <v>-2.2169188E-4</v>
      </c>
      <c r="L13" s="3">
        <f t="shared" si="0"/>
        <v>0.21784322217410135</v>
      </c>
      <c r="M13" s="3"/>
      <c r="N13" s="2">
        <f>IF('Modell einstellen'!$B$1="Voll",H13/0.35,H13/0.35*2)</f>
        <v>2.7784243428571431E-4</v>
      </c>
      <c r="O13" s="2">
        <f>IF('Modell einstellen'!$B$1="Voll",J13/0.35,J13/0.35*2)</f>
        <v>-6.3340537142857146E-4</v>
      </c>
      <c r="P13" s="3">
        <f t="shared" si="1"/>
        <v>0.43864868663660572</v>
      </c>
    </row>
    <row r="14" spans="1:16" x14ac:dyDescent="0.25">
      <c r="A14" s="3">
        <v>1E-4</v>
      </c>
      <c r="B14" s="3">
        <v>9.5539999999999997E-5</v>
      </c>
      <c r="C14" s="3">
        <v>2.297E-4</v>
      </c>
      <c r="D14" s="3">
        <v>-4.6729999999999997E-4</v>
      </c>
      <c r="E14" s="3">
        <v>0</v>
      </c>
      <c r="F14" s="3">
        <v>0</v>
      </c>
      <c r="G14" s="3">
        <v>0</v>
      </c>
      <c r="H14" s="3">
        <v>1.0350210999999999E-4</v>
      </c>
      <c r="I14" s="3">
        <v>2.4753168000000001E-5</v>
      </c>
      <c r="J14" s="3">
        <v>-2.3231578999999999E-4</v>
      </c>
      <c r="L14" s="3">
        <f t="shared" si="0"/>
        <v>0.20445110207575434</v>
      </c>
      <c r="M14" s="3"/>
      <c r="N14" s="2">
        <f>IF('Modell einstellen'!$B$1="Voll",H14/0.35,H14/0.35*2)</f>
        <v>2.9572031428571428E-4</v>
      </c>
      <c r="O14" s="2">
        <f>IF('Modell einstellen'!$B$1="Voll",J14/0.35,J14/0.35*2)</f>
        <v>-6.6375940000000001E-4</v>
      </c>
      <c r="P14" s="3">
        <f t="shared" si="1"/>
        <v>0.44552335422400691</v>
      </c>
    </row>
    <row r="15" spans="1:16" x14ac:dyDescent="0.25">
      <c r="A15" s="3">
        <v>1E-3</v>
      </c>
      <c r="B15" s="3">
        <v>8.8590000000000004E-5</v>
      </c>
      <c r="C15" s="3">
        <v>2.399E-4</v>
      </c>
      <c r="D15" s="3">
        <v>-4.7199999999999998E-4</v>
      </c>
      <c r="E15" s="3">
        <v>0</v>
      </c>
      <c r="F15" s="3">
        <v>0</v>
      </c>
      <c r="G15" s="3">
        <v>0</v>
      </c>
      <c r="H15" s="3">
        <v>1.108326E-4</v>
      </c>
      <c r="I15" s="3">
        <v>2.6061202999999999E-5</v>
      </c>
      <c r="J15" s="3">
        <v>-2.4457222999999998E-4</v>
      </c>
      <c r="L15" s="3">
        <f t="shared" si="0"/>
        <v>0.1876906779661017</v>
      </c>
      <c r="M15" s="3"/>
      <c r="N15" s="2">
        <f>IF('Modell einstellen'!$B$1="Voll",H15/0.35,H15/0.35*2)</f>
        <v>3.1666457142857143E-4</v>
      </c>
      <c r="O15" s="2">
        <f>IF('Modell einstellen'!$B$1="Voll",J15/0.35,J15/0.35*2)</f>
        <v>-6.9877779999999998E-4</v>
      </c>
      <c r="P15" s="3">
        <f t="shared" si="1"/>
        <v>0.4531691925939425</v>
      </c>
    </row>
    <row r="16" spans="1:16" x14ac:dyDescent="0.25">
      <c r="A16" s="3">
        <v>0.01</v>
      </c>
      <c r="B16" s="3">
        <v>7.7550000000000001E-5</v>
      </c>
      <c r="C16" s="3">
        <v>2.5290000000000002E-4</v>
      </c>
      <c r="D16" s="3">
        <v>-4.7580000000000002E-4</v>
      </c>
      <c r="E16" s="3">
        <v>0</v>
      </c>
      <c r="F16" s="3">
        <v>0</v>
      </c>
      <c r="G16" s="3">
        <v>0</v>
      </c>
      <c r="H16" s="3">
        <v>1.2081008E-4</v>
      </c>
      <c r="I16" s="3">
        <v>2.7762136000000002E-5</v>
      </c>
      <c r="J16" s="3">
        <v>-2.6095114000000003E-4</v>
      </c>
      <c r="L16" s="3">
        <f t="shared" si="0"/>
        <v>0.16298865069356872</v>
      </c>
      <c r="M16" s="3"/>
      <c r="N16" s="2">
        <f>IF('Modell einstellen'!$B$1="Voll",H16/0.35,H16/0.35*2)</f>
        <v>3.4517165714285713E-4</v>
      </c>
      <c r="O16" s="2">
        <f>IF('Modell einstellen'!$B$1="Voll",J16/0.35,J16/0.35*2)</f>
        <v>-7.4557468571428585E-4</v>
      </c>
      <c r="P16" s="3">
        <f t="shared" si="1"/>
        <v>0.46296053736343123</v>
      </c>
    </row>
    <row r="17" spans="1:16" x14ac:dyDescent="0.25">
      <c r="A17" s="3">
        <v>0.1</v>
      </c>
      <c r="B17" s="3">
        <v>6.2310000000000005E-5</v>
      </c>
      <c r="C17" s="3">
        <v>2.6879999999999997E-4</v>
      </c>
      <c r="D17" s="3">
        <v>-4.7849999999999998E-4</v>
      </c>
      <c r="E17" s="3">
        <v>0</v>
      </c>
      <c r="F17" s="3">
        <v>0</v>
      </c>
      <c r="G17" s="3">
        <v>0</v>
      </c>
      <c r="H17" s="3">
        <v>1.332308E-4</v>
      </c>
      <c r="I17" s="3">
        <v>2.9897567E-5</v>
      </c>
      <c r="J17" s="3">
        <v>-2.8134463000000003E-4</v>
      </c>
      <c r="L17" s="3">
        <f t="shared" si="0"/>
        <v>0.13021943573667713</v>
      </c>
      <c r="M17" s="3"/>
      <c r="N17" s="2">
        <f>IF('Modell einstellen'!$B$1="Voll",H17/0.35,H17/0.35*2)</f>
        <v>3.8065942857142861E-4</v>
      </c>
      <c r="O17" s="2">
        <f>IF('Modell einstellen'!$B$1="Voll",J17/0.35,J17/0.35*2)</f>
        <v>-8.0384180000000007E-4</v>
      </c>
      <c r="P17" s="3">
        <f t="shared" si="1"/>
        <v>0.47355017936542809</v>
      </c>
    </row>
    <row r="18" spans="1:16" x14ac:dyDescent="0.25">
      <c r="A18" s="3">
        <v>1</v>
      </c>
      <c r="B18" s="3">
        <v>4.2880000000000003E-5</v>
      </c>
      <c r="C18" s="3">
        <v>2.967E-4</v>
      </c>
      <c r="D18" s="3">
        <v>-4.8840000000000005E-4</v>
      </c>
      <c r="E18" s="3">
        <v>0</v>
      </c>
      <c r="F18" s="3">
        <v>0</v>
      </c>
      <c r="G18" s="3">
        <v>0</v>
      </c>
      <c r="H18" s="3">
        <v>1.4999073E-4</v>
      </c>
      <c r="I18" s="3">
        <v>3.3660050999999999E-5</v>
      </c>
      <c r="J18" s="3">
        <v>-3.1175832E-4</v>
      </c>
      <c r="L18" s="3">
        <f t="shared" si="0"/>
        <v>8.7796887796887796E-2</v>
      </c>
      <c r="M18" s="3"/>
      <c r="N18" s="2">
        <f>IF('Modell einstellen'!$B$1="Voll",H18/0.35,H18/0.35*2)</f>
        <v>4.2854494285714289E-4</v>
      </c>
      <c r="O18" s="2">
        <f>IF('Modell einstellen'!$B$1="Voll",J18/0.35,J18/0.35*2)</f>
        <v>-8.9073805714285725E-4</v>
      </c>
      <c r="P18" s="3">
        <f t="shared" si="1"/>
        <v>0.48111219613962503</v>
      </c>
    </row>
    <row r="19" spans="1:16" x14ac:dyDescent="0.25">
      <c r="A19" s="3">
        <v>10</v>
      </c>
      <c r="B19" s="3">
        <v>1.7329999999999998E-5</v>
      </c>
      <c r="C19" s="3">
        <v>3.4769999999999999E-4</v>
      </c>
      <c r="D19" s="3">
        <v>-5.1420000000000003E-4</v>
      </c>
      <c r="E19" s="3">
        <v>0</v>
      </c>
      <c r="F19" s="3">
        <v>0</v>
      </c>
      <c r="G19" s="3">
        <v>0</v>
      </c>
      <c r="H19" s="3">
        <v>1.7306169E-4</v>
      </c>
      <c r="I19" s="3">
        <v>4.0666162999999999E-5</v>
      </c>
      <c r="J19" s="3">
        <v>-3.5984639E-4</v>
      </c>
      <c r="L19" s="3">
        <f t="shared" si="0"/>
        <v>3.3702839362115905E-2</v>
      </c>
      <c r="M19" s="3"/>
      <c r="N19" s="2">
        <f>IF('Modell einstellen'!$B$1="Voll",H19/0.35,H19/0.35*2)</f>
        <v>4.9446197142857145E-4</v>
      </c>
      <c r="O19" s="2">
        <f>IF('Modell einstellen'!$B$1="Voll",J19/0.35,J19/0.35*2)</f>
        <v>-1.0281325428571429E-3</v>
      </c>
      <c r="P19" s="3">
        <f t="shared" si="1"/>
        <v>0.48093212773372551</v>
      </c>
    </row>
    <row r="20" spans="1:16" x14ac:dyDescent="0.25">
      <c r="A20" s="3">
        <v>100</v>
      </c>
      <c r="B20" s="3">
        <v>-3.5200000000000002E-5</v>
      </c>
      <c r="C20" s="3">
        <v>4.2539999999999999E-4</v>
      </c>
      <c r="D20" s="3">
        <v>-5.3989999999999995E-4</v>
      </c>
      <c r="E20" s="3">
        <v>0</v>
      </c>
      <c r="F20" s="3">
        <v>0</v>
      </c>
      <c r="G20" s="3">
        <v>0</v>
      </c>
      <c r="H20" s="3">
        <v>2.089425E-4</v>
      </c>
      <c r="I20" s="3">
        <v>5.1793901000000002E-5</v>
      </c>
      <c r="J20" s="3">
        <v>-4.3569361000000002E-4</v>
      </c>
      <c r="L20" s="3">
        <f t="shared" si="0"/>
        <v>-6.5197258751620676E-2</v>
      </c>
      <c r="M20" s="3"/>
      <c r="N20" s="2">
        <f>IF('Modell einstellen'!$B$1="Voll",H20/0.35,H20/0.35*2)</f>
        <v>5.9697857142857141E-4</v>
      </c>
      <c r="O20" s="2">
        <f>IF('Modell einstellen'!$B$1="Voll",J20/0.35,J20/0.35*2)</f>
        <v>-1.2448388857142858E-3</v>
      </c>
      <c r="P20" s="3">
        <f t="shared" si="1"/>
        <v>0.47956292037425102</v>
      </c>
    </row>
    <row r="21" spans="1:16" x14ac:dyDescent="0.25">
      <c r="A21" s="3">
        <v>1000</v>
      </c>
      <c r="B21" s="3">
        <v>-1.6090000000000001E-4</v>
      </c>
      <c r="C21" s="3">
        <v>5.3359999999999996E-4</v>
      </c>
      <c r="D21" s="3">
        <v>-5.2459999999999996E-4</v>
      </c>
      <c r="E21" s="3">
        <v>0</v>
      </c>
      <c r="F21" s="3">
        <v>0</v>
      </c>
      <c r="G21" s="3">
        <v>0</v>
      </c>
      <c r="H21" s="3">
        <v>2.6897230999999998E-4</v>
      </c>
      <c r="I21" s="3">
        <v>6.8546564E-5</v>
      </c>
      <c r="J21" s="3">
        <v>-5.5636743000000001E-4</v>
      </c>
      <c r="L21" s="3">
        <f t="shared" si="0"/>
        <v>-0.30670987418985896</v>
      </c>
      <c r="M21" s="3"/>
      <c r="N21" s="2">
        <f>IF('Modell einstellen'!$B$1="Voll",H21/0.35,H21/0.35*2)</f>
        <v>7.6849231428571428E-4</v>
      </c>
      <c r="O21" s="2">
        <f>IF('Modell einstellen'!$B$1="Voll",J21/0.35,J21/0.35*2)</f>
        <v>-1.5896212285714288E-3</v>
      </c>
      <c r="P21" s="3">
        <f t="shared" si="1"/>
        <v>0.48344366599604865</v>
      </c>
    </row>
    <row r="22" spans="1:16" x14ac:dyDescent="0.25">
      <c r="A22" s="3">
        <v>10000</v>
      </c>
      <c r="B22" s="3">
        <v>-4.3780000000000002E-4</v>
      </c>
      <c r="C22" s="3">
        <v>6.9079999999999999E-4</v>
      </c>
      <c r="D22" s="3">
        <v>-4.08E-4</v>
      </c>
      <c r="E22" s="3">
        <v>0</v>
      </c>
      <c r="F22" s="3">
        <v>0</v>
      </c>
      <c r="G22" s="3">
        <v>0</v>
      </c>
      <c r="H22" s="3">
        <v>3.7311240000000002E-4</v>
      </c>
      <c r="I22" s="3">
        <v>9.4938605E-5</v>
      </c>
      <c r="J22" s="3">
        <v>-7.5648453000000003E-4</v>
      </c>
      <c r="L22" s="3">
        <f t="shared" si="0"/>
        <v>-1.0730392156862745</v>
      </c>
      <c r="M22" s="3"/>
      <c r="N22" s="2">
        <f>IF('Modell einstellen'!$B$1="Voll",H22/0.35,H22/0.35*2)</f>
        <v>1.0660354285714287E-3</v>
      </c>
      <c r="O22" s="2">
        <f>IF('Modell einstellen'!$B$1="Voll",J22/0.35,J22/0.35*2)</f>
        <v>-2.1613843714285716E-3</v>
      </c>
      <c r="P22" s="3">
        <f t="shared" si="1"/>
        <v>0.49321881043621607</v>
      </c>
    </row>
    <row r="23" spans="1:16" x14ac:dyDescent="0.25">
      <c r="A23" s="3">
        <v>100000</v>
      </c>
      <c r="B23" s="3">
        <v>-9.0779999999999995E-4</v>
      </c>
      <c r="C23" s="3">
        <v>8.9709999999999996E-4</v>
      </c>
      <c r="D23" s="3">
        <v>-1.473E-4</v>
      </c>
      <c r="E23" s="3">
        <v>0</v>
      </c>
      <c r="F23" s="3">
        <v>0</v>
      </c>
      <c r="G23" s="3">
        <v>0</v>
      </c>
      <c r="H23" s="3">
        <v>5.2578944999999997E-4</v>
      </c>
      <c r="I23" s="3">
        <v>1.3191381000000001E-4</v>
      </c>
      <c r="J23" s="3">
        <v>-1.0436381E-3</v>
      </c>
      <c r="L23" s="3">
        <f t="shared" si="0"/>
        <v>-6.1629327902240325</v>
      </c>
      <c r="M23" s="3"/>
      <c r="N23" s="2">
        <f>IF('Modell einstellen'!$B$1="Voll",H23/0.35,H23/0.35*2)</f>
        <v>1.5022555714285714E-3</v>
      </c>
      <c r="O23" s="2">
        <f>IF('Modell einstellen'!$B$1="Voll",J23/0.35,J23/0.35*2)</f>
        <v>-2.981823142857143E-3</v>
      </c>
      <c r="P23" s="3">
        <f t="shared" si="1"/>
        <v>0.50380438391430893</v>
      </c>
    </row>
    <row r="24" spans="1:16" x14ac:dyDescent="0.25">
      <c r="A24" s="3">
        <v>1000000</v>
      </c>
      <c r="B24" s="3">
        <v>-1.567E-3</v>
      </c>
      <c r="C24" s="3">
        <v>1.1479999999999999E-3</v>
      </c>
      <c r="D24" s="3">
        <v>2.5989999999999997E-4</v>
      </c>
      <c r="E24" s="3">
        <v>0</v>
      </c>
      <c r="F24" s="3">
        <v>0</v>
      </c>
      <c r="G24" s="3">
        <v>0</v>
      </c>
      <c r="H24" s="3">
        <v>7.2353084000000001E-4</v>
      </c>
      <c r="I24" s="3">
        <v>1.7882339999999999E-4</v>
      </c>
      <c r="J24" s="3">
        <v>-1.4117285000000001E-3</v>
      </c>
      <c r="L24" s="3">
        <f t="shared" si="0"/>
        <v>6.0292420161600626</v>
      </c>
      <c r="M24" s="3"/>
      <c r="N24" s="2">
        <f>IF('Modell einstellen'!$B$1="Voll",H24/0.35,H24/0.35*2)</f>
        <v>2.0672309714285715E-3</v>
      </c>
      <c r="O24" s="2">
        <f>IF('Modell einstellen'!$B$1="Voll",J24/0.35,J24/0.35*2)</f>
        <v>-4.0335100000000006E-3</v>
      </c>
      <c r="P24" s="3">
        <f t="shared" si="1"/>
        <v>0.51251415551928003</v>
      </c>
    </row>
    <row r="25" spans="1:16" x14ac:dyDescent="0.25">
      <c r="A25" s="3">
        <v>10000000</v>
      </c>
      <c r="B25" s="3">
        <v>-2.1259999999999999E-3</v>
      </c>
      <c r="C25" s="3">
        <v>1.3569999999999999E-3</v>
      </c>
      <c r="D25" s="3">
        <v>6.0829999999999999E-4</v>
      </c>
      <c r="E25" s="3">
        <v>0</v>
      </c>
      <c r="F25" s="3">
        <v>0</v>
      </c>
      <c r="G25" s="3">
        <v>0</v>
      </c>
      <c r="H25" s="3">
        <v>8.8416636999999996E-4</v>
      </c>
      <c r="I25" s="3">
        <v>2.1881772E-4</v>
      </c>
      <c r="J25" s="3">
        <v>-1.7172447E-3</v>
      </c>
      <c r="L25" s="3">
        <f t="shared" si="0"/>
        <v>3.494986026631596</v>
      </c>
      <c r="M25" s="3"/>
      <c r="N25" s="2">
        <f>IF('Modell einstellen'!$B$1="Voll",H25/0.35,H25/0.35*2)</f>
        <v>2.5261896285714287E-3</v>
      </c>
      <c r="O25" s="2">
        <f>IF('Modell einstellen'!$B$1="Voll",J25/0.35,J25/0.35*2)</f>
        <v>-4.9064134285714284E-3</v>
      </c>
      <c r="P25" s="3">
        <f t="shared" si="1"/>
        <v>0.5148750029625947</v>
      </c>
    </row>
    <row r="26" spans="1:16" x14ac:dyDescent="0.25">
      <c r="A26" s="3">
        <v>100000000</v>
      </c>
      <c r="B26" s="3">
        <v>-2.552E-3</v>
      </c>
      <c r="C26" s="3">
        <v>1.518E-3</v>
      </c>
      <c r="D26" s="3">
        <v>8.7230000000000001E-4</v>
      </c>
      <c r="E26" s="3">
        <v>0</v>
      </c>
      <c r="F26" s="3">
        <v>0</v>
      </c>
      <c r="G26" s="3">
        <v>0</v>
      </c>
      <c r="H26" s="3">
        <v>1.0046841000000001E-3</v>
      </c>
      <c r="I26" s="3">
        <v>2.4987426000000002E-4</v>
      </c>
      <c r="J26" s="3">
        <v>-1.950065E-3</v>
      </c>
      <c r="L26" s="3">
        <f t="shared" si="0"/>
        <v>2.9255989911727616</v>
      </c>
      <c r="M26" s="3"/>
      <c r="N26" s="2">
        <f>IF('Modell einstellen'!$B$1="Voll",H26/0.35,H26/0.35*2)</f>
        <v>2.8705260000000004E-3</v>
      </c>
      <c r="O26" s="2">
        <f>IF('Modell einstellen'!$B$1="Voll",J26/0.35,J26/0.35*2)</f>
        <v>-5.5716142857142863E-3</v>
      </c>
      <c r="P26" s="3">
        <f t="shared" si="1"/>
        <v>0.51520544186988637</v>
      </c>
    </row>
    <row r="27" spans="1:16" x14ac:dyDescent="0.25">
      <c r="A27" s="3">
        <v>1000000000</v>
      </c>
      <c r="B27" s="3">
        <v>-2.7759999999999998E-3</v>
      </c>
      <c r="C27" s="3">
        <v>1.611E-3</v>
      </c>
      <c r="D27" s="3">
        <v>1.0039999999999999E-3</v>
      </c>
      <c r="E27" s="3">
        <v>0</v>
      </c>
      <c r="F27" s="3">
        <v>0</v>
      </c>
      <c r="G27" s="3">
        <v>0</v>
      </c>
      <c r="H27" s="3">
        <v>1.0682655000000001E-3</v>
      </c>
      <c r="I27" s="3">
        <v>2.6783471999999999E-4</v>
      </c>
      <c r="J27" s="3">
        <v>-2.0785166000000001E-3</v>
      </c>
      <c r="L27" s="3">
        <f t="shared" si="0"/>
        <v>2.7649402390438249</v>
      </c>
      <c r="M27" s="3"/>
      <c r="N27" s="2">
        <f>IF('Modell einstellen'!$B$1="Voll",H27/0.35,H27/0.35*2)</f>
        <v>3.0521871428571433E-3</v>
      </c>
      <c r="O27" s="2">
        <f>IF('Modell einstellen'!$B$1="Voll",J27/0.35,J27/0.35*2)</f>
        <v>-5.9386188571428581E-3</v>
      </c>
      <c r="P27" s="3">
        <f t="shared" si="1"/>
        <v>0.5139557220760228</v>
      </c>
    </row>
    <row r="28" spans="1:16" x14ac:dyDescent="0.25">
      <c r="A28" s="3">
        <v>10000000000</v>
      </c>
      <c r="B28" s="3">
        <v>-2.967E-3</v>
      </c>
      <c r="C28" s="3">
        <v>1.686E-3</v>
      </c>
      <c r="D28" s="3">
        <v>1.1199999999999999E-3</v>
      </c>
      <c r="E28" s="3">
        <v>0</v>
      </c>
      <c r="F28" s="3">
        <v>0</v>
      </c>
      <c r="G28" s="3">
        <v>0</v>
      </c>
      <c r="H28" s="3">
        <v>1.1234081E-3</v>
      </c>
      <c r="I28" s="3">
        <v>2.8241192E-4</v>
      </c>
      <c r="J28" s="3">
        <v>-2.1862642999999999E-3</v>
      </c>
      <c r="L28" s="3">
        <f t="shared" si="0"/>
        <v>2.6491071428571433</v>
      </c>
      <c r="M28" s="3"/>
      <c r="N28" s="2">
        <f>IF('Modell einstellen'!$B$1="Voll",H28/0.35,H28/0.35*2)</f>
        <v>3.209737428571429E-3</v>
      </c>
      <c r="O28" s="2">
        <f>IF('Modell einstellen'!$B$1="Voll",J28/0.35,J28/0.35*2)</f>
        <v>-6.2464694285714285E-3</v>
      </c>
      <c r="P28" s="3">
        <f t="shared" si="1"/>
        <v>0.5138482570474211</v>
      </c>
    </row>
    <row r="29" spans="1:16" x14ac:dyDescent="0.25">
      <c r="A29" s="3">
        <v>100000000000</v>
      </c>
      <c r="B29" s="3">
        <v>-3.0569999999999998E-3</v>
      </c>
      <c r="C29" s="3">
        <v>1.694E-3</v>
      </c>
      <c r="D29" s="3">
        <v>1.2019999999999999E-3</v>
      </c>
      <c r="E29" s="3">
        <v>0</v>
      </c>
      <c r="F29" s="3">
        <v>0</v>
      </c>
      <c r="G29" s="3">
        <v>0</v>
      </c>
      <c r="H29" s="3">
        <v>1.1559795999999999E-3</v>
      </c>
      <c r="I29" s="3">
        <v>2.8422707000000001E-4</v>
      </c>
      <c r="J29" s="3">
        <v>-2.2253317999999999E-3</v>
      </c>
      <c r="L29" s="3">
        <f t="shared" si="0"/>
        <v>2.543261231281198</v>
      </c>
      <c r="M29" s="3"/>
      <c r="N29" s="2">
        <f>IF('Modell einstellen'!$B$1="Voll",H29/0.35,H29/0.35*2)</f>
        <v>3.3027988571428571E-3</v>
      </c>
      <c r="O29" s="2">
        <f>IF('Modell einstellen'!$B$1="Voll",J29/0.35,J29/0.35*2)</f>
        <v>-6.358090857142857E-3</v>
      </c>
      <c r="P29" s="3">
        <f t="shared" si="1"/>
        <v>0.51946392892960958</v>
      </c>
    </row>
    <row r="30" spans="1:16" x14ac:dyDescent="0.25">
      <c r="A30" s="3">
        <v>1000000000000</v>
      </c>
      <c r="B30" s="3">
        <v>-3.192E-3</v>
      </c>
      <c r="C30" s="3">
        <v>1.7719999999999999E-3</v>
      </c>
      <c r="D30" s="3">
        <v>1.258E-3</v>
      </c>
      <c r="E30" s="3">
        <v>0</v>
      </c>
      <c r="F30" s="3">
        <v>0</v>
      </c>
      <c r="G30" s="3">
        <v>0</v>
      </c>
      <c r="H30" s="3">
        <v>1.1889868E-3</v>
      </c>
      <c r="I30" s="3">
        <v>2.9928925999999999E-4</v>
      </c>
      <c r="J30" s="3">
        <v>-2.3126840000000002E-3</v>
      </c>
      <c r="L30" s="3">
        <f t="shared" si="0"/>
        <v>2.5373608903020668</v>
      </c>
      <c r="M30" s="3"/>
      <c r="N30" s="2">
        <f>IF('Modell einstellen'!$B$1="Voll",H30/0.35,H30/0.35*2)</f>
        <v>3.3971051428571429E-3</v>
      </c>
      <c r="O30" s="2">
        <f>IF('Modell einstellen'!$B$1="Voll",J30/0.35,J30/0.35*2)</f>
        <v>-6.6076685714285726E-3</v>
      </c>
      <c r="P30" s="3">
        <f t="shared" si="1"/>
        <v>0.5141155471305201</v>
      </c>
    </row>
    <row r="31" spans="1:16" x14ac:dyDescent="0.25">
      <c r="A31" s="3">
        <v>10000000000000</v>
      </c>
      <c r="B31" s="3">
        <v>-3.3730000000000001E-3</v>
      </c>
      <c r="C31" s="3">
        <v>1.836E-3</v>
      </c>
      <c r="D31" s="3">
        <v>1.3760000000000001E-3</v>
      </c>
      <c r="E31" s="3">
        <v>0</v>
      </c>
      <c r="F31" s="3">
        <v>0</v>
      </c>
      <c r="G31" s="3">
        <v>0</v>
      </c>
      <c r="H31" s="3">
        <v>1.2423511999999999E-3</v>
      </c>
      <c r="I31" s="3">
        <v>3.1186852000000001E-4</v>
      </c>
      <c r="J31" s="3">
        <v>-2.4113423E-3</v>
      </c>
      <c r="L31" s="3">
        <f t="shared" si="0"/>
        <v>2.4513081395348837</v>
      </c>
      <c r="M31" s="3"/>
      <c r="N31" s="2">
        <f>IF('Modell einstellen'!$B$1="Voll",H31/0.35,H31/0.35*2)</f>
        <v>3.5495748571428569E-3</v>
      </c>
      <c r="O31" s="2">
        <f>IF('Modell einstellen'!$B$1="Voll",J31/0.35,J31/0.35*2)</f>
        <v>-6.8895494285714292E-3</v>
      </c>
      <c r="P31" s="3">
        <f t="shared" si="1"/>
        <v>0.51521146541492668</v>
      </c>
    </row>
    <row r="32" spans="1:16" x14ac:dyDescent="0.25">
      <c r="A32" s="3">
        <v>100000000000000</v>
      </c>
      <c r="B32" s="3">
        <v>-3.4039999999999999E-3</v>
      </c>
      <c r="C32" s="3">
        <v>1.8400000000000001E-3</v>
      </c>
      <c r="D32" s="3">
        <v>1.403E-3</v>
      </c>
      <c r="E32" s="3">
        <v>0</v>
      </c>
      <c r="F32" s="3">
        <v>0</v>
      </c>
      <c r="G32" s="3">
        <v>0</v>
      </c>
      <c r="H32" s="3">
        <v>1.2533123E-3</v>
      </c>
      <c r="I32" s="3">
        <v>3.1282346E-4</v>
      </c>
      <c r="J32" s="3">
        <v>-2.4257110000000001E-3</v>
      </c>
      <c r="L32" s="3">
        <f t="shared" si="0"/>
        <v>2.4262295081967213</v>
      </c>
      <c r="M32" s="3"/>
      <c r="N32" s="2">
        <f>IF('Modell einstellen'!$B$1="Voll",H32/0.35,H32/0.35*2)</f>
        <v>3.580892285714286E-3</v>
      </c>
      <c r="O32" s="2">
        <f>IF('Modell einstellen'!$B$1="Voll",J32/0.35,J32/0.35*2)</f>
        <v>-6.9306028571428577E-3</v>
      </c>
      <c r="P32" s="3">
        <f t="shared" si="1"/>
        <v>0.51667832647829848</v>
      </c>
    </row>
    <row r="33" spans="1:16" x14ac:dyDescent="0.25">
      <c r="A33" s="3">
        <v>1000000000000000</v>
      </c>
      <c r="B33" s="3">
        <v>-3.4060000000000002E-3</v>
      </c>
      <c r="C33" s="3">
        <v>1.843E-3</v>
      </c>
      <c r="D33" s="3">
        <v>1.402E-3</v>
      </c>
      <c r="E33" s="3">
        <v>0</v>
      </c>
      <c r="F33" s="3">
        <v>0</v>
      </c>
      <c r="G33" s="3">
        <v>0</v>
      </c>
      <c r="H33" s="3">
        <v>1.2532718000000001E-3</v>
      </c>
      <c r="I33" s="3">
        <v>3.1331966000000002E-4</v>
      </c>
      <c r="J33" s="3">
        <v>-2.4274638999999998E-3</v>
      </c>
      <c r="L33" s="3">
        <f t="shared" si="0"/>
        <v>2.4293865905848788</v>
      </c>
      <c r="M33" s="3"/>
      <c r="N33" s="2">
        <f>IF('Modell einstellen'!$B$1="Voll",H33/0.35,H33/0.35*2)</f>
        <v>3.5807765714285719E-3</v>
      </c>
      <c r="O33" s="2">
        <f>IF('Modell einstellen'!$B$1="Voll",J33/0.35,J33/0.35*2)</f>
        <v>-6.9356111428571432E-3</v>
      </c>
      <c r="P33" s="3">
        <f t="shared" si="1"/>
        <v>0.5162885429521733</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1.103E-4</v>
      </c>
      <c r="C3" s="3">
        <v>1.595E-4</v>
      </c>
      <c r="D3" s="3">
        <v>-4.0099999999999999E-4</v>
      </c>
      <c r="E3" s="3">
        <v>0</v>
      </c>
      <c r="F3" s="3">
        <v>0</v>
      </c>
      <c r="G3" s="3">
        <v>0</v>
      </c>
      <c r="H3" s="3">
        <v>6.2444491000000004E-5</v>
      </c>
      <c r="I3" s="3">
        <v>1.6326941999999999E-5</v>
      </c>
      <c r="J3" s="3">
        <v>-1.5949523000000001E-4</v>
      </c>
      <c r="L3" s="3">
        <f>-B3/D3</f>
        <v>0.27506234413965086</v>
      </c>
      <c r="M3" s="3"/>
      <c r="N3" s="2">
        <f>IF('Modell einstellen'!$B$1="Voll",H3/0.35,H3/0.35*2)</f>
        <v>1.7841283142857144E-4</v>
      </c>
      <c r="O3" s="2">
        <f>IF('Modell einstellen'!$B$1="Voll",J3/0.35,J3/0.35*2)</f>
        <v>-4.5570065714285718E-4</v>
      </c>
      <c r="P3" s="3">
        <f>-N3/O3</f>
        <v>0.39151321954894824</v>
      </c>
    </row>
    <row r="4" spans="1:16" x14ac:dyDescent="0.25">
      <c r="A4" s="3">
        <v>1E-14</v>
      </c>
      <c r="B4" s="3">
        <v>1.114E-4</v>
      </c>
      <c r="C4" s="3">
        <v>1.6689999999999999E-4</v>
      </c>
      <c r="D4" s="3">
        <v>-4.1060000000000001E-4</v>
      </c>
      <c r="E4" s="3">
        <v>0</v>
      </c>
      <c r="F4" s="3">
        <v>0</v>
      </c>
      <c r="G4" s="3">
        <v>0</v>
      </c>
      <c r="H4" s="3">
        <v>6.6046517000000005E-5</v>
      </c>
      <c r="I4" s="3">
        <v>1.7168305999999999E-5</v>
      </c>
      <c r="J4" s="3">
        <v>-1.6625831999999999E-4</v>
      </c>
      <c r="L4" s="3">
        <f t="shared" ref="L4:L33" si="0">-B4/D4</f>
        <v>0.2713102776424744</v>
      </c>
      <c r="M4" s="3"/>
      <c r="N4" s="2">
        <f>IF('Modell einstellen'!$B$1="Voll",H4/0.35,H4/0.35*2)</f>
        <v>1.887043342857143E-4</v>
      </c>
      <c r="O4" s="2">
        <f>IF('Modell einstellen'!$B$1="Voll",J4/0.35,J4/0.35*2)</f>
        <v>-4.7502377142857145E-4</v>
      </c>
      <c r="P4" s="3">
        <f t="shared" ref="P4:P33" si="1">-N4/O4</f>
        <v>0.39725240216549768</v>
      </c>
    </row>
    <row r="5" spans="1:16" x14ac:dyDescent="0.25">
      <c r="A5" s="3">
        <v>1E-13</v>
      </c>
      <c r="B5" s="3">
        <v>1.12E-4</v>
      </c>
      <c r="C5" s="3">
        <v>1.7459999999999999E-4</v>
      </c>
      <c r="D5" s="3">
        <v>-4.2000000000000002E-4</v>
      </c>
      <c r="E5" s="3">
        <v>0</v>
      </c>
      <c r="F5" s="3">
        <v>0</v>
      </c>
      <c r="G5" s="3">
        <v>0</v>
      </c>
      <c r="H5" s="3">
        <v>6.9909023999999997E-5</v>
      </c>
      <c r="I5" s="3">
        <v>1.8051369E-5</v>
      </c>
      <c r="J5" s="3">
        <v>-1.7344259E-4</v>
      </c>
      <c r="L5" s="3">
        <f t="shared" si="0"/>
        <v>0.26666666666666666</v>
      </c>
      <c r="M5" s="3"/>
      <c r="N5" s="2">
        <f>IF('Modell einstellen'!$B$1="Voll",H5/0.35,H5/0.35*2)</f>
        <v>1.9974006857142857E-4</v>
      </c>
      <c r="O5" s="2">
        <f>IF('Modell einstellen'!$B$1="Voll",J5/0.35,J5/0.35*2)</f>
        <v>-4.9555025714285712E-4</v>
      </c>
      <c r="P5" s="3">
        <f t="shared" si="1"/>
        <v>0.40306722818195923</v>
      </c>
    </row>
    <row r="6" spans="1:16" x14ac:dyDescent="0.25">
      <c r="A6" s="3">
        <v>9.9999999999999998E-13</v>
      </c>
      <c r="B6" s="3">
        <v>1.12E-4</v>
      </c>
      <c r="C6" s="3">
        <v>1.8369999999999999E-4</v>
      </c>
      <c r="D6" s="3">
        <v>-4.305E-4</v>
      </c>
      <c r="E6" s="3">
        <v>0</v>
      </c>
      <c r="F6" s="3">
        <v>0</v>
      </c>
      <c r="G6" s="3">
        <v>0</v>
      </c>
      <c r="H6" s="3">
        <v>7.4676175000000007E-5</v>
      </c>
      <c r="I6" s="3">
        <v>1.9114200000000001E-5</v>
      </c>
      <c r="J6" s="3">
        <v>-1.8220595000000001E-4</v>
      </c>
      <c r="L6" s="3">
        <f t="shared" si="0"/>
        <v>0.26016260162601623</v>
      </c>
      <c r="M6" s="3"/>
      <c r="N6" s="2">
        <f>IF('Modell einstellen'!$B$1="Voll",H6/0.35,H6/0.35*2)</f>
        <v>2.1336050000000004E-4</v>
      </c>
      <c r="O6" s="2">
        <f>IF('Modell einstellen'!$B$1="Voll",J6/0.35,J6/0.35*2)</f>
        <v>-5.2058842857142867E-4</v>
      </c>
      <c r="P6" s="3">
        <f t="shared" si="1"/>
        <v>0.4098448760866481</v>
      </c>
    </row>
    <row r="7" spans="1:16" x14ac:dyDescent="0.25">
      <c r="A7" s="3">
        <v>9.9999999999999994E-12</v>
      </c>
      <c r="B7" s="3">
        <v>1.111E-4</v>
      </c>
      <c r="C7" s="3">
        <v>1.93E-4</v>
      </c>
      <c r="D7" s="3">
        <v>-4.4030000000000002E-4</v>
      </c>
      <c r="E7" s="3">
        <v>0</v>
      </c>
      <c r="F7" s="3">
        <v>0</v>
      </c>
      <c r="G7" s="3">
        <v>0</v>
      </c>
      <c r="H7" s="3">
        <v>7.9778361000000002E-5</v>
      </c>
      <c r="I7" s="3">
        <v>2.0217951000000001E-5</v>
      </c>
      <c r="J7" s="3">
        <v>-1.9145651999999999E-4</v>
      </c>
      <c r="L7" s="3">
        <f t="shared" si="0"/>
        <v>0.25232795821031112</v>
      </c>
      <c r="M7" s="3"/>
      <c r="N7" s="2">
        <f>IF('Modell einstellen'!$B$1="Voll",H7/0.35,H7/0.35*2)</f>
        <v>2.2793817428571432E-4</v>
      </c>
      <c r="O7" s="2">
        <f>IF('Modell einstellen'!$B$1="Voll",J7/0.35,J7/0.35*2)</f>
        <v>-5.4701862857142855E-4</v>
      </c>
      <c r="P7" s="3">
        <f t="shared" si="1"/>
        <v>0.41669179508746956</v>
      </c>
    </row>
    <row r="8" spans="1:16" x14ac:dyDescent="0.25">
      <c r="A8" s="3">
        <v>1E-10</v>
      </c>
      <c r="B8" s="3">
        <v>1.0950000000000001E-4</v>
      </c>
      <c r="C8" s="3">
        <v>2.009E-4</v>
      </c>
      <c r="D8" s="3">
        <v>-4.4779999999999999E-4</v>
      </c>
      <c r="E8" s="3">
        <v>0</v>
      </c>
      <c r="F8" s="3">
        <v>0</v>
      </c>
      <c r="G8" s="3">
        <v>0</v>
      </c>
      <c r="H8" s="3">
        <v>8.4287397000000001E-5</v>
      </c>
      <c r="I8" s="3">
        <v>2.1164523999999999E-5</v>
      </c>
      <c r="J8" s="3">
        <v>-1.9952225E-4</v>
      </c>
      <c r="L8" s="3">
        <f t="shared" si="0"/>
        <v>0.24452880750334974</v>
      </c>
      <c r="M8" s="3"/>
      <c r="N8" s="2">
        <f>IF('Modell einstellen'!$B$1="Voll",H8/0.35,H8/0.35*2)</f>
        <v>2.4082113428571431E-4</v>
      </c>
      <c r="O8" s="2">
        <f>IF('Modell einstellen'!$B$1="Voll",J8/0.35,J8/0.35*2)</f>
        <v>-5.7006357142857145E-4</v>
      </c>
      <c r="P8" s="3">
        <f t="shared" si="1"/>
        <v>0.42244610312884906</v>
      </c>
    </row>
    <row r="9" spans="1:16" x14ac:dyDescent="0.25">
      <c r="A9" s="3">
        <v>1.0000000000000001E-9</v>
      </c>
      <c r="B9" s="3">
        <v>1.072E-4</v>
      </c>
      <c r="C9" s="3">
        <v>2.0929999999999999E-4</v>
      </c>
      <c r="D9" s="3">
        <v>-4.55E-4</v>
      </c>
      <c r="E9" s="3">
        <v>0</v>
      </c>
      <c r="F9" s="3">
        <v>0</v>
      </c>
      <c r="G9" s="3">
        <v>0</v>
      </c>
      <c r="H9" s="3">
        <v>8.9255874000000003E-5</v>
      </c>
      <c r="I9" s="3">
        <v>2.2180876000000001E-5</v>
      </c>
      <c r="J9" s="3">
        <v>-2.0830976999999999E-4</v>
      </c>
      <c r="L9" s="3">
        <f t="shared" si="0"/>
        <v>0.23560439560439561</v>
      </c>
      <c r="M9" s="3"/>
      <c r="N9" s="2">
        <f>IF('Modell einstellen'!$B$1="Voll",H9/0.35,H9/0.35*2)</f>
        <v>2.5501678285714288E-4</v>
      </c>
      <c r="O9" s="2">
        <f>IF('Modell einstellen'!$B$1="Voll",J9/0.35,J9/0.35*2)</f>
        <v>-5.9517077142857142E-4</v>
      </c>
      <c r="P9" s="3">
        <f t="shared" si="1"/>
        <v>0.42847665762388393</v>
      </c>
    </row>
    <row r="10" spans="1:16" x14ac:dyDescent="0.25">
      <c r="A10" s="3">
        <v>1E-8</v>
      </c>
      <c r="B10" s="3">
        <v>1.0399999999999999E-4</v>
      </c>
      <c r="C10" s="3">
        <v>2.1770000000000001E-4</v>
      </c>
      <c r="D10" s="3">
        <v>-4.615E-4</v>
      </c>
      <c r="E10" s="3">
        <v>0</v>
      </c>
      <c r="F10" s="3">
        <v>0</v>
      </c>
      <c r="G10" s="3">
        <v>0</v>
      </c>
      <c r="H10" s="3">
        <v>9.4506358999999995E-5</v>
      </c>
      <c r="I10" s="3">
        <v>2.3222131000000001E-5</v>
      </c>
      <c r="J10" s="3">
        <v>-2.1747271999999999E-4</v>
      </c>
      <c r="L10" s="3">
        <f t="shared" si="0"/>
        <v>0.22535211267605632</v>
      </c>
      <c r="M10" s="3"/>
      <c r="N10" s="2">
        <f>IF('Modell einstellen'!$B$1="Voll",H10/0.35,H10/0.35*2)</f>
        <v>2.7001816857142859E-4</v>
      </c>
      <c r="O10" s="2">
        <f>IF('Modell einstellen'!$B$1="Voll",J10/0.35,J10/0.35*2)</f>
        <v>-6.2135062857142864E-4</v>
      </c>
      <c r="P10" s="3">
        <f t="shared" si="1"/>
        <v>0.43456650103056604</v>
      </c>
    </row>
    <row r="11" spans="1:16" x14ac:dyDescent="0.25">
      <c r="A11" s="3">
        <v>9.9999999999999995E-8</v>
      </c>
      <c r="B11" s="3">
        <v>9.9469999999999995E-5</v>
      </c>
      <c r="C11" s="3">
        <v>2.2709999999999999E-4</v>
      </c>
      <c r="D11" s="3">
        <v>-4.6769999999999998E-4</v>
      </c>
      <c r="E11" s="3">
        <v>0</v>
      </c>
      <c r="F11" s="3">
        <v>0</v>
      </c>
      <c r="G11" s="3">
        <v>0</v>
      </c>
      <c r="H11" s="3">
        <v>1.0066229E-4</v>
      </c>
      <c r="I11" s="3">
        <v>2.4403290999999999E-5</v>
      </c>
      <c r="J11" s="3">
        <v>-2.2806709999999999E-4</v>
      </c>
      <c r="L11" s="3">
        <f t="shared" si="0"/>
        <v>0.21267906777849049</v>
      </c>
      <c r="M11" s="3"/>
      <c r="N11" s="2">
        <f>IF('Modell einstellen'!$B$1="Voll",H11/0.35,H11/0.35*2)</f>
        <v>2.8760654285714285E-4</v>
      </c>
      <c r="O11" s="2">
        <f>IF('Modell einstellen'!$B$1="Voll",J11/0.35,J11/0.35*2)</f>
        <v>-6.5162028571428578E-4</v>
      </c>
      <c r="P11" s="3">
        <f t="shared" si="1"/>
        <v>0.44137137710787738</v>
      </c>
    </row>
    <row r="12" spans="1:16" x14ac:dyDescent="0.25">
      <c r="A12" s="3">
        <v>9.9999999999999995E-7</v>
      </c>
      <c r="B12" s="3">
        <v>9.3839999999999996E-5</v>
      </c>
      <c r="C12" s="3">
        <v>2.363E-4</v>
      </c>
      <c r="D12" s="3">
        <v>-4.7249999999999999E-4</v>
      </c>
      <c r="E12" s="3">
        <v>0</v>
      </c>
      <c r="F12" s="3">
        <v>0</v>
      </c>
      <c r="G12" s="3">
        <v>0</v>
      </c>
      <c r="H12" s="3">
        <v>1.0698536E-4</v>
      </c>
      <c r="I12" s="3">
        <v>2.5570647000000001E-5</v>
      </c>
      <c r="J12" s="3">
        <v>-2.3877685E-4</v>
      </c>
      <c r="L12" s="3">
        <f t="shared" si="0"/>
        <v>0.19860317460317459</v>
      </c>
      <c r="M12" s="3"/>
      <c r="N12" s="2">
        <f>IF('Modell einstellen'!$B$1="Voll",H12/0.35,H12/0.35*2)</f>
        <v>3.056724571428572E-4</v>
      </c>
      <c r="O12" s="2">
        <f>IF('Modell einstellen'!$B$1="Voll",J12/0.35,J12/0.35*2)</f>
        <v>-6.8221957142857142E-4</v>
      </c>
      <c r="P12" s="3">
        <f t="shared" si="1"/>
        <v>0.4480558312080925</v>
      </c>
    </row>
    <row r="13" spans="1:16" x14ac:dyDescent="0.25">
      <c r="A13" s="3">
        <v>1.0000000000000001E-5</v>
      </c>
      <c r="B13" s="3">
        <v>8.4580000000000007E-5</v>
      </c>
      <c r="C13" s="3">
        <v>2.4850000000000002E-4</v>
      </c>
      <c r="D13" s="3">
        <v>-4.773E-4</v>
      </c>
      <c r="E13" s="3">
        <v>0</v>
      </c>
      <c r="F13" s="3">
        <v>0</v>
      </c>
      <c r="G13" s="3">
        <v>0</v>
      </c>
      <c r="H13" s="3">
        <v>1.1596888000000001E-4</v>
      </c>
      <c r="I13" s="3">
        <v>2.7162527999999999E-5</v>
      </c>
      <c r="J13" s="3">
        <v>-2.5374354000000002E-4</v>
      </c>
      <c r="L13" s="3">
        <f t="shared" si="0"/>
        <v>0.17720511208883302</v>
      </c>
      <c r="M13" s="3"/>
      <c r="N13" s="2">
        <f>IF('Modell einstellen'!$B$1="Voll",H13/0.35,H13/0.35*2)</f>
        <v>3.3133965714285716E-4</v>
      </c>
      <c r="O13" s="2">
        <f>IF('Modell einstellen'!$B$1="Voll",J13/0.35,J13/0.35*2)</f>
        <v>-7.24981542857143E-4</v>
      </c>
      <c r="P13" s="3">
        <f t="shared" si="1"/>
        <v>0.45703185192419077</v>
      </c>
    </row>
    <row r="14" spans="1:16" x14ac:dyDescent="0.25">
      <c r="A14" s="3">
        <v>1E-4</v>
      </c>
      <c r="B14" s="3">
        <v>7.1359999999999994E-5</v>
      </c>
      <c r="C14" s="3">
        <v>2.6219999999999998E-4</v>
      </c>
      <c r="D14" s="3">
        <v>-4.797E-4</v>
      </c>
      <c r="E14" s="3">
        <v>0</v>
      </c>
      <c r="F14" s="3">
        <v>0</v>
      </c>
      <c r="G14" s="3">
        <v>0</v>
      </c>
      <c r="H14" s="3">
        <v>1.2684615000000001E-4</v>
      </c>
      <c r="I14" s="3">
        <v>2.8977692E-5</v>
      </c>
      <c r="J14" s="3">
        <v>-2.7144393999999999E-4</v>
      </c>
      <c r="L14" s="3">
        <f t="shared" si="0"/>
        <v>0.14875964144256826</v>
      </c>
      <c r="M14" s="3"/>
      <c r="N14" s="2">
        <f>IF('Modell einstellen'!$B$1="Voll",H14/0.35,H14/0.35*2)</f>
        <v>3.6241757142857148E-4</v>
      </c>
      <c r="O14" s="2">
        <f>IF('Modell einstellen'!$B$1="Voll",J14/0.35,J14/0.35*2)</f>
        <v>-7.7555411428571427E-4</v>
      </c>
      <c r="P14" s="3">
        <f t="shared" si="1"/>
        <v>0.46730146195195965</v>
      </c>
    </row>
    <row r="15" spans="1:16" x14ac:dyDescent="0.25">
      <c r="A15" s="3">
        <v>1E-3</v>
      </c>
      <c r="B15" s="3">
        <v>5.0529999999999999E-5</v>
      </c>
      <c r="C15" s="3">
        <v>2.7920000000000001E-4</v>
      </c>
      <c r="D15" s="3">
        <v>-4.7830000000000003E-4</v>
      </c>
      <c r="E15" s="3">
        <v>0</v>
      </c>
      <c r="F15" s="3">
        <v>0</v>
      </c>
      <c r="G15" s="3">
        <v>0</v>
      </c>
      <c r="H15" s="3">
        <v>1.4174869999999999E-4</v>
      </c>
      <c r="I15" s="3">
        <v>3.1301823999999998E-5</v>
      </c>
      <c r="J15" s="3">
        <v>-2.9508223000000001E-4</v>
      </c>
      <c r="L15" s="3">
        <f t="shared" si="0"/>
        <v>0.10564499268241688</v>
      </c>
      <c r="M15" s="3"/>
      <c r="N15" s="2">
        <f>IF('Modell einstellen'!$B$1="Voll",H15/0.35,H15/0.35*2)</f>
        <v>4.049962857142857E-4</v>
      </c>
      <c r="O15" s="2">
        <f>IF('Modell einstellen'!$B$1="Voll",J15/0.35,J15/0.35*2)</f>
        <v>-8.4309208571428575E-4</v>
      </c>
      <c r="P15" s="3">
        <f t="shared" si="1"/>
        <v>0.48037016664812376</v>
      </c>
    </row>
    <row r="16" spans="1:16" x14ac:dyDescent="0.25">
      <c r="A16" s="3">
        <v>0.01</v>
      </c>
      <c r="B16" s="3">
        <v>1.7790000000000001E-5</v>
      </c>
      <c r="C16" s="3">
        <v>3.0049999999999999E-4</v>
      </c>
      <c r="D16" s="3">
        <v>-4.6979999999999998E-4</v>
      </c>
      <c r="E16" s="3">
        <v>0</v>
      </c>
      <c r="F16" s="3">
        <v>0</v>
      </c>
      <c r="G16" s="3">
        <v>0</v>
      </c>
      <c r="H16" s="3">
        <v>1.6233824000000001E-4</v>
      </c>
      <c r="I16" s="3">
        <v>3.4326708E-5</v>
      </c>
      <c r="J16" s="3">
        <v>-3.2700344E-4</v>
      </c>
      <c r="L16" s="3">
        <f t="shared" si="0"/>
        <v>3.7867177522349936E-2</v>
      </c>
      <c r="M16" s="3"/>
      <c r="N16" s="2">
        <f>IF('Modell einstellen'!$B$1="Voll",H16/0.35,H16/0.35*2)</f>
        <v>4.638235428571429E-4</v>
      </c>
      <c r="O16" s="2">
        <f>IF('Modell einstellen'!$B$1="Voll",J16/0.35,J16/0.35*2)</f>
        <v>-9.3429554285714294E-4</v>
      </c>
      <c r="P16" s="3">
        <f t="shared" si="1"/>
        <v>0.49644199461632577</v>
      </c>
    </row>
    <row r="17" spans="1:16" x14ac:dyDescent="0.25">
      <c r="A17" s="3">
        <v>0.1</v>
      </c>
      <c r="B17" s="3">
        <v>-3.7110000000000002E-5</v>
      </c>
      <c r="C17" s="3">
        <v>3.3710000000000001E-4</v>
      </c>
      <c r="D17" s="3">
        <v>-4.5429999999999998E-4</v>
      </c>
      <c r="E17" s="3">
        <v>0</v>
      </c>
      <c r="F17" s="3">
        <v>0</v>
      </c>
      <c r="G17" s="3">
        <v>0</v>
      </c>
      <c r="H17" s="3">
        <v>1.9394641E-4</v>
      </c>
      <c r="I17" s="3">
        <v>3.9612917000000001E-5</v>
      </c>
      <c r="J17" s="3">
        <v>-3.7803716999999998E-4</v>
      </c>
      <c r="L17" s="3">
        <f t="shared" si="0"/>
        <v>-8.1686110499669826E-2</v>
      </c>
      <c r="M17" s="3"/>
      <c r="N17" s="2">
        <f>IF('Modell einstellen'!$B$1="Voll",H17/0.35,H17/0.35*2)</f>
        <v>5.5413260000000003E-4</v>
      </c>
      <c r="O17" s="2">
        <f>IF('Modell einstellen'!$B$1="Voll",J17/0.35,J17/0.35*2)</f>
        <v>-1.0801062E-3</v>
      </c>
      <c r="P17" s="3">
        <f t="shared" si="1"/>
        <v>0.51303529227033418</v>
      </c>
    </row>
    <row r="18" spans="1:16" x14ac:dyDescent="0.25">
      <c r="A18" s="3">
        <v>1</v>
      </c>
      <c r="B18" s="3">
        <v>-1.3119999999999999E-4</v>
      </c>
      <c r="C18" s="3">
        <v>4.1149999999999997E-4</v>
      </c>
      <c r="D18" s="3">
        <v>-4.3619999999999998E-4</v>
      </c>
      <c r="E18" s="3">
        <v>0</v>
      </c>
      <c r="F18" s="3">
        <v>0</v>
      </c>
      <c r="G18" s="3">
        <v>0</v>
      </c>
      <c r="H18" s="3">
        <v>2.4246074E-4</v>
      </c>
      <c r="I18" s="3">
        <v>5.0586617000000001E-5</v>
      </c>
      <c r="J18" s="3">
        <v>-4.6617001999999999E-4</v>
      </c>
      <c r="L18" s="3">
        <f t="shared" si="0"/>
        <v>-0.30077945896377806</v>
      </c>
      <c r="M18" s="3"/>
      <c r="N18" s="2">
        <f>IF('Modell einstellen'!$B$1="Voll",H18/0.35,H18/0.35*2)</f>
        <v>6.927449714285715E-4</v>
      </c>
      <c r="O18" s="2">
        <f>IF('Modell einstellen'!$B$1="Voll",J18/0.35,J18/0.35*2)</f>
        <v>-1.3319143428571429E-3</v>
      </c>
      <c r="P18" s="3">
        <f t="shared" si="1"/>
        <v>0.52011225432300434</v>
      </c>
    </row>
    <row r="19" spans="1:16" x14ac:dyDescent="0.25">
      <c r="A19" s="3">
        <v>10</v>
      </c>
      <c r="B19" s="3">
        <v>-3.3300000000000002E-4</v>
      </c>
      <c r="C19" s="3">
        <v>5.3910000000000004E-4</v>
      </c>
      <c r="D19" s="3">
        <v>-3.6380000000000001E-4</v>
      </c>
      <c r="E19" s="3">
        <v>0</v>
      </c>
      <c r="F19" s="3">
        <v>0</v>
      </c>
      <c r="G19" s="3">
        <v>0</v>
      </c>
      <c r="H19" s="3">
        <v>3.2665187000000001E-4</v>
      </c>
      <c r="I19" s="3">
        <v>7.0681114000000002E-5</v>
      </c>
      <c r="J19" s="3">
        <v>-6.2299014999999997E-4</v>
      </c>
      <c r="L19" s="3">
        <f t="shared" si="0"/>
        <v>-0.91533809785596487</v>
      </c>
      <c r="M19" s="3"/>
      <c r="N19" s="2">
        <f>IF('Modell einstellen'!$B$1="Voll",H19/0.35,H19/0.35*2)</f>
        <v>9.3329105714285722E-4</v>
      </c>
      <c r="O19" s="2">
        <f>IF('Modell einstellen'!$B$1="Voll",J19/0.35,J19/0.35*2)</f>
        <v>-1.7799718571428571E-3</v>
      </c>
      <c r="P19" s="3">
        <f t="shared" si="1"/>
        <v>0.52432910857418857</v>
      </c>
    </row>
    <row r="20" spans="1:16" x14ac:dyDescent="0.25">
      <c r="A20" s="3">
        <v>100</v>
      </c>
      <c r="B20" s="3">
        <v>-7.0129999999999997E-4</v>
      </c>
      <c r="C20" s="3">
        <v>7.1650000000000001E-4</v>
      </c>
      <c r="D20" s="3">
        <v>-1.749E-4</v>
      </c>
      <c r="E20" s="3">
        <v>0</v>
      </c>
      <c r="F20" s="3">
        <v>0</v>
      </c>
      <c r="G20" s="3">
        <v>0</v>
      </c>
      <c r="H20" s="3">
        <v>4.5564565999999998E-4</v>
      </c>
      <c r="I20" s="3">
        <v>1.0085202E-4</v>
      </c>
      <c r="J20" s="3">
        <v>-8.6135808000000001E-4</v>
      </c>
      <c r="L20" s="3">
        <f t="shared" si="0"/>
        <v>-4.0097198399085192</v>
      </c>
      <c r="M20" s="3"/>
      <c r="N20" s="2">
        <f>IF('Modell einstellen'!$B$1="Voll",H20/0.35,H20/0.35*2)</f>
        <v>1.3018447428571429E-3</v>
      </c>
      <c r="O20" s="2">
        <f>IF('Modell einstellen'!$B$1="Voll",J20/0.35,J20/0.35*2)</f>
        <v>-2.461023085714286E-3</v>
      </c>
      <c r="P20" s="3">
        <f t="shared" si="1"/>
        <v>0.52898518116878868</v>
      </c>
    </row>
    <row r="21" spans="1:16" x14ac:dyDescent="0.25">
      <c r="A21" s="3">
        <v>1000</v>
      </c>
      <c r="B21" s="3">
        <v>-1.294E-3</v>
      </c>
      <c r="C21" s="3">
        <v>9.5149999999999998E-4</v>
      </c>
      <c r="D21" s="3">
        <v>1.8039999999999999E-4</v>
      </c>
      <c r="E21" s="3">
        <v>0</v>
      </c>
      <c r="F21" s="3">
        <v>0</v>
      </c>
      <c r="G21" s="3">
        <v>0</v>
      </c>
      <c r="H21" s="3">
        <v>6.4216841999999998E-4</v>
      </c>
      <c r="I21" s="3">
        <v>1.4339718000000001E-4</v>
      </c>
      <c r="J21" s="3">
        <v>-1.2021969999999999E-3</v>
      </c>
      <c r="L21" s="3">
        <f t="shared" si="0"/>
        <v>7.1729490022172948</v>
      </c>
      <c r="M21" s="3"/>
      <c r="N21" s="2">
        <f>IF('Modell einstellen'!$B$1="Voll",H21/0.35,H21/0.35*2)</f>
        <v>1.8347669142857145E-3</v>
      </c>
      <c r="O21" s="2">
        <f>IF('Modell einstellen'!$B$1="Voll",J21/0.35,J21/0.35*2)</f>
        <v>-3.4348485714285715E-3</v>
      </c>
      <c r="P21" s="3">
        <f t="shared" si="1"/>
        <v>0.53416238769519475</v>
      </c>
    </row>
    <row r="22" spans="1:16" x14ac:dyDescent="0.25">
      <c r="A22" s="3">
        <v>10000</v>
      </c>
      <c r="B22" s="3">
        <v>-1.9139999999999999E-3</v>
      </c>
      <c r="C22" s="3">
        <v>1.1900000000000001E-3</v>
      </c>
      <c r="D22" s="3">
        <v>5.6130000000000004E-4</v>
      </c>
      <c r="E22" s="3">
        <v>0</v>
      </c>
      <c r="F22" s="3">
        <v>0</v>
      </c>
      <c r="G22" s="3">
        <v>0</v>
      </c>
      <c r="H22" s="3">
        <v>8.2254291000000005E-4</v>
      </c>
      <c r="I22" s="3">
        <v>1.8804573E-4</v>
      </c>
      <c r="J22" s="3">
        <v>-1.5442574E-3</v>
      </c>
      <c r="L22" s="3">
        <f t="shared" si="0"/>
        <v>3.409941207910208</v>
      </c>
      <c r="M22" s="3"/>
      <c r="N22" s="2">
        <f>IF('Modell einstellen'!$B$1="Voll",H22/0.35,H22/0.35*2)</f>
        <v>2.3501226000000003E-3</v>
      </c>
      <c r="O22" s="2">
        <f>IF('Modell einstellen'!$B$1="Voll",J22/0.35,J22/0.35*2)</f>
        <v>-4.4121640000000005E-3</v>
      </c>
      <c r="P22" s="3">
        <f t="shared" si="1"/>
        <v>0.53264624796358429</v>
      </c>
    </row>
    <row r="23" spans="1:16" x14ac:dyDescent="0.25">
      <c r="A23" s="3">
        <v>100000</v>
      </c>
      <c r="B23" s="3">
        <v>-2.4369999999999999E-3</v>
      </c>
      <c r="C23" s="3">
        <v>1.3990000000000001E-3</v>
      </c>
      <c r="D23" s="3">
        <v>8.7529999999999997E-4</v>
      </c>
      <c r="E23" s="3">
        <v>0</v>
      </c>
      <c r="F23" s="3">
        <v>0</v>
      </c>
      <c r="G23" s="3">
        <v>0</v>
      </c>
      <c r="H23" s="3">
        <v>9.6936389000000002E-4</v>
      </c>
      <c r="I23" s="3">
        <v>2.2769448E-4</v>
      </c>
      <c r="J23" s="3">
        <v>-1.8344587E-3</v>
      </c>
      <c r="L23" s="3">
        <f t="shared" si="0"/>
        <v>2.7841882783045815</v>
      </c>
      <c r="M23" s="3"/>
      <c r="N23" s="2">
        <f>IF('Modell einstellen'!$B$1="Voll",H23/0.35,H23/0.35*2)</f>
        <v>2.7696111142857145E-3</v>
      </c>
      <c r="O23" s="2">
        <f>IF('Modell einstellen'!$B$1="Voll",J23/0.35,J23/0.35*2)</f>
        <v>-5.2413105714285719E-3</v>
      </c>
      <c r="P23" s="3">
        <f t="shared" si="1"/>
        <v>0.52841957684847307</v>
      </c>
    </row>
    <row r="24" spans="1:16" x14ac:dyDescent="0.25">
      <c r="A24" s="3">
        <v>1000000</v>
      </c>
      <c r="B24" s="3">
        <v>-2.7100000000000002E-3</v>
      </c>
      <c r="C24" s="3">
        <v>1.531E-3</v>
      </c>
      <c r="D24" s="3">
        <v>1.0169999999999999E-3</v>
      </c>
      <c r="E24" s="3">
        <v>0</v>
      </c>
      <c r="F24" s="3">
        <v>0</v>
      </c>
      <c r="G24" s="3">
        <v>0</v>
      </c>
      <c r="H24" s="3">
        <v>1.0441262000000001E-3</v>
      </c>
      <c r="I24" s="3">
        <v>2.5285956000000001E-4</v>
      </c>
      <c r="J24" s="3">
        <v>-2.0001560999999999E-3</v>
      </c>
      <c r="L24" s="3">
        <f t="shared" si="0"/>
        <v>2.6647000983284173</v>
      </c>
      <c r="M24" s="3"/>
      <c r="N24" s="2">
        <f>IF('Modell einstellen'!$B$1="Voll",H24/0.35,H24/0.35*2)</f>
        <v>2.9832177142857146E-3</v>
      </c>
      <c r="O24" s="2">
        <f>IF('Modell einstellen'!$B$1="Voll",J24/0.35,J24/0.35*2)</f>
        <v>-5.7147317142857146E-3</v>
      </c>
      <c r="P24" s="3">
        <f t="shared" si="1"/>
        <v>0.52202235615510217</v>
      </c>
    </row>
    <row r="25" spans="1:16" x14ac:dyDescent="0.25">
      <c r="A25" s="3">
        <v>10000000</v>
      </c>
      <c r="B25" s="3">
        <v>-2.9320000000000001E-3</v>
      </c>
      <c r="C25" s="3">
        <v>1.6329999999999999E-3</v>
      </c>
      <c r="D25" s="3">
        <v>1.1379999999999999E-3</v>
      </c>
      <c r="E25" s="3">
        <v>0</v>
      </c>
      <c r="F25" s="3">
        <v>0</v>
      </c>
      <c r="G25" s="3">
        <v>0</v>
      </c>
      <c r="H25" s="3">
        <v>1.1071504E-3</v>
      </c>
      <c r="I25" s="3">
        <v>2.7232838000000001E-4</v>
      </c>
      <c r="J25" s="3">
        <v>-2.1334738000000002E-3</v>
      </c>
      <c r="L25" s="3">
        <f t="shared" si="0"/>
        <v>2.5764499121265381</v>
      </c>
      <c r="M25" s="3"/>
      <c r="N25" s="2">
        <f>IF('Modell einstellen'!$B$1="Voll",H25/0.35,H25/0.35*2)</f>
        <v>3.1632868571428575E-3</v>
      </c>
      <c r="O25" s="2">
        <f>IF('Modell einstellen'!$B$1="Voll",J25/0.35,J25/0.35*2)</f>
        <v>-6.0956394285714291E-3</v>
      </c>
      <c r="P25" s="3">
        <f t="shared" si="1"/>
        <v>0.51894258087444056</v>
      </c>
    </row>
    <row r="26" spans="1:16" x14ac:dyDescent="0.25">
      <c r="A26" s="3">
        <v>100000000</v>
      </c>
      <c r="B26" s="3">
        <v>-3.0609999999999999E-3</v>
      </c>
      <c r="C26" s="3">
        <v>1.684E-3</v>
      </c>
      <c r="D26" s="3">
        <v>1.2160000000000001E-3</v>
      </c>
      <c r="E26" s="3">
        <v>0</v>
      </c>
      <c r="F26" s="3">
        <v>0</v>
      </c>
      <c r="G26" s="3">
        <v>0</v>
      </c>
      <c r="H26" s="3">
        <v>1.1420193000000001E-3</v>
      </c>
      <c r="I26" s="3">
        <v>2.8238895000000001E-4</v>
      </c>
      <c r="J26" s="3">
        <v>-2.2046092999999998E-3</v>
      </c>
      <c r="L26" s="3">
        <f t="shared" si="0"/>
        <v>2.5172697368421049</v>
      </c>
      <c r="M26" s="3"/>
      <c r="N26" s="2">
        <f>IF('Modell einstellen'!$B$1="Voll",H26/0.35,H26/0.35*2)</f>
        <v>3.2629122857142862E-3</v>
      </c>
      <c r="O26" s="2">
        <f>IF('Modell einstellen'!$B$1="Voll",J26/0.35,J26/0.35*2)</f>
        <v>-6.2988837142857138E-3</v>
      </c>
      <c r="P26" s="3">
        <f t="shared" si="1"/>
        <v>0.51801437107246184</v>
      </c>
    </row>
    <row r="27" spans="1:16" x14ac:dyDescent="0.25">
      <c r="A27" s="3">
        <v>1000000000</v>
      </c>
      <c r="B27" s="3">
        <v>-3.137E-3</v>
      </c>
      <c r="C27" s="3">
        <v>1.7260000000000001E-3</v>
      </c>
      <c r="D27" s="3">
        <v>1.2489999999999999E-3</v>
      </c>
      <c r="E27" s="3">
        <v>0</v>
      </c>
      <c r="F27" s="3">
        <v>0</v>
      </c>
      <c r="G27" s="3">
        <v>0</v>
      </c>
      <c r="H27" s="3">
        <v>1.1621555E-3</v>
      </c>
      <c r="I27" s="3">
        <v>2.9047304000000003E-4</v>
      </c>
      <c r="J27" s="3">
        <v>-2.2539299999999999E-3</v>
      </c>
      <c r="L27" s="3">
        <f t="shared" si="0"/>
        <v>2.5116092874299443</v>
      </c>
      <c r="M27" s="3"/>
      <c r="N27" s="2">
        <f>IF('Modell einstellen'!$B$1="Voll",H27/0.35,H27/0.35*2)</f>
        <v>3.3204442857142857E-3</v>
      </c>
      <c r="O27" s="2">
        <f>IF('Modell einstellen'!$B$1="Voll",J27/0.35,J27/0.35*2)</f>
        <v>-6.4397999999999999E-3</v>
      </c>
      <c r="P27" s="3">
        <f t="shared" si="1"/>
        <v>0.51561295160009402</v>
      </c>
    </row>
    <row r="28" spans="1:16" x14ac:dyDescent="0.25">
      <c r="A28" s="3">
        <v>10000000000</v>
      </c>
      <c r="B28" s="3">
        <v>-3.359E-3</v>
      </c>
      <c r="C28" s="3">
        <v>1.8010000000000001E-3</v>
      </c>
      <c r="D28" s="3">
        <v>1.3960000000000001E-3</v>
      </c>
      <c r="E28" s="3">
        <v>0</v>
      </c>
      <c r="F28" s="3">
        <v>0</v>
      </c>
      <c r="G28" s="3">
        <v>0</v>
      </c>
      <c r="H28" s="3">
        <v>1.2265326E-3</v>
      </c>
      <c r="I28" s="3">
        <v>3.0539256000000002E-4</v>
      </c>
      <c r="J28" s="3">
        <v>-2.3720225999999999E-3</v>
      </c>
      <c r="L28" s="3">
        <f t="shared" si="0"/>
        <v>2.4061604584527219</v>
      </c>
      <c r="M28" s="3"/>
      <c r="N28" s="2">
        <f>IF('Modell einstellen'!$B$1="Voll",H28/0.35,H28/0.35*2)</f>
        <v>3.5043788571428574E-3</v>
      </c>
      <c r="O28" s="2">
        <f>IF('Modell einstellen'!$B$1="Voll",J28/0.35,J28/0.35*2)</f>
        <v>-6.7772074285714287E-3</v>
      </c>
      <c r="P28" s="3">
        <f t="shared" si="1"/>
        <v>0.51708301598812767</v>
      </c>
    </row>
    <row r="29" spans="1:16" x14ac:dyDescent="0.25">
      <c r="A29" s="3">
        <v>100000000000</v>
      </c>
      <c r="B29" s="3">
        <v>-3.431E-3</v>
      </c>
      <c r="C29" s="3">
        <v>1.841E-3</v>
      </c>
      <c r="D29" s="3">
        <v>1.4289999999999999E-3</v>
      </c>
      <c r="E29" s="3">
        <v>0</v>
      </c>
      <c r="F29" s="3">
        <v>0</v>
      </c>
      <c r="G29" s="3">
        <v>0</v>
      </c>
      <c r="H29" s="3">
        <v>1.2475000999999999E-3</v>
      </c>
      <c r="I29" s="3">
        <v>3.1287903E-4</v>
      </c>
      <c r="J29" s="3">
        <v>-2.4200068E-3</v>
      </c>
      <c r="L29" s="3">
        <f t="shared" si="0"/>
        <v>2.4009797060881737</v>
      </c>
      <c r="M29" s="3"/>
      <c r="N29" s="2">
        <f>IF('Modell einstellen'!$B$1="Voll",H29/0.35,H29/0.35*2)</f>
        <v>3.5642860000000003E-3</v>
      </c>
      <c r="O29" s="2">
        <f>IF('Modell einstellen'!$B$1="Voll",J29/0.35,J29/0.35*2)</f>
        <v>-6.9143051428571436E-3</v>
      </c>
      <c r="P29" s="3">
        <f t="shared" si="1"/>
        <v>0.51549446059407766</v>
      </c>
    </row>
    <row r="30" spans="1:16" x14ac:dyDescent="0.25">
      <c r="A30" s="3">
        <v>1000000000000</v>
      </c>
      <c r="B30" s="3">
        <v>-3.437E-3</v>
      </c>
      <c r="C30" s="3">
        <v>1.8439999999999999E-3</v>
      </c>
      <c r="D30" s="3">
        <v>1.431E-3</v>
      </c>
      <c r="E30" s="3">
        <v>0</v>
      </c>
      <c r="F30" s="3">
        <v>0</v>
      </c>
      <c r="G30" s="3">
        <v>0</v>
      </c>
      <c r="H30" s="3">
        <v>1.2499195999999999E-3</v>
      </c>
      <c r="I30" s="3">
        <v>3.1354031999999998E-4</v>
      </c>
      <c r="J30" s="3">
        <v>-2.4248068000000001E-3</v>
      </c>
      <c r="L30" s="3">
        <f t="shared" si="0"/>
        <v>2.4018169112508736</v>
      </c>
      <c r="M30" s="3"/>
      <c r="N30" s="2">
        <f>IF('Modell einstellen'!$B$1="Voll",H30/0.35,H30/0.35*2)</f>
        <v>3.5711988571428574E-3</v>
      </c>
      <c r="O30" s="2">
        <f>IF('Modell einstellen'!$B$1="Voll",J30/0.35,J30/0.35*2)</f>
        <v>-6.9280194285714298E-3</v>
      </c>
      <c r="P30" s="3">
        <f t="shared" si="1"/>
        <v>0.51547183058048163</v>
      </c>
    </row>
    <row r="31" spans="1:16" x14ac:dyDescent="0.25">
      <c r="A31" s="3">
        <v>10000000000000</v>
      </c>
      <c r="B31" s="3">
        <v>-3.4380000000000001E-3</v>
      </c>
      <c r="C31" s="3">
        <v>1.846E-3</v>
      </c>
      <c r="D31" s="3">
        <v>1.4300000000000001E-3</v>
      </c>
      <c r="E31" s="3">
        <v>0</v>
      </c>
      <c r="F31" s="3">
        <v>0</v>
      </c>
      <c r="G31" s="3">
        <v>0</v>
      </c>
      <c r="H31" s="3">
        <v>1.2504059999999999E-3</v>
      </c>
      <c r="I31" s="3">
        <v>3.1379478999999999E-4</v>
      </c>
      <c r="J31" s="3">
        <v>-2.4262153999999999E-3</v>
      </c>
      <c r="L31" s="3">
        <f t="shared" si="0"/>
        <v>2.4041958041958043</v>
      </c>
      <c r="M31" s="3"/>
      <c r="N31" s="2">
        <f>IF('Modell einstellen'!$B$1="Voll",H31/0.35,H31/0.35*2)</f>
        <v>3.5725885714285714E-3</v>
      </c>
      <c r="O31" s="2">
        <f>IF('Modell einstellen'!$B$1="Voll",J31/0.35,J31/0.35*2)</f>
        <v>-6.9320440000000001E-3</v>
      </c>
      <c r="P31" s="3">
        <f t="shared" si="1"/>
        <v>0.51537303736510776</v>
      </c>
    </row>
    <row r="32" spans="1:16" x14ac:dyDescent="0.25">
      <c r="A32" s="3">
        <v>100000000000000</v>
      </c>
      <c r="B32" s="3">
        <v>-3.4390000000000002E-3</v>
      </c>
      <c r="C32" s="3">
        <v>1.846E-3</v>
      </c>
      <c r="D32" s="3">
        <v>1.431E-3</v>
      </c>
      <c r="E32" s="3">
        <v>0</v>
      </c>
      <c r="F32" s="3">
        <v>0</v>
      </c>
      <c r="G32" s="3">
        <v>0</v>
      </c>
      <c r="H32" s="3">
        <v>1.2510918E-3</v>
      </c>
      <c r="I32" s="3">
        <v>3.1387020999999998E-4</v>
      </c>
      <c r="J32" s="3">
        <v>-2.4271774000000001E-3</v>
      </c>
      <c r="L32" s="3">
        <f t="shared" si="0"/>
        <v>2.4032145352900072</v>
      </c>
      <c r="M32" s="3"/>
      <c r="N32" s="2">
        <f>IF('Modell einstellen'!$B$1="Voll",H32/0.35,H32/0.35*2)</f>
        <v>3.5745480000000003E-3</v>
      </c>
      <c r="O32" s="2">
        <f>IF('Modell einstellen'!$B$1="Voll",J32/0.35,J32/0.35*2)</f>
        <v>-6.9347925714285724E-3</v>
      </c>
      <c r="P32" s="3">
        <f t="shared" si="1"/>
        <v>0.51545132218188916</v>
      </c>
    </row>
    <row r="33" spans="1:16" x14ac:dyDescent="0.25">
      <c r="A33" s="3">
        <v>1000000000000000</v>
      </c>
      <c r="B33" s="3">
        <v>-3.4399999999999999E-3</v>
      </c>
      <c r="C33" s="3">
        <v>1.8469999999999999E-3</v>
      </c>
      <c r="D33" s="3">
        <v>1.431E-3</v>
      </c>
      <c r="E33" s="3">
        <v>0</v>
      </c>
      <c r="F33" s="3">
        <v>0</v>
      </c>
      <c r="G33" s="3">
        <v>0</v>
      </c>
      <c r="H33" s="3">
        <v>1.2517467E-3</v>
      </c>
      <c r="I33" s="3">
        <v>3.1396454999999999E-4</v>
      </c>
      <c r="J33" s="3">
        <v>-2.4281709000000002E-3</v>
      </c>
      <c r="L33" s="3">
        <f t="shared" si="0"/>
        <v>2.4039133473095737</v>
      </c>
      <c r="M33" s="3"/>
      <c r="N33" s="2">
        <f>IF('Modell einstellen'!$B$1="Voll",H33/0.35,H33/0.35*2)</f>
        <v>3.5764191428571432E-3</v>
      </c>
      <c r="O33" s="2">
        <f>IF('Modell einstellen'!$B$1="Voll",J33/0.35,J33/0.35*2)</f>
        <v>-6.9376311428571442E-3</v>
      </c>
      <c r="P33" s="3">
        <f t="shared" si="1"/>
        <v>0.51551013151504277</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2022-01-06T17:49:10Z</dcterms:modified>
</cp:coreProperties>
</file>