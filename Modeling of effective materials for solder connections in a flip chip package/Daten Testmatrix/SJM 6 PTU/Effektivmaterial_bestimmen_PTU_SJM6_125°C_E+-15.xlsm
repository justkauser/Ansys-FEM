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P29" i="11"/>
  <c r="O29" i="11"/>
  <c r="N29" i="11"/>
  <c r="O28" i="11"/>
  <c r="N28" i="11"/>
  <c r="P27" i="11"/>
  <c r="O27" i="11"/>
  <c r="N27" i="11"/>
  <c r="O26" i="11"/>
  <c r="N26" i="11"/>
  <c r="P26" i="11" s="1"/>
  <c r="O25" i="11"/>
  <c r="N25" i="11"/>
  <c r="P25" i="11" s="1"/>
  <c r="O24" i="11"/>
  <c r="N24" i="11"/>
  <c r="P24" i="11" s="1"/>
  <c r="O23" i="11"/>
  <c r="N23" i="11"/>
  <c r="P23" i="11" s="1"/>
  <c r="O22" i="11"/>
  <c r="N22" i="11"/>
  <c r="O21" i="11"/>
  <c r="P21" i="11" s="1"/>
  <c r="N21" i="11"/>
  <c r="O20" i="11"/>
  <c r="N20" i="11"/>
  <c r="O19" i="11"/>
  <c r="N19" i="11"/>
  <c r="P19" i="11" s="1"/>
  <c r="O18" i="11"/>
  <c r="N18" i="11"/>
  <c r="P18" i="11" s="1"/>
  <c r="P17" i="11"/>
  <c r="O17" i="11"/>
  <c r="N17" i="11"/>
  <c r="O16" i="11"/>
  <c r="N16" i="11"/>
  <c r="P15" i="11"/>
  <c r="O15" i="11"/>
  <c r="N15" i="11"/>
  <c r="O14" i="11"/>
  <c r="N14" i="11"/>
  <c r="P14" i="11" s="1"/>
  <c r="O13" i="11"/>
  <c r="N13" i="11"/>
  <c r="P13" i="11" s="1"/>
  <c r="O12" i="11"/>
  <c r="N12" i="11"/>
  <c r="P12" i="11" s="1"/>
  <c r="O11" i="11"/>
  <c r="N11" i="11"/>
  <c r="P11" i="11" s="1"/>
  <c r="O10" i="11"/>
  <c r="N10" i="11"/>
  <c r="O9" i="11"/>
  <c r="P9" i="11" s="1"/>
  <c r="N9" i="11"/>
  <c r="O8" i="11"/>
  <c r="N8" i="11"/>
  <c r="O7" i="11"/>
  <c r="N7" i="11"/>
  <c r="P7" i="11" s="1"/>
  <c r="O6" i="11"/>
  <c r="N6" i="11"/>
  <c r="P6" i="11" s="1"/>
  <c r="P5" i="11"/>
  <c r="O5" i="11"/>
  <c r="N5" i="11"/>
  <c r="O4" i="11"/>
  <c r="N4" i="11"/>
  <c r="P3" i="11"/>
  <c r="O3" i="11"/>
  <c r="N3" i="11"/>
  <c r="P4" i="11" l="1"/>
  <c r="P16" i="11"/>
  <c r="P28"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C403" i="43"/>
  <c r="B403" i="43"/>
  <c r="D403" i="43"/>
  <c r="H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21" i="43"/>
  <c r="H433" i="43"/>
  <c r="H426" i="43"/>
  <c r="H412" i="43"/>
  <c r="H417" i="43"/>
  <c r="H414" i="43"/>
  <c r="H430" i="43"/>
  <c r="H423" i="43"/>
  <c r="H407" i="43"/>
  <c r="H431" i="43"/>
  <c r="H429" i="43"/>
  <c r="H416" i="43"/>
  <c r="H404" i="43"/>
  <c r="H413" i="43"/>
  <c r="H427" i="43"/>
  <c r="H409" i="43"/>
  <c r="H422" i="43"/>
  <c r="H428" i="43"/>
  <c r="H408" i="43"/>
  <c r="H420" i="43"/>
  <c r="H432" i="43"/>
  <c r="H425" i="43"/>
  <c r="H411" i="43"/>
  <c r="H419" i="43"/>
  <c r="H406" i="43"/>
  <c r="B405" i="43"/>
  <c r="B424" i="43"/>
  <c r="B425" i="43"/>
  <c r="B413" i="43"/>
  <c r="B414" i="43"/>
  <c r="B408" i="43"/>
  <c r="B407" i="43"/>
  <c r="B427" i="43"/>
  <c r="B430" i="43"/>
  <c r="B419" i="43"/>
  <c r="B433" i="43"/>
  <c r="B422" i="43"/>
  <c r="B415" i="43"/>
  <c r="B417" i="43"/>
  <c r="B409" i="43"/>
  <c r="B406" i="43"/>
  <c r="B429" i="43"/>
  <c r="B418" i="43"/>
  <c r="B421" i="43"/>
  <c r="B411" i="43"/>
  <c r="B416" i="43"/>
  <c r="B432" i="43"/>
  <c r="B404" i="43"/>
  <c r="B428" i="43"/>
  <c r="B410" i="43"/>
  <c r="B420" i="43"/>
  <c r="B434" i="43"/>
  <c r="B423" i="43"/>
  <c r="B426" i="43"/>
  <c r="B412" i="43"/>
  <c r="B431" i="43"/>
  <c r="D406" i="43"/>
  <c r="D417" i="43"/>
  <c r="D419" i="43"/>
  <c r="D430" i="43"/>
  <c r="D411" i="43"/>
  <c r="D416" i="43"/>
  <c r="D423" i="43"/>
  <c r="D428" i="43"/>
  <c r="D404" i="43"/>
  <c r="D421" i="43"/>
  <c r="D434" i="43"/>
  <c r="D414" i="43"/>
  <c r="D418" i="43"/>
  <c r="D425" i="43"/>
  <c r="D429" i="43"/>
  <c r="D432" i="43"/>
  <c r="D412" i="43"/>
  <c r="D420" i="43"/>
  <c r="D422" i="43"/>
  <c r="D431" i="43"/>
  <c r="D409" i="43"/>
  <c r="D407" i="43"/>
  <c r="D427" i="43"/>
  <c r="D410" i="43"/>
  <c r="D405" i="43"/>
  <c r="D408" i="43"/>
  <c r="D413" i="43"/>
  <c r="D415" i="43"/>
  <c r="D424" i="43"/>
  <c r="D433" i="43"/>
  <c r="D426" i="43"/>
  <c r="C406" i="43"/>
  <c r="C409" i="43"/>
  <c r="C421" i="43"/>
  <c r="C434" i="43"/>
  <c r="C418" i="43"/>
  <c r="C425" i="43"/>
  <c r="C429" i="43"/>
  <c r="C432" i="43"/>
  <c r="C410" i="43"/>
  <c r="C422" i="43"/>
  <c r="C408" i="43"/>
  <c r="C424" i="43"/>
  <c r="C407" i="43"/>
  <c r="C414" i="43"/>
  <c r="C427" i="43"/>
  <c r="C412" i="43"/>
  <c r="C420" i="43"/>
  <c r="C431" i="43"/>
  <c r="C405" i="43"/>
  <c r="C415" i="43"/>
  <c r="C433" i="43"/>
  <c r="C417" i="43"/>
  <c r="C419" i="43"/>
  <c r="C426" i="43"/>
  <c r="C430" i="43"/>
  <c r="C423" i="43"/>
  <c r="C428" i="43"/>
  <c r="C404" i="43"/>
  <c r="C413" i="43"/>
  <c r="C416" i="43"/>
  <c r="C411" i="43"/>
  <c r="G410" i="43"/>
  <c r="G413" i="43"/>
  <c r="G431" i="43"/>
  <c r="G416" i="43"/>
  <c r="G434" i="43"/>
  <c r="G428" i="43"/>
  <c r="G429" i="43"/>
  <c r="G411" i="43"/>
  <c r="G427" i="43"/>
  <c r="G409" i="43"/>
  <c r="G426" i="43"/>
  <c r="G424" i="43"/>
  <c r="G405" i="43"/>
  <c r="G407" i="43"/>
  <c r="G420" i="43"/>
  <c r="G433" i="43"/>
  <c r="G414" i="43"/>
  <c r="G422" i="43"/>
  <c r="G408" i="43"/>
  <c r="G417" i="43"/>
  <c r="G430" i="43"/>
  <c r="G406" i="43"/>
  <c r="G419" i="43"/>
  <c r="G423" i="43"/>
  <c r="G421" i="43"/>
  <c r="G404" i="43"/>
  <c r="G415" i="43"/>
  <c r="G425" i="43"/>
  <c r="G432" i="43"/>
  <c r="G412" i="43"/>
  <c r="G418" i="43"/>
  <c r="E405" i="43"/>
  <c r="E408" i="43"/>
  <c r="E413" i="43"/>
  <c r="E415" i="43"/>
  <c r="E424" i="43"/>
  <c r="E406" i="43"/>
  <c r="E417" i="43"/>
  <c r="E419" i="43"/>
  <c r="E426" i="43"/>
  <c r="E430" i="43"/>
  <c r="E416" i="43"/>
  <c r="E423" i="43"/>
  <c r="E404" i="43"/>
  <c r="E434" i="43"/>
  <c r="E427" i="43"/>
  <c r="E411" i="43"/>
  <c r="E418" i="43"/>
  <c r="E425" i="43"/>
  <c r="E429" i="43"/>
  <c r="E410" i="43"/>
  <c r="E420" i="43"/>
  <c r="E422" i="43"/>
  <c r="E431" i="43"/>
  <c r="E433" i="43"/>
  <c r="E407" i="43"/>
  <c r="E428" i="43"/>
  <c r="E421" i="43"/>
  <c r="E409" i="43"/>
  <c r="E432" i="43"/>
  <c r="E412" i="43"/>
  <c r="E414" i="43"/>
  <c r="F415" i="43"/>
  <c r="F410" i="43"/>
  <c r="F420" i="43"/>
  <c r="F424" i="43"/>
  <c r="F430" i="43"/>
  <c r="F434" i="43"/>
  <c r="F419" i="43"/>
  <c r="F416" i="43"/>
  <c r="F423" i="43"/>
  <c r="F404" i="43"/>
  <c r="F427" i="43"/>
  <c r="F431" i="43"/>
  <c r="F421" i="43"/>
  <c r="F425" i="43"/>
  <c r="F426" i="43"/>
  <c r="F412" i="43"/>
  <c r="F409" i="43"/>
  <c r="F408" i="43"/>
  <c r="F413" i="43"/>
  <c r="F417" i="43"/>
  <c r="F414" i="43"/>
  <c r="F422" i="43"/>
  <c r="F411" i="43"/>
  <c r="F405" i="43"/>
  <c r="F428" i="43"/>
  <c r="F433" i="43"/>
  <c r="F429" i="43"/>
  <c r="F406" i="43"/>
  <c r="F407" i="43"/>
  <c r="F432" i="43"/>
  <c r="F418"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Y247" i="43"/>
  <c r="L427" i="43"/>
  <c r="N247" i="43"/>
  <c r="L416" i="43"/>
  <c r="G208" i="43"/>
  <c r="K409" i="43"/>
  <c r="Z169" i="43"/>
  <c r="K428" i="43"/>
  <c r="H169" i="43"/>
  <c r="K410" i="43"/>
  <c r="AD169" i="43"/>
  <c r="K432" i="43"/>
  <c r="R169" i="43"/>
  <c r="K420" i="43"/>
  <c r="L169" i="43"/>
  <c r="K414" i="43"/>
  <c r="F169" i="43"/>
  <c r="K408" i="43"/>
  <c r="D169" i="43"/>
  <c r="K406" i="43"/>
  <c r="Y169" i="43"/>
  <c r="K427" i="43"/>
  <c r="N169" i="43"/>
  <c r="K416" i="43"/>
  <c r="K208" i="43"/>
  <c r="K413"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AD130" i="43"/>
  <c r="J432" i="43"/>
  <c r="O130" i="43"/>
  <c r="J417" i="43"/>
  <c r="F130" i="43"/>
  <c r="J408" i="43"/>
  <c r="R130" i="43"/>
  <c r="J420" i="43"/>
  <c r="N130" i="43"/>
  <c r="J416" i="43"/>
  <c r="Z130" i="43"/>
  <c r="J428" i="43"/>
  <c r="E130" i="43"/>
  <c r="J407" i="43"/>
  <c r="AB130" i="43"/>
  <c r="J430" i="43"/>
  <c r="AE130" i="43"/>
  <c r="J433" i="43"/>
  <c r="S130" i="43"/>
  <c r="J421" i="43"/>
  <c r="AF130" i="43"/>
  <c r="J434" i="43"/>
  <c r="I130" i="43"/>
  <c r="J411" i="43"/>
  <c r="X130" i="43"/>
  <c r="J426" i="43"/>
  <c r="M130" i="43"/>
  <c r="J415" i="43"/>
  <c r="P130" i="43"/>
  <c r="J418" i="43"/>
  <c r="W130" i="43"/>
  <c r="J425" i="43"/>
  <c r="C130" i="43"/>
  <c r="J405" i="43"/>
  <c r="V130" i="43"/>
  <c r="J424" i="43"/>
  <c r="K130" i="43"/>
  <c r="J413" i="43"/>
  <c r="Q130" i="43"/>
  <c r="J419" i="43"/>
  <c r="L130" i="43"/>
  <c r="J414" i="43"/>
  <c r="Y130" i="43"/>
  <c r="J427" i="43"/>
  <c r="G130" i="43"/>
  <c r="J409" i="43"/>
  <c r="T130" i="43"/>
  <c r="J422" i="43"/>
  <c r="J130" i="43"/>
  <c r="J412" i="43"/>
  <c r="AC130" i="43"/>
  <c r="J431" i="43"/>
  <c r="D130" i="43"/>
  <c r="J406"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<sst xmlns="http://schemas.openxmlformats.org/spreadsheetml/2006/main" count="311" uniqueCount="164">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</sst>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44985160"/>
        <c:axId val="544993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851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3784"/>
        <c:crossesAt val="-8.0000000000000019E-3"/>
        <c:crossBetween val="midCat"/>
      </c:valAx>
      <c:valAx>
        <c:axId val="544993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51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44994960"/>
        <c:axId val="5449855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496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5552"/>
        <c:crosses val="autoZero"/>
        <c:crossBetween val="midCat"/>
      </c:valAx>
      <c:valAx>
        <c:axId val="54498555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4960"/>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988688"/>
        <c:axId val="5449988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988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8880"/>
        <c:crosses val="autoZero"/>
        <c:crossBetween val="midCat"/>
        <c:majorUnit val="10000"/>
      </c:valAx>
      <c:valAx>
        <c:axId val="5449988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8868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996528"/>
        <c:axId val="544996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65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996920"/>
        <c:crosses val="autoZero"/>
        <c:crossBetween val="midCat"/>
        <c:majorUnit val="10000"/>
      </c:valAx>
      <c:valAx>
        <c:axId val="54499692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99652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997704"/>
        <c:axId val="5465842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9977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4216"/>
        <c:crosses val="autoZero"/>
        <c:crossBetween val="midCat"/>
        <c:majorUnit val="10000"/>
      </c:valAx>
      <c:valAx>
        <c:axId val="54658421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99770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1.1100577913486249E-2</c:v>
                </c:pt>
                <c:pt idx="1">
                  <c:v>1.4955260307978701E-2</c:v>
                </c:pt>
                <c:pt idx="2">
                  <c:v>4.1051622114259469E-3</c:v>
                </c:pt>
                <c:pt idx="3">
                  <c:v>6.9666247724774059E-4</c:v>
                </c:pt>
                <c:pt idx="4">
                  <c:v>9.9269191976421252E-5</c:v>
                </c:pt>
                <c:pt idx="5">
                  <c:v>1.7975555010486798E-5</c:v>
                </c:pt>
                <c:pt idx="6">
                  <c:v>8.5622324613375518E-6</c:v>
                </c:pt>
                <c:pt idx="7">
                  <c:v>3.5842086559924586E-5</c:v>
                </c:pt>
                <c:pt idx="8">
                  <c:v>7.415394521770423E-5</c:v>
                </c:pt>
                <c:pt idx="9">
                  <c:v>1.7466562984407304E-4</c:v>
                </c:pt>
                <c:pt idx="10">
                  <c:v>2.9885010345774674E-4</c:v>
                </c:pt>
                <c:pt idx="11">
                  <c:v>4.6831782570422195E-4</c:v>
                </c:pt>
                <c:pt idx="12">
                  <c:v>5.9530931324848079E-4</c:v>
                </c:pt>
                <c:pt idx="13">
                  <c:v>6.8951336670193184E-4</c:v>
                </c:pt>
                <c:pt idx="14">
                  <c:v>6.5558520165952814E-4</c:v>
                </c:pt>
                <c:pt idx="15">
                  <c:v>5.7955147649097058E-4</c:v>
                </c:pt>
                <c:pt idx="16">
                  <c:v>4.2829292706595508E-4</c:v>
                </c:pt>
                <c:pt idx="17">
                  <c:v>3.1847287780758116E-4</c:v>
                </c:pt>
                <c:pt idx="18">
                  <c:v>1.7079147393753093E-4</c:v>
                </c:pt>
                <c:pt idx="19">
                  <c:v>1.3493349650971808E-4</c:v>
                </c:pt>
                <c:pt idx="20">
                  <c:v>2.9287450351572887E-5</c:v>
                </c:pt>
                <c:pt idx="21">
                  <c:v>8.0859148471037188E-5</c:v>
                </c:pt>
                <c:pt idx="22">
                  <c:v>3.2213753288141464E-5</c:v>
                </c:pt>
                <c:pt idx="23">
                  <c:v>1.7410707013599993E-5</c:v>
                </c:pt>
                <c:pt idx="24">
                  <c:v>1.8457320584059416E-4</c:v>
                </c:pt>
                <c:pt idx="25">
                  <c:v>1.8933921948876108E-4</c:v>
                </c:pt>
                <c:pt idx="26">
                  <c:v>1.2260693326692836E-3</c:v>
                </c:pt>
                <c:pt idx="27">
                  <c:v>3.6778483055167968E-3</c:v>
                </c:pt>
                <c:pt idx="28">
                  <c:v>4.9047059633233045E-3</c:v>
                </c:pt>
                <c:pt idx="29">
                  <c:v>4.8988305694097883E-3</c:v>
                </c:pt>
                <c:pt idx="30">
                  <c:v>7.0815199639457961E-3</c:v>
                </c:pt>
              </c:numCache>
            </c:numRef>
          </c:yVal>
          <c:smooth val="1"/>
        </c:ser>
        <c:dLbls>
          <c:showLegendKey val="0"/>
          <c:showVal val="0"/>
          <c:showCatName val="0"/>
          <c:showSerName val="0"/>
          <c:showPercent val="0"/>
          <c:showBubbleSize val="0"/>
        </c:dLbls>
        <c:axId val="546586176"/>
        <c:axId val="546585392"/>
      </c:scatterChart>
      <c:valAx>
        <c:axId val="5465861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392"/>
        <c:crossesAt val="-1.5000000000000005E-3"/>
        <c:crossBetween val="midCat"/>
      </c:valAx>
      <c:valAx>
        <c:axId val="5465853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1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8505.4055188309922</c:v>
                </c:pt>
                <c:pt idx="1">
                  <c:v>8382.0226107786984</c:v>
                </c:pt>
                <c:pt idx="2">
                  <c:v>7929.4666757274645</c:v>
                </c:pt>
                <c:pt idx="3">
                  <c:v>7699.4766714132929</c:v>
                </c:pt>
                <c:pt idx="4">
                  <c:v>7391.3780439715129</c:v>
                </c:pt>
                <c:pt idx="5">
                  <c:v>7031.8363166652543</c:v>
                </c:pt>
                <c:pt idx="6">
                  <c:v>6653.1771372946841</c:v>
                </c:pt>
                <c:pt idx="7">
                  <c:v>6325.5905096738506</c:v>
                </c:pt>
                <c:pt idx="8">
                  <c:v>6045.4496914792717</c:v>
                </c:pt>
                <c:pt idx="9">
                  <c:v>5766.1128081789284</c:v>
                </c:pt>
                <c:pt idx="10">
                  <c:v>5485.3418775199243</c:v>
                </c:pt>
                <c:pt idx="11">
                  <c:v>5213.5980726309772</c:v>
                </c:pt>
                <c:pt idx="12">
                  <c:v>4921.0310639329673</c:v>
                </c:pt>
                <c:pt idx="13">
                  <c:v>4587.1779443488995</c:v>
                </c:pt>
                <c:pt idx="14">
                  <c:v>4218.4186503698384</c:v>
                </c:pt>
                <c:pt idx="15">
                  <c:v>3792.1338767970592</c:v>
                </c:pt>
                <c:pt idx="16">
                  <c:v>3282.4619348568226</c:v>
                </c:pt>
                <c:pt idx="17">
                  <c:v>2715.5744153646046</c:v>
                </c:pt>
                <c:pt idx="18">
                  <c:v>2119.9768169658341</c:v>
                </c:pt>
                <c:pt idx="19">
                  <c:v>1549.4342159896732</c:v>
                </c:pt>
                <c:pt idx="20">
                  <c:v>1115.0235937695147</c:v>
                </c:pt>
                <c:pt idx="21">
                  <c:v>819.63884701229028</c:v>
                </c:pt>
                <c:pt idx="22">
                  <c:v>672.73350000323262</c:v>
                </c:pt>
                <c:pt idx="23">
                  <c:v>592.27718141525918</c:v>
                </c:pt>
                <c:pt idx="24">
                  <c:v>556.22631230494824</c:v>
                </c:pt>
                <c:pt idx="25">
                  <c:v>528.65312481256296</c:v>
                </c:pt>
                <c:pt idx="26">
                  <c:v>518.18522876425141</c:v>
                </c:pt>
                <c:pt idx="27">
                  <c:v>497.92338145131907</c:v>
                </c:pt>
                <c:pt idx="28">
                  <c:v>481.31657333485026</c:v>
                </c:pt>
                <c:pt idx="29">
                  <c:v>477.99995001294695</c:v>
                </c:pt>
                <c:pt idx="30">
                  <c:v>472.08152980478735</c:v>
                </c:pt>
              </c:numCache>
            </c:numRef>
          </c:yVal>
          <c:smooth val="1"/>
        </c:ser>
        <c:dLbls>
          <c:showLegendKey val="0"/>
          <c:showVal val="0"/>
          <c:showCatName val="0"/>
          <c:showSerName val="0"/>
          <c:showPercent val="0"/>
          <c:showBubbleSize val="0"/>
        </c:dLbls>
        <c:axId val="546585784"/>
        <c:axId val="546583040"/>
      </c:scatterChart>
      <c:valAx>
        <c:axId val="5465857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3040"/>
        <c:crosses val="autoZero"/>
        <c:crossBetween val="midCat"/>
      </c:valAx>
      <c:valAx>
        <c:axId val="5465830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78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3.6112619778756352E-3</c:v>
                </c:pt>
                <c:pt idx="1">
                  <c:v>2.0139130693536507E-4</c:v>
                </c:pt>
                <c:pt idx="2">
                  <c:v>1.0166938761282997E-2</c:v>
                </c:pt>
                <c:pt idx="3">
                  <c:v>0.10643301150693499</c:v>
                </c:pt>
                <c:pt idx="4">
                  <c:v>9.3907571652385988E-2</c:v>
                </c:pt>
                <c:pt idx="5">
                  <c:v>7.2372994637423624E-2</c:v>
                </c:pt>
                <c:pt idx="6">
                  <c:v>4.8681718454401751E-2</c:v>
                </c:pt>
                <c:pt idx="7">
                  <c:v>2.0513840449650659E-2</c:v>
                </c:pt>
                <c:pt idx="8">
                  <c:v>5.7623886198066203E-3</c:v>
                </c:pt>
                <c:pt idx="9">
                  <c:v>5.6567007661495698E-3</c:v>
                </c:pt>
                <c:pt idx="10">
                  <c:v>5.0950086544484007E-3</c:v>
                </c:pt>
                <c:pt idx="11">
                  <c:v>3.9222081303979653E-5</c:v>
                </c:pt>
                <c:pt idx="12">
                  <c:v>1.4562806287229094E-3</c:v>
                </c:pt>
                <c:pt idx="13">
                  <c:v>3.1979207826902476E-3</c:v>
                </c:pt>
                <c:pt idx="14">
                  <c:v>2.1255252317412092E-3</c:v>
                </c:pt>
                <c:pt idx="15">
                  <c:v>1.0000708068988542E-3</c:v>
                </c:pt>
                <c:pt idx="16">
                  <c:v>1.2418401285433003E-3</c:v>
                </c:pt>
                <c:pt idx="17">
                  <c:v>6.1274286857213294E-4</c:v>
                </c:pt>
                <c:pt idx="18">
                  <c:v>1.1699267893340386E-3</c:v>
                </c:pt>
                <c:pt idx="19">
                  <c:v>7.0608644822522319E-4</c:v>
                </c:pt>
                <c:pt idx="20">
                  <c:v>1.1835057025315936E-2</c:v>
                </c:pt>
                <c:pt idx="21">
                  <c:v>2.6344118208365578E-2</c:v>
                </c:pt>
                <c:pt idx="22">
                  <c:v>4.8193323877228786E-2</c:v>
                </c:pt>
                <c:pt idx="23">
                  <c:v>5.4275726733492111E-2</c:v>
                </c:pt>
                <c:pt idx="24">
                  <c:v>5.4776500221684281E-2</c:v>
                </c:pt>
                <c:pt idx="25">
                  <c:v>5.451846864599251E-2</c:v>
                </c:pt>
                <c:pt idx="26">
                  <c:v>5.9655601425842891E-2</c:v>
                </c:pt>
                <c:pt idx="27">
                  <c:v>6.1192540281699827E-2</c:v>
                </c:pt>
                <c:pt idx="28">
                  <c:v>5.8268464250199582E-2</c:v>
                </c:pt>
                <c:pt idx="29">
                  <c:v>6.208301222012011E-2</c:v>
                </c:pt>
                <c:pt idx="30">
                  <c:v>2.6455419087150606E-3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0.10507130638835366</c:v>
                </c:pt>
                <c:pt idx="1">
                  <c:v>8.0312017306373551E-2</c:v>
                </c:pt>
                <c:pt idx="2">
                  <c:v>5.7484229881765547E-2</c:v>
                </c:pt>
                <c:pt idx="3">
                  <c:v>3.1525720260987475E-2</c:v>
                </c:pt>
                <c:pt idx="4">
                  <c:v>4.2594807346126471E-3</c:v>
                </c:pt>
                <c:pt idx="5">
                  <c:v>8.4770970837497669E-3</c:v>
                </c:pt>
                <c:pt idx="6">
                  <c:v>1.0943793760884266E-2</c:v>
                </c:pt>
                <c:pt idx="7">
                  <c:v>4.7813845608624403E-3</c:v>
                </c:pt>
                <c:pt idx="8">
                  <c:v>6.755446213686336E-3</c:v>
                </c:pt>
                <c:pt idx="9">
                  <c:v>7.17400305921691E-3</c:v>
                </c:pt>
                <c:pt idx="10">
                  <c:v>7.8243355168769388E-3</c:v>
                </c:pt>
                <c:pt idx="11">
                  <c:v>8.0708655533913536E-3</c:v>
                </c:pt>
                <c:pt idx="12">
                  <c:v>7.1692991637340858E-3</c:v>
                </c:pt>
                <c:pt idx="13">
                  <c:v>8.1366823653330721E-3</c:v>
                </c:pt>
                <c:pt idx="14">
                  <c:v>8.0081495419285689E-3</c:v>
                </c:pt>
                <c:pt idx="15">
                  <c:v>8.0010890015595245E-3</c:v>
                </c:pt>
                <c:pt idx="16">
                  <c:v>7.0075723309046267E-3</c:v>
                </c:pt>
                <c:pt idx="17">
                  <c:v>1.1977523502826591E-3</c:v>
                </c:pt>
                <c:pt idx="18">
                  <c:v>1.6015940463150975E-2</c:v>
                </c:pt>
                <c:pt idx="19">
                  <c:v>2.5101932837589078E-2</c:v>
                </c:pt>
                <c:pt idx="20">
                  <c:v>2.0546239715961548E-2</c:v>
                </c:pt>
                <c:pt idx="21">
                  <c:v>1.1036771313893854E-2</c:v>
                </c:pt>
                <c:pt idx="22">
                  <c:v>4.6572012562605061E-4</c:v>
                </c:pt>
                <c:pt idx="23">
                  <c:v>3.8427551503942242E-3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7.9811821678825307E-2</c:v>
                </c:pt>
                <c:pt idx="1">
                  <c:v>5.068896448105599E-2</c:v>
                </c:pt>
                <c:pt idx="2">
                  <c:v>2.3101406168863643E-2</c:v>
                </c:pt>
                <c:pt idx="3">
                  <c:v>3.1992423221359843E-3</c:v>
                </c:pt>
                <c:pt idx="4">
                  <c:v>7.3420122560313716E-3</c:v>
                </c:pt>
                <c:pt idx="5">
                  <c:v>6.7316697429415911E-3</c:v>
                </c:pt>
                <c:pt idx="6">
                  <c:v>1.8255660640044593E-3</c:v>
                </c:pt>
                <c:pt idx="7">
                  <c:v>3.0310767411347939E-3</c:v>
                </c:pt>
                <c:pt idx="8">
                  <c:v>2.8820065653176311E-3</c:v>
                </c:pt>
                <c:pt idx="9">
                  <c:v>3.4706451084174556E-3</c:v>
                </c:pt>
                <c:pt idx="10">
                  <c:v>5.2692524543065762E-3</c:v>
                </c:pt>
                <c:pt idx="11">
                  <c:v>3.742972531791794E-3</c:v>
                </c:pt>
                <c:pt idx="12">
                  <c:v>5.9347656215664847E-3</c:v>
                </c:pt>
                <c:pt idx="13">
                  <c:v>5.0826436337012256E-3</c:v>
                </c:pt>
                <c:pt idx="14">
                  <c:v>7.0631612016065892E-3</c:v>
                </c:pt>
                <c:pt idx="15">
                  <c:v>5.4238018722897741E-3</c:v>
                </c:pt>
                <c:pt idx="16">
                  <c:v>2.1594981259098504E-3</c:v>
                </c:pt>
                <c:pt idx="17">
                  <c:v>1.1013038232662236E-2</c:v>
                </c:pt>
                <c:pt idx="18">
                  <c:v>1.5807321693805051E-2</c:v>
                </c:pt>
                <c:pt idx="19">
                  <c:v>1.0958321826274786E-2</c:v>
                </c:pt>
                <c:pt idx="20">
                  <c:v>1.6060964043756684E-3</c:v>
                </c:pt>
                <c:pt idx="21">
                  <c:v>6.9655372490391139E-3</c:v>
                </c:pt>
                <c:pt idx="22">
                  <c:v>8.1583802964749312E-3</c:v>
                </c:pt>
                <c:pt idx="23">
                  <c:v>8.0050981013449034E-3</c:v>
                </c:pt>
                <c:pt idx="24">
                  <c:v>1.645535057622094E-2</c:v>
                </c:pt>
                <c:pt idx="25">
                  <c:v>2.6744517340550465E-2</c:v>
                </c:pt>
                <c:pt idx="26">
                  <c:v>3.2334092961712165E-3</c:v>
                </c:pt>
                <c:pt idx="27">
                  <c:v>6.6017591031759248E-3</c:v>
                </c:pt>
                <c:pt idx="28">
                  <c:v>1.0177155767487987E-5</c:v>
                </c:pt>
                <c:pt idx="29">
                  <c:v>1.201398989863887E-3</c:v>
                </c:pt>
                <c:pt idx="30">
                  <c:v>3.9750982870642489E-3</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8.3731015937868868E-3</c:v>
                </c:pt>
                <c:pt idx="1">
                  <c:v>5.9741115892056615E-3</c:v>
                </c:pt>
                <c:pt idx="2">
                  <c:v>6.8567238763577653E-3</c:v>
                </c:pt>
                <c:pt idx="3">
                  <c:v>7.8933677330595524E-3</c:v>
                </c:pt>
                <c:pt idx="4">
                  <c:v>7.0192964352957009E-3</c:v>
                </c:pt>
                <c:pt idx="5">
                  <c:v>4.1010327926156217E-3</c:v>
                </c:pt>
                <c:pt idx="6">
                  <c:v>5.956111688301703E-3</c:v>
                </c:pt>
                <c:pt idx="7">
                  <c:v>3.6015335237082114E-3</c:v>
                </c:pt>
                <c:pt idx="8">
                  <c:v>4.8784003231536581E-3</c:v>
                </c:pt>
                <c:pt idx="9">
                  <c:v>2.4977692499332381E-3</c:v>
                </c:pt>
                <c:pt idx="10">
                  <c:v>5.0638470642273272E-3</c:v>
                </c:pt>
                <c:pt idx="11">
                  <c:v>2.0828744131596022E-3</c:v>
                </c:pt>
                <c:pt idx="12">
                  <c:v>1.7195013107123888E-3</c:v>
                </c:pt>
                <c:pt idx="13">
                  <c:v>9.659887768022013E-3</c:v>
                </c:pt>
                <c:pt idx="14">
                  <c:v>1.9610991841140585E-2</c:v>
                </c:pt>
                <c:pt idx="15">
                  <c:v>1.9295505318760075E-2</c:v>
                </c:pt>
                <c:pt idx="16">
                  <c:v>8.8493888452792855E-3</c:v>
                </c:pt>
                <c:pt idx="17">
                  <c:v>2.1076399513254526E-3</c:v>
                </c:pt>
                <c:pt idx="18">
                  <c:v>1.0058436518999094E-2</c:v>
                </c:pt>
                <c:pt idx="19">
                  <c:v>2.8756219371974721E-2</c:v>
                </c:pt>
                <c:pt idx="20">
                  <c:v>1.8904619156964422E-2</c:v>
                </c:pt>
                <c:pt idx="21">
                  <c:v>4.5415870730302534E-3</c:v>
                </c:pt>
                <c:pt idx="22">
                  <c:v>4.4740150479058906E-3</c:v>
                </c:pt>
                <c:pt idx="23">
                  <c:v>6.7424775725645535E-4</c:v>
                </c:pt>
                <c:pt idx="24">
                  <c:v>1.5276047429288076E-3</c:v>
                </c:pt>
                <c:pt idx="25">
                  <c:v>8.0246497946860628E-4</c:v>
                </c:pt>
                <c:pt idx="26">
                  <c:v>3.5749866639777838E-3</c:v>
                </c:pt>
                <c:pt idx="27">
                  <c:v>9.3589868233565922E-4</c:v>
                </c:pt>
                <c:pt idx="28">
                  <c:v>3.1584382428966308E-2</c:v>
                </c:pt>
                <c:pt idx="29">
                  <c:v>0.13219359342179332</c:v>
                </c:pt>
                <c:pt idx="30">
                  <c:v>0.13944672036934788</c:v>
                </c:pt>
              </c:numCache>
            </c:numRef>
          </c:yVal>
          <c:smooth val="1"/>
        </c:ser>
        <c:dLbls>
          <c:showLegendKey val="0"/>
          <c:showVal val="0"/>
          <c:showCatName val="0"/>
          <c:showSerName val="0"/>
          <c:showPercent val="0"/>
          <c:showBubbleSize val="0"/>
        </c:dLbls>
        <c:axId val="546586568"/>
        <c:axId val="546589312"/>
      </c:scatterChart>
      <c:valAx>
        <c:axId val="5465865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9312"/>
        <c:crossesAt val="1.0000000000000005E-9"/>
        <c:crossBetween val="midCat"/>
      </c:valAx>
      <c:valAx>
        <c:axId val="5465893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5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-17.218692816761287</c:v>
                </c:pt>
                <c:pt idx="1">
                  <c:v>-14.014764769410721</c:v>
                </c:pt>
                <c:pt idx="2">
                  <c:v>-11.583145044127384</c:v>
                </c:pt>
                <c:pt idx="3">
                  <c:v>-8.742458487122633</c:v>
                </c:pt>
                <c:pt idx="4">
                  <c:v>-5.9392986995543122</c:v>
                </c:pt>
                <c:pt idx="5">
                  <c:v>0</c:v>
                </c:pt>
                <c:pt idx="6">
                  <c:v>5.6870542497434693</c:v>
                </c:pt>
              </c:numCache>
            </c:numRef>
          </c:yVal>
          <c:smooth val="0"/>
        </c:ser>
        <c:dLbls>
          <c:showLegendKey val="0"/>
          <c:showVal val="0"/>
          <c:showCatName val="0"/>
          <c:showSerName val="0"/>
          <c:showPercent val="0"/>
          <c:showBubbleSize val="0"/>
        </c:dLbls>
        <c:axId val="546586960"/>
        <c:axId val="546585000"/>
      </c:scatterChart>
      <c:valAx>
        <c:axId val="546586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5000"/>
        <c:crossesAt val="-100"/>
        <c:crossBetween val="midCat"/>
      </c:valAx>
      <c:valAx>
        <c:axId val="54658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69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546588528"/>
        <c:axId val="546588136"/>
      </c:scatterChart>
      <c:valAx>
        <c:axId val="54658852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8136"/>
        <c:crosses val="autoZero"/>
        <c:crossBetween val="midCat"/>
      </c:valAx>
      <c:valAx>
        <c:axId val="5465881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8852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3.3267236381036455E-23</c:v>
                </c:pt>
                <c:pt idx="1">
                  <c:v>3.326723638103645E-22</c:v>
                </c:pt>
                <c:pt idx="2">
                  <c:v>3.3267236381036451E-21</c:v>
                </c:pt>
                <c:pt idx="3">
                  <c:v>3.3267236381036451E-20</c:v>
                </c:pt>
                <c:pt idx="4">
                  <c:v>3.3267236381036448E-19</c:v>
                </c:pt>
                <c:pt idx="5">
                  <c:v>3.3267236381036452E-18</c:v>
                </c:pt>
                <c:pt idx="6">
                  <c:v>3.3267236381036453E-17</c:v>
                </c:pt>
                <c:pt idx="7">
                  <c:v>3.3267236381036453E-16</c:v>
                </c:pt>
                <c:pt idx="8">
                  <c:v>3.3267236381036449E-15</c:v>
                </c:pt>
                <c:pt idx="9">
                  <c:v>3.3267236381036452E-14</c:v>
                </c:pt>
                <c:pt idx="10">
                  <c:v>3.3267236381036454E-13</c:v>
                </c:pt>
                <c:pt idx="11">
                  <c:v>3.326723638103645E-12</c:v>
                </c:pt>
                <c:pt idx="12">
                  <c:v>3.3267236381036451E-11</c:v>
                </c:pt>
                <c:pt idx="13">
                  <c:v>3.326723638103645E-10</c:v>
                </c:pt>
                <c:pt idx="14">
                  <c:v>3.3267236381036454E-9</c:v>
                </c:pt>
                <c:pt idx="15">
                  <c:v>3.3267236381036453E-8</c:v>
                </c:pt>
                <c:pt idx="16">
                  <c:v>3.3267236381036449E-7</c:v>
                </c:pt>
                <c:pt idx="17">
                  <c:v>3.3267236381036449E-6</c:v>
                </c:pt>
                <c:pt idx="18">
                  <c:v>3.3267236381036447E-5</c:v>
                </c:pt>
                <c:pt idx="19">
                  <c:v>3.3267236381036449E-4</c:v>
                </c:pt>
                <c:pt idx="20">
                  <c:v>3.3267236381036452E-3</c:v>
                </c:pt>
                <c:pt idx="21">
                  <c:v>3.3267236381036451E-2</c:v>
                </c:pt>
                <c:pt idx="22">
                  <c:v>0.33267236381036452</c:v>
                </c:pt>
                <c:pt idx="23">
                  <c:v>3.3267236381036449</c:v>
                </c:pt>
                <c:pt idx="24">
                  <c:v>33.267236381036447</c:v>
                </c:pt>
                <c:pt idx="25">
                  <c:v>332.67236381036452</c:v>
                </c:pt>
                <c:pt idx="26">
                  <c:v>3326.723638103645</c:v>
                </c:pt>
                <c:pt idx="27">
                  <c:v>33267.236381036448</c:v>
                </c:pt>
                <c:pt idx="28">
                  <c:v>332672.36381036451</c:v>
                </c:pt>
                <c:pt idx="29">
                  <c:v>3326723.6381036448</c:v>
                </c:pt>
                <c:pt idx="30">
                  <c:v>33267236.381036449</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8.1934158084793669E-22</c:v>
                </c:pt>
                <c:pt idx="1">
                  <c:v>8.1934158084793662E-21</c:v>
                </c:pt>
                <c:pt idx="2">
                  <c:v>8.1934158084793659E-20</c:v>
                </c:pt>
                <c:pt idx="3">
                  <c:v>8.1934158084793656E-19</c:v>
                </c:pt>
                <c:pt idx="4">
                  <c:v>8.1934158084793662E-18</c:v>
                </c:pt>
                <c:pt idx="5">
                  <c:v>8.1934158084793668E-17</c:v>
                </c:pt>
                <c:pt idx="6">
                  <c:v>8.1934158084793666E-16</c:v>
                </c:pt>
                <c:pt idx="7">
                  <c:v>8.1934158084793662E-15</c:v>
                </c:pt>
                <c:pt idx="8">
                  <c:v>8.1934158084793655E-14</c:v>
                </c:pt>
                <c:pt idx="9">
                  <c:v>8.1934158084793653E-13</c:v>
                </c:pt>
                <c:pt idx="10">
                  <c:v>8.1934158084793659E-12</c:v>
                </c:pt>
                <c:pt idx="11">
                  <c:v>8.1934158084793669E-11</c:v>
                </c:pt>
                <c:pt idx="12">
                  <c:v>8.1934158084793663E-10</c:v>
                </c:pt>
                <c:pt idx="13">
                  <c:v>8.1934158084793668E-9</c:v>
                </c:pt>
                <c:pt idx="14">
                  <c:v>8.1934158084793664E-8</c:v>
                </c:pt>
                <c:pt idx="15">
                  <c:v>8.1934158084793662E-7</c:v>
                </c:pt>
                <c:pt idx="16">
                  <c:v>8.1934158084793664E-6</c:v>
                </c:pt>
                <c:pt idx="17">
                  <c:v>8.193415808479366E-5</c:v>
                </c:pt>
                <c:pt idx="18">
                  <c:v>8.193415808479366E-4</c:v>
                </c:pt>
                <c:pt idx="19">
                  <c:v>8.1934158084793658E-3</c:v>
                </c:pt>
                <c:pt idx="20">
                  <c:v>8.1934158084793665E-2</c:v>
                </c:pt>
                <c:pt idx="21">
                  <c:v>0.81934158084793662</c:v>
                </c:pt>
                <c:pt idx="22">
                  <c:v>8.1934158084793669</c:v>
                </c:pt>
                <c:pt idx="23">
                  <c:v>81.934158084793665</c:v>
                </c:pt>
                <c:pt idx="24">
                  <c:v>819.3415808479366</c:v>
                </c:pt>
                <c:pt idx="25">
                  <c:v>8193.4158084793653</c:v>
                </c:pt>
                <c:pt idx="26">
                  <c:v>81934.158084793657</c:v>
                </c:pt>
                <c:pt idx="27">
                  <c:v>819341.58084793657</c:v>
                </c:pt>
                <c:pt idx="28">
                  <c:v>8193415.8084793659</c:v>
                </c:pt>
                <c:pt idx="29">
                  <c:v>81934158.084793657</c:v>
                </c:pt>
                <c:pt idx="30">
                  <c:v>819341580.84793663</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9.3218910813287767E-21</c:v>
                </c:pt>
                <c:pt idx="1">
                  <c:v>9.3218910813287761E-20</c:v>
                </c:pt>
                <c:pt idx="2">
                  <c:v>9.3218910813287758E-19</c:v>
                </c:pt>
                <c:pt idx="3">
                  <c:v>9.3218910813287762E-18</c:v>
                </c:pt>
                <c:pt idx="4">
                  <c:v>9.321891081328775E-17</c:v>
                </c:pt>
                <c:pt idx="5">
                  <c:v>9.3218910813287769E-16</c:v>
                </c:pt>
                <c:pt idx="6">
                  <c:v>9.3218910813287765E-15</c:v>
                </c:pt>
                <c:pt idx="7">
                  <c:v>9.3218910813287762E-14</c:v>
                </c:pt>
                <c:pt idx="8">
                  <c:v>9.3218910813287752E-13</c:v>
                </c:pt>
                <c:pt idx="9">
                  <c:v>9.3218910813287752E-12</c:v>
                </c:pt>
                <c:pt idx="10">
                  <c:v>9.3218910813287759E-11</c:v>
                </c:pt>
                <c:pt idx="11">
                  <c:v>9.3218910813287761E-10</c:v>
                </c:pt>
                <c:pt idx="12">
                  <c:v>9.3218910813287757E-9</c:v>
                </c:pt>
                <c:pt idx="13">
                  <c:v>9.3218910813287764E-8</c:v>
                </c:pt>
                <c:pt idx="14">
                  <c:v>9.3218910813287758E-7</c:v>
                </c:pt>
                <c:pt idx="15">
                  <c:v>9.3218910813287765E-6</c:v>
                </c:pt>
                <c:pt idx="16">
                  <c:v>9.3218910813287761E-5</c:v>
                </c:pt>
                <c:pt idx="17">
                  <c:v>9.3218910813287759E-4</c:v>
                </c:pt>
                <c:pt idx="18">
                  <c:v>9.3218910813287759E-3</c:v>
                </c:pt>
                <c:pt idx="19">
                  <c:v>9.3218910813287759E-2</c:v>
                </c:pt>
                <c:pt idx="20">
                  <c:v>0.93218910813287759</c:v>
                </c:pt>
                <c:pt idx="21">
                  <c:v>9.3218910813287756</c:v>
                </c:pt>
                <c:pt idx="22">
                  <c:v>93.218910813287764</c:v>
                </c:pt>
                <c:pt idx="23">
                  <c:v>932.18910813287755</c:v>
                </c:pt>
                <c:pt idx="24">
                  <c:v>9321.8910813287748</c:v>
                </c:pt>
                <c:pt idx="25">
                  <c:v>93218.910813287759</c:v>
                </c:pt>
                <c:pt idx="26">
                  <c:v>932189.10813287762</c:v>
                </c:pt>
                <c:pt idx="27">
                  <c:v>9321891.0813287757</c:v>
                </c:pt>
                <c:pt idx="28">
                  <c:v>93218910.81328775</c:v>
                </c:pt>
                <c:pt idx="29">
                  <c:v>932189108.13287759</c:v>
                </c:pt>
                <c:pt idx="30">
                  <c:v>9321891081.3287754</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1.5966088078661547E-19</c:v>
                </c:pt>
                <c:pt idx="1">
                  <c:v>1.5966088078661545E-18</c:v>
                </c:pt>
                <c:pt idx="2">
                  <c:v>1.5966088078661545E-17</c:v>
                </c:pt>
                <c:pt idx="3">
                  <c:v>1.5966088078661544E-16</c:v>
                </c:pt>
                <c:pt idx="4">
                  <c:v>1.5966088078661545E-15</c:v>
                </c:pt>
                <c:pt idx="5">
                  <c:v>1.5966088078661547E-14</c:v>
                </c:pt>
                <c:pt idx="6">
                  <c:v>1.5966088078661546E-13</c:v>
                </c:pt>
                <c:pt idx="7">
                  <c:v>1.5966088078661545E-12</c:v>
                </c:pt>
                <c:pt idx="8">
                  <c:v>1.5966088078661543E-11</c:v>
                </c:pt>
                <c:pt idx="9">
                  <c:v>1.5966088078661545E-10</c:v>
                </c:pt>
                <c:pt idx="10">
                  <c:v>1.5966088078661546E-9</c:v>
                </c:pt>
                <c:pt idx="11">
                  <c:v>1.5966088078661545E-8</c:v>
                </c:pt>
                <c:pt idx="12">
                  <c:v>1.5966088078661544E-7</c:v>
                </c:pt>
                <c:pt idx="13">
                  <c:v>1.5966088078661545E-6</c:v>
                </c:pt>
                <c:pt idx="14">
                  <c:v>1.5966088078661544E-5</c:v>
                </c:pt>
                <c:pt idx="15">
                  <c:v>1.5966088078661546E-4</c:v>
                </c:pt>
                <c:pt idx="16">
                  <c:v>1.5966088078661544E-3</c:v>
                </c:pt>
                <c:pt idx="17">
                  <c:v>1.5966088078661546E-2</c:v>
                </c:pt>
                <c:pt idx="18">
                  <c:v>0.15966088078661544</c:v>
                </c:pt>
                <c:pt idx="19">
                  <c:v>1.5966088078661544</c:v>
                </c:pt>
                <c:pt idx="20">
                  <c:v>15.966088078661546</c:v>
                </c:pt>
                <c:pt idx="21">
                  <c:v>159.66088078661545</c:v>
                </c:pt>
                <c:pt idx="22">
                  <c:v>1596.6088078661544</c:v>
                </c:pt>
                <c:pt idx="23">
                  <c:v>15966.088078661545</c:v>
                </c:pt>
                <c:pt idx="24">
                  <c:v>159660.88078661545</c:v>
                </c:pt>
                <c:pt idx="25">
                  <c:v>1596608.8078661545</c:v>
                </c:pt>
                <c:pt idx="26">
                  <c:v>15966088.078661544</c:v>
                </c:pt>
                <c:pt idx="27">
                  <c:v>159660880.78661546</c:v>
                </c:pt>
                <c:pt idx="28">
                  <c:v>1596608807.8661544</c:v>
                </c:pt>
                <c:pt idx="29">
                  <c:v>15966088078.661545</c:v>
                </c:pt>
                <c:pt idx="30">
                  <c:v>159660880786.61545</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2.6338761419773076E-18</c:v>
                </c:pt>
                <c:pt idx="1">
                  <c:v>2.6338761419773074E-17</c:v>
                </c:pt>
                <c:pt idx="2">
                  <c:v>2.6338761419773074E-16</c:v>
                </c:pt>
                <c:pt idx="3">
                  <c:v>2.6338761419773075E-15</c:v>
                </c:pt>
                <c:pt idx="4">
                  <c:v>2.6338761419773073E-14</c:v>
                </c:pt>
                <c:pt idx="5">
                  <c:v>2.6338761419773074E-13</c:v>
                </c:pt>
                <c:pt idx="6">
                  <c:v>2.6338761419773076E-12</c:v>
                </c:pt>
                <c:pt idx="7">
                  <c:v>2.6338761419773076E-11</c:v>
                </c:pt>
                <c:pt idx="8">
                  <c:v>2.6338761419773074E-10</c:v>
                </c:pt>
                <c:pt idx="9">
                  <c:v>2.6338761419773072E-9</c:v>
                </c:pt>
                <c:pt idx="10">
                  <c:v>2.6338761419773076E-8</c:v>
                </c:pt>
                <c:pt idx="11">
                  <c:v>2.6338761419773074E-7</c:v>
                </c:pt>
                <c:pt idx="12">
                  <c:v>2.6338761419773075E-6</c:v>
                </c:pt>
                <c:pt idx="13">
                  <c:v>2.6338761419773075E-5</c:v>
                </c:pt>
                <c:pt idx="14">
                  <c:v>2.6338761419773078E-4</c:v>
                </c:pt>
                <c:pt idx="15">
                  <c:v>2.6338761419773074E-3</c:v>
                </c:pt>
                <c:pt idx="16">
                  <c:v>2.6338761419773073E-2</c:v>
                </c:pt>
                <c:pt idx="17">
                  <c:v>0.26338761419773077</c:v>
                </c:pt>
                <c:pt idx="18">
                  <c:v>2.6338761419773076</c:v>
                </c:pt>
                <c:pt idx="19">
                  <c:v>26.338761419773075</c:v>
                </c:pt>
                <c:pt idx="20">
                  <c:v>263.38761419773073</c:v>
                </c:pt>
                <c:pt idx="21">
                  <c:v>2633.8761419773073</c:v>
                </c:pt>
                <c:pt idx="22">
                  <c:v>26338.761419773073</c:v>
                </c:pt>
                <c:pt idx="23">
                  <c:v>263387.61419773073</c:v>
                </c:pt>
                <c:pt idx="24">
                  <c:v>2633876.1419773074</c:v>
                </c:pt>
                <c:pt idx="25">
                  <c:v>26338761.419773076</c:v>
                </c:pt>
                <c:pt idx="26">
                  <c:v>263387614.19773075</c:v>
                </c:pt>
                <c:pt idx="27">
                  <c:v>2633876141.9773073</c:v>
                </c:pt>
                <c:pt idx="28">
                  <c:v>26338761419.773075</c:v>
                </c:pt>
                <c:pt idx="29">
                  <c:v>263387614197.73074</c:v>
                </c:pt>
                <c:pt idx="30">
                  <c:v>2633876141977.3076</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2.9502327447216573E-13</c:v>
                </c:pt>
                <c:pt idx="1">
                  <c:v>2.9502327447216567E-12</c:v>
                </c:pt>
                <c:pt idx="2">
                  <c:v>2.9502327447216569E-11</c:v>
                </c:pt>
                <c:pt idx="3">
                  <c:v>2.950232744721657E-10</c:v>
                </c:pt>
                <c:pt idx="4">
                  <c:v>2.9502327447216568E-9</c:v>
                </c:pt>
                <c:pt idx="5">
                  <c:v>2.9502327447216571E-8</c:v>
                </c:pt>
                <c:pt idx="6">
                  <c:v>2.9502327447216573E-7</c:v>
                </c:pt>
                <c:pt idx="7">
                  <c:v>2.9502327447216567E-6</c:v>
                </c:pt>
                <c:pt idx="8">
                  <c:v>2.9502327447216568E-5</c:v>
                </c:pt>
                <c:pt idx="9">
                  <c:v>2.950232744721657E-4</c:v>
                </c:pt>
                <c:pt idx="10">
                  <c:v>2.9502327447216573E-3</c:v>
                </c:pt>
                <c:pt idx="11">
                  <c:v>2.9502327447216571E-2</c:v>
                </c:pt>
                <c:pt idx="12">
                  <c:v>0.2950232744721657</c:v>
                </c:pt>
                <c:pt idx="13">
                  <c:v>2.950232744721657</c:v>
                </c:pt>
                <c:pt idx="14">
                  <c:v>29.502327447216569</c:v>
                </c:pt>
                <c:pt idx="15">
                  <c:v>295.02327447216567</c:v>
                </c:pt>
                <c:pt idx="16">
                  <c:v>2950.2327447216567</c:v>
                </c:pt>
                <c:pt idx="17">
                  <c:v>29502.327447216569</c:v>
                </c:pt>
                <c:pt idx="18">
                  <c:v>295023.27447216568</c:v>
                </c:pt>
                <c:pt idx="19">
                  <c:v>2950232.7447216567</c:v>
                </c:pt>
                <c:pt idx="20">
                  <c:v>29502327.44721657</c:v>
                </c:pt>
                <c:pt idx="21">
                  <c:v>295023274.4721657</c:v>
                </c:pt>
                <c:pt idx="22">
                  <c:v>2950232744.7216568</c:v>
                </c:pt>
                <c:pt idx="23">
                  <c:v>29502327447.216568</c:v>
                </c:pt>
                <c:pt idx="24">
                  <c:v>295023274472.16571</c:v>
                </c:pt>
                <c:pt idx="25">
                  <c:v>2950232744721.6567</c:v>
                </c:pt>
                <c:pt idx="26">
                  <c:v>29502327447216.57</c:v>
                </c:pt>
                <c:pt idx="27">
                  <c:v>295023274472165.69</c:v>
                </c:pt>
                <c:pt idx="28">
                  <c:v>2950232744721657</c:v>
                </c:pt>
                <c:pt idx="29">
                  <c:v>2.9502327447216568E+16</c:v>
                </c:pt>
                <c:pt idx="30">
                  <c:v>2.950232744721657E+17</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546590096"/>
        <c:axId val="491925016"/>
      </c:scatterChart>
      <c:valAx>
        <c:axId val="5465900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5016"/>
        <c:crosses val="autoZero"/>
        <c:crossBetween val="midCat"/>
      </c:valAx>
      <c:valAx>
        <c:axId val="49192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590096"/>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3.3267236381036455E-23</c:v>
                </c:pt>
                <c:pt idx="1">
                  <c:v>3.326723638103645E-22</c:v>
                </c:pt>
                <c:pt idx="2">
                  <c:v>3.3267236381036451E-21</c:v>
                </c:pt>
                <c:pt idx="3">
                  <c:v>3.3267236381036451E-20</c:v>
                </c:pt>
                <c:pt idx="4">
                  <c:v>3.3267236381036448E-19</c:v>
                </c:pt>
                <c:pt idx="5">
                  <c:v>3.3267236381036452E-18</c:v>
                </c:pt>
                <c:pt idx="6">
                  <c:v>3.3267236381036453E-17</c:v>
                </c:pt>
                <c:pt idx="7">
                  <c:v>3.3267236381036453E-16</c:v>
                </c:pt>
                <c:pt idx="8">
                  <c:v>3.3267236381036449E-15</c:v>
                </c:pt>
                <c:pt idx="9">
                  <c:v>3.3267236381036452E-14</c:v>
                </c:pt>
                <c:pt idx="10">
                  <c:v>3.3267236381036454E-13</c:v>
                </c:pt>
                <c:pt idx="11">
                  <c:v>3.326723638103645E-12</c:v>
                </c:pt>
                <c:pt idx="12">
                  <c:v>3.3267236381036451E-11</c:v>
                </c:pt>
                <c:pt idx="13">
                  <c:v>3.326723638103645E-10</c:v>
                </c:pt>
                <c:pt idx="14">
                  <c:v>3.3267236381036454E-9</c:v>
                </c:pt>
                <c:pt idx="15">
                  <c:v>3.3267236381036453E-8</c:v>
                </c:pt>
                <c:pt idx="16">
                  <c:v>3.3267236381036449E-7</c:v>
                </c:pt>
                <c:pt idx="17">
                  <c:v>3.3267236381036449E-6</c:v>
                </c:pt>
                <c:pt idx="18">
                  <c:v>3.3267236381036447E-5</c:v>
                </c:pt>
                <c:pt idx="19">
                  <c:v>3.3267236381036449E-4</c:v>
                </c:pt>
                <c:pt idx="20">
                  <c:v>3.3267236381036452E-3</c:v>
                </c:pt>
                <c:pt idx="21">
                  <c:v>3.3267236381036451E-2</c:v>
                </c:pt>
                <c:pt idx="22">
                  <c:v>0.33267236381036452</c:v>
                </c:pt>
                <c:pt idx="23">
                  <c:v>3.3267236381036449</c:v>
                </c:pt>
                <c:pt idx="24">
                  <c:v>33.267236381036447</c:v>
                </c:pt>
                <c:pt idx="25">
                  <c:v>332.67236381036452</c:v>
                </c:pt>
                <c:pt idx="26">
                  <c:v>3326.723638103645</c:v>
                </c:pt>
                <c:pt idx="27">
                  <c:v>33267.236381036448</c:v>
                </c:pt>
                <c:pt idx="28">
                  <c:v>332672.36381036451</c:v>
                </c:pt>
                <c:pt idx="29">
                  <c:v>3326723.6381036448</c:v>
                </c:pt>
                <c:pt idx="30">
                  <c:v>33267236.381036449</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8.1934158084793669E-22</c:v>
                </c:pt>
                <c:pt idx="1">
                  <c:v>8.1934158084793662E-21</c:v>
                </c:pt>
                <c:pt idx="2">
                  <c:v>8.1934158084793659E-20</c:v>
                </c:pt>
                <c:pt idx="3">
                  <c:v>8.1934158084793656E-19</c:v>
                </c:pt>
                <c:pt idx="4">
                  <c:v>8.1934158084793662E-18</c:v>
                </c:pt>
                <c:pt idx="5">
                  <c:v>8.1934158084793668E-17</c:v>
                </c:pt>
                <c:pt idx="6">
                  <c:v>8.1934158084793666E-16</c:v>
                </c:pt>
                <c:pt idx="7">
                  <c:v>8.1934158084793662E-15</c:v>
                </c:pt>
                <c:pt idx="8">
                  <c:v>8.1934158084793655E-14</c:v>
                </c:pt>
                <c:pt idx="9">
                  <c:v>8.1934158084793653E-13</c:v>
                </c:pt>
                <c:pt idx="10">
                  <c:v>8.1934158084793659E-12</c:v>
                </c:pt>
                <c:pt idx="11">
                  <c:v>8.1934158084793669E-11</c:v>
                </c:pt>
                <c:pt idx="12">
                  <c:v>8.1934158084793663E-10</c:v>
                </c:pt>
                <c:pt idx="13">
                  <c:v>8.1934158084793668E-9</c:v>
                </c:pt>
                <c:pt idx="14">
                  <c:v>8.1934158084793664E-8</c:v>
                </c:pt>
                <c:pt idx="15">
                  <c:v>8.1934158084793662E-7</c:v>
                </c:pt>
                <c:pt idx="16">
                  <c:v>8.1934158084793664E-6</c:v>
                </c:pt>
                <c:pt idx="17">
                  <c:v>8.193415808479366E-5</c:v>
                </c:pt>
                <c:pt idx="18">
                  <c:v>8.193415808479366E-4</c:v>
                </c:pt>
                <c:pt idx="19">
                  <c:v>8.1934158084793658E-3</c:v>
                </c:pt>
                <c:pt idx="20">
                  <c:v>8.1934158084793665E-2</c:v>
                </c:pt>
                <c:pt idx="21">
                  <c:v>0.81934158084793662</c:v>
                </c:pt>
                <c:pt idx="22">
                  <c:v>8.1934158084793669</c:v>
                </c:pt>
                <c:pt idx="23">
                  <c:v>81.934158084793665</c:v>
                </c:pt>
                <c:pt idx="24">
                  <c:v>819.3415808479366</c:v>
                </c:pt>
                <c:pt idx="25">
                  <c:v>8193.4158084793653</c:v>
                </c:pt>
                <c:pt idx="26">
                  <c:v>81934.158084793657</c:v>
                </c:pt>
                <c:pt idx="27">
                  <c:v>819341.58084793657</c:v>
                </c:pt>
                <c:pt idx="28">
                  <c:v>8193415.8084793659</c:v>
                </c:pt>
                <c:pt idx="29">
                  <c:v>81934158.084793657</c:v>
                </c:pt>
                <c:pt idx="30">
                  <c:v>819341580.84793663</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9.3218910813287767E-21</c:v>
                </c:pt>
                <c:pt idx="1">
                  <c:v>9.3218910813287761E-20</c:v>
                </c:pt>
                <c:pt idx="2">
                  <c:v>9.3218910813287758E-19</c:v>
                </c:pt>
                <c:pt idx="3">
                  <c:v>9.3218910813287762E-18</c:v>
                </c:pt>
                <c:pt idx="4">
                  <c:v>9.321891081328775E-17</c:v>
                </c:pt>
                <c:pt idx="5">
                  <c:v>9.3218910813287769E-16</c:v>
                </c:pt>
                <c:pt idx="6">
                  <c:v>9.3218910813287765E-15</c:v>
                </c:pt>
                <c:pt idx="7">
                  <c:v>9.3218910813287762E-14</c:v>
                </c:pt>
                <c:pt idx="8">
                  <c:v>9.3218910813287752E-13</c:v>
                </c:pt>
                <c:pt idx="9">
                  <c:v>9.3218910813287752E-12</c:v>
                </c:pt>
                <c:pt idx="10">
                  <c:v>9.3218910813287759E-11</c:v>
                </c:pt>
                <c:pt idx="11">
                  <c:v>9.3218910813287761E-10</c:v>
                </c:pt>
                <c:pt idx="12">
                  <c:v>9.3218910813287757E-9</c:v>
                </c:pt>
                <c:pt idx="13">
                  <c:v>9.3218910813287764E-8</c:v>
                </c:pt>
                <c:pt idx="14">
                  <c:v>9.3218910813287758E-7</c:v>
                </c:pt>
                <c:pt idx="15">
                  <c:v>9.3218910813287765E-6</c:v>
                </c:pt>
                <c:pt idx="16">
                  <c:v>9.3218910813287761E-5</c:v>
                </c:pt>
                <c:pt idx="17">
                  <c:v>9.3218910813287759E-4</c:v>
                </c:pt>
                <c:pt idx="18">
                  <c:v>9.3218910813287759E-3</c:v>
                </c:pt>
                <c:pt idx="19">
                  <c:v>9.3218910813287759E-2</c:v>
                </c:pt>
                <c:pt idx="20">
                  <c:v>0.93218910813287759</c:v>
                </c:pt>
                <c:pt idx="21">
                  <c:v>9.3218910813287756</c:v>
                </c:pt>
                <c:pt idx="22">
                  <c:v>93.218910813287764</c:v>
                </c:pt>
                <c:pt idx="23">
                  <c:v>932.18910813287755</c:v>
                </c:pt>
                <c:pt idx="24">
                  <c:v>9321.8910813287748</c:v>
                </c:pt>
                <c:pt idx="25">
                  <c:v>93218.910813287759</c:v>
                </c:pt>
                <c:pt idx="26">
                  <c:v>932189.10813287762</c:v>
                </c:pt>
                <c:pt idx="27">
                  <c:v>9321891.0813287757</c:v>
                </c:pt>
                <c:pt idx="28">
                  <c:v>93218910.81328775</c:v>
                </c:pt>
                <c:pt idx="29">
                  <c:v>932189108.13287759</c:v>
                </c:pt>
                <c:pt idx="30">
                  <c:v>9321891081.3287754</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1.5966088078661547E-19</c:v>
                </c:pt>
                <c:pt idx="1">
                  <c:v>1.5966088078661545E-18</c:v>
                </c:pt>
                <c:pt idx="2">
                  <c:v>1.5966088078661545E-17</c:v>
                </c:pt>
                <c:pt idx="3">
                  <c:v>1.5966088078661544E-16</c:v>
                </c:pt>
                <c:pt idx="4">
                  <c:v>1.5966088078661545E-15</c:v>
                </c:pt>
                <c:pt idx="5">
                  <c:v>1.5966088078661547E-14</c:v>
                </c:pt>
                <c:pt idx="6">
                  <c:v>1.5966088078661546E-13</c:v>
                </c:pt>
                <c:pt idx="7">
                  <c:v>1.5966088078661545E-12</c:v>
                </c:pt>
                <c:pt idx="8">
                  <c:v>1.5966088078661543E-11</c:v>
                </c:pt>
                <c:pt idx="9">
                  <c:v>1.5966088078661545E-10</c:v>
                </c:pt>
                <c:pt idx="10">
                  <c:v>1.5966088078661546E-9</c:v>
                </c:pt>
                <c:pt idx="11">
                  <c:v>1.5966088078661545E-8</c:v>
                </c:pt>
                <c:pt idx="12">
                  <c:v>1.5966088078661544E-7</c:v>
                </c:pt>
                <c:pt idx="13">
                  <c:v>1.5966088078661545E-6</c:v>
                </c:pt>
                <c:pt idx="14">
                  <c:v>1.5966088078661544E-5</c:v>
                </c:pt>
                <c:pt idx="15">
                  <c:v>1.5966088078661546E-4</c:v>
                </c:pt>
                <c:pt idx="16">
                  <c:v>1.5966088078661544E-3</c:v>
                </c:pt>
                <c:pt idx="17">
                  <c:v>1.5966088078661546E-2</c:v>
                </c:pt>
                <c:pt idx="18">
                  <c:v>0.15966088078661544</c:v>
                </c:pt>
                <c:pt idx="19">
                  <c:v>1.5966088078661544</c:v>
                </c:pt>
                <c:pt idx="20">
                  <c:v>15.966088078661546</c:v>
                </c:pt>
                <c:pt idx="21">
                  <c:v>159.66088078661545</c:v>
                </c:pt>
                <c:pt idx="22">
                  <c:v>1596.6088078661544</c:v>
                </c:pt>
                <c:pt idx="23">
                  <c:v>15966.088078661545</c:v>
                </c:pt>
                <c:pt idx="24">
                  <c:v>159660.88078661545</c:v>
                </c:pt>
                <c:pt idx="25">
                  <c:v>1596608.8078661545</c:v>
                </c:pt>
                <c:pt idx="26">
                  <c:v>15966088.078661544</c:v>
                </c:pt>
                <c:pt idx="27">
                  <c:v>159660880.78661546</c:v>
                </c:pt>
                <c:pt idx="28">
                  <c:v>1596608807.8661544</c:v>
                </c:pt>
                <c:pt idx="29">
                  <c:v>15966088078.661545</c:v>
                </c:pt>
                <c:pt idx="30">
                  <c:v>159660880786.61545</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2.6338761419773076E-18</c:v>
                </c:pt>
                <c:pt idx="1">
                  <c:v>2.6338761419773074E-17</c:v>
                </c:pt>
                <c:pt idx="2">
                  <c:v>2.6338761419773074E-16</c:v>
                </c:pt>
                <c:pt idx="3">
                  <c:v>2.6338761419773075E-15</c:v>
                </c:pt>
                <c:pt idx="4">
                  <c:v>2.6338761419773073E-14</c:v>
                </c:pt>
                <c:pt idx="5">
                  <c:v>2.6338761419773074E-13</c:v>
                </c:pt>
                <c:pt idx="6">
                  <c:v>2.6338761419773076E-12</c:v>
                </c:pt>
                <c:pt idx="7">
                  <c:v>2.6338761419773076E-11</c:v>
                </c:pt>
                <c:pt idx="8">
                  <c:v>2.6338761419773074E-10</c:v>
                </c:pt>
                <c:pt idx="9">
                  <c:v>2.6338761419773072E-9</c:v>
                </c:pt>
                <c:pt idx="10">
                  <c:v>2.6338761419773076E-8</c:v>
                </c:pt>
                <c:pt idx="11">
                  <c:v>2.6338761419773074E-7</c:v>
                </c:pt>
                <c:pt idx="12">
                  <c:v>2.6338761419773075E-6</c:v>
                </c:pt>
                <c:pt idx="13">
                  <c:v>2.6338761419773075E-5</c:v>
                </c:pt>
                <c:pt idx="14">
                  <c:v>2.6338761419773078E-4</c:v>
                </c:pt>
                <c:pt idx="15">
                  <c:v>2.6338761419773074E-3</c:v>
                </c:pt>
                <c:pt idx="16">
                  <c:v>2.6338761419773073E-2</c:v>
                </c:pt>
                <c:pt idx="17">
                  <c:v>0.26338761419773077</c:v>
                </c:pt>
                <c:pt idx="18">
                  <c:v>2.6338761419773076</c:v>
                </c:pt>
                <c:pt idx="19">
                  <c:v>26.338761419773075</c:v>
                </c:pt>
                <c:pt idx="20">
                  <c:v>263.38761419773073</c:v>
                </c:pt>
                <c:pt idx="21">
                  <c:v>2633.8761419773073</c:v>
                </c:pt>
                <c:pt idx="22">
                  <c:v>26338.761419773073</c:v>
                </c:pt>
                <c:pt idx="23">
                  <c:v>263387.61419773073</c:v>
                </c:pt>
                <c:pt idx="24">
                  <c:v>2633876.1419773074</c:v>
                </c:pt>
                <c:pt idx="25">
                  <c:v>26338761.419773076</c:v>
                </c:pt>
                <c:pt idx="26">
                  <c:v>263387614.19773075</c:v>
                </c:pt>
                <c:pt idx="27">
                  <c:v>2633876141.9773073</c:v>
                </c:pt>
                <c:pt idx="28">
                  <c:v>26338761419.773075</c:v>
                </c:pt>
                <c:pt idx="29">
                  <c:v>263387614197.73074</c:v>
                </c:pt>
                <c:pt idx="30">
                  <c:v>2633876141977.3076</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2.9502327447216573E-13</c:v>
                </c:pt>
                <c:pt idx="1">
                  <c:v>2.9502327447216567E-12</c:v>
                </c:pt>
                <c:pt idx="2">
                  <c:v>2.9502327447216569E-11</c:v>
                </c:pt>
                <c:pt idx="3">
                  <c:v>2.950232744721657E-10</c:v>
                </c:pt>
                <c:pt idx="4">
                  <c:v>2.9502327447216568E-9</c:v>
                </c:pt>
                <c:pt idx="5">
                  <c:v>2.9502327447216571E-8</c:v>
                </c:pt>
                <c:pt idx="6">
                  <c:v>2.9502327447216573E-7</c:v>
                </c:pt>
                <c:pt idx="7">
                  <c:v>2.9502327447216567E-6</c:v>
                </c:pt>
                <c:pt idx="8">
                  <c:v>2.9502327447216568E-5</c:v>
                </c:pt>
                <c:pt idx="9">
                  <c:v>2.950232744721657E-4</c:v>
                </c:pt>
                <c:pt idx="10">
                  <c:v>2.9502327447216573E-3</c:v>
                </c:pt>
                <c:pt idx="11">
                  <c:v>2.9502327447216571E-2</c:v>
                </c:pt>
                <c:pt idx="12">
                  <c:v>0.2950232744721657</c:v>
                </c:pt>
                <c:pt idx="13">
                  <c:v>2.950232744721657</c:v>
                </c:pt>
                <c:pt idx="14">
                  <c:v>29.502327447216569</c:v>
                </c:pt>
                <c:pt idx="15">
                  <c:v>295.02327447216567</c:v>
                </c:pt>
                <c:pt idx="16">
                  <c:v>2950.2327447216567</c:v>
                </c:pt>
                <c:pt idx="17">
                  <c:v>29502.327447216569</c:v>
                </c:pt>
                <c:pt idx="18">
                  <c:v>295023.27447216568</c:v>
                </c:pt>
                <c:pt idx="19">
                  <c:v>2950232.7447216567</c:v>
                </c:pt>
                <c:pt idx="20">
                  <c:v>29502327.44721657</c:v>
                </c:pt>
                <c:pt idx="21">
                  <c:v>295023274.4721657</c:v>
                </c:pt>
                <c:pt idx="22">
                  <c:v>2950232744.7216568</c:v>
                </c:pt>
                <c:pt idx="23">
                  <c:v>29502327447.216568</c:v>
                </c:pt>
                <c:pt idx="24">
                  <c:v>295023274472.16571</c:v>
                </c:pt>
                <c:pt idx="25">
                  <c:v>2950232744721.6567</c:v>
                </c:pt>
                <c:pt idx="26">
                  <c:v>29502327447216.57</c:v>
                </c:pt>
                <c:pt idx="27">
                  <c:v>295023274472165.69</c:v>
                </c:pt>
                <c:pt idx="28">
                  <c:v>2950232744721657</c:v>
                </c:pt>
                <c:pt idx="29">
                  <c:v>2.9502327447216568E+16</c:v>
                </c:pt>
                <c:pt idx="30">
                  <c:v>2.950232744721657E+17</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91926584"/>
        <c:axId val="491930504"/>
      </c:scatterChart>
      <c:valAx>
        <c:axId val="49192658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0504"/>
        <c:crosses val="autoZero"/>
        <c:crossBetween val="midCat"/>
      </c:valAx>
      <c:valAx>
        <c:axId val="491930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658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-17.218692816761287</c:v>
                </c:pt>
                <c:pt idx="1">
                  <c:v>-17.154555953054231</c:v>
                </c:pt>
                <c:pt idx="2">
                  <c:v>-17.090359196898852</c:v>
                </c:pt>
                <c:pt idx="3">
                  <c:v>-17.02604265584684</c:v>
                </c:pt>
                <c:pt idx="4">
                  <c:v>-16.961546437449876</c:v>
                </c:pt>
                <c:pt idx="5">
                  <c:v>-16.896810649259638</c:v>
                </c:pt>
                <c:pt idx="6">
                  <c:v>-16.831775398827812</c:v>
                </c:pt>
                <c:pt idx="7">
                  <c:v>-16.76638079370608</c:v>
                </c:pt>
                <c:pt idx="8">
                  <c:v>-16.70056694144612</c:v>
                </c:pt>
                <c:pt idx="9">
                  <c:v>-16.634273949599621</c:v>
                </c:pt>
                <c:pt idx="10">
                  <c:v>-16.56744192571826</c:v>
                </c:pt>
                <c:pt idx="11">
                  <c:v>-16.500010977353721</c:v>
                </c:pt>
                <c:pt idx="12">
                  <c:v>-16.431921212057684</c:v>
                </c:pt>
                <c:pt idx="13">
                  <c:v>-16.363112737381833</c:v>
                </c:pt>
                <c:pt idx="14">
                  <c:v>-16.293525660877854</c:v>
                </c:pt>
                <c:pt idx="15">
                  <c:v>-16.223100090097418</c:v>
                </c:pt>
                <c:pt idx="16">
                  <c:v>-16.151776132592218</c:v>
                </c:pt>
                <c:pt idx="17">
                  <c:v>-16.079493895913934</c:v>
                </c:pt>
                <c:pt idx="18">
                  <c:v>-16.006193487614244</c:v>
                </c:pt>
                <c:pt idx="19">
                  <c:v>-15.931815015244837</c:v>
                </c:pt>
                <c:pt idx="20">
                  <c:v>-15.856298586357386</c:v>
                </c:pt>
                <c:pt idx="21">
                  <c:v>-15.77958430850358</c:v>
                </c:pt>
                <c:pt idx="22">
                  <c:v>-15.701612289235101</c:v>
                </c:pt>
                <c:pt idx="23">
                  <c:v>-15.622322636103627</c:v>
                </c:pt>
                <c:pt idx="24">
                  <c:v>-15.541655456660845</c:v>
                </c:pt>
                <c:pt idx="25">
                  <c:v>-15.459550858458432</c:v>
                </c:pt>
                <c:pt idx="26">
                  <c:v>-15.375948949048073</c:v>
                </c:pt>
                <c:pt idx="27">
                  <c:v>-15.29078983598145</c:v>
                </c:pt>
                <c:pt idx="28">
                  <c:v>-15.204013626810248</c:v>
                </c:pt>
                <c:pt idx="29">
                  <c:v>-15.115560429086145</c:v>
                </c:pt>
                <c:pt idx="30">
                  <c:v>-15.025370350360824</c:v>
                </c:pt>
                <c:pt idx="31">
                  <c:v>-14.933383498185966</c:v>
                </c:pt>
                <c:pt idx="32">
                  <c:v>-14.839539980113257</c:v>
                </c:pt>
                <c:pt idx="33">
                  <c:v>-14.743779903694376</c:v>
                </c:pt>
                <c:pt idx="34">
                  <c:v>-14.646043376481007</c:v>
                </c:pt>
                <c:pt idx="35">
                  <c:v>-14.546270506024829</c:v>
                </c:pt>
                <c:pt idx="36">
                  <c:v>-14.444401399877528</c:v>
                </c:pt>
                <c:pt idx="37">
                  <c:v>-14.340376165590786</c:v>
                </c:pt>
                <c:pt idx="38">
                  <c:v>-14.234134910716282</c:v>
                </c:pt>
                <c:pt idx="39">
                  <c:v>-14.1256177428057</c:v>
                </c:pt>
                <c:pt idx="40">
                  <c:v>-14.014764769410723</c:v>
                </c:pt>
                <c:pt idx="41">
                  <c:v>-13.939693594754406</c:v>
                </c:pt>
                <c:pt idx="42">
                  <c:v>-13.862289748711889</c:v>
                </c:pt>
                <c:pt idx="43">
                  <c:v>-13.782616257829691</c:v>
                </c:pt>
                <c:pt idx="44">
                  <c:v>-13.700736148654324</c:v>
                </c:pt>
                <c:pt idx="45">
                  <c:v>-13.616712447732301</c:v>
                </c:pt>
                <c:pt idx="46">
                  <c:v>-13.530608181610139</c:v>
                </c:pt>
                <c:pt idx="47">
                  <c:v>-13.442486376834353</c:v>
                </c:pt>
                <c:pt idx="48">
                  <c:v>-13.352410059951454</c:v>
                </c:pt>
                <c:pt idx="49">
                  <c:v>-13.260442257507965</c:v>
                </c:pt>
                <c:pt idx="50">
                  <c:v>-13.166645996050395</c:v>
                </c:pt>
                <c:pt idx="51">
                  <c:v>-13.071084302125261</c:v>
                </c:pt>
                <c:pt idx="52">
                  <c:v>-12.973820202279075</c:v>
                </c:pt>
                <c:pt idx="53">
                  <c:v>-12.874916723058355</c:v>
                </c:pt>
                <c:pt idx="54">
                  <c:v>-12.774436891009612</c:v>
                </c:pt>
                <c:pt idx="55">
                  <c:v>-12.672443732679366</c:v>
                </c:pt>
                <c:pt idx="56">
                  <c:v>-12.56900027461413</c:v>
                </c:pt>
                <c:pt idx="57">
                  <c:v>-12.464169543360416</c:v>
                </c:pt>
                <c:pt idx="58">
                  <c:v>-12.358014565464744</c:v>
                </c:pt>
                <c:pt idx="59">
                  <c:v>-12.250598367473625</c:v>
                </c:pt>
                <c:pt idx="60">
                  <c:v>-12.141983975933575</c:v>
                </c:pt>
                <c:pt idx="61">
                  <c:v>-12.032234417391109</c:v>
                </c:pt>
                <c:pt idx="62">
                  <c:v>-11.921412718392743</c:v>
                </c:pt>
                <c:pt idx="63">
                  <c:v>-11.80958190548499</c:v>
                </c:pt>
                <c:pt idx="64">
                  <c:v>-11.696805005214365</c:v>
                </c:pt>
                <c:pt idx="65">
                  <c:v>-11.583145044127384</c:v>
                </c:pt>
                <c:pt idx="66">
                  <c:v>-11.468671669864126</c:v>
                </c:pt>
                <c:pt idx="67">
                  <c:v>-11.353481014438922</c:v>
                </c:pt>
                <c:pt idx="68">
                  <c:v>-11.237675830959665</c:v>
                </c:pt>
                <c:pt idx="69">
                  <c:v>-11.121358872534255</c:v>
                </c:pt>
                <c:pt idx="70">
                  <c:v>-11.004632892270589</c:v>
                </c:pt>
                <c:pt idx="71">
                  <c:v>-10.88760064327656</c:v>
                </c:pt>
                <c:pt idx="72">
                  <c:v>-10.770364878660065</c:v>
                </c:pt>
                <c:pt idx="73">
                  <c:v>-10.653028351528997</c:v>
                </c:pt>
                <c:pt idx="74">
                  <c:v>-10.535693814991255</c:v>
                </c:pt>
                <c:pt idx="75">
                  <c:v>-10.418464022154735</c:v>
                </c:pt>
                <c:pt idx="76">
                  <c:v>-10.301441726127331</c:v>
                </c:pt>
                <c:pt idx="77">
                  <c:v>-10.184729680016941</c:v>
                </c:pt>
                <c:pt idx="78">
                  <c:v>-10.06843063693146</c:v>
                </c:pt>
                <c:pt idx="79">
                  <c:v>-9.9526473499787809</c:v>
                </c:pt>
                <c:pt idx="80">
                  <c:v>-9.8374825722668042</c:v>
                </c:pt>
                <c:pt idx="81">
                  <c:v>-9.7230390569034224</c:v>
                </c:pt>
                <c:pt idx="82">
                  <c:v>-9.6094195569965333</c:v>
                </c:pt>
                <c:pt idx="83">
                  <c:v>-9.4967268256540329</c:v>
                </c:pt>
                <c:pt idx="84">
                  <c:v>-9.3850636159838139</c:v>
                </c:pt>
                <c:pt idx="85">
                  <c:v>-9.2745326810937758</c:v>
                </c:pt>
                <c:pt idx="86">
                  <c:v>-9.165236774091813</c:v>
                </c:pt>
                <c:pt idx="87">
                  <c:v>-9.0572786480858216</c:v>
                </c:pt>
                <c:pt idx="88">
                  <c:v>-8.9507610561836977</c:v>
                </c:pt>
                <c:pt idx="89">
                  <c:v>-8.8457867514933355</c:v>
                </c:pt>
                <c:pt idx="90">
                  <c:v>-8.742458487122633</c:v>
                </c:pt>
                <c:pt idx="91">
                  <c:v>-8.6408427800305869</c:v>
                </c:pt>
                <c:pt idx="92">
                  <c:v>-8.5408612025806008</c:v>
                </c:pt>
                <c:pt idx="93">
                  <c:v>-8.442399090987184</c:v>
                </c:pt>
                <c:pt idx="94">
                  <c:v>-8.345341781464839</c:v>
                </c:pt>
                <c:pt idx="95">
                  <c:v>-8.2495746102280787</c:v>
                </c:pt>
                <c:pt idx="96">
                  <c:v>-8.154982913491402</c:v>
                </c:pt>
                <c:pt idx="97">
                  <c:v>-8.0614520274693202</c:v>
                </c:pt>
                <c:pt idx="98">
                  <c:v>-7.9688672883763392</c:v>
                </c:pt>
                <c:pt idx="99">
                  <c:v>-7.877114032426964</c:v>
                </c:pt>
                <c:pt idx="100">
                  <c:v>-7.7860775958357014</c:v>
                </c:pt>
                <c:pt idx="101">
                  <c:v>-7.6956433148170609</c:v>
                </c:pt>
                <c:pt idx="102">
                  <c:v>-7.6056965255855449</c:v>
                </c:pt>
                <c:pt idx="103">
                  <c:v>-7.5161225643556637</c:v>
                </c:pt>
                <c:pt idx="104">
                  <c:v>-7.4268067673419207</c:v>
                </c:pt>
                <c:pt idx="105">
                  <c:v>-7.3376344707588226</c:v>
                </c:pt>
                <c:pt idx="106">
                  <c:v>-7.2484910108208789</c:v>
                </c:pt>
                <c:pt idx="107">
                  <c:v>-7.1592617237425928</c:v>
                </c:pt>
                <c:pt idx="108">
                  <c:v>-7.0698319457384731</c:v>
                </c:pt>
                <c:pt idx="109">
                  <c:v>-6.9800870130230255</c:v>
                </c:pt>
                <c:pt idx="110">
                  <c:v>-6.8899122618107542</c:v>
                </c:pt>
                <c:pt idx="111">
                  <c:v>-6.7991930283161706</c:v>
                </c:pt>
                <c:pt idx="112">
                  <c:v>-6.7078146487537769</c:v>
                </c:pt>
                <c:pt idx="113">
                  <c:v>-6.6156624593380826</c:v>
                </c:pt>
                <c:pt idx="114">
                  <c:v>-6.522621796283592</c:v>
                </c:pt>
                <c:pt idx="115">
                  <c:v>-6.4285779958048135</c:v>
                </c:pt>
                <c:pt idx="116">
                  <c:v>-6.3334163941162513</c:v>
                </c:pt>
                <c:pt idx="117">
                  <c:v>-6.2370223274324141</c:v>
                </c:pt>
                <c:pt idx="118">
                  <c:v>-6.1392811319678069</c:v>
                </c:pt>
                <c:pt idx="119">
                  <c:v>-6.0400781439369382</c:v>
                </c:pt>
                <c:pt idx="120">
                  <c:v>-5.9392986995543113</c:v>
                </c:pt>
                <c:pt idx="121">
                  <c:v>-5.8368510341499755</c:v>
                </c:pt>
                <c:pt idx="122">
                  <c:v>-5.7327349795161311</c:v>
                </c:pt>
                <c:pt idx="123">
                  <c:v>-5.6269732665605199</c:v>
                </c:pt>
                <c:pt idx="124">
                  <c:v>-5.5195886261908838</c:v>
                </c:pt>
                <c:pt idx="125">
                  <c:v>-5.4106037893149654</c:v>
                </c:pt>
                <c:pt idx="126">
                  <c:v>-5.300041486840505</c:v>
                </c:pt>
                <c:pt idx="127">
                  <c:v>-5.1879244496752435</c:v>
                </c:pt>
                <c:pt idx="128">
                  <c:v>-5.0742754087269253</c:v>
                </c:pt>
                <c:pt idx="129">
                  <c:v>-4.9591170949032914</c:v>
                </c:pt>
                <c:pt idx="130">
                  <c:v>-4.8424722391120802</c:v>
                </c:pt>
                <c:pt idx="131">
                  <c:v>-4.7243635722610371</c:v>
                </c:pt>
                <c:pt idx="132">
                  <c:v>-4.6048138252579003</c:v>
                </c:pt>
                <c:pt idx="133">
                  <c:v>-4.4838457290104152</c:v>
                </c:pt>
                <c:pt idx="134">
                  <c:v>-4.361482014426322</c:v>
                </c:pt>
                <c:pt idx="135">
                  <c:v>-4.2377454124133607</c:v>
                </c:pt>
                <c:pt idx="136">
                  <c:v>-4.1126586538792749</c:v>
                </c:pt>
                <c:pt idx="137">
                  <c:v>-3.9862444697318051</c:v>
                </c:pt>
                <c:pt idx="138">
                  <c:v>-3.8585255908786937</c:v>
                </c:pt>
                <c:pt idx="139">
                  <c:v>-3.729524748227683</c:v>
                </c:pt>
                <c:pt idx="140">
                  <c:v>-3.5992646726865125</c:v>
                </c:pt>
                <c:pt idx="141">
                  <c:v>-3.4677680951629251</c:v>
                </c:pt>
                <c:pt idx="142">
                  <c:v>-3.3350577465646625</c:v>
                </c:pt>
                <c:pt idx="143">
                  <c:v>-3.2011563577994662</c:v>
                </c:pt>
                <c:pt idx="144">
                  <c:v>-3.0660866597750784</c:v>
                </c:pt>
                <c:pt idx="145">
                  <c:v>-2.9298713833992394</c:v>
                </c:pt>
                <c:pt idx="146">
                  <c:v>-2.7925332595796917</c:v>
                </c:pt>
                <c:pt idx="147">
                  <c:v>-2.6540950192241772</c:v>
                </c:pt>
                <c:pt idx="148">
                  <c:v>-2.5145793932404374</c:v>
                </c:pt>
                <c:pt idx="149">
                  <c:v>-2.3740091125362133</c:v>
                </c:pt>
                <c:pt idx="150">
                  <c:v>-2.2324069080192466</c:v>
                </c:pt>
                <c:pt idx="151">
                  <c:v>-2.0897955105972796</c:v>
                </c:pt>
                <c:pt idx="152">
                  <c:v>-1.9461976511780543</c:v>
                </c:pt>
                <c:pt idx="153">
                  <c:v>-1.8016360606693114</c:v>
                </c:pt>
                <c:pt idx="154">
                  <c:v>-1.6561334699787924</c:v>
                </c:pt>
                <c:pt idx="155">
                  <c:v>-1.5097126100142395</c:v>
                </c:pt>
                <c:pt idx="156">
                  <c:v>-1.3623962116833945</c:v>
                </c:pt>
                <c:pt idx="157">
                  <c:v>-1.2142070058939987</c:v>
                </c:pt>
                <c:pt idx="158">
                  <c:v>-1.0651677235537933</c:v>
                </c:pt>
                <c:pt idx="159">
                  <c:v>-0.91530109557052086</c:v>
                </c:pt>
                <c:pt idx="160">
                  <c:v>-0.76462985285192242</c:v>
                </c:pt>
                <c:pt idx="161">
                  <c:v>-0.61317672630573983</c:v>
                </c:pt>
                <c:pt idx="162">
                  <c:v>-0.4609644468397146</c:v>
                </c:pt>
                <c:pt idx="163">
                  <c:v>-0.30801574536158849</c:v>
                </c:pt>
                <c:pt idx="164">
                  <c:v>-0.15435335277910303</c:v>
                </c:pt>
                <c:pt idx="165">
                  <c:v>0</c:v>
                </c:pt>
                <c:pt idx="166">
                  <c:v>0.15502218850836993</c:v>
                </c:pt>
                <c:pt idx="167">
                  <c:v>0.31069351404021944</c:v>
                </c:pt>
                <c:pt idx="168">
                  <c:v>0.46699488433015207</c:v>
                </c:pt>
                <c:pt idx="169">
                  <c:v>0.62390720711277126</c:v>
                </c:pt>
                <c:pt idx="170">
                  <c:v>0.78141139012268068</c:v>
                </c:pt>
                <c:pt idx="171">
                  <c:v>0.93948834109448387</c:v>
                </c:pt>
                <c:pt idx="172">
                  <c:v>1.0981189677627843</c:v>
                </c:pt>
                <c:pt idx="173">
                  <c:v>1.2572841778621855</c:v>
                </c:pt>
                <c:pt idx="174">
                  <c:v>1.4169648791272911</c:v>
                </c:pt>
                <c:pt idx="175">
                  <c:v>1.5771419792927044</c:v>
                </c:pt>
                <c:pt idx="176">
                  <c:v>1.7377963860930294</c:v>
                </c:pt>
                <c:pt idx="177">
                  <c:v>1.8989090072628694</c:v>
                </c:pt>
                <c:pt idx="178">
                  <c:v>2.0604607505368278</c:v>
                </c:pt>
                <c:pt idx="179">
                  <c:v>2.2224325236495086</c:v>
                </c:pt>
                <c:pt idx="180">
                  <c:v>2.3848052343355142</c:v>
                </c:pt>
                <c:pt idx="181">
                  <c:v>2.5475597903294496</c:v>
                </c:pt>
                <c:pt idx="182">
                  <c:v>2.7106770993659177</c:v>
                </c:pt>
                <c:pt idx="183">
                  <c:v>2.8741380691795215</c:v>
                </c:pt>
                <c:pt idx="184">
                  <c:v>3.0379236075048657</c:v>
                </c:pt>
                <c:pt idx="185">
                  <c:v>3.2020146220765526</c:v>
                </c:pt>
                <c:pt idx="186">
                  <c:v>3.3663920206291871</c:v>
                </c:pt>
                <c:pt idx="187">
                  <c:v>3.5310367108973719</c:v>
                </c:pt>
                <c:pt idx="188">
                  <c:v>3.6959296006157101</c:v>
                </c:pt>
                <c:pt idx="189">
                  <c:v>3.8610515975188062</c:v>
                </c:pt>
                <c:pt idx="190">
                  <c:v>4.0263836093412628</c:v>
                </c:pt>
                <c:pt idx="191">
                  <c:v>4.1919065438176846</c:v>
                </c:pt>
                <c:pt idx="192">
                  <c:v>4.3576013086826739</c:v>
                </c:pt>
                <c:pt idx="193">
                  <c:v>4.5234488116708356</c:v>
                </c:pt>
                <c:pt idx="194">
                  <c:v>4.6894299605167724</c:v>
                </c:pt>
                <c:pt idx="195">
                  <c:v>4.8555256629550874</c:v>
                </c:pt>
                <c:pt idx="196">
                  <c:v>5.0217168267203851</c:v>
                </c:pt>
                <c:pt idx="197">
                  <c:v>5.1879843595472686</c:v>
                </c:pt>
                <c:pt idx="198">
                  <c:v>5.3543091691703415</c:v>
                </c:pt>
                <c:pt idx="199">
                  <c:v>5.5206721633242077</c:v>
                </c:pt>
                <c:pt idx="200">
                  <c:v>5.6870542497434693</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-17.218692816761287</c:v>
                </c:pt>
                <c:pt idx="1">
                  <c:v>-14.014764769410721</c:v>
                </c:pt>
                <c:pt idx="2">
                  <c:v>-11.583145044127384</c:v>
                </c:pt>
                <c:pt idx="3">
                  <c:v>-8.742458487122633</c:v>
                </c:pt>
                <c:pt idx="4">
                  <c:v>-5.9392986995543122</c:v>
                </c:pt>
                <c:pt idx="5">
                  <c:v>0</c:v>
                </c:pt>
                <c:pt idx="6">
                  <c:v>5.6870542497434693</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-17.204956515886238</c:v>
                </c:pt>
                <c:pt idx="1">
                  <c:v>-17.151402363042166</c:v>
                </c:pt>
                <c:pt idx="2">
                  <c:v>-17.094992423612666</c:v>
                </c:pt>
                <c:pt idx="3">
                  <c:v>-17.036048891762562</c:v>
                </c:pt>
                <c:pt idx="4">
                  <c:v>-16.974860560357683</c:v>
                </c:pt>
                <c:pt idx="5">
                  <c:v>-16.911685084686098</c:v>
                </c:pt>
                <c:pt idx="6">
                  <c:v>-16.846751150226794</c:v>
                </c:pt>
                <c:pt idx="7">
                  <c:v>-16.780260546831812</c:v>
                </c:pt>
                <c:pt idx="8">
                  <c:v>-16.712390151652585</c:v>
                </c:pt>
                <c:pt idx="9">
                  <c:v>-16.643293823122178</c:v>
                </c:pt>
                <c:pt idx="10">
                  <c:v>-16.573104208276845</c:v>
                </c:pt>
                <c:pt idx="11">
                  <c:v>-16.501934465667119</c:v>
                </c:pt>
                <c:pt idx="12">
                  <c:v>-16.429879906098336</c:v>
                </c:pt>
                <c:pt idx="13">
                  <c:v>-16.357019553395503</c:v>
                </c:pt>
                <c:pt idx="14">
                  <c:v>-16.283417627374746</c:v>
                </c:pt>
                <c:pt idx="15">
                  <c:v>-16.209124951173351</c:v>
                </c:pt>
                <c:pt idx="16">
                  <c:v>-16.134180285061603</c:v>
                </c:pt>
                <c:pt idx="17">
                  <c:v>-16.058611588836385</c:v>
                </c:pt>
                <c:pt idx="18">
                  <c:v>-15.982437214870345</c:v>
                </c:pt>
                <c:pt idx="19">
                  <c:v>-15.905667033862272</c:v>
                </c:pt>
                <c:pt idx="20">
                  <c:v>-15.828303495310138</c:v>
                </c:pt>
                <c:pt idx="21">
                  <c:v>-15.750342624700224</c:v>
                </c:pt>
                <c:pt idx="22">
                  <c:v>-15.671774959380883</c:v>
                </c:pt>
                <c:pt idx="23">
                  <c:v>-15.592586425063729</c:v>
                </c:pt>
                <c:pt idx="24">
                  <c:v>-15.512759154867041</c:v>
                </c:pt>
                <c:pt idx="25">
                  <c:v>-15.432272252790909</c:v>
                </c:pt>
                <c:pt idx="26">
                  <c:v>-15.351102503487738</c:v>
                </c:pt>
                <c:pt idx="27">
                  <c:v>-15.269225030166112</c:v>
                </c:pt>
                <c:pt idx="28">
                  <c:v>-15.186613902437131</c:v>
                </c:pt>
                <c:pt idx="29">
                  <c:v>-15.10324269589016</c:v>
                </c:pt>
                <c:pt idx="30">
                  <c:v>-15.019085005154224</c:v>
                </c:pt>
                <c:pt idx="31">
                  <c:v>-14.934114912179453</c:v>
                </c:pt>
                <c:pt idx="32">
                  <c:v>-14.848307411444267</c:v>
                </c:pt>
                <c:pt idx="33">
                  <c:v>-14.761638793766664</c:v>
                </c:pt>
                <c:pt idx="34">
                  <c:v>-14.674086990375777</c:v>
                </c:pt>
                <c:pt idx="35">
                  <c:v>-14.585631878869428</c:v>
                </c:pt>
                <c:pt idx="36">
                  <c:v>-14.496255552660188</c:v>
                </c:pt>
                <c:pt idx="37">
                  <c:v>-14.405942555484359</c:v>
                </c:pt>
                <c:pt idx="38">
                  <c:v>-14.31468008252309</c:v>
                </c:pt>
                <c:pt idx="39">
                  <c:v>-14.222458149658699</c:v>
                </c:pt>
                <c:pt idx="40">
                  <c:v>-14.129269732362097</c:v>
                </c:pt>
                <c:pt idx="41">
                  <c:v>-14.035110875682648</c:v>
                </c:pt>
                <c:pt idx="42">
                  <c:v>-13.939980776783351</c:v>
                </c:pt>
                <c:pt idx="43">
                  <c:v>-13.843881841440385</c:v>
                </c:pt>
                <c:pt idx="44">
                  <c:v>-13.74681971589861</c:v>
                </c:pt>
                <c:pt idx="45">
                  <c:v>-13.648803295447745</c:v>
                </c:pt>
                <c:pt idx="46">
                  <c:v>-13.549844711059841</c:v>
                </c:pt>
                <c:pt idx="47">
                  <c:v>-13.449959295400109</c:v>
                </c:pt>
                <c:pt idx="48">
                  <c:v>-13.349165529499018</c:v>
                </c:pt>
                <c:pt idx="49">
                  <c:v>-13.24748497134533</c:v>
                </c:pt>
                <c:pt idx="50">
                  <c:v>-13.144942167635833</c:v>
                </c:pt>
                <c:pt idx="51">
                  <c:v>-13.041564549889053</c:v>
                </c:pt>
                <c:pt idx="52">
                  <c:v>-12.937382316106056</c:v>
                </c:pt>
                <c:pt idx="53">
                  <c:v>-12.832428299133589</c:v>
                </c:pt>
                <c:pt idx="54">
                  <c:v>-12.726737822859349</c:v>
                </c:pt>
                <c:pt idx="55">
                  <c:v>-12.620348547343699</c:v>
                </c:pt>
                <c:pt idx="56">
                  <c:v>-12.513300303964284</c:v>
                </c:pt>
                <c:pt idx="57">
                  <c:v>-12.405634921625106</c:v>
                </c:pt>
                <c:pt idx="58">
                  <c:v>-12.297396045055146</c:v>
                </c:pt>
                <c:pt idx="59">
                  <c:v>-12.188628946194935</c:v>
                </c:pt>
                <c:pt idx="60">
                  <c:v>-12.079380329644168</c:v>
                </c:pt>
                <c:pt idx="61">
                  <c:v>-11.969698133115962</c:v>
                </c:pt>
                <c:pt idx="62">
                  <c:v>-11.859631323818622</c:v>
                </c:pt>
                <c:pt idx="63">
                  <c:v>-11.749229691658627</c:v>
                </c:pt>
                <c:pt idx="64">
                  <c:v>-11.63854364013242</c:v>
                </c:pt>
                <c:pt idx="65">
                  <c:v>-11.52762397574878</c:v>
                </c:pt>
                <c:pt idx="66">
                  <c:v>-11.416521696797073</c:v>
                </c:pt>
                <c:pt idx="67">
                  <c:v>-11.305287782250513</c:v>
                </c:pt>
                <c:pt idx="68">
                  <c:v>-11.193972981567423</c:v>
                </c:pt>
                <c:pt idx="69">
                  <c:v>-11.082627606127263</c:v>
                </c:pt>
                <c:pt idx="70">
                  <c:v>-10.971301323011932</c:v>
                </c:pt>
                <c:pt idx="71">
                  <c:v>-10.860042951816737</c:v>
                </c:pt>
                <c:pt idx="72">
                  <c:v>-10.748900265149238</c:v>
                </c:pt>
                <c:pt idx="73">
                  <c:v>-10.637919793447804</c:v>
                </c:pt>
                <c:pt idx="74">
                  <c:v>-10.52714663472578</c:v>
                </c:pt>
                <c:pt idx="75">
                  <c:v>-10.416624269820685</c:v>
                </c:pt>
                <c:pt idx="76">
                  <c:v>-10.306394383701946</c:v>
                </c:pt>
                <c:pt idx="77">
                  <c:v>-10.196496693364178</c:v>
                </c:pt>
                <c:pt idx="78">
                  <c:v>-10.08696878280708</c:v>
                </c:pt>
                <c:pt idx="79">
                  <c:v>-9.9778459455766502</c:v>
                </c:pt>
                <c:pt idx="80">
                  <c:v>-9.869161035316294</c:v>
                </c:pt>
                <c:pt idx="81">
                  <c:v>-9.7609443247501808</c:v>
                </c:pt>
                <c:pt idx="82">
                  <c:v>-9.6532233734949973</c:v>
                </c:pt>
                <c:pt idx="83">
                  <c:v>-9.54602290507008</c:v>
                </c:pt>
                <c:pt idx="84">
                  <c:v>-9.4393646934496473</c:v>
                </c:pt>
                <c:pt idx="85">
                  <c:v>-9.3332674594747278</c:v>
                </c:pt>
                <c:pt idx="86">
                  <c:v>-9.2277467774161117</c:v>
                </c:pt>
                <c:pt idx="87">
                  <c:v>-9.1228149919534847</c:v>
                </c:pt>
                <c:pt idx="88">
                  <c:v>-9.0184811458097567</c:v>
                </c:pt>
                <c:pt idx="89">
                  <c:v>-8.9147509182532012</c:v>
                </c:pt>
                <c:pt idx="90">
                  <c:v>-8.8116265746541824</c:v>
                </c:pt>
                <c:pt idx="91">
                  <c:v>-8.7091069272565722</c:v>
                </c:pt>
                <c:pt idx="92">
                  <c:v>-8.607187307298231</c:v>
                </c:pt>
                <c:pt idx="93">
                  <c:v>-8.5058595485883952</c:v>
                </c:pt>
                <c:pt idx="94">
                  <c:v>-8.4051119826237173</c:v>
                </c:pt>
                <c:pt idx="95">
                  <c:v>-8.3049294452986064</c:v>
                </c:pt>
                <c:pt idx="96">
                  <c:v>-8.205293295239116</c:v>
                </c:pt>
                <c:pt idx="97">
                  <c:v>-8.1061814437636208</c:v>
                </c:pt>
                <c:pt idx="98">
                  <c:v>-8.0075683964471729</c:v>
                </c:pt>
                <c:pt idx="99">
                  <c:v>-7.9094253062403617</c:v>
                </c:pt>
                <c:pt idx="100">
                  <c:v>-7.8117200380671648</c:v>
                </c:pt>
                <c:pt idx="101">
                  <c:v>-7.7144172448001784</c:v>
                </c:pt>
                <c:pt idx="102">
                  <c:v>-7.6174784544853944</c:v>
                </c:pt>
                <c:pt idx="103">
                  <c:v>-7.5208621686624433</c:v>
                </c:pt>
                <c:pt idx="104">
                  <c:v>-7.4245239716001139</c:v>
                </c:pt>
                <c:pt idx="105">
                  <c:v>-7.3284166502406185</c:v>
                </c:pt>
                <c:pt idx="106">
                  <c:v>-7.2324903246200689</c:v>
                </c:pt>
                <c:pt idx="107">
                  <c:v>-7.1366925885061976</c:v>
                </c:pt>
                <c:pt idx="108">
                  <c:v>-7.0409686599683861</c:v>
                </c:pt>
                <c:pt idx="109">
                  <c:v>-6.9452615415687005</c:v>
                </c:pt>
                <c:pt idx="110">
                  <c:v>-6.8495121898364708</c:v>
                </c:pt>
                <c:pt idx="111">
                  <c:v>-6.753659693662823</c:v>
                </c:pt>
                <c:pt idx="112">
                  <c:v>-6.6576414612252801</c:v>
                </c:pt>
                <c:pt idx="113">
                  <c:v>-6.5613934150263864</c:v>
                </c:pt>
                <c:pt idx="114">
                  <c:v>-6.4648501946041286</c:v>
                </c:pt>
                <c:pt idx="115">
                  <c:v>-6.3679453664456966</c:v>
                </c:pt>
                <c:pt idx="116">
                  <c:v>-6.2706116406099293</c:v>
                </c:pt>
                <c:pt idx="117">
                  <c:v>-6.1727810935376093</c:v>
                </c:pt>
                <c:pt idx="118">
                  <c:v>-6.0743853965025698</c:v>
                </c:pt>
                <c:pt idx="119">
                  <c:v>-5.9753560491303386</c:v>
                </c:pt>
                <c:pt idx="120">
                  <c:v>-5.8756246173849043</c:v>
                </c:pt>
                <c:pt idx="121">
                  <c:v>-5.7751229753979247</c:v>
                </c:pt>
                <c:pt idx="122">
                  <c:v>-5.6737835504885643</c:v>
                </c:pt>
                <c:pt idx="123">
                  <c:v>-5.5715395706958963</c:v>
                </c:pt>
                <c:pt idx="124">
                  <c:v>-5.4683253141196104</c:v>
                </c:pt>
                <c:pt idx="125">
                  <c:v>-5.3640763593386085</c:v>
                </c:pt>
                <c:pt idx="126">
                  <c:v>-5.2587298361508115</c:v>
                </c:pt>
                <c:pt idx="127">
                  <c:v>-5.1522246758513468</c:v>
                </c:pt>
                <c:pt idx="128">
                  <c:v>-5.0445018602400733</c:v>
                </c:pt>
                <c:pt idx="129">
                  <c:v>-4.9355046685231665</c:v>
                </c:pt>
                <c:pt idx="130">
                  <c:v>-4.8251789212473595</c:v>
                </c:pt>
                <c:pt idx="131">
                  <c:v>-4.7134732203791563</c:v>
                </c:pt>
                <c:pt idx="132">
                  <c:v>-4.6003391846151773</c:v>
                </c:pt>
                <c:pt idx="133">
                  <c:v>-4.4857316789836164</c:v>
                </c:pt>
                <c:pt idx="134">
                  <c:v>-4.369609037770501</c:v>
                </c:pt>
                <c:pt idx="135">
                  <c:v>-4.2519332797783838</c:v>
                </c:pt>
                <c:pt idx="136">
                  <c:v>-4.1326703148987516</c:v>
                </c:pt>
                <c:pt idx="137">
                  <c:v>-4.0117901409533303</c:v>
                </c:pt>
                <c:pt idx="138">
                  <c:v>-3.8892670297332543</c:v>
                </c:pt>
                <c:pt idx="139">
                  <c:v>-3.7650797011388106</c:v>
                </c:pt>
                <c:pt idx="140">
                  <c:v>-3.6392114842963377</c:v>
                </c:pt>
                <c:pt idx="141">
                  <c:v>-3.5116504645026354</c:v>
                </c:pt>
                <c:pt idx="142">
                  <c:v>-3.3823896148210055</c:v>
                </c:pt>
                <c:pt idx="143">
                  <c:v>-3.251426911126901</c:v>
                </c:pt>
                <c:pt idx="144">
                  <c:v>-3.1187654293749318</c:v>
                </c:pt>
                <c:pt idx="145">
                  <c:v>-2.9844134238327542</c:v>
                </c:pt>
                <c:pt idx="146">
                  <c:v>-2.8483843850012325</c:v>
                </c:pt>
                <c:pt idx="147">
                  <c:v>-2.710697075913989</c:v>
                </c:pt>
                <c:pt idx="148">
                  <c:v>-2.5713755454833023</c:v>
                </c:pt>
                <c:pt idx="149">
                  <c:v>-2.4304491175331195</c:v>
                </c:pt>
                <c:pt idx="150">
                  <c:v>-2.2879523541337115</c:v>
                </c:pt>
                <c:pt idx="151">
                  <c:v>-2.1439249918263275</c:v>
                </c:pt>
                <c:pt idx="152">
                  <c:v>-1.9984118493000078</c:v>
                </c:pt>
                <c:pt idx="153">
                  <c:v>-1.8514627050564856</c:v>
                </c:pt>
                <c:pt idx="154">
                  <c:v>-1.7031321435729521</c:v>
                </c:pt>
                <c:pt idx="155">
                  <c:v>-1.5534793684462063</c:v>
                </c:pt>
                <c:pt idx="156">
                  <c:v>-1.4025679809755636</c:v>
                </c:pt>
                <c:pt idx="157">
                  <c:v>-1.2504657226156541</c:v>
                </c:pt>
                <c:pt idx="158">
                  <c:v>-1.0972441797040717</c:v>
                </c:pt>
                <c:pt idx="159">
                  <c:v>-0.94297844884261317</c:v>
                </c:pt>
                <c:pt idx="160">
                  <c:v>-0.78774676128466514</c:v>
                </c:pt>
                <c:pt idx="161">
                  <c:v>-0.63163006465508043</c:v>
                </c:pt>
                <c:pt idx="162">
                  <c:v>-0.47471156030269551</c:v>
                </c:pt>
                <c:pt idx="163">
                  <c:v>-0.31707619455943703</c:v>
                </c:pt>
                <c:pt idx="164">
                  <c:v>-0.15881010215376457</c:v>
                </c:pt>
                <c:pt idx="165">
                  <c:v>0</c:v>
                </c:pt>
                <c:pt idx="166">
                  <c:v>0.15926747044111078</c:v>
                </c:pt>
                <c:pt idx="167">
                  <c:v>0.3189064540614549</c:v>
                </c:pt>
                <c:pt idx="168">
                  <c:v>0.47883264812127962</c:v>
                </c:pt>
                <c:pt idx="169">
                  <c:v>0.6389641252648447</c:v>
                </c:pt>
                <c:pt idx="170">
                  <c:v>0.79922221544544736</c:v>
                </c:pt>
                <c:pt idx="171">
                  <c:v>0.95953244869547927</c:v>
                </c:pt>
                <c:pt idx="172">
                  <c:v>1.1198255607033605</c:v>
                </c:pt>
                <c:pt idx="173">
                  <c:v>1.2800385631854101</c:v>
                </c:pt>
                <c:pt idx="174">
                  <c:v>1.4401158810669028</c:v>
                </c:pt>
                <c:pt idx="175">
                  <c:v>1.6000105585127615</c:v>
                </c:pt>
                <c:pt idx="176">
                  <c:v>1.7596855358745482</c:v>
                </c:pt>
                <c:pt idx="177">
                  <c:v>1.9191149996465982</c:v>
                </c:pt>
                <c:pt idx="178">
                  <c:v>2.0782858075503481</c:v>
                </c:pt>
                <c:pt idx="179">
                  <c:v>2.2371989908921273</c:v>
                </c:pt>
                <c:pt idx="180">
                  <c:v>2.3958713363658433</c:v>
                </c:pt>
                <c:pt idx="181">
                  <c:v>2.5543370494982405</c:v>
                </c:pt>
                <c:pt idx="182">
                  <c:v>2.7126495019605561</c:v>
                </c:pt>
                <c:pt idx="183">
                  <c:v>2.8708830649966566</c:v>
                </c:pt>
                <c:pt idx="184">
                  <c:v>3.0291350312438925</c:v>
                </c:pt>
                <c:pt idx="185">
                  <c:v>3.1875276272491226</c:v>
                </c:pt>
                <c:pt idx="186">
                  <c:v>3.3462101190085765</c:v>
                </c:pt>
                <c:pt idx="187">
                  <c:v>3.5053610128863935</c:v>
                </c:pt>
                <c:pt idx="188">
                  <c:v>3.6651903542929052</c:v>
                </c:pt>
                <c:pt idx="189">
                  <c:v>3.8259421265299127</c:v>
                </c:pt>
                <c:pt idx="190">
                  <c:v>3.9878967522364004</c:v>
                </c:pt>
                <c:pt idx="191">
                  <c:v>4.1513736998943642</c:v>
                </c:pt>
                <c:pt idx="192">
                  <c:v>4.3167341978805984</c:v>
                </c:pt>
                <c:pt idx="193">
                  <c:v>4.4843840585764765</c:v>
                </c:pt>
                <c:pt idx="194">
                  <c:v>4.6547766150740255</c:v>
                </c:pt>
                <c:pt idx="195">
                  <c:v>4.8284157730427042</c:v>
                </c:pt>
                <c:pt idx="196">
                  <c:v>5.0058591803475592</c:v>
                </c:pt>
                <c:pt idx="197">
                  <c:v>5.1877215170356346</c:v>
                </c:pt>
                <c:pt idx="198">
                  <c:v>5.374677908333644</c:v>
                </c:pt>
                <c:pt idx="199">
                  <c:v>5.5674674633262038</c:v>
                </c:pt>
                <c:pt idx="200">
                  <c:v>5.7668969420100664</c:v>
                </c:pt>
              </c:numCache>
            </c:numRef>
          </c:yVal>
          <c:smooth val="1"/>
        </c:ser>
        <c:dLbls>
          <c:showLegendKey val="0"/>
          <c:showVal val="0"/>
          <c:showCatName val="0"/>
          <c:showSerName val="0"/>
          <c:showPercent val="0"/>
          <c:showBubbleSize val="0"/>
        </c:dLbls>
        <c:axId val="491926192"/>
        <c:axId val="491923448"/>
      </c:scatterChart>
      <c:valAx>
        <c:axId val="49192619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3448"/>
        <c:crossesAt val="-1000"/>
        <c:crossBetween val="midCat"/>
      </c:valAx>
      <c:valAx>
        <c:axId val="491923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619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0.15905318561339743</v>
      </c>
      <c r="D59" s="55">
        <v>1</v>
      </c>
    </row>
    <row r="60" spans="1:4" s="11" customFormat="1" x14ac:dyDescent="0.25">
      <c r="A60" s="54">
        <v>2</v>
      </c>
      <c r="B60" s="56">
        <f>'Shiftfunktion bestimmen'!N2</f>
        <v>2.2865168516042334E-4</v>
      </c>
      <c r="D60" s="55">
        <v>2</v>
      </c>
    </row>
    <row r="61" spans="1:4" s="11" customFormat="1" x14ac:dyDescent="0.25">
      <c r="A61" s="54">
        <v>3</v>
      </c>
      <c r="B61" s="56">
        <f>'Shiftfunktion bestimmen'!N3</f>
        <v>-1.4405464947548475E-5</v>
      </c>
      <c r="D61" s="55">
        <v>3</v>
      </c>
    </row>
    <row r="62" spans="1:4" s="11" customFormat="1" x14ac:dyDescent="0.25">
      <c r="A62" s="54">
        <v>4</v>
      </c>
      <c r="B62" s="56">
        <f>'Shiftfunktion bestimmen'!N4</f>
        <v>3.2381970215015617E-8</v>
      </c>
      <c r="D62" s="55">
        <v>4</v>
      </c>
    </row>
    <row r="63" spans="1:4" s="11" customFormat="1" x14ac:dyDescent="0.25">
      <c r="A63" s="54">
        <v>5</v>
      </c>
      <c r="B63" s="56">
        <f>'Shiftfunktion bestimmen'!N5</f>
        <v>6.1486167352123354E-9</v>
      </c>
      <c r="D63" s="55">
        <v>5</v>
      </c>
    </row>
    <row r="64" spans="1:4" s="11" customFormat="1" x14ac:dyDescent="0.25">
      <c r="A64" s="54">
        <v>6</v>
      </c>
      <c r="B64" s="56">
        <f>'Shiftfunktion bestimmen'!N6</f>
        <v>7.6541834646700789E-11</v>
      </c>
      <c r="D64" s="55">
        <v>6</v>
      </c>
    </row>
    <row r="65" spans="1:5" s="11" customFormat="1" x14ac:dyDescent="0.25">
      <c r="A65" s="54">
        <v>7</v>
      </c>
      <c r="B65" s="56">
        <f>'Shiftfunktion bestimmen'!N7</f>
        <v>3.7106195367033982E-13</v>
      </c>
      <c r="D65" s="55">
        <v>7</v>
      </c>
    </row>
    <row r="66" spans="1:5" x14ac:dyDescent="0.25">
      <c r="A66" s="54">
        <v>8</v>
      </c>
      <c r="B66" s="56">
        <f>'Shiftfunktion bestimmen'!N8</f>
        <v>6.4980438373932418E-16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0.16357682793148628</v>
      </c>
      <c r="D74" s="51">
        <v>1</v>
      </c>
      <c r="E74" s="56">
        <f>'Mastercurve bestimmen'!A18</f>
        <v>1.0000000000000001E-20</v>
      </c>
    </row>
    <row r="75" spans="1:5" x14ac:dyDescent="0.25">
      <c r="A75" s="50">
        <f>A74+1</f>
        <v>2</v>
      </c>
      <c r="B75" s="56">
        <f>'Mastercurve bestimmen'!C19</f>
        <v>5.824819559930694E-2</v>
      </c>
      <c r="D75" s="51">
        <v>2</v>
      </c>
      <c r="E75" s="56">
        <f>'Mastercurve bestimmen'!A19</f>
        <v>3.9038946506297401E-14</v>
      </c>
    </row>
    <row r="76" spans="1:5" x14ac:dyDescent="0.25">
      <c r="A76" s="50">
        <f t="shared" ref="A76:A104" si="0">A75+1</f>
        <v>3</v>
      </c>
      <c r="B76" s="56">
        <f>'Mastercurve bestimmen'!C20</f>
        <v>1.72549599699389E-2</v>
      </c>
      <c r="D76" s="51">
        <v>3</v>
      </c>
      <c r="E76" s="56">
        <f>'Mastercurve bestimmen'!A20</f>
        <v>4.3276437088188502E-13</v>
      </c>
    </row>
    <row r="77" spans="1:5" x14ac:dyDescent="0.25">
      <c r="A77" s="50">
        <f t="shared" si="0"/>
        <v>4</v>
      </c>
      <c r="B77" s="56">
        <f>'Mastercurve bestimmen'!C21</f>
        <v>3.2278437816377237E-2</v>
      </c>
      <c r="D77" s="51">
        <v>4</v>
      </c>
      <c r="E77" s="56">
        <f>'Mastercurve bestimmen'!A21</f>
        <v>4.7973886968128502E-12</v>
      </c>
    </row>
    <row r="78" spans="1:5" x14ac:dyDescent="0.25">
      <c r="A78" s="50">
        <f t="shared" si="0"/>
        <v>5</v>
      </c>
      <c r="B78" s="56">
        <f>'Mastercurve bestimmen'!C22</f>
        <v>3.7144505568638776E-2</v>
      </c>
      <c r="D78" s="51">
        <v>5</v>
      </c>
      <c r="E78" s="56">
        <f>'Mastercurve bestimmen'!A22</f>
        <v>5.31812225239524E-11</v>
      </c>
    </row>
    <row r="79" spans="1:5" x14ac:dyDescent="0.25">
      <c r="A79" s="50">
        <f t="shared" si="0"/>
        <v>6</v>
      </c>
      <c r="B79" s="56">
        <f>'Mastercurve bestimmen'!C23</f>
        <v>4.0797811725329765E-2</v>
      </c>
      <c r="D79" s="51">
        <v>6</v>
      </c>
      <c r="E79" s="56">
        <f>'Mastercurve bestimmen'!A23</f>
        <v>5.8953789402578301E-10</v>
      </c>
    </row>
    <row r="80" spans="1:5" x14ac:dyDescent="0.25">
      <c r="A80" s="50">
        <f t="shared" si="0"/>
        <v>7</v>
      </c>
      <c r="B80" s="56">
        <f>'Mastercurve bestimmen'!C24</f>
        <v>3.2982255914933402E-2</v>
      </c>
      <c r="D80" s="51">
        <v>7</v>
      </c>
      <c r="E80" s="56">
        <f>'Mastercurve bestimmen'!A24</f>
        <v>6.5352940755699598E-9</v>
      </c>
    </row>
    <row r="81" spans="1:5" x14ac:dyDescent="0.25">
      <c r="A81" s="50">
        <f t="shared" si="0"/>
        <v>8</v>
      </c>
      <c r="B81" s="56">
        <f>'Mastercurve bestimmen'!C25</f>
        <v>2.7372238189347697E-2</v>
      </c>
      <c r="D81" s="51">
        <v>8</v>
      </c>
      <c r="E81" s="56">
        <f>'Mastercurve bestimmen'!A25</f>
        <v>7.2446689325643296E-8</v>
      </c>
    </row>
    <row r="82" spans="1:5" x14ac:dyDescent="0.25">
      <c r="A82" s="50">
        <f t="shared" si="0"/>
        <v>9</v>
      </c>
      <c r="B82" s="56">
        <f>'Mastercurve bestimmen'!C26</f>
        <v>2.94207547964777E-2</v>
      </c>
      <c r="D82" s="51">
        <f>A82</f>
        <v>9</v>
      </c>
      <c r="E82" s="56">
        <f>'Mastercurve bestimmen'!A26</f>
        <v>8.03104303120212E-7</v>
      </c>
    </row>
    <row r="83" spans="1:5" x14ac:dyDescent="0.25">
      <c r="A83" s="50">
        <f t="shared" si="0"/>
        <v>10</v>
      </c>
      <c r="B83" s="56">
        <f>'Mastercurve bestimmen'!C27</f>
        <v>2.9009360037806093E-2</v>
      </c>
      <c r="C83" s="11"/>
      <c r="D83" s="51">
        <f t="shared" ref="D83:D104" si="1">A83</f>
        <v>10</v>
      </c>
      <c r="E83" s="56">
        <f>'Mastercurve bestimmen'!A27</f>
        <v>8.9027742702096099E-6</v>
      </c>
    </row>
    <row r="84" spans="1:5" x14ac:dyDescent="0.25">
      <c r="A84" s="50">
        <f t="shared" si="0"/>
        <v>11</v>
      </c>
      <c r="B84" s="56">
        <f>'Mastercurve bestimmen'!C28</f>
        <v>2.6775000161878105E-2</v>
      </c>
      <c r="C84" s="11"/>
      <c r="D84" s="51">
        <f t="shared" si="1"/>
        <v>11</v>
      </c>
      <c r="E84" s="56">
        <f>'Mastercurve bestimmen'!A28</f>
        <v>9.86912775817142E-5</v>
      </c>
    </row>
    <row r="85" spans="1:5" x14ac:dyDescent="0.25">
      <c r="A85" s="50">
        <f t="shared" si="0"/>
        <v>12</v>
      </c>
      <c r="B85" s="56">
        <f>'Mastercurve bestimmen'!C29</f>
        <v>3.1584912015022802E-2</v>
      </c>
      <c r="C85" s="11"/>
      <c r="D85" s="51">
        <f t="shared" si="1"/>
        <v>12</v>
      </c>
      <c r="E85" s="56">
        <f>'Mastercurve bestimmen'!A29</f>
        <v>1.0940374286813801E-3</v>
      </c>
    </row>
    <row r="86" spans="1:5" x14ac:dyDescent="0.25">
      <c r="A86" s="50">
        <f t="shared" si="0"/>
        <v>13</v>
      </c>
      <c r="B86" s="56">
        <f>'Mastercurve bestimmen'!C30</f>
        <v>3.592675255612271E-2</v>
      </c>
      <c r="C86" s="11"/>
      <c r="D86" s="51">
        <f t="shared" si="1"/>
        <v>13</v>
      </c>
      <c r="E86" s="56">
        <f>'Mastercurve bestimmen'!A30</f>
        <v>1.2127899493091E-2</v>
      </c>
    </row>
    <row r="87" spans="1:5" x14ac:dyDescent="0.25">
      <c r="A87" s="50">
        <f t="shared" si="0"/>
        <v>14</v>
      </c>
      <c r="B87" s="56">
        <f>'Mastercurve bestimmen'!C31</f>
        <v>3.8216836337325075E-2</v>
      </c>
      <c r="C87" s="11"/>
      <c r="D87" s="51">
        <f t="shared" si="1"/>
        <v>14</v>
      </c>
      <c r="E87" s="56">
        <f>'Mastercurve bestimmen'!A31</f>
        <v>0.13444324870292301</v>
      </c>
    </row>
    <row r="88" spans="1:5" x14ac:dyDescent="0.25">
      <c r="A88" s="50">
        <f t="shared" si="0"/>
        <v>15</v>
      </c>
      <c r="B88" s="56">
        <f>'Mastercurve bestimmen'!C32</f>
        <v>4.8113881849429982E-2</v>
      </c>
      <c r="C88" s="11"/>
      <c r="D88" s="51">
        <f t="shared" si="1"/>
        <v>15</v>
      </c>
      <c r="E88" s="56">
        <f>'Mastercurve bestimmen'!A32</f>
        <v>1.49036419143257</v>
      </c>
    </row>
    <row r="89" spans="1:5" x14ac:dyDescent="0.25">
      <c r="A89" s="50">
        <f t="shared" si="0"/>
        <v>16</v>
      </c>
      <c r="B89" s="56">
        <f>'Mastercurve bestimmen'!C33</f>
        <v>5.6463045562969084E-2</v>
      </c>
      <c r="C89" s="11"/>
      <c r="D89" s="51">
        <f t="shared" si="1"/>
        <v>16</v>
      </c>
      <c r="E89" s="56">
        <f>'Mastercurve bestimmen'!A33</f>
        <v>16.521360830937301</v>
      </c>
    </row>
    <row r="90" spans="1:5" x14ac:dyDescent="0.25">
      <c r="A90" s="50">
        <f t="shared" si="0"/>
        <v>17</v>
      </c>
      <c r="B90" s="56">
        <f>'Mastercurve bestimmen'!C34</f>
        <v>5.9569205174430817E-2</v>
      </c>
      <c r="C90" s="11"/>
      <c r="D90" s="51">
        <f t="shared" si="1"/>
        <v>17</v>
      </c>
      <c r="E90" s="56">
        <f>'Mastercurve bestimmen'!A34</f>
        <v>183.146753843879</v>
      </c>
    </row>
    <row r="91" spans="1:5" x14ac:dyDescent="0.25">
      <c r="A91" s="50">
        <f t="shared" si="0"/>
        <v>18</v>
      </c>
      <c r="B91" s="56">
        <f>'Mastercurve bestimmen'!C35</f>
        <v>6.4663842713273356E-2</v>
      </c>
      <c r="C91" s="11"/>
      <c r="D91" s="51">
        <f t="shared" si="1"/>
        <v>18</v>
      </c>
      <c r="E91" s="56">
        <f>'Mastercurve bestimmen'!A35</f>
        <v>2030.26456396616</v>
      </c>
    </row>
    <row r="92" spans="1:5" x14ac:dyDescent="0.25">
      <c r="A92" s="50">
        <f t="shared" si="0"/>
        <v>19</v>
      </c>
      <c r="B92" s="56">
        <f>'Mastercurve bestimmen'!C36</f>
        <v>4.8548005334617741E-2</v>
      </c>
      <c r="C92" s="11"/>
      <c r="D92" s="51">
        <f t="shared" si="1"/>
        <v>19</v>
      </c>
      <c r="E92" s="56">
        <f>'Mastercurve bestimmen'!A36</f>
        <v>22506.400540467101</v>
      </c>
    </row>
    <row r="93" spans="1:5" x14ac:dyDescent="0.25">
      <c r="A93" s="50">
        <f t="shared" si="0"/>
        <v>20</v>
      </c>
      <c r="B93" s="56">
        <f>'Mastercurve bestimmen'!C37</f>
        <v>3.8659494646510029E-2</v>
      </c>
      <c r="C93" s="11"/>
      <c r="D93" s="51">
        <f t="shared" si="1"/>
        <v>20</v>
      </c>
      <c r="E93" s="56">
        <f>'Mastercurve bestimmen'!A37</f>
        <v>249493.62476110301</v>
      </c>
    </row>
    <row r="94" spans="1:5" x14ac:dyDescent="0.25">
      <c r="A94" s="50">
        <f t="shared" si="0"/>
        <v>21</v>
      </c>
      <c r="B94" s="56">
        <f>'Mastercurve bestimmen'!C38</f>
        <v>6.6103757573429938E-3</v>
      </c>
      <c r="C94" s="11"/>
      <c r="D94" s="51">
        <f t="shared" si="1"/>
        <v>21</v>
      </c>
      <c r="E94" s="56">
        <f>'Mastercurve bestimmen'!A38</f>
        <v>2765749.6224023802</v>
      </c>
    </row>
    <row r="95" spans="1:5" x14ac:dyDescent="0.25">
      <c r="A95" s="50">
        <f t="shared" si="0"/>
        <v>22</v>
      </c>
      <c r="B95" s="56">
        <f>'Mastercurve bestimmen'!C39</f>
        <v>1.6903393193058183E-2</v>
      </c>
      <c r="C95" s="11"/>
      <c r="D95" s="51">
        <f t="shared" si="1"/>
        <v>22</v>
      </c>
      <c r="E95" s="56">
        <f>'Mastercurve bestimmen'!A39</f>
        <v>10000000</v>
      </c>
    </row>
    <row r="96" spans="1:5" x14ac:dyDescent="0.25">
      <c r="A96" s="50">
        <f t="shared" si="0"/>
        <v>23</v>
      </c>
      <c r="B96" s="56">
        <f>'Mastercurve bestimmen'!C40</f>
        <v>1.9810156254800116E-3</v>
      </c>
      <c r="C96" s="11"/>
      <c r="D96" s="51">
        <f t="shared" si="1"/>
        <v>23</v>
      </c>
      <c r="E96" s="56">
        <f>'Mastercurve bestimmen'!A40</f>
        <v>100000000</v>
      </c>
    </row>
    <row r="97" spans="1:5" x14ac:dyDescent="0.25">
      <c r="A97" s="50">
        <f t="shared" si="0"/>
        <v>24</v>
      </c>
      <c r="B97" s="56">
        <f>'Mastercurve bestimmen'!C41</f>
        <v>4.9795148637895425E-3</v>
      </c>
      <c r="C97" s="11"/>
      <c r="D97" s="51">
        <f t="shared" si="1"/>
        <v>24</v>
      </c>
      <c r="E97" s="56">
        <f>'Mastercurve bestimmen'!A41</f>
        <v>1000000000</v>
      </c>
    </row>
    <row r="98" spans="1:5" x14ac:dyDescent="0.25">
      <c r="A98" s="50">
        <f t="shared" si="0"/>
        <v>25</v>
      </c>
      <c r="B98" s="56">
        <f>'Mastercurve bestimmen'!C42</f>
        <v>1.5203897421204233E-3</v>
      </c>
      <c r="C98" s="11"/>
      <c r="D98" s="51">
        <f t="shared" si="1"/>
        <v>25</v>
      </c>
      <c r="E98" s="56">
        <f>'Mastercurve bestimmen'!A42</f>
        <v>10000000000</v>
      </c>
    </row>
    <row r="99" spans="1:5" x14ac:dyDescent="0.25">
      <c r="A99" s="50">
        <f t="shared" si="0"/>
        <v>26</v>
      </c>
      <c r="B99" s="56">
        <f>'Mastercurve bestimmen'!C43</f>
        <v>3.2547360985645695E-4</v>
      </c>
      <c r="C99" s="11"/>
      <c r="D99" s="51">
        <f t="shared" si="1"/>
        <v>26</v>
      </c>
      <c r="E99" s="56">
        <f>'Mastercurve bestimmen'!A43</f>
        <v>100000000000</v>
      </c>
    </row>
    <row r="100" spans="1:5" x14ac:dyDescent="0.25">
      <c r="A100" s="50">
        <f t="shared" si="0"/>
        <v>27</v>
      </c>
      <c r="B100" s="56">
        <f>'Mastercurve bestimmen'!C44</f>
        <v>3.3657757333866336E-3</v>
      </c>
      <c r="C100" s="11"/>
      <c r="D100" s="51">
        <f t="shared" si="1"/>
        <v>27</v>
      </c>
      <c r="E100" s="56">
        <f>'Mastercurve bestimmen'!A44</f>
        <v>1000000000000</v>
      </c>
    </row>
    <row r="101" spans="1:5" x14ac:dyDescent="0.25">
      <c r="A101" s="50">
        <f t="shared" si="0"/>
        <v>28</v>
      </c>
      <c r="B101" s="56">
        <f>'Mastercurve bestimmen'!C45</f>
        <v>7.1877880972849508E-4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6.8174095740770341E-3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98" zoomScale="120" zoomScaleNormal="120" zoomScaleSheetLayoutView="110" workbookViewId="0">
      <selection activeCell="M118" sqref="M118:N12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8600.88026028485</v>
      </c>
      <c r="G16" s="26">
        <f>INDEX(Comparison!$AM$3:$AS$33,G14,$B$3)</f>
        <v>8258.5143784911779</v>
      </c>
      <c r="H16" s="26">
        <f>INDEX(Comparison!$AM$3:$AS$33,H14,$B$3)</f>
        <v>7962.1526037178537</v>
      </c>
      <c r="I16" s="26">
        <f>INDEX(Comparison!$AM$3:$AS$33,I14,$B$3)</f>
        <v>7694.1164691736458</v>
      </c>
      <c r="J16" s="26">
        <f>INDEX(Comparison!$AM$3:$AS$33,J14,$B$3)</f>
        <v>7392.1118529421537</v>
      </c>
      <c r="K16" s="26">
        <f>INDEX(Comparison!$AM$3:$AS$33,K14,$B$3)</f>
        <v>7031.7099177768096</v>
      </c>
      <c r="L16" s="26">
        <f>INDEX(Comparison!$AM$3:$AS$33,L14,$B$3)</f>
        <v>6653.2341038317008</v>
      </c>
      <c r="M16" s="26">
        <f>INDEX(Comparison!$AM$3:$AS$33,M14,$B$3)</f>
        <v>6325.3637954371716</v>
      </c>
      <c r="N16" s="26">
        <f>INDEX(Comparison!$AM$3:$AS$33,N14,$B$3)</f>
        <v>6045.8980186697399</v>
      </c>
      <c r="O16" s="26">
        <f>INDEX(Comparison!$AM$3:$AS$33,O14,$B$3)</f>
        <v>5765.1058423358591</v>
      </c>
      <c r="P16" s="26">
        <f>INDEX(Comparison!$AM$3:$AS$33,P14,$B$3)</f>
        <v>5486.9816625574504</v>
      </c>
      <c r="Q16" s="26">
        <f>INDEX(Comparison!$AM$3:$AS$33,Q14,$B$3)</f>
        <v>5211.1575946368548</v>
      </c>
      <c r="R16" s="26">
        <f>INDEX(Comparison!$AM$3:$AS$33,R14,$B$3)</f>
        <v>4923.9623445747775</v>
      </c>
      <c r="S16" s="26">
        <f>INDEX(Comparison!$AM$3:$AS$33,S14,$B$3)</f>
        <v>4584.0172032140918</v>
      </c>
      <c r="T16" s="26">
        <f>INDEX(Comparison!$AM$3:$AS$33,T14,$B$3)</f>
        <v>4221.1859974432145</v>
      </c>
      <c r="U16" s="26">
        <f>INDEX(Comparison!$AM$3:$AS$33,U14,$B$3)</f>
        <v>3789.937412973562</v>
      </c>
      <c r="V16" s="26">
        <f>INDEX(Comparison!$AM$3:$AS$33,V14,$B$3)</f>
        <v>3283.8683924627298</v>
      </c>
      <c r="W16" s="26">
        <f>INDEX(Comparison!$AM$3:$AS$33,W14,$B$3)</f>
        <v>2714.7098539050189</v>
      </c>
      <c r="X16" s="26">
        <f>INDEX(Comparison!$AM$3:$AS$33,X14,$B$3)</f>
        <v>2120.3389527808267</v>
      </c>
      <c r="Y16" s="26">
        <f>INDEX(Comparison!$AM$3:$AS$33,Y14,$B$3)</f>
        <v>1549.2251736201158</v>
      </c>
      <c r="Z16" s="26">
        <f>INDEX(Comparison!$AM$3:$AS$33,Z14,$B$3)</f>
        <v>1115.0562509241029</v>
      </c>
      <c r="AA16" s="26">
        <f>INDEX(Comparison!$AM$3:$AS$33,AA14,$B$3)</f>
        <v>819.57257707159806</v>
      </c>
      <c r="AB16" s="26">
        <f>INDEX(Comparison!$AM$3:$AS$33,AB14,$B$3)</f>
        <v>672.71182943032534</v>
      </c>
      <c r="AC16" s="26">
        <f>INDEX(Comparison!$AM$3:$AS$33,AC14,$B$3)</f>
        <v>592.26686963031818</v>
      </c>
      <c r="AD16" s="26">
        <f>INDEX(Comparison!$AM$3:$AS$33,AD14,$B$3)</f>
        <v>556.12366677692739</v>
      </c>
      <c r="AE16" s="26">
        <f>INDEX(Comparison!$AM$3:$AS$33,AE14,$B$3)</f>
        <v>528.75323853804991</v>
      </c>
      <c r="AF16" s="26">
        <f>INDEX(Comparison!$AM$3:$AS$33,AF14,$B$3)</f>
        <v>517.55067575260887</v>
      </c>
      <c r="AG16" s="26">
        <f>INDEX(Comparison!$AM$3:$AS$33,AG14,$B$3)</f>
        <v>499.76142817308812</v>
      </c>
      <c r="AH16" s="26">
        <f>INDEX(Comparison!$AM$3:$AS$33,AH14,$B$3)</f>
        <v>478.96737917397832</v>
      </c>
      <c r="AI16" s="26">
        <f>INDEX(Comparison!$AM$3:$AS$33,AI14,$B$3)</f>
        <v>475.66972462501121</v>
      </c>
      <c r="AJ16" s="26">
        <f>INDEX(Comparison!$AM$3:$AS$33,AJ14,$B$3)</f>
        <v>475.44842733478526</v>
      </c>
    </row>
    <row r="17" spans="1:36" x14ac:dyDescent="0.25">
      <c r="A17" s="14" t="s">
        <v>20</v>
      </c>
      <c r="B17" s="105">
        <v>3.1714322082272789E-2</v>
      </c>
      <c r="C17" s="18">
        <f t="shared" ref="C17:C48" si="3">ABS(B17/$B$49)</f>
        <v>4.0171549189937449E-2</v>
      </c>
      <c r="D17" s="66"/>
      <c r="E17" s="65" t="s">
        <v>22</v>
      </c>
      <c r="F17" s="27">
        <f>($C$17+SUM(F18:F48))*$B$51</f>
        <v>8505.4055188309922</v>
      </c>
      <c r="G17" s="27">
        <f t="shared" ref="G17:M17" si="4">($C$17+SUM(G18:G48))*$B$51</f>
        <v>8382.0226107786984</v>
      </c>
      <c r="H17" s="27">
        <f t="shared" si="4"/>
        <v>7929.4666757274645</v>
      </c>
      <c r="I17" s="27">
        <f t="shared" si="4"/>
        <v>7699.4766714132929</v>
      </c>
      <c r="J17" s="27">
        <f t="shared" si="4"/>
        <v>7391.3780439715129</v>
      </c>
      <c r="K17" s="27">
        <f t="shared" si="4"/>
        <v>7031.8363166652543</v>
      </c>
      <c r="L17" s="27">
        <f t="shared" si="4"/>
        <v>6653.1771372946841</v>
      </c>
      <c r="M17" s="27">
        <f t="shared" si="4"/>
        <v>6325.5905096738506</v>
      </c>
      <c r="N17" s="27">
        <f t="shared" ref="N17" si="5">($C$17+SUM(N18:N48))*$B$51</f>
        <v>6045.4496914792717</v>
      </c>
      <c r="O17" s="27">
        <f t="shared" ref="O17" si="6">($C$17+SUM(O18:O48))*$B$51</f>
        <v>5766.1128081789284</v>
      </c>
      <c r="P17" s="27">
        <f t="shared" ref="P17" si="7">($C$17+SUM(P18:P48))*$B$51</f>
        <v>5485.3418775199243</v>
      </c>
      <c r="Q17" s="27">
        <f t="shared" ref="Q17" si="8">($C$17+SUM(Q18:Q48))*$B$51</f>
        <v>5213.5980726309772</v>
      </c>
      <c r="R17" s="27">
        <f t="shared" ref="R17" si="9">($C$17+SUM(R18:R48))*$B$51</f>
        <v>4921.0310639329673</v>
      </c>
      <c r="S17" s="27">
        <f t="shared" ref="S17:T17" si="10">($C$17+SUM(S18:S48))*$B$51</f>
        <v>4587.1779443488995</v>
      </c>
      <c r="T17" s="27">
        <f t="shared" si="10"/>
        <v>4218.4186503698384</v>
      </c>
      <c r="U17" s="27">
        <f t="shared" ref="U17" si="11">($C$17+SUM(U18:U48))*$B$51</f>
        <v>3792.1338767970592</v>
      </c>
      <c r="V17" s="27">
        <f t="shared" ref="V17" si="12">($C$17+SUM(V18:V48))*$B$51</f>
        <v>3282.4619348568226</v>
      </c>
      <c r="W17" s="27">
        <f t="shared" ref="W17" si="13">($C$17+SUM(W18:W48))*$B$51</f>
        <v>2715.5744153646046</v>
      </c>
      <c r="X17" s="27">
        <f t="shared" ref="X17" si="14">($C$17+SUM(X18:X48))*$B$51</f>
        <v>2119.9768169658341</v>
      </c>
      <c r="Y17" s="27">
        <f t="shared" ref="Y17" si="15">($C$17+SUM(Y18:Y48))*$B$51</f>
        <v>1549.4342159896732</v>
      </c>
      <c r="Z17" s="27">
        <f t="shared" ref="Z17:AA17" si="16">($C$17+SUM(Z18:Z48))*$B$51</f>
        <v>1115.0235937695147</v>
      </c>
      <c r="AA17" s="27">
        <f t="shared" si="16"/>
        <v>819.63884701229028</v>
      </c>
      <c r="AB17" s="27">
        <f t="shared" ref="AB17" si="17">($C$17+SUM(AB18:AB48))*$B$51</f>
        <v>672.73350000323262</v>
      </c>
      <c r="AC17" s="27">
        <f t="shared" ref="AC17" si="18">($C$17+SUM(AC18:AC48))*$B$51</f>
        <v>592.27718141525918</v>
      </c>
      <c r="AD17" s="27">
        <f t="shared" ref="AD17" si="19">($C$17+SUM(AD18:AD48))*$B$51</f>
        <v>556.22631230494824</v>
      </c>
      <c r="AE17" s="27">
        <f t="shared" ref="AE17" si="20">($C$17+SUM(AE18:AE48))*$B$51</f>
        <v>528.65312481256296</v>
      </c>
      <c r="AF17" s="27">
        <f t="shared" ref="AF17" si="21">($C$17+SUM(AF18:AF48))*$B$51</f>
        <v>518.18522876425141</v>
      </c>
      <c r="AG17" s="27">
        <f t="shared" ref="AG17:AH17" si="22">($C$17+SUM(AG18:AG48))*$B$51</f>
        <v>497.92338145131907</v>
      </c>
      <c r="AH17" s="27">
        <f t="shared" si="22"/>
        <v>481.31657333485026</v>
      </c>
      <c r="AI17" s="27">
        <f t="shared" ref="AI17" si="23">($C$17+SUM(AI18:AI48))*$B$51</f>
        <v>477.99995001294695</v>
      </c>
      <c r="AJ17" s="27">
        <f t="shared" ref="AJ17" si="24">($C$17+SUM(AJ18:AJ48))*$B$51</f>
        <v>472.08152980478735</v>
      </c>
    </row>
    <row r="18" spans="1:36" x14ac:dyDescent="0.25">
      <c r="A18" s="3">
        <f>0.000000000000001/10^5</f>
        <v>1.0000000000000001E-20</v>
      </c>
      <c r="B18" s="106">
        <v>0.12913936133474144</v>
      </c>
      <c r="C18" s="18">
        <f t="shared" si="3"/>
        <v>0.16357682793148628</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4.5985332236337412E-2</v>
      </c>
      <c r="C19" s="18">
        <f t="shared" si="3"/>
        <v>5.824819559930694E-2</v>
      </c>
      <c r="D19" s="17"/>
      <c r="F19" s="3">
        <f t="shared" si="25"/>
        <v>5.6775089807207059E-2</v>
      </c>
      <c r="G19" s="3">
        <f t="shared" si="25"/>
        <v>4.5085408691573223E-2</v>
      </c>
      <c r="H19" s="3">
        <f t="shared" si="25"/>
        <v>4.4959121915908364E-3</v>
      </c>
      <c r="I19" s="3">
        <f t="shared" si="25"/>
        <v>4.3715547085125816E-13</v>
      </c>
      <c r="J19" s="3">
        <f t="shared" si="25"/>
        <v>3.3023027809444357E-113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1.3622311537351451E-2</v>
      </c>
      <c r="C20" s="18">
        <f t="shared" si="3"/>
        <v>1.72549599699389E-2</v>
      </c>
      <c r="D20" s="17"/>
      <c r="F20" s="3">
        <f t="shared" si="25"/>
        <v>1.7215134511256464E-2</v>
      </c>
      <c r="G20" s="3">
        <f t="shared" si="25"/>
        <v>1.6860816404142883E-2</v>
      </c>
      <c r="H20" s="3">
        <f t="shared" si="25"/>
        <v>1.3694948055522776E-2</v>
      </c>
      <c r="I20" s="3">
        <f t="shared" si="25"/>
        <v>1.7115054577126921E-3</v>
      </c>
      <c r="J20" s="3">
        <f t="shared" si="25"/>
        <v>1.5905864513009618E-12</v>
      </c>
      <c r="K20" s="3">
        <f t="shared" si="25"/>
        <v>7.6444665205240239E-103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2.5482929930858253E-2</v>
      </c>
      <c r="C21" s="18">
        <f t="shared" si="3"/>
        <v>3.2278437816377237E-2</v>
      </c>
      <c r="D21" s="17"/>
      <c r="F21" s="3">
        <f t="shared" si="25"/>
        <v>3.2271710182674322E-2</v>
      </c>
      <c r="G21" s="3">
        <f t="shared" si="25"/>
        <v>3.2211224543610549E-2</v>
      </c>
      <c r="H21" s="3">
        <f t="shared" si="25"/>
        <v>3.1612568351579516E-2</v>
      </c>
      <c r="I21" s="3">
        <f t="shared" si="25"/>
        <v>2.6205065050210731E-2</v>
      </c>
      <c r="J21" s="3">
        <f t="shared" si="25"/>
        <v>4.0145775305141171E-3</v>
      </c>
      <c r="K21" s="3">
        <f t="shared" si="25"/>
        <v>2.8588141549005822E-11</v>
      </c>
      <c r="L21" s="3">
        <f t="shared" si="25"/>
        <v>9.5862039839113263E-93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2.932455523735851E-2</v>
      </c>
      <c r="C22" s="18">
        <f t="shared" si="3"/>
        <v>3.7144505568638776E-2</v>
      </c>
      <c r="D22" s="17"/>
      <c r="F22" s="3">
        <f t="shared" si="25"/>
        <v>3.7143807123688054E-2</v>
      </c>
      <c r="G22" s="3">
        <f t="shared" si="25"/>
        <v>3.7137521710094865E-2</v>
      </c>
      <c r="H22" s="3">
        <f t="shared" si="25"/>
        <v>3.707472604287701E-2</v>
      </c>
      <c r="I22" s="3">
        <f t="shared" si="25"/>
        <v>3.6452579796416688E-2</v>
      </c>
      <c r="J22" s="3">
        <f t="shared" si="25"/>
        <v>3.0777366549455603E-2</v>
      </c>
      <c r="K22" s="3">
        <f t="shared" si="25"/>
        <v>5.6658272978194609E-3</v>
      </c>
      <c r="L22" s="3">
        <f t="shared" si="25"/>
        <v>2.5326903088651502E-10</v>
      </c>
      <c r="M22" s="3">
        <f t="shared" si="25"/>
        <v>8.068069848104219E-84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3.2208738955806449E-2</v>
      </c>
      <c r="C23" s="18">
        <f t="shared" si="3"/>
        <v>4.0797811725329765E-2</v>
      </c>
      <c r="D23" s="17"/>
      <c r="F23" s="3">
        <f t="shared" si="25"/>
        <v>4.0797742522353096E-2</v>
      </c>
      <c r="G23" s="3">
        <f t="shared" si="25"/>
        <v>4.0797119700845409E-2</v>
      </c>
      <c r="H23" s="3">
        <f t="shared" si="25"/>
        <v>4.0790892008686852E-2</v>
      </c>
      <c r="I23" s="3">
        <f t="shared" si="25"/>
        <v>4.0728667349409838E-2</v>
      </c>
      <c r="J23" s="3">
        <f t="shared" si="25"/>
        <v>4.0111617587336779E-2</v>
      </c>
      <c r="K23" s="3">
        <f t="shared" si="25"/>
        <v>3.4432609480830906E-2</v>
      </c>
      <c r="L23" s="3">
        <f t="shared" si="25"/>
        <v>7.4811359223124216E-3</v>
      </c>
      <c r="M23" s="3">
        <f t="shared" si="25"/>
        <v>1.7536528637320772E-9</v>
      </c>
      <c r="N23" s="3">
        <f t="shared" si="25"/>
        <v>8.7842454596209778E-76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2.6038574766943743E-2</v>
      </c>
      <c r="C24" s="18">
        <f t="shared" si="3"/>
        <v>3.2982255914933402E-2</v>
      </c>
      <c r="D24" s="17"/>
      <c r="F24" s="3">
        <f t="shared" si="25"/>
        <v>3.2982250868143922E-2</v>
      </c>
      <c r="G24" s="3">
        <f t="shared" si="25"/>
        <v>3.2982205447073351E-2</v>
      </c>
      <c r="H24" s="3">
        <f t="shared" si="25"/>
        <v>3.2981751239807913E-2</v>
      </c>
      <c r="I24" s="3">
        <f t="shared" si="25"/>
        <v>3.2977209511165284E-2</v>
      </c>
      <c r="J24" s="3">
        <f t="shared" si="25"/>
        <v>3.2931826608386235E-2</v>
      </c>
      <c r="K24" s="3">
        <f t="shared" si="25"/>
        <v>3.2481418489795535E-2</v>
      </c>
      <c r="L24" s="3">
        <f t="shared" si="25"/>
        <v>2.8302620988388576E-2</v>
      </c>
      <c r="M24" s="3">
        <f t="shared" si="25"/>
        <v>7.140741997377833E-3</v>
      </c>
      <c r="N24" s="3">
        <f t="shared" si="25"/>
        <v>7.4629443679343593E-9</v>
      </c>
      <c r="O24" s="3">
        <f t="shared" si="25"/>
        <v>1.160322805010378E-68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2.160962162412965E-2</v>
      </c>
      <c r="C25" s="18">
        <f t="shared" si="3"/>
        <v>2.7372238189347697E-2</v>
      </c>
      <c r="D25" s="17"/>
      <c r="F25" s="3">
        <f t="shared" si="25"/>
        <v>2.7372237811521764E-2</v>
      </c>
      <c r="G25" s="3">
        <f t="shared" si="25"/>
        <v>2.7372234411088599E-2</v>
      </c>
      <c r="H25" s="3">
        <f t="shared" si="25"/>
        <v>2.7372200406780196E-2</v>
      </c>
      <c r="I25" s="3">
        <f t="shared" si="25"/>
        <v>2.7371860366019508E-2</v>
      </c>
      <c r="J25" s="3">
        <f t="shared" si="25"/>
        <v>2.7368460190739154E-2</v>
      </c>
      <c r="K25" s="3">
        <f t="shared" si="25"/>
        <v>2.733448165991037E-2</v>
      </c>
      <c r="L25" s="3">
        <f t="shared" si="25"/>
        <v>2.699700791053436E-2</v>
      </c>
      <c r="M25" s="3">
        <f t="shared" si="25"/>
        <v>2.3843145186781434E-2</v>
      </c>
      <c r="N25" s="3">
        <f t="shared" si="25"/>
        <v>6.8840281658060238E-3</v>
      </c>
      <c r="O25" s="3">
        <f t="shared" si="25"/>
        <v>2.770981275035092E-8</v>
      </c>
      <c r="P25" s="3">
        <f t="shared" si="25"/>
        <v>3.0941624817736757E-62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2.3226868575752794E-2</v>
      </c>
      <c r="C26" s="18">
        <f t="shared" si="3"/>
        <v>2.94207547964777E-2</v>
      </c>
      <c r="D26" s="17"/>
      <c r="F26" s="3">
        <f t="shared" si="25"/>
        <v>2.942075475984391E-2</v>
      </c>
      <c r="G26" s="3">
        <f t="shared" si="25"/>
        <v>2.9420754430139796E-2</v>
      </c>
      <c r="H26" s="3">
        <f t="shared" si="25"/>
        <v>2.9420751133098878E-2</v>
      </c>
      <c r="I26" s="3">
        <f t="shared" si="25"/>
        <v>2.942071816271E-2</v>
      </c>
      <c r="J26" s="3">
        <f t="shared" si="25"/>
        <v>2.9420388460853372E-2</v>
      </c>
      <c r="K26" s="3">
        <f t="shared" si="25"/>
        <v>2.9417091645493616E-2</v>
      </c>
      <c r="L26" s="3">
        <f t="shared" si="25"/>
        <v>2.9384143804123204E-2</v>
      </c>
      <c r="M26" s="3">
        <f t="shared" si="25"/>
        <v>2.9056688216040901E-2</v>
      </c>
      <c r="N26" s="3">
        <f t="shared" si="25"/>
        <v>2.59762729679055E-2</v>
      </c>
      <c r="O26" s="3">
        <f t="shared" si="25"/>
        <v>8.4700134400334959E-3</v>
      </c>
      <c r="P26" s="3">
        <f t="shared" si="25"/>
        <v>1.1506856587968716E-7</v>
      </c>
      <c r="Q26" s="3">
        <f t="shared" si="25"/>
        <v>2.4642383395318948E-56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2.2902083842712466E-2</v>
      </c>
      <c r="C27" s="18">
        <f t="shared" si="3"/>
        <v>2.9009360037806093E-2</v>
      </c>
      <c r="D27" s="17"/>
      <c r="F27" s="3">
        <f t="shared" si="25"/>
        <v>2.900936003454763E-2</v>
      </c>
      <c r="G27" s="3">
        <f t="shared" si="25"/>
        <v>2.9009360005221464E-2</v>
      </c>
      <c r="H27" s="3">
        <f t="shared" si="25"/>
        <v>2.9009359711959802E-2</v>
      </c>
      <c r="I27" s="3">
        <f t="shared" si="25"/>
        <v>2.9009356779343336E-2</v>
      </c>
      <c r="J27" s="3">
        <f t="shared" si="25"/>
        <v>2.9009327453194976E-2</v>
      </c>
      <c r="K27" s="3">
        <f t="shared" si="25"/>
        <v>2.9009034193341943E-2</v>
      </c>
      <c r="L27" s="3">
        <f t="shared" si="25"/>
        <v>2.9006101757860211E-2</v>
      </c>
      <c r="M27" s="3">
        <f t="shared" si="25"/>
        <v>2.8976793701806211E-2</v>
      </c>
      <c r="N27" s="3">
        <f t="shared" si="25"/>
        <v>2.8685336937647091E-2</v>
      </c>
      <c r="O27" s="3">
        <f t="shared" si="25"/>
        <v>2.5927236036559258E-2</v>
      </c>
      <c r="P27" s="3">
        <f t="shared" si="25"/>
        <v>9.4344998325326668E-3</v>
      </c>
      <c r="Q27" s="3">
        <f t="shared" si="25"/>
        <v>3.840126030147069E-7</v>
      </c>
      <c r="R27" s="3">
        <f t="shared" si="25"/>
        <v>4.7930443228881152E-51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2.1138118793273018E-2</v>
      </c>
      <c r="C28" s="18">
        <f t="shared" si="3"/>
        <v>2.6775000161878105E-2</v>
      </c>
      <c r="D28" s="17"/>
      <c r="F28" s="3">
        <f t="shared" si="25"/>
        <v>2.6775000161606805E-2</v>
      </c>
      <c r="G28" s="3">
        <f t="shared" si="25"/>
        <v>2.6775000159165098E-2</v>
      </c>
      <c r="H28" s="3">
        <f t="shared" si="25"/>
        <v>2.6775000134748046E-2</v>
      </c>
      <c r="I28" s="3">
        <f t="shared" si="25"/>
        <v>2.6774999890577533E-2</v>
      </c>
      <c r="J28" s="3">
        <f t="shared" si="25"/>
        <v>2.677499744887251E-2</v>
      </c>
      <c r="K28" s="3">
        <f t="shared" si="25"/>
        <v>2.6774973031834546E-2</v>
      </c>
      <c r="L28" s="3">
        <f t="shared" si="25"/>
        <v>2.6774728862679554E-2</v>
      </c>
      <c r="M28" s="3">
        <f t="shared" si="25"/>
        <v>2.6772287293592188E-2</v>
      </c>
      <c r="N28" s="3">
        <f t="shared" si="25"/>
        <v>2.6747883844844368E-2</v>
      </c>
      <c r="O28" s="3">
        <f t="shared" si="25"/>
        <v>2.6505069449320816E-2</v>
      </c>
      <c r="P28" s="3">
        <f t="shared" si="25"/>
        <v>2.4194916407580737E-2</v>
      </c>
      <c r="Q28" s="3">
        <f t="shared" si="25"/>
        <v>9.7202161075836159E-3</v>
      </c>
      <c r="R28" s="3">
        <f t="shared" si="25"/>
        <v>1.0646181526124939E-6</v>
      </c>
      <c r="S28" s="3">
        <f t="shared" si="25"/>
        <v>2.6446812158123441E-46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2.4935410577483892E-2</v>
      </c>
      <c r="C29" s="18">
        <f t="shared" si="3"/>
        <v>3.1584912015022802E-2</v>
      </c>
      <c r="D29" s="17"/>
      <c r="F29" s="3">
        <f t="shared" si="25"/>
        <v>3.1584912014993929E-2</v>
      </c>
      <c r="G29" s="3">
        <f t="shared" si="25"/>
        <v>3.1584912014734103E-2</v>
      </c>
      <c r="H29" s="3">
        <f t="shared" si="25"/>
        <v>3.1584912012135799E-2</v>
      </c>
      <c r="I29" s="3">
        <f t="shared" si="25"/>
        <v>3.1584911986152757E-2</v>
      </c>
      <c r="J29" s="3">
        <f t="shared" si="25"/>
        <v>3.1584911726322336E-2</v>
      </c>
      <c r="K29" s="3">
        <f t="shared" si="25"/>
        <v>3.1584909128018236E-2</v>
      </c>
      <c r="L29" s="3">
        <f t="shared" si="25"/>
        <v>3.1584883144988973E-2</v>
      </c>
      <c r="M29" s="3">
        <f t="shared" si="25"/>
        <v>3.158462331587196E-2</v>
      </c>
      <c r="N29" s="3">
        <f t="shared" si="25"/>
        <v>3.1582025142258795E-2</v>
      </c>
      <c r="O29" s="3">
        <f t="shared" si="25"/>
        <v>3.1556055158245382E-2</v>
      </c>
      <c r="P29" s="3">
        <f t="shared" si="25"/>
        <v>3.1297526960714805E-2</v>
      </c>
      <c r="Q29" s="3">
        <f t="shared" si="25"/>
        <v>2.8825920151494443E-2</v>
      </c>
      <c r="R29" s="3">
        <f t="shared" si="25"/>
        <v>1.2662362721765958E-2</v>
      </c>
      <c r="S29" s="3">
        <f t="shared" si="25"/>
        <v>3.3871190174898175E-6</v>
      </c>
      <c r="T29" s="3">
        <f t="shared" si="25"/>
        <v>6.3531268938438169E-42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2.8363173064293937E-2</v>
      </c>
      <c r="C30" s="18">
        <f t="shared" si="3"/>
        <v>3.592675255612271E-2</v>
      </c>
      <c r="D30" s="17"/>
      <c r="F30" s="3">
        <f t="shared" si="25"/>
        <v>3.5926752556119747E-2</v>
      </c>
      <c r="G30" s="3">
        <f t="shared" si="25"/>
        <v>3.5926752556093088E-2</v>
      </c>
      <c r="H30" s="3">
        <f t="shared" si="25"/>
        <v>3.5926752555826481E-2</v>
      </c>
      <c r="I30" s="3">
        <f t="shared" si="25"/>
        <v>3.5926752553160385E-2</v>
      </c>
      <c r="J30" s="3">
        <f t="shared" si="25"/>
        <v>3.5926752526499482E-2</v>
      </c>
      <c r="K30" s="3">
        <f t="shared" si="25"/>
        <v>3.5926752259890435E-2</v>
      </c>
      <c r="L30" s="3">
        <f t="shared" si="25"/>
        <v>3.5926749593800086E-2</v>
      </c>
      <c r="M30" s="3">
        <f t="shared" si="25"/>
        <v>3.592672293290744E-2</v>
      </c>
      <c r="N30" s="3">
        <f t="shared" si="25"/>
        <v>3.5926456325069168E-2</v>
      </c>
      <c r="O30" s="3">
        <f t="shared" si="25"/>
        <v>3.5923790355499599E-2</v>
      </c>
      <c r="P30" s="3">
        <f t="shared" si="25"/>
        <v>3.5897141538128251E-2</v>
      </c>
      <c r="Q30" s="3">
        <f t="shared" si="25"/>
        <v>3.5631738215872871E-2</v>
      </c>
      <c r="R30" s="3">
        <f t="shared" si="25"/>
        <v>3.3083269629799572E-2</v>
      </c>
      <c r="S30" s="3">
        <f t="shared" si="25"/>
        <v>1.5751524004711998E-2</v>
      </c>
      <c r="T30" s="3">
        <f t="shared" si="25"/>
        <v>9.4289672789755854E-6</v>
      </c>
      <c r="U30" s="3">
        <f t="shared" si="25"/>
        <v>5.5703132798916443E-38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3.0171130588885337E-2</v>
      </c>
      <c r="C31" s="18">
        <f t="shared" si="3"/>
        <v>3.8216836337325075E-2</v>
      </c>
      <c r="D31" s="17"/>
      <c r="F31" s="3">
        <f t="shared" si="25"/>
        <v>3.821683633732479E-2</v>
      </c>
      <c r="G31" s="3">
        <f t="shared" si="25"/>
        <v>3.821683633732223E-2</v>
      </c>
      <c r="H31" s="3">
        <f t="shared" si="25"/>
        <v>3.8216836337296646E-2</v>
      </c>
      <c r="I31" s="3">
        <f t="shared" si="25"/>
        <v>3.8216836337040816E-2</v>
      </c>
      <c r="J31" s="3">
        <f t="shared" si="25"/>
        <v>3.8216836334482474E-2</v>
      </c>
      <c r="K31" s="3">
        <f t="shared" si="25"/>
        <v>3.8216836308899077E-2</v>
      </c>
      <c r="L31" s="3">
        <f t="shared" si="25"/>
        <v>3.8216836053065084E-2</v>
      </c>
      <c r="M31" s="3">
        <f t="shared" si="25"/>
        <v>3.8216833494725294E-2</v>
      </c>
      <c r="N31" s="3">
        <f t="shared" si="25"/>
        <v>3.8216807911336789E-2</v>
      </c>
      <c r="O31" s="3">
        <f t="shared" si="25"/>
        <v>3.8216552078393695E-2</v>
      </c>
      <c r="P31" s="3">
        <f t="shared" si="25"/>
        <v>3.8213993843154388E-2</v>
      </c>
      <c r="Q31" s="3">
        <f t="shared" si="25"/>
        <v>3.8188420907595631E-2</v>
      </c>
      <c r="R31" s="3">
        <f t="shared" si="25"/>
        <v>3.7933630907170481E-2</v>
      </c>
      <c r="S31" s="3">
        <f t="shared" si="25"/>
        <v>3.5477380823272814E-2</v>
      </c>
      <c r="T31" s="3">
        <f t="shared" si="25"/>
        <v>1.816447733459365E-2</v>
      </c>
      <c r="U31" s="3">
        <f t="shared" si="25"/>
        <v>2.2487256174065196E-5</v>
      </c>
      <c r="V31" s="3">
        <f t="shared" si="26"/>
        <v>1.9013938355719655E-34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3.7984573071517563E-2</v>
      </c>
      <c r="C32" s="18">
        <f t="shared" si="3"/>
        <v>4.8113881849429982E-2</v>
      </c>
      <c r="D32" s="17"/>
      <c r="F32" s="3">
        <f t="shared" si="25"/>
        <v>4.8113881849429947E-2</v>
      </c>
      <c r="G32" s="3">
        <f t="shared" si="25"/>
        <v>4.8113881849429663E-2</v>
      </c>
      <c r="H32" s="3">
        <f t="shared" si="25"/>
        <v>4.8113881849426755E-2</v>
      </c>
      <c r="I32" s="3">
        <f t="shared" si="25"/>
        <v>4.8113881849397695E-2</v>
      </c>
      <c r="J32" s="3">
        <f t="shared" si="25"/>
        <v>4.811388184910715E-2</v>
      </c>
      <c r="K32" s="3">
        <f t="shared" si="25"/>
        <v>4.8113881846201655E-2</v>
      </c>
      <c r="L32" s="3">
        <f t="shared" si="25"/>
        <v>4.8113881817146674E-2</v>
      </c>
      <c r="M32" s="3">
        <f t="shared" si="25"/>
        <v>4.8113881526596937E-2</v>
      </c>
      <c r="N32" s="3">
        <f t="shared" si="25"/>
        <v>4.8113878621099587E-2</v>
      </c>
      <c r="O32" s="3">
        <f t="shared" si="25"/>
        <v>4.811384956613575E-2</v>
      </c>
      <c r="P32" s="3">
        <f t="shared" si="25"/>
        <v>4.81135590174624E-2</v>
      </c>
      <c r="Q32" s="3">
        <f t="shared" si="25"/>
        <v>4.8110653627227863E-2</v>
      </c>
      <c r="R32" s="3">
        <f t="shared" si="25"/>
        <v>4.8081609372619946E-2</v>
      </c>
      <c r="S32" s="3">
        <f t="shared" si="25"/>
        <v>4.7792129448120724E-2</v>
      </c>
      <c r="T32" s="3">
        <f t="shared" si="25"/>
        <v>4.4991475825371267E-2</v>
      </c>
      <c r="U32" s="3">
        <f t="shared" si="25"/>
        <v>2.4596245332616073E-2</v>
      </c>
      <c r="V32" s="3">
        <f t="shared" si="26"/>
        <v>5.8648186248354729E-5</v>
      </c>
      <c r="W32" s="3">
        <f t="shared" si="26"/>
        <v>3.484273840829539E-31</v>
      </c>
      <c r="X32" s="3">
        <f t="shared" si="26"/>
        <v>1.9084870919758977E-293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4.4576005875785175E-2</v>
      </c>
      <c r="C33" s="18">
        <f t="shared" si="3"/>
        <v>5.6463045562969084E-2</v>
      </c>
      <c r="D33" s="17"/>
      <c r="F33" s="3">
        <f t="shared" si="25"/>
        <v>5.6463045562969078E-2</v>
      </c>
      <c r="G33" s="3">
        <f t="shared" si="25"/>
        <v>5.646304556296905E-2</v>
      </c>
      <c r="H33" s="3">
        <f t="shared" si="25"/>
        <v>5.6463045562968738E-2</v>
      </c>
      <c r="I33" s="3">
        <f t="shared" si="25"/>
        <v>5.6463045562965671E-2</v>
      </c>
      <c r="J33" s="3">
        <f t="shared" si="25"/>
        <v>5.646304556293491E-2</v>
      </c>
      <c r="K33" s="3">
        <f t="shared" si="25"/>
        <v>5.6463045562627323E-2</v>
      </c>
      <c r="L33" s="3">
        <f t="shared" si="25"/>
        <v>5.6463045559551506E-2</v>
      </c>
      <c r="M33" s="3">
        <f t="shared" si="25"/>
        <v>5.6463045528793297E-2</v>
      </c>
      <c r="N33" s="3">
        <f t="shared" si="25"/>
        <v>5.6463045221211247E-2</v>
      </c>
      <c r="O33" s="3">
        <f t="shared" si="25"/>
        <v>5.6463042145390809E-2</v>
      </c>
      <c r="P33" s="3">
        <f t="shared" si="25"/>
        <v>5.6463011387195644E-2</v>
      </c>
      <c r="Q33" s="3">
        <f t="shared" si="25"/>
        <v>5.6462703806165498E-2</v>
      </c>
      <c r="R33" s="3">
        <f t="shared" si="25"/>
        <v>5.6459628088017348E-2</v>
      </c>
      <c r="S33" s="3">
        <f t="shared" si="25"/>
        <v>5.6428880120003577E-2</v>
      </c>
      <c r="T33" s="3">
        <f t="shared" si="25"/>
        <v>5.6122319932298478E-2</v>
      </c>
      <c r="U33" s="3">
        <f t="shared" ref="P33:AE48" si="27">$C33*EXP(-U$15/$A33)</f>
        <v>5.3146840690166799E-2</v>
      </c>
      <c r="V33" s="3">
        <f t="shared" si="27"/>
        <v>3.0824485143898493E-2</v>
      </c>
      <c r="W33" s="3">
        <f t="shared" si="27"/>
        <v>1.3276378182605302E-4</v>
      </c>
      <c r="X33" s="3">
        <f t="shared" si="27"/>
        <v>2.9168725313572609E-28</v>
      </c>
      <c r="Y33" s="3">
        <f t="shared" si="27"/>
        <v>7.6435622673537464E-265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4.7028232597017036E-2</v>
      </c>
      <c r="C34" s="18">
        <f t="shared" si="3"/>
        <v>5.9569205174430817E-2</v>
      </c>
      <c r="D34" s="17"/>
      <c r="F34" s="3">
        <f t="shared" ref="F34:O48" si="28">$C34*EXP(-F$15/$A34)</f>
        <v>5.9569205174430817E-2</v>
      </c>
      <c r="G34" s="3">
        <f t="shared" si="28"/>
        <v>5.9569205174430817E-2</v>
      </c>
      <c r="H34" s="3">
        <f t="shared" si="28"/>
        <v>5.9569205174430782E-2</v>
      </c>
      <c r="I34" s="3">
        <f t="shared" si="28"/>
        <v>5.9569205174430491E-2</v>
      </c>
      <c r="J34" s="3">
        <f t="shared" si="28"/>
        <v>5.9569205174427563E-2</v>
      </c>
      <c r="K34" s="3">
        <f t="shared" si="28"/>
        <v>5.9569205174398294E-2</v>
      </c>
      <c r="L34" s="3">
        <f t="shared" si="28"/>
        <v>5.9569205174105563E-2</v>
      </c>
      <c r="M34" s="3">
        <f t="shared" si="28"/>
        <v>5.956920517117828E-2</v>
      </c>
      <c r="N34" s="3">
        <f t="shared" si="28"/>
        <v>5.9569205141905418E-2</v>
      </c>
      <c r="O34" s="3">
        <f t="shared" si="28"/>
        <v>5.9569204849176868E-2</v>
      </c>
      <c r="P34" s="3">
        <f t="shared" si="27"/>
        <v>5.9569201921891406E-2</v>
      </c>
      <c r="Q34" s="3">
        <f t="shared" si="27"/>
        <v>5.9569172649044662E-2</v>
      </c>
      <c r="R34" s="3">
        <f t="shared" si="27"/>
        <v>5.9568879921368466E-2</v>
      </c>
      <c r="S34" s="3">
        <f t="shared" si="27"/>
        <v>5.9565952723722074E-2</v>
      </c>
      <c r="T34" s="3">
        <f t="shared" si="27"/>
        <v>5.9536688657382889E-2</v>
      </c>
      <c r="U34" s="3">
        <f t="shared" si="27"/>
        <v>5.9244837570116282E-2</v>
      </c>
      <c r="V34" s="3">
        <f t="shared" si="27"/>
        <v>5.6403867366756955E-2</v>
      </c>
      <c r="W34" s="3">
        <f t="shared" si="27"/>
        <v>3.4505837938606836E-2</v>
      </c>
      <c r="X34" s="3">
        <f t="shared" si="27"/>
        <v>2.5335503180242558E-4</v>
      </c>
      <c r="Y34" s="3">
        <f t="shared" si="27"/>
        <v>1.1537164698002071E-25</v>
      </c>
      <c r="Z34" s="3">
        <f t="shared" si="27"/>
        <v>4.4237917628147024E-239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5.1050307400140688E-2</v>
      </c>
      <c r="C35" s="18">
        <f t="shared" si="3"/>
        <v>6.4663842713273356E-2</v>
      </c>
      <c r="D35" s="17"/>
      <c r="F35" s="3">
        <f t="shared" si="28"/>
        <v>6.4663842713273356E-2</v>
      </c>
      <c r="G35" s="3">
        <f t="shared" si="28"/>
        <v>6.4663842713273356E-2</v>
      </c>
      <c r="H35" s="3">
        <f t="shared" si="28"/>
        <v>6.4663842713273356E-2</v>
      </c>
      <c r="I35" s="3">
        <f t="shared" si="28"/>
        <v>6.4663842713273328E-2</v>
      </c>
      <c r="J35" s="3">
        <f t="shared" si="28"/>
        <v>6.4663842713273037E-2</v>
      </c>
      <c r="K35" s="3">
        <f t="shared" si="28"/>
        <v>6.4663842713270164E-2</v>
      </c>
      <c r="L35" s="3">
        <f t="shared" si="28"/>
        <v>6.4663842713241507E-2</v>
      </c>
      <c r="M35" s="3">
        <f t="shared" si="28"/>
        <v>6.4663842712954861E-2</v>
      </c>
      <c r="N35" s="3">
        <f t="shared" si="28"/>
        <v>6.4663842710088362E-2</v>
      </c>
      <c r="O35" s="3">
        <f t="shared" si="28"/>
        <v>6.4663842681423389E-2</v>
      </c>
      <c r="P35" s="3">
        <f t="shared" si="27"/>
        <v>6.4663842394773768E-2</v>
      </c>
      <c r="Q35" s="3">
        <f t="shared" si="27"/>
        <v>6.4663839528277547E-2</v>
      </c>
      <c r="R35" s="3">
        <f t="shared" si="27"/>
        <v>6.4663810863322402E-2</v>
      </c>
      <c r="S35" s="3">
        <f t="shared" si="27"/>
        <v>6.4663524214469748E-2</v>
      </c>
      <c r="T35" s="3">
        <f t="shared" si="27"/>
        <v>6.4660657795830134E-2</v>
      </c>
      <c r="U35" s="3">
        <f t="shared" si="27"/>
        <v>6.4632000596981945E-2</v>
      </c>
      <c r="V35" s="3">
        <f t="shared" si="27"/>
        <v>6.4346126218574412E-2</v>
      </c>
      <c r="W35" s="3">
        <f t="shared" si="27"/>
        <v>6.155601267624794E-2</v>
      </c>
      <c r="X35" s="3">
        <f t="shared" si="27"/>
        <v>3.951402036134042E-2</v>
      </c>
      <c r="Y35" s="3">
        <f t="shared" si="27"/>
        <v>4.6941677801033357E-4</v>
      </c>
      <c r="Z35" s="3">
        <f t="shared" si="27"/>
        <v>2.6280431834624511E-23</v>
      </c>
      <c r="AA35" s="3">
        <f t="shared" si="27"/>
        <v>7.9500779519566491E-216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3.8327301502717126E-2</v>
      </c>
      <c r="C36" s="18">
        <f t="shared" si="3"/>
        <v>4.8548005334617741E-2</v>
      </c>
      <c r="D36" s="17"/>
      <c r="F36" s="3">
        <f t="shared" si="28"/>
        <v>4.8548005334617741E-2</v>
      </c>
      <c r="G36" s="3">
        <f t="shared" si="28"/>
        <v>4.8548005334617741E-2</v>
      </c>
      <c r="H36" s="3">
        <f t="shared" si="28"/>
        <v>4.8548005334617741E-2</v>
      </c>
      <c r="I36" s="3">
        <f t="shared" si="28"/>
        <v>4.8548005334617741E-2</v>
      </c>
      <c r="J36" s="3">
        <f t="shared" si="28"/>
        <v>4.8548005334617721E-2</v>
      </c>
      <c r="K36" s="3">
        <f t="shared" si="28"/>
        <v>4.8548005334617526E-2</v>
      </c>
      <c r="L36" s="3">
        <f t="shared" si="28"/>
        <v>4.8548005334615583E-2</v>
      </c>
      <c r="M36" s="3">
        <f t="shared" si="28"/>
        <v>4.8548005334596168E-2</v>
      </c>
      <c r="N36" s="3">
        <f t="shared" si="28"/>
        <v>4.8548005334402032E-2</v>
      </c>
      <c r="O36" s="3">
        <f t="shared" si="28"/>
        <v>4.8548005332460668E-2</v>
      </c>
      <c r="P36" s="3">
        <f t="shared" si="27"/>
        <v>4.8548005313046989E-2</v>
      </c>
      <c r="Q36" s="3">
        <f t="shared" si="27"/>
        <v>4.8548005118910192E-2</v>
      </c>
      <c r="R36" s="3">
        <f t="shared" si="27"/>
        <v>4.8548003177542286E-2</v>
      </c>
      <c r="S36" s="3">
        <f t="shared" si="27"/>
        <v>4.8547983763867479E-2</v>
      </c>
      <c r="T36" s="3">
        <f t="shared" si="27"/>
        <v>4.8547789627546356E-2</v>
      </c>
      <c r="U36" s="3">
        <f t="shared" si="27"/>
        <v>4.8545848307032388E-2</v>
      </c>
      <c r="V36" s="3">
        <f t="shared" si="27"/>
        <v>4.852643937098574E-2</v>
      </c>
      <c r="W36" s="3">
        <f t="shared" si="27"/>
        <v>4.8332776288849758E-2</v>
      </c>
      <c r="X36" s="3">
        <f t="shared" si="27"/>
        <v>4.6438149277523613E-2</v>
      </c>
      <c r="Y36" s="3">
        <f t="shared" si="27"/>
        <v>3.1131963577437659E-2</v>
      </c>
      <c r="Z36" s="3">
        <f t="shared" si="27"/>
        <v>5.708508050590262E-4</v>
      </c>
      <c r="AA36" s="3">
        <f t="shared" si="27"/>
        <v>2.4529215559658634E-21</v>
      </c>
      <c r="AB36" s="3">
        <f t="shared" si="27"/>
        <v>5.2637357499090849E-195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3.0520597026525296E-2</v>
      </c>
      <c r="C37" s="18">
        <f t="shared" si="3"/>
        <v>3.8659494646510029E-2</v>
      </c>
      <c r="D37" s="17"/>
      <c r="F37" s="3">
        <f t="shared" si="28"/>
        <v>3.8659494646510029E-2</v>
      </c>
      <c r="G37" s="3">
        <f t="shared" si="28"/>
        <v>3.8659494646510029E-2</v>
      </c>
      <c r="H37" s="3">
        <f t="shared" si="28"/>
        <v>3.8659494646510029E-2</v>
      </c>
      <c r="I37" s="3">
        <f t="shared" si="28"/>
        <v>3.8659494646510029E-2</v>
      </c>
      <c r="J37" s="3">
        <f t="shared" si="28"/>
        <v>3.8659494646510029E-2</v>
      </c>
      <c r="K37" s="3">
        <f t="shared" si="28"/>
        <v>3.8659494646510015E-2</v>
      </c>
      <c r="L37" s="3">
        <f t="shared" si="28"/>
        <v>3.8659494646509876E-2</v>
      </c>
      <c r="M37" s="3">
        <f t="shared" si="28"/>
        <v>3.8659494646508481E-2</v>
      </c>
      <c r="N37" s="3">
        <f t="shared" si="28"/>
        <v>3.8659494646494534E-2</v>
      </c>
      <c r="O37" s="3">
        <f t="shared" si="28"/>
        <v>3.8659494646355076E-2</v>
      </c>
      <c r="P37" s="3">
        <f t="shared" si="27"/>
        <v>3.8659494644960511E-2</v>
      </c>
      <c r="Q37" s="3">
        <f t="shared" si="27"/>
        <v>3.8659494631014847E-2</v>
      </c>
      <c r="R37" s="3">
        <f t="shared" si="27"/>
        <v>3.86594944915582E-2</v>
      </c>
      <c r="S37" s="3">
        <f t="shared" si="27"/>
        <v>3.8659493096991723E-2</v>
      </c>
      <c r="T37" s="3">
        <f t="shared" si="27"/>
        <v>3.8659479151329765E-2</v>
      </c>
      <c r="U37" s="3">
        <f t="shared" si="27"/>
        <v>3.8659339694986888E-2</v>
      </c>
      <c r="V37" s="3">
        <f t="shared" si="27"/>
        <v>3.8657945159226145E-2</v>
      </c>
      <c r="W37" s="3">
        <f t="shared" si="27"/>
        <v>3.8644002568054378E-2</v>
      </c>
      <c r="X37" s="3">
        <f t="shared" si="27"/>
        <v>3.8504852931019851E-2</v>
      </c>
      <c r="Y37" s="3">
        <f t="shared" si="27"/>
        <v>3.7140618815202829E-2</v>
      </c>
      <c r="Z37" s="3">
        <f t="shared" si="27"/>
        <v>2.5893204433135641E-2</v>
      </c>
      <c r="AA37" s="3">
        <f t="shared" si="27"/>
        <v>7.0234815837988374E-4</v>
      </c>
      <c r="AB37" s="3">
        <f t="shared" si="27"/>
        <v>1.5143244204320749E-19</v>
      </c>
      <c r="AC37" s="3">
        <f t="shared" si="27"/>
        <v>3.2876358351338093E-176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5.2187080180053679E-3</v>
      </c>
      <c r="C38" s="18">
        <f t="shared" si="3"/>
        <v>6.6103757573429938E-3</v>
      </c>
      <c r="D38" s="17"/>
      <c r="F38" s="3">
        <f t="shared" si="28"/>
        <v>6.6103757573429938E-3</v>
      </c>
      <c r="G38" s="3">
        <f t="shared" si="28"/>
        <v>6.6103757573429938E-3</v>
      </c>
      <c r="H38" s="3">
        <f t="shared" si="28"/>
        <v>6.6103757573429938E-3</v>
      </c>
      <c r="I38" s="3">
        <f t="shared" si="28"/>
        <v>6.6103757573429938E-3</v>
      </c>
      <c r="J38" s="3">
        <f t="shared" si="28"/>
        <v>6.6103757573429938E-3</v>
      </c>
      <c r="K38" s="3">
        <f t="shared" si="28"/>
        <v>6.6103757573429938E-3</v>
      </c>
      <c r="L38" s="3">
        <f t="shared" si="28"/>
        <v>6.6103757573429912E-3</v>
      </c>
      <c r="M38" s="3">
        <f t="shared" si="28"/>
        <v>6.6103757573429695E-3</v>
      </c>
      <c r="N38" s="3">
        <f t="shared" si="28"/>
        <v>6.6103757573427544E-3</v>
      </c>
      <c r="O38" s="3">
        <f t="shared" si="28"/>
        <v>6.6103757573406034E-3</v>
      </c>
      <c r="P38" s="3">
        <f t="shared" si="27"/>
        <v>6.6103757573190928E-3</v>
      </c>
      <c r="Q38" s="3">
        <f t="shared" si="27"/>
        <v>6.6103757571039853E-3</v>
      </c>
      <c r="R38" s="3">
        <f t="shared" si="27"/>
        <v>6.6103757549529091E-3</v>
      </c>
      <c r="S38" s="3">
        <f t="shared" si="27"/>
        <v>6.6103757334421472E-3</v>
      </c>
      <c r="T38" s="3">
        <f t="shared" si="27"/>
        <v>6.6103755183345315E-3</v>
      </c>
      <c r="U38" s="3">
        <f t="shared" si="27"/>
        <v>6.6103733672587617E-3</v>
      </c>
      <c r="V38" s="3">
        <f t="shared" si="27"/>
        <v>6.6103518565395611E-3</v>
      </c>
      <c r="W38" s="3">
        <f t="shared" si="27"/>
        <v>6.6101367531973907E-3</v>
      </c>
      <c r="X38" s="3">
        <f t="shared" si="27"/>
        <v>6.6079861047130184E-3</v>
      </c>
      <c r="Y38" s="3">
        <f t="shared" si="27"/>
        <v>6.5865180672959982E-3</v>
      </c>
      <c r="Z38" s="3">
        <f t="shared" si="27"/>
        <v>6.3756365447401294E-3</v>
      </c>
      <c r="AA38" s="3">
        <f t="shared" si="27"/>
        <v>4.6046877962796053E-3</v>
      </c>
      <c r="AB38" s="3">
        <f t="shared" si="27"/>
        <v>1.7781425510829307E-4</v>
      </c>
      <c r="AC38" s="3">
        <f t="shared" si="27"/>
        <v>1.3110837194177666E-18</v>
      </c>
      <c r="AD38" s="3">
        <f t="shared" si="27"/>
        <v>6.2268574227635305E-160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1.3344759333857779E-2</v>
      </c>
      <c r="C39" s="18">
        <f t="shared" si="3"/>
        <v>1.6903393193058183E-2</v>
      </c>
      <c r="D39" s="17"/>
      <c r="F39" s="3">
        <f t="shared" si="28"/>
        <v>1.6903393193058183E-2</v>
      </c>
      <c r="G39" s="3">
        <f t="shared" si="28"/>
        <v>1.6903393193058183E-2</v>
      </c>
      <c r="H39" s="3">
        <f t="shared" si="28"/>
        <v>1.6903393193058183E-2</v>
      </c>
      <c r="I39" s="3">
        <f t="shared" si="28"/>
        <v>1.6903393193058183E-2</v>
      </c>
      <c r="J39" s="3">
        <f t="shared" si="28"/>
        <v>1.6903393193058183E-2</v>
      </c>
      <c r="K39" s="3">
        <f t="shared" si="28"/>
        <v>1.6903393193058183E-2</v>
      </c>
      <c r="L39" s="3">
        <f t="shared" si="28"/>
        <v>1.690339319305818E-2</v>
      </c>
      <c r="M39" s="3">
        <f t="shared" si="28"/>
        <v>1.6903393193058166E-2</v>
      </c>
      <c r="N39" s="3">
        <f t="shared" si="28"/>
        <v>1.6903393193058013E-2</v>
      </c>
      <c r="O39" s="3">
        <f t="shared" si="28"/>
        <v>1.6903393193056494E-2</v>
      </c>
      <c r="P39" s="3">
        <f t="shared" si="27"/>
        <v>1.690339319304128E-2</v>
      </c>
      <c r="Q39" s="3">
        <f t="shared" si="27"/>
        <v>1.6903393192889148E-2</v>
      </c>
      <c r="R39" s="3">
        <f t="shared" si="27"/>
        <v>1.6903393191367844E-2</v>
      </c>
      <c r="S39" s="3">
        <f t="shared" si="27"/>
        <v>1.6903393176154791E-2</v>
      </c>
      <c r="T39" s="3">
        <f t="shared" si="27"/>
        <v>1.6903393024024254E-2</v>
      </c>
      <c r="U39" s="3">
        <f t="shared" si="27"/>
        <v>1.690339150271895E-2</v>
      </c>
      <c r="V39" s="3">
        <f t="shared" si="27"/>
        <v>1.6903376289673443E-2</v>
      </c>
      <c r="W39" s="3">
        <f t="shared" si="27"/>
        <v>1.6903224159971419E-2</v>
      </c>
      <c r="X39" s="3">
        <f t="shared" si="27"/>
        <v>1.6901702938253025E-2</v>
      </c>
      <c r="Y39" s="3">
        <f t="shared" si="27"/>
        <v>1.6886498248745194E-2</v>
      </c>
      <c r="Z39" s="3">
        <f t="shared" si="27"/>
        <v>1.6735201620584075E-2</v>
      </c>
      <c r="AA39" s="3">
        <f t="shared" si="27"/>
        <v>1.529482265285338E-2</v>
      </c>
      <c r="AB39" s="3">
        <f t="shared" si="27"/>
        <v>6.218410841763407E-3</v>
      </c>
      <c r="AC39" s="3">
        <f t="shared" si="27"/>
        <v>7.6741286371250614E-7</v>
      </c>
      <c r="AD39" s="3">
        <f t="shared" si="27"/>
        <v>6.2881906930729876E-46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1.5639568018508375E-3</v>
      </c>
      <c r="C40" s="18">
        <f t="shared" si="3"/>
        <v>1.9810156254800116E-3</v>
      </c>
      <c r="D40" s="17"/>
      <c r="F40" s="3">
        <f t="shared" si="28"/>
        <v>1.9810156254800116E-3</v>
      </c>
      <c r="G40" s="3">
        <f t="shared" si="28"/>
        <v>1.9810156254800116E-3</v>
      </c>
      <c r="H40" s="3">
        <f t="shared" si="28"/>
        <v>1.9810156254800116E-3</v>
      </c>
      <c r="I40" s="3">
        <f t="shared" si="28"/>
        <v>1.9810156254800116E-3</v>
      </c>
      <c r="J40" s="3">
        <f t="shared" si="28"/>
        <v>1.9810156254800116E-3</v>
      </c>
      <c r="K40" s="3">
        <f t="shared" si="28"/>
        <v>1.9810156254800116E-3</v>
      </c>
      <c r="L40" s="3">
        <f t="shared" si="28"/>
        <v>1.9810156254800116E-3</v>
      </c>
      <c r="M40" s="3">
        <f t="shared" si="28"/>
        <v>1.9810156254800111E-3</v>
      </c>
      <c r="N40" s="3">
        <f t="shared" si="28"/>
        <v>1.9810156254800094E-3</v>
      </c>
      <c r="O40" s="3">
        <f t="shared" si="28"/>
        <v>1.9810156254799916E-3</v>
      </c>
      <c r="P40" s="3">
        <f t="shared" si="27"/>
        <v>1.9810156254798134E-3</v>
      </c>
      <c r="Q40" s="3">
        <f t="shared" si="27"/>
        <v>1.9810156254780305E-3</v>
      </c>
      <c r="R40" s="3">
        <f t="shared" si="27"/>
        <v>1.9810156254602015E-3</v>
      </c>
      <c r="S40" s="3">
        <f t="shared" si="27"/>
        <v>1.98101562528191E-3</v>
      </c>
      <c r="T40" s="3">
        <f t="shared" si="27"/>
        <v>1.981015623498996E-3</v>
      </c>
      <c r="U40" s="3">
        <f t="shared" si="27"/>
        <v>1.9810156056698554E-3</v>
      </c>
      <c r="V40" s="3">
        <f t="shared" si="27"/>
        <v>1.981015427378459E-3</v>
      </c>
      <c r="W40" s="3">
        <f t="shared" si="27"/>
        <v>1.9810136444653767E-3</v>
      </c>
      <c r="X40" s="3">
        <f t="shared" si="27"/>
        <v>1.9809958154228071E-3</v>
      </c>
      <c r="Y40" s="3">
        <f t="shared" si="27"/>
        <v>1.9808175338222114E-3</v>
      </c>
      <c r="Z40" s="3">
        <f t="shared" si="27"/>
        <v>1.9790356000322575E-3</v>
      </c>
      <c r="AA40" s="3">
        <f t="shared" si="27"/>
        <v>1.9613041906609897E-3</v>
      </c>
      <c r="AB40" s="3">
        <f t="shared" si="27"/>
        <v>1.792497063648225E-3</v>
      </c>
      <c r="AC40" s="3">
        <f t="shared" si="27"/>
        <v>7.2877492125348199E-4</v>
      </c>
      <c r="AD40" s="3">
        <f t="shared" si="27"/>
        <v>8.9937970255177521E-8</v>
      </c>
      <c r="AE40" s="3">
        <f t="shared" si="27"/>
        <v>7.3695286364700816E-47</v>
      </c>
      <c r="AF40" s="3">
        <f t="shared" si="29"/>
        <v>0</v>
      </c>
      <c r="AG40" s="3">
        <f t="shared" si="29"/>
        <v>0</v>
      </c>
      <c r="AH40" s="3">
        <f t="shared" si="29"/>
        <v>0</v>
      </c>
      <c r="AI40" s="3">
        <f t="shared" si="29"/>
        <v>0</v>
      </c>
      <c r="AJ40" s="3">
        <f t="shared" si="29"/>
        <v>0</v>
      </c>
    </row>
    <row r="41" spans="1:36" x14ac:dyDescent="0.25">
      <c r="A41" s="3">
        <f t="shared" si="30"/>
        <v>1000000000</v>
      </c>
      <c r="B41" s="106">
        <v>3.9311886493848249E-3</v>
      </c>
      <c r="C41" s="18">
        <f t="shared" si="3"/>
        <v>4.9795148637895425E-3</v>
      </c>
      <c r="D41" s="17"/>
      <c r="F41" s="3">
        <f t="shared" si="28"/>
        <v>4.9795148637895425E-3</v>
      </c>
      <c r="G41" s="3">
        <f t="shared" si="28"/>
        <v>4.9795148637895425E-3</v>
      </c>
      <c r="H41" s="3">
        <f t="shared" si="28"/>
        <v>4.9795148637895425E-3</v>
      </c>
      <c r="I41" s="3">
        <f t="shared" si="28"/>
        <v>4.9795148637895425E-3</v>
      </c>
      <c r="J41" s="3">
        <f t="shared" si="28"/>
        <v>4.9795148637895425E-3</v>
      </c>
      <c r="K41" s="3">
        <f t="shared" si="28"/>
        <v>4.9795148637895425E-3</v>
      </c>
      <c r="L41" s="3">
        <f t="shared" si="28"/>
        <v>4.9795148637895425E-3</v>
      </c>
      <c r="M41" s="3">
        <f t="shared" si="28"/>
        <v>4.9795148637895425E-3</v>
      </c>
      <c r="N41" s="3">
        <f t="shared" si="28"/>
        <v>4.9795148637895416E-3</v>
      </c>
      <c r="O41" s="3">
        <f t="shared" si="28"/>
        <v>4.9795148637895373E-3</v>
      </c>
      <c r="P41" s="3">
        <f t="shared" si="27"/>
        <v>4.979514863789493E-3</v>
      </c>
      <c r="Q41" s="3">
        <f t="shared" si="27"/>
        <v>4.9795148637890446E-3</v>
      </c>
      <c r="R41" s="3">
        <f t="shared" si="27"/>
        <v>4.979514863784563E-3</v>
      </c>
      <c r="S41" s="3">
        <f t="shared" si="27"/>
        <v>4.9795148637397472E-3</v>
      </c>
      <c r="T41" s="3">
        <f t="shared" si="27"/>
        <v>4.979514863291591E-3</v>
      </c>
      <c r="U41" s="3">
        <f t="shared" si="27"/>
        <v>4.9795148588100274E-3</v>
      </c>
      <c r="V41" s="3">
        <f t="shared" si="27"/>
        <v>4.9795148139943944E-3</v>
      </c>
      <c r="W41" s="3">
        <f t="shared" si="27"/>
        <v>4.9795143658380812E-3</v>
      </c>
      <c r="X41" s="3">
        <f t="shared" si="27"/>
        <v>4.9795098842771689E-3</v>
      </c>
      <c r="Y41" s="3">
        <f t="shared" si="27"/>
        <v>4.9794650688898797E-3</v>
      </c>
      <c r="Z41" s="3">
        <f t="shared" si="27"/>
        <v>4.9790169371999081E-3</v>
      </c>
      <c r="AA41" s="3">
        <f t="shared" si="27"/>
        <v>4.9745378378534735E-3</v>
      </c>
      <c r="AB41" s="3">
        <f t="shared" si="27"/>
        <v>4.9299678630463483E-3</v>
      </c>
      <c r="AC41" s="3">
        <f t="shared" si="27"/>
        <v>4.505651372423012E-3</v>
      </c>
      <c r="AD41" s="3">
        <f t="shared" si="27"/>
        <v>1.8318611453957876E-3</v>
      </c>
      <c r="AE41" s="3">
        <f t="shared" si="27"/>
        <v>2.2606962506729457E-7</v>
      </c>
      <c r="AF41" s="3">
        <f t="shared" si="29"/>
        <v>1.8524173617022144E-46</v>
      </c>
      <c r="AG41" s="3">
        <f t="shared" si="29"/>
        <v>0</v>
      </c>
      <c r="AH41" s="3">
        <f t="shared" si="29"/>
        <v>0</v>
      </c>
      <c r="AI41" s="3">
        <f t="shared" si="29"/>
        <v>0</v>
      </c>
      <c r="AJ41" s="3">
        <f t="shared" si="29"/>
        <v>0</v>
      </c>
    </row>
    <row r="42" spans="1:36" x14ac:dyDescent="0.25">
      <c r="A42" s="3">
        <f t="shared" si="30"/>
        <v>10000000000</v>
      </c>
      <c r="B42" s="106">
        <v>1.2003054635560061E-3</v>
      </c>
      <c r="C42" s="18">
        <f t="shared" si="3"/>
        <v>1.5203897421204233E-3</v>
      </c>
      <c r="D42" s="17"/>
      <c r="F42" s="3">
        <f t="shared" si="28"/>
        <v>1.5203897421204233E-3</v>
      </c>
      <c r="G42" s="3">
        <f t="shared" si="28"/>
        <v>1.5203897421204233E-3</v>
      </c>
      <c r="H42" s="3">
        <f t="shared" si="28"/>
        <v>1.5203897421204233E-3</v>
      </c>
      <c r="I42" s="3">
        <f t="shared" si="28"/>
        <v>1.5203897421204233E-3</v>
      </c>
      <c r="J42" s="3">
        <f t="shared" si="28"/>
        <v>1.5203897421204233E-3</v>
      </c>
      <c r="K42" s="3">
        <f t="shared" si="28"/>
        <v>1.5203897421204233E-3</v>
      </c>
      <c r="L42" s="3">
        <f t="shared" si="28"/>
        <v>1.5203897421204233E-3</v>
      </c>
      <c r="M42" s="3">
        <f t="shared" si="28"/>
        <v>1.5203897421204233E-3</v>
      </c>
      <c r="N42" s="3">
        <f t="shared" si="28"/>
        <v>1.5203897421204233E-3</v>
      </c>
      <c r="O42" s="3">
        <f t="shared" si="28"/>
        <v>1.5203897421204231E-3</v>
      </c>
      <c r="P42" s="3">
        <f t="shared" si="27"/>
        <v>1.5203897421204218E-3</v>
      </c>
      <c r="Q42" s="3">
        <f t="shared" si="27"/>
        <v>1.5203897421204081E-3</v>
      </c>
      <c r="R42" s="3">
        <f t="shared" si="27"/>
        <v>1.5203897421202713E-3</v>
      </c>
      <c r="S42" s="3">
        <f t="shared" si="27"/>
        <v>1.520389742118903E-3</v>
      </c>
      <c r="T42" s="3">
        <f t="shared" si="27"/>
        <v>1.5203897421052193E-3</v>
      </c>
      <c r="U42" s="3">
        <f t="shared" si="27"/>
        <v>1.5203897419683843E-3</v>
      </c>
      <c r="V42" s="3">
        <f t="shared" si="27"/>
        <v>1.5203897406000336E-3</v>
      </c>
      <c r="W42" s="3">
        <f t="shared" si="27"/>
        <v>1.5203897269165259E-3</v>
      </c>
      <c r="X42" s="3">
        <f t="shared" si="27"/>
        <v>1.5203895900814568E-3</v>
      </c>
      <c r="Y42" s="3">
        <f t="shared" si="27"/>
        <v>1.5203882217314415E-3</v>
      </c>
      <c r="Z42" s="3">
        <f t="shared" si="27"/>
        <v>1.5203745382990214E-3</v>
      </c>
      <c r="AA42" s="3">
        <f t="shared" si="27"/>
        <v>1.5202377107479065E-3</v>
      </c>
      <c r="AB42" s="3">
        <f t="shared" si="27"/>
        <v>1.518870112319839E-3</v>
      </c>
      <c r="AC42" s="3">
        <f t="shared" si="27"/>
        <v>1.5052616114202657E-3</v>
      </c>
      <c r="AD42" s="3">
        <f t="shared" si="27"/>
        <v>1.3757055286686022E-3</v>
      </c>
      <c r="AE42" s="3">
        <f t="shared" si="27"/>
        <v>5.5932012869405463E-4</v>
      </c>
      <c r="AF42" s="3">
        <f t="shared" si="29"/>
        <v>6.9025587503869681E-8</v>
      </c>
      <c r="AG42" s="3">
        <f t="shared" si="29"/>
        <v>5.6559653538507009E-47</v>
      </c>
      <c r="AH42" s="3">
        <f t="shared" si="29"/>
        <v>0</v>
      </c>
      <c r="AI42" s="3">
        <f t="shared" si="29"/>
        <v>0</v>
      </c>
      <c r="AJ42" s="3">
        <f t="shared" si="29"/>
        <v>0</v>
      </c>
    </row>
    <row r="43" spans="1:36" x14ac:dyDescent="0.25">
      <c r="A43" s="3">
        <f t="shared" si="30"/>
        <v>100000000000</v>
      </c>
      <c r="B43" s="106">
        <v>2.5695237302058709E-4</v>
      </c>
      <c r="C43" s="18">
        <f t="shared" si="3"/>
        <v>3.2547360985645695E-4</v>
      </c>
      <c r="D43" s="17"/>
      <c r="F43" s="3">
        <f t="shared" si="28"/>
        <v>3.2547360985645695E-4</v>
      </c>
      <c r="G43" s="3">
        <f t="shared" si="28"/>
        <v>3.2547360985645695E-4</v>
      </c>
      <c r="H43" s="3">
        <f t="shared" si="28"/>
        <v>3.2547360985645695E-4</v>
      </c>
      <c r="I43" s="3">
        <f t="shared" si="28"/>
        <v>3.2547360985645695E-4</v>
      </c>
      <c r="J43" s="3">
        <f t="shared" si="28"/>
        <v>3.2547360985645695E-4</v>
      </c>
      <c r="K43" s="3">
        <f t="shared" si="28"/>
        <v>3.2547360985645695E-4</v>
      </c>
      <c r="L43" s="3">
        <f t="shared" si="28"/>
        <v>3.2547360985645695E-4</v>
      </c>
      <c r="M43" s="3">
        <f t="shared" si="28"/>
        <v>3.2547360985645695E-4</v>
      </c>
      <c r="N43" s="3">
        <f t="shared" si="28"/>
        <v>3.2547360985645695E-4</v>
      </c>
      <c r="O43" s="3">
        <f t="shared" si="28"/>
        <v>3.2547360985645695E-4</v>
      </c>
      <c r="P43" s="3">
        <f t="shared" si="27"/>
        <v>3.254736098564569E-4</v>
      </c>
      <c r="Q43" s="3">
        <f t="shared" si="27"/>
        <v>3.2547360985645663E-4</v>
      </c>
      <c r="R43" s="3">
        <f t="shared" si="27"/>
        <v>3.254736098564537E-4</v>
      </c>
      <c r="S43" s="3">
        <f t="shared" si="27"/>
        <v>3.2547360985642437E-4</v>
      </c>
      <c r="T43" s="3">
        <f t="shared" si="27"/>
        <v>3.2547360985613148E-4</v>
      </c>
      <c r="U43" s="3">
        <f t="shared" si="27"/>
        <v>3.2547360985320223E-4</v>
      </c>
      <c r="V43" s="3">
        <f t="shared" si="27"/>
        <v>3.2547360982390958E-4</v>
      </c>
      <c r="W43" s="3">
        <f t="shared" si="27"/>
        <v>3.2547360953098336E-4</v>
      </c>
      <c r="X43" s="3">
        <f t="shared" si="27"/>
        <v>3.254736066017209E-4</v>
      </c>
      <c r="Y43" s="3">
        <f t="shared" si="27"/>
        <v>3.2547357730909761E-4</v>
      </c>
      <c r="Z43" s="3">
        <f t="shared" si="27"/>
        <v>3.2547328438300982E-4</v>
      </c>
      <c r="AA43" s="3">
        <f t="shared" si="27"/>
        <v>3.2547035513663203E-4</v>
      </c>
      <c r="AB43" s="3">
        <f t="shared" si="27"/>
        <v>3.2544106412278509E-4</v>
      </c>
      <c r="AC43" s="3">
        <f t="shared" si="27"/>
        <v>3.2514829892917339E-4</v>
      </c>
      <c r="AD43" s="3">
        <f t="shared" si="27"/>
        <v>3.2223509332812678E-4</v>
      </c>
      <c r="AE43" s="3">
        <f t="shared" si="27"/>
        <v>2.9450070078135976E-4</v>
      </c>
      <c r="AF43" s="3">
        <f t="shared" si="29"/>
        <v>1.1973504971004542E-4</v>
      </c>
      <c r="AG43" s="3">
        <f t="shared" si="29"/>
        <v>1.4776479027025544E-8</v>
      </c>
      <c r="AH43" s="3">
        <f t="shared" si="29"/>
        <v>1.2107865568557839E-47</v>
      </c>
      <c r="AI43" s="3">
        <f t="shared" si="29"/>
        <v>0</v>
      </c>
      <c r="AJ43" s="3">
        <f t="shared" si="29"/>
        <v>0</v>
      </c>
    </row>
    <row r="44" spans="1:36" x14ac:dyDescent="0.25">
      <c r="A44" s="3">
        <f t="shared" si="30"/>
        <v>1000000000000</v>
      </c>
      <c r="B44" s="106">
        <v>2.6571864371130521E-3</v>
      </c>
      <c r="C44" s="18">
        <f t="shared" si="3"/>
        <v>3.3657757333866336E-3</v>
      </c>
      <c r="D44" s="17"/>
      <c r="F44" s="3">
        <f t="shared" si="28"/>
        <v>3.3657757333866336E-3</v>
      </c>
      <c r="G44" s="3">
        <f t="shared" si="28"/>
        <v>3.3657757333866336E-3</v>
      </c>
      <c r="H44" s="3">
        <f t="shared" si="28"/>
        <v>3.3657757333866336E-3</v>
      </c>
      <c r="I44" s="3">
        <f t="shared" si="28"/>
        <v>3.3657757333866336E-3</v>
      </c>
      <c r="J44" s="3">
        <f t="shared" si="28"/>
        <v>3.3657757333866336E-3</v>
      </c>
      <c r="K44" s="3">
        <f t="shared" si="28"/>
        <v>3.3657757333866336E-3</v>
      </c>
      <c r="L44" s="3">
        <f t="shared" si="28"/>
        <v>3.3657757333866336E-3</v>
      </c>
      <c r="M44" s="3">
        <f t="shared" si="28"/>
        <v>3.3657757333866336E-3</v>
      </c>
      <c r="N44" s="3">
        <f t="shared" si="28"/>
        <v>3.3657757333866336E-3</v>
      </c>
      <c r="O44" s="3">
        <f t="shared" si="28"/>
        <v>3.3657757333866336E-3</v>
      </c>
      <c r="P44" s="3">
        <f t="shared" si="27"/>
        <v>3.3657757333866336E-3</v>
      </c>
      <c r="Q44" s="3">
        <f t="shared" si="27"/>
        <v>3.3657757333866332E-3</v>
      </c>
      <c r="R44" s="3">
        <f t="shared" si="27"/>
        <v>3.3657757333866302E-3</v>
      </c>
      <c r="S44" s="3">
        <f t="shared" si="27"/>
        <v>3.3657757333865998E-3</v>
      </c>
      <c r="T44" s="3">
        <f t="shared" si="27"/>
        <v>3.3657757333862971E-3</v>
      </c>
      <c r="U44" s="3">
        <f t="shared" si="27"/>
        <v>3.3657757333832678E-3</v>
      </c>
      <c r="V44" s="3">
        <f t="shared" si="27"/>
        <v>3.3657757333529757E-3</v>
      </c>
      <c r="W44" s="3">
        <f t="shared" si="27"/>
        <v>3.3657757330500561E-3</v>
      </c>
      <c r="X44" s="3">
        <f t="shared" si="27"/>
        <v>3.3657757300208581E-3</v>
      </c>
      <c r="Y44" s="3">
        <f t="shared" si="27"/>
        <v>3.3657756997288765E-3</v>
      </c>
      <c r="Z44" s="3">
        <f t="shared" si="27"/>
        <v>3.3657753968090775E-3</v>
      </c>
      <c r="AA44" s="3">
        <f t="shared" si="27"/>
        <v>3.3657723676125831E-3</v>
      </c>
      <c r="AB44" s="3">
        <f t="shared" si="27"/>
        <v>3.365742075797588E-3</v>
      </c>
      <c r="AC44" s="3">
        <f t="shared" si="27"/>
        <v>3.3654391726416128E-3</v>
      </c>
      <c r="AD44" s="3">
        <f t="shared" si="27"/>
        <v>3.3624116399802915E-3</v>
      </c>
      <c r="AE44" s="3">
        <f t="shared" si="27"/>
        <v>3.332285705276421E-3</v>
      </c>
      <c r="AF44" s="3">
        <f t="shared" si="29"/>
        <v>3.0454798242856495E-3</v>
      </c>
      <c r="AG44" s="3">
        <f t="shared" si="29"/>
        <v>1.2381996959066762E-3</v>
      </c>
      <c r="AH44" s="3">
        <f t="shared" si="29"/>
        <v>1.5280598189202912E-7</v>
      </c>
      <c r="AI44" s="3">
        <f t="shared" si="29"/>
        <v>1.2520941446445526E-46</v>
      </c>
      <c r="AJ44" s="3">
        <f t="shared" si="29"/>
        <v>0</v>
      </c>
    </row>
    <row r="45" spans="1:36" x14ac:dyDescent="0.25">
      <c r="A45" s="3">
        <f t="shared" si="30"/>
        <v>10000000000000</v>
      </c>
      <c r="B45" s="106">
        <v>5.6745590193350609E-4</v>
      </c>
      <c r="C45" s="18">
        <f t="shared" si="3"/>
        <v>7.1877880972849508E-4</v>
      </c>
      <c r="D45" s="17"/>
      <c r="F45" s="3">
        <f t="shared" si="28"/>
        <v>7.1877880972849508E-4</v>
      </c>
      <c r="G45" s="3">
        <f t="shared" si="28"/>
        <v>7.1877880972849508E-4</v>
      </c>
      <c r="H45" s="3">
        <f t="shared" si="28"/>
        <v>7.1877880972849508E-4</v>
      </c>
      <c r="I45" s="3">
        <f t="shared" si="28"/>
        <v>7.1877880972849508E-4</v>
      </c>
      <c r="J45" s="3">
        <f t="shared" si="28"/>
        <v>7.1877880972849508E-4</v>
      </c>
      <c r="K45" s="3">
        <f t="shared" si="28"/>
        <v>7.1877880972849508E-4</v>
      </c>
      <c r="L45" s="3">
        <f t="shared" si="28"/>
        <v>7.1877880972849508E-4</v>
      </c>
      <c r="M45" s="3">
        <f t="shared" si="28"/>
        <v>7.1877880972849508E-4</v>
      </c>
      <c r="N45" s="3">
        <f t="shared" si="28"/>
        <v>7.1877880972849508E-4</v>
      </c>
      <c r="O45" s="3">
        <f t="shared" si="28"/>
        <v>7.1877880972849508E-4</v>
      </c>
      <c r="P45" s="3">
        <f t="shared" si="27"/>
        <v>7.1877880972849508E-4</v>
      </c>
      <c r="Q45" s="3">
        <f t="shared" si="27"/>
        <v>7.1877880972849508E-4</v>
      </c>
      <c r="R45" s="3">
        <f t="shared" si="27"/>
        <v>7.1877880972849497E-4</v>
      </c>
      <c r="S45" s="3">
        <f t="shared" si="27"/>
        <v>7.1877880972849432E-4</v>
      </c>
      <c r="T45" s="3">
        <f t="shared" si="27"/>
        <v>7.1877880972848792E-4</v>
      </c>
      <c r="U45" s="3">
        <f t="shared" si="27"/>
        <v>7.187788097284232E-4</v>
      </c>
      <c r="V45" s="3">
        <f t="shared" si="27"/>
        <v>7.1877880972777636E-4</v>
      </c>
      <c r="W45" s="3">
        <f t="shared" si="27"/>
        <v>7.1877880972130725E-4</v>
      </c>
      <c r="X45" s="3">
        <f t="shared" si="27"/>
        <v>7.1877880965661725E-4</v>
      </c>
      <c r="Y45" s="3">
        <f t="shared" si="27"/>
        <v>7.1877880900971631E-4</v>
      </c>
      <c r="Z45" s="3">
        <f t="shared" si="27"/>
        <v>7.1877880254070706E-4</v>
      </c>
      <c r="AA45" s="3">
        <f t="shared" si="27"/>
        <v>7.1877873785061773E-4</v>
      </c>
      <c r="AB45" s="3">
        <f t="shared" si="27"/>
        <v>7.187780909500448E-4</v>
      </c>
      <c r="AC45" s="3">
        <f t="shared" si="27"/>
        <v>7.1877162197633664E-4</v>
      </c>
      <c r="AD45" s="3">
        <f t="shared" si="27"/>
        <v>7.1870693544129653E-4</v>
      </c>
      <c r="AE45" s="3">
        <f t="shared" si="27"/>
        <v>7.1806039018840499E-4</v>
      </c>
      <c r="AF45" s="3">
        <f t="shared" si="29"/>
        <v>7.1162684107412152E-4</v>
      </c>
      <c r="AG45" s="3">
        <f t="shared" si="29"/>
        <v>6.5037796233369174E-4</v>
      </c>
      <c r="AH45" s="3">
        <f t="shared" si="29"/>
        <v>2.6442394684879323E-4</v>
      </c>
      <c r="AI45" s="3">
        <f t="shared" si="29"/>
        <v>3.2632507476436144E-8</v>
      </c>
      <c r="AJ45" s="3">
        <f t="shared" si="29"/>
        <v>2.673911782143826E-47</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5.3821554647239594E-3</v>
      </c>
      <c r="C48" s="18">
        <f t="shared" si="3"/>
        <v>6.8174095740770341E-3</v>
      </c>
      <c r="D48" s="17"/>
      <c r="F48" s="3">
        <f t="shared" si="28"/>
        <v>6.8174095740770341E-3</v>
      </c>
      <c r="G48" s="3">
        <f t="shared" si="28"/>
        <v>6.8174095740770341E-3</v>
      </c>
      <c r="H48" s="3">
        <f t="shared" si="28"/>
        <v>6.8174095740770341E-3</v>
      </c>
      <c r="I48" s="3">
        <f t="shared" si="28"/>
        <v>6.8174095740770341E-3</v>
      </c>
      <c r="J48" s="3">
        <f t="shared" si="28"/>
        <v>6.8174095740770341E-3</v>
      </c>
      <c r="K48" s="3">
        <f t="shared" si="28"/>
        <v>6.8174095740770341E-3</v>
      </c>
      <c r="L48" s="3">
        <f t="shared" si="28"/>
        <v>6.8174095740770341E-3</v>
      </c>
      <c r="M48" s="3">
        <f t="shared" si="28"/>
        <v>6.8174095740770341E-3</v>
      </c>
      <c r="N48" s="3">
        <f t="shared" si="28"/>
        <v>6.8174095740770341E-3</v>
      </c>
      <c r="O48" s="3">
        <f t="shared" si="28"/>
        <v>6.8174095740770341E-3</v>
      </c>
      <c r="P48" s="3">
        <f t="shared" si="27"/>
        <v>6.8174095740770341E-3</v>
      </c>
      <c r="Q48" s="3">
        <f t="shared" si="27"/>
        <v>6.8174095740770341E-3</v>
      </c>
      <c r="R48" s="3">
        <f t="shared" si="27"/>
        <v>6.8174095740770341E-3</v>
      </c>
      <c r="S48" s="3">
        <f t="shared" si="27"/>
        <v>6.8174095740770341E-3</v>
      </c>
      <c r="T48" s="3">
        <f t="shared" si="27"/>
        <v>6.8174095740770341E-3</v>
      </c>
      <c r="U48" s="3">
        <f t="shared" si="27"/>
        <v>6.8174095740770333E-3</v>
      </c>
      <c r="V48" s="3">
        <f t="shared" si="27"/>
        <v>6.8174095740770272E-3</v>
      </c>
      <c r="W48" s="3">
        <f t="shared" si="27"/>
        <v>6.8174095740769656E-3</v>
      </c>
      <c r="X48" s="3">
        <f t="shared" si="27"/>
        <v>6.8174095740763524E-3</v>
      </c>
      <c r="Y48" s="3">
        <f t="shared" si="27"/>
        <v>6.8174095740702167E-3</v>
      </c>
      <c r="Z48" s="3">
        <f t="shared" si="27"/>
        <v>6.8174095740088604E-3</v>
      </c>
      <c r="AA48" s="3">
        <f t="shared" si="27"/>
        <v>6.817409573395293E-3</v>
      </c>
      <c r="AB48" s="3">
        <f t="shared" si="27"/>
        <v>6.8174095672596247E-3</v>
      </c>
      <c r="AC48" s="3">
        <f t="shared" si="27"/>
        <v>6.8174095059029384E-3</v>
      </c>
      <c r="AD48" s="3">
        <f t="shared" si="27"/>
        <v>6.8174088923361109E-3</v>
      </c>
      <c r="AE48" s="3">
        <f t="shared" si="27"/>
        <v>6.8174027566708685E-3</v>
      </c>
      <c r="AF48" s="3">
        <f t="shared" si="29"/>
        <v>6.8173414003221628E-3</v>
      </c>
      <c r="AG48" s="3">
        <f t="shared" si="29"/>
        <v>6.8167278672055381E-3</v>
      </c>
      <c r="AH48" s="3">
        <f t="shared" si="29"/>
        <v>6.8105955720717936E-3</v>
      </c>
      <c r="AI48" s="3">
        <f t="shared" si="29"/>
        <v>6.7495752154149548E-3</v>
      </c>
      <c r="AJ48" s="3">
        <f t="shared" si="29"/>
        <v>6.1686472767014944E-3</v>
      </c>
    </row>
    <row r="49" spans="1:36" x14ac:dyDescent="0.25">
      <c r="B49" s="16">
        <f>SUM(B17:B48)</f>
        <v>0.78947221906535014</v>
      </c>
      <c r="C49" s="18">
        <f>SUM(C17:C48)</f>
        <v>0.99999999999999989</v>
      </c>
      <c r="F49" s="3">
        <f t="shared" ref="F49:AJ49" si="31">F16-F17</f>
        <v>95.47474145385786</v>
      </c>
      <c r="G49" s="3">
        <f t="shared" si="31"/>
        <v>-123.50823228752051</v>
      </c>
      <c r="H49" s="3">
        <f t="shared" si="31"/>
        <v>32.685927990389246</v>
      </c>
      <c r="I49" s="3">
        <f t="shared" si="31"/>
        <v>-5.3602022396471511</v>
      </c>
      <c r="J49" s="3">
        <f t="shared" si="31"/>
        <v>0.73380897064089368</v>
      </c>
      <c r="K49" s="3">
        <f t="shared" si="31"/>
        <v>-0.12639888844478264</v>
      </c>
      <c r="L49" s="3">
        <f t="shared" si="31"/>
        <v>5.6966537016705843E-2</v>
      </c>
      <c r="M49" s="3">
        <f t="shared" si="31"/>
        <v>-0.2267142366790722</v>
      </c>
      <c r="N49" s="3">
        <f t="shared" si="31"/>
        <v>0.44832719046826242</v>
      </c>
      <c r="O49" s="3">
        <f t="shared" si="31"/>
        <v>-1.006965843069338</v>
      </c>
      <c r="P49" s="3">
        <f t="shared" si="31"/>
        <v>1.6397850375260532</v>
      </c>
      <c r="Q49" s="3">
        <f t="shared" si="31"/>
        <v>-2.4404779941223751</v>
      </c>
      <c r="R49" s="3">
        <f t="shared" si="31"/>
        <v>2.93128064181019</v>
      </c>
      <c r="S49" s="3">
        <f t="shared" si="31"/>
        <v>-3.1607411348077221</v>
      </c>
      <c r="T49" s="3">
        <f t="shared" si="31"/>
        <v>2.767347073376186</v>
      </c>
      <c r="U49" s="3">
        <f t="shared" si="31"/>
        <v>-2.1964638234971972</v>
      </c>
      <c r="V49" s="3">
        <f t="shared" si="31"/>
        <v>1.4064576059072351</v>
      </c>
      <c r="W49" s="3">
        <f t="shared" si="31"/>
        <v>-0.86456145958572961</v>
      </c>
      <c r="X49" s="3">
        <f t="shared" si="31"/>
        <v>0.36213581499259817</v>
      </c>
      <c r="Y49" s="3">
        <f t="shared" si="31"/>
        <v>-0.20904236955743727</v>
      </c>
      <c r="Z49" s="3">
        <f t="shared" si="31"/>
        <v>3.2657154588150661E-2</v>
      </c>
      <c r="AA49" s="3">
        <f t="shared" si="31"/>
        <v>-6.6269940692222917E-2</v>
      </c>
      <c r="AB49" s="3">
        <f t="shared" si="31"/>
        <v>-2.1670572907282803E-2</v>
      </c>
      <c r="AC49" s="3">
        <f t="shared" si="31"/>
        <v>-1.0311784940995494E-2</v>
      </c>
      <c r="AD49" s="3">
        <f t="shared" si="31"/>
        <v>-0.10264552802084381</v>
      </c>
      <c r="AE49" s="3">
        <f t="shared" si="31"/>
        <v>0.10011372548694908</v>
      </c>
      <c r="AF49" s="3">
        <f t="shared" si="31"/>
        <v>-0.63455301164253797</v>
      </c>
      <c r="AG49" s="3">
        <f t="shared" si="31"/>
        <v>1.8380467217690466</v>
      </c>
      <c r="AH49" s="3">
        <f t="shared" si="31"/>
        <v>-2.3491941608719458</v>
      </c>
      <c r="AI49" s="3">
        <f t="shared" si="31"/>
        <v>-2.3302253879357409</v>
      </c>
      <c r="AJ49" s="3">
        <f t="shared" si="31"/>
        <v>3.3668975299979138</v>
      </c>
    </row>
    <row r="50" spans="1:36" x14ac:dyDescent="0.25">
      <c r="F50" s="57">
        <f t="shared" ref="F50:AJ50" si="32">F49/F17</f>
        <v>1.1225183942432434E-2</v>
      </c>
      <c r="G50" s="57">
        <f t="shared" si="32"/>
        <v>-1.4734896101174615E-2</v>
      </c>
      <c r="H50" s="57">
        <f t="shared" si="32"/>
        <v>4.1220840350389108E-3</v>
      </c>
      <c r="I50" s="57">
        <f t="shared" si="32"/>
        <v>-6.961774765223425E-4</v>
      </c>
      <c r="J50" s="57">
        <f t="shared" si="32"/>
        <v>9.9279047327229615E-5</v>
      </c>
      <c r="K50" s="57">
        <f t="shared" si="32"/>
        <v>-1.7975231895717032E-5</v>
      </c>
      <c r="L50" s="57">
        <f t="shared" si="32"/>
        <v>8.562305773789991E-6</v>
      </c>
      <c r="M50" s="57">
        <f t="shared" si="32"/>
        <v>-3.5840801950798685E-5</v>
      </c>
      <c r="N50" s="57">
        <f t="shared" si="32"/>
        <v>7.4159444433084091E-5</v>
      </c>
      <c r="O50" s="57">
        <f t="shared" si="32"/>
        <v>-1.7463512708960701E-4</v>
      </c>
      <c r="P50" s="57">
        <f t="shared" si="32"/>
        <v>2.9893944154077878E-4</v>
      </c>
      <c r="Q50" s="57">
        <f t="shared" si="32"/>
        <v>-4.6809860678247839E-4</v>
      </c>
      <c r="R50" s="57">
        <f t="shared" si="32"/>
        <v>5.9566391752615018E-4</v>
      </c>
      <c r="S50" s="57">
        <f t="shared" si="32"/>
        <v>-6.8903826560762628E-4</v>
      </c>
      <c r="T50" s="57">
        <f t="shared" si="32"/>
        <v>6.5601527556625192E-4</v>
      </c>
      <c r="U50" s="57">
        <f t="shared" si="32"/>
        <v>-5.7921579112401775E-4</v>
      </c>
      <c r="V50" s="57">
        <f t="shared" si="32"/>
        <v>4.2847644049483343E-4</v>
      </c>
      <c r="W50" s="57">
        <f t="shared" si="32"/>
        <v>-3.1837148512450168E-4</v>
      </c>
      <c r="X50" s="57">
        <f t="shared" si="32"/>
        <v>1.7082064864789245E-4</v>
      </c>
      <c r="Y50" s="57">
        <f t="shared" si="32"/>
        <v>-1.34915291917647E-4</v>
      </c>
      <c r="Z50" s="57">
        <f t="shared" si="32"/>
        <v>2.9288308131443166E-5</v>
      </c>
      <c r="AA50" s="57">
        <f t="shared" si="32"/>
        <v>-8.0852610797776416E-5</v>
      </c>
      <c r="AB50" s="57">
        <f t="shared" si="32"/>
        <v>-3.2212715595668526E-5</v>
      </c>
      <c r="AC50" s="57">
        <f t="shared" si="32"/>
        <v>-1.7410403886158944E-5</v>
      </c>
      <c r="AD50" s="57">
        <f t="shared" si="32"/>
        <v>-1.8453914485902444E-4</v>
      </c>
      <c r="AE50" s="57">
        <f t="shared" si="32"/>
        <v>1.8937507561776919E-4</v>
      </c>
      <c r="AF50" s="57">
        <f t="shared" si="32"/>
        <v>-1.2245679274876207E-3</v>
      </c>
      <c r="AG50" s="57">
        <f t="shared" si="32"/>
        <v>3.6914248059844294E-3</v>
      </c>
      <c r="AH50" s="57">
        <f t="shared" si="32"/>
        <v>-4.8807672351594252E-3</v>
      </c>
      <c r="AI50" s="57">
        <f t="shared" si="32"/>
        <v>-4.8749490201256823E-3</v>
      </c>
      <c r="AJ50" s="57">
        <f t="shared" si="32"/>
        <v>7.1320255452276974E-3</v>
      </c>
    </row>
    <row r="51" spans="1:36" x14ac:dyDescent="0.25">
      <c r="A51" s="13" t="s">
        <v>21</v>
      </c>
      <c r="B51" s="3">
        <f>STUTT!D8</f>
        <v>10187.300999999999</v>
      </c>
      <c r="E51" s="11" t="s">
        <v>24</v>
      </c>
      <c r="F51" s="20">
        <f t="shared" ref="F51:AJ51" si="33">(F16-F17)^2</f>
        <v>9115.4262556810045</v>
      </c>
      <c r="G51" s="20">
        <f t="shared" si="33"/>
        <v>15254.283442788124</v>
      </c>
      <c r="H51" s="20">
        <f t="shared" si="33"/>
        <v>1068.3698885929111</v>
      </c>
      <c r="I51" s="20">
        <f t="shared" si="33"/>
        <v>28.731768049918337</v>
      </c>
      <c r="J51" s="20">
        <f t="shared" si="33"/>
        <v>0.53847560539304795</v>
      </c>
      <c r="K51" s="20">
        <f t="shared" si="33"/>
        <v>1.5976679000076606E-2</v>
      </c>
      <c r="L51" s="20">
        <f t="shared" si="33"/>
        <v>3.245186339675717E-3</v>
      </c>
      <c r="M51" s="20">
        <f t="shared" si="33"/>
        <v>5.1399345112974365E-2</v>
      </c>
      <c r="N51" s="20">
        <f t="shared" si="33"/>
        <v>0.20099726971316564</v>
      </c>
      <c r="O51" s="20">
        <f t="shared" si="33"/>
        <v>1.0139802091083427</v>
      </c>
      <c r="P51" s="20">
        <f t="shared" si="33"/>
        <v>2.6888949692943198</v>
      </c>
      <c r="Q51" s="20">
        <f t="shared" si="33"/>
        <v>5.9559328397955715</v>
      </c>
      <c r="R51" s="20">
        <f t="shared" si="33"/>
        <v>8.5924062010511602</v>
      </c>
      <c r="S51" s="20">
        <f t="shared" si="33"/>
        <v>9.9902845212656075</v>
      </c>
      <c r="T51" s="20">
        <f t="shared" si="33"/>
        <v>7.658209824523742</v>
      </c>
      <c r="U51" s="20">
        <f t="shared" si="33"/>
        <v>4.8244533279319262</v>
      </c>
      <c r="V51" s="20">
        <f t="shared" si="33"/>
        <v>1.9781229972143115</v>
      </c>
      <c r="W51" s="20">
        <f t="shared" si="33"/>
        <v>0.74746651740100722</v>
      </c>
      <c r="X51" s="20">
        <f t="shared" si="33"/>
        <v>0.13114234850035328</v>
      </c>
      <c r="Y51" s="20">
        <f t="shared" si="33"/>
        <v>4.3698712270188178E-2</v>
      </c>
      <c r="Z51" s="20">
        <f t="shared" si="33"/>
        <v>1.0664897457943697E-3</v>
      </c>
      <c r="AA51" s="20">
        <f t="shared" si="33"/>
        <v>4.3917050393507432E-3</v>
      </c>
      <c r="AB51" s="20">
        <f t="shared" si="33"/>
        <v>4.6961373012985948E-4</v>
      </c>
      <c r="AC51" s="20">
        <f t="shared" si="33"/>
        <v>1.0633290866934146E-4</v>
      </c>
      <c r="AD51" s="20">
        <f t="shared" si="33"/>
        <v>1.0536104422677833E-2</v>
      </c>
      <c r="AE51" s="20">
        <f t="shared" si="33"/>
        <v>1.0022758030876197E-2</v>
      </c>
      <c r="AF51" s="20">
        <f t="shared" si="33"/>
        <v>0.4026575245846149</v>
      </c>
      <c r="AG51" s="20">
        <f t="shared" si="33"/>
        <v>3.3784157514059392</v>
      </c>
      <c r="AH51" s="20">
        <f t="shared" si="33"/>
        <v>5.5187132054748451</v>
      </c>
      <c r="AI51" s="20">
        <f t="shared" si="33"/>
        <v>5.4299503585802738</v>
      </c>
      <c r="AJ51" s="20">
        <f t="shared" si="33"/>
        <v>11.335998977506053</v>
      </c>
    </row>
    <row r="52" spans="1:36" x14ac:dyDescent="0.25">
      <c r="A52" s="13"/>
    </row>
    <row r="53" spans="1:36" x14ac:dyDescent="0.25">
      <c r="E53" s="119" t="s">
        <v>25</v>
      </c>
      <c r="F53" s="119"/>
      <c r="G53" s="104">
        <f>SUM(F51:AJ51)</f>
        <v>25537.338370487298</v>
      </c>
      <c r="I53" s="3">
        <f>G53+C123</f>
        <v>25537.338370487298</v>
      </c>
      <c r="K53" s="3">
        <f>SUM(Z51:AJ51)</f>
        <v>26.092328821429227</v>
      </c>
    </row>
    <row r="55" spans="1:36" x14ac:dyDescent="0.25">
      <c r="E55" s="30" t="s">
        <v>30</v>
      </c>
      <c r="F55" s="31">
        <f t="shared" ref="F55:AJ55" si="34">ABS(F17-F16)/F16</f>
        <v>1.1100577913486249E-2</v>
      </c>
      <c r="G55" s="31">
        <f t="shared" si="34"/>
        <v>1.4955260307978701E-2</v>
      </c>
      <c r="H55" s="31">
        <f t="shared" si="34"/>
        <v>4.1051622114259469E-3</v>
      </c>
      <c r="I55" s="31">
        <f t="shared" si="34"/>
        <v>6.9666247724774059E-4</v>
      </c>
      <c r="J55" s="31">
        <f t="shared" si="34"/>
        <v>9.9269191976421252E-5</v>
      </c>
      <c r="K55" s="31">
        <f t="shared" si="34"/>
        <v>1.7975555010486798E-5</v>
      </c>
      <c r="L55" s="31">
        <f t="shared" si="34"/>
        <v>8.5622324613375518E-6</v>
      </c>
      <c r="M55" s="31">
        <f t="shared" si="34"/>
        <v>3.5842086559924586E-5</v>
      </c>
      <c r="N55" s="31">
        <f t="shared" si="34"/>
        <v>7.415394521770423E-5</v>
      </c>
      <c r="O55" s="31">
        <f t="shared" si="34"/>
        <v>1.7466562984407304E-4</v>
      </c>
      <c r="P55" s="31">
        <f t="shared" si="34"/>
        <v>2.9885010345774674E-4</v>
      </c>
      <c r="Q55" s="31">
        <f t="shared" si="34"/>
        <v>4.6831782570422195E-4</v>
      </c>
      <c r="R55" s="31">
        <f t="shared" si="34"/>
        <v>5.9530931324848079E-4</v>
      </c>
      <c r="S55" s="31">
        <f t="shared" si="34"/>
        <v>6.8951336670193184E-4</v>
      </c>
      <c r="T55" s="31">
        <f t="shared" si="34"/>
        <v>6.5558520165952814E-4</v>
      </c>
      <c r="U55" s="31">
        <f t="shared" si="34"/>
        <v>5.7955147649097058E-4</v>
      </c>
      <c r="V55" s="31">
        <f t="shared" si="34"/>
        <v>4.2829292706595508E-4</v>
      </c>
      <c r="W55" s="31">
        <f t="shared" si="34"/>
        <v>3.1847287780758116E-4</v>
      </c>
      <c r="X55" s="31">
        <f t="shared" si="34"/>
        <v>1.7079147393753093E-4</v>
      </c>
      <c r="Y55" s="31">
        <f t="shared" si="34"/>
        <v>1.3493349650971808E-4</v>
      </c>
      <c r="Z55" s="31">
        <f t="shared" si="34"/>
        <v>2.9287450351572887E-5</v>
      </c>
      <c r="AA55" s="31">
        <f t="shared" si="34"/>
        <v>8.0859148471037188E-5</v>
      </c>
      <c r="AB55" s="31">
        <f t="shared" si="34"/>
        <v>3.2213753288141464E-5</v>
      </c>
      <c r="AC55" s="31">
        <f t="shared" si="34"/>
        <v>1.7410707013599993E-5</v>
      </c>
      <c r="AD55" s="31">
        <f t="shared" si="34"/>
        <v>1.8457320584059416E-4</v>
      </c>
      <c r="AE55" s="31">
        <f t="shared" si="34"/>
        <v>1.8933921948876108E-4</v>
      </c>
      <c r="AF55" s="31">
        <f t="shared" si="34"/>
        <v>1.2260693326692836E-3</v>
      </c>
      <c r="AG55" s="31">
        <f t="shared" si="34"/>
        <v>3.6778483055167968E-3</v>
      </c>
      <c r="AH55" s="31">
        <f t="shared" si="34"/>
        <v>4.9047059633233045E-3</v>
      </c>
      <c r="AI55" s="31">
        <f t="shared" si="34"/>
        <v>4.8988305694097883E-3</v>
      </c>
      <c r="AJ55" s="31">
        <f t="shared" si="34"/>
        <v>7.0815199639457961E-3</v>
      </c>
    </row>
    <row r="56" spans="1:36" x14ac:dyDescent="0.25">
      <c r="E56" s="13" t="s">
        <v>31</v>
      </c>
      <c r="F56" s="32">
        <f>AVERAGE(F55:AJ55)</f>
        <v>1.8687228139713204E-3</v>
      </c>
    </row>
    <row r="57" spans="1:36" x14ac:dyDescent="0.25">
      <c r="A57" s="42"/>
      <c r="B57" s="15"/>
      <c r="C57" s="15"/>
      <c r="D57" s="15"/>
      <c r="F57" s="60">
        <f>AVERAGE(S55:X55)</f>
        <v>4.737012206105829E-4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-17.218692816761287</v>
      </c>
    </row>
    <row r="119" spans="1:14" x14ac:dyDescent="0.25">
      <c r="L119" s="11">
        <f>L118+1</f>
        <v>2</v>
      </c>
      <c r="M119" s="11">
        <f t="shared" ref="M119:M124" si="35">INDEX($B$125:$K$126,1,L119)</f>
        <v>0</v>
      </c>
      <c r="N119" s="11">
        <f t="shared" ref="N119:N124" si="36">IF(L119=$B$3,0,INDEX($B$125:$K$126,2,L119))</f>
        <v>-14.014764769410721</v>
      </c>
    </row>
    <row r="120" spans="1:14" x14ac:dyDescent="0.25">
      <c r="L120" s="11">
        <f t="shared" ref="L120:L124" si="37">L119+1</f>
        <v>3</v>
      </c>
      <c r="M120" s="11">
        <f t="shared" si="35"/>
        <v>25</v>
      </c>
      <c r="N120" s="11">
        <f t="shared" si="36"/>
        <v>-11.583145044127384</v>
      </c>
    </row>
    <row r="121" spans="1:14" x14ac:dyDescent="0.25">
      <c r="A121" s="103">
        <f>(A165+A204+A243+A282+A321+A360+A399)*10^9</f>
        <v>1.0310249869240534E+16</v>
      </c>
      <c r="L121" s="11">
        <f t="shared" si="37"/>
        <v>4</v>
      </c>
      <c r="M121" s="11">
        <f t="shared" si="35"/>
        <v>50</v>
      </c>
      <c r="N121" s="11">
        <f t="shared" si="36"/>
        <v>-8.742458487122633</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-5.9392986995543122</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5.6870542497434693</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-17.218692816761287</v>
      </c>
      <c r="C126" s="107">
        <v>-14.014764769410721</v>
      </c>
      <c r="D126" s="107">
        <v>-11.583145044127384</v>
      </c>
      <c r="E126" s="107">
        <v>-8.742458487122633</v>
      </c>
      <c r="F126" s="107">
        <v>-5.9392986995543122</v>
      </c>
      <c r="G126" s="107">
        <v>1.6119913723444616E-2</v>
      </c>
      <c r="H126" s="107">
        <v>5.6870542497434693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10181.766536892012</v>
      </c>
      <c r="C131" s="27">
        <f t="shared" ref="C131:AF131" si="40">($C$17+SUM(C132:C162))*$B$51</f>
        <v>10132.77623231582</v>
      </c>
      <c r="D131" s="27">
        <f t="shared" si="40"/>
        <v>9715.7163943296619</v>
      </c>
      <c r="E131" s="27">
        <f t="shared" si="40"/>
        <v>8580.7356961682653</v>
      </c>
      <c r="F131" s="27">
        <f t="shared" si="40"/>
        <v>8520.8894000906512</v>
      </c>
      <c r="G131" s="27">
        <f t="shared" si="40"/>
        <v>8520.8424477195349</v>
      </c>
      <c r="H131" s="27">
        <f t="shared" si="40"/>
        <v>8520.3731163847569</v>
      </c>
      <c r="I131" s="27">
        <f t="shared" si="40"/>
        <v>8515.6989863143826</v>
      </c>
      <c r="J131" s="27">
        <f t="shared" si="40"/>
        <v>8470.822794928954</v>
      </c>
      <c r="K131" s="27">
        <f t="shared" si="40"/>
        <v>8165.0407067787482</v>
      </c>
      <c r="L131" s="27">
        <f t="shared" si="40"/>
        <v>7808.6906244283346</v>
      </c>
      <c r="M131" s="27">
        <f t="shared" si="40"/>
        <v>7561.8684184366348</v>
      </c>
      <c r="N131" s="27">
        <f t="shared" si="40"/>
        <v>7222.5914559303574</v>
      </c>
      <c r="O131" s="27">
        <f t="shared" si="40"/>
        <v>6847.8948931055202</v>
      </c>
      <c r="P131" s="27">
        <f t="shared" si="40"/>
        <v>6482.4271018478639</v>
      </c>
      <c r="Q131" s="27">
        <f t="shared" si="40"/>
        <v>6178.8958882809702</v>
      </c>
      <c r="R131" s="27">
        <f t="shared" si="40"/>
        <v>5903.3289810298884</v>
      </c>
      <c r="S131" s="27">
        <f t="shared" si="40"/>
        <v>5616.7889002396132</v>
      </c>
      <c r="T131" s="27">
        <f t="shared" si="40"/>
        <v>5337.0176804685188</v>
      </c>
      <c r="U131" s="27">
        <f t="shared" si="40"/>
        <v>5060.0291271803526</v>
      </c>
      <c r="V131" s="27">
        <f t="shared" si="40"/>
        <v>4741.0859408071519</v>
      </c>
      <c r="W131" s="27">
        <f t="shared" si="40"/>
        <v>4384.3675601251271</v>
      </c>
      <c r="X131" s="27">
        <f t="shared" si="40"/>
        <v>3990.9648444639724</v>
      </c>
      <c r="Y131" s="27">
        <f t="shared" si="40"/>
        <v>3514.3755259991126</v>
      </c>
      <c r="Z131" s="27">
        <f t="shared" si="40"/>
        <v>2968.0713777461842</v>
      </c>
      <c r="AA131" s="27">
        <f t="shared" si="40"/>
        <v>2388.0365409945362</v>
      </c>
      <c r="AB131" s="27">
        <f t="shared" si="40"/>
        <v>1792.6197883812597</v>
      </c>
      <c r="AC131" s="27">
        <f t="shared" si="40"/>
        <v>1305.638692828586</v>
      </c>
      <c r="AD131" s="27">
        <f t="shared" si="40"/>
        <v>940.01408056330592</v>
      </c>
      <c r="AE131" s="27">
        <f t="shared" si="40"/>
        <v>752.87502113443213</v>
      </c>
      <c r="AF131" s="27">
        <f t="shared" si="40"/>
        <v>608.77413901707871</v>
      </c>
    </row>
    <row r="132" spans="1:33" x14ac:dyDescent="0.25">
      <c r="B132" s="3">
        <f t="shared" ref="B132:Z133" si="41">$C18*EXP(-B$129/$A18/EXP(-$B$126))</f>
        <v>0.16303355718820781</v>
      </c>
      <c r="C132" s="3">
        <f t="shared" ref="C132:AF132" si="42">$C18*EXP(-C$129/$A18/EXP(-$B$126))</f>
        <v>0.15822459945929213</v>
      </c>
      <c r="D132" s="3">
        <f t="shared" si="42"/>
        <v>0.11728541536807406</v>
      </c>
      <c r="E132" s="3">
        <f t="shared" si="42"/>
        <v>5.8741368933811211E-3</v>
      </c>
      <c r="F132" s="3">
        <f t="shared" si="42"/>
        <v>5.8337067439578069E-16</v>
      </c>
      <c r="G132" s="3">
        <f t="shared" si="42"/>
        <v>5.4443983987183344E-146</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5.8248195549670444E-2</v>
      </c>
      <c r="C133" s="3">
        <f t="shared" si="41"/>
        <v>5.8248195102941991E-2</v>
      </c>
      <c r="D133" s="3">
        <f t="shared" si="41"/>
        <v>5.8248190635657601E-2</v>
      </c>
      <c r="E133" s="3">
        <f t="shared" si="41"/>
        <v>5.8248145962832613E-2</v>
      </c>
      <c r="F133" s="3">
        <f t="shared" si="41"/>
        <v>5.8247699236467047E-2</v>
      </c>
      <c r="G133" s="3">
        <f t="shared" si="41"/>
        <v>5.8243232161242976E-2</v>
      </c>
      <c r="H133" s="3">
        <f t="shared" si="41"/>
        <v>5.8198580246817407E-2</v>
      </c>
      <c r="I133" s="3">
        <f t="shared" si="41"/>
        <v>5.7753939549459593E-2</v>
      </c>
      <c r="J133" s="3">
        <f t="shared" si="41"/>
        <v>5.3490154431456063E-2</v>
      </c>
      <c r="K133" s="3">
        <f t="shared" si="41"/>
        <v>2.4842553266971646E-2</v>
      </c>
      <c r="L133" s="3">
        <f t="shared" si="41"/>
        <v>1.1598985598631468E-5</v>
      </c>
      <c r="M133" s="3">
        <f t="shared" si="41"/>
        <v>5.7102852620068249E-39</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1.7254959968612486E-2</v>
      </c>
      <c r="C134" s="3">
        <f t="shared" si="44"/>
        <v>1.7254959956674757E-2</v>
      </c>
      <c r="D134" s="3">
        <f t="shared" si="44"/>
        <v>1.7254959837297475E-2</v>
      </c>
      <c r="E134" s="3">
        <f t="shared" si="44"/>
        <v>1.7254958643524693E-2</v>
      </c>
      <c r="F134" s="3">
        <f t="shared" si="44"/>
        <v>1.7254946705801414E-2</v>
      </c>
      <c r="G134" s="3">
        <f t="shared" si="44"/>
        <v>1.7254827329022875E-2</v>
      </c>
      <c r="H134" s="3">
        <f t="shared" si="44"/>
        <v>1.7253633606660906E-2</v>
      </c>
      <c r="I134" s="3">
        <f t="shared" si="44"/>
        <v>1.724170092421996E-2</v>
      </c>
      <c r="J134" s="3">
        <f t="shared" si="44"/>
        <v>1.7122827057374827E-2</v>
      </c>
      <c r="K134" s="3">
        <f t="shared" si="44"/>
        <v>1.5978245800737912E-2</v>
      </c>
      <c r="L134" s="3">
        <f t="shared" si="44"/>
        <v>7.9995466128022757E-3</v>
      </c>
      <c r="M134" s="3">
        <f t="shared" si="44"/>
        <v>7.9145846527698439E-6</v>
      </c>
      <c r="N134" s="3">
        <f t="shared" si="44"/>
        <v>7.1130470416590091E-36</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3.2278437816153402E-2</v>
      </c>
      <c r="C135" s="3">
        <f t="shared" si="47"/>
        <v>3.2278437814138909E-2</v>
      </c>
      <c r="D135" s="3">
        <f t="shared" si="47"/>
        <v>3.2278437793993926E-2</v>
      </c>
      <c r="E135" s="3">
        <f t="shared" si="47"/>
        <v>3.2278437592544132E-2</v>
      </c>
      <c r="F135" s="3">
        <f t="shared" si="47"/>
        <v>3.2278435578046237E-2</v>
      </c>
      <c r="G135" s="3">
        <f t="shared" si="47"/>
        <v>3.2278415433074227E-2</v>
      </c>
      <c r="H135" s="3">
        <f t="shared" si="47"/>
        <v>3.2278213984045616E-2</v>
      </c>
      <c r="I135" s="3">
        <f t="shared" si="47"/>
        <v>3.2276199562906394E-2</v>
      </c>
      <c r="J135" s="3">
        <f t="shared" si="47"/>
        <v>3.225606226460756E-2</v>
      </c>
      <c r="K135" s="3">
        <f t="shared" si="47"/>
        <v>3.20553789972714E-2</v>
      </c>
      <c r="L135" s="3">
        <f t="shared" si="47"/>
        <v>3.0115951456585979E-2</v>
      </c>
      <c r="M135" s="3">
        <f t="shared" si="47"/>
        <v>1.6134418319991611E-2</v>
      </c>
      <c r="N135" s="3">
        <f t="shared" si="47"/>
        <v>3.1428275843846196E-5</v>
      </c>
      <c r="O135" s="3">
        <f t="shared" si="47"/>
        <v>2.471684254875945E-32</v>
      </c>
      <c r="P135" s="3">
        <f t="shared" si="47"/>
        <v>2.2372645379485057E-303</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3.7144505568615545E-2</v>
      </c>
      <c r="C136" s="3">
        <f t="shared" si="49"/>
        <v>3.714450556840642E-2</v>
      </c>
      <c r="D136" s="3">
        <f t="shared" si="49"/>
        <v>3.7144505566315218E-2</v>
      </c>
      <c r="E136" s="3">
        <f t="shared" si="49"/>
        <v>3.7144505545403224E-2</v>
      </c>
      <c r="F136" s="3">
        <f t="shared" si="49"/>
        <v>3.7144505336283259E-2</v>
      </c>
      <c r="G136" s="3">
        <f t="shared" si="49"/>
        <v>3.7144503245083678E-2</v>
      </c>
      <c r="H136" s="3">
        <f t="shared" si="49"/>
        <v>3.7144482333094316E-2</v>
      </c>
      <c r="I136" s="3">
        <f t="shared" si="49"/>
        <v>3.7144273213848222E-2</v>
      </c>
      <c r="J136" s="3">
        <f t="shared" si="49"/>
        <v>3.7142182086138675E-2</v>
      </c>
      <c r="K136" s="3">
        <f t="shared" si="49"/>
        <v>3.7121277282832953E-2</v>
      </c>
      <c r="L136" s="3">
        <f t="shared" si="49"/>
        <v>3.691287528224816E-2</v>
      </c>
      <c r="M136" s="3">
        <f t="shared" si="49"/>
        <v>3.4892132821976132E-2</v>
      </c>
      <c r="N136" s="3">
        <f t="shared" si="49"/>
        <v>1.9871192646034402E-2</v>
      </c>
      <c r="O136" s="3">
        <f t="shared" si="49"/>
        <v>7.1316184700445144E-5</v>
      </c>
      <c r="P136" s="3">
        <f t="shared" si="49"/>
        <v>2.528306809830347E-29</v>
      </c>
      <c r="Q136" s="3">
        <f t="shared" si="49"/>
        <v>7.9295128587905757E-274</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4.0797811725327461E-2</v>
      </c>
      <c r="C137" s="3">
        <f t="shared" si="51"/>
        <v>4.0797811725306742E-2</v>
      </c>
      <c r="D137" s="3">
        <f t="shared" si="51"/>
        <v>4.0797811725099546E-2</v>
      </c>
      <c r="E137" s="3">
        <f t="shared" si="51"/>
        <v>4.0797811723027572E-2</v>
      </c>
      <c r="F137" s="3">
        <f t="shared" si="51"/>
        <v>4.0797811702307826E-2</v>
      </c>
      <c r="G137" s="3">
        <f t="shared" si="51"/>
        <v>4.0797811495110393E-2</v>
      </c>
      <c r="H137" s="3">
        <f t="shared" si="51"/>
        <v>4.0797809423136093E-2</v>
      </c>
      <c r="I137" s="3">
        <f t="shared" si="51"/>
        <v>4.0797788703398903E-2</v>
      </c>
      <c r="J137" s="3">
        <f t="shared" si="51"/>
        <v>4.0797581506605764E-2</v>
      </c>
      <c r="K137" s="3">
        <f t="shared" si="51"/>
        <v>4.0795509596548638E-2</v>
      </c>
      <c r="L137" s="3">
        <f t="shared" si="51"/>
        <v>4.07747962823167E-2</v>
      </c>
      <c r="M137" s="3">
        <f t="shared" si="51"/>
        <v>4.0568240688101623E-2</v>
      </c>
      <c r="N137" s="3">
        <f t="shared" si="51"/>
        <v>3.855936887269807E-2</v>
      </c>
      <c r="O137" s="3">
        <f t="shared" si="51"/>
        <v>2.3204239751682076E-2</v>
      </c>
      <c r="P137" s="3">
        <f t="shared" si="51"/>
        <v>1.4452454660381298E-4</v>
      </c>
      <c r="Q137" s="3">
        <f t="shared" si="51"/>
        <v>1.2696509181750615E-26</v>
      </c>
      <c r="R137" s="3">
        <f t="shared" si="51"/>
        <v>3.4762538737286107E-247</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3.2982255914933235E-2</v>
      </c>
      <c r="C138" s="3">
        <f t="shared" si="53"/>
        <v>3.2982255914931723E-2</v>
      </c>
      <c r="D138" s="3">
        <f t="shared" si="53"/>
        <v>3.298225591491661E-2</v>
      </c>
      <c r="E138" s="3">
        <f t="shared" si="53"/>
        <v>3.2982255914765508E-2</v>
      </c>
      <c r="F138" s="3">
        <f t="shared" si="53"/>
        <v>3.2982255913254474E-2</v>
      </c>
      <c r="G138" s="3">
        <f t="shared" si="53"/>
        <v>3.2982255898144131E-2</v>
      </c>
      <c r="H138" s="3">
        <f t="shared" si="53"/>
        <v>3.2982255747040654E-2</v>
      </c>
      <c r="I138" s="3">
        <f t="shared" si="53"/>
        <v>3.2982254236005933E-2</v>
      </c>
      <c r="J138" s="3">
        <f t="shared" si="53"/>
        <v>3.2982239125662526E-2</v>
      </c>
      <c r="K138" s="3">
        <f t="shared" si="53"/>
        <v>3.2982088022609268E-2</v>
      </c>
      <c r="L138" s="3">
        <f t="shared" si="53"/>
        <v>3.2980577030150178E-2</v>
      </c>
      <c r="M138" s="3">
        <f t="shared" si="53"/>
        <v>3.2965470912266266E-2</v>
      </c>
      <c r="N138" s="3">
        <f t="shared" si="53"/>
        <v>3.2814789759640868E-2</v>
      </c>
      <c r="O138" s="3">
        <f t="shared" si="53"/>
        <v>3.1345344489520775E-2</v>
      </c>
      <c r="P138" s="3">
        <f t="shared" si="53"/>
        <v>1.9824728913148352E-2</v>
      </c>
      <c r="Q138" s="3">
        <f t="shared" si="53"/>
        <v>2.0302492557654013E-4</v>
      </c>
      <c r="R138" s="3">
        <f t="shared" si="53"/>
        <v>2.5761454837230466E-24</v>
      </c>
      <c r="S138" s="3">
        <f t="shared" si="53"/>
        <v>2.7872802696807251E-223</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2.7372238189347683E-2</v>
      </c>
      <c r="C139" s="3">
        <f t="shared" si="55"/>
        <v>2.7372238189347572E-2</v>
      </c>
      <c r="D139" s="3">
        <f t="shared" si="55"/>
        <v>2.7372238189346438E-2</v>
      </c>
      <c r="E139" s="3">
        <f t="shared" si="55"/>
        <v>2.7372238189335128E-2</v>
      </c>
      <c r="F139" s="3">
        <f t="shared" si="55"/>
        <v>2.7372238189222003E-2</v>
      </c>
      <c r="G139" s="3">
        <f t="shared" si="55"/>
        <v>2.7372238188090776E-2</v>
      </c>
      <c r="H139" s="3">
        <f t="shared" si="55"/>
        <v>2.737223817677847E-2</v>
      </c>
      <c r="I139" s="3">
        <f t="shared" si="55"/>
        <v>2.7372238063655449E-2</v>
      </c>
      <c r="J139" s="3">
        <f t="shared" si="55"/>
        <v>2.7372236932425256E-2</v>
      </c>
      <c r="K139" s="3">
        <f t="shared" si="55"/>
        <v>2.7372225620125864E-2</v>
      </c>
      <c r="L139" s="3">
        <f t="shared" si="55"/>
        <v>2.7372112497389117E-2</v>
      </c>
      <c r="M139" s="3">
        <f t="shared" si="55"/>
        <v>2.7370981295734266E-2</v>
      </c>
      <c r="N139" s="3">
        <f t="shared" si="55"/>
        <v>2.7359671850058626E-2</v>
      </c>
      <c r="O139" s="3">
        <f t="shared" si="55"/>
        <v>2.724683408790099E-2</v>
      </c>
      <c r="P139" s="3">
        <f t="shared" si="55"/>
        <v>2.61437377099214E-2</v>
      </c>
      <c r="Q139" s="3">
        <f t="shared" si="55"/>
        <v>1.7293543197147633E-2</v>
      </c>
      <c r="R139" s="3">
        <f t="shared" si="55"/>
        <v>2.7736204834381291E-4</v>
      </c>
      <c r="S139" s="3">
        <f t="shared" si="55"/>
        <v>3.1237593211665015E-22</v>
      </c>
      <c r="T139" s="3">
        <f t="shared" si="55"/>
        <v>1.0256114387669039E-201</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2.94207547964777E-2</v>
      </c>
      <c r="C140" s="3">
        <f t="shared" si="57"/>
        <v>2.9420754796477686E-2</v>
      </c>
      <c r="D140" s="3">
        <f t="shared" si="57"/>
        <v>2.9420754796477579E-2</v>
      </c>
      <c r="E140" s="3">
        <f t="shared" si="57"/>
        <v>2.9420754796476482E-2</v>
      </c>
      <c r="F140" s="3">
        <f t="shared" si="57"/>
        <v>2.9420754796465512E-2</v>
      </c>
      <c r="G140" s="3">
        <f t="shared" si="57"/>
        <v>2.9420754796355829E-2</v>
      </c>
      <c r="H140" s="3">
        <f t="shared" si="57"/>
        <v>2.9420754795258994E-2</v>
      </c>
      <c r="I140" s="3">
        <f t="shared" si="57"/>
        <v>2.942075478429065E-2</v>
      </c>
      <c r="J140" s="3">
        <f t="shared" si="57"/>
        <v>2.9420754674607204E-2</v>
      </c>
      <c r="K140" s="3">
        <f t="shared" si="57"/>
        <v>2.9420753577772758E-2</v>
      </c>
      <c r="L140" s="3">
        <f t="shared" si="57"/>
        <v>2.942074260943054E-2</v>
      </c>
      <c r="M140" s="3">
        <f t="shared" si="57"/>
        <v>2.942063292623328E-2</v>
      </c>
      <c r="N140" s="3">
        <f t="shared" si="57"/>
        <v>2.9419536116750387E-2</v>
      </c>
      <c r="O140" s="3">
        <f t="shared" si="57"/>
        <v>2.9408570270585143E-2</v>
      </c>
      <c r="P140" s="3">
        <f t="shared" si="57"/>
        <v>2.9299136365427449E-2</v>
      </c>
      <c r="Q140" s="3">
        <f t="shared" si="57"/>
        <v>2.8226946275589488E-2</v>
      </c>
      <c r="R140" s="3">
        <f t="shared" si="57"/>
        <v>1.9442614821308598E-2</v>
      </c>
      <c r="S140" s="3">
        <f t="shared" si="57"/>
        <v>4.673717197762963E-4</v>
      </c>
      <c r="T140" s="3">
        <f t="shared" si="57"/>
        <v>3.0112028086960175E-20</v>
      </c>
      <c r="U140" s="3">
        <f t="shared" si="57"/>
        <v>3.7112120889059846E-182</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2.9009360037806093E-2</v>
      </c>
      <c r="C141" s="3">
        <f t="shared" si="59"/>
        <v>2.9009360037806093E-2</v>
      </c>
      <c r="D141" s="3">
        <f t="shared" si="59"/>
        <v>2.9009360037806083E-2</v>
      </c>
      <c r="E141" s="3">
        <f t="shared" si="59"/>
        <v>2.9009360037805982E-2</v>
      </c>
      <c r="F141" s="3">
        <f t="shared" si="59"/>
        <v>2.9009360037805007E-2</v>
      </c>
      <c r="G141" s="3">
        <f t="shared" si="59"/>
        <v>2.9009360037795251E-2</v>
      </c>
      <c r="H141" s="3">
        <f t="shared" si="59"/>
        <v>2.9009360037697694E-2</v>
      </c>
      <c r="I141" s="3">
        <f t="shared" si="59"/>
        <v>2.9009360036722096E-2</v>
      </c>
      <c r="J141" s="3">
        <f t="shared" si="59"/>
        <v>2.9009360026966087E-2</v>
      </c>
      <c r="K141" s="3">
        <f t="shared" si="59"/>
        <v>2.9009359929406037E-2</v>
      </c>
      <c r="L141" s="3">
        <f t="shared" si="59"/>
        <v>2.9009358953805544E-2</v>
      </c>
      <c r="M141" s="3">
        <f t="shared" si="59"/>
        <v>2.9009349197802427E-2</v>
      </c>
      <c r="N141" s="3">
        <f t="shared" si="59"/>
        <v>2.9009251637951702E-2</v>
      </c>
      <c r="O141" s="3">
        <f t="shared" si="59"/>
        <v>2.9008276057489707E-2</v>
      </c>
      <c r="P141" s="3">
        <f t="shared" si="59"/>
        <v>2.8998522057168869E-2</v>
      </c>
      <c r="Q141" s="3">
        <f t="shared" si="59"/>
        <v>2.8901162259559892E-2</v>
      </c>
      <c r="R141" s="3">
        <f t="shared" si="59"/>
        <v>2.794536261102331E-2</v>
      </c>
      <c r="S141" s="3">
        <f t="shared" si="59"/>
        <v>1.9964303316799551E-2</v>
      </c>
      <c r="T141" s="3">
        <f t="shared" si="59"/>
        <v>6.9135046834052909E-4</v>
      </c>
      <c r="U141" s="3">
        <f t="shared" si="59"/>
        <v>1.7145070711045099E-18</v>
      </c>
      <c r="V141" s="3">
        <f t="shared" si="59"/>
        <v>1.5085144437752839E-164</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2.6775000161878105E-2</v>
      </c>
      <c r="C142" s="3">
        <f t="shared" si="61"/>
        <v>2.6775000161878105E-2</v>
      </c>
      <c r="D142" s="3">
        <f t="shared" si="61"/>
        <v>2.6775000161878105E-2</v>
      </c>
      <c r="E142" s="3">
        <f t="shared" si="61"/>
        <v>2.6775000161878094E-2</v>
      </c>
      <c r="F142" s="3">
        <f t="shared" si="61"/>
        <v>2.6775000161878015E-2</v>
      </c>
      <c r="G142" s="3">
        <f t="shared" si="61"/>
        <v>2.6775000161877203E-2</v>
      </c>
      <c r="H142" s="3">
        <f t="shared" si="61"/>
        <v>2.6775000161869081E-2</v>
      </c>
      <c r="I142" s="3">
        <f t="shared" si="61"/>
        <v>2.6775000161787851E-2</v>
      </c>
      <c r="J142" s="3">
        <f t="shared" si="61"/>
        <v>2.6775000160975563E-2</v>
      </c>
      <c r="K142" s="3">
        <f t="shared" si="61"/>
        <v>2.6775000152852686E-2</v>
      </c>
      <c r="L142" s="3">
        <f t="shared" si="61"/>
        <v>2.6775000071623905E-2</v>
      </c>
      <c r="M142" s="3">
        <f t="shared" si="61"/>
        <v>2.6774999259336092E-2</v>
      </c>
      <c r="N142" s="3">
        <f t="shared" si="61"/>
        <v>2.6774991136459331E-2</v>
      </c>
      <c r="O142" s="3">
        <f t="shared" si="61"/>
        <v>2.6774909907827285E-2</v>
      </c>
      <c r="P142" s="3">
        <f t="shared" si="61"/>
        <v>2.6774097635060192E-2</v>
      </c>
      <c r="Q142" s="3">
        <f t="shared" si="61"/>
        <v>2.6765976262575333E-2</v>
      </c>
      <c r="R142" s="3">
        <f t="shared" si="61"/>
        <v>2.6684897904339977E-2</v>
      </c>
      <c r="S142" s="3">
        <f t="shared" si="61"/>
        <v>2.5887500260894585E-2</v>
      </c>
      <c r="T142" s="3">
        <f t="shared" si="61"/>
        <v>1.9113306475161063E-2</v>
      </c>
      <c r="U142" s="3">
        <f t="shared" si="61"/>
        <v>9.2001073951925949E-4</v>
      </c>
      <c r="V142" s="3">
        <f t="shared" si="61"/>
        <v>6.1427611780153003E-17</v>
      </c>
      <c r="W142" s="3">
        <f t="shared" si="61"/>
        <v>1.0816106868807885E-148</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3.1584912015022802E-2</v>
      </c>
      <c r="C143" s="3">
        <f t="shared" si="63"/>
        <v>3.1584912015022802E-2</v>
      </c>
      <c r="D143" s="3">
        <f t="shared" si="63"/>
        <v>3.1584912015022802E-2</v>
      </c>
      <c r="E143" s="3">
        <f t="shared" si="63"/>
        <v>3.1584912015022802E-2</v>
      </c>
      <c r="F143" s="3">
        <f t="shared" si="63"/>
        <v>3.1584912015022788E-2</v>
      </c>
      <c r="G143" s="3">
        <f t="shared" si="63"/>
        <v>3.1584912015022705E-2</v>
      </c>
      <c r="H143" s="3">
        <f t="shared" si="63"/>
        <v>3.1584912015021845E-2</v>
      </c>
      <c r="I143" s="3">
        <f t="shared" si="63"/>
        <v>3.1584912015013199E-2</v>
      </c>
      <c r="J143" s="3">
        <f t="shared" si="63"/>
        <v>3.1584912014926761E-2</v>
      </c>
      <c r="K143" s="3">
        <f t="shared" si="63"/>
        <v>3.1584912014062376E-2</v>
      </c>
      <c r="L143" s="3">
        <f t="shared" si="63"/>
        <v>3.1584912005418533E-2</v>
      </c>
      <c r="M143" s="3">
        <f t="shared" si="63"/>
        <v>3.1584911918980135E-2</v>
      </c>
      <c r="N143" s="3">
        <f t="shared" si="63"/>
        <v>3.1584911054596133E-2</v>
      </c>
      <c r="O143" s="3">
        <f t="shared" si="63"/>
        <v>3.1584902410757475E-2</v>
      </c>
      <c r="P143" s="3">
        <f t="shared" si="63"/>
        <v>3.1584815972500943E-2</v>
      </c>
      <c r="Q143" s="3">
        <f t="shared" si="63"/>
        <v>3.1583951602946102E-2</v>
      </c>
      <c r="R143" s="3">
        <f t="shared" si="63"/>
        <v>3.1575309208308699E-2</v>
      </c>
      <c r="S143" s="3">
        <f t="shared" si="63"/>
        <v>3.1489015221409802E-2</v>
      </c>
      <c r="T143" s="3">
        <f t="shared" si="63"/>
        <v>3.0638940663498121E-2</v>
      </c>
      <c r="U143" s="3">
        <f t="shared" si="63"/>
        <v>2.3303460248928216E-2</v>
      </c>
      <c r="V143" s="3">
        <f t="shared" si="63"/>
        <v>1.5096875858348756E-3</v>
      </c>
      <c r="W143" s="3">
        <f t="shared" si="63"/>
        <v>1.9658654755914782E-15</v>
      </c>
      <c r="X143" s="3">
        <f t="shared" si="63"/>
        <v>2.755630062275928E-134</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3.592675255612271E-2</v>
      </c>
      <c r="C144" s="3">
        <f t="shared" si="65"/>
        <v>3.592675255612271E-2</v>
      </c>
      <c r="D144" s="3">
        <f t="shared" si="65"/>
        <v>3.592675255612271E-2</v>
      </c>
      <c r="E144" s="3">
        <f t="shared" si="65"/>
        <v>3.592675255612271E-2</v>
      </c>
      <c r="F144" s="3">
        <f t="shared" si="65"/>
        <v>3.592675255612271E-2</v>
      </c>
      <c r="G144" s="3">
        <f t="shared" si="65"/>
        <v>3.5926752556122703E-2</v>
      </c>
      <c r="H144" s="3">
        <f t="shared" si="65"/>
        <v>3.5926752556122613E-2</v>
      </c>
      <c r="I144" s="3">
        <f t="shared" si="65"/>
        <v>3.5926752556121724E-2</v>
      </c>
      <c r="J144" s="3">
        <f t="shared" si="65"/>
        <v>3.5926752556112856E-2</v>
      </c>
      <c r="K144" s="3">
        <f t="shared" si="65"/>
        <v>3.5926752556024164E-2</v>
      </c>
      <c r="L144" s="3">
        <f t="shared" si="65"/>
        <v>3.5926752555137227E-2</v>
      </c>
      <c r="M144" s="3">
        <f t="shared" si="65"/>
        <v>3.5926752546267877E-2</v>
      </c>
      <c r="N144" s="3">
        <f t="shared" si="65"/>
        <v>3.5926752457574415E-2</v>
      </c>
      <c r="O144" s="3">
        <f t="shared" si="65"/>
        <v>3.5926751570639813E-2</v>
      </c>
      <c r="P144" s="3">
        <f t="shared" si="65"/>
        <v>3.592674270129495E-2</v>
      </c>
      <c r="Q144" s="3">
        <f t="shared" si="65"/>
        <v>3.5926654007966768E-2</v>
      </c>
      <c r="R144" s="3">
        <f t="shared" si="65"/>
        <v>3.5925767086727643E-2</v>
      </c>
      <c r="S144" s="3">
        <f t="shared" si="65"/>
        <v>3.5916899078495441E-2</v>
      </c>
      <c r="T144" s="3">
        <f t="shared" si="65"/>
        <v>3.582833930216231E-2</v>
      </c>
      <c r="U144" s="3">
        <f t="shared" si="65"/>
        <v>3.4954662968494248E-2</v>
      </c>
      <c r="V144" s="3">
        <f t="shared" si="65"/>
        <v>2.7307976794574522E-2</v>
      </c>
      <c r="W144" s="3">
        <f t="shared" si="65"/>
        <v>2.3127760752908082E-3</v>
      </c>
      <c r="X144" s="3">
        <f t="shared" si="65"/>
        <v>4.3911087775488658E-14</v>
      </c>
      <c r="Y144" s="3">
        <f t="shared" si="65"/>
        <v>2.6728851095500922E-121</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3.8216836337325075E-2</v>
      </c>
      <c r="C145" s="3">
        <f t="shared" si="68"/>
        <v>3.8216836337325075E-2</v>
      </c>
      <c r="D145" s="3">
        <f t="shared" si="68"/>
        <v>3.8216836337325075E-2</v>
      </c>
      <c r="E145" s="3">
        <f t="shared" si="68"/>
        <v>3.8216836337325075E-2</v>
      </c>
      <c r="F145" s="3">
        <f t="shared" si="68"/>
        <v>3.8216836337325075E-2</v>
      </c>
      <c r="G145" s="3">
        <f t="shared" si="68"/>
        <v>3.8216836337325075E-2</v>
      </c>
      <c r="H145" s="3">
        <f t="shared" si="68"/>
        <v>3.8216836337325068E-2</v>
      </c>
      <c r="I145" s="3">
        <f t="shared" si="68"/>
        <v>3.8216836337324984E-2</v>
      </c>
      <c r="J145" s="3">
        <f t="shared" si="68"/>
        <v>3.8216836337324131E-2</v>
      </c>
      <c r="K145" s="3">
        <f t="shared" si="68"/>
        <v>3.8216836337315617E-2</v>
      </c>
      <c r="L145" s="3">
        <f t="shared" si="68"/>
        <v>3.8216836337230511E-2</v>
      </c>
      <c r="M145" s="3">
        <f t="shared" si="68"/>
        <v>3.8216836336379421E-2</v>
      </c>
      <c r="N145" s="3">
        <f t="shared" si="68"/>
        <v>3.8216836327868528E-2</v>
      </c>
      <c r="O145" s="3">
        <f t="shared" si="68"/>
        <v>3.8216836242759636E-2</v>
      </c>
      <c r="P145" s="3">
        <f t="shared" si="68"/>
        <v>3.8216835391670666E-2</v>
      </c>
      <c r="Q145" s="3">
        <f t="shared" si="68"/>
        <v>3.8216826880782012E-2</v>
      </c>
      <c r="R145" s="3">
        <f t="shared" si="68"/>
        <v>3.8216741771999747E-2</v>
      </c>
      <c r="S145" s="3">
        <f t="shared" si="68"/>
        <v>3.8215890694601538E-2</v>
      </c>
      <c r="T145" s="3">
        <f t="shared" si="68"/>
        <v>3.8207380962980431E-2</v>
      </c>
      <c r="U145" s="3">
        <f t="shared" si="68"/>
        <v>3.8122387797025634E-2</v>
      </c>
      <c r="V145" s="3">
        <f t="shared" si="68"/>
        <v>3.728278585315372E-2</v>
      </c>
      <c r="W145" s="3">
        <f t="shared" si="68"/>
        <v>2.9839460800916789E-2</v>
      </c>
      <c r="X145" s="3">
        <f t="shared" si="68"/>
        <v>3.2182302994113207E-3</v>
      </c>
      <c r="Y145" s="3">
        <f t="shared" si="68"/>
        <v>6.8529663829740857E-13</v>
      </c>
      <c r="Z145" s="3">
        <f t="shared" si="68"/>
        <v>1.3136915962332798E-109</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4.8113881849429982E-2</v>
      </c>
      <c r="C146" s="3">
        <f t="shared" si="70"/>
        <v>4.8113881849429982E-2</v>
      </c>
      <c r="D146" s="3">
        <f t="shared" si="70"/>
        <v>4.8113881849429982E-2</v>
      </c>
      <c r="E146" s="3">
        <f t="shared" si="70"/>
        <v>4.8113881849429982E-2</v>
      </c>
      <c r="F146" s="3">
        <f t="shared" si="70"/>
        <v>4.8113881849429982E-2</v>
      </c>
      <c r="G146" s="3">
        <f t="shared" si="70"/>
        <v>4.8113881849429982E-2</v>
      </c>
      <c r="H146" s="3">
        <f t="shared" si="70"/>
        <v>4.8113881849429982E-2</v>
      </c>
      <c r="I146" s="3">
        <f t="shared" si="70"/>
        <v>4.8113881849429968E-2</v>
      </c>
      <c r="J146" s="3">
        <f t="shared" si="70"/>
        <v>4.8113881849429878E-2</v>
      </c>
      <c r="K146" s="3">
        <f t="shared" si="70"/>
        <v>4.8113881849428906E-2</v>
      </c>
      <c r="L146" s="3">
        <f t="shared" si="70"/>
        <v>4.8113881849419241E-2</v>
      </c>
      <c r="M146" s="3">
        <f t="shared" si="70"/>
        <v>4.8113881849322589E-2</v>
      </c>
      <c r="N146" s="3">
        <f t="shared" si="70"/>
        <v>4.8113881848356001E-2</v>
      </c>
      <c r="O146" s="3">
        <f t="shared" si="70"/>
        <v>4.8113881838690219E-2</v>
      </c>
      <c r="P146" s="3">
        <f t="shared" si="70"/>
        <v>4.8113881742032349E-2</v>
      </c>
      <c r="Q146" s="3">
        <f t="shared" si="70"/>
        <v>4.811388077545365E-2</v>
      </c>
      <c r="R146" s="3">
        <f t="shared" si="70"/>
        <v>4.811387110966777E-2</v>
      </c>
      <c r="S146" s="3">
        <f t="shared" si="70"/>
        <v>4.8113774451915774E-2</v>
      </c>
      <c r="T146" s="3">
        <f t="shared" si="70"/>
        <v>4.8112807885075555E-2</v>
      </c>
      <c r="U146" s="3">
        <f t="shared" si="70"/>
        <v>4.8103143284574081E-2</v>
      </c>
      <c r="V146" s="3">
        <f t="shared" si="70"/>
        <v>4.8006603990294196E-2</v>
      </c>
      <c r="W146" s="3">
        <f t="shared" si="70"/>
        <v>4.7051803226516094E-2</v>
      </c>
      <c r="X146" s="3">
        <f t="shared" si="70"/>
        <v>3.8488336823867056E-2</v>
      </c>
      <c r="Y146" s="3">
        <f t="shared" si="70"/>
        <v>5.162473901514311E-3</v>
      </c>
      <c r="Z146" s="3">
        <f t="shared" si="70"/>
        <v>9.7307231100478571E-12</v>
      </c>
      <c r="AA146" s="3">
        <f t="shared" ref="AA146" si="71">$C32*EXP(-AA$129/$A32/EXP(-$B$126))</f>
        <v>5.5082998226474672E-99</v>
      </c>
      <c r="AB146" s="3">
        <f t="shared" si="67"/>
        <v>0</v>
      </c>
      <c r="AC146" s="3">
        <f t="shared" si="67"/>
        <v>0</v>
      </c>
      <c r="AD146" s="3">
        <f t="shared" si="67"/>
        <v>0</v>
      </c>
      <c r="AE146" s="3">
        <f t="shared" si="67"/>
        <v>0</v>
      </c>
      <c r="AF146" s="3">
        <f t="shared" si="67"/>
        <v>0</v>
      </c>
    </row>
    <row r="147" spans="1:32" x14ac:dyDescent="0.25">
      <c r="B147" s="3">
        <f t="shared" ref="B147:Z147" si="72">$C33*EXP(-B$129/$A33/EXP(-$B$126))</f>
        <v>5.6463045562969084E-2</v>
      </c>
      <c r="C147" s="3">
        <f t="shared" si="72"/>
        <v>5.6463045562969084E-2</v>
      </c>
      <c r="D147" s="3">
        <f t="shared" si="72"/>
        <v>5.6463045562969084E-2</v>
      </c>
      <c r="E147" s="3">
        <f t="shared" si="72"/>
        <v>5.6463045562969084E-2</v>
      </c>
      <c r="F147" s="3">
        <f t="shared" si="72"/>
        <v>5.6463045562969084E-2</v>
      </c>
      <c r="G147" s="3">
        <f t="shared" si="72"/>
        <v>5.6463045562969084E-2</v>
      </c>
      <c r="H147" s="3">
        <f t="shared" si="72"/>
        <v>5.6463045562969084E-2</v>
      </c>
      <c r="I147" s="3">
        <f t="shared" si="72"/>
        <v>5.6463045562969084E-2</v>
      </c>
      <c r="J147" s="3">
        <f t="shared" si="72"/>
        <v>5.6463045562969071E-2</v>
      </c>
      <c r="K147" s="3">
        <f t="shared" si="72"/>
        <v>5.6463045562968973E-2</v>
      </c>
      <c r="L147" s="3">
        <f t="shared" si="72"/>
        <v>5.6463045562967946E-2</v>
      </c>
      <c r="M147" s="3">
        <f t="shared" si="72"/>
        <v>5.6463045562957712E-2</v>
      </c>
      <c r="N147" s="3">
        <f t="shared" si="72"/>
        <v>5.6463045562855391E-2</v>
      </c>
      <c r="O147" s="3">
        <f t="shared" si="72"/>
        <v>5.6463045561832154E-2</v>
      </c>
      <c r="P147" s="3">
        <f t="shared" si="72"/>
        <v>5.6463045551599748E-2</v>
      </c>
      <c r="Q147" s="3">
        <f t="shared" si="72"/>
        <v>5.6463045449275696E-2</v>
      </c>
      <c r="R147" s="3">
        <f t="shared" si="72"/>
        <v>5.6463044426035218E-2</v>
      </c>
      <c r="S147" s="3">
        <f t="shared" si="72"/>
        <v>5.6463034193631446E-2</v>
      </c>
      <c r="T147" s="3">
        <f t="shared" si="72"/>
        <v>5.6462931869695775E-2</v>
      </c>
      <c r="U147" s="3">
        <f t="shared" si="72"/>
        <v>5.6461908640537836E-2</v>
      </c>
      <c r="V147" s="3">
        <f t="shared" si="72"/>
        <v>5.6451677368773649E-2</v>
      </c>
      <c r="W147" s="3">
        <f t="shared" si="72"/>
        <v>5.6349466564300746E-2</v>
      </c>
      <c r="X147" s="3">
        <f t="shared" si="72"/>
        <v>5.5337481831105276E-2</v>
      </c>
      <c r="Y147" s="3">
        <f t="shared" si="72"/>
        <v>4.6165253543931389E-2</v>
      </c>
      <c r="Z147" s="3">
        <f t="shared" si="72"/>
        <v>7.5383023442074596E-3</v>
      </c>
      <c r="AA147" s="3">
        <f t="shared" ref="AA147" si="73">$C33*EXP(-AA$129/$A33/EXP(-$B$126))</f>
        <v>1.0159137103661992E-10</v>
      </c>
      <c r="AB147" s="3">
        <f t="shared" si="67"/>
        <v>2.0076569909947503E-89</v>
      </c>
      <c r="AC147" s="3">
        <f t="shared" si="67"/>
        <v>0</v>
      </c>
      <c r="AD147" s="3">
        <f t="shared" si="67"/>
        <v>0</v>
      </c>
      <c r="AE147" s="3">
        <f t="shared" si="67"/>
        <v>0</v>
      </c>
      <c r="AF147" s="3">
        <f t="shared" si="67"/>
        <v>0</v>
      </c>
    </row>
    <row r="148" spans="1:32" x14ac:dyDescent="0.25">
      <c r="B148" s="3">
        <f t="shared" ref="B148:Z148" si="74">$C34*EXP(-B$129/$A34/EXP(-$B$126))</f>
        <v>5.9569205174430817E-2</v>
      </c>
      <c r="C148" s="3">
        <f t="shared" si="74"/>
        <v>5.9569205174430817E-2</v>
      </c>
      <c r="D148" s="3">
        <f t="shared" si="74"/>
        <v>5.9569205174430817E-2</v>
      </c>
      <c r="E148" s="3">
        <f t="shared" si="74"/>
        <v>5.9569205174430817E-2</v>
      </c>
      <c r="F148" s="3">
        <f t="shared" si="74"/>
        <v>5.9569205174430817E-2</v>
      </c>
      <c r="G148" s="3">
        <f t="shared" si="74"/>
        <v>5.9569205174430817E-2</v>
      </c>
      <c r="H148" s="3">
        <f t="shared" si="74"/>
        <v>5.9569205174430817E-2</v>
      </c>
      <c r="I148" s="3">
        <f t="shared" si="74"/>
        <v>5.9569205174430817E-2</v>
      </c>
      <c r="J148" s="3">
        <f t="shared" si="74"/>
        <v>5.9569205174430817E-2</v>
      </c>
      <c r="K148" s="3">
        <f t="shared" si="74"/>
        <v>5.9569205174430803E-2</v>
      </c>
      <c r="L148" s="3">
        <f t="shared" si="74"/>
        <v>5.9569205174430713E-2</v>
      </c>
      <c r="M148" s="3">
        <f t="shared" si="74"/>
        <v>5.9569205174429735E-2</v>
      </c>
      <c r="N148" s="3">
        <f t="shared" si="74"/>
        <v>5.9569205174419999E-2</v>
      </c>
      <c r="O148" s="3">
        <f t="shared" si="74"/>
        <v>5.9569205174322612E-2</v>
      </c>
      <c r="P148" s="3">
        <f t="shared" si="74"/>
        <v>5.9569205173348787E-2</v>
      </c>
      <c r="Q148" s="3">
        <f t="shared" si="74"/>
        <v>5.9569205163610521E-2</v>
      </c>
      <c r="R148" s="3">
        <f t="shared" si="74"/>
        <v>5.9569205066227815E-2</v>
      </c>
      <c r="S148" s="3">
        <f t="shared" si="74"/>
        <v>5.9569204092400824E-2</v>
      </c>
      <c r="T148" s="3">
        <f t="shared" si="74"/>
        <v>5.9569194354131751E-2</v>
      </c>
      <c r="U148" s="3">
        <f t="shared" si="74"/>
        <v>5.9569096971528596E-2</v>
      </c>
      <c r="V148" s="3">
        <f t="shared" si="74"/>
        <v>5.9568123154253E-2</v>
      </c>
      <c r="W148" s="3">
        <f t="shared" si="74"/>
        <v>5.9558385857035684E-2</v>
      </c>
      <c r="X148" s="3">
        <f t="shared" si="74"/>
        <v>5.9461100385792165E-2</v>
      </c>
      <c r="Y148" s="3">
        <f t="shared" si="74"/>
        <v>5.8496943070320065E-2</v>
      </c>
      <c r="Z148" s="3">
        <f t="shared" si="74"/>
        <v>4.9674724238993162E-2</v>
      </c>
      <c r="AA148" s="3">
        <f>$C34*EXP(-AA$129/$A34/EXP(-$B$126))</f>
        <v>9.686310806292597E-3</v>
      </c>
      <c r="AB148" s="3">
        <f t="shared" si="67"/>
        <v>7.6981745404437837E-10</v>
      </c>
      <c r="AC148" s="3">
        <f t="shared" si="67"/>
        <v>7.7389365789896666E-81</v>
      </c>
      <c r="AD148" s="3">
        <f t="shared" si="67"/>
        <v>0</v>
      </c>
      <c r="AE148" s="3">
        <f t="shared" si="67"/>
        <v>0</v>
      </c>
      <c r="AF148" s="3">
        <f t="shared" si="67"/>
        <v>0</v>
      </c>
    </row>
    <row r="149" spans="1:32" x14ac:dyDescent="0.25">
      <c r="B149" s="3">
        <f t="shared" ref="B149:Z149" si="75">$C35*EXP(-B$129/$A35/EXP(-$B$126))</f>
        <v>6.4663842713273356E-2</v>
      </c>
      <c r="C149" s="3">
        <f t="shared" si="75"/>
        <v>6.4663842713273356E-2</v>
      </c>
      <c r="D149" s="3">
        <f t="shared" si="75"/>
        <v>6.4663842713273356E-2</v>
      </c>
      <c r="E149" s="3">
        <f t="shared" si="75"/>
        <v>6.4663842713273356E-2</v>
      </c>
      <c r="F149" s="3">
        <f t="shared" si="75"/>
        <v>6.4663842713273356E-2</v>
      </c>
      <c r="G149" s="3">
        <f t="shared" si="75"/>
        <v>6.4663842713273356E-2</v>
      </c>
      <c r="H149" s="3">
        <f t="shared" si="75"/>
        <v>6.4663842713273356E-2</v>
      </c>
      <c r="I149" s="3">
        <f t="shared" si="75"/>
        <v>6.4663842713273356E-2</v>
      </c>
      <c r="J149" s="3">
        <f t="shared" si="75"/>
        <v>6.4663842713273356E-2</v>
      </c>
      <c r="K149" s="3">
        <f t="shared" si="75"/>
        <v>6.4663842713273356E-2</v>
      </c>
      <c r="L149" s="3">
        <f t="shared" si="75"/>
        <v>6.4663842713273342E-2</v>
      </c>
      <c r="M149" s="3">
        <f t="shared" si="75"/>
        <v>6.4663842713273245E-2</v>
      </c>
      <c r="N149" s="3">
        <f t="shared" si="75"/>
        <v>6.4663842713272288E-2</v>
      </c>
      <c r="O149" s="3">
        <f t="shared" si="75"/>
        <v>6.4663842713262754E-2</v>
      </c>
      <c r="P149" s="3">
        <f t="shared" si="75"/>
        <v>6.4663842713167399E-2</v>
      </c>
      <c r="Q149" s="3">
        <f t="shared" si="75"/>
        <v>6.4663842712213801E-2</v>
      </c>
      <c r="R149" s="3">
        <f t="shared" si="75"/>
        <v>6.4663842702677748E-2</v>
      </c>
      <c r="S149" s="3">
        <f t="shared" si="75"/>
        <v>6.4663842607317348E-2</v>
      </c>
      <c r="T149" s="3">
        <f t="shared" si="75"/>
        <v>6.4663841653713264E-2</v>
      </c>
      <c r="U149" s="3">
        <f t="shared" si="75"/>
        <v>6.466383211767314E-2</v>
      </c>
      <c r="V149" s="3">
        <f t="shared" si="75"/>
        <v>6.4663736757349349E-2</v>
      </c>
      <c r="W149" s="3">
        <f t="shared" si="75"/>
        <v>6.4662783161846024E-2</v>
      </c>
      <c r="X149" s="3">
        <f t="shared" si="75"/>
        <v>6.4653247980224926E-2</v>
      </c>
      <c r="Y149" s="3">
        <f t="shared" si="75"/>
        <v>6.4557973463058624E-2</v>
      </c>
      <c r="Z149" s="3">
        <f t="shared" si="75"/>
        <v>6.3612916184065615E-2</v>
      </c>
      <c r="AA149" s="3">
        <f t="shared" ref="AA149" si="76">$C35*EXP(-AA$129/$A35/EXP(-$B$126))</f>
        <v>5.4890788265986055E-2</v>
      </c>
      <c r="AB149" s="3">
        <f t="shared" si="67"/>
        <v>1.2561488087899468E-2</v>
      </c>
      <c r="AC149" s="3">
        <f t="shared" si="67"/>
        <v>4.9483148338396033E-9</v>
      </c>
      <c r="AD149" s="3">
        <f t="shared" si="67"/>
        <v>4.4526611982401023E-73</v>
      </c>
      <c r="AE149" s="3">
        <f t="shared" si="67"/>
        <v>0</v>
      </c>
      <c r="AF149" s="3">
        <f t="shared" si="67"/>
        <v>0</v>
      </c>
    </row>
    <row r="150" spans="1:32" x14ac:dyDescent="0.25">
      <c r="B150" s="3">
        <f t="shared" ref="B150:Z150" si="77">$C36*EXP(-B$129/$A36/EXP(-$B$126))</f>
        <v>4.8548005334617741E-2</v>
      </c>
      <c r="C150" s="3">
        <f t="shared" si="77"/>
        <v>4.8548005334617741E-2</v>
      </c>
      <c r="D150" s="3">
        <f t="shared" si="77"/>
        <v>4.8548005334617741E-2</v>
      </c>
      <c r="E150" s="3">
        <f t="shared" si="77"/>
        <v>4.8548005334617741E-2</v>
      </c>
      <c r="F150" s="3">
        <f t="shared" si="77"/>
        <v>4.8548005334617741E-2</v>
      </c>
      <c r="G150" s="3">
        <f t="shared" si="77"/>
        <v>4.8548005334617741E-2</v>
      </c>
      <c r="H150" s="3">
        <f t="shared" si="77"/>
        <v>4.8548005334617741E-2</v>
      </c>
      <c r="I150" s="3">
        <f t="shared" si="77"/>
        <v>4.8548005334617741E-2</v>
      </c>
      <c r="J150" s="3">
        <f t="shared" si="77"/>
        <v>4.8548005334617741E-2</v>
      </c>
      <c r="K150" s="3">
        <f t="shared" si="77"/>
        <v>4.8548005334617741E-2</v>
      </c>
      <c r="L150" s="3">
        <f t="shared" si="77"/>
        <v>4.8548005334617741E-2</v>
      </c>
      <c r="M150" s="3">
        <f t="shared" si="77"/>
        <v>4.8548005334617735E-2</v>
      </c>
      <c r="N150" s="3">
        <f t="shared" si="77"/>
        <v>4.8548005334617672E-2</v>
      </c>
      <c r="O150" s="3">
        <f t="shared" si="77"/>
        <v>4.8548005334617027E-2</v>
      </c>
      <c r="P150" s="3">
        <f t="shared" si="77"/>
        <v>4.8548005334610567E-2</v>
      </c>
      <c r="Q150" s="3">
        <f t="shared" si="77"/>
        <v>4.8548005334545979E-2</v>
      </c>
      <c r="R150" s="3">
        <f t="shared" si="77"/>
        <v>4.8548005333900142E-2</v>
      </c>
      <c r="S150" s="3">
        <f t="shared" si="77"/>
        <v>4.8548005327441746E-2</v>
      </c>
      <c r="T150" s="3">
        <f t="shared" si="77"/>
        <v>4.8548005262857796E-2</v>
      </c>
      <c r="U150" s="3">
        <f t="shared" si="77"/>
        <v>4.8548004617018338E-2</v>
      </c>
      <c r="V150" s="3">
        <f t="shared" si="77"/>
        <v>4.8547998158624199E-2</v>
      </c>
      <c r="W150" s="3">
        <f t="shared" si="77"/>
        <v>4.8547933574730029E-2</v>
      </c>
      <c r="X150" s="3">
        <f t="shared" si="77"/>
        <v>4.8547287740513714E-2</v>
      </c>
      <c r="Y150" s="3">
        <f t="shared" si="77"/>
        <v>4.8540829870866768E-2</v>
      </c>
      <c r="Z150" s="3">
        <f t="shared" si="77"/>
        <v>4.847629840276832E-2</v>
      </c>
      <c r="AA150" s="3">
        <f t="shared" ref="AA150" si="78">$C36*EXP(-AA$129/$A36/EXP(-$B$126))</f>
        <v>4.7835683394854771E-2</v>
      </c>
      <c r="AB150" s="3">
        <f t="shared" si="67"/>
        <v>4.1877168469892555E-2</v>
      </c>
      <c r="AC150" s="3">
        <f t="shared" si="67"/>
        <v>1.1072114602198216E-2</v>
      </c>
      <c r="AD150" s="3">
        <f t="shared" si="67"/>
        <v>1.848260594025569E-8</v>
      </c>
      <c r="AE150" s="3">
        <f t="shared" si="67"/>
        <v>3.1051996113417993E-66</v>
      </c>
      <c r="AF150" s="3">
        <f t="shared" si="67"/>
        <v>0</v>
      </c>
    </row>
    <row r="151" spans="1:32" x14ac:dyDescent="0.25">
      <c r="B151" s="3">
        <f t="shared" ref="B151:Z151" si="79">$C37*EXP(-B$129/$A37/EXP(-$B$126))</f>
        <v>3.8659494646510029E-2</v>
      </c>
      <c r="C151" s="3">
        <f t="shared" si="79"/>
        <v>3.8659494646510029E-2</v>
      </c>
      <c r="D151" s="3">
        <f t="shared" si="79"/>
        <v>3.8659494646510029E-2</v>
      </c>
      <c r="E151" s="3">
        <f t="shared" si="79"/>
        <v>3.8659494646510029E-2</v>
      </c>
      <c r="F151" s="3">
        <f t="shared" si="79"/>
        <v>3.8659494646510029E-2</v>
      </c>
      <c r="G151" s="3">
        <f t="shared" si="79"/>
        <v>3.8659494646510029E-2</v>
      </c>
      <c r="H151" s="3">
        <f t="shared" si="79"/>
        <v>3.8659494646510029E-2</v>
      </c>
      <c r="I151" s="3">
        <f t="shared" si="79"/>
        <v>3.8659494646510029E-2</v>
      </c>
      <c r="J151" s="3">
        <f t="shared" si="79"/>
        <v>3.8659494646510029E-2</v>
      </c>
      <c r="K151" s="3">
        <f t="shared" si="79"/>
        <v>3.8659494646510029E-2</v>
      </c>
      <c r="L151" s="3">
        <f t="shared" si="79"/>
        <v>3.8659494646510029E-2</v>
      </c>
      <c r="M151" s="3">
        <f t="shared" si="79"/>
        <v>3.8659494646510029E-2</v>
      </c>
      <c r="N151" s="3">
        <f t="shared" si="79"/>
        <v>3.8659494646510022E-2</v>
      </c>
      <c r="O151" s="3">
        <f t="shared" si="79"/>
        <v>3.865949464650998E-2</v>
      </c>
      <c r="P151" s="3">
        <f t="shared" si="79"/>
        <v>3.8659494646509515E-2</v>
      </c>
      <c r="Q151" s="3">
        <f t="shared" si="79"/>
        <v>3.8659494646504873E-2</v>
      </c>
      <c r="R151" s="3">
        <f t="shared" si="79"/>
        <v>3.865949464645848E-2</v>
      </c>
      <c r="S151" s="3">
        <f t="shared" si="79"/>
        <v>3.8659494645994545E-2</v>
      </c>
      <c r="T151" s="3">
        <f t="shared" si="79"/>
        <v>3.8659494641355208E-2</v>
      </c>
      <c r="U151" s="3">
        <f t="shared" si="79"/>
        <v>3.8659494594961832E-2</v>
      </c>
      <c r="V151" s="3">
        <f t="shared" si="79"/>
        <v>3.8659494131028101E-2</v>
      </c>
      <c r="W151" s="3">
        <f t="shared" si="79"/>
        <v>3.8659489491691096E-2</v>
      </c>
      <c r="X151" s="3">
        <f t="shared" si="79"/>
        <v>3.8659443098351613E-2</v>
      </c>
      <c r="Y151" s="3">
        <f t="shared" si="79"/>
        <v>3.8658979168018859E-2</v>
      </c>
      <c r="Z151" s="3">
        <f t="shared" si="79"/>
        <v>3.8654340170885558E-2</v>
      </c>
      <c r="AA151" s="3">
        <f t="shared" ref="AA151" si="80">$C37*EXP(-AA$129/$A37/EXP(-$B$126))</f>
        <v>3.8607980805383989E-2</v>
      </c>
      <c r="AB151" s="3">
        <f t="shared" si="67"/>
        <v>3.8147434187455753E-2</v>
      </c>
      <c r="AC151" s="3">
        <f t="shared" si="67"/>
        <v>3.3833565711482695E-2</v>
      </c>
      <c r="AD151" s="3">
        <f t="shared" si="67"/>
        <v>1.0189952272963806E-2</v>
      </c>
      <c r="AE151" s="3">
        <f t="shared" si="67"/>
        <v>6.2577173778409657E-8</v>
      </c>
      <c r="AF151" s="3">
        <f t="shared" si="67"/>
        <v>4.7736865033293723E-60</v>
      </c>
    </row>
    <row r="152" spans="1:32" x14ac:dyDescent="0.25">
      <c r="B152" s="3">
        <f t="shared" ref="B152:Z152" si="81">$C38*EXP(-B$129/$A38/EXP(-$B$126))</f>
        <v>6.6103757573429938E-3</v>
      </c>
      <c r="C152" s="3">
        <f t="shared" si="81"/>
        <v>6.6103757573429938E-3</v>
      </c>
      <c r="D152" s="3">
        <f t="shared" si="81"/>
        <v>6.6103757573429938E-3</v>
      </c>
      <c r="E152" s="3">
        <f t="shared" si="81"/>
        <v>6.6103757573429938E-3</v>
      </c>
      <c r="F152" s="3">
        <f t="shared" si="81"/>
        <v>6.6103757573429938E-3</v>
      </c>
      <c r="G152" s="3">
        <f t="shared" si="81"/>
        <v>6.6103757573429938E-3</v>
      </c>
      <c r="H152" s="3">
        <f t="shared" si="81"/>
        <v>6.6103757573429938E-3</v>
      </c>
      <c r="I152" s="3">
        <f t="shared" si="81"/>
        <v>6.6103757573429938E-3</v>
      </c>
      <c r="J152" s="3">
        <f t="shared" si="81"/>
        <v>6.6103757573429938E-3</v>
      </c>
      <c r="K152" s="3">
        <f t="shared" si="81"/>
        <v>6.6103757573429938E-3</v>
      </c>
      <c r="L152" s="3">
        <f t="shared" si="81"/>
        <v>6.6103757573429938E-3</v>
      </c>
      <c r="M152" s="3">
        <f t="shared" si="81"/>
        <v>6.6103757573429938E-3</v>
      </c>
      <c r="N152" s="3">
        <f t="shared" si="81"/>
        <v>6.6103757573429938E-3</v>
      </c>
      <c r="O152" s="3">
        <f t="shared" si="81"/>
        <v>6.6103757573429929E-3</v>
      </c>
      <c r="P152" s="3">
        <f t="shared" si="81"/>
        <v>6.610375757342986E-3</v>
      </c>
      <c r="Q152" s="3">
        <f t="shared" si="81"/>
        <v>6.6103757573429149E-3</v>
      </c>
      <c r="R152" s="3">
        <f t="shared" si="81"/>
        <v>6.6103757573421993E-3</v>
      </c>
      <c r="S152" s="3">
        <f t="shared" si="81"/>
        <v>6.6103757573350427E-3</v>
      </c>
      <c r="T152" s="3">
        <f t="shared" si="81"/>
        <v>6.6103757572634828E-3</v>
      </c>
      <c r="U152" s="3">
        <f t="shared" si="81"/>
        <v>6.610375756547879E-3</v>
      </c>
      <c r="V152" s="3">
        <f t="shared" si="81"/>
        <v>6.6103757493918428E-3</v>
      </c>
      <c r="W152" s="3">
        <f t="shared" si="81"/>
        <v>6.6103756778314827E-3</v>
      </c>
      <c r="X152" s="3">
        <f t="shared" si="81"/>
        <v>6.6103749622279271E-3</v>
      </c>
      <c r="Y152" s="3">
        <f t="shared" si="81"/>
        <v>6.6103678061966266E-3</v>
      </c>
      <c r="Z152" s="3">
        <f t="shared" si="81"/>
        <v>6.6102962463096939E-3</v>
      </c>
      <c r="AA152" s="3">
        <f t="shared" ref="AA152" si="82">$C38*EXP(-AA$129/$A38/EXP(-$B$126))</f>
        <v>6.6095806900455245E-3</v>
      </c>
      <c r="AB152" s="3">
        <f t="shared" si="67"/>
        <v>6.6024293862143209E-3</v>
      </c>
      <c r="AC152" s="3">
        <f t="shared" si="67"/>
        <v>6.5313405280463723E-3</v>
      </c>
      <c r="AD152" s="3">
        <f t="shared" si="67"/>
        <v>5.861219025600716E-3</v>
      </c>
      <c r="AE152" s="3">
        <f t="shared" si="67"/>
        <v>1.9853824718054237E-3</v>
      </c>
      <c r="AF152" s="3">
        <f t="shared" si="67"/>
        <v>3.9482669643501016E-8</v>
      </c>
    </row>
    <row r="153" spans="1:32" x14ac:dyDescent="0.25">
      <c r="B153" s="3">
        <f t="shared" ref="B153:Z153" si="83">$C39*EXP(-B$129/$A39/EXP(-$B$126))</f>
        <v>1.6903393193058183E-2</v>
      </c>
      <c r="C153" s="3">
        <f t="shared" si="83"/>
        <v>1.6903393193058183E-2</v>
      </c>
      <c r="D153" s="3">
        <f t="shared" si="83"/>
        <v>1.6903393193058183E-2</v>
      </c>
      <c r="E153" s="3">
        <f t="shared" si="83"/>
        <v>1.6903393193058183E-2</v>
      </c>
      <c r="F153" s="3">
        <f t="shared" si="83"/>
        <v>1.6903393193058183E-2</v>
      </c>
      <c r="G153" s="3">
        <f t="shared" si="83"/>
        <v>1.6903393193058183E-2</v>
      </c>
      <c r="H153" s="3">
        <f t="shared" si="83"/>
        <v>1.6903393193058183E-2</v>
      </c>
      <c r="I153" s="3">
        <f t="shared" si="83"/>
        <v>1.6903393193058183E-2</v>
      </c>
      <c r="J153" s="3">
        <f t="shared" si="83"/>
        <v>1.6903393193058183E-2</v>
      </c>
      <c r="K153" s="3">
        <f t="shared" si="83"/>
        <v>1.6903393193058183E-2</v>
      </c>
      <c r="L153" s="3">
        <f t="shared" si="83"/>
        <v>1.6903393193058183E-2</v>
      </c>
      <c r="M153" s="3">
        <f t="shared" si="83"/>
        <v>1.6903393193058183E-2</v>
      </c>
      <c r="N153" s="3">
        <f t="shared" si="83"/>
        <v>1.6903393193058183E-2</v>
      </c>
      <c r="O153" s="3">
        <f t="shared" si="83"/>
        <v>1.6903393193058183E-2</v>
      </c>
      <c r="P153" s="3">
        <f t="shared" si="83"/>
        <v>1.6903393193058176E-2</v>
      </c>
      <c r="Q153" s="3">
        <f t="shared" si="83"/>
        <v>1.6903393193058128E-2</v>
      </c>
      <c r="R153" s="3">
        <f t="shared" si="83"/>
        <v>1.6903393193057621E-2</v>
      </c>
      <c r="S153" s="3">
        <f t="shared" si="83"/>
        <v>1.6903393193052559E-2</v>
      </c>
      <c r="T153" s="3">
        <f t="shared" si="83"/>
        <v>1.690339319300195E-2</v>
      </c>
      <c r="U153" s="3">
        <f t="shared" si="83"/>
        <v>1.6903393192495852E-2</v>
      </c>
      <c r="V153" s="3">
        <f t="shared" si="83"/>
        <v>1.6903393187434893E-2</v>
      </c>
      <c r="W153" s="3">
        <f t="shared" si="83"/>
        <v>1.6903393136825266E-2</v>
      </c>
      <c r="X153" s="3">
        <f t="shared" si="83"/>
        <v>1.6903392630729014E-2</v>
      </c>
      <c r="Y153" s="3">
        <f t="shared" si="83"/>
        <v>1.690338756976735E-2</v>
      </c>
      <c r="Z153" s="3">
        <f t="shared" si="83"/>
        <v>1.6903336960234019E-2</v>
      </c>
      <c r="AA153" s="3">
        <f t="shared" ref="AA153" si="84">$C39*EXP(-AA$129/$A39/EXP(-$B$126))</f>
        <v>1.6902830873234652E-2</v>
      </c>
      <c r="AB153" s="3">
        <f t="shared" si="67"/>
        <v>1.6897770836541402E-2</v>
      </c>
      <c r="AC153" s="3">
        <f t="shared" si="67"/>
        <v>1.6847253707410696E-2</v>
      </c>
      <c r="AD153" s="3">
        <f t="shared" si="67"/>
        <v>1.6350314719360964E-2</v>
      </c>
      <c r="AE153" s="3">
        <f t="shared" si="67"/>
        <v>1.2119818661651016E-2</v>
      </c>
      <c r="AF153" s="3">
        <f t="shared" si="67"/>
        <v>6.0701046006503365E-4</v>
      </c>
    </row>
    <row r="154" spans="1:32" x14ac:dyDescent="0.25">
      <c r="B154" s="3">
        <f t="shared" ref="B154:Z154" si="85">$C40*EXP(-B$129/$A40/EXP(-$B$126))</f>
        <v>1.9810156254800116E-3</v>
      </c>
      <c r="C154" s="3">
        <f t="shared" si="85"/>
        <v>1.9810156254800116E-3</v>
      </c>
      <c r="D154" s="3">
        <f t="shared" si="85"/>
        <v>1.9810156254800116E-3</v>
      </c>
      <c r="E154" s="3">
        <f t="shared" si="85"/>
        <v>1.9810156254800116E-3</v>
      </c>
      <c r="F154" s="3">
        <f t="shared" si="85"/>
        <v>1.9810156254800116E-3</v>
      </c>
      <c r="G154" s="3">
        <f t="shared" si="85"/>
        <v>1.9810156254800116E-3</v>
      </c>
      <c r="H154" s="3">
        <f t="shared" si="85"/>
        <v>1.9810156254800116E-3</v>
      </c>
      <c r="I154" s="3">
        <f t="shared" si="85"/>
        <v>1.9810156254800116E-3</v>
      </c>
      <c r="J154" s="3">
        <f t="shared" si="85"/>
        <v>1.9810156254800116E-3</v>
      </c>
      <c r="K154" s="3">
        <f t="shared" si="85"/>
        <v>1.9810156254800116E-3</v>
      </c>
      <c r="L154" s="3">
        <f t="shared" si="85"/>
        <v>1.9810156254800116E-3</v>
      </c>
      <c r="M154" s="3">
        <f t="shared" si="85"/>
        <v>1.9810156254800116E-3</v>
      </c>
      <c r="N154" s="3">
        <f t="shared" si="85"/>
        <v>1.9810156254800116E-3</v>
      </c>
      <c r="O154" s="3">
        <f t="shared" si="85"/>
        <v>1.9810156254800116E-3</v>
      </c>
      <c r="P154" s="3">
        <f t="shared" si="85"/>
        <v>1.9810156254800116E-3</v>
      </c>
      <c r="Q154" s="3">
        <f t="shared" si="85"/>
        <v>1.9810156254800107E-3</v>
      </c>
      <c r="R154" s="3">
        <f t="shared" si="85"/>
        <v>1.9810156254800051E-3</v>
      </c>
      <c r="S154" s="3">
        <f t="shared" si="85"/>
        <v>1.9810156254799456E-3</v>
      </c>
      <c r="T154" s="3">
        <f t="shared" si="85"/>
        <v>1.9810156254793528E-3</v>
      </c>
      <c r="U154" s="3">
        <f t="shared" si="85"/>
        <v>1.9810156254734214E-3</v>
      </c>
      <c r="V154" s="3">
        <f t="shared" si="85"/>
        <v>1.9810156254141086E-3</v>
      </c>
      <c r="W154" s="3">
        <f t="shared" si="85"/>
        <v>1.9810156248209823E-3</v>
      </c>
      <c r="X154" s="3">
        <f t="shared" si="85"/>
        <v>1.9810156188897199E-3</v>
      </c>
      <c r="Y154" s="3">
        <f t="shared" si="85"/>
        <v>1.9810155595770974E-3</v>
      </c>
      <c r="Z154" s="3">
        <f t="shared" si="85"/>
        <v>1.9810149664509702E-3</v>
      </c>
      <c r="AA154" s="3">
        <f t="shared" ref="AA154:AF154" si="86">$C40*EXP(-AA$129/$A40/EXP(-$B$126))</f>
        <v>1.981009035199465E-3</v>
      </c>
      <c r="AB154" s="3">
        <f t="shared" si="86"/>
        <v>1.9809497236611159E-3</v>
      </c>
      <c r="AC154" s="3">
        <f t="shared" si="86"/>
        <v>1.9803567059373758E-3</v>
      </c>
      <c r="AD154" s="3">
        <f t="shared" si="86"/>
        <v>1.9744362838647581E-3</v>
      </c>
      <c r="AE154" s="3">
        <f t="shared" si="86"/>
        <v>1.9161968588574149E-3</v>
      </c>
      <c r="AF154" s="3">
        <f t="shared" si="86"/>
        <v>1.4203982521435428E-3</v>
      </c>
    </row>
    <row r="155" spans="1:32" x14ac:dyDescent="0.25">
      <c r="B155" s="3">
        <f t="shared" ref="B155:Z155" si="87">$C41*EXP(-B$129/$A41/EXP(-$B$126))</f>
        <v>4.9795148637895425E-3</v>
      </c>
      <c r="C155" s="3">
        <f t="shared" si="87"/>
        <v>4.9795148637895425E-3</v>
      </c>
      <c r="D155" s="3">
        <f t="shared" si="87"/>
        <v>4.9795148637895425E-3</v>
      </c>
      <c r="E155" s="3">
        <f t="shared" si="87"/>
        <v>4.9795148637895425E-3</v>
      </c>
      <c r="F155" s="3">
        <f t="shared" si="87"/>
        <v>4.9795148637895425E-3</v>
      </c>
      <c r="G155" s="3">
        <f t="shared" si="87"/>
        <v>4.9795148637895425E-3</v>
      </c>
      <c r="H155" s="3">
        <f t="shared" si="87"/>
        <v>4.9795148637895425E-3</v>
      </c>
      <c r="I155" s="3">
        <f t="shared" si="87"/>
        <v>4.9795148637895425E-3</v>
      </c>
      <c r="J155" s="3">
        <f t="shared" si="87"/>
        <v>4.9795148637895425E-3</v>
      </c>
      <c r="K155" s="3">
        <f t="shared" si="87"/>
        <v>4.9795148637895425E-3</v>
      </c>
      <c r="L155" s="3">
        <f t="shared" si="87"/>
        <v>4.9795148637895425E-3</v>
      </c>
      <c r="M155" s="3">
        <f t="shared" si="87"/>
        <v>4.9795148637895425E-3</v>
      </c>
      <c r="N155" s="3">
        <f t="shared" si="87"/>
        <v>4.9795148637895425E-3</v>
      </c>
      <c r="O155" s="3">
        <f t="shared" si="87"/>
        <v>4.9795148637895425E-3</v>
      </c>
      <c r="P155" s="3">
        <f t="shared" si="87"/>
        <v>4.9795148637895425E-3</v>
      </c>
      <c r="Q155" s="3">
        <f t="shared" si="87"/>
        <v>4.9795148637895425E-3</v>
      </c>
      <c r="R155" s="3">
        <f t="shared" si="87"/>
        <v>4.9795148637895408E-3</v>
      </c>
      <c r="S155" s="3">
        <f t="shared" si="87"/>
        <v>4.979514863789526E-3</v>
      </c>
      <c r="T155" s="3">
        <f t="shared" si="87"/>
        <v>4.9795148637893768E-3</v>
      </c>
      <c r="U155" s="3">
        <f t="shared" si="87"/>
        <v>4.9795148637878858E-3</v>
      </c>
      <c r="V155" s="3">
        <f t="shared" si="87"/>
        <v>4.9795148637729776E-3</v>
      </c>
      <c r="W155" s="3">
        <f t="shared" si="87"/>
        <v>4.9795148636238877E-3</v>
      </c>
      <c r="X155" s="3">
        <f t="shared" si="87"/>
        <v>4.9795148621329961E-3</v>
      </c>
      <c r="Y155" s="3">
        <f t="shared" si="87"/>
        <v>4.9795148472240721E-3</v>
      </c>
      <c r="Z155" s="3">
        <f t="shared" si="87"/>
        <v>4.9795146981348468E-3</v>
      </c>
      <c r="AA155" s="3">
        <f t="shared" ref="AA155:AF155" si="88">$C41*EXP(-AA$129/$A41/EXP(-$B$126))</f>
        <v>4.979513207242838E-3</v>
      </c>
      <c r="AB155" s="3">
        <f t="shared" si="88"/>
        <v>4.9794982983472937E-3</v>
      </c>
      <c r="AC155" s="3">
        <f t="shared" si="88"/>
        <v>4.9793492118469125E-3</v>
      </c>
      <c r="AD155" s="3">
        <f t="shared" si="88"/>
        <v>4.9778585923223239E-3</v>
      </c>
      <c r="AE155" s="3">
        <f t="shared" si="88"/>
        <v>4.9629769178260088E-3</v>
      </c>
      <c r="AF155" s="3">
        <f t="shared" si="88"/>
        <v>4.8165852999343776E-3</v>
      </c>
    </row>
    <row r="156" spans="1:32" x14ac:dyDescent="0.25">
      <c r="B156" s="3">
        <f t="shared" ref="B156:Z156" si="89">$C42*EXP(-B$129/$A42/EXP(-$B$126))</f>
        <v>1.5203897421204233E-3</v>
      </c>
      <c r="C156" s="3">
        <f t="shared" si="89"/>
        <v>1.5203897421204233E-3</v>
      </c>
      <c r="D156" s="3">
        <f t="shared" si="89"/>
        <v>1.5203897421204233E-3</v>
      </c>
      <c r="E156" s="3">
        <f t="shared" si="89"/>
        <v>1.5203897421204233E-3</v>
      </c>
      <c r="F156" s="3">
        <f t="shared" si="89"/>
        <v>1.5203897421204233E-3</v>
      </c>
      <c r="G156" s="3">
        <f t="shared" si="89"/>
        <v>1.5203897421204233E-3</v>
      </c>
      <c r="H156" s="3">
        <f t="shared" si="89"/>
        <v>1.5203897421204233E-3</v>
      </c>
      <c r="I156" s="3">
        <f t="shared" si="89"/>
        <v>1.5203897421204233E-3</v>
      </c>
      <c r="J156" s="3">
        <f t="shared" si="89"/>
        <v>1.5203897421204233E-3</v>
      </c>
      <c r="K156" s="3">
        <f t="shared" si="89"/>
        <v>1.5203897421204233E-3</v>
      </c>
      <c r="L156" s="3">
        <f t="shared" si="89"/>
        <v>1.5203897421204233E-3</v>
      </c>
      <c r="M156" s="3">
        <f t="shared" si="89"/>
        <v>1.5203897421204233E-3</v>
      </c>
      <c r="N156" s="3">
        <f t="shared" si="89"/>
        <v>1.5203897421204233E-3</v>
      </c>
      <c r="O156" s="3">
        <f t="shared" si="89"/>
        <v>1.5203897421204233E-3</v>
      </c>
      <c r="P156" s="3">
        <f t="shared" si="89"/>
        <v>1.5203897421204233E-3</v>
      </c>
      <c r="Q156" s="3">
        <f t="shared" si="89"/>
        <v>1.5203897421204233E-3</v>
      </c>
      <c r="R156" s="3">
        <f t="shared" si="89"/>
        <v>1.5203897421204233E-3</v>
      </c>
      <c r="S156" s="3">
        <f t="shared" si="89"/>
        <v>1.5203897421204229E-3</v>
      </c>
      <c r="T156" s="3">
        <f t="shared" si="89"/>
        <v>1.5203897421204183E-3</v>
      </c>
      <c r="U156" s="3">
        <f t="shared" si="89"/>
        <v>1.5203897421203726E-3</v>
      </c>
      <c r="V156" s="3">
        <f t="shared" si="89"/>
        <v>1.5203897421199176E-3</v>
      </c>
      <c r="W156" s="3">
        <f t="shared" si="89"/>
        <v>1.5203897421153655E-3</v>
      </c>
      <c r="X156" s="3">
        <f t="shared" si="89"/>
        <v>1.520389742069844E-3</v>
      </c>
      <c r="Y156" s="3">
        <f t="shared" si="89"/>
        <v>1.5203897416146317E-3</v>
      </c>
      <c r="Z156" s="3">
        <f t="shared" si="89"/>
        <v>1.5203897370625068E-3</v>
      </c>
      <c r="AA156" s="3">
        <f t="shared" ref="AA156:AF156" si="90">$C42*EXP(-AA$129/$A42/EXP(-$B$126))</f>
        <v>1.5203896915412592E-3</v>
      </c>
      <c r="AB156" s="3">
        <f t="shared" si="90"/>
        <v>1.520389236328858E-3</v>
      </c>
      <c r="AC156" s="3">
        <f t="shared" si="90"/>
        <v>1.5203846842123422E-3</v>
      </c>
      <c r="AD156" s="3">
        <f t="shared" si="90"/>
        <v>1.5203391637967859E-3</v>
      </c>
      <c r="AE156" s="3">
        <f t="shared" si="90"/>
        <v>1.5198840345931222E-3</v>
      </c>
      <c r="AF156" s="3">
        <f t="shared" si="90"/>
        <v>1.5153402294497123E-3</v>
      </c>
    </row>
    <row r="157" spans="1:32" x14ac:dyDescent="0.25">
      <c r="B157" s="3">
        <f t="shared" ref="B157:Z157" si="91">$C43*EXP(-B$129/$A43/EXP(-$B$126))</f>
        <v>3.2547360985645695E-4</v>
      </c>
      <c r="C157" s="3">
        <f t="shared" si="91"/>
        <v>3.2547360985645695E-4</v>
      </c>
      <c r="D157" s="3">
        <f t="shared" si="91"/>
        <v>3.2547360985645695E-4</v>
      </c>
      <c r="E157" s="3">
        <f t="shared" si="91"/>
        <v>3.2547360985645695E-4</v>
      </c>
      <c r="F157" s="3">
        <f t="shared" si="91"/>
        <v>3.2547360985645695E-4</v>
      </c>
      <c r="G157" s="3">
        <f t="shared" si="91"/>
        <v>3.2547360985645695E-4</v>
      </c>
      <c r="H157" s="3">
        <f t="shared" si="91"/>
        <v>3.2547360985645695E-4</v>
      </c>
      <c r="I157" s="3">
        <f t="shared" si="91"/>
        <v>3.2547360985645695E-4</v>
      </c>
      <c r="J157" s="3">
        <f t="shared" si="91"/>
        <v>3.2547360985645695E-4</v>
      </c>
      <c r="K157" s="3">
        <f t="shared" si="91"/>
        <v>3.2547360985645695E-4</v>
      </c>
      <c r="L157" s="3">
        <f t="shared" si="91"/>
        <v>3.2547360985645695E-4</v>
      </c>
      <c r="M157" s="3">
        <f t="shared" si="91"/>
        <v>3.2547360985645695E-4</v>
      </c>
      <c r="N157" s="3">
        <f t="shared" si="91"/>
        <v>3.2547360985645695E-4</v>
      </c>
      <c r="O157" s="3">
        <f t="shared" si="91"/>
        <v>3.2547360985645695E-4</v>
      </c>
      <c r="P157" s="3">
        <f t="shared" si="91"/>
        <v>3.2547360985645695E-4</v>
      </c>
      <c r="Q157" s="3">
        <f t="shared" si="91"/>
        <v>3.2547360985645695E-4</v>
      </c>
      <c r="R157" s="3">
        <f t="shared" si="91"/>
        <v>3.2547360985645695E-4</v>
      </c>
      <c r="S157" s="3">
        <f t="shared" si="91"/>
        <v>3.2547360985645695E-4</v>
      </c>
      <c r="T157" s="3">
        <f t="shared" si="91"/>
        <v>3.2547360985645684E-4</v>
      </c>
      <c r="U157" s="3">
        <f t="shared" si="91"/>
        <v>3.2547360985645587E-4</v>
      </c>
      <c r="V157" s="3">
        <f t="shared" si="91"/>
        <v>3.2547360985644611E-4</v>
      </c>
      <c r="W157" s="3">
        <f t="shared" si="91"/>
        <v>3.254736098563487E-4</v>
      </c>
      <c r="X157" s="3">
        <f t="shared" si="91"/>
        <v>3.2547360985537421E-4</v>
      </c>
      <c r="Y157" s="3">
        <f t="shared" si="91"/>
        <v>3.2547360984562935E-4</v>
      </c>
      <c r="Z157" s="3">
        <f t="shared" si="91"/>
        <v>3.2547360974818088E-4</v>
      </c>
      <c r="AA157" s="3">
        <f t="shared" ref="AA157:AF157" si="92">$C43*EXP(-AA$129/$A43/EXP(-$B$126))</f>
        <v>3.2547360877369617E-4</v>
      </c>
      <c r="AB157" s="3">
        <f t="shared" si="92"/>
        <v>3.2547359902884959E-4</v>
      </c>
      <c r="AC157" s="3">
        <f t="shared" si="92"/>
        <v>3.2547350158039983E-4</v>
      </c>
      <c r="AD157" s="3">
        <f t="shared" si="92"/>
        <v>3.2547252709750647E-4</v>
      </c>
      <c r="AE157" s="3">
        <f t="shared" si="92"/>
        <v>3.2546278242904234E-4</v>
      </c>
      <c r="AF157" s="3">
        <f t="shared" si="92"/>
        <v>3.2536535178954003E-4</v>
      </c>
    </row>
    <row r="158" spans="1:32" x14ac:dyDescent="0.25">
      <c r="B158" s="3">
        <f t="shared" ref="B158:Z158" si="93">$C44*EXP(-B$129/$A44/EXP(-$B$126))</f>
        <v>3.3657757333866336E-3</v>
      </c>
      <c r="C158" s="3">
        <f t="shared" si="93"/>
        <v>3.3657757333866336E-3</v>
      </c>
      <c r="D158" s="3">
        <f t="shared" si="93"/>
        <v>3.3657757333866336E-3</v>
      </c>
      <c r="E158" s="3">
        <f t="shared" si="93"/>
        <v>3.3657757333866336E-3</v>
      </c>
      <c r="F158" s="3">
        <f t="shared" si="93"/>
        <v>3.3657757333866336E-3</v>
      </c>
      <c r="G158" s="3">
        <f t="shared" si="93"/>
        <v>3.3657757333866336E-3</v>
      </c>
      <c r="H158" s="3">
        <f t="shared" si="93"/>
        <v>3.3657757333866336E-3</v>
      </c>
      <c r="I158" s="3">
        <f t="shared" si="93"/>
        <v>3.3657757333866336E-3</v>
      </c>
      <c r="J158" s="3">
        <f t="shared" si="93"/>
        <v>3.3657757333866336E-3</v>
      </c>
      <c r="K158" s="3">
        <f t="shared" si="93"/>
        <v>3.3657757333866336E-3</v>
      </c>
      <c r="L158" s="3">
        <f t="shared" si="93"/>
        <v>3.3657757333866336E-3</v>
      </c>
      <c r="M158" s="3">
        <f t="shared" si="93"/>
        <v>3.3657757333866336E-3</v>
      </c>
      <c r="N158" s="3">
        <f t="shared" si="93"/>
        <v>3.3657757333866336E-3</v>
      </c>
      <c r="O158" s="3">
        <f t="shared" si="93"/>
        <v>3.3657757333866336E-3</v>
      </c>
      <c r="P158" s="3">
        <f t="shared" si="93"/>
        <v>3.3657757333866336E-3</v>
      </c>
      <c r="Q158" s="3">
        <f t="shared" si="93"/>
        <v>3.3657757333866336E-3</v>
      </c>
      <c r="R158" s="3">
        <f t="shared" si="93"/>
        <v>3.3657757333866336E-3</v>
      </c>
      <c r="S158" s="3">
        <f t="shared" si="93"/>
        <v>3.3657757333866336E-3</v>
      </c>
      <c r="T158" s="3">
        <f t="shared" si="93"/>
        <v>3.3657757333866336E-3</v>
      </c>
      <c r="U158" s="3">
        <f t="shared" si="93"/>
        <v>3.3657757333866323E-3</v>
      </c>
      <c r="V158" s="3">
        <f t="shared" si="93"/>
        <v>3.3657757333866224E-3</v>
      </c>
      <c r="W158" s="3">
        <f t="shared" si="93"/>
        <v>3.3657757333865218E-3</v>
      </c>
      <c r="X158" s="3">
        <f t="shared" si="93"/>
        <v>3.3657757333855143E-3</v>
      </c>
      <c r="Y158" s="3">
        <f t="shared" si="93"/>
        <v>3.3657757333754369E-3</v>
      </c>
      <c r="Z158" s="3">
        <f t="shared" si="93"/>
        <v>3.3657757332746633E-3</v>
      </c>
      <c r="AA158" s="3">
        <f t="shared" ref="AA158:AF158" si="94">$C44*EXP(-AA$129/$A44/EXP(-$B$126))</f>
        <v>3.3657757322669334E-3</v>
      </c>
      <c r="AB158" s="3">
        <f t="shared" si="94"/>
        <v>3.3657757221896276E-3</v>
      </c>
      <c r="AC158" s="3">
        <f t="shared" si="94"/>
        <v>3.3657756214165785E-3</v>
      </c>
      <c r="AD158" s="3">
        <f t="shared" si="94"/>
        <v>3.3657746136862505E-3</v>
      </c>
      <c r="AE158" s="3">
        <f t="shared" si="94"/>
        <v>3.3657645363995656E-3</v>
      </c>
      <c r="AF158" s="3">
        <f t="shared" si="94"/>
        <v>3.3656637651921519E-3</v>
      </c>
    </row>
    <row r="159" spans="1:32" x14ac:dyDescent="0.25">
      <c r="A159" s="11" t="s">
        <v>75</v>
      </c>
      <c r="B159" s="3">
        <f t="shared" ref="B159:Z159" si="95">$C45*EXP(-B$129/$A45/EXP(-$B$126))</f>
        <v>7.1877880972849508E-4</v>
      </c>
      <c r="C159" s="3">
        <f t="shared" si="95"/>
        <v>7.1877880972849508E-4</v>
      </c>
      <c r="D159" s="3">
        <f t="shared" si="95"/>
        <v>7.1877880972849508E-4</v>
      </c>
      <c r="E159" s="3">
        <f t="shared" si="95"/>
        <v>7.1877880972849508E-4</v>
      </c>
      <c r="F159" s="3">
        <f t="shared" si="95"/>
        <v>7.1877880972849508E-4</v>
      </c>
      <c r="G159" s="3">
        <f t="shared" si="95"/>
        <v>7.1877880972849508E-4</v>
      </c>
      <c r="H159" s="3">
        <f t="shared" si="95"/>
        <v>7.1877880972849508E-4</v>
      </c>
      <c r="I159" s="3">
        <f t="shared" si="95"/>
        <v>7.1877880972849508E-4</v>
      </c>
      <c r="J159" s="3">
        <f t="shared" si="95"/>
        <v>7.1877880972849508E-4</v>
      </c>
      <c r="K159" s="3">
        <f t="shared" si="95"/>
        <v>7.1877880972849508E-4</v>
      </c>
      <c r="L159" s="3">
        <f t="shared" si="95"/>
        <v>7.1877880972849508E-4</v>
      </c>
      <c r="M159" s="3">
        <f t="shared" si="95"/>
        <v>7.1877880972849508E-4</v>
      </c>
      <c r="N159" s="3">
        <f t="shared" si="95"/>
        <v>7.1877880972849508E-4</v>
      </c>
      <c r="O159" s="3">
        <f t="shared" si="95"/>
        <v>7.1877880972849508E-4</v>
      </c>
      <c r="P159" s="3">
        <f t="shared" si="95"/>
        <v>7.1877880972849508E-4</v>
      </c>
      <c r="Q159" s="3">
        <f t="shared" si="95"/>
        <v>7.1877880972849508E-4</v>
      </c>
      <c r="R159" s="3">
        <f t="shared" si="95"/>
        <v>7.1877880972849508E-4</v>
      </c>
      <c r="S159" s="3">
        <f t="shared" si="95"/>
        <v>7.1877880972849508E-4</v>
      </c>
      <c r="T159" s="3">
        <f t="shared" si="95"/>
        <v>7.1877880972849508E-4</v>
      </c>
      <c r="U159" s="3">
        <f t="shared" si="95"/>
        <v>7.1877880972849508E-4</v>
      </c>
      <c r="V159" s="3">
        <f t="shared" si="95"/>
        <v>7.1877880972849486E-4</v>
      </c>
      <c r="W159" s="3">
        <f t="shared" si="95"/>
        <v>7.1877880972849269E-4</v>
      </c>
      <c r="X159" s="3">
        <f t="shared" si="95"/>
        <v>7.1877880972847112E-4</v>
      </c>
      <c r="Y159" s="3">
        <f t="shared" si="95"/>
        <v>7.1877880972825601E-4</v>
      </c>
      <c r="Z159" s="3">
        <f t="shared" si="95"/>
        <v>7.1877880972610398E-4</v>
      </c>
      <c r="AA159" s="3">
        <f t="shared" ref="AA159:AF159" si="96">$C45*EXP(-AA$129/$A45/EXP(-$B$126))</f>
        <v>7.1877880970458322E-4</v>
      </c>
      <c r="AB159" s="3">
        <f t="shared" si="96"/>
        <v>7.1877880948937722E-4</v>
      </c>
      <c r="AC159" s="3">
        <f t="shared" si="96"/>
        <v>7.1877880733731657E-4</v>
      </c>
      <c r="AD159" s="3">
        <f t="shared" si="96"/>
        <v>7.1877878581671085E-4</v>
      </c>
      <c r="AE159" s="3">
        <f t="shared" si="96"/>
        <v>7.1877857061068912E-4</v>
      </c>
      <c r="AF159" s="3">
        <f t="shared" si="96"/>
        <v>7.1877641855401563E-4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6.8174095740770341E-3</v>
      </c>
      <c r="C162" s="3">
        <f t="shared" si="101"/>
        <v>6.8174095740770341E-3</v>
      </c>
      <c r="D162" s="3">
        <f t="shared" si="101"/>
        <v>6.8174095740770341E-3</v>
      </c>
      <c r="E162" s="3">
        <f t="shared" si="101"/>
        <v>6.8174095740770341E-3</v>
      </c>
      <c r="F162" s="3">
        <f t="shared" si="101"/>
        <v>6.8174095740770341E-3</v>
      </c>
      <c r="G162" s="3">
        <f t="shared" si="101"/>
        <v>6.8174095740770341E-3</v>
      </c>
      <c r="H162" s="3">
        <f t="shared" si="101"/>
        <v>6.8174095740770341E-3</v>
      </c>
      <c r="I162" s="3">
        <f t="shared" si="101"/>
        <v>6.8174095740770341E-3</v>
      </c>
      <c r="J162" s="3">
        <f t="shared" si="101"/>
        <v>6.8174095740770341E-3</v>
      </c>
      <c r="K162" s="3">
        <f t="shared" si="101"/>
        <v>6.8174095740770341E-3</v>
      </c>
      <c r="L162" s="3">
        <f t="shared" si="101"/>
        <v>6.8174095740770341E-3</v>
      </c>
      <c r="M162" s="3">
        <f t="shared" si="101"/>
        <v>6.8174095740770341E-3</v>
      </c>
      <c r="N162" s="3">
        <f t="shared" si="101"/>
        <v>6.8174095740770341E-3</v>
      </c>
      <c r="O162" s="3">
        <f t="shared" si="101"/>
        <v>6.8174095740770341E-3</v>
      </c>
      <c r="P162" s="3">
        <f t="shared" si="101"/>
        <v>6.8174095740770341E-3</v>
      </c>
      <c r="Q162" s="3">
        <f t="shared" si="101"/>
        <v>6.8174095740770341E-3</v>
      </c>
      <c r="R162" s="3">
        <f t="shared" si="101"/>
        <v>6.8174095740770341E-3</v>
      </c>
      <c r="S162" s="3">
        <f t="shared" si="101"/>
        <v>6.8174095740770341E-3</v>
      </c>
      <c r="T162" s="3">
        <f t="shared" si="101"/>
        <v>6.8174095740770341E-3</v>
      </c>
      <c r="U162" s="3">
        <f t="shared" si="101"/>
        <v>6.8174095740770341E-3</v>
      </c>
      <c r="V162" s="3">
        <f t="shared" si="101"/>
        <v>6.8174095740770341E-3</v>
      </c>
      <c r="W162" s="3">
        <f t="shared" si="101"/>
        <v>6.8174095740770341E-3</v>
      </c>
      <c r="X162" s="3">
        <f t="shared" si="101"/>
        <v>6.8174095740770341E-3</v>
      </c>
      <c r="Y162" s="3">
        <f t="shared" si="101"/>
        <v>6.8174095740770315E-3</v>
      </c>
      <c r="Z162" s="3">
        <f t="shared" si="101"/>
        <v>6.8174095740770116E-3</v>
      </c>
      <c r="AA162" s="3">
        <f t="shared" ref="AA162:AF162" si="102">$C48*EXP(-AA$129/$A48/EXP(-$B$126))</f>
        <v>6.8174095740768069E-3</v>
      </c>
      <c r="AB162" s="3">
        <f t="shared" si="102"/>
        <v>6.8174095740747669E-3</v>
      </c>
      <c r="AC162" s="3">
        <f t="shared" si="102"/>
        <v>6.8174095740543552E-3</v>
      </c>
      <c r="AD162" s="3">
        <f t="shared" si="102"/>
        <v>6.8174095738502373E-3</v>
      </c>
      <c r="AE162" s="3">
        <f t="shared" si="102"/>
        <v>6.8174095718090705E-3</v>
      </c>
      <c r="AF162" s="3">
        <f t="shared" si="102"/>
        <v>6.8174095513973965E-3</v>
      </c>
    </row>
    <row r="163" spans="1:34" x14ac:dyDescent="0.25">
      <c r="A163" s="79">
        <f>AVERAGE(B163:AF163)</f>
        <v>2.8314219269418843E-2</v>
      </c>
      <c r="B163" s="80">
        <f>IF($A$64&lt;=B129,IF($B$64&gt;=B129,ABS((B131-B130)/B130),0),0)</f>
        <v>3.6112619778756352E-3</v>
      </c>
      <c r="C163" s="80">
        <f t="shared" ref="C163:AF163" si="103">IF($A$64&lt;=C129,IF($B$64&gt;=C129,ABS((C131-C130)/C130),0),0)</f>
        <v>2.0139130693536507E-4</v>
      </c>
      <c r="D163" s="80">
        <f t="shared" si="103"/>
        <v>1.0166938761282997E-2</v>
      </c>
      <c r="E163" s="80">
        <f t="shared" si="103"/>
        <v>0.10643301150693499</v>
      </c>
      <c r="F163" s="80">
        <f t="shared" si="103"/>
        <v>9.3907571652385988E-2</v>
      </c>
      <c r="G163" s="80">
        <f t="shared" si="103"/>
        <v>7.2372994637423624E-2</v>
      </c>
      <c r="H163" s="80">
        <f t="shared" si="103"/>
        <v>4.8681718454401751E-2</v>
      </c>
      <c r="I163" s="80">
        <f t="shared" si="103"/>
        <v>2.0513840449650659E-2</v>
      </c>
      <c r="J163" s="80">
        <f t="shared" si="103"/>
        <v>5.7623886198066203E-3</v>
      </c>
      <c r="K163" s="80">
        <f t="shared" si="103"/>
        <v>5.6567007661495698E-3</v>
      </c>
      <c r="L163" s="80">
        <f t="shared" si="103"/>
        <v>5.0950086544484007E-3</v>
      </c>
      <c r="M163" s="80">
        <f t="shared" si="103"/>
        <v>3.9222081303979653E-5</v>
      </c>
      <c r="N163" s="80">
        <f t="shared" si="103"/>
        <v>1.4562806287229094E-3</v>
      </c>
      <c r="O163" s="80">
        <f t="shared" si="103"/>
        <v>3.1979207826902476E-3</v>
      </c>
      <c r="P163" s="80">
        <f t="shared" si="103"/>
        <v>2.1255252317412092E-3</v>
      </c>
      <c r="Q163" s="80">
        <f t="shared" si="103"/>
        <v>1.0000708068988542E-3</v>
      </c>
      <c r="R163" s="80">
        <f t="shared" si="103"/>
        <v>1.2418401285433003E-3</v>
      </c>
      <c r="S163" s="80">
        <f t="shared" si="103"/>
        <v>6.1274286857213294E-4</v>
      </c>
      <c r="T163" s="80">
        <f t="shared" si="103"/>
        <v>1.1699267893340386E-3</v>
      </c>
      <c r="U163" s="80">
        <f t="shared" si="103"/>
        <v>7.0608644822522319E-4</v>
      </c>
      <c r="V163" s="80">
        <f t="shared" si="103"/>
        <v>1.1835057025315936E-2</v>
      </c>
      <c r="W163" s="80">
        <f t="shared" si="103"/>
        <v>2.6344118208365578E-2</v>
      </c>
      <c r="X163" s="80">
        <f t="shared" si="103"/>
        <v>4.8193323877228786E-2</v>
      </c>
      <c r="Y163" s="80">
        <f t="shared" si="103"/>
        <v>5.4275726733492111E-2</v>
      </c>
      <c r="Z163" s="80">
        <f t="shared" si="103"/>
        <v>5.4776500221684281E-2</v>
      </c>
      <c r="AA163" s="80">
        <f t="shared" si="103"/>
        <v>5.451846864599251E-2</v>
      </c>
      <c r="AB163" s="80">
        <f t="shared" si="103"/>
        <v>5.9655601425842891E-2</v>
      </c>
      <c r="AC163" s="80">
        <f t="shared" si="103"/>
        <v>6.1192540281699827E-2</v>
      </c>
      <c r="AD163" s="80">
        <f t="shared" si="103"/>
        <v>5.8268464250199582E-2</v>
      </c>
      <c r="AE163" s="80">
        <f t="shared" si="103"/>
        <v>6.208301222012011E-2</v>
      </c>
      <c r="AF163" s="80">
        <f t="shared" si="103"/>
        <v>2.6455419087150606E-3</v>
      </c>
    </row>
    <row r="164" spans="1:34" x14ac:dyDescent="0.25">
      <c r="B164" s="21">
        <f>(B131-B130)^2</f>
        <v>1361.7790219887495</v>
      </c>
      <c r="C164" s="21">
        <f t="shared" ref="C164:AF164" si="104">(C131-C130)^2</f>
        <v>4.1625880766414873</v>
      </c>
      <c r="D164" s="21">
        <f t="shared" si="104"/>
        <v>9958.7805513418789</v>
      </c>
      <c r="E164" s="21">
        <f t="shared" si="104"/>
        <v>1044593.9814050485</v>
      </c>
      <c r="F164" s="21">
        <f t="shared" si="104"/>
        <v>779876.93207473645</v>
      </c>
      <c r="G164" s="21">
        <f t="shared" si="104"/>
        <v>441948.22069683851</v>
      </c>
      <c r="H164" s="21">
        <f t="shared" si="104"/>
        <v>190106.66452792272</v>
      </c>
      <c r="I164" s="21">
        <f t="shared" si="104"/>
        <v>31808.115709819522</v>
      </c>
      <c r="J164" s="21">
        <f t="shared" si="104"/>
        <v>2355.4044970385548</v>
      </c>
      <c r="K164" s="21">
        <f t="shared" si="104"/>
        <v>2109.3255650126443</v>
      </c>
      <c r="L164" s="21">
        <f t="shared" si="104"/>
        <v>1599.1274051238677</v>
      </c>
      <c r="M164" s="21">
        <f t="shared" si="104"/>
        <v>8.7960043642187888E-2</v>
      </c>
      <c r="N164" s="21">
        <f t="shared" si="104"/>
        <v>110.30933226446376</v>
      </c>
      <c r="O164" s="21">
        <f t="shared" si="104"/>
        <v>476.51472743741641</v>
      </c>
      <c r="P164" s="21">
        <f t="shared" si="104"/>
        <v>189.04429003419455</v>
      </c>
      <c r="Q164" s="21">
        <f t="shared" si="104"/>
        <v>38.260649679558149</v>
      </c>
      <c r="R164" s="21">
        <f t="shared" si="104"/>
        <v>53.610193158051729</v>
      </c>
      <c r="S164" s="21">
        <f t="shared" si="104"/>
        <v>11.859465586113783</v>
      </c>
      <c r="T164" s="21">
        <f t="shared" si="104"/>
        <v>38.895473510772504</v>
      </c>
      <c r="U164" s="21">
        <f t="shared" si="104"/>
        <v>12.747021067793785</v>
      </c>
      <c r="V164" s="21">
        <f t="shared" si="104"/>
        <v>3075.225169874288</v>
      </c>
      <c r="W164" s="21">
        <f t="shared" si="104"/>
        <v>12664.709974194619</v>
      </c>
      <c r="X164" s="21">
        <f t="shared" si="104"/>
        <v>33670.284560097622</v>
      </c>
      <c r="Y164" s="21">
        <f t="shared" si="104"/>
        <v>32734.010016036984</v>
      </c>
      <c r="Z164" s="21">
        <f t="shared" si="104"/>
        <v>23758.354198906669</v>
      </c>
      <c r="AA164" s="21">
        <f t="shared" si="104"/>
        <v>15242.663157798994</v>
      </c>
      <c r="AB164" s="21">
        <f t="shared" si="104"/>
        <v>10184.726077542624</v>
      </c>
      <c r="AC164" s="21">
        <f t="shared" si="104"/>
        <v>5668.3232887810836</v>
      </c>
      <c r="AD164" s="21">
        <f t="shared" si="104"/>
        <v>2678.8238218797628</v>
      </c>
      <c r="AE164" s="21">
        <f t="shared" si="104"/>
        <v>1936.7537816433521</v>
      </c>
      <c r="AF164" s="21">
        <f t="shared" si="104"/>
        <v>2.5801611244939728</v>
      </c>
    </row>
    <row r="165" spans="1:34" x14ac:dyDescent="0.25">
      <c r="A165" s="71">
        <f>SUM(B165:AF165)</f>
        <v>2648270.2773636105</v>
      </c>
      <c r="B165" s="60">
        <f>IF($A$64&lt;=B129,IF($B$64&gt;=B129,ABS(B164),0),0)</f>
        <v>1361.7790219887495</v>
      </c>
      <c r="C165" s="60">
        <f t="shared" ref="C165:AF165" si="105">IF($A$64&lt;=C129,IF($B$64&gt;=C129,ABS(C164),0),0)</f>
        <v>4.1625880766414873</v>
      </c>
      <c r="D165" s="60">
        <f t="shared" si="105"/>
        <v>9958.7805513418789</v>
      </c>
      <c r="E165" s="60">
        <f t="shared" si="105"/>
        <v>1044593.9814050485</v>
      </c>
      <c r="F165" s="60">
        <f t="shared" si="105"/>
        <v>779876.93207473645</v>
      </c>
      <c r="G165" s="60">
        <f t="shared" si="105"/>
        <v>441948.22069683851</v>
      </c>
      <c r="H165" s="60">
        <f t="shared" si="105"/>
        <v>190106.66452792272</v>
      </c>
      <c r="I165" s="60">
        <f t="shared" si="105"/>
        <v>31808.115709819522</v>
      </c>
      <c r="J165" s="60">
        <f t="shared" si="105"/>
        <v>2355.4044970385548</v>
      </c>
      <c r="K165" s="60">
        <f t="shared" si="105"/>
        <v>2109.3255650126443</v>
      </c>
      <c r="L165" s="60">
        <f t="shared" si="105"/>
        <v>1599.1274051238677</v>
      </c>
      <c r="M165" s="60">
        <f t="shared" si="105"/>
        <v>8.7960043642187888E-2</v>
      </c>
      <c r="N165" s="60">
        <f t="shared" si="105"/>
        <v>110.30933226446376</v>
      </c>
      <c r="O165" s="60">
        <f t="shared" si="105"/>
        <v>476.51472743741641</v>
      </c>
      <c r="P165" s="60">
        <f t="shared" si="105"/>
        <v>189.04429003419455</v>
      </c>
      <c r="Q165" s="60">
        <f t="shared" si="105"/>
        <v>38.260649679558149</v>
      </c>
      <c r="R165" s="60">
        <f t="shared" si="105"/>
        <v>53.610193158051729</v>
      </c>
      <c r="S165" s="60">
        <f t="shared" si="105"/>
        <v>11.859465586113783</v>
      </c>
      <c r="T165" s="60">
        <f t="shared" si="105"/>
        <v>38.895473510772504</v>
      </c>
      <c r="U165" s="60">
        <f t="shared" si="105"/>
        <v>12.747021067793785</v>
      </c>
      <c r="V165" s="60">
        <f t="shared" si="105"/>
        <v>3075.225169874288</v>
      </c>
      <c r="W165" s="60">
        <f t="shared" si="105"/>
        <v>12664.709974194619</v>
      </c>
      <c r="X165" s="60">
        <f t="shared" si="105"/>
        <v>33670.284560097622</v>
      </c>
      <c r="Y165" s="60">
        <f t="shared" si="105"/>
        <v>32734.010016036984</v>
      </c>
      <c r="Z165" s="60">
        <f t="shared" si="105"/>
        <v>23758.354198906669</v>
      </c>
      <c r="AA165" s="60">
        <f t="shared" si="105"/>
        <v>15242.663157798994</v>
      </c>
      <c r="AB165" s="60">
        <f t="shared" si="105"/>
        <v>10184.726077542624</v>
      </c>
      <c r="AC165" s="60">
        <f t="shared" si="105"/>
        <v>5668.3232887810836</v>
      </c>
      <c r="AD165" s="60">
        <f t="shared" si="105"/>
        <v>2678.8238218797628</v>
      </c>
      <c r="AE165" s="60">
        <f t="shared" si="105"/>
        <v>1936.7537816433521</v>
      </c>
      <c r="AF165" s="60">
        <f t="shared" si="105"/>
        <v>2.5801611244939728</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10056.209161342771</v>
      </c>
      <c r="C170" s="27">
        <f t="shared" ref="C170:AF170" si="106">($C$17+SUM(C171:C201))*$B$51</f>
        <v>9255.3160070190643</v>
      </c>
      <c r="D170" s="27">
        <f t="shared" si="106"/>
        <v>8521.3540401840874</v>
      </c>
      <c r="E170" s="27">
        <f t="shared" si="106"/>
        <v>8520.8817679612766</v>
      </c>
      <c r="F170" s="27">
        <f t="shared" si="106"/>
        <v>8520.7661362721665</v>
      </c>
      <c r="G170" s="27">
        <f t="shared" si="106"/>
        <v>8519.6109857834053</v>
      </c>
      <c r="H170" s="27">
        <f t="shared" si="106"/>
        <v>8508.1753118451052</v>
      </c>
      <c r="I170" s="27">
        <f t="shared" si="106"/>
        <v>8404.6331580807982</v>
      </c>
      <c r="J170" s="27">
        <f t="shared" si="106"/>
        <v>7963.7232684997662</v>
      </c>
      <c r="K170" s="27">
        <f t="shared" si="106"/>
        <v>7720.1554711592498</v>
      </c>
      <c r="L170" s="27">
        <f t="shared" si="106"/>
        <v>7422.268590702347</v>
      </c>
      <c r="M170" s="27">
        <f t="shared" si="106"/>
        <v>7067.0940568786464</v>
      </c>
      <c r="N170" s="27">
        <f t="shared" si="106"/>
        <v>6689.3477376121755</v>
      </c>
      <c r="O170" s="27">
        <f t="shared" si="106"/>
        <v>6355.6197306197046</v>
      </c>
      <c r="P170" s="27">
        <f t="shared" si="106"/>
        <v>6071.9821545952909</v>
      </c>
      <c r="Q170" s="27">
        <f t="shared" si="106"/>
        <v>5793.8510208131474</v>
      </c>
      <c r="R170" s="27">
        <f t="shared" si="106"/>
        <v>5512.1158146649313</v>
      </c>
      <c r="S170" s="27">
        <f t="shared" si="106"/>
        <v>5239.0050287848426</v>
      </c>
      <c r="T170" s="27">
        <f t="shared" si="106"/>
        <v>4949.892476084503</v>
      </c>
      <c r="U170" s="27">
        <f t="shared" si="106"/>
        <v>4618.6479163079439</v>
      </c>
      <c r="V170" s="27">
        <f t="shared" si="106"/>
        <v>4251.6438167142396</v>
      </c>
      <c r="W170" s="27">
        <f t="shared" si="106"/>
        <v>3831.6853304967699</v>
      </c>
      <c r="X170" s="27">
        <f t="shared" si="106"/>
        <v>3326.4797092776666</v>
      </c>
      <c r="Y170" s="27">
        <f t="shared" si="106"/>
        <v>2760.7305927401671</v>
      </c>
      <c r="Z170" s="27">
        <f t="shared" si="106"/>
        <v>2165.8825930857192</v>
      </c>
      <c r="AA170" s="27">
        <f t="shared" si="106"/>
        <v>1585.6274281209021</v>
      </c>
      <c r="AB170" s="27">
        <f t="shared" si="106"/>
        <v>1142.7330991869185</v>
      </c>
      <c r="AC170" s="27">
        <f t="shared" si="106"/>
        <v>833.2961982343636</v>
      </c>
      <c r="AD170" s="27">
        <f t="shared" si="106"/>
        <v>687.3731373971674</v>
      </c>
      <c r="AE170" s="27">
        <f t="shared" si="106"/>
        <v>594.65274140205156</v>
      </c>
      <c r="AF170" s="27">
        <f t="shared" si="106"/>
        <v>560.19385312961049</v>
      </c>
      <c r="AG170" s="27"/>
      <c r="AH170" s="27"/>
    </row>
    <row r="171" spans="1:34" x14ac:dyDescent="0.25">
      <c r="B171" s="3">
        <f t="shared" ref="B171:AF171" si="107">$C18*EXP(-B$168/$A18/EXP(-$C$126))</f>
        <v>0.15070866728640253</v>
      </c>
      <c r="C171" s="3">
        <f t="shared" si="107"/>
        <v>7.2091864005625617E-2</v>
      </c>
      <c r="D171" s="3">
        <f t="shared" si="107"/>
        <v>4.5223743431686347E-5</v>
      </c>
      <c r="E171" s="3">
        <f t="shared" si="107"/>
        <v>4.2674559463716968E-37</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5.82481943768055E-2</v>
      </c>
      <c r="C172" s="3">
        <f t="shared" si="108"/>
        <v>5.8248183374293737E-2</v>
      </c>
      <c r="D172" s="3">
        <f t="shared" si="108"/>
        <v>5.8248073349290344E-2</v>
      </c>
      <c r="E172" s="3">
        <f t="shared" si="108"/>
        <v>5.8246973110686849E-2</v>
      </c>
      <c r="F172" s="3">
        <f t="shared" si="108"/>
        <v>5.8235971867609877E-2</v>
      </c>
      <c r="G172" s="3">
        <f t="shared" si="108"/>
        <v>5.8126073652800064E-2</v>
      </c>
      <c r="H172" s="3">
        <f t="shared" si="108"/>
        <v>5.7038433677590303E-2</v>
      </c>
      <c r="I172" s="3">
        <f t="shared" si="108"/>
        <v>4.7220830548502263E-2</v>
      </c>
      <c r="J172" s="3">
        <f t="shared" si="108"/>
        <v>7.1415737697333101E-3</v>
      </c>
      <c r="K172" s="3">
        <f t="shared" si="108"/>
        <v>4.4709208213245645E-11</v>
      </c>
      <c r="L172" s="3">
        <f t="shared" si="108"/>
        <v>4.1345428694309488E-93</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1.7254959937270532E-2</v>
      </c>
      <c r="C173" s="3">
        <f t="shared" si="109"/>
        <v>1.7254959643255213E-2</v>
      </c>
      <c r="D173" s="3">
        <f t="shared" si="109"/>
        <v>1.7254956703102304E-2</v>
      </c>
      <c r="E173" s="3">
        <f t="shared" si="109"/>
        <v>1.7254927301600779E-2</v>
      </c>
      <c r="F173" s="3">
        <f t="shared" si="109"/>
        <v>1.72546332893409E-2</v>
      </c>
      <c r="G173" s="3">
        <f t="shared" si="109"/>
        <v>1.7251693442265369E-2</v>
      </c>
      <c r="H173" s="3">
        <f t="shared" si="109"/>
        <v>1.7222322506471287E-2</v>
      </c>
      <c r="I173" s="3">
        <f t="shared" si="109"/>
        <v>1.6931349363792151E-2</v>
      </c>
      <c r="J173" s="3">
        <f t="shared" si="109"/>
        <v>1.4278747246649173E-2</v>
      </c>
      <c r="K173" s="3">
        <f t="shared" si="109"/>
        <v>2.5982172133054353E-3</v>
      </c>
      <c r="L173" s="3">
        <f t="shared" si="109"/>
        <v>1.0340200304349495E-10</v>
      </c>
      <c r="M173" s="3">
        <f t="shared" si="109"/>
        <v>1.0305377672635756E-84</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3.2278437810864431E-2</v>
      </c>
      <c r="C174" s="3">
        <f t="shared" si="110"/>
        <v>3.2278437761249196E-2</v>
      </c>
      <c r="D174" s="3">
        <f t="shared" si="110"/>
        <v>3.2278437265096785E-2</v>
      </c>
      <c r="E174" s="3">
        <f t="shared" si="110"/>
        <v>3.2278432303573149E-2</v>
      </c>
      <c r="F174" s="3">
        <f t="shared" si="110"/>
        <v>3.2278382688378744E-2</v>
      </c>
      <c r="G174" s="3">
        <f t="shared" si="110"/>
        <v>3.2277886540629179E-2</v>
      </c>
      <c r="H174" s="3">
        <f t="shared" si="110"/>
        <v>3.2272925482557197E-2</v>
      </c>
      <c r="I174" s="3">
        <f t="shared" si="110"/>
        <v>3.2223356820361551E-2</v>
      </c>
      <c r="J174" s="3">
        <f t="shared" si="110"/>
        <v>3.1731838308309709E-2</v>
      </c>
      <c r="K174" s="3">
        <f t="shared" si="110"/>
        <v>2.7210702545321611E-2</v>
      </c>
      <c r="L174" s="3">
        <f t="shared" si="110"/>
        <v>5.8503921395208647E-3</v>
      </c>
      <c r="M174" s="3">
        <f t="shared" si="110"/>
        <v>1.2349153742801232E-9</v>
      </c>
      <c r="N174" s="3">
        <f t="shared" si="110"/>
        <v>2.168499883829657E-76</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3.7144505568066505E-2</v>
      </c>
      <c r="C175" s="3">
        <f t="shared" si="111"/>
        <v>3.7144505562916069E-2</v>
      </c>
      <c r="D175" s="3">
        <f t="shared" si="111"/>
        <v>3.7144505511411741E-2</v>
      </c>
      <c r="E175" s="3">
        <f t="shared" si="111"/>
        <v>3.7144504996368413E-2</v>
      </c>
      <c r="F175" s="3">
        <f t="shared" si="111"/>
        <v>3.7144499845935514E-2</v>
      </c>
      <c r="G175" s="3">
        <f t="shared" si="111"/>
        <v>3.7144448341645819E-2</v>
      </c>
      <c r="H175" s="3">
        <f t="shared" si="111"/>
        <v>3.7143933302676714E-2</v>
      </c>
      <c r="I175" s="3">
        <f t="shared" si="111"/>
        <v>3.7138783305748983E-2</v>
      </c>
      <c r="J175" s="3">
        <f t="shared" si="111"/>
        <v>3.7087322592657998E-2</v>
      </c>
      <c r="K175" s="3">
        <f t="shared" si="111"/>
        <v>3.6576621014885881E-2</v>
      </c>
      <c r="L175" s="3">
        <f t="shared" si="111"/>
        <v>3.1840845242704176E-2</v>
      </c>
      <c r="M175" s="3">
        <f t="shared" si="111"/>
        <v>7.9578297394651328E-3</v>
      </c>
      <c r="N175" s="3">
        <f t="shared" si="111"/>
        <v>7.5665027440051677E-9</v>
      </c>
      <c r="O175" s="3">
        <f t="shared" si="111"/>
        <v>4.5698369270271616E-69</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4.0797811725273067E-2</v>
      </c>
      <c r="C176" s="3">
        <f t="shared" si="112"/>
        <v>4.079781172476276E-2</v>
      </c>
      <c r="D176" s="3">
        <f t="shared" si="112"/>
        <v>4.0797811719659675E-2</v>
      </c>
      <c r="E176" s="3">
        <f t="shared" si="112"/>
        <v>4.0797811668628843E-2</v>
      </c>
      <c r="F176" s="3">
        <f t="shared" si="112"/>
        <v>4.0797811158320527E-2</v>
      </c>
      <c r="G176" s="3">
        <f t="shared" si="112"/>
        <v>4.0797806055237716E-2</v>
      </c>
      <c r="H176" s="3">
        <f t="shared" si="112"/>
        <v>4.0797755024444778E-2</v>
      </c>
      <c r="I176" s="3">
        <f t="shared" si="112"/>
        <v>4.0797244720026E-2</v>
      </c>
      <c r="J176" s="3">
        <f t="shared" si="112"/>
        <v>4.0792142026888113E-2</v>
      </c>
      <c r="K176" s="3">
        <f t="shared" si="112"/>
        <v>4.074115018425236E-2</v>
      </c>
      <c r="L176" s="3">
        <f t="shared" si="112"/>
        <v>4.0234724447174089E-2</v>
      </c>
      <c r="M176" s="3">
        <f t="shared" si="112"/>
        <v>3.5504098403242548E-2</v>
      </c>
      <c r="N176" s="3">
        <f t="shared" si="112"/>
        <v>1.0163728628974203E-2</v>
      </c>
      <c r="O176" s="3">
        <f t="shared" si="112"/>
        <v>3.756633127868766E-8</v>
      </c>
      <c r="P176" s="3">
        <f t="shared" si="112"/>
        <v>1.7875410139820683E-62</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3.2982255914929266E-2</v>
      </c>
      <c r="C177" s="3">
        <f t="shared" si="113"/>
        <v>3.2982255914892053E-2</v>
      </c>
      <c r="D177" s="3">
        <f t="shared" si="113"/>
        <v>3.2982255914519899E-2</v>
      </c>
      <c r="E177" s="3">
        <f t="shared" si="113"/>
        <v>3.2982255910798355E-2</v>
      </c>
      <c r="F177" s="3">
        <f t="shared" si="113"/>
        <v>3.2982255873582951E-2</v>
      </c>
      <c r="G177" s="3">
        <f t="shared" si="113"/>
        <v>3.2982255501428921E-2</v>
      </c>
      <c r="H177" s="3">
        <f t="shared" si="113"/>
        <v>3.2982251779888873E-2</v>
      </c>
      <c r="I177" s="3">
        <f t="shared" si="113"/>
        <v>3.2982214564511447E-2</v>
      </c>
      <c r="J177" s="3">
        <f t="shared" si="113"/>
        <v>3.298184241304674E-2</v>
      </c>
      <c r="K177" s="3">
        <f t="shared" si="113"/>
        <v>3.297812112934418E-2</v>
      </c>
      <c r="L177" s="3">
        <f t="shared" si="113"/>
        <v>3.2940931377130729E-2</v>
      </c>
      <c r="M177" s="3">
        <f t="shared" si="113"/>
        <v>3.2571332727598934E-2</v>
      </c>
      <c r="N177" s="3">
        <f t="shared" si="113"/>
        <v>2.9095918815442656E-2</v>
      </c>
      <c r="O177" s="3">
        <f t="shared" si="113"/>
        <v>9.4145062586114062E-3</v>
      </c>
      <c r="P177" s="3">
        <f t="shared" si="113"/>
        <v>1.1842742072380605E-7</v>
      </c>
      <c r="Q177" s="3">
        <f t="shared" si="113"/>
        <v>1.1748961834160755E-56</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2.7372238189347389E-2</v>
      </c>
      <c r="C178" s="3">
        <f t="shared" si="114"/>
        <v>2.7372238189344599E-2</v>
      </c>
      <c r="D178" s="3">
        <f t="shared" si="114"/>
        <v>2.7372238189316739E-2</v>
      </c>
      <c r="E178" s="3">
        <f t="shared" si="114"/>
        <v>2.7372238189038129E-2</v>
      </c>
      <c r="F178" s="3">
        <f t="shared" si="114"/>
        <v>2.7372238186252014E-2</v>
      </c>
      <c r="G178" s="3">
        <f t="shared" si="114"/>
        <v>2.7372238158390849E-2</v>
      </c>
      <c r="H178" s="3">
        <f t="shared" si="114"/>
        <v>2.7372237879779198E-2</v>
      </c>
      <c r="I178" s="3">
        <f t="shared" si="114"/>
        <v>2.7372235093662878E-2</v>
      </c>
      <c r="J178" s="3">
        <f t="shared" si="114"/>
        <v>2.7372207232515249E-2</v>
      </c>
      <c r="K178" s="3">
        <f t="shared" si="114"/>
        <v>2.7371928622598719E-2</v>
      </c>
      <c r="L178" s="3">
        <f t="shared" si="114"/>
        <v>2.7369142679400417E-2</v>
      </c>
      <c r="M178" s="3">
        <f t="shared" si="114"/>
        <v>2.7341298838246233E-2</v>
      </c>
      <c r="N178" s="3">
        <f t="shared" si="114"/>
        <v>2.7064413653893862E-2</v>
      </c>
      <c r="O178" s="3">
        <f t="shared" si="114"/>
        <v>2.4445190807567449E-2</v>
      </c>
      <c r="P178" s="3">
        <f t="shared" si="114"/>
        <v>8.8336771038855528E-3</v>
      </c>
      <c r="Q178" s="3">
        <f t="shared" si="114"/>
        <v>3.3544584009444137E-7</v>
      </c>
      <c r="R178" s="3">
        <f t="shared" si="114"/>
        <v>2.0913721022132957E-51</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2.9420754796477672E-2</v>
      </c>
      <c r="C179" s="3">
        <f t="shared" si="115"/>
        <v>2.9420754796477398E-2</v>
      </c>
      <c r="D179" s="3">
        <f t="shared" si="115"/>
        <v>2.9420754796474699E-2</v>
      </c>
      <c r="E179" s="3">
        <f t="shared" si="115"/>
        <v>2.9420754796447686E-2</v>
      </c>
      <c r="F179" s="3">
        <f t="shared" si="115"/>
        <v>2.9420754796177544E-2</v>
      </c>
      <c r="G179" s="3">
        <f t="shared" si="115"/>
        <v>2.9420754793476139E-2</v>
      </c>
      <c r="H179" s="3">
        <f t="shared" si="115"/>
        <v>2.9420754766462113E-2</v>
      </c>
      <c r="I179" s="3">
        <f t="shared" si="115"/>
        <v>2.9420754496321821E-2</v>
      </c>
      <c r="J179" s="3">
        <f t="shared" si="115"/>
        <v>2.942075179491907E-2</v>
      </c>
      <c r="K179" s="3">
        <f t="shared" si="115"/>
        <v>2.9420724780905183E-2</v>
      </c>
      <c r="L179" s="3">
        <f t="shared" si="115"/>
        <v>2.9420454642130545E-2</v>
      </c>
      <c r="M179" s="3">
        <f t="shared" si="115"/>
        <v>2.941775339080201E-2</v>
      </c>
      <c r="N179" s="3">
        <f t="shared" si="115"/>
        <v>2.9390754514668566E-2</v>
      </c>
      <c r="O179" s="3">
        <f t="shared" si="115"/>
        <v>2.9122124846893901E-2</v>
      </c>
      <c r="P179" s="3">
        <f t="shared" si="115"/>
        <v>2.6567231461469061E-2</v>
      </c>
      <c r="Q179" s="3">
        <f t="shared" si="115"/>
        <v>1.0606661293282867E-2</v>
      </c>
      <c r="R179" s="3">
        <f t="shared" si="115"/>
        <v>1.091195864990895E-6</v>
      </c>
      <c r="S179" s="3">
        <f t="shared" si="115"/>
        <v>1.4492483737564752E-46</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2.900936003780609E-2</v>
      </c>
      <c r="C180" s="3">
        <f t="shared" si="116"/>
        <v>2.9009360037806069E-2</v>
      </c>
      <c r="D180" s="3">
        <f t="shared" si="116"/>
        <v>2.9009360037805826E-2</v>
      </c>
      <c r="E180" s="3">
        <f t="shared" si="116"/>
        <v>2.9009360037803422E-2</v>
      </c>
      <c r="F180" s="3">
        <f t="shared" si="116"/>
        <v>2.9009360037779392E-2</v>
      </c>
      <c r="G180" s="3">
        <f t="shared" si="116"/>
        <v>2.9009360037539116E-2</v>
      </c>
      <c r="H180" s="3">
        <f t="shared" si="116"/>
        <v>2.9009360035136298E-2</v>
      </c>
      <c r="I180" s="3">
        <f t="shared" si="116"/>
        <v>2.9009360011108154E-2</v>
      </c>
      <c r="J180" s="3">
        <f t="shared" si="116"/>
        <v>2.9009359770826679E-2</v>
      </c>
      <c r="K180" s="3">
        <f t="shared" si="116"/>
        <v>2.9009357368012037E-2</v>
      </c>
      <c r="L180" s="3">
        <f t="shared" si="116"/>
        <v>2.9009333339876601E-2</v>
      </c>
      <c r="M180" s="3">
        <f t="shared" si="116"/>
        <v>2.9009093059616846E-2</v>
      </c>
      <c r="N180" s="3">
        <f t="shared" si="116"/>
        <v>2.9006690366478006E-2</v>
      </c>
      <c r="O180" s="3">
        <f t="shared" si="116"/>
        <v>2.8982674377607029E-2</v>
      </c>
      <c r="P180" s="3">
        <f t="shared" si="116"/>
        <v>2.8743605394536048E-2</v>
      </c>
      <c r="Q180" s="3">
        <f t="shared" si="116"/>
        <v>2.6458735645536333E-2</v>
      </c>
      <c r="R180" s="3">
        <f t="shared" si="116"/>
        <v>1.1557064543582147E-2</v>
      </c>
      <c r="S180" s="3">
        <f t="shared" si="116"/>
        <v>2.9216760060250594E-6</v>
      </c>
      <c r="T180" s="3">
        <f t="shared" si="116"/>
        <v>3.1151373964912392E-42</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2.6775000161878105E-2</v>
      </c>
      <c r="C181" s="3">
        <f t="shared" si="117"/>
        <v>2.6775000161878101E-2</v>
      </c>
      <c r="D181" s="3">
        <f t="shared" si="117"/>
        <v>2.6775000161878084E-2</v>
      </c>
      <c r="E181" s="3">
        <f t="shared" si="117"/>
        <v>2.6775000161877883E-2</v>
      </c>
      <c r="F181" s="3">
        <f t="shared" si="117"/>
        <v>2.6775000161875881E-2</v>
      </c>
      <c r="G181" s="3">
        <f t="shared" si="117"/>
        <v>2.6775000161855876E-2</v>
      </c>
      <c r="H181" s="3">
        <f t="shared" si="117"/>
        <v>2.6775000161655817E-2</v>
      </c>
      <c r="I181" s="3">
        <f t="shared" si="117"/>
        <v>2.6775000159655227E-2</v>
      </c>
      <c r="J181" s="3">
        <f t="shared" si="117"/>
        <v>2.677500013964932E-2</v>
      </c>
      <c r="K181" s="3">
        <f t="shared" si="117"/>
        <v>2.6774999939590264E-2</v>
      </c>
      <c r="L181" s="3">
        <f t="shared" si="117"/>
        <v>2.6774997938999793E-2</v>
      </c>
      <c r="M181" s="3">
        <f t="shared" si="117"/>
        <v>2.6774977933103291E-2</v>
      </c>
      <c r="N181" s="3">
        <f t="shared" si="117"/>
        <v>2.677477787496043E-2</v>
      </c>
      <c r="O181" s="3">
        <f t="shared" si="117"/>
        <v>2.6772777375743989E-2</v>
      </c>
      <c r="P181" s="3">
        <f t="shared" si="117"/>
        <v>2.6752780602527768E-2</v>
      </c>
      <c r="Q181" s="3">
        <f t="shared" si="117"/>
        <v>2.6553632497516161E-2</v>
      </c>
      <c r="R181" s="3">
        <f t="shared" si="117"/>
        <v>2.4641892807437366E-2</v>
      </c>
      <c r="S181" s="3">
        <f t="shared" si="117"/>
        <v>1.1672806905643384E-2</v>
      </c>
      <c r="T181" s="3">
        <f t="shared" si="117"/>
        <v>6.6402996019948744E-6</v>
      </c>
      <c r="U181" s="3">
        <f t="shared" si="117"/>
        <v>2.3567385575043007E-38</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3.1584912015022802E-2</v>
      </c>
      <c r="C182" s="3">
        <f t="shared" si="118"/>
        <v>3.1584912015022802E-2</v>
      </c>
      <c r="D182" s="3">
        <f t="shared" si="118"/>
        <v>3.1584912015022795E-2</v>
      </c>
      <c r="E182" s="3">
        <f t="shared" si="118"/>
        <v>3.1584912015022774E-2</v>
      </c>
      <c r="F182" s="3">
        <f t="shared" si="118"/>
        <v>3.1584912015022566E-2</v>
      </c>
      <c r="G182" s="3">
        <f t="shared" si="118"/>
        <v>3.1584912015020436E-2</v>
      </c>
      <c r="H182" s="3">
        <f t="shared" si="118"/>
        <v>3.1584912014999147E-2</v>
      </c>
      <c r="I182" s="3">
        <f t="shared" si="118"/>
        <v>3.1584912014786262E-2</v>
      </c>
      <c r="J182" s="3">
        <f t="shared" si="118"/>
        <v>3.1584912012657361E-2</v>
      </c>
      <c r="K182" s="3">
        <f t="shared" si="118"/>
        <v>3.158491199136837E-2</v>
      </c>
      <c r="L182" s="3">
        <f t="shared" si="118"/>
        <v>3.1584911778478504E-2</v>
      </c>
      <c r="M182" s="3">
        <f t="shared" si="118"/>
        <v>3.1584909649579898E-2</v>
      </c>
      <c r="N182" s="3">
        <f t="shared" si="118"/>
        <v>3.1584888360601693E-2</v>
      </c>
      <c r="O182" s="3">
        <f t="shared" si="118"/>
        <v>3.1584675471608856E-2</v>
      </c>
      <c r="P182" s="3">
        <f t="shared" si="118"/>
        <v>3.1582546660599432E-2</v>
      </c>
      <c r="Q182" s="3">
        <f t="shared" si="118"/>
        <v>3.156126644042654E-2</v>
      </c>
      <c r="R182" s="3">
        <f t="shared" si="118"/>
        <v>3.1349251266717004E-2</v>
      </c>
      <c r="S182" s="3">
        <f t="shared" si="118"/>
        <v>2.9305874456890663E-2</v>
      </c>
      <c r="T182" s="3">
        <f t="shared" si="118"/>
        <v>1.493584524762397E-2</v>
      </c>
      <c r="U182" s="3">
        <f t="shared" si="118"/>
        <v>1.7659605959192733E-5</v>
      </c>
      <c r="V182" s="3">
        <f t="shared" si="118"/>
        <v>9.4295951244639438E-35</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3.592675255612271E-2</v>
      </c>
      <c r="C183" s="3">
        <f t="shared" si="119"/>
        <v>3.592675255612271E-2</v>
      </c>
      <c r="D183" s="3">
        <f t="shared" si="119"/>
        <v>3.592675255612271E-2</v>
      </c>
      <c r="E183" s="3">
        <f t="shared" si="119"/>
        <v>3.5926752556122703E-2</v>
      </c>
      <c r="F183" s="3">
        <f t="shared" si="119"/>
        <v>3.5926752556122689E-2</v>
      </c>
      <c r="G183" s="3">
        <f t="shared" si="119"/>
        <v>3.5926752556122467E-2</v>
      </c>
      <c r="H183" s="3">
        <f t="shared" si="119"/>
        <v>3.5926752556120281E-2</v>
      </c>
      <c r="I183" s="3">
        <f t="shared" si="119"/>
        <v>3.5926752556098437E-2</v>
      </c>
      <c r="J183" s="3">
        <f t="shared" si="119"/>
        <v>3.5926752555879994E-2</v>
      </c>
      <c r="K183" s="3">
        <f t="shared" si="119"/>
        <v>3.5926752553695554E-2</v>
      </c>
      <c r="L183" s="3">
        <f t="shared" si="119"/>
        <v>3.5926752531851167E-2</v>
      </c>
      <c r="M183" s="3">
        <f t="shared" si="119"/>
        <v>3.5926752313407292E-2</v>
      </c>
      <c r="N183" s="3">
        <f t="shared" si="119"/>
        <v>3.5926750128968586E-2</v>
      </c>
      <c r="O183" s="3">
        <f t="shared" si="119"/>
        <v>3.5926728284588871E-2</v>
      </c>
      <c r="P183" s="3">
        <f t="shared" si="119"/>
        <v>3.5926509841522236E-2</v>
      </c>
      <c r="Q183" s="3">
        <f t="shared" si="119"/>
        <v>3.5924325483904715E-2</v>
      </c>
      <c r="R183" s="3">
        <f t="shared" si="119"/>
        <v>3.5902489210975573E-2</v>
      </c>
      <c r="S183" s="3">
        <f t="shared" si="119"/>
        <v>3.5684855165945807E-2</v>
      </c>
      <c r="T183" s="3">
        <f t="shared" si="119"/>
        <v>3.3579770144996302E-2</v>
      </c>
      <c r="U183" s="3">
        <f t="shared" si="119"/>
        <v>1.8281655686525896E-2</v>
      </c>
      <c r="V183" s="3">
        <f t="shared" si="119"/>
        <v>4.1820920473976509E-5</v>
      </c>
      <c r="W183" s="3">
        <f t="shared" si="119"/>
        <v>1.6412479944419778E-31</v>
      </c>
      <c r="X183" s="3">
        <f t="shared" si="119"/>
        <v>1.4222646595190116E-295</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3.8216836337325075E-2</v>
      </c>
      <c r="C184" s="3">
        <f t="shared" si="120"/>
        <v>3.8216836337325075E-2</v>
      </c>
      <c r="D184" s="3">
        <f t="shared" si="120"/>
        <v>3.8216836337325075E-2</v>
      </c>
      <c r="E184" s="3">
        <f t="shared" si="120"/>
        <v>3.8216836337325075E-2</v>
      </c>
      <c r="F184" s="3">
        <f t="shared" si="120"/>
        <v>3.8216836337325068E-2</v>
      </c>
      <c r="G184" s="3">
        <f t="shared" si="120"/>
        <v>3.8216836337325054E-2</v>
      </c>
      <c r="H184" s="3">
        <f t="shared" si="120"/>
        <v>3.8216836337324839E-2</v>
      </c>
      <c r="I184" s="3">
        <f t="shared" si="120"/>
        <v>3.8216836337322743E-2</v>
      </c>
      <c r="J184" s="3">
        <f t="shared" si="120"/>
        <v>3.8216836337301788E-2</v>
      </c>
      <c r="K184" s="3">
        <f t="shared" si="120"/>
        <v>3.8216836337092171E-2</v>
      </c>
      <c r="L184" s="3">
        <f t="shared" si="120"/>
        <v>3.8216836334996014E-2</v>
      </c>
      <c r="M184" s="3">
        <f t="shared" si="120"/>
        <v>3.8216836314034469E-2</v>
      </c>
      <c r="N184" s="3">
        <f t="shared" si="120"/>
        <v>3.8216836104419047E-2</v>
      </c>
      <c r="O184" s="3">
        <f t="shared" si="120"/>
        <v>3.8216834008264859E-2</v>
      </c>
      <c r="P184" s="3">
        <f t="shared" si="120"/>
        <v>3.8216813046729338E-2</v>
      </c>
      <c r="Q184" s="3">
        <f t="shared" si="120"/>
        <v>3.8216603432006384E-2</v>
      </c>
      <c r="R184" s="3">
        <f t="shared" si="120"/>
        <v>3.8214507348010018E-2</v>
      </c>
      <c r="S184" s="3">
        <f t="shared" si="120"/>
        <v>3.8193552830075764E-2</v>
      </c>
      <c r="T184" s="3">
        <f t="shared" si="120"/>
        <v>3.798463857255166E-2</v>
      </c>
      <c r="U184" s="3">
        <f t="shared" si="120"/>
        <v>3.5957326347090181E-2</v>
      </c>
      <c r="V184" s="3">
        <f t="shared" si="120"/>
        <v>2.077692753585407E-2</v>
      </c>
      <c r="W184" s="3">
        <f t="shared" si="120"/>
        <v>8.620265826088532E-5</v>
      </c>
      <c r="X184" s="3">
        <f t="shared" si="120"/>
        <v>1.3029087264825175E-28</v>
      </c>
      <c r="Y184" s="3">
        <f t="shared" si="120"/>
        <v>8.1067603798291207E-267</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4.8113881849429982E-2</v>
      </c>
      <c r="C185" s="3">
        <f t="shared" si="121"/>
        <v>4.8113881849429982E-2</v>
      </c>
      <c r="D185" s="3">
        <f t="shared" si="121"/>
        <v>4.8113881849429982E-2</v>
      </c>
      <c r="E185" s="3">
        <f t="shared" si="121"/>
        <v>4.8113881849429982E-2</v>
      </c>
      <c r="F185" s="3">
        <f t="shared" si="121"/>
        <v>4.8113881849429982E-2</v>
      </c>
      <c r="G185" s="3">
        <f t="shared" si="121"/>
        <v>4.8113881849429982E-2</v>
      </c>
      <c r="H185" s="3">
        <f t="shared" si="121"/>
        <v>4.8113881849429954E-2</v>
      </c>
      <c r="I185" s="3">
        <f t="shared" si="121"/>
        <v>4.8113881849429718E-2</v>
      </c>
      <c r="J185" s="3">
        <f t="shared" si="121"/>
        <v>4.8113881849427338E-2</v>
      </c>
      <c r="K185" s="3">
        <f t="shared" si="121"/>
        <v>4.8113881849403531E-2</v>
      </c>
      <c r="L185" s="3">
        <f t="shared" si="121"/>
        <v>4.8113881849165471E-2</v>
      </c>
      <c r="M185" s="3">
        <f t="shared" si="121"/>
        <v>4.8113881846784876E-2</v>
      </c>
      <c r="N185" s="3">
        <f t="shared" si="121"/>
        <v>4.8113881822978925E-2</v>
      </c>
      <c r="O185" s="3">
        <f t="shared" si="121"/>
        <v>4.8113881584919437E-2</v>
      </c>
      <c r="P185" s="3">
        <f t="shared" si="121"/>
        <v>4.8113879204324632E-2</v>
      </c>
      <c r="Q185" s="3">
        <f t="shared" si="121"/>
        <v>4.8113855398383046E-2</v>
      </c>
      <c r="R185" s="3">
        <f t="shared" si="121"/>
        <v>4.8113617339615E-2</v>
      </c>
      <c r="S185" s="3">
        <f t="shared" si="121"/>
        <v>4.811123681671655E-2</v>
      </c>
      <c r="T185" s="3">
        <f t="shared" si="121"/>
        <v>4.8087438064747676E-2</v>
      </c>
      <c r="U185" s="3">
        <f t="shared" si="121"/>
        <v>4.7850097062443413E-2</v>
      </c>
      <c r="V185" s="3">
        <f t="shared" si="121"/>
        <v>4.5540170700582479E-2</v>
      </c>
      <c r="W185" s="3">
        <f t="shared" si="121"/>
        <v>2.7765977360311746E-2</v>
      </c>
      <c r="X185" s="3">
        <f t="shared" si="121"/>
        <v>1.9710428943434328E-4</v>
      </c>
      <c r="Y185" s="3">
        <f t="shared" si="121"/>
        <v>6.4051186570426176E-26</v>
      </c>
      <c r="Z185" s="3">
        <f t="shared" si="121"/>
        <v>8.4108176929911735E-241</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5.6463045562969084E-2</v>
      </c>
      <c r="C186" s="3">
        <f t="shared" si="122"/>
        <v>5.6463045562969084E-2</v>
      </c>
      <c r="D186" s="3">
        <f t="shared" si="122"/>
        <v>5.6463045562969084E-2</v>
      </c>
      <c r="E186" s="3">
        <f t="shared" si="122"/>
        <v>5.6463045562969084E-2</v>
      </c>
      <c r="F186" s="3">
        <f t="shared" si="122"/>
        <v>5.6463045562969084E-2</v>
      </c>
      <c r="G186" s="3">
        <f t="shared" si="122"/>
        <v>5.6463045562969084E-2</v>
      </c>
      <c r="H186" s="3">
        <f t="shared" si="122"/>
        <v>5.6463045562969084E-2</v>
      </c>
      <c r="I186" s="3">
        <f t="shared" si="122"/>
        <v>5.6463045562969057E-2</v>
      </c>
      <c r="J186" s="3">
        <f t="shared" si="122"/>
        <v>5.64630455629688E-2</v>
      </c>
      <c r="K186" s="3">
        <f t="shared" si="122"/>
        <v>5.6463045562966281E-2</v>
      </c>
      <c r="L186" s="3">
        <f t="shared" si="122"/>
        <v>5.6463045562941079E-2</v>
      </c>
      <c r="M186" s="3">
        <f t="shared" si="122"/>
        <v>5.6463045562689072E-2</v>
      </c>
      <c r="N186" s="3">
        <f t="shared" si="122"/>
        <v>5.6463045560168922E-2</v>
      </c>
      <c r="O186" s="3">
        <f t="shared" si="122"/>
        <v>5.6463045534967442E-2</v>
      </c>
      <c r="P186" s="3">
        <f t="shared" si="122"/>
        <v>5.6463045282952679E-2</v>
      </c>
      <c r="Q186" s="3">
        <f t="shared" si="122"/>
        <v>5.6463042762805081E-2</v>
      </c>
      <c r="R186" s="3">
        <f t="shared" si="122"/>
        <v>5.6463017561335316E-2</v>
      </c>
      <c r="S186" s="3">
        <f t="shared" si="122"/>
        <v>5.6462765547256273E-2</v>
      </c>
      <c r="T186" s="3">
        <f t="shared" si="122"/>
        <v>5.6460245468330519E-2</v>
      </c>
      <c r="U186" s="3">
        <f t="shared" si="122"/>
        <v>5.6435050864514058E-2</v>
      </c>
      <c r="V186" s="3">
        <f t="shared" si="122"/>
        <v>5.618372235019236E-2</v>
      </c>
      <c r="W186" s="3">
        <f t="shared" si="122"/>
        <v>5.373118184705343E-2</v>
      </c>
      <c r="X186" s="3">
        <f t="shared" si="122"/>
        <v>3.4386283018501801E-2</v>
      </c>
      <c r="Y186" s="3">
        <f t="shared" si="122"/>
        <v>3.9625397749247813E-4</v>
      </c>
      <c r="Z186" s="3">
        <f t="shared" si="122"/>
        <v>1.6362800935776496E-23</v>
      </c>
      <c r="AA186" s="3">
        <f t="shared" si="122"/>
        <v>2.3588361265007415E-217</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5.9569205174430817E-2</v>
      </c>
      <c r="C187" s="3">
        <f t="shared" si="123"/>
        <v>5.9569205174430817E-2</v>
      </c>
      <c r="D187" s="3">
        <f t="shared" si="123"/>
        <v>5.9569205174430817E-2</v>
      </c>
      <c r="E187" s="3">
        <f t="shared" si="123"/>
        <v>5.9569205174430817E-2</v>
      </c>
      <c r="F187" s="3">
        <f t="shared" si="123"/>
        <v>5.9569205174430817E-2</v>
      </c>
      <c r="G187" s="3">
        <f t="shared" si="123"/>
        <v>5.9569205174430817E-2</v>
      </c>
      <c r="H187" s="3">
        <f t="shared" si="123"/>
        <v>5.9569205174430817E-2</v>
      </c>
      <c r="I187" s="3">
        <f t="shared" si="123"/>
        <v>5.9569205174430817E-2</v>
      </c>
      <c r="J187" s="3">
        <f t="shared" si="123"/>
        <v>5.9569205174430789E-2</v>
      </c>
      <c r="K187" s="3">
        <f t="shared" si="123"/>
        <v>5.9569205174430553E-2</v>
      </c>
      <c r="L187" s="3">
        <f t="shared" si="123"/>
        <v>5.9569205174428153E-2</v>
      </c>
      <c r="M187" s="3">
        <f t="shared" si="123"/>
        <v>5.9569205174404165E-2</v>
      </c>
      <c r="N187" s="3">
        <f t="shared" si="123"/>
        <v>5.9569205174164329E-2</v>
      </c>
      <c r="O187" s="3">
        <f t="shared" si="123"/>
        <v>5.9569205171765879E-2</v>
      </c>
      <c r="P187" s="3">
        <f t="shared" si="123"/>
        <v>5.9569205147781405E-2</v>
      </c>
      <c r="Q187" s="3">
        <f t="shared" si="123"/>
        <v>5.9569204907936733E-2</v>
      </c>
      <c r="R187" s="3">
        <f t="shared" si="123"/>
        <v>5.9569202509490021E-2</v>
      </c>
      <c r="S187" s="3">
        <f t="shared" si="123"/>
        <v>5.9569178525028195E-2</v>
      </c>
      <c r="T187" s="3">
        <f t="shared" si="123"/>
        <v>5.9568938680941097E-2</v>
      </c>
      <c r="U187" s="3">
        <f t="shared" si="123"/>
        <v>5.9566540293182257E-2</v>
      </c>
      <c r="V187" s="3">
        <f t="shared" si="123"/>
        <v>5.9542561726017504E-2</v>
      </c>
      <c r="W187" s="3">
        <f t="shared" si="123"/>
        <v>5.9303306306471425E-2</v>
      </c>
      <c r="X187" s="3">
        <f t="shared" si="123"/>
        <v>5.696299581957192E-2</v>
      </c>
      <c r="Y187" s="3">
        <f t="shared" si="123"/>
        <v>3.8083071627330239E-2</v>
      </c>
      <c r="Z187" s="3">
        <f t="shared" si="123"/>
        <v>6.793967220777089E-4</v>
      </c>
      <c r="AA187" s="3">
        <f t="shared" si="123"/>
        <v>2.2183916567597914E-21</v>
      </c>
      <c r="AB187" s="3">
        <f t="shared" si="123"/>
        <v>3.0562296424248939E-196</v>
      </c>
      <c r="AC187" s="3">
        <f t="shared" si="123"/>
        <v>0</v>
      </c>
      <c r="AD187" s="3">
        <f t="shared" si="123"/>
        <v>0</v>
      </c>
      <c r="AE187" s="3">
        <f t="shared" si="123"/>
        <v>0</v>
      </c>
      <c r="AF187" s="3">
        <f t="shared" si="123"/>
        <v>0</v>
      </c>
      <c r="AG187" s="3"/>
      <c r="AH187" s="3"/>
    </row>
    <row r="188" spans="2:34" x14ac:dyDescent="0.25">
      <c r="B188" s="3">
        <f t="shared" ref="B188:AF188" si="124">$C35*EXP(-B$168/$A35/EXP(-$C$126))</f>
        <v>6.4663842713273356E-2</v>
      </c>
      <c r="C188" s="3">
        <f t="shared" si="124"/>
        <v>6.4663842713273356E-2</v>
      </c>
      <c r="D188" s="3">
        <f t="shared" si="124"/>
        <v>6.4663842713273356E-2</v>
      </c>
      <c r="E188" s="3">
        <f t="shared" si="124"/>
        <v>6.4663842713273356E-2</v>
      </c>
      <c r="F188" s="3">
        <f t="shared" si="124"/>
        <v>6.4663842713273356E-2</v>
      </c>
      <c r="G188" s="3">
        <f t="shared" si="124"/>
        <v>6.4663842713273356E-2</v>
      </c>
      <c r="H188" s="3">
        <f t="shared" si="124"/>
        <v>6.4663842713273356E-2</v>
      </c>
      <c r="I188" s="3">
        <f t="shared" si="124"/>
        <v>6.4663842713273356E-2</v>
      </c>
      <c r="J188" s="3">
        <f t="shared" si="124"/>
        <v>6.4663842713273356E-2</v>
      </c>
      <c r="K188" s="3">
        <f t="shared" si="124"/>
        <v>6.4663842713273328E-2</v>
      </c>
      <c r="L188" s="3">
        <f t="shared" si="124"/>
        <v>6.4663842713273093E-2</v>
      </c>
      <c r="M188" s="3">
        <f t="shared" si="124"/>
        <v>6.4663842713270747E-2</v>
      </c>
      <c r="N188" s="3">
        <f t="shared" si="124"/>
        <v>6.4663842713247266E-2</v>
      </c>
      <c r="O188" s="3">
        <f t="shared" si="124"/>
        <v>6.4663842713012398E-2</v>
      </c>
      <c r="P188" s="3">
        <f t="shared" si="124"/>
        <v>6.4663842710663763E-2</v>
      </c>
      <c r="Q188" s="3">
        <f t="shared" si="124"/>
        <v>6.4663842687177356E-2</v>
      </c>
      <c r="R188" s="3">
        <f t="shared" si="124"/>
        <v>6.4663842452313394E-2</v>
      </c>
      <c r="S188" s="3">
        <f t="shared" si="124"/>
        <v>6.4663840103673847E-2</v>
      </c>
      <c r="T188" s="3">
        <f t="shared" si="124"/>
        <v>6.4663816617283029E-2</v>
      </c>
      <c r="U188" s="3">
        <f t="shared" si="124"/>
        <v>6.4663581753843999E-2</v>
      </c>
      <c r="V188" s="3">
        <f t="shared" si="124"/>
        <v>6.4661233166370444E-2</v>
      </c>
      <c r="W188" s="3">
        <f t="shared" si="124"/>
        <v>6.4637751982674296E-2</v>
      </c>
      <c r="X188" s="3">
        <f t="shared" si="124"/>
        <v>6.4403408619864766E-2</v>
      </c>
      <c r="Y188" s="3">
        <f t="shared" si="124"/>
        <v>6.2106198909169644E-2</v>
      </c>
      <c r="Z188" s="3">
        <f t="shared" si="124"/>
        <v>4.3191264021642244E-2</v>
      </c>
      <c r="AA188" s="3">
        <f t="shared" si="124"/>
        <v>1.1428929578573787E-3</v>
      </c>
      <c r="AB188" s="3">
        <f t="shared" si="124"/>
        <v>1.923543369158122E-19</v>
      </c>
      <c r="AC188" s="3">
        <f t="shared" si="124"/>
        <v>3.5080537656059096E-177</v>
      </c>
      <c r="AD188" s="3">
        <f t="shared" si="124"/>
        <v>0</v>
      </c>
      <c r="AE188" s="3">
        <f t="shared" si="124"/>
        <v>0</v>
      </c>
      <c r="AF188" s="3">
        <f t="shared" si="124"/>
        <v>0</v>
      </c>
      <c r="AG188" s="3"/>
      <c r="AH188" s="3"/>
    </row>
    <row r="189" spans="2:34" x14ac:dyDescent="0.25">
      <c r="B189" s="3">
        <f t="shared" ref="B189:AF189" si="125">$C36*EXP(-B$168/$A36/EXP(-$C$126))</f>
        <v>4.8548005334617741E-2</v>
      </c>
      <c r="C189" s="3">
        <f t="shared" si="125"/>
        <v>4.8548005334617741E-2</v>
      </c>
      <c r="D189" s="3">
        <f t="shared" si="125"/>
        <v>4.8548005334617741E-2</v>
      </c>
      <c r="E189" s="3">
        <f t="shared" si="125"/>
        <v>4.8548005334617741E-2</v>
      </c>
      <c r="F189" s="3">
        <f t="shared" si="125"/>
        <v>4.8548005334617741E-2</v>
      </c>
      <c r="G189" s="3">
        <f t="shared" si="125"/>
        <v>4.8548005334617741E-2</v>
      </c>
      <c r="H189" s="3">
        <f t="shared" si="125"/>
        <v>4.8548005334617741E-2</v>
      </c>
      <c r="I189" s="3">
        <f t="shared" si="125"/>
        <v>4.8548005334617741E-2</v>
      </c>
      <c r="J189" s="3">
        <f t="shared" si="125"/>
        <v>4.8548005334617741E-2</v>
      </c>
      <c r="K189" s="3">
        <f t="shared" si="125"/>
        <v>4.8548005334617741E-2</v>
      </c>
      <c r="L189" s="3">
        <f t="shared" si="125"/>
        <v>4.8548005334617728E-2</v>
      </c>
      <c r="M189" s="3">
        <f t="shared" si="125"/>
        <v>4.8548005334617561E-2</v>
      </c>
      <c r="N189" s="3">
        <f t="shared" si="125"/>
        <v>4.8548005334615972E-2</v>
      </c>
      <c r="O189" s="3">
        <f t="shared" si="125"/>
        <v>4.8548005334600068E-2</v>
      </c>
      <c r="P189" s="3">
        <f t="shared" si="125"/>
        <v>4.8548005334441001E-2</v>
      </c>
      <c r="Q189" s="3">
        <f t="shared" si="125"/>
        <v>4.8548005332850357E-2</v>
      </c>
      <c r="R189" s="3">
        <f t="shared" si="125"/>
        <v>4.8548005316943928E-2</v>
      </c>
      <c r="S189" s="3">
        <f t="shared" si="125"/>
        <v>4.8548005157879576E-2</v>
      </c>
      <c r="T189" s="3">
        <f t="shared" si="125"/>
        <v>4.8548003567236118E-2</v>
      </c>
      <c r="U189" s="3">
        <f t="shared" si="125"/>
        <v>4.8547987660804412E-2</v>
      </c>
      <c r="V189" s="3">
        <f t="shared" si="125"/>
        <v>4.8547828596773937E-2</v>
      </c>
      <c r="W189" s="3">
        <f t="shared" si="125"/>
        <v>4.8546237985132849E-2</v>
      </c>
      <c r="X189" s="3">
        <f t="shared" si="125"/>
        <v>4.8530334734737265E-2</v>
      </c>
      <c r="Y189" s="3">
        <f t="shared" si="125"/>
        <v>4.8371588485175233E-2</v>
      </c>
      <c r="Z189" s="3">
        <f t="shared" si="125"/>
        <v>4.6812407428551202E-2</v>
      </c>
      <c r="AA189" s="3">
        <f t="shared" si="125"/>
        <v>3.3733953610026297E-2</v>
      </c>
      <c r="AB189" s="3">
        <f t="shared" si="125"/>
        <v>1.2738840933828308E-3</v>
      </c>
      <c r="AC189" s="3">
        <f t="shared" si="125"/>
        <v>7.5120181483008276E-18</v>
      </c>
      <c r="AD189" s="3">
        <f t="shared" si="125"/>
        <v>3.8196517247145069E-160</v>
      </c>
      <c r="AE189" s="3">
        <f t="shared" si="125"/>
        <v>0</v>
      </c>
      <c r="AF189" s="3">
        <f t="shared" si="125"/>
        <v>0</v>
      </c>
      <c r="AG189" s="3"/>
      <c r="AH189" s="3"/>
    </row>
    <row r="190" spans="2:34" x14ac:dyDescent="0.25">
      <c r="B190" s="3">
        <f t="shared" ref="B190:AF190" si="126">$C37*EXP(-B$168/$A37/EXP(-$C$126))</f>
        <v>3.8659494646510029E-2</v>
      </c>
      <c r="C190" s="3">
        <f t="shared" si="126"/>
        <v>3.8659494646510029E-2</v>
      </c>
      <c r="D190" s="3">
        <f t="shared" si="126"/>
        <v>3.8659494646510029E-2</v>
      </c>
      <c r="E190" s="3">
        <f t="shared" si="126"/>
        <v>3.8659494646510029E-2</v>
      </c>
      <c r="F190" s="3">
        <f t="shared" si="126"/>
        <v>3.8659494646510029E-2</v>
      </c>
      <c r="G190" s="3">
        <f t="shared" si="126"/>
        <v>3.8659494646510029E-2</v>
      </c>
      <c r="H190" s="3">
        <f t="shared" si="126"/>
        <v>3.8659494646510029E-2</v>
      </c>
      <c r="I190" s="3">
        <f t="shared" si="126"/>
        <v>3.8659494646510029E-2</v>
      </c>
      <c r="J190" s="3">
        <f t="shared" si="126"/>
        <v>3.8659494646510029E-2</v>
      </c>
      <c r="K190" s="3">
        <f t="shared" si="126"/>
        <v>3.8659494646510029E-2</v>
      </c>
      <c r="L190" s="3">
        <f t="shared" si="126"/>
        <v>3.8659494646510029E-2</v>
      </c>
      <c r="M190" s="3">
        <f t="shared" si="126"/>
        <v>3.8659494646510015E-2</v>
      </c>
      <c r="N190" s="3">
        <f t="shared" si="126"/>
        <v>3.8659494646509897E-2</v>
      </c>
      <c r="O190" s="3">
        <f t="shared" si="126"/>
        <v>3.8659494646508759E-2</v>
      </c>
      <c r="P190" s="3">
        <f t="shared" si="126"/>
        <v>3.865949464649733E-2</v>
      </c>
      <c r="Q190" s="3">
        <f t="shared" si="126"/>
        <v>3.8659494646383068E-2</v>
      </c>
      <c r="R190" s="3">
        <f t="shared" si="126"/>
        <v>3.8659494645240447E-2</v>
      </c>
      <c r="S190" s="3">
        <f t="shared" si="126"/>
        <v>3.8659494633814177E-2</v>
      </c>
      <c r="T190" s="3">
        <f t="shared" si="126"/>
        <v>3.865949451955155E-2</v>
      </c>
      <c r="U190" s="3">
        <f t="shared" si="126"/>
        <v>3.8659493376925251E-2</v>
      </c>
      <c r="V190" s="3">
        <f t="shared" si="126"/>
        <v>3.8659481950664078E-2</v>
      </c>
      <c r="W190" s="3">
        <f t="shared" si="126"/>
        <v>3.865936768823814E-2</v>
      </c>
      <c r="X190" s="3">
        <f t="shared" si="126"/>
        <v>3.8658225082552927E-2</v>
      </c>
      <c r="Y190" s="3">
        <f t="shared" si="126"/>
        <v>3.8646800882915874E-2</v>
      </c>
      <c r="Z190" s="3">
        <f t="shared" si="126"/>
        <v>3.8532744405111112E-2</v>
      </c>
      <c r="AA190" s="3">
        <f t="shared" si="126"/>
        <v>3.7410530198557689E-2</v>
      </c>
      <c r="AB190" s="3">
        <f t="shared" si="126"/>
        <v>2.783768258259969E-2</v>
      </c>
      <c r="AC190" s="3">
        <f t="shared" si="126"/>
        <v>1.4488560249696426E-3</v>
      </c>
      <c r="AD190" s="3">
        <f t="shared" si="126"/>
        <v>2.1132299496422575E-16</v>
      </c>
      <c r="AE190" s="3">
        <f t="shared" si="126"/>
        <v>9.2079301620873834E-145</v>
      </c>
      <c r="AF190" s="3">
        <f t="shared" si="126"/>
        <v>0</v>
      </c>
      <c r="AG190" s="3"/>
      <c r="AH190" s="3"/>
    </row>
    <row r="191" spans="2:34" x14ac:dyDescent="0.25">
      <c r="B191" s="3">
        <f t="shared" ref="B191:AF191" si="127">$C38*EXP(-B$168/$A38/EXP(-$C$126))</f>
        <v>6.6103757573429938E-3</v>
      </c>
      <c r="C191" s="3">
        <f t="shared" si="127"/>
        <v>6.6103757573429938E-3</v>
      </c>
      <c r="D191" s="3">
        <f t="shared" si="127"/>
        <v>6.6103757573429938E-3</v>
      </c>
      <c r="E191" s="3">
        <f t="shared" si="127"/>
        <v>6.6103757573429938E-3</v>
      </c>
      <c r="F191" s="3">
        <f t="shared" si="127"/>
        <v>6.6103757573429938E-3</v>
      </c>
      <c r="G191" s="3">
        <f t="shared" si="127"/>
        <v>6.6103757573429938E-3</v>
      </c>
      <c r="H191" s="3">
        <f t="shared" si="127"/>
        <v>6.6103757573429938E-3</v>
      </c>
      <c r="I191" s="3">
        <f t="shared" si="127"/>
        <v>6.6103757573429938E-3</v>
      </c>
      <c r="J191" s="3">
        <f t="shared" si="127"/>
        <v>6.6103757573429938E-3</v>
      </c>
      <c r="K191" s="3">
        <f t="shared" si="127"/>
        <v>6.6103757573429938E-3</v>
      </c>
      <c r="L191" s="3">
        <f t="shared" si="127"/>
        <v>6.6103757573429938E-3</v>
      </c>
      <c r="M191" s="3">
        <f t="shared" si="127"/>
        <v>6.6103757573429938E-3</v>
      </c>
      <c r="N191" s="3">
        <f t="shared" si="127"/>
        <v>6.6103757573429912E-3</v>
      </c>
      <c r="O191" s="3">
        <f t="shared" si="127"/>
        <v>6.6103757573429739E-3</v>
      </c>
      <c r="P191" s="3">
        <f t="shared" si="127"/>
        <v>6.6103757573427978E-3</v>
      </c>
      <c r="Q191" s="3">
        <f t="shared" si="127"/>
        <v>6.6103757573410362E-3</v>
      </c>
      <c r="R191" s="3">
        <f t="shared" si="127"/>
        <v>6.6103757573234114E-3</v>
      </c>
      <c r="S191" s="3">
        <f t="shared" si="127"/>
        <v>6.6103757571471643E-3</v>
      </c>
      <c r="T191" s="3">
        <f t="shared" si="127"/>
        <v>6.6103757553846974E-3</v>
      </c>
      <c r="U191" s="3">
        <f t="shared" si="127"/>
        <v>6.6103757377600362E-3</v>
      </c>
      <c r="V191" s="3">
        <f t="shared" si="127"/>
        <v>6.6103755615134216E-3</v>
      </c>
      <c r="W191" s="3">
        <f t="shared" si="127"/>
        <v>6.6103737990475366E-3</v>
      </c>
      <c r="X191" s="3">
        <f t="shared" si="127"/>
        <v>6.6103561744145301E-3</v>
      </c>
      <c r="Y191" s="3">
        <f t="shared" si="127"/>
        <v>6.610179930668942E-3</v>
      </c>
      <c r="Z191" s="3">
        <f t="shared" si="127"/>
        <v>6.6084177516356783E-3</v>
      </c>
      <c r="AA191" s="3">
        <f t="shared" si="127"/>
        <v>6.5908217780895747E-3</v>
      </c>
      <c r="AB191" s="3">
        <f t="shared" si="127"/>
        <v>6.417418433677209E-3</v>
      </c>
      <c r="AC191" s="3">
        <f t="shared" si="127"/>
        <v>4.9155062315514508E-3</v>
      </c>
      <c r="AD191" s="3">
        <f t="shared" si="127"/>
        <v>3.4170173721655004E-4</v>
      </c>
      <c r="AE191" s="3">
        <f t="shared" si="127"/>
        <v>9.0040219348357564E-16</v>
      </c>
      <c r="AF191" s="3">
        <f t="shared" si="127"/>
        <v>1.4532158295767114E-131</v>
      </c>
      <c r="AG191" s="3"/>
      <c r="AH191" s="3"/>
    </row>
    <row r="192" spans="2:34" x14ac:dyDescent="0.25">
      <c r="B192" s="3">
        <f t="shared" ref="B192:AF192" si="128">$C39*EXP(-B$168/$A39/EXP(-$C$126))</f>
        <v>1.6903393193058183E-2</v>
      </c>
      <c r="C192" s="3">
        <f t="shared" si="128"/>
        <v>1.6903393193058183E-2</v>
      </c>
      <c r="D192" s="3">
        <f t="shared" si="128"/>
        <v>1.6903393193058183E-2</v>
      </c>
      <c r="E192" s="3">
        <f t="shared" si="128"/>
        <v>1.6903393193058183E-2</v>
      </c>
      <c r="F192" s="3">
        <f t="shared" si="128"/>
        <v>1.6903393193058183E-2</v>
      </c>
      <c r="G192" s="3">
        <f t="shared" si="128"/>
        <v>1.6903393193058183E-2</v>
      </c>
      <c r="H192" s="3">
        <f t="shared" si="128"/>
        <v>1.6903393193058183E-2</v>
      </c>
      <c r="I192" s="3">
        <f t="shared" si="128"/>
        <v>1.6903393193058183E-2</v>
      </c>
      <c r="J192" s="3">
        <f t="shared" si="128"/>
        <v>1.6903393193058183E-2</v>
      </c>
      <c r="K192" s="3">
        <f t="shared" si="128"/>
        <v>1.6903393193058183E-2</v>
      </c>
      <c r="L192" s="3">
        <f t="shared" si="128"/>
        <v>1.6903393193058183E-2</v>
      </c>
      <c r="M192" s="3">
        <f t="shared" si="128"/>
        <v>1.6903393193058183E-2</v>
      </c>
      <c r="N192" s="3">
        <f t="shared" si="128"/>
        <v>1.690339319305818E-2</v>
      </c>
      <c r="O192" s="3">
        <f t="shared" si="128"/>
        <v>1.6903393193058169E-2</v>
      </c>
      <c r="P192" s="3">
        <f t="shared" si="128"/>
        <v>1.6903393193058044E-2</v>
      </c>
      <c r="Q192" s="3">
        <f t="shared" si="128"/>
        <v>1.6903393193056799E-2</v>
      </c>
      <c r="R192" s="3">
        <f t="shared" si="128"/>
        <v>1.6903393193044333E-2</v>
      </c>
      <c r="S192" s="3">
        <f t="shared" si="128"/>
        <v>1.6903393192919686E-2</v>
      </c>
      <c r="T192" s="3">
        <f t="shared" si="128"/>
        <v>1.6903393191673218E-2</v>
      </c>
      <c r="U192" s="3">
        <f t="shared" si="128"/>
        <v>1.6903393179208529E-2</v>
      </c>
      <c r="V192" s="3">
        <f t="shared" si="128"/>
        <v>1.6903393054561656E-2</v>
      </c>
      <c r="W192" s="3">
        <f t="shared" si="128"/>
        <v>1.690339180809295E-2</v>
      </c>
      <c r="X192" s="3">
        <f t="shared" si="128"/>
        <v>1.6903379343410956E-2</v>
      </c>
      <c r="Y192" s="3">
        <f t="shared" si="128"/>
        <v>1.6903254697096557E-2</v>
      </c>
      <c r="Z192" s="3">
        <f t="shared" si="128"/>
        <v>1.6902008284504565E-2</v>
      </c>
      <c r="AA192" s="3">
        <f t="shared" si="128"/>
        <v>1.6889549212406665E-2</v>
      </c>
      <c r="AB192" s="3">
        <f t="shared" si="128"/>
        <v>1.6765462497454302E-2</v>
      </c>
      <c r="AC192" s="3">
        <f t="shared" si="128"/>
        <v>1.5573647520606375E-2</v>
      </c>
      <c r="AD192" s="3">
        <f t="shared" si="128"/>
        <v>7.4496928367994422E-3</v>
      </c>
      <c r="AE192" s="3">
        <f t="shared" si="128"/>
        <v>4.6732457558594924E-6</v>
      </c>
      <c r="AF192" s="3">
        <f t="shared" si="128"/>
        <v>4.4098229992445698E-38</v>
      </c>
      <c r="AG192" s="3"/>
      <c r="AH192" s="3"/>
    </row>
    <row r="193" spans="1:34" x14ac:dyDescent="0.25">
      <c r="B193" s="3">
        <f t="shared" ref="B193:AF193" si="129">$C40*EXP(-B$168/$A40/EXP(-$C$126))</f>
        <v>1.9810156254800116E-3</v>
      </c>
      <c r="C193" s="3">
        <f t="shared" si="129"/>
        <v>1.9810156254800116E-3</v>
      </c>
      <c r="D193" s="3">
        <f t="shared" si="129"/>
        <v>1.9810156254800116E-3</v>
      </c>
      <c r="E193" s="3">
        <f t="shared" si="129"/>
        <v>1.9810156254800116E-3</v>
      </c>
      <c r="F193" s="3">
        <f t="shared" si="129"/>
        <v>1.9810156254800116E-3</v>
      </c>
      <c r="G193" s="3">
        <f t="shared" si="129"/>
        <v>1.9810156254800116E-3</v>
      </c>
      <c r="H193" s="3">
        <f t="shared" si="129"/>
        <v>1.9810156254800116E-3</v>
      </c>
      <c r="I193" s="3">
        <f t="shared" si="129"/>
        <v>1.9810156254800116E-3</v>
      </c>
      <c r="J193" s="3">
        <f t="shared" si="129"/>
        <v>1.9810156254800116E-3</v>
      </c>
      <c r="K193" s="3">
        <f t="shared" si="129"/>
        <v>1.9810156254800116E-3</v>
      </c>
      <c r="L193" s="3">
        <f t="shared" si="129"/>
        <v>1.9810156254800116E-3</v>
      </c>
      <c r="M193" s="3">
        <f t="shared" si="129"/>
        <v>1.9810156254800116E-3</v>
      </c>
      <c r="N193" s="3">
        <f t="shared" si="129"/>
        <v>1.9810156254800116E-3</v>
      </c>
      <c r="O193" s="3">
        <f t="shared" si="129"/>
        <v>1.9810156254800111E-3</v>
      </c>
      <c r="P193" s="3">
        <f t="shared" si="129"/>
        <v>1.9810156254800098E-3</v>
      </c>
      <c r="Q193" s="3">
        <f t="shared" si="129"/>
        <v>1.9810156254799951E-3</v>
      </c>
      <c r="R193" s="3">
        <f t="shared" si="129"/>
        <v>1.9810156254798494E-3</v>
      </c>
      <c r="S193" s="3">
        <f t="shared" si="129"/>
        <v>1.9810156254783883E-3</v>
      </c>
      <c r="T193" s="3">
        <f t="shared" si="129"/>
        <v>1.9810156254637802E-3</v>
      </c>
      <c r="U193" s="3">
        <f t="shared" si="129"/>
        <v>1.9810156253176987E-3</v>
      </c>
      <c r="V193" s="3">
        <f t="shared" si="129"/>
        <v>1.9810156238568829E-3</v>
      </c>
      <c r="W193" s="3">
        <f t="shared" si="129"/>
        <v>1.981015609248727E-3</v>
      </c>
      <c r="X193" s="3">
        <f t="shared" si="129"/>
        <v>1.9810154631671709E-3</v>
      </c>
      <c r="Y193" s="3">
        <f t="shared" si="129"/>
        <v>1.9810140023522023E-3</v>
      </c>
      <c r="Z193" s="3">
        <f t="shared" si="129"/>
        <v>1.9809993942617636E-3</v>
      </c>
      <c r="AA193" s="3">
        <f t="shared" si="129"/>
        <v>1.9808533192818868E-3</v>
      </c>
      <c r="AB193" s="3">
        <f t="shared" si="129"/>
        <v>1.9793931617725019E-3</v>
      </c>
      <c r="AC193" s="3">
        <f t="shared" si="129"/>
        <v>1.9648506543346422E-3</v>
      </c>
      <c r="AD193" s="3">
        <f t="shared" si="129"/>
        <v>1.8251743145103728E-3</v>
      </c>
      <c r="AE193" s="3">
        <f t="shared" si="129"/>
        <v>8.7307665071572422E-4</v>
      </c>
      <c r="AF193" s="3">
        <f t="shared" si="129"/>
        <v>5.4768724588786974E-7</v>
      </c>
      <c r="AG193" s="3"/>
      <c r="AH193" s="3"/>
    </row>
    <row r="194" spans="1:34" x14ac:dyDescent="0.25">
      <c r="B194" s="3">
        <f t="shared" ref="B194:AF194" si="130">$C41*EXP(-B$168/$A41/EXP(-$C$126))</f>
        <v>4.9795148637895425E-3</v>
      </c>
      <c r="C194" s="3">
        <f t="shared" si="130"/>
        <v>4.9795148637895425E-3</v>
      </c>
      <c r="D194" s="3">
        <f t="shared" si="130"/>
        <v>4.9795148637895425E-3</v>
      </c>
      <c r="E194" s="3">
        <f t="shared" si="130"/>
        <v>4.9795148637895425E-3</v>
      </c>
      <c r="F194" s="3">
        <f t="shared" si="130"/>
        <v>4.9795148637895425E-3</v>
      </c>
      <c r="G194" s="3">
        <f t="shared" si="130"/>
        <v>4.9795148637895425E-3</v>
      </c>
      <c r="H194" s="3">
        <f t="shared" si="130"/>
        <v>4.9795148637895425E-3</v>
      </c>
      <c r="I194" s="3">
        <f t="shared" si="130"/>
        <v>4.9795148637895425E-3</v>
      </c>
      <c r="J194" s="3">
        <f t="shared" si="130"/>
        <v>4.9795148637895425E-3</v>
      </c>
      <c r="K194" s="3">
        <f t="shared" si="130"/>
        <v>4.9795148637895425E-3</v>
      </c>
      <c r="L194" s="3">
        <f t="shared" si="130"/>
        <v>4.9795148637895425E-3</v>
      </c>
      <c r="M194" s="3">
        <f t="shared" si="130"/>
        <v>4.9795148637895425E-3</v>
      </c>
      <c r="N194" s="3">
        <f t="shared" si="130"/>
        <v>4.9795148637895425E-3</v>
      </c>
      <c r="O194" s="3">
        <f t="shared" si="130"/>
        <v>4.9795148637895425E-3</v>
      </c>
      <c r="P194" s="3">
        <f t="shared" si="130"/>
        <v>4.9795148637895416E-3</v>
      </c>
      <c r="Q194" s="3">
        <f t="shared" si="130"/>
        <v>4.979514863789539E-3</v>
      </c>
      <c r="R194" s="3">
        <f t="shared" si="130"/>
        <v>4.9795148637895017E-3</v>
      </c>
      <c r="S194" s="3">
        <f t="shared" si="130"/>
        <v>4.9795148637891348E-3</v>
      </c>
      <c r="T194" s="3">
        <f t="shared" si="130"/>
        <v>4.9795148637854624E-3</v>
      </c>
      <c r="U194" s="3">
        <f t="shared" si="130"/>
        <v>4.9795148637487435E-3</v>
      </c>
      <c r="V194" s="3">
        <f t="shared" si="130"/>
        <v>4.9795148633815503E-3</v>
      </c>
      <c r="W194" s="3">
        <f t="shared" si="130"/>
        <v>4.9795148597096186E-3</v>
      </c>
      <c r="X194" s="3">
        <f t="shared" si="130"/>
        <v>4.979514822990307E-3</v>
      </c>
      <c r="Y194" s="3">
        <f t="shared" si="130"/>
        <v>4.9795144557972012E-3</v>
      </c>
      <c r="Z194" s="3">
        <f t="shared" si="130"/>
        <v>4.9795107838676335E-3</v>
      </c>
      <c r="AA194" s="3">
        <f t="shared" si="130"/>
        <v>4.9794740647208808E-3</v>
      </c>
      <c r="AB194" s="3">
        <f t="shared" si="130"/>
        <v>4.9791068881453061E-3</v>
      </c>
      <c r="AC194" s="3">
        <f t="shared" si="130"/>
        <v>4.9754366111783117E-3</v>
      </c>
      <c r="AD194" s="3">
        <f t="shared" si="130"/>
        <v>4.9388823149818612E-3</v>
      </c>
      <c r="AE194" s="3">
        <f t="shared" si="130"/>
        <v>4.5877894708221184E-3</v>
      </c>
      <c r="AF194" s="3">
        <f t="shared" si="130"/>
        <v>2.1945804483057096E-3</v>
      </c>
      <c r="AG194" s="3"/>
      <c r="AH194" s="3"/>
    </row>
    <row r="195" spans="1:34" x14ac:dyDescent="0.25">
      <c r="B195" s="3">
        <f t="shared" ref="B195:AF195" si="131">$C42*EXP(-B$168/$A42/EXP(-$C$126))</f>
        <v>1.5203897421204233E-3</v>
      </c>
      <c r="C195" s="3">
        <f t="shared" si="131"/>
        <v>1.5203897421204233E-3</v>
      </c>
      <c r="D195" s="3">
        <f t="shared" si="131"/>
        <v>1.5203897421204233E-3</v>
      </c>
      <c r="E195" s="3">
        <f t="shared" si="131"/>
        <v>1.5203897421204233E-3</v>
      </c>
      <c r="F195" s="3">
        <f t="shared" si="131"/>
        <v>1.5203897421204233E-3</v>
      </c>
      <c r="G195" s="3">
        <f t="shared" si="131"/>
        <v>1.5203897421204233E-3</v>
      </c>
      <c r="H195" s="3">
        <f t="shared" si="131"/>
        <v>1.5203897421204233E-3</v>
      </c>
      <c r="I195" s="3">
        <f t="shared" si="131"/>
        <v>1.5203897421204233E-3</v>
      </c>
      <c r="J195" s="3">
        <f t="shared" si="131"/>
        <v>1.5203897421204233E-3</v>
      </c>
      <c r="K195" s="3">
        <f t="shared" si="131"/>
        <v>1.5203897421204233E-3</v>
      </c>
      <c r="L195" s="3">
        <f t="shared" si="131"/>
        <v>1.5203897421204233E-3</v>
      </c>
      <c r="M195" s="3">
        <f t="shared" si="131"/>
        <v>1.5203897421204233E-3</v>
      </c>
      <c r="N195" s="3">
        <f t="shared" si="131"/>
        <v>1.5203897421204233E-3</v>
      </c>
      <c r="O195" s="3">
        <f t="shared" si="131"/>
        <v>1.5203897421204233E-3</v>
      </c>
      <c r="P195" s="3">
        <f t="shared" si="131"/>
        <v>1.5203897421204233E-3</v>
      </c>
      <c r="Q195" s="3">
        <f t="shared" si="131"/>
        <v>1.5203897421204231E-3</v>
      </c>
      <c r="R195" s="3">
        <f t="shared" si="131"/>
        <v>1.5203897421204222E-3</v>
      </c>
      <c r="S195" s="3">
        <f t="shared" si="131"/>
        <v>1.5203897421204107E-3</v>
      </c>
      <c r="T195" s="3">
        <f t="shared" si="131"/>
        <v>1.5203897421202988E-3</v>
      </c>
      <c r="U195" s="3">
        <f t="shared" si="131"/>
        <v>1.5203897421191776E-3</v>
      </c>
      <c r="V195" s="3">
        <f t="shared" si="131"/>
        <v>1.520389742107966E-3</v>
      </c>
      <c r="W195" s="3">
        <f t="shared" si="131"/>
        <v>1.5203897419958515E-3</v>
      </c>
      <c r="X195" s="3">
        <f t="shared" si="131"/>
        <v>1.5203897408747047E-3</v>
      </c>
      <c r="Y195" s="3">
        <f t="shared" si="131"/>
        <v>1.5203897296632381E-3</v>
      </c>
      <c r="Z195" s="3">
        <f t="shared" si="131"/>
        <v>1.520389617548575E-3</v>
      </c>
      <c r="AA195" s="3">
        <f t="shared" si="131"/>
        <v>1.5203884964023989E-3</v>
      </c>
      <c r="AB195" s="3">
        <f t="shared" si="131"/>
        <v>1.5203772849861083E-3</v>
      </c>
      <c r="AC195" s="3">
        <f t="shared" si="131"/>
        <v>1.5202651753701475E-3</v>
      </c>
      <c r="AD195" s="3">
        <f t="shared" si="131"/>
        <v>1.5191445337807553E-3</v>
      </c>
      <c r="AE195" s="3">
        <f t="shared" si="131"/>
        <v>1.5079834511275709E-3</v>
      </c>
      <c r="AF195" s="3">
        <f t="shared" si="131"/>
        <v>1.4007846630138786E-3</v>
      </c>
      <c r="AG195" s="3"/>
      <c r="AH195" s="3"/>
    </row>
    <row r="196" spans="1:34" x14ac:dyDescent="0.25">
      <c r="B196" s="3">
        <f t="shared" ref="B196:AF196" si="132">$C43*EXP(-B$168/$A43/EXP(-$C$126))</f>
        <v>3.2547360985645695E-4</v>
      </c>
      <c r="C196" s="3">
        <f t="shared" si="132"/>
        <v>3.2547360985645695E-4</v>
      </c>
      <c r="D196" s="3">
        <f t="shared" si="132"/>
        <v>3.2547360985645695E-4</v>
      </c>
      <c r="E196" s="3">
        <f t="shared" si="132"/>
        <v>3.2547360985645695E-4</v>
      </c>
      <c r="F196" s="3">
        <f t="shared" si="132"/>
        <v>3.2547360985645695E-4</v>
      </c>
      <c r="G196" s="3">
        <f t="shared" si="132"/>
        <v>3.2547360985645695E-4</v>
      </c>
      <c r="H196" s="3">
        <f t="shared" si="132"/>
        <v>3.2547360985645695E-4</v>
      </c>
      <c r="I196" s="3">
        <f t="shared" si="132"/>
        <v>3.2547360985645695E-4</v>
      </c>
      <c r="J196" s="3">
        <f t="shared" si="132"/>
        <v>3.2547360985645695E-4</v>
      </c>
      <c r="K196" s="3">
        <f t="shared" si="132"/>
        <v>3.2547360985645695E-4</v>
      </c>
      <c r="L196" s="3">
        <f t="shared" si="132"/>
        <v>3.2547360985645695E-4</v>
      </c>
      <c r="M196" s="3">
        <f t="shared" si="132"/>
        <v>3.2547360985645695E-4</v>
      </c>
      <c r="N196" s="3">
        <f t="shared" si="132"/>
        <v>3.2547360985645695E-4</v>
      </c>
      <c r="O196" s="3">
        <f t="shared" si="132"/>
        <v>3.2547360985645695E-4</v>
      </c>
      <c r="P196" s="3">
        <f t="shared" si="132"/>
        <v>3.2547360985645695E-4</v>
      </c>
      <c r="Q196" s="3">
        <f t="shared" si="132"/>
        <v>3.2547360985645695E-4</v>
      </c>
      <c r="R196" s="3">
        <f t="shared" si="132"/>
        <v>3.254736098564569E-4</v>
      </c>
      <c r="S196" s="3">
        <f t="shared" si="132"/>
        <v>3.2547360985645668E-4</v>
      </c>
      <c r="T196" s="3">
        <f t="shared" si="132"/>
        <v>3.254736098564543E-4</v>
      </c>
      <c r="U196" s="3">
        <f t="shared" si="132"/>
        <v>3.2547360985643028E-4</v>
      </c>
      <c r="V196" s="3">
        <f t="shared" si="132"/>
        <v>3.2547360985619029E-4</v>
      </c>
      <c r="W196" s="3">
        <f t="shared" si="132"/>
        <v>3.2547360985379019E-4</v>
      </c>
      <c r="X196" s="3">
        <f t="shared" si="132"/>
        <v>3.2547360982978954E-4</v>
      </c>
      <c r="Y196" s="3">
        <f t="shared" si="132"/>
        <v>3.254736095897829E-4</v>
      </c>
      <c r="Z196" s="3">
        <f t="shared" si="132"/>
        <v>3.2547360718971637E-4</v>
      </c>
      <c r="AA196" s="3">
        <f t="shared" si="132"/>
        <v>3.2547358318905185E-4</v>
      </c>
      <c r="AB196" s="3">
        <f t="shared" si="132"/>
        <v>3.2547334318250418E-4</v>
      </c>
      <c r="AC196" s="3">
        <f t="shared" si="132"/>
        <v>3.2547094312676154E-4</v>
      </c>
      <c r="AD196" s="3">
        <f t="shared" si="132"/>
        <v>3.2544694354271045E-4</v>
      </c>
      <c r="AE196" s="3">
        <f t="shared" si="132"/>
        <v>3.2520704501317547E-4</v>
      </c>
      <c r="AF196" s="3">
        <f t="shared" si="132"/>
        <v>3.2281776431731136E-4</v>
      </c>
      <c r="AG196" s="3"/>
      <c r="AH196" s="3"/>
    </row>
    <row r="197" spans="1:34" x14ac:dyDescent="0.25">
      <c r="B197" s="3">
        <f t="shared" ref="B197:AF197" si="133">$C44*EXP(-B$168/$A44/EXP(-$C$126))</f>
        <v>3.3657757333866336E-3</v>
      </c>
      <c r="C197" s="3">
        <f t="shared" si="133"/>
        <v>3.3657757333866336E-3</v>
      </c>
      <c r="D197" s="3">
        <f t="shared" si="133"/>
        <v>3.3657757333866336E-3</v>
      </c>
      <c r="E197" s="3">
        <f t="shared" si="133"/>
        <v>3.3657757333866336E-3</v>
      </c>
      <c r="F197" s="3">
        <f t="shared" si="133"/>
        <v>3.3657757333866336E-3</v>
      </c>
      <c r="G197" s="3">
        <f t="shared" si="133"/>
        <v>3.3657757333866336E-3</v>
      </c>
      <c r="H197" s="3">
        <f t="shared" si="133"/>
        <v>3.3657757333866336E-3</v>
      </c>
      <c r="I197" s="3">
        <f t="shared" si="133"/>
        <v>3.3657757333866336E-3</v>
      </c>
      <c r="J197" s="3">
        <f t="shared" si="133"/>
        <v>3.3657757333866336E-3</v>
      </c>
      <c r="K197" s="3">
        <f t="shared" si="133"/>
        <v>3.3657757333866336E-3</v>
      </c>
      <c r="L197" s="3">
        <f t="shared" si="133"/>
        <v>3.3657757333866336E-3</v>
      </c>
      <c r="M197" s="3">
        <f t="shared" si="133"/>
        <v>3.3657757333866336E-3</v>
      </c>
      <c r="N197" s="3">
        <f t="shared" si="133"/>
        <v>3.3657757333866336E-3</v>
      </c>
      <c r="O197" s="3">
        <f t="shared" si="133"/>
        <v>3.3657757333866336E-3</v>
      </c>
      <c r="P197" s="3">
        <f t="shared" si="133"/>
        <v>3.3657757333866336E-3</v>
      </c>
      <c r="Q197" s="3">
        <f t="shared" si="133"/>
        <v>3.3657757333866336E-3</v>
      </c>
      <c r="R197" s="3">
        <f t="shared" si="133"/>
        <v>3.3657757333866336E-3</v>
      </c>
      <c r="S197" s="3">
        <f t="shared" si="133"/>
        <v>3.3657757333866332E-3</v>
      </c>
      <c r="T197" s="3">
        <f t="shared" si="133"/>
        <v>3.365775733386631E-3</v>
      </c>
      <c r="U197" s="3">
        <f t="shared" si="133"/>
        <v>3.3657757333866059E-3</v>
      </c>
      <c r="V197" s="3">
        <f t="shared" si="133"/>
        <v>3.3657757333863578E-3</v>
      </c>
      <c r="W197" s="3">
        <f t="shared" si="133"/>
        <v>3.3657757333838759E-3</v>
      </c>
      <c r="X197" s="3">
        <f t="shared" si="133"/>
        <v>3.3657757333590563E-3</v>
      </c>
      <c r="Y197" s="3">
        <f t="shared" si="133"/>
        <v>3.3657757331108616E-3</v>
      </c>
      <c r="Z197" s="3">
        <f t="shared" si="133"/>
        <v>3.3657757306289134E-3</v>
      </c>
      <c r="AA197" s="3">
        <f t="shared" si="133"/>
        <v>3.365775705809434E-3</v>
      </c>
      <c r="AB197" s="3">
        <f t="shared" si="133"/>
        <v>3.3657754576146442E-3</v>
      </c>
      <c r="AC197" s="3">
        <f t="shared" si="133"/>
        <v>3.3657729756677531E-3</v>
      </c>
      <c r="AD197" s="3">
        <f t="shared" si="133"/>
        <v>3.3657481562995072E-3</v>
      </c>
      <c r="AE197" s="3">
        <f t="shared" si="133"/>
        <v>3.3654999726828809E-3</v>
      </c>
      <c r="AF197" s="3">
        <f t="shared" si="133"/>
        <v>3.3630191428253085E-3</v>
      </c>
      <c r="AG197" s="3"/>
      <c r="AH197" s="3"/>
    </row>
    <row r="198" spans="1:34" x14ac:dyDescent="0.25">
      <c r="B198" s="3">
        <f t="shared" ref="B198:AF198" si="134">$C45*EXP(-B$168/$A45/EXP(-$C$126))</f>
        <v>7.1877880972849508E-4</v>
      </c>
      <c r="C198" s="3">
        <f t="shared" si="134"/>
        <v>7.1877880972849508E-4</v>
      </c>
      <c r="D198" s="3">
        <f t="shared" si="134"/>
        <v>7.1877880972849508E-4</v>
      </c>
      <c r="E198" s="3">
        <f t="shared" si="134"/>
        <v>7.1877880972849508E-4</v>
      </c>
      <c r="F198" s="3">
        <f t="shared" si="134"/>
        <v>7.1877880972849508E-4</v>
      </c>
      <c r="G198" s="3">
        <f t="shared" si="134"/>
        <v>7.1877880972849508E-4</v>
      </c>
      <c r="H198" s="3">
        <f t="shared" si="134"/>
        <v>7.1877880972849508E-4</v>
      </c>
      <c r="I198" s="3">
        <f t="shared" si="134"/>
        <v>7.1877880972849508E-4</v>
      </c>
      <c r="J198" s="3">
        <f t="shared" si="134"/>
        <v>7.1877880972849508E-4</v>
      </c>
      <c r="K198" s="3">
        <f t="shared" si="134"/>
        <v>7.1877880972849508E-4</v>
      </c>
      <c r="L198" s="3">
        <f t="shared" si="134"/>
        <v>7.1877880972849508E-4</v>
      </c>
      <c r="M198" s="3">
        <f t="shared" si="134"/>
        <v>7.1877880972849508E-4</v>
      </c>
      <c r="N198" s="3">
        <f t="shared" si="134"/>
        <v>7.1877880972849508E-4</v>
      </c>
      <c r="O198" s="3">
        <f t="shared" si="134"/>
        <v>7.1877880972849508E-4</v>
      </c>
      <c r="P198" s="3">
        <f t="shared" si="134"/>
        <v>7.1877880972849508E-4</v>
      </c>
      <c r="Q198" s="3">
        <f t="shared" si="134"/>
        <v>7.1877880972849508E-4</v>
      </c>
      <c r="R198" s="3">
        <f t="shared" si="134"/>
        <v>7.1877880972849508E-4</v>
      </c>
      <c r="S198" s="3">
        <f t="shared" si="134"/>
        <v>7.1877880972849508E-4</v>
      </c>
      <c r="T198" s="3">
        <f t="shared" si="134"/>
        <v>7.1877880972849497E-4</v>
      </c>
      <c r="U198" s="3">
        <f t="shared" si="134"/>
        <v>7.1877880972849454E-4</v>
      </c>
      <c r="V198" s="3">
        <f t="shared" si="134"/>
        <v>7.1877880972848922E-4</v>
      </c>
      <c r="W198" s="3">
        <f t="shared" si="134"/>
        <v>7.1877880972843621E-4</v>
      </c>
      <c r="X198" s="3">
        <f t="shared" si="134"/>
        <v>7.1877880972790614E-4</v>
      </c>
      <c r="Y198" s="3">
        <f t="shared" si="134"/>
        <v>7.187788097226058E-4</v>
      </c>
      <c r="Z198" s="3">
        <f t="shared" si="134"/>
        <v>7.1877880966960252E-4</v>
      </c>
      <c r="AA198" s="3">
        <f t="shared" si="134"/>
        <v>7.1877880913956969E-4</v>
      </c>
      <c r="AB198" s="3">
        <f t="shared" si="134"/>
        <v>7.1877880383924148E-4</v>
      </c>
      <c r="AC198" s="3">
        <f t="shared" si="134"/>
        <v>7.1877875083596089E-4</v>
      </c>
      <c r="AD198" s="3">
        <f t="shared" si="134"/>
        <v>7.1877822080337016E-4</v>
      </c>
      <c r="AE198" s="3">
        <f t="shared" si="134"/>
        <v>7.1877292049895907E-4</v>
      </c>
      <c r="AF198" s="3">
        <f t="shared" si="134"/>
        <v>7.1871991960446011E-4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6.8174095740770341E-3</v>
      </c>
      <c r="C201" s="3">
        <f t="shared" si="137"/>
        <v>6.8174095740770341E-3</v>
      </c>
      <c r="D201" s="3">
        <f t="shared" si="137"/>
        <v>6.8174095740770341E-3</v>
      </c>
      <c r="E201" s="3">
        <f t="shared" si="137"/>
        <v>6.8174095740770341E-3</v>
      </c>
      <c r="F201" s="3">
        <f t="shared" si="137"/>
        <v>6.8174095740770341E-3</v>
      </c>
      <c r="G201" s="3">
        <f t="shared" si="137"/>
        <v>6.8174095740770341E-3</v>
      </c>
      <c r="H201" s="3">
        <f t="shared" si="137"/>
        <v>6.8174095740770341E-3</v>
      </c>
      <c r="I201" s="3">
        <f t="shared" si="137"/>
        <v>6.8174095740770341E-3</v>
      </c>
      <c r="J201" s="3">
        <f t="shared" si="137"/>
        <v>6.8174095740770341E-3</v>
      </c>
      <c r="K201" s="3">
        <f t="shared" si="137"/>
        <v>6.8174095740770341E-3</v>
      </c>
      <c r="L201" s="3">
        <f t="shared" si="137"/>
        <v>6.8174095740770341E-3</v>
      </c>
      <c r="M201" s="3">
        <f t="shared" si="137"/>
        <v>6.8174095740770341E-3</v>
      </c>
      <c r="N201" s="3">
        <f t="shared" si="137"/>
        <v>6.8174095740770341E-3</v>
      </c>
      <c r="O201" s="3">
        <f t="shared" si="137"/>
        <v>6.8174095740770341E-3</v>
      </c>
      <c r="P201" s="3">
        <f t="shared" si="137"/>
        <v>6.8174095740770341E-3</v>
      </c>
      <c r="Q201" s="3">
        <f t="shared" si="137"/>
        <v>6.8174095740770341E-3</v>
      </c>
      <c r="R201" s="3">
        <f t="shared" si="137"/>
        <v>6.8174095740770341E-3</v>
      </c>
      <c r="S201" s="3">
        <f t="shared" si="137"/>
        <v>6.8174095740770341E-3</v>
      </c>
      <c r="T201" s="3">
        <f t="shared" si="137"/>
        <v>6.8174095740770341E-3</v>
      </c>
      <c r="U201" s="3">
        <f t="shared" si="137"/>
        <v>6.8174095740770341E-3</v>
      </c>
      <c r="V201" s="3">
        <f t="shared" si="137"/>
        <v>6.8174095740770341E-3</v>
      </c>
      <c r="W201" s="3">
        <f t="shared" si="137"/>
        <v>6.8174095740770333E-3</v>
      </c>
      <c r="X201" s="3">
        <f t="shared" si="137"/>
        <v>6.8174095740770289E-3</v>
      </c>
      <c r="Y201" s="3">
        <f t="shared" si="137"/>
        <v>6.8174095740769778E-3</v>
      </c>
      <c r="Z201" s="3">
        <f t="shared" si="137"/>
        <v>6.8174095740764756E-3</v>
      </c>
      <c r="AA201" s="3">
        <f t="shared" si="137"/>
        <v>6.8174095740714483E-3</v>
      </c>
      <c r="AB201" s="3">
        <f t="shared" si="137"/>
        <v>6.817409574021176E-3</v>
      </c>
      <c r="AC201" s="3">
        <f t="shared" si="137"/>
        <v>6.8174095735184558E-3</v>
      </c>
      <c r="AD201" s="3">
        <f t="shared" si="137"/>
        <v>6.8174095684912471E-3</v>
      </c>
      <c r="AE201" s="3">
        <f t="shared" si="137"/>
        <v>6.8174095182191637E-3</v>
      </c>
      <c r="AF201" s="3">
        <f t="shared" si="137"/>
        <v>6.8174090154983439E-3</v>
      </c>
      <c r="AG201" s="3"/>
      <c r="AH201" s="3"/>
    </row>
    <row r="202" spans="1:34" x14ac:dyDescent="0.25">
      <c r="A202" s="79">
        <f>AVERAGE(B202:AF202)</f>
        <v>3.1442240749964559E-2</v>
      </c>
      <c r="B202" s="80">
        <f>IF($A$64&lt;=B168,IF($B$64&gt;=B168,ABS((B170-B169)/B169),0),0)</f>
        <v>9.2733099446466489E-4</v>
      </c>
      <c r="C202" s="80">
        <f t="shared" ref="C202:AF202" si="138">IF($A$64&lt;=C168,IF($B$64&gt;=C168,ABS((C170-C169)/C169),0),0)</f>
        <v>4.6703487872429082E-2</v>
      </c>
      <c r="D202" s="80">
        <f t="shared" si="138"/>
        <v>0.10340048223800127</v>
      </c>
      <c r="E202" s="80">
        <f t="shared" si="138"/>
        <v>8.3539989275933244E-2</v>
      </c>
      <c r="F202" s="80">
        <f t="shared" si="138"/>
        <v>6.1284124311955832E-2</v>
      </c>
      <c r="G202" s="80">
        <f t="shared" si="138"/>
        <v>3.5587446036701428E-2</v>
      </c>
      <c r="H202" s="80">
        <f t="shared" si="138"/>
        <v>7.2370261016045908E-3</v>
      </c>
      <c r="I202" s="80">
        <f t="shared" si="138"/>
        <v>1.4694185131835989E-2</v>
      </c>
      <c r="J202" s="80">
        <f t="shared" si="138"/>
        <v>3.742710650602778E-3</v>
      </c>
      <c r="K202" s="80">
        <f t="shared" si="138"/>
        <v>3.0492313215310397E-4</v>
      </c>
      <c r="L202" s="80">
        <f t="shared" si="138"/>
        <v>1.395470659247076E-3</v>
      </c>
      <c r="M202" s="80">
        <f t="shared" si="138"/>
        <v>3.206162709391933E-3</v>
      </c>
      <c r="N202" s="80">
        <f t="shared" si="138"/>
        <v>3.7296787520288794E-3</v>
      </c>
      <c r="O202" s="80">
        <f t="shared" si="138"/>
        <v>2.2722973332776381E-3</v>
      </c>
      <c r="P202" s="80">
        <f t="shared" si="138"/>
        <v>2.3269755070621069E-3</v>
      </c>
      <c r="Q202" s="80">
        <f t="shared" si="138"/>
        <v>3.0398418009581797E-3</v>
      </c>
      <c r="R202" s="80">
        <f t="shared" si="138"/>
        <v>3.4100565323722304E-3</v>
      </c>
      <c r="S202" s="80">
        <f t="shared" si="138"/>
        <v>4.5004196338606682E-3</v>
      </c>
      <c r="T202" s="80">
        <f t="shared" si="138"/>
        <v>1.0655044642501672E-2</v>
      </c>
      <c r="U202" s="80">
        <f t="shared" si="138"/>
        <v>2.7342931825529507E-2</v>
      </c>
      <c r="V202" s="80">
        <f t="shared" si="138"/>
        <v>4.7410481217335973E-2</v>
      </c>
      <c r="W202" s="80">
        <f t="shared" si="138"/>
        <v>6.507283642671309E-2</v>
      </c>
      <c r="X202" s="80">
        <f t="shared" si="138"/>
        <v>6.8474558746261668E-2</v>
      </c>
      <c r="Y202" s="80">
        <f t="shared" si="138"/>
        <v>6.7086580799860018E-2</v>
      </c>
      <c r="Z202" s="80">
        <f t="shared" si="138"/>
        <v>6.9281681475394041E-2</v>
      </c>
      <c r="AA202" s="80">
        <f t="shared" si="138"/>
        <v>6.5327191443867144E-2</v>
      </c>
      <c r="AB202" s="80">
        <f t="shared" si="138"/>
        <v>6.2726789585572901E-2</v>
      </c>
      <c r="AC202" s="80">
        <f t="shared" si="138"/>
        <v>4.2131834518359654E-2</v>
      </c>
      <c r="AD202" s="80">
        <f t="shared" si="138"/>
        <v>4.014412374790826E-2</v>
      </c>
      <c r="AE202" s="80">
        <f t="shared" si="138"/>
        <v>1.2747545116299783E-2</v>
      </c>
      <c r="AF202" s="80">
        <f t="shared" si="138"/>
        <v>1.500525502941695E-2</v>
      </c>
    </row>
    <row r="203" spans="1:34" x14ac:dyDescent="0.25">
      <c r="B203" s="21">
        <f>(B170-B169)^2</f>
        <v>87.125240483594496</v>
      </c>
      <c r="C203" s="21">
        <f t="shared" ref="C203:AF203" si="139">(C170-C169)^2</f>
        <v>205600.95419669774</v>
      </c>
      <c r="D203" s="21">
        <f t="shared" si="139"/>
        <v>965751.39809934457</v>
      </c>
      <c r="E203" s="21">
        <f t="shared" si="139"/>
        <v>603296.58908969758</v>
      </c>
      <c r="F203" s="21">
        <f t="shared" si="139"/>
        <v>309446.04437770229</v>
      </c>
      <c r="G203" s="21">
        <f t="shared" si="139"/>
        <v>98834.248159188923</v>
      </c>
      <c r="H203" s="21">
        <f t="shared" si="139"/>
        <v>3846.8211513964861</v>
      </c>
      <c r="I203" s="21">
        <f t="shared" si="139"/>
        <v>14813.517532145806</v>
      </c>
      <c r="J203" s="21">
        <f t="shared" si="139"/>
        <v>895.07989586467227</v>
      </c>
      <c r="K203" s="21">
        <f t="shared" si="139"/>
        <v>5.5449512258236613</v>
      </c>
      <c r="L203" s="21">
        <f t="shared" si="139"/>
        <v>106.98022476565268</v>
      </c>
      <c r="M203" s="21">
        <f t="shared" si="139"/>
        <v>510.12014828659653</v>
      </c>
      <c r="N203" s="21">
        <f t="shared" si="139"/>
        <v>617.84120217075645</v>
      </c>
      <c r="O203" s="21">
        <f t="shared" si="139"/>
        <v>207.6226230202432</v>
      </c>
      <c r="P203" s="21">
        <f t="shared" si="139"/>
        <v>198.7127620259547</v>
      </c>
      <c r="Q203" s="21">
        <f t="shared" si="139"/>
        <v>308.31896904079224</v>
      </c>
      <c r="R203" s="21">
        <f t="shared" si="139"/>
        <v>350.91580324776163</v>
      </c>
      <c r="S203" s="21">
        <f t="shared" si="139"/>
        <v>550.93886123090385</v>
      </c>
      <c r="T203" s="21">
        <f t="shared" si="139"/>
        <v>2723.3043595405425</v>
      </c>
      <c r="U203" s="21">
        <f t="shared" si="139"/>
        <v>15110.853612809244</v>
      </c>
      <c r="V203" s="21">
        <f t="shared" si="139"/>
        <v>37036.389625003518</v>
      </c>
      <c r="W203" s="21">
        <f t="shared" si="139"/>
        <v>54805.043928076098</v>
      </c>
      <c r="X203" s="21">
        <f t="shared" si="139"/>
        <v>45446.440180112833</v>
      </c>
      <c r="Y203" s="21">
        <f t="shared" si="139"/>
        <v>30124.514361568177</v>
      </c>
      <c r="Z203" s="21">
        <f t="shared" si="139"/>
        <v>19693.477331698374</v>
      </c>
      <c r="AA203" s="21">
        <f t="shared" si="139"/>
        <v>9454.1883381673779</v>
      </c>
      <c r="AB203" s="21">
        <f t="shared" si="139"/>
        <v>4549.3827615065748</v>
      </c>
      <c r="AC203" s="21">
        <f t="shared" si="139"/>
        <v>1134.9434294441</v>
      </c>
      <c r="AD203" s="21">
        <f t="shared" si="139"/>
        <v>703.78829140780726</v>
      </c>
      <c r="AE203" s="21">
        <f t="shared" si="139"/>
        <v>56.024445634883669</v>
      </c>
      <c r="AF203" s="21">
        <f t="shared" si="139"/>
        <v>68.58463929561357</v>
      </c>
      <c r="AG203" s="3"/>
      <c r="AH203" s="3"/>
    </row>
    <row r="204" spans="1:34" x14ac:dyDescent="0.25">
      <c r="A204" s="71">
        <f>SUM(B204:AF204)</f>
        <v>2426335.7085917997</v>
      </c>
      <c r="B204" s="60">
        <f>IF($A$64&lt;=B168,IF($B$64&gt;=B168,ABS(B203),0),0)</f>
        <v>87.125240483594496</v>
      </c>
      <c r="C204" s="60">
        <f t="shared" ref="C204" si="140">IF($A$64&lt;=C168,IF($B$64&gt;=C168,ABS(C203),0),0)</f>
        <v>205600.95419669774</v>
      </c>
      <c r="D204" s="60">
        <f t="shared" ref="D204" si="141">IF($A$64&lt;=D168,IF($B$64&gt;=D168,ABS(D203),0),0)</f>
        <v>965751.39809934457</v>
      </c>
      <c r="E204" s="60">
        <f t="shared" ref="E204" si="142">IF($A$64&lt;=E168,IF($B$64&gt;=E168,ABS(E203),0),0)</f>
        <v>603296.58908969758</v>
      </c>
      <c r="F204" s="60">
        <f t="shared" ref="F204" si="143">IF($A$64&lt;=F168,IF($B$64&gt;=F168,ABS(F203),0),0)</f>
        <v>309446.04437770229</v>
      </c>
      <c r="G204" s="60">
        <f t="shared" ref="G204" si="144">IF($A$64&lt;=G168,IF($B$64&gt;=G168,ABS(G203),0),0)</f>
        <v>98834.248159188923</v>
      </c>
      <c r="H204" s="60">
        <f t="shared" ref="H204" si="145">IF($A$64&lt;=H168,IF($B$64&gt;=H168,ABS(H203),0),0)</f>
        <v>3846.8211513964861</v>
      </c>
      <c r="I204" s="60">
        <f t="shared" ref="I204" si="146">IF($A$64&lt;=I168,IF($B$64&gt;=I168,ABS(I203),0),0)</f>
        <v>14813.517532145806</v>
      </c>
      <c r="J204" s="60">
        <f t="shared" ref="J204" si="147">IF($A$64&lt;=J168,IF($B$64&gt;=J168,ABS(J203),0),0)</f>
        <v>895.07989586467227</v>
      </c>
      <c r="K204" s="60">
        <f t="shared" ref="K204" si="148">IF($A$64&lt;=K168,IF($B$64&gt;=K168,ABS(K203),0),0)</f>
        <v>5.5449512258236613</v>
      </c>
      <c r="L204" s="60">
        <f t="shared" ref="L204" si="149">IF($A$64&lt;=L168,IF($B$64&gt;=L168,ABS(L203),0),0)</f>
        <v>106.98022476565268</v>
      </c>
      <c r="M204" s="60">
        <f t="shared" ref="M204" si="150">IF($A$64&lt;=M168,IF($B$64&gt;=M168,ABS(M203),0),0)</f>
        <v>510.12014828659653</v>
      </c>
      <c r="N204" s="60">
        <f t="shared" ref="N204" si="151">IF($A$64&lt;=N168,IF($B$64&gt;=N168,ABS(N203),0),0)</f>
        <v>617.84120217075645</v>
      </c>
      <c r="O204" s="60">
        <f t="shared" ref="O204" si="152">IF($A$64&lt;=O168,IF($B$64&gt;=O168,ABS(O203),0),0)</f>
        <v>207.6226230202432</v>
      </c>
      <c r="P204" s="60">
        <f t="shared" ref="P204" si="153">IF($A$64&lt;=P168,IF($B$64&gt;=P168,ABS(P203),0),0)</f>
        <v>198.7127620259547</v>
      </c>
      <c r="Q204" s="60">
        <f t="shared" ref="Q204" si="154">IF($A$64&lt;=Q168,IF($B$64&gt;=Q168,ABS(Q203),0),0)</f>
        <v>308.31896904079224</v>
      </c>
      <c r="R204" s="60">
        <f t="shared" ref="R204" si="155">IF($A$64&lt;=R168,IF($B$64&gt;=R168,ABS(R203),0),0)</f>
        <v>350.91580324776163</v>
      </c>
      <c r="S204" s="60">
        <f t="shared" ref="S204" si="156">IF($A$64&lt;=S168,IF($B$64&gt;=S168,ABS(S203),0),0)</f>
        <v>550.93886123090385</v>
      </c>
      <c r="T204" s="60">
        <f t="shared" ref="T204" si="157">IF($A$64&lt;=T168,IF($B$64&gt;=T168,ABS(T203),0),0)</f>
        <v>2723.3043595405425</v>
      </c>
      <c r="U204" s="60">
        <f t="shared" ref="U204" si="158">IF($A$64&lt;=U168,IF($B$64&gt;=U168,ABS(U203),0),0)</f>
        <v>15110.853612809244</v>
      </c>
      <c r="V204" s="60">
        <f t="shared" ref="V204" si="159">IF($A$64&lt;=V168,IF($B$64&gt;=V168,ABS(V203),0),0)</f>
        <v>37036.389625003518</v>
      </c>
      <c r="W204" s="60">
        <f t="shared" ref="W204" si="160">IF($A$64&lt;=W168,IF($B$64&gt;=W168,ABS(W203),0),0)</f>
        <v>54805.043928076098</v>
      </c>
      <c r="X204" s="60">
        <f t="shared" ref="X204" si="161">IF($A$64&lt;=X168,IF($B$64&gt;=X168,ABS(X203),0),0)</f>
        <v>45446.440180112833</v>
      </c>
      <c r="Y204" s="60">
        <f t="shared" ref="Y204" si="162">IF($A$64&lt;=Y168,IF($B$64&gt;=Y168,ABS(Y203),0),0)</f>
        <v>30124.514361568177</v>
      </c>
      <c r="Z204" s="60">
        <f t="shared" ref="Z204" si="163">IF($A$64&lt;=Z168,IF($B$64&gt;=Z168,ABS(Z203),0),0)</f>
        <v>19693.477331698374</v>
      </c>
      <c r="AA204" s="60">
        <f t="shared" ref="AA204" si="164">IF($A$64&lt;=AA168,IF($B$64&gt;=AA168,ABS(AA203),0),0)</f>
        <v>9454.1883381673779</v>
      </c>
      <c r="AB204" s="60">
        <f t="shared" ref="AB204" si="165">IF($A$64&lt;=AB168,IF($B$64&gt;=AB168,ABS(AB203),0),0)</f>
        <v>4549.3827615065748</v>
      </c>
      <c r="AC204" s="60">
        <f t="shared" ref="AC204" si="166">IF($A$64&lt;=AC168,IF($B$64&gt;=AC168,ABS(AC203),0),0)</f>
        <v>1134.9434294441</v>
      </c>
      <c r="AD204" s="60">
        <f t="shared" ref="AD204" si="167">IF($A$64&lt;=AD168,IF($B$64&gt;=AD168,ABS(AD203),0),0)</f>
        <v>703.78829140780726</v>
      </c>
      <c r="AE204" s="60">
        <f t="shared" ref="AE204" si="168">IF($A$64&lt;=AE168,IF($B$64&gt;=AE168,ABS(AE203),0),0)</f>
        <v>56.024445634883669</v>
      </c>
      <c r="AF204" s="60">
        <f t="shared" ref="AF204" si="169">IF($A$64&lt;=AF168,IF($B$64&gt;=AF168,ABS(AF203),0),0)</f>
        <v>68.58463929561357</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9176.9435568570389</v>
      </c>
      <c r="C209" s="27">
        <f t="shared" ref="C209:AF209" si="170">($C$17+SUM(C210:C240))*$B$51</f>
        <v>8521.042206381444</v>
      </c>
      <c r="D209" s="27">
        <f t="shared" si="170"/>
        <v>8520.8799982571909</v>
      </c>
      <c r="E209" s="27">
        <f t="shared" si="170"/>
        <v>8520.7484427024792</v>
      </c>
      <c r="F209" s="27">
        <f t="shared" si="170"/>
        <v>8519.4343968186895</v>
      </c>
      <c r="G209" s="27">
        <f t="shared" si="170"/>
        <v>8506.4437134268956</v>
      </c>
      <c r="H209" s="27">
        <f t="shared" si="170"/>
        <v>8390.3914309140782</v>
      </c>
      <c r="I209" s="27">
        <f t="shared" si="170"/>
        <v>7940.8672924749981</v>
      </c>
      <c r="J209" s="27">
        <f t="shared" si="170"/>
        <v>7706.7599384168725</v>
      </c>
      <c r="K209" s="27">
        <f t="shared" si="170"/>
        <v>7402.1189166809563</v>
      </c>
      <c r="L209" s="27">
        <f t="shared" si="170"/>
        <v>7044.1162995805071</v>
      </c>
      <c r="M209" s="27">
        <f t="shared" si="170"/>
        <v>6665.7600435299819</v>
      </c>
      <c r="N209" s="27">
        <f t="shared" si="170"/>
        <v>6336.1029792545833</v>
      </c>
      <c r="O209" s="27">
        <f t="shared" si="170"/>
        <v>6054.8185515104651</v>
      </c>
      <c r="P209" s="27">
        <f t="shared" si="170"/>
        <v>5775.9426547269222</v>
      </c>
      <c r="Q209" s="27">
        <f t="shared" si="170"/>
        <v>5494.8698907313201</v>
      </c>
      <c r="R209" s="27">
        <f t="shared" si="170"/>
        <v>5222.6965426527013</v>
      </c>
      <c r="S209" s="27">
        <f t="shared" si="170"/>
        <v>4931.3997574083578</v>
      </c>
      <c r="T209" s="27">
        <f t="shared" si="170"/>
        <v>4598.5104654637662</v>
      </c>
      <c r="U209" s="27">
        <f t="shared" si="170"/>
        <v>4230.4131725691732</v>
      </c>
      <c r="V209" s="27">
        <f t="shared" si="170"/>
        <v>3806.4221849154469</v>
      </c>
      <c r="W209" s="27">
        <f t="shared" si="170"/>
        <v>3298.3294290673889</v>
      </c>
      <c r="X209" s="27">
        <f t="shared" si="170"/>
        <v>2731.7773162140911</v>
      </c>
      <c r="Y209" s="27">
        <f t="shared" si="170"/>
        <v>2136.3422936534339</v>
      </c>
      <c r="Z209" s="27">
        <f t="shared" si="170"/>
        <v>1562.0896149727182</v>
      </c>
      <c r="AA209" s="27">
        <f t="shared" si="170"/>
        <v>1124.6129190953307</v>
      </c>
      <c r="AB209" s="27">
        <f t="shared" si="170"/>
        <v>824.11509790262028</v>
      </c>
      <c r="AC209" s="27">
        <f t="shared" si="170"/>
        <v>677.84096504354613</v>
      </c>
      <c r="AD209" s="27">
        <f t="shared" si="170"/>
        <v>593.12884962396208</v>
      </c>
      <c r="AE209" s="27">
        <f t="shared" si="170"/>
        <v>557.63651970746935</v>
      </c>
      <c r="AF209" s="27">
        <f t="shared" si="170"/>
        <v>529.0990866241599</v>
      </c>
      <c r="AG209" s="27"/>
      <c r="AH209" s="27"/>
    </row>
    <row r="210" spans="1:34" x14ac:dyDescent="0.25">
      <c r="B210" s="3">
        <f t="shared" ref="B210:AF210" si="171">$C18*EXP(-B$207/$A18/EXP(-$D$126))</f>
        <v>6.4398714223892248E-2</v>
      </c>
      <c r="C210" s="3">
        <f t="shared" si="171"/>
        <v>1.4631064491156985E-5</v>
      </c>
      <c r="D210" s="3">
        <f t="shared" si="171"/>
        <v>5.3612147885376947E-42</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5.824818169054867E-2</v>
      </c>
      <c r="C211" s="3">
        <f t="shared" si="172"/>
        <v>5.8248056511873647E-2</v>
      </c>
      <c r="D211" s="3">
        <f t="shared" si="172"/>
        <v>5.8246804739919313E-2</v>
      </c>
      <c r="E211" s="3">
        <f t="shared" si="172"/>
        <v>5.8234288499837437E-2</v>
      </c>
      <c r="F211" s="3">
        <f t="shared" si="172"/>
        <v>5.8109273927602428E-2</v>
      </c>
      <c r="G211" s="3">
        <f t="shared" si="172"/>
        <v>5.6873794190080436E-2</v>
      </c>
      <c r="H211" s="3">
        <f t="shared" si="172"/>
        <v>4.5875386149064688E-2</v>
      </c>
      <c r="I211" s="3">
        <f t="shared" si="172"/>
        <v>5.3487837649278175E-3</v>
      </c>
      <c r="J211" s="3">
        <f t="shared" si="172"/>
        <v>2.4831795480079727E-12</v>
      </c>
      <c r="K211" s="3">
        <f t="shared" si="172"/>
        <v>1.1548855267803502E-105</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1.7254959598261222E-2</v>
      </c>
      <c r="C212" s="3">
        <f t="shared" si="173"/>
        <v>1.7254956253162496E-2</v>
      </c>
      <c r="D212" s="3">
        <f t="shared" si="173"/>
        <v>1.7254922802210908E-2</v>
      </c>
      <c r="E212" s="3">
        <f t="shared" si="173"/>
        <v>1.725458829626168E-2</v>
      </c>
      <c r="F212" s="3">
        <f t="shared" si="173"/>
        <v>1.7251243593411087E-2</v>
      </c>
      <c r="G212" s="3">
        <f t="shared" si="173"/>
        <v>1.7217832203505277E-2</v>
      </c>
      <c r="H212" s="3">
        <f t="shared" si="173"/>
        <v>1.6887256733153097E-2</v>
      </c>
      <c r="I212" s="3">
        <f t="shared" si="173"/>
        <v>1.3911227538430215E-2</v>
      </c>
      <c r="J212" s="3">
        <f t="shared" si="173"/>
        <v>2.0018380369162146E-3</v>
      </c>
      <c r="K212" s="3">
        <f t="shared" si="173"/>
        <v>7.6219091048233084E-12</v>
      </c>
      <c r="L212" s="3">
        <f t="shared" si="173"/>
        <v>4.8799126462730154E-96</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3.2278437753656429E-2</v>
      </c>
      <c r="C213" s="3">
        <f t="shared" si="174"/>
        <v>3.2278437189169194E-2</v>
      </c>
      <c r="D213" s="3">
        <f t="shared" si="174"/>
        <v>3.2278431544297333E-2</v>
      </c>
      <c r="E213" s="3">
        <f t="shared" si="174"/>
        <v>3.2278375095633041E-2</v>
      </c>
      <c r="F213" s="3">
        <f t="shared" si="174"/>
        <v>3.2277810614419561E-2</v>
      </c>
      <c r="G213" s="3">
        <f t="shared" si="174"/>
        <v>3.2272166345194024E-2</v>
      </c>
      <c r="H213" s="3">
        <f t="shared" si="174"/>
        <v>3.2215777908748799E-2</v>
      </c>
      <c r="I213" s="3">
        <f t="shared" si="174"/>
        <v>3.1657284182268125E-2</v>
      </c>
      <c r="J213" s="3">
        <f t="shared" si="174"/>
        <v>2.65781027922334E-2</v>
      </c>
      <c r="K213" s="3">
        <f t="shared" si="174"/>
        <v>4.6240997699383791E-3</v>
      </c>
      <c r="L213" s="3">
        <f t="shared" si="174"/>
        <v>1.1750582263956004E-10</v>
      </c>
      <c r="M213" s="3">
        <f t="shared" si="174"/>
        <v>1.3194146474931518E-86</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3.7144505562127887E-2</v>
      </c>
      <c r="C214" s="3">
        <f t="shared" si="175"/>
        <v>3.7144505503529886E-2</v>
      </c>
      <c r="D214" s="3">
        <f t="shared" si="175"/>
        <v>3.7144504917549885E-2</v>
      </c>
      <c r="E214" s="3">
        <f t="shared" si="175"/>
        <v>3.7144499057750371E-2</v>
      </c>
      <c r="F214" s="3">
        <f t="shared" si="175"/>
        <v>3.7144440459806131E-2</v>
      </c>
      <c r="G214" s="3">
        <f t="shared" si="175"/>
        <v>3.7143854485447991E-2</v>
      </c>
      <c r="H214" s="3">
        <f t="shared" si="175"/>
        <v>3.7137995250266558E-2</v>
      </c>
      <c r="I214" s="3">
        <f t="shared" si="175"/>
        <v>3.707945370878913E-2</v>
      </c>
      <c r="J214" s="3">
        <f t="shared" si="175"/>
        <v>3.6499089794430319E-2</v>
      </c>
      <c r="K214" s="3">
        <f t="shared" si="175"/>
        <v>3.1172318591281053E-2</v>
      </c>
      <c r="L214" s="3">
        <f t="shared" si="175"/>
        <v>6.436352570176003E-3</v>
      </c>
      <c r="M214" s="3">
        <f t="shared" si="175"/>
        <v>9.0645661367707485E-10</v>
      </c>
      <c r="N214" s="3">
        <f t="shared" si="175"/>
        <v>2.7823962780966879E-78</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4.0797811724684663E-2</v>
      </c>
      <c r="C215" s="3">
        <f t="shared" si="176"/>
        <v>4.0797811718878738E-2</v>
      </c>
      <c r="D215" s="3">
        <f t="shared" si="176"/>
        <v>4.0797811660819444E-2</v>
      </c>
      <c r="E215" s="3">
        <f t="shared" si="176"/>
        <v>4.0797811080226613E-2</v>
      </c>
      <c r="F215" s="3">
        <f t="shared" si="176"/>
        <v>4.0797805274298694E-2</v>
      </c>
      <c r="G215" s="3">
        <f t="shared" si="176"/>
        <v>4.0797747215064961E-2</v>
      </c>
      <c r="H215" s="3">
        <f t="shared" si="176"/>
        <v>4.0797166627271876E-2</v>
      </c>
      <c r="I215" s="3">
        <f t="shared" si="176"/>
        <v>4.0791361203746816E-2</v>
      </c>
      <c r="J215" s="3">
        <f t="shared" si="176"/>
        <v>4.073335238514833E-2</v>
      </c>
      <c r="K215" s="3">
        <f t="shared" si="176"/>
        <v>4.0157782041169855E-2</v>
      </c>
      <c r="L215" s="3">
        <f t="shared" si="176"/>
        <v>3.4830953014865107E-2</v>
      </c>
      <c r="M215" s="3">
        <f t="shared" si="176"/>
        <v>8.3930874706657048E-3</v>
      </c>
      <c r="N215" s="3">
        <f t="shared" si="176"/>
        <v>5.5396926170002663E-9</v>
      </c>
      <c r="O215" s="3">
        <f t="shared" si="176"/>
        <v>8.6921027287414216E-71</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3.2982255914886356E-2</v>
      </c>
      <c r="C216" s="3">
        <f t="shared" si="177"/>
        <v>3.2982255914462945E-2</v>
      </c>
      <c r="D216" s="3">
        <f t="shared" si="177"/>
        <v>3.2982255910228839E-2</v>
      </c>
      <c r="E216" s="3">
        <f t="shared" si="177"/>
        <v>3.2982255867887778E-2</v>
      </c>
      <c r="F216" s="3">
        <f t="shared" si="177"/>
        <v>3.2982255444477152E-2</v>
      </c>
      <c r="G216" s="3">
        <f t="shared" si="177"/>
        <v>3.298225121037119E-2</v>
      </c>
      <c r="H216" s="3">
        <f t="shared" si="177"/>
        <v>3.2982208869341507E-2</v>
      </c>
      <c r="I216" s="3">
        <f t="shared" si="177"/>
        <v>3.2981785462034209E-2</v>
      </c>
      <c r="J216" s="3">
        <f t="shared" si="177"/>
        <v>3.2977551687900411E-2</v>
      </c>
      <c r="K216" s="3">
        <f t="shared" si="177"/>
        <v>3.2935243826291961E-2</v>
      </c>
      <c r="L216" s="3">
        <f t="shared" si="177"/>
        <v>3.2515139039230138E-2</v>
      </c>
      <c r="M216" s="3">
        <f t="shared" si="177"/>
        <v>2.8597820794444902E-2</v>
      </c>
      <c r="N216" s="3">
        <f t="shared" si="177"/>
        <v>7.9214774368220522E-3</v>
      </c>
      <c r="O216" s="3">
        <f t="shared" si="177"/>
        <v>2.1063894992682362E-8</v>
      </c>
      <c r="P216" s="3">
        <f t="shared" si="177"/>
        <v>3.7227476360722153E-64</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2.7372238189344176E-2</v>
      </c>
      <c r="C217" s="3">
        <f t="shared" si="178"/>
        <v>2.7372238189312476E-2</v>
      </c>
      <c r="D217" s="3">
        <f t="shared" si="178"/>
        <v>2.7372238188995493E-2</v>
      </c>
      <c r="E217" s="3">
        <f t="shared" si="178"/>
        <v>2.7372238185825647E-2</v>
      </c>
      <c r="F217" s="3">
        <f t="shared" si="178"/>
        <v>2.7372238154127173E-2</v>
      </c>
      <c r="G217" s="3">
        <f t="shared" si="178"/>
        <v>2.7372237837142478E-2</v>
      </c>
      <c r="H217" s="3">
        <f t="shared" si="178"/>
        <v>2.7372234667295704E-2</v>
      </c>
      <c r="I217" s="3">
        <f t="shared" si="178"/>
        <v>2.7372202968848146E-2</v>
      </c>
      <c r="J217" s="3">
        <f t="shared" si="178"/>
        <v>2.737188598639153E-2</v>
      </c>
      <c r="K217" s="3">
        <f t="shared" si="178"/>
        <v>2.7368716363712339E-2</v>
      </c>
      <c r="L217" s="3">
        <f t="shared" si="178"/>
        <v>2.7337040316970332E-2</v>
      </c>
      <c r="M217" s="3">
        <f t="shared" si="178"/>
        <v>2.7022289234526507E-2</v>
      </c>
      <c r="N217" s="3">
        <f t="shared" si="178"/>
        <v>2.406736736287127E-2</v>
      </c>
      <c r="O217" s="3">
        <f t="shared" si="178"/>
        <v>7.5595000813167054E-3</v>
      </c>
      <c r="P217" s="3">
        <f t="shared" si="178"/>
        <v>7.0654197151709416E-8</v>
      </c>
      <c r="Q217" s="3">
        <f t="shared" si="178"/>
        <v>3.5940727509239016E-58</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2.9420754796477357E-2</v>
      </c>
      <c r="C218" s="3">
        <f t="shared" si="179"/>
        <v>2.9420754796474286E-2</v>
      </c>
      <c r="D218" s="3">
        <f t="shared" si="179"/>
        <v>2.942075479644355E-2</v>
      </c>
      <c r="E218" s="3">
        <f t="shared" si="179"/>
        <v>2.9420754796136206E-2</v>
      </c>
      <c r="F218" s="3">
        <f t="shared" si="179"/>
        <v>2.9420754793062737E-2</v>
      </c>
      <c r="G218" s="3">
        <f t="shared" si="179"/>
        <v>2.9420754762328079E-2</v>
      </c>
      <c r="H218" s="3">
        <f t="shared" si="179"/>
        <v>2.9420754454981497E-2</v>
      </c>
      <c r="I218" s="3">
        <f t="shared" si="179"/>
        <v>2.9420751381515849E-2</v>
      </c>
      <c r="J218" s="3">
        <f t="shared" si="179"/>
        <v>2.9420720646877018E-2</v>
      </c>
      <c r="K218" s="3">
        <f t="shared" si="179"/>
        <v>2.942041330225461E-2</v>
      </c>
      <c r="L218" s="3">
        <f t="shared" si="179"/>
        <v>2.9417340032612763E-2</v>
      </c>
      <c r="M218" s="3">
        <f t="shared" si="179"/>
        <v>2.9386624987594413E-2</v>
      </c>
      <c r="N218" s="3">
        <f t="shared" si="179"/>
        <v>2.9081232873757575E-2</v>
      </c>
      <c r="O218" s="3">
        <f t="shared" si="179"/>
        <v>2.6196534743947352E-2</v>
      </c>
      <c r="P218" s="3">
        <f t="shared" si="179"/>
        <v>9.2162484921695376E-3</v>
      </c>
      <c r="Q218" s="3">
        <f t="shared" si="179"/>
        <v>2.6770560514299795E-7</v>
      </c>
      <c r="R218" s="3">
        <f t="shared" si="179"/>
        <v>1.1446964869627308E-52</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2.9009360037806065E-2</v>
      </c>
      <c r="C219" s="3">
        <f t="shared" si="180"/>
        <v>2.9009360037805791E-2</v>
      </c>
      <c r="D219" s="3">
        <f t="shared" si="180"/>
        <v>2.9009360037803057E-2</v>
      </c>
      <c r="E219" s="3">
        <f t="shared" si="180"/>
        <v>2.9009360037775718E-2</v>
      </c>
      <c r="F219" s="3">
        <f t="shared" si="180"/>
        <v>2.9009360037502343E-2</v>
      </c>
      <c r="G219" s="3">
        <f t="shared" si="180"/>
        <v>2.9009360034768589E-2</v>
      </c>
      <c r="H219" s="3">
        <f t="shared" si="180"/>
        <v>2.9009360007431057E-2</v>
      </c>
      <c r="I219" s="3">
        <f t="shared" si="180"/>
        <v>2.9009359734055731E-2</v>
      </c>
      <c r="J219" s="3">
        <f t="shared" si="180"/>
        <v>2.9009357000302587E-2</v>
      </c>
      <c r="K219" s="3">
        <f t="shared" si="180"/>
        <v>2.9009329662785362E-2</v>
      </c>
      <c r="L219" s="3">
        <f t="shared" si="180"/>
        <v>2.9009056289029989E-2</v>
      </c>
      <c r="M219" s="3">
        <f t="shared" si="180"/>
        <v>2.900632269316206E-2</v>
      </c>
      <c r="N219" s="3">
        <f t="shared" si="180"/>
        <v>2.8979000898124746E-2</v>
      </c>
      <c r="O219" s="3">
        <f t="shared" si="180"/>
        <v>2.8707194385838394E-2</v>
      </c>
      <c r="P219" s="3">
        <f t="shared" si="180"/>
        <v>2.6125473320434502E-2</v>
      </c>
      <c r="Q219" s="3">
        <f t="shared" si="180"/>
        <v>1.0181185274037736E-2</v>
      </c>
      <c r="R219" s="3">
        <f t="shared" si="180"/>
        <v>8.2250789159661877E-7</v>
      </c>
      <c r="S219" s="3">
        <f t="shared" si="180"/>
        <v>9.7399651242188413E-48</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2.6775000161878101E-2</v>
      </c>
      <c r="C220" s="3">
        <f t="shared" si="181"/>
        <v>2.6775000161878077E-2</v>
      </c>
      <c r="D220" s="3">
        <f t="shared" si="181"/>
        <v>2.6775000161877852E-2</v>
      </c>
      <c r="E220" s="3">
        <f t="shared" si="181"/>
        <v>2.6775000161875576E-2</v>
      </c>
      <c r="F220" s="3">
        <f t="shared" si="181"/>
        <v>2.6775000161852813E-2</v>
      </c>
      <c r="G220" s="3">
        <f t="shared" si="181"/>
        <v>2.67750001616252E-2</v>
      </c>
      <c r="H220" s="3">
        <f t="shared" si="181"/>
        <v>2.6775000159349069E-2</v>
      </c>
      <c r="I220" s="3">
        <f t="shared" si="181"/>
        <v>2.6775000136587762E-2</v>
      </c>
      <c r="J220" s="3">
        <f t="shared" si="181"/>
        <v>2.6774999908974667E-2</v>
      </c>
      <c r="K220" s="3">
        <f t="shared" si="181"/>
        <v>2.6774997632843831E-2</v>
      </c>
      <c r="L220" s="3">
        <f t="shared" si="181"/>
        <v>2.6774974871546127E-2</v>
      </c>
      <c r="M220" s="3">
        <f t="shared" si="181"/>
        <v>2.6774747259633285E-2</v>
      </c>
      <c r="N220" s="3">
        <f t="shared" si="181"/>
        <v>2.6772471246922228E-2</v>
      </c>
      <c r="O220" s="3">
        <f t="shared" si="181"/>
        <v>2.6749721758202144E-2</v>
      </c>
      <c r="P220" s="3">
        <f t="shared" si="181"/>
        <v>2.6523287371496458E-2</v>
      </c>
      <c r="Q220" s="3">
        <f t="shared" si="181"/>
        <v>2.4361732401274351E-2</v>
      </c>
      <c r="R220" s="3">
        <f t="shared" si="181"/>
        <v>1.0411572918406784E-2</v>
      </c>
      <c r="S220" s="3">
        <f t="shared" si="181"/>
        <v>2.116401748859512E-6</v>
      </c>
      <c r="T220" s="3">
        <f t="shared" si="181"/>
        <v>2.5492696652595099E-43</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3.1584912015022802E-2</v>
      </c>
      <c r="C221" s="3">
        <f t="shared" si="182"/>
        <v>3.1584912015022795E-2</v>
      </c>
      <c r="D221" s="3">
        <f t="shared" si="182"/>
        <v>3.1584912015022774E-2</v>
      </c>
      <c r="E221" s="3">
        <f t="shared" si="182"/>
        <v>3.1584912015022532E-2</v>
      </c>
      <c r="F221" s="3">
        <f t="shared" si="182"/>
        <v>3.158491201502011E-2</v>
      </c>
      <c r="G221" s="3">
        <f t="shared" si="182"/>
        <v>3.1584912014995886E-2</v>
      </c>
      <c r="H221" s="3">
        <f t="shared" si="182"/>
        <v>3.1584912014753677E-2</v>
      </c>
      <c r="I221" s="3">
        <f t="shared" si="182"/>
        <v>3.1584912012331566E-2</v>
      </c>
      <c r="J221" s="3">
        <f t="shared" si="182"/>
        <v>3.1584911988110455E-2</v>
      </c>
      <c r="K221" s="3">
        <f t="shared" si="182"/>
        <v>3.158491174589937E-2</v>
      </c>
      <c r="L221" s="3">
        <f t="shared" si="182"/>
        <v>3.1584909323788574E-2</v>
      </c>
      <c r="M221" s="3">
        <f t="shared" si="182"/>
        <v>3.1584885102690877E-2</v>
      </c>
      <c r="N221" s="3">
        <f t="shared" si="182"/>
        <v>3.1584642892735451E-2</v>
      </c>
      <c r="O221" s="3">
        <f t="shared" si="182"/>
        <v>3.1582220895335682E-2</v>
      </c>
      <c r="P221" s="3">
        <f t="shared" si="182"/>
        <v>3.15580111338871E-2</v>
      </c>
      <c r="Q221" s="3">
        <f t="shared" si="182"/>
        <v>3.1316931882569829E-2</v>
      </c>
      <c r="R221" s="3">
        <f t="shared" si="182"/>
        <v>2.9005144527912287E-2</v>
      </c>
      <c r="S221" s="3">
        <f t="shared" si="182"/>
        <v>1.3472037882890782E-2</v>
      </c>
      <c r="T221" s="3">
        <f t="shared" si="182"/>
        <v>6.2952924596589658E-6</v>
      </c>
      <c r="U221" s="3">
        <f t="shared" si="182"/>
        <v>3.1249427540955283E-39</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3.592675255612271E-2</v>
      </c>
      <c r="C222" s="3">
        <f t="shared" si="183"/>
        <v>3.592675255612271E-2</v>
      </c>
      <c r="D222" s="3">
        <f t="shared" si="183"/>
        <v>3.5926752556122703E-2</v>
      </c>
      <c r="E222" s="3">
        <f t="shared" si="183"/>
        <v>3.5926752556122682E-2</v>
      </c>
      <c r="F222" s="3">
        <f t="shared" si="183"/>
        <v>3.5926752556122432E-2</v>
      </c>
      <c r="G222" s="3">
        <f t="shared" si="183"/>
        <v>3.5926752556119948E-2</v>
      </c>
      <c r="H222" s="3">
        <f t="shared" si="183"/>
        <v>3.5926752556095093E-2</v>
      </c>
      <c r="I222" s="3">
        <f t="shared" si="183"/>
        <v>3.5926752555846569E-2</v>
      </c>
      <c r="J222" s="3">
        <f t="shared" si="183"/>
        <v>3.5926752553361266E-2</v>
      </c>
      <c r="K222" s="3">
        <f t="shared" si="183"/>
        <v>3.5926752528508257E-2</v>
      </c>
      <c r="L222" s="3">
        <f t="shared" si="183"/>
        <v>3.5926752279978214E-2</v>
      </c>
      <c r="M222" s="3">
        <f t="shared" si="183"/>
        <v>3.5926749794677817E-2</v>
      </c>
      <c r="N222" s="3">
        <f t="shared" si="183"/>
        <v>3.5926724941683315E-2</v>
      </c>
      <c r="O222" s="3">
        <f t="shared" si="183"/>
        <v>3.5926476412683914E-2</v>
      </c>
      <c r="P222" s="3">
        <f t="shared" si="183"/>
        <v>3.5923991217246098E-2</v>
      </c>
      <c r="Q222" s="3">
        <f t="shared" si="183"/>
        <v>3.5899148716072124E-2</v>
      </c>
      <c r="R222" s="3">
        <f t="shared" si="183"/>
        <v>3.5651666609628797E-2</v>
      </c>
      <c r="S222" s="3">
        <f t="shared" si="183"/>
        <v>3.3268766674842624E-2</v>
      </c>
      <c r="T222" s="3">
        <f t="shared" si="183"/>
        <v>1.665732835192001E-2</v>
      </c>
      <c r="U222" s="3">
        <f t="shared" si="183"/>
        <v>1.6492701616373111E-5</v>
      </c>
      <c r="V222" s="3">
        <f t="shared" si="183"/>
        <v>1.4933319374204559E-35</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3.8216836337325075E-2</v>
      </c>
      <c r="C223" s="3">
        <f t="shared" si="184"/>
        <v>3.8216836337325075E-2</v>
      </c>
      <c r="D223" s="3">
        <f t="shared" si="184"/>
        <v>3.8216836337325075E-2</v>
      </c>
      <c r="E223" s="3">
        <f t="shared" si="184"/>
        <v>3.8216836337325068E-2</v>
      </c>
      <c r="F223" s="3">
        <f t="shared" si="184"/>
        <v>3.8216836337325047E-2</v>
      </c>
      <c r="G223" s="3">
        <f t="shared" si="184"/>
        <v>3.8216836337324811E-2</v>
      </c>
      <c r="H223" s="3">
        <f t="shared" si="184"/>
        <v>3.8216836337322424E-2</v>
      </c>
      <c r="I223" s="3">
        <f t="shared" si="184"/>
        <v>3.8216836337298575E-2</v>
      </c>
      <c r="J223" s="3">
        <f t="shared" si="184"/>
        <v>3.8216836337060092E-2</v>
      </c>
      <c r="K223" s="3">
        <f t="shared" si="184"/>
        <v>3.8216836334675236E-2</v>
      </c>
      <c r="L223" s="3">
        <f t="shared" si="184"/>
        <v>3.8216836310826667E-2</v>
      </c>
      <c r="M223" s="3">
        <f t="shared" si="184"/>
        <v>3.8216836072341012E-2</v>
      </c>
      <c r="N223" s="3">
        <f t="shared" si="184"/>
        <v>3.8216833687484512E-2</v>
      </c>
      <c r="O223" s="3">
        <f t="shared" si="184"/>
        <v>3.8216809838927737E-2</v>
      </c>
      <c r="P223" s="3">
        <f t="shared" si="184"/>
        <v>3.8216571354178525E-2</v>
      </c>
      <c r="Q223" s="3">
        <f t="shared" si="184"/>
        <v>3.8214186588536876E-2</v>
      </c>
      <c r="R223" s="3">
        <f t="shared" si="184"/>
        <v>3.8190347115281111E-2</v>
      </c>
      <c r="S223" s="3">
        <f t="shared" si="184"/>
        <v>3.7952768812517641E-2</v>
      </c>
      <c r="T223" s="3">
        <f t="shared" si="184"/>
        <v>3.5656774744185028E-2</v>
      </c>
      <c r="U223" s="3">
        <f t="shared" si="184"/>
        <v>1.9104161561049052E-2</v>
      </c>
      <c r="V223" s="3">
        <f t="shared" si="184"/>
        <v>3.723807565711146E-5</v>
      </c>
      <c r="W223" s="3">
        <f t="shared" si="184"/>
        <v>2.9483545466584123E-32</v>
      </c>
      <c r="X223" s="3">
        <f t="shared" si="184"/>
        <v>2.8543319604159387E-303</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4.8113881849429982E-2</v>
      </c>
      <c r="C224" s="3">
        <f t="shared" si="185"/>
        <v>4.8113881849429982E-2</v>
      </c>
      <c r="D224" s="3">
        <f t="shared" si="185"/>
        <v>4.8113881849429982E-2</v>
      </c>
      <c r="E224" s="3">
        <f t="shared" si="185"/>
        <v>4.8113881849429982E-2</v>
      </c>
      <c r="F224" s="3">
        <f t="shared" si="185"/>
        <v>4.8113881849429975E-2</v>
      </c>
      <c r="G224" s="3">
        <f t="shared" si="185"/>
        <v>4.8113881849429947E-2</v>
      </c>
      <c r="H224" s="3">
        <f t="shared" si="185"/>
        <v>4.8113881849429684E-2</v>
      </c>
      <c r="I224" s="3">
        <f t="shared" si="185"/>
        <v>4.8113881849426977E-2</v>
      </c>
      <c r="J224" s="3">
        <f t="shared" si="185"/>
        <v>4.8113881849399888E-2</v>
      </c>
      <c r="K224" s="3">
        <f t="shared" si="185"/>
        <v>4.8113881849129042E-2</v>
      </c>
      <c r="L224" s="3">
        <f t="shared" si="185"/>
        <v>4.811388184642057E-2</v>
      </c>
      <c r="M224" s="3">
        <f t="shared" si="185"/>
        <v>4.8113881819335833E-2</v>
      </c>
      <c r="N224" s="3">
        <f t="shared" si="185"/>
        <v>4.811388154848853E-2</v>
      </c>
      <c r="O224" s="3">
        <f t="shared" si="185"/>
        <v>4.8113878840015535E-2</v>
      </c>
      <c r="P224" s="3">
        <f t="shared" si="185"/>
        <v>4.8113851755294042E-2</v>
      </c>
      <c r="Q224" s="3">
        <f t="shared" si="185"/>
        <v>4.8113580908917583E-2</v>
      </c>
      <c r="R224" s="3">
        <f t="shared" si="185"/>
        <v>4.8110872529008475E-2</v>
      </c>
      <c r="S224" s="3">
        <f t="shared" si="185"/>
        <v>4.8083797113716034E-2</v>
      </c>
      <c r="T224" s="3">
        <f t="shared" si="185"/>
        <v>4.781387959706631E-2</v>
      </c>
      <c r="U224" s="3">
        <f t="shared" si="185"/>
        <v>4.5196651406880575E-2</v>
      </c>
      <c r="V224" s="3">
        <f t="shared" si="185"/>
        <v>2.574121353776301E-2</v>
      </c>
      <c r="W224" s="3">
        <f t="shared" si="185"/>
        <v>9.2439289077015093E-5</v>
      </c>
      <c r="X224" s="3">
        <f t="shared" si="185"/>
        <v>3.2971020653889908E-29</v>
      </c>
      <c r="Y224" s="3">
        <f t="shared" si="185"/>
        <v>1.0987283678098409E-273</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5.6463045562969084E-2</v>
      </c>
      <c r="C225" s="3">
        <f t="shared" si="186"/>
        <v>5.6463045562969084E-2</v>
      </c>
      <c r="D225" s="3">
        <f t="shared" si="186"/>
        <v>5.6463045562969084E-2</v>
      </c>
      <c r="E225" s="3">
        <f t="shared" si="186"/>
        <v>5.6463045562969084E-2</v>
      </c>
      <c r="F225" s="3">
        <f t="shared" si="186"/>
        <v>5.6463045562969084E-2</v>
      </c>
      <c r="G225" s="3">
        <f t="shared" si="186"/>
        <v>5.6463045562969078E-2</v>
      </c>
      <c r="H225" s="3">
        <f t="shared" si="186"/>
        <v>5.646304556296905E-2</v>
      </c>
      <c r="I225" s="3">
        <f t="shared" si="186"/>
        <v>5.6463045562968765E-2</v>
      </c>
      <c r="J225" s="3">
        <f t="shared" si="186"/>
        <v>5.6463045562965899E-2</v>
      </c>
      <c r="K225" s="3">
        <f t="shared" si="186"/>
        <v>5.6463045562937228E-2</v>
      </c>
      <c r="L225" s="3">
        <f t="shared" si="186"/>
        <v>5.6463045562650499E-2</v>
      </c>
      <c r="M225" s="3">
        <f t="shared" si="186"/>
        <v>5.6463045559783251E-2</v>
      </c>
      <c r="N225" s="3">
        <f t="shared" si="186"/>
        <v>5.6463045531110791E-2</v>
      </c>
      <c r="O225" s="3">
        <f t="shared" si="186"/>
        <v>5.6463045244386154E-2</v>
      </c>
      <c r="P225" s="3">
        <f t="shared" si="186"/>
        <v>5.6463042377139838E-2</v>
      </c>
      <c r="Q225" s="3">
        <f t="shared" si="186"/>
        <v>5.6463013704684664E-2</v>
      </c>
      <c r="R225" s="3">
        <f t="shared" si="186"/>
        <v>5.6462726980933776E-2</v>
      </c>
      <c r="S225" s="3">
        <f t="shared" si="186"/>
        <v>5.6459859823503995E-2</v>
      </c>
      <c r="T225" s="3">
        <f t="shared" si="186"/>
        <v>5.6431196255615067E-2</v>
      </c>
      <c r="U225" s="3">
        <f t="shared" si="186"/>
        <v>5.614535971532781E-2</v>
      </c>
      <c r="V225" s="3">
        <f t="shared" si="186"/>
        <v>5.3365426852380549E-2</v>
      </c>
      <c r="W225" s="3">
        <f t="shared" si="186"/>
        <v>3.2115979843549275E-2</v>
      </c>
      <c r="X225" s="3">
        <f t="shared" si="186"/>
        <v>2.00139618622062E-4</v>
      </c>
      <c r="Y225" s="3">
        <f t="shared" si="186"/>
        <v>1.7678767321118774E-26</v>
      </c>
      <c r="Z225" s="3">
        <f t="shared" si="186"/>
        <v>5.1125915752748818E-247</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5.9569205174430817E-2</v>
      </c>
      <c r="C226" s="3">
        <f t="shared" si="187"/>
        <v>5.9569205174430817E-2</v>
      </c>
      <c r="D226" s="3">
        <f t="shared" si="187"/>
        <v>5.9569205174430817E-2</v>
      </c>
      <c r="E226" s="3">
        <f t="shared" si="187"/>
        <v>5.9569205174430817E-2</v>
      </c>
      <c r="F226" s="3">
        <f t="shared" si="187"/>
        <v>5.9569205174430817E-2</v>
      </c>
      <c r="G226" s="3">
        <f t="shared" si="187"/>
        <v>5.9569205174430817E-2</v>
      </c>
      <c r="H226" s="3">
        <f t="shared" si="187"/>
        <v>5.9569205174430817E-2</v>
      </c>
      <c r="I226" s="3">
        <f t="shared" si="187"/>
        <v>5.9569205174430782E-2</v>
      </c>
      <c r="J226" s="3">
        <f t="shared" si="187"/>
        <v>5.9569205174430512E-2</v>
      </c>
      <c r="K226" s="3">
        <f t="shared" si="187"/>
        <v>5.9569205174427785E-2</v>
      </c>
      <c r="L226" s="3">
        <f t="shared" si="187"/>
        <v>5.9569205174400494E-2</v>
      </c>
      <c r="M226" s="3">
        <f t="shared" si="187"/>
        <v>5.9569205174127622E-2</v>
      </c>
      <c r="N226" s="3">
        <f t="shared" si="187"/>
        <v>5.9569205171398833E-2</v>
      </c>
      <c r="O226" s="3">
        <f t="shared" si="187"/>
        <v>5.9569205144111001E-2</v>
      </c>
      <c r="P226" s="3">
        <f t="shared" si="187"/>
        <v>5.9569204871232628E-2</v>
      </c>
      <c r="Q226" s="3">
        <f t="shared" si="187"/>
        <v>5.9569202142448999E-2</v>
      </c>
      <c r="R226" s="3">
        <f t="shared" si="187"/>
        <v>5.9569174854619544E-2</v>
      </c>
      <c r="S226" s="3">
        <f t="shared" si="187"/>
        <v>5.9568901977012575E-2</v>
      </c>
      <c r="T226" s="3">
        <f t="shared" si="187"/>
        <v>5.9566173269692567E-2</v>
      </c>
      <c r="U226" s="3">
        <f t="shared" si="187"/>
        <v>5.9538893070299345E-2</v>
      </c>
      <c r="V226" s="3">
        <f t="shared" si="187"/>
        <v>5.9266777293425686E-2</v>
      </c>
      <c r="W226" s="3">
        <f t="shared" si="187"/>
        <v>5.6613092261890791E-2</v>
      </c>
      <c r="X226" s="3">
        <f t="shared" si="187"/>
        <v>3.5807378143207377E-2</v>
      </c>
      <c r="Y226" s="3">
        <f t="shared" si="187"/>
        <v>3.6688417362455521E-4</v>
      </c>
      <c r="Z226" s="3">
        <f t="shared" si="187"/>
        <v>4.6783588432769725E-24</v>
      </c>
      <c r="AA226" s="3">
        <f t="shared" si="187"/>
        <v>5.3178863914501834E-223</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6.4663842713273356E-2</v>
      </c>
      <c r="C227" s="3">
        <f t="shared" si="188"/>
        <v>6.4663842713273356E-2</v>
      </c>
      <c r="D227" s="3">
        <f t="shared" si="188"/>
        <v>6.4663842713273356E-2</v>
      </c>
      <c r="E227" s="3">
        <f t="shared" si="188"/>
        <v>6.4663842713273356E-2</v>
      </c>
      <c r="F227" s="3">
        <f t="shared" si="188"/>
        <v>6.4663842713273356E-2</v>
      </c>
      <c r="G227" s="3">
        <f t="shared" si="188"/>
        <v>6.4663842713273356E-2</v>
      </c>
      <c r="H227" s="3">
        <f t="shared" si="188"/>
        <v>6.4663842713273356E-2</v>
      </c>
      <c r="I227" s="3">
        <f t="shared" si="188"/>
        <v>6.4663842713273356E-2</v>
      </c>
      <c r="J227" s="3">
        <f t="shared" si="188"/>
        <v>6.4663842713273328E-2</v>
      </c>
      <c r="K227" s="3">
        <f t="shared" si="188"/>
        <v>6.4663842713273065E-2</v>
      </c>
      <c r="L227" s="3">
        <f t="shared" si="188"/>
        <v>6.4663842713270386E-2</v>
      </c>
      <c r="M227" s="3">
        <f t="shared" si="188"/>
        <v>6.4663842713243658E-2</v>
      </c>
      <c r="N227" s="3">
        <f t="shared" si="188"/>
        <v>6.4663842712976455E-2</v>
      </c>
      <c r="O227" s="3">
        <f t="shared" si="188"/>
        <v>6.4663842710304328E-2</v>
      </c>
      <c r="P227" s="3">
        <f t="shared" si="188"/>
        <v>6.4663842683583175E-2</v>
      </c>
      <c r="Q227" s="3">
        <f t="shared" si="188"/>
        <v>6.4663842416371506E-2</v>
      </c>
      <c r="R227" s="3">
        <f t="shared" si="188"/>
        <v>6.466383974425495E-2</v>
      </c>
      <c r="S227" s="3">
        <f t="shared" si="188"/>
        <v>6.4663813023095484E-2</v>
      </c>
      <c r="T227" s="3">
        <f t="shared" si="188"/>
        <v>6.4663545812108092E-2</v>
      </c>
      <c r="U227" s="3">
        <f t="shared" si="188"/>
        <v>6.4660873762964366E-2</v>
      </c>
      <c r="V227" s="3">
        <f t="shared" si="188"/>
        <v>6.4634159343617367E-2</v>
      </c>
      <c r="W227" s="3">
        <f t="shared" si="188"/>
        <v>6.4367621431803024E-2</v>
      </c>
      <c r="X227" s="3">
        <f t="shared" si="188"/>
        <v>6.1761953656916918E-2</v>
      </c>
      <c r="Y227" s="3">
        <f t="shared" si="188"/>
        <v>4.0856077329950807E-2</v>
      </c>
      <c r="Z227" s="3">
        <f t="shared" si="188"/>
        <v>6.5556096179158932E-4</v>
      </c>
      <c r="AA227" s="3">
        <f t="shared" si="188"/>
        <v>7.4161286057629031E-22</v>
      </c>
      <c r="AB227" s="3">
        <f t="shared" si="188"/>
        <v>2.5457686835757158E-201</v>
      </c>
      <c r="AC227" s="3">
        <f t="shared" si="188"/>
        <v>0</v>
      </c>
      <c r="AD227" s="3">
        <f t="shared" si="188"/>
        <v>0</v>
      </c>
      <c r="AE227" s="3">
        <f t="shared" si="188"/>
        <v>0</v>
      </c>
      <c r="AF227" s="3">
        <f t="shared" si="188"/>
        <v>0</v>
      </c>
      <c r="AG227" s="3"/>
      <c r="AH227" s="3"/>
    </row>
    <row r="228" spans="2:34" x14ac:dyDescent="0.25">
      <c r="B228" s="3">
        <f t="shared" ref="B228:AF228" si="189">$C36*EXP(-B$207/$A36/EXP(-$D$126))</f>
        <v>4.8548005334617741E-2</v>
      </c>
      <c r="C228" s="3">
        <f t="shared" si="189"/>
        <v>4.8548005334617741E-2</v>
      </c>
      <c r="D228" s="3">
        <f t="shared" si="189"/>
        <v>4.8548005334617741E-2</v>
      </c>
      <c r="E228" s="3">
        <f t="shared" si="189"/>
        <v>4.8548005334617741E-2</v>
      </c>
      <c r="F228" s="3">
        <f t="shared" si="189"/>
        <v>4.8548005334617741E-2</v>
      </c>
      <c r="G228" s="3">
        <f t="shared" si="189"/>
        <v>4.8548005334617741E-2</v>
      </c>
      <c r="H228" s="3">
        <f t="shared" si="189"/>
        <v>4.8548005334617741E-2</v>
      </c>
      <c r="I228" s="3">
        <f t="shared" si="189"/>
        <v>4.8548005334617741E-2</v>
      </c>
      <c r="J228" s="3">
        <f t="shared" si="189"/>
        <v>4.8548005334617741E-2</v>
      </c>
      <c r="K228" s="3">
        <f t="shared" si="189"/>
        <v>4.8548005334617721E-2</v>
      </c>
      <c r="L228" s="3">
        <f t="shared" si="189"/>
        <v>4.854800533461754E-2</v>
      </c>
      <c r="M228" s="3">
        <f t="shared" si="189"/>
        <v>4.8548005334615729E-2</v>
      </c>
      <c r="N228" s="3">
        <f t="shared" si="189"/>
        <v>4.8548005334597633E-2</v>
      </c>
      <c r="O228" s="3">
        <f t="shared" si="189"/>
        <v>4.8548005334416659E-2</v>
      </c>
      <c r="P228" s="3">
        <f t="shared" si="189"/>
        <v>4.854800533260694E-2</v>
      </c>
      <c r="Q228" s="3">
        <f t="shared" si="189"/>
        <v>4.8548005314509715E-2</v>
      </c>
      <c r="R228" s="3">
        <f t="shared" si="189"/>
        <v>4.8548005133537513E-2</v>
      </c>
      <c r="S228" s="3">
        <f t="shared" si="189"/>
        <v>4.8548003323815495E-2</v>
      </c>
      <c r="T228" s="3">
        <f t="shared" si="189"/>
        <v>4.8547985226598984E-2</v>
      </c>
      <c r="U228" s="3">
        <f t="shared" si="189"/>
        <v>4.8547804254804955E-2</v>
      </c>
      <c r="V228" s="3">
        <f t="shared" si="189"/>
        <v>4.8545994573967584E-2</v>
      </c>
      <c r="W228" s="3">
        <f t="shared" si="189"/>
        <v>4.8527901475376903E-2</v>
      </c>
      <c r="X228" s="3">
        <f t="shared" si="189"/>
        <v>4.8347340956609156E-2</v>
      </c>
      <c r="Y228" s="3">
        <f t="shared" si="189"/>
        <v>4.6578276571805771E-2</v>
      </c>
      <c r="Z228" s="3">
        <f t="shared" si="189"/>
        <v>3.2084230970122918E-2</v>
      </c>
      <c r="AA228" s="3">
        <f t="shared" si="189"/>
        <v>7.7156731554860907E-4</v>
      </c>
      <c r="AB228" s="3">
        <f t="shared" si="189"/>
        <v>4.9910934652636042E-20</v>
      </c>
      <c r="AC228" s="3">
        <f t="shared" si="189"/>
        <v>6.4034571584570292E-182</v>
      </c>
      <c r="AD228" s="3">
        <f t="shared" si="189"/>
        <v>0</v>
      </c>
      <c r="AE228" s="3">
        <f t="shared" si="189"/>
        <v>0</v>
      </c>
      <c r="AF228" s="3">
        <f t="shared" si="189"/>
        <v>0</v>
      </c>
      <c r="AG228" s="3"/>
      <c r="AH228" s="3"/>
    </row>
    <row r="229" spans="2:34" x14ac:dyDescent="0.25">
      <c r="B229" s="3">
        <f t="shared" ref="B229:AF229" si="190">$C37*EXP(-B$207/$A37/EXP(-$D$126))</f>
        <v>3.8659494646510029E-2</v>
      </c>
      <c r="C229" s="3">
        <f t="shared" si="190"/>
        <v>3.8659494646510029E-2</v>
      </c>
      <c r="D229" s="3">
        <f t="shared" si="190"/>
        <v>3.8659494646510029E-2</v>
      </c>
      <c r="E229" s="3">
        <f t="shared" si="190"/>
        <v>3.8659494646510029E-2</v>
      </c>
      <c r="F229" s="3">
        <f t="shared" si="190"/>
        <v>3.8659494646510029E-2</v>
      </c>
      <c r="G229" s="3">
        <f t="shared" si="190"/>
        <v>3.8659494646510029E-2</v>
      </c>
      <c r="H229" s="3">
        <f t="shared" si="190"/>
        <v>3.8659494646510029E-2</v>
      </c>
      <c r="I229" s="3">
        <f t="shared" si="190"/>
        <v>3.8659494646510029E-2</v>
      </c>
      <c r="J229" s="3">
        <f t="shared" si="190"/>
        <v>3.8659494646510029E-2</v>
      </c>
      <c r="K229" s="3">
        <f t="shared" si="190"/>
        <v>3.8659494646510029E-2</v>
      </c>
      <c r="L229" s="3">
        <f t="shared" si="190"/>
        <v>3.8659494646510015E-2</v>
      </c>
      <c r="M229" s="3">
        <f t="shared" si="190"/>
        <v>3.8659494646509883E-2</v>
      </c>
      <c r="N229" s="3">
        <f t="shared" si="190"/>
        <v>3.8659494646508585E-2</v>
      </c>
      <c r="O229" s="3">
        <f t="shared" si="190"/>
        <v>3.8659494646495589E-2</v>
      </c>
      <c r="P229" s="3">
        <f t="shared" si="190"/>
        <v>3.8659494646365582E-2</v>
      </c>
      <c r="Q229" s="3">
        <f t="shared" si="190"/>
        <v>3.8659494645065587E-2</v>
      </c>
      <c r="R229" s="3">
        <f t="shared" si="190"/>
        <v>3.865949463206559E-2</v>
      </c>
      <c r="S229" s="3">
        <f t="shared" si="190"/>
        <v>3.8659494502065614E-2</v>
      </c>
      <c r="T229" s="3">
        <f t="shared" si="190"/>
        <v>3.8659493202065937E-2</v>
      </c>
      <c r="U229" s="3">
        <f t="shared" si="190"/>
        <v>3.8659480202071564E-2</v>
      </c>
      <c r="V229" s="3">
        <f t="shared" si="190"/>
        <v>3.8659350202368235E-2</v>
      </c>
      <c r="W229" s="3">
        <f t="shared" si="190"/>
        <v>3.8658050229377898E-2</v>
      </c>
      <c r="X229" s="3">
        <f t="shared" si="190"/>
        <v>3.8645052903466315E-2</v>
      </c>
      <c r="Y229" s="3">
        <f t="shared" si="190"/>
        <v>3.8515319744698455E-2</v>
      </c>
      <c r="Z229" s="3">
        <f t="shared" si="190"/>
        <v>3.7241702127894377E-2</v>
      </c>
      <c r="AA229" s="3">
        <f t="shared" si="190"/>
        <v>2.6606617574543315E-2</v>
      </c>
      <c r="AB229" s="3">
        <f t="shared" si="190"/>
        <v>9.2170325253887041E-4</v>
      </c>
      <c r="AC229" s="3">
        <f t="shared" si="190"/>
        <v>2.2940646164777039E-18</v>
      </c>
      <c r="AD229" s="3">
        <f t="shared" si="190"/>
        <v>2.0929117212192926E-164</v>
      </c>
      <c r="AE229" s="3">
        <f t="shared" si="190"/>
        <v>0</v>
      </c>
      <c r="AF229" s="3">
        <f t="shared" si="190"/>
        <v>0</v>
      </c>
      <c r="AG229" s="3"/>
      <c r="AH229" s="3"/>
    </row>
    <row r="230" spans="2:34" x14ac:dyDescent="0.25">
      <c r="B230" s="3">
        <f t="shared" ref="B230:AF230" si="191">$C38*EXP(-B$207/$A38/EXP(-$D$126))</f>
        <v>6.6103757573429938E-3</v>
      </c>
      <c r="C230" s="3">
        <f t="shared" si="191"/>
        <v>6.6103757573429938E-3</v>
      </c>
      <c r="D230" s="3">
        <f t="shared" si="191"/>
        <v>6.6103757573429938E-3</v>
      </c>
      <c r="E230" s="3">
        <f t="shared" si="191"/>
        <v>6.6103757573429938E-3</v>
      </c>
      <c r="F230" s="3">
        <f t="shared" si="191"/>
        <v>6.6103757573429938E-3</v>
      </c>
      <c r="G230" s="3">
        <f t="shared" si="191"/>
        <v>6.6103757573429938E-3</v>
      </c>
      <c r="H230" s="3">
        <f t="shared" si="191"/>
        <v>6.6103757573429938E-3</v>
      </c>
      <c r="I230" s="3">
        <f t="shared" si="191"/>
        <v>6.6103757573429938E-3</v>
      </c>
      <c r="J230" s="3">
        <f t="shared" si="191"/>
        <v>6.6103757573429938E-3</v>
      </c>
      <c r="K230" s="3">
        <f t="shared" si="191"/>
        <v>6.6103757573429938E-3</v>
      </c>
      <c r="L230" s="3">
        <f t="shared" si="191"/>
        <v>6.6103757573429938E-3</v>
      </c>
      <c r="M230" s="3">
        <f t="shared" si="191"/>
        <v>6.6103757573429912E-3</v>
      </c>
      <c r="N230" s="3">
        <f t="shared" si="191"/>
        <v>6.6103757573429721E-3</v>
      </c>
      <c r="O230" s="3">
        <f t="shared" si="191"/>
        <v>6.6103757573427709E-3</v>
      </c>
      <c r="P230" s="3">
        <f t="shared" si="191"/>
        <v>6.6103757573407656E-3</v>
      </c>
      <c r="Q230" s="3">
        <f t="shared" si="191"/>
        <v>6.610375757320713E-3</v>
      </c>
      <c r="R230" s="3">
        <f t="shared" si="191"/>
        <v>6.6103757571201929E-3</v>
      </c>
      <c r="S230" s="3">
        <f t="shared" si="191"/>
        <v>6.6103757551149835E-3</v>
      </c>
      <c r="T230" s="3">
        <f t="shared" si="191"/>
        <v>6.6103757350628846E-3</v>
      </c>
      <c r="U230" s="3">
        <f t="shared" si="191"/>
        <v>6.6103755345419081E-3</v>
      </c>
      <c r="V230" s="3">
        <f t="shared" si="191"/>
        <v>6.6103735293324781E-3</v>
      </c>
      <c r="W230" s="3">
        <f t="shared" si="191"/>
        <v>6.610353477271627E-3</v>
      </c>
      <c r="X230" s="3">
        <f t="shared" si="191"/>
        <v>6.6101529600085373E-3</v>
      </c>
      <c r="Y230" s="3">
        <f t="shared" si="191"/>
        <v>6.6081481218821861E-3</v>
      </c>
      <c r="Z230" s="3">
        <f t="shared" si="191"/>
        <v>6.5881331535597963E-3</v>
      </c>
      <c r="AA230" s="3">
        <f t="shared" si="191"/>
        <v>6.3912875651649746E-3</v>
      </c>
      <c r="AB230" s="3">
        <f t="shared" si="191"/>
        <v>4.7189813397312957E-3</v>
      </c>
      <c r="AC230" s="3">
        <f t="shared" si="191"/>
        <v>2.2722037739803433E-4</v>
      </c>
      <c r="AD230" s="3">
        <f t="shared" si="191"/>
        <v>1.5220798797037211E-17</v>
      </c>
      <c r="AE230" s="3">
        <f t="shared" si="191"/>
        <v>2.769103110536074E-149</v>
      </c>
      <c r="AF230" s="3">
        <f t="shared" si="191"/>
        <v>0</v>
      </c>
      <c r="AG230" s="3"/>
      <c r="AH230" s="3"/>
    </row>
    <row r="231" spans="2:34" x14ac:dyDescent="0.25">
      <c r="B231" s="3">
        <f t="shared" ref="B231:AF231" si="192">$C39*EXP(-B$207/$A39/EXP(-$D$126))</f>
        <v>1.6903393193058183E-2</v>
      </c>
      <c r="C231" s="3">
        <f t="shared" si="192"/>
        <v>1.6903393193058183E-2</v>
      </c>
      <c r="D231" s="3">
        <f t="shared" si="192"/>
        <v>1.6903393193058183E-2</v>
      </c>
      <c r="E231" s="3">
        <f t="shared" si="192"/>
        <v>1.6903393193058183E-2</v>
      </c>
      <c r="F231" s="3">
        <f t="shared" si="192"/>
        <v>1.6903393193058183E-2</v>
      </c>
      <c r="G231" s="3">
        <f t="shared" si="192"/>
        <v>1.6903393193058183E-2</v>
      </c>
      <c r="H231" s="3">
        <f t="shared" si="192"/>
        <v>1.6903393193058183E-2</v>
      </c>
      <c r="I231" s="3">
        <f t="shared" si="192"/>
        <v>1.6903393193058183E-2</v>
      </c>
      <c r="J231" s="3">
        <f t="shared" si="192"/>
        <v>1.6903393193058183E-2</v>
      </c>
      <c r="K231" s="3">
        <f t="shared" si="192"/>
        <v>1.6903393193058183E-2</v>
      </c>
      <c r="L231" s="3">
        <f t="shared" si="192"/>
        <v>1.6903393193058183E-2</v>
      </c>
      <c r="M231" s="3">
        <f t="shared" si="192"/>
        <v>1.690339319305818E-2</v>
      </c>
      <c r="N231" s="3">
        <f t="shared" si="192"/>
        <v>1.6903393193058169E-2</v>
      </c>
      <c r="O231" s="3">
        <f t="shared" si="192"/>
        <v>1.6903393193058027E-2</v>
      </c>
      <c r="P231" s="3">
        <f t="shared" si="192"/>
        <v>1.6903393193056608E-2</v>
      </c>
      <c r="Q231" s="3">
        <f t="shared" si="192"/>
        <v>1.6903393193042428E-2</v>
      </c>
      <c r="R231" s="3">
        <f t="shared" si="192"/>
        <v>1.6903393192900611E-2</v>
      </c>
      <c r="S231" s="3">
        <f t="shared" si="192"/>
        <v>1.6903393191482468E-2</v>
      </c>
      <c r="T231" s="3">
        <f t="shared" si="192"/>
        <v>1.6903393177301024E-2</v>
      </c>
      <c r="U231" s="3">
        <f t="shared" si="192"/>
        <v>1.6903393035486592E-2</v>
      </c>
      <c r="V231" s="3">
        <f t="shared" si="192"/>
        <v>1.6903391617342355E-2</v>
      </c>
      <c r="W231" s="3">
        <f t="shared" si="192"/>
        <v>1.6903377435906503E-2</v>
      </c>
      <c r="X231" s="3">
        <f t="shared" si="192"/>
        <v>1.6903235622202365E-2</v>
      </c>
      <c r="Y231" s="3">
        <f t="shared" si="192"/>
        <v>1.6901817550596655E-2</v>
      </c>
      <c r="Z231" s="3">
        <f t="shared" si="192"/>
        <v>1.6887643376077566E-2</v>
      </c>
      <c r="AA231" s="3">
        <f t="shared" si="192"/>
        <v>1.6746553758616771E-2</v>
      </c>
      <c r="AB231" s="3">
        <f t="shared" si="192"/>
        <v>1.5398890657787701E-2</v>
      </c>
      <c r="AC231" s="3">
        <f t="shared" si="192"/>
        <v>6.6547126596059099E-3</v>
      </c>
      <c r="AD231" s="3">
        <f t="shared" si="192"/>
        <v>1.5119172993781545E-6</v>
      </c>
      <c r="AE231" s="3">
        <f t="shared" si="192"/>
        <v>5.5400708467734817E-43</v>
      </c>
      <c r="AF231" s="3">
        <f t="shared" si="192"/>
        <v>0</v>
      </c>
      <c r="AG231" s="3"/>
      <c r="AH231" s="3"/>
    </row>
    <row r="232" spans="2:34" x14ac:dyDescent="0.25">
      <c r="B232" s="3">
        <f t="shared" ref="B232:AF232" si="193">$C40*EXP(-B$207/$A40/EXP(-$D$126))</f>
        <v>1.9810156254800116E-3</v>
      </c>
      <c r="C232" s="3">
        <f t="shared" si="193"/>
        <v>1.9810156254800116E-3</v>
      </c>
      <c r="D232" s="3">
        <f t="shared" si="193"/>
        <v>1.9810156254800116E-3</v>
      </c>
      <c r="E232" s="3">
        <f t="shared" si="193"/>
        <v>1.9810156254800116E-3</v>
      </c>
      <c r="F232" s="3">
        <f t="shared" si="193"/>
        <v>1.9810156254800116E-3</v>
      </c>
      <c r="G232" s="3">
        <f t="shared" si="193"/>
        <v>1.9810156254800116E-3</v>
      </c>
      <c r="H232" s="3">
        <f t="shared" si="193"/>
        <v>1.9810156254800116E-3</v>
      </c>
      <c r="I232" s="3">
        <f t="shared" si="193"/>
        <v>1.9810156254800116E-3</v>
      </c>
      <c r="J232" s="3">
        <f t="shared" si="193"/>
        <v>1.9810156254800116E-3</v>
      </c>
      <c r="K232" s="3">
        <f t="shared" si="193"/>
        <v>1.9810156254800116E-3</v>
      </c>
      <c r="L232" s="3">
        <f t="shared" si="193"/>
        <v>1.9810156254800116E-3</v>
      </c>
      <c r="M232" s="3">
        <f t="shared" si="193"/>
        <v>1.9810156254800116E-3</v>
      </c>
      <c r="N232" s="3">
        <f t="shared" si="193"/>
        <v>1.9810156254800111E-3</v>
      </c>
      <c r="O232" s="3">
        <f t="shared" si="193"/>
        <v>1.9810156254800098E-3</v>
      </c>
      <c r="P232" s="3">
        <f t="shared" si="193"/>
        <v>1.9810156254799929E-3</v>
      </c>
      <c r="Q232" s="3">
        <f t="shared" si="193"/>
        <v>1.9810156254798268E-3</v>
      </c>
      <c r="R232" s="3">
        <f t="shared" si="193"/>
        <v>1.981015625478165E-3</v>
      </c>
      <c r="S232" s="3">
        <f t="shared" si="193"/>
        <v>1.9810156254615446E-3</v>
      </c>
      <c r="T232" s="3">
        <f t="shared" si="193"/>
        <v>1.9810156252953433E-3</v>
      </c>
      <c r="U232" s="3">
        <f t="shared" si="193"/>
        <v>1.9810156236333303E-3</v>
      </c>
      <c r="V232" s="3">
        <f t="shared" si="193"/>
        <v>1.9810156070131997E-3</v>
      </c>
      <c r="W232" s="3">
        <f t="shared" si="193"/>
        <v>1.9810154408119013E-3</v>
      </c>
      <c r="X232" s="3">
        <f t="shared" si="193"/>
        <v>1.9810137787996829E-3</v>
      </c>
      <c r="Y232" s="3">
        <f t="shared" si="193"/>
        <v>1.9809971587541929E-3</v>
      </c>
      <c r="Z232" s="3">
        <f t="shared" si="193"/>
        <v>1.9808309659681135E-3</v>
      </c>
      <c r="AA232" s="3">
        <f t="shared" si="193"/>
        <v>1.9791698047515521E-3</v>
      </c>
      <c r="AB232" s="3">
        <f t="shared" si="193"/>
        <v>1.9626346195617747E-3</v>
      </c>
      <c r="AC232" s="3">
        <f t="shared" si="193"/>
        <v>1.8046934517658537E-3</v>
      </c>
      <c r="AD232" s="3">
        <f t="shared" si="193"/>
        <v>7.7990789252733778E-4</v>
      </c>
      <c r="AE232" s="3">
        <f t="shared" si="193"/>
        <v>1.7719115684605227E-7</v>
      </c>
      <c r="AF232" s="3">
        <f t="shared" si="193"/>
        <v>6.4927596420295671E-44</v>
      </c>
      <c r="AG232" s="3"/>
      <c r="AH232" s="3"/>
    </row>
    <row r="233" spans="2:34" x14ac:dyDescent="0.25">
      <c r="B233" s="3">
        <f t="shared" ref="B233:AF233" si="194">$C41*EXP(-B$207/$A41/EXP(-$D$126))</f>
        <v>4.9795148637895425E-3</v>
      </c>
      <c r="C233" s="3">
        <f t="shared" si="194"/>
        <v>4.9795148637895425E-3</v>
      </c>
      <c r="D233" s="3">
        <f t="shared" si="194"/>
        <v>4.9795148637895425E-3</v>
      </c>
      <c r="E233" s="3">
        <f t="shared" si="194"/>
        <v>4.9795148637895425E-3</v>
      </c>
      <c r="F233" s="3">
        <f t="shared" si="194"/>
        <v>4.9795148637895425E-3</v>
      </c>
      <c r="G233" s="3">
        <f t="shared" si="194"/>
        <v>4.9795148637895425E-3</v>
      </c>
      <c r="H233" s="3">
        <f t="shared" si="194"/>
        <v>4.9795148637895425E-3</v>
      </c>
      <c r="I233" s="3">
        <f t="shared" si="194"/>
        <v>4.9795148637895425E-3</v>
      </c>
      <c r="J233" s="3">
        <f t="shared" si="194"/>
        <v>4.9795148637895425E-3</v>
      </c>
      <c r="K233" s="3">
        <f t="shared" si="194"/>
        <v>4.9795148637895425E-3</v>
      </c>
      <c r="L233" s="3">
        <f t="shared" si="194"/>
        <v>4.9795148637895425E-3</v>
      </c>
      <c r="M233" s="3">
        <f t="shared" si="194"/>
        <v>4.9795148637895425E-3</v>
      </c>
      <c r="N233" s="3">
        <f t="shared" si="194"/>
        <v>4.9795148637895425E-3</v>
      </c>
      <c r="O233" s="3">
        <f t="shared" si="194"/>
        <v>4.9795148637895416E-3</v>
      </c>
      <c r="P233" s="3">
        <f t="shared" si="194"/>
        <v>4.9795148637895381E-3</v>
      </c>
      <c r="Q233" s="3">
        <f t="shared" si="194"/>
        <v>4.9795148637894956E-3</v>
      </c>
      <c r="R233" s="3">
        <f t="shared" si="194"/>
        <v>4.9795148637890784E-3</v>
      </c>
      <c r="S233" s="3">
        <f t="shared" si="194"/>
        <v>4.9795148637849012E-3</v>
      </c>
      <c r="T233" s="3">
        <f t="shared" si="194"/>
        <v>4.9795148637431239E-3</v>
      </c>
      <c r="U233" s="3">
        <f t="shared" si="194"/>
        <v>4.9795148633253574E-3</v>
      </c>
      <c r="V233" s="3">
        <f t="shared" si="194"/>
        <v>4.9795148591476931E-3</v>
      </c>
      <c r="W233" s="3">
        <f t="shared" si="194"/>
        <v>4.9795148173710476E-3</v>
      </c>
      <c r="X233" s="3">
        <f t="shared" si="194"/>
        <v>4.9795143996046124E-3</v>
      </c>
      <c r="Y233" s="3">
        <f t="shared" si="194"/>
        <v>4.9795102219421863E-3</v>
      </c>
      <c r="Z233" s="3">
        <f t="shared" si="194"/>
        <v>4.9794684455106977E-3</v>
      </c>
      <c r="AA233" s="3">
        <f t="shared" si="194"/>
        <v>4.979050700472297E-3</v>
      </c>
      <c r="AB233" s="3">
        <f t="shared" si="194"/>
        <v>4.9748751771383944E-3</v>
      </c>
      <c r="AC233" s="3">
        <f t="shared" si="194"/>
        <v>4.933312051957058E-3</v>
      </c>
      <c r="AD233" s="3">
        <f t="shared" si="194"/>
        <v>4.536308422844592E-3</v>
      </c>
      <c r="AE233" s="3">
        <f t="shared" si="194"/>
        <v>1.9603898592600176E-3</v>
      </c>
      <c r="AF233" s="3">
        <f t="shared" si="194"/>
        <v>4.4539073185411583E-7</v>
      </c>
      <c r="AG233" s="3"/>
      <c r="AH233" s="3"/>
    </row>
    <row r="234" spans="2:34" x14ac:dyDescent="0.25">
      <c r="B234" s="3">
        <f t="shared" ref="B234:AF234" si="195">$C42*EXP(-B$207/$A42/EXP(-$D$126))</f>
        <v>1.5203897421204233E-3</v>
      </c>
      <c r="C234" s="3">
        <f t="shared" si="195"/>
        <v>1.5203897421204233E-3</v>
      </c>
      <c r="D234" s="3">
        <f t="shared" si="195"/>
        <v>1.5203897421204233E-3</v>
      </c>
      <c r="E234" s="3">
        <f t="shared" si="195"/>
        <v>1.5203897421204233E-3</v>
      </c>
      <c r="F234" s="3">
        <f t="shared" si="195"/>
        <v>1.5203897421204233E-3</v>
      </c>
      <c r="G234" s="3">
        <f t="shared" si="195"/>
        <v>1.5203897421204233E-3</v>
      </c>
      <c r="H234" s="3">
        <f t="shared" si="195"/>
        <v>1.5203897421204233E-3</v>
      </c>
      <c r="I234" s="3">
        <f t="shared" si="195"/>
        <v>1.5203897421204233E-3</v>
      </c>
      <c r="J234" s="3">
        <f t="shared" si="195"/>
        <v>1.5203897421204233E-3</v>
      </c>
      <c r="K234" s="3">
        <f t="shared" si="195"/>
        <v>1.5203897421204233E-3</v>
      </c>
      <c r="L234" s="3">
        <f t="shared" si="195"/>
        <v>1.5203897421204233E-3</v>
      </c>
      <c r="M234" s="3">
        <f t="shared" si="195"/>
        <v>1.5203897421204233E-3</v>
      </c>
      <c r="N234" s="3">
        <f t="shared" si="195"/>
        <v>1.5203897421204233E-3</v>
      </c>
      <c r="O234" s="3">
        <f t="shared" si="195"/>
        <v>1.5203897421204233E-3</v>
      </c>
      <c r="P234" s="3">
        <f t="shared" si="195"/>
        <v>1.5203897421204231E-3</v>
      </c>
      <c r="Q234" s="3">
        <f t="shared" si="195"/>
        <v>1.520389742120422E-3</v>
      </c>
      <c r="R234" s="3">
        <f t="shared" si="195"/>
        <v>1.5203897421204092E-3</v>
      </c>
      <c r="S234" s="3">
        <f t="shared" si="195"/>
        <v>1.5203897421202815E-3</v>
      </c>
      <c r="T234" s="3">
        <f t="shared" si="195"/>
        <v>1.520389742119006E-3</v>
      </c>
      <c r="U234" s="3">
        <f t="shared" si="195"/>
        <v>1.5203897421062504E-3</v>
      </c>
      <c r="V234" s="3">
        <f t="shared" si="195"/>
        <v>1.5203897419786942E-3</v>
      </c>
      <c r="W234" s="3">
        <f t="shared" si="195"/>
        <v>1.5203897407031325E-3</v>
      </c>
      <c r="X234" s="3">
        <f t="shared" si="195"/>
        <v>1.5203897279475159E-3</v>
      </c>
      <c r="Y234" s="3">
        <f t="shared" si="195"/>
        <v>1.5203896003913541E-3</v>
      </c>
      <c r="Z234" s="3">
        <f t="shared" si="195"/>
        <v>1.5203883248303262E-3</v>
      </c>
      <c r="AA234" s="3">
        <f t="shared" si="195"/>
        <v>1.5203755692789051E-3</v>
      </c>
      <c r="AB234" s="3">
        <f t="shared" si="195"/>
        <v>1.5202480196503611E-3</v>
      </c>
      <c r="AC234" s="3">
        <f t="shared" si="195"/>
        <v>1.5189731117489877E-3</v>
      </c>
      <c r="AD234" s="3">
        <f t="shared" si="195"/>
        <v>1.5062826889056509E-3</v>
      </c>
      <c r="AE234" s="3">
        <f t="shared" si="195"/>
        <v>1.3850660118200004E-3</v>
      </c>
      <c r="AF234" s="3">
        <f t="shared" si="195"/>
        <v>5.985636581286452E-4</v>
      </c>
      <c r="AG234" s="3"/>
      <c r="AH234" s="3"/>
    </row>
    <row r="235" spans="2:34" x14ac:dyDescent="0.25">
      <c r="B235" s="3">
        <f t="shared" ref="B235:AF235" si="196">$C43*EXP(-B$207/$A43/EXP(-$D$126))</f>
        <v>3.2547360985645695E-4</v>
      </c>
      <c r="C235" s="3">
        <f t="shared" si="196"/>
        <v>3.2547360985645695E-4</v>
      </c>
      <c r="D235" s="3">
        <f t="shared" si="196"/>
        <v>3.2547360985645695E-4</v>
      </c>
      <c r="E235" s="3">
        <f t="shared" si="196"/>
        <v>3.2547360985645695E-4</v>
      </c>
      <c r="F235" s="3">
        <f t="shared" si="196"/>
        <v>3.2547360985645695E-4</v>
      </c>
      <c r="G235" s="3">
        <f t="shared" si="196"/>
        <v>3.2547360985645695E-4</v>
      </c>
      <c r="H235" s="3">
        <f t="shared" si="196"/>
        <v>3.2547360985645695E-4</v>
      </c>
      <c r="I235" s="3">
        <f t="shared" si="196"/>
        <v>3.2547360985645695E-4</v>
      </c>
      <c r="J235" s="3">
        <f t="shared" si="196"/>
        <v>3.2547360985645695E-4</v>
      </c>
      <c r="K235" s="3">
        <f t="shared" si="196"/>
        <v>3.2547360985645695E-4</v>
      </c>
      <c r="L235" s="3">
        <f t="shared" si="196"/>
        <v>3.2547360985645695E-4</v>
      </c>
      <c r="M235" s="3">
        <f t="shared" si="196"/>
        <v>3.2547360985645695E-4</v>
      </c>
      <c r="N235" s="3">
        <f t="shared" si="196"/>
        <v>3.2547360985645695E-4</v>
      </c>
      <c r="O235" s="3">
        <f t="shared" si="196"/>
        <v>3.2547360985645695E-4</v>
      </c>
      <c r="P235" s="3">
        <f t="shared" si="196"/>
        <v>3.2547360985645695E-4</v>
      </c>
      <c r="Q235" s="3">
        <f t="shared" si="196"/>
        <v>3.254736098564569E-4</v>
      </c>
      <c r="R235" s="3">
        <f t="shared" si="196"/>
        <v>3.2547360985645668E-4</v>
      </c>
      <c r="S235" s="3">
        <f t="shared" si="196"/>
        <v>3.2547360985645392E-4</v>
      </c>
      <c r="T235" s="3">
        <f t="shared" si="196"/>
        <v>3.254736098564266E-4</v>
      </c>
      <c r="U235" s="3">
        <f t="shared" si="196"/>
        <v>3.2547360985615354E-4</v>
      </c>
      <c r="V235" s="3">
        <f t="shared" si="196"/>
        <v>3.2547360985342292E-4</v>
      </c>
      <c r="W235" s="3">
        <f t="shared" si="196"/>
        <v>3.2547360982611669E-4</v>
      </c>
      <c r="X235" s="3">
        <f t="shared" si="196"/>
        <v>3.2547360955305398E-4</v>
      </c>
      <c r="Y235" s="3">
        <f t="shared" si="196"/>
        <v>3.2547360682242744E-4</v>
      </c>
      <c r="Z235" s="3">
        <f t="shared" si="196"/>
        <v>3.2547357951616293E-4</v>
      </c>
      <c r="AA235" s="3">
        <f t="shared" si="196"/>
        <v>3.2547330645364426E-4</v>
      </c>
      <c r="AB235" s="3">
        <f t="shared" si="196"/>
        <v>3.2547057584105747E-4</v>
      </c>
      <c r="AC235" s="3">
        <f t="shared" si="196"/>
        <v>3.2544327097514837E-4</v>
      </c>
      <c r="AD235" s="3">
        <f t="shared" si="196"/>
        <v>3.2517034827289723E-4</v>
      </c>
      <c r="AE235" s="3">
        <f t="shared" si="196"/>
        <v>3.2245367792252692E-4</v>
      </c>
      <c r="AF235" s="3">
        <f t="shared" si="196"/>
        <v>2.9650452266786966E-4</v>
      </c>
      <c r="AG235" s="3"/>
      <c r="AH235" s="3"/>
    </row>
    <row r="236" spans="2:34" x14ac:dyDescent="0.25">
      <c r="B236" s="3">
        <f t="shared" ref="B236:AF236" si="197">$C44*EXP(-B$207/$A44/EXP(-$D$126))</f>
        <v>3.3657757333866336E-3</v>
      </c>
      <c r="C236" s="3">
        <f t="shared" si="197"/>
        <v>3.3657757333866336E-3</v>
      </c>
      <c r="D236" s="3">
        <f t="shared" si="197"/>
        <v>3.3657757333866336E-3</v>
      </c>
      <c r="E236" s="3">
        <f t="shared" si="197"/>
        <v>3.3657757333866336E-3</v>
      </c>
      <c r="F236" s="3">
        <f t="shared" si="197"/>
        <v>3.3657757333866336E-3</v>
      </c>
      <c r="G236" s="3">
        <f t="shared" si="197"/>
        <v>3.3657757333866336E-3</v>
      </c>
      <c r="H236" s="3">
        <f t="shared" si="197"/>
        <v>3.3657757333866336E-3</v>
      </c>
      <c r="I236" s="3">
        <f t="shared" si="197"/>
        <v>3.3657757333866336E-3</v>
      </c>
      <c r="J236" s="3">
        <f t="shared" si="197"/>
        <v>3.3657757333866336E-3</v>
      </c>
      <c r="K236" s="3">
        <f t="shared" si="197"/>
        <v>3.3657757333866336E-3</v>
      </c>
      <c r="L236" s="3">
        <f t="shared" si="197"/>
        <v>3.3657757333866336E-3</v>
      </c>
      <c r="M236" s="3">
        <f t="shared" si="197"/>
        <v>3.3657757333866336E-3</v>
      </c>
      <c r="N236" s="3">
        <f t="shared" si="197"/>
        <v>3.3657757333866336E-3</v>
      </c>
      <c r="O236" s="3">
        <f t="shared" si="197"/>
        <v>3.3657757333866336E-3</v>
      </c>
      <c r="P236" s="3">
        <f t="shared" si="197"/>
        <v>3.3657757333866336E-3</v>
      </c>
      <c r="Q236" s="3">
        <f t="shared" si="197"/>
        <v>3.3657757333866336E-3</v>
      </c>
      <c r="R236" s="3">
        <f t="shared" si="197"/>
        <v>3.3657757333866332E-3</v>
      </c>
      <c r="S236" s="3">
        <f t="shared" si="197"/>
        <v>3.3657757333866306E-3</v>
      </c>
      <c r="T236" s="3">
        <f t="shared" si="197"/>
        <v>3.3657757333866024E-3</v>
      </c>
      <c r="U236" s="3">
        <f t="shared" si="197"/>
        <v>3.3657757333863197E-3</v>
      </c>
      <c r="V236" s="3">
        <f t="shared" si="197"/>
        <v>3.3657757333834964E-3</v>
      </c>
      <c r="W236" s="3">
        <f t="shared" si="197"/>
        <v>3.3657757333552581E-3</v>
      </c>
      <c r="X236" s="3">
        <f t="shared" si="197"/>
        <v>3.3657757330728798E-3</v>
      </c>
      <c r="Y236" s="3">
        <f t="shared" si="197"/>
        <v>3.3657757302490944E-3</v>
      </c>
      <c r="Z236" s="3">
        <f t="shared" si="197"/>
        <v>3.3657757020112392E-3</v>
      </c>
      <c r="AA236" s="3">
        <f t="shared" si="197"/>
        <v>3.3657754196327002E-3</v>
      </c>
      <c r="AB236" s="3">
        <f t="shared" si="197"/>
        <v>3.3657725958486169E-3</v>
      </c>
      <c r="AC236" s="3">
        <f t="shared" si="197"/>
        <v>3.3657443581380816E-3</v>
      </c>
      <c r="AD236" s="3">
        <f t="shared" si="197"/>
        <v>3.3654619940621717E-3</v>
      </c>
      <c r="AE236" s="3">
        <f t="shared" si="197"/>
        <v>3.3626396558433147E-3</v>
      </c>
      <c r="AF236" s="3">
        <f t="shared" si="197"/>
        <v>3.334546124251245E-3</v>
      </c>
      <c r="AG236" s="3"/>
      <c r="AH236" s="3"/>
    </row>
    <row r="237" spans="2:34" x14ac:dyDescent="0.25">
      <c r="B237" s="3">
        <f t="shared" ref="B237:AF237" si="198">$C45*EXP(-B$207/$A45/EXP(-$D$126))</f>
        <v>7.1877880972849508E-4</v>
      </c>
      <c r="C237" s="3">
        <f t="shared" si="198"/>
        <v>7.1877880972849508E-4</v>
      </c>
      <c r="D237" s="3">
        <f t="shared" si="198"/>
        <v>7.1877880972849508E-4</v>
      </c>
      <c r="E237" s="3">
        <f t="shared" si="198"/>
        <v>7.1877880972849508E-4</v>
      </c>
      <c r="F237" s="3">
        <f t="shared" si="198"/>
        <v>7.1877880972849508E-4</v>
      </c>
      <c r="G237" s="3">
        <f t="shared" si="198"/>
        <v>7.1877880972849508E-4</v>
      </c>
      <c r="H237" s="3">
        <f t="shared" si="198"/>
        <v>7.1877880972849508E-4</v>
      </c>
      <c r="I237" s="3">
        <f t="shared" si="198"/>
        <v>7.1877880972849508E-4</v>
      </c>
      <c r="J237" s="3">
        <f t="shared" si="198"/>
        <v>7.1877880972849508E-4</v>
      </c>
      <c r="K237" s="3">
        <f t="shared" si="198"/>
        <v>7.1877880972849508E-4</v>
      </c>
      <c r="L237" s="3">
        <f t="shared" si="198"/>
        <v>7.1877880972849508E-4</v>
      </c>
      <c r="M237" s="3">
        <f t="shared" si="198"/>
        <v>7.1877880972849508E-4</v>
      </c>
      <c r="N237" s="3">
        <f t="shared" si="198"/>
        <v>7.1877880972849508E-4</v>
      </c>
      <c r="O237" s="3">
        <f t="shared" si="198"/>
        <v>7.1877880972849508E-4</v>
      </c>
      <c r="P237" s="3">
        <f t="shared" si="198"/>
        <v>7.1877880972849508E-4</v>
      </c>
      <c r="Q237" s="3">
        <f t="shared" si="198"/>
        <v>7.1877880972849508E-4</v>
      </c>
      <c r="R237" s="3">
        <f t="shared" si="198"/>
        <v>7.1877880972849508E-4</v>
      </c>
      <c r="S237" s="3">
        <f t="shared" si="198"/>
        <v>7.1877880972849497E-4</v>
      </c>
      <c r="T237" s="3">
        <f t="shared" si="198"/>
        <v>7.1877880972849443E-4</v>
      </c>
      <c r="U237" s="3">
        <f t="shared" si="198"/>
        <v>7.1877880972848836E-4</v>
      </c>
      <c r="V237" s="3">
        <f t="shared" si="198"/>
        <v>7.1877880972842808E-4</v>
      </c>
      <c r="W237" s="3">
        <f t="shared" si="198"/>
        <v>7.1877880972782504E-4</v>
      </c>
      <c r="X237" s="3">
        <f t="shared" si="198"/>
        <v>7.1877880972179471E-4</v>
      </c>
      <c r="Y237" s="3">
        <f t="shared" si="198"/>
        <v>7.1877880966149128E-4</v>
      </c>
      <c r="Z237" s="3">
        <f t="shared" si="198"/>
        <v>7.1877880905845727E-4</v>
      </c>
      <c r="AA237" s="3">
        <f t="shared" si="198"/>
        <v>7.187788030281173E-4</v>
      </c>
      <c r="AB237" s="3">
        <f t="shared" si="198"/>
        <v>7.1877874272472048E-4</v>
      </c>
      <c r="AC237" s="3">
        <f t="shared" si="198"/>
        <v>7.1877813969102979E-4</v>
      </c>
      <c r="AD237" s="3">
        <f t="shared" si="198"/>
        <v>7.1877210938194925E-4</v>
      </c>
      <c r="AE237" s="3">
        <f t="shared" si="198"/>
        <v>7.1871180907364914E-4</v>
      </c>
      <c r="AF237" s="3">
        <f t="shared" si="198"/>
        <v>7.1810908415485006E-4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6.8174095740770341E-3</v>
      </c>
      <c r="C240" s="3">
        <f t="shared" si="201"/>
        <v>6.8174095740770341E-3</v>
      </c>
      <c r="D240" s="3">
        <f t="shared" si="201"/>
        <v>6.8174095740770341E-3</v>
      </c>
      <c r="E240" s="3">
        <f t="shared" si="201"/>
        <v>6.8174095740770341E-3</v>
      </c>
      <c r="F240" s="3">
        <f t="shared" si="201"/>
        <v>6.8174095740770341E-3</v>
      </c>
      <c r="G240" s="3">
        <f t="shared" si="201"/>
        <v>6.8174095740770341E-3</v>
      </c>
      <c r="H240" s="3">
        <f t="shared" si="201"/>
        <v>6.8174095740770341E-3</v>
      </c>
      <c r="I240" s="3">
        <f t="shared" si="201"/>
        <v>6.8174095740770341E-3</v>
      </c>
      <c r="J240" s="3">
        <f t="shared" si="201"/>
        <v>6.8174095740770341E-3</v>
      </c>
      <c r="K240" s="3">
        <f t="shared" si="201"/>
        <v>6.8174095740770341E-3</v>
      </c>
      <c r="L240" s="3">
        <f t="shared" si="201"/>
        <v>6.8174095740770341E-3</v>
      </c>
      <c r="M240" s="3">
        <f t="shared" si="201"/>
        <v>6.8174095740770341E-3</v>
      </c>
      <c r="N240" s="3">
        <f t="shared" si="201"/>
        <v>6.8174095740770341E-3</v>
      </c>
      <c r="O240" s="3">
        <f t="shared" si="201"/>
        <v>6.8174095740770341E-3</v>
      </c>
      <c r="P240" s="3">
        <f t="shared" si="201"/>
        <v>6.8174095740770341E-3</v>
      </c>
      <c r="Q240" s="3">
        <f t="shared" si="201"/>
        <v>6.8174095740770341E-3</v>
      </c>
      <c r="R240" s="3">
        <f t="shared" si="201"/>
        <v>6.8174095740770341E-3</v>
      </c>
      <c r="S240" s="3">
        <f t="shared" si="201"/>
        <v>6.8174095740770341E-3</v>
      </c>
      <c r="T240" s="3">
        <f t="shared" si="201"/>
        <v>6.8174095740770341E-3</v>
      </c>
      <c r="U240" s="3">
        <f t="shared" si="201"/>
        <v>6.8174095740770341E-3</v>
      </c>
      <c r="V240" s="3">
        <f t="shared" si="201"/>
        <v>6.8174095740770333E-3</v>
      </c>
      <c r="W240" s="3">
        <f t="shared" si="201"/>
        <v>6.8174095740770281E-3</v>
      </c>
      <c r="X240" s="3">
        <f t="shared" si="201"/>
        <v>6.8174095740769708E-3</v>
      </c>
      <c r="Y240" s="3">
        <f t="shared" si="201"/>
        <v>6.8174095740763984E-3</v>
      </c>
      <c r="Z240" s="3">
        <f t="shared" si="201"/>
        <v>6.817409574070679E-3</v>
      </c>
      <c r="AA240" s="3">
        <f t="shared" si="201"/>
        <v>6.8174095740134834E-3</v>
      </c>
      <c r="AB240" s="3">
        <f t="shared" si="201"/>
        <v>6.8174095734415225E-3</v>
      </c>
      <c r="AC240" s="3">
        <f t="shared" si="201"/>
        <v>6.8174095677219189E-3</v>
      </c>
      <c r="AD240" s="3">
        <f t="shared" si="201"/>
        <v>6.8174095105258846E-3</v>
      </c>
      <c r="AE240" s="3">
        <f t="shared" si="201"/>
        <v>6.8174089385655686E-3</v>
      </c>
      <c r="AF240" s="3">
        <f t="shared" si="201"/>
        <v>6.8174032189650454E-3</v>
      </c>
      <c r="AG240" s="3"/>
      <c r="AH240" s="3"/>
    </row>
    <row r="241" spans="1:34" x14ac:dyDescent="0.25">
      <c r="A241" s="79">
        <f>AVERAGE(B241:AF241)</f>
        <v>3.4718720966066804E-2</v>
      </c>
      <c r="B241" s="80">
        <f>IF($A$64&lt;=B207,IF($B$64&gt;=B207,ABS((B209-B208)/B208),0),0)</f>
        <v>5.6841954265697395E-2</v>
      </c>
      <c r="C241" s="80">
        <f t="shared" ref="C241:AF241" si="202">IF($A$64&lt;=C207,IF($B$64&gt;=C207,ABS((C209-C208)/C208),0),0)</f>
        <v>0.10079094191327959</v>
      </c>
      <c r="D241" s="80">
        <f t="shared" si="202"/>
        <v>8.0220917068628939E-2</v>
      </c>
      <c r="E241" s="80">
        <f t="shared" si="202"/>
        <v>5.7738072877825349E-2</v>
      </c>
      <c r="F241" s="80">
        <f t="shared" si="202"/>
        <v>3.1500761675020306E-2</v>
      </c>
      <c r="G241" s="80">
        <f t="shared" si="202"/>
        <v>3.1037537325392692E-3</v>
      </c>
      <c r="H241" s="80">
        <f t="shared" si="202"/>
        <v>1.7980925248324561E-2</v>
      </c>
      <c r="I241" s="80">
        <f t="shared" si="202"/>
        <v>2.0883777785724723E-3</v>
      </c>
      <c r="J241" s="80">
        <f t="shared" si="202"/>
        <v>2.778606861426221E-3</v>
      </c>
      <c r="K241" s="80">
        <f t="shared" si="202"/>
        <v>4.5005758226675579E-3</v>
      </c>
      <c r="L241" s="80">
        <f t="shared" si="202"/>
        <v>6.5350862400859024E-3</v>
      </c>
      <c r="M241" s="80">
        <f t="shared" si="202"/>
        <v>6.6714577775183748E-3</v>
      </c>
      <c r="N241" s="80">
        <f t="shared" si="202"/>
        <v>4.5890404656875475E-3</v>
      </c>
      <c r="O241" s="80">
        <f t="shared" si="202"/>
        <v>5.3047088724904176E-3</v>
      </c>
      <c r="P241" s="80">
        <f t="shared" si="202"/>
        <v>5.6186046925786586E-3</v>
      </c>
      <c r="Q241" s="80">
        <f t="shared" si="202"/>
        <v>6.5238849288364624E-3</v>
      </c>
      <c r="R241" s="80">
        <f t="shared" si="202"/>
        <v>7.0516283788260624E-3</v>
      </c>
      <c r="S241" s="80">
        <f t="shared" si="202"/>
        <v>1.3542025594275585E-2</v>
      </c>
      <c r="T241" s="80">
        <f t="shared" si="202"/>
        <v>2.8447090481581915E-2</v>
      </c>
      <c r="U241" s="80">
        <f t="shared" si="202"/>
        <v>4.9403640419534739E-2</v>
      </c>
      <c r="V241" s="80">
        <f t="shared" si="202"/>
        <v>6.7616354770696135E-2</v>
      </c>
      <c r="W241" s="80">
        <f t="shared" si="202"/>
        <v>7.3577090776878892E-2</v>
      </c>
      <c r="X241" s="80">
        <f t="shared" si="202"/>
        <v>7.5177677213150343E-2</v>
      </c>
      <c r="Y241" s="80">
        <f t="shared" si="202"/>
        <v>8.2208502693152399E-2</v>
      </c>
      <c r="Z241" s="80">
        <f t="shared" si="202"/>
        <v>7.8963048699444677E-2</v>
      </c>
      <c r="AA241" s="80">
        <f t="shared" si="202"/>
        <v>7.6847003233651151E-2</v>
      </c>
      <c r="AB241" s="80">
        <f t="shared" si="202"/>
        <v>5.0617952409111579E-2</v>
      </c>
      <c r="AC241" s="80">
        <f t="shared" si="202"/>
        <v>4.0578013485812185E-2</v>
      </c>
      <c r="AD241" s="80">
        <f t="shared" si="202"/>
        <v>1.5977422387848658E-2</v>
      </c>
      <c r="AE241" s="80">
        <f t="shared" si="202"/>
        <v>1.6252056823060183E-2</v>
      </c>
      <c r="AF241" s="80">
        <f t="shared" si="202"/>
        <v>7.2331723598672137E-3</v>
      </c>
    </row>
    <row r="242" spans="1:34" x14ac:dyDescent="0.25">
      <c r="B242" s="21">
        <f>(B209-B208)^2</f>
        <v>305889.92643922043</v>
      </c>
      <c r="C242" s="21">
        <f t="shared" ref="C242:AF242" si="203">(C209-C208)^2</f>
        <v>912235.76340972132</v>
      </c>
      <c r="D242" s="21">
        <f t="shared" si="203"/>
        <v>552302.5968795314</v>
      </c>
      <c r="E242" s="21">
        <f t="shared" si="203"/>
        <v>272606.85316930868</v>
      </c>
      <c r="F242" s="21">
        <f t="shared" si="203"/>
        <v>76782.998669586479</v>
      </c>
      <c r="G242" s="21">
        <f t="shared" si="203"/>
        <v>701.40790085381138</v>
      </c>
      <c r="H242" s="21">
        <f t="shared" si="203"/>
        <v>21963.888719979121</v>
      </c>
      <c r="I242" s="21">
        <f t="shared" si="203"/>
        <v>276.16576611900831</v>
      </c>
      <c r="J242" s="21">
        <f t="shared" si="203"/>
        <v>456.02405233978271</v>
      </c>
      <c r="K242" s="21">
        <f t="shared" si="203"/>
        <v>1099.8865751428293</v>
      </c>
      <c r="L242" s="21">
        <f t="shared" si="203"/>
        <v>2091.6925272346434</v>
      </c>
      <c r="M242" s="21">
        <f t="shared" si="203"/>
        <v>1951.4854815362287</v>
      </c>
      <c r="N242" s="21">
        <f t="shared" si="203"/>
        <v>837.7440595963435</v>
      </c>
      <c r="O242" s="21">
        <f t="shared" si="203"/>
        <v>1020.774802247719</v>
      </c>
      <c r="P242" s="21">
        <f t="shared" si="203"/>
        <v>1041.4444302118704</v>
      </c>
      <c r="Q242" s="21">
        <f t="shared" si="203"/>
        <v>1268.467197716421</v>
      </c>
      <c r="R242" s="21">
        <f t="shared" si="203"/>
        <v>1337.4111719230236</v>
      </c>
      <c r="S242" s="21">
        <f t="shared" si="203"/>
        <v>4341.3435755738392</v>
      </c>
      <c r="T242" s="21">
        <f t="shared" si="203"/>
        <v>16178.794507057559</v>
      </c>
      <c r="U242" s="21">
        <f t="shared" si="203"/>
        <v>39664.167441912105</v>
      </c>
      <c r="V242" s="21">
        <f t="shared" si="203"/>
        <v>58117.507945489073</v>
      </c>
      <c r="W242" s="21">
        <f t="shared" si="203"/>
        <v>51098.342438080974</v>
      </c>
      <c r="X242" s="21">
        <f t="shared" si="203"/>
        <v>36484.459523680387</v>
      </c>
      <c r="Y242" s="21">
        <f t="shared" si="203"/>
        <v>26336.209588296926</v>
      </c>
      <c r="Z242" s="21">
        <f t="shared" si="203"/>
        <v>13069.126525870803</v>
      </c>
      <c r="AA242" s="21">
        <f t="shared" si="203"/>
        <v>6440.9807501173455</v>
      </c>
      <c r="AB242" s="21">
        <f t="shared" si="203"/>
        <v>1576.5046365091846</v>
      </c>
      <c r="AC242" s="21">
        <f t="shared" si="203"/>
        <v>698.69542078298707</v>
      </c>
      <c r="AD242" s="21">
        <f t="shared" si="203"/>
        <v>87.004840733371765</v>
      </c>
      <c r="AE242" s="21">
        <f t="shared" si="203"/>
        <v>79.527293953426806</v>
      </c>
      <c r="AF242" s="21">
        <f t="shared" si="203"/>
        <v>14.436822299615139</v>
      </c>
      <c r="AG242" s="3"/>
      <c r="AH242" s="3"/>
    </row>
    <row r="243" spans="1:34" x14ac:dyDescent="0.25">
      <c r="A243" s="71">
        <f>SUM(B243:AF243)</f>
        <v>2408051.6325626271</v>
      </c>
      <c r="B243" s="60">
        <f>IF($A$64&lt;=B207,IF($B$64&gt;=B207,ABS(B242),0),0)</f>
        <v>305889.92643922043</v>
      </c>
      <c r="C243" s="60">
        <f t="shared" ref="C243" si="204">IF($A$64&lt;=C207,IF($B$64&gt;=C207,ABS(C242),0),0)</f>
        <v>912235.76340972132</v>
      </c>
      <c r="D243" s="60">
        <f t="shared" ref="D243" si="205">IF($A$64&lt;=D207,IF($B$64&gt;=D207,ABS(D242),0),0)</f>
        <v>552302.5968795314</v>
      </c>
      <c r="E243" s="60">
        <f t="shared" ref="E243" si="206">IF($A$64&lt;=E207,IF($B$64&gt;=E207,ABS(E242),0),0)</f>
        <v>272606.85316930868</v>
      </c>
      <c r="F243" s="60">
        <f t="shared" ref="F243" si="207">IF($A$64&lt;=F207,IF($B$64&gt;=F207,ABS(F242),0),0)</f>
        <v>76782.998669586479</v>
      </c>
      <c r="G243" s="60">
        <f t="shared" ref="G243" si="208">IF($A$64&lt;=G207,IF($B$64&gt;=G207,ABS(G242),0),0)</f>
        <v>701.40790085381138</v>
      </c>
      <c r="H243" s="60">
        <f t="shared" ref="H243" si="209">IF($A$64&lt;=H207,IF($B$64&gt;=H207,ABS(H242),0),0)</f>
        <v>21963.888719979121</v>
      </c>
      <c r="I243" s="60">
        <f t="shared" ref="I243" si="210">IF($A$64&lt;=I207,IF($B$64&gt;=I207,ABS(I242),0),0)</f>
        <v>276.16576611900831</v>
      </c>
      <c r="J243" s="60">
        <f t="shared" ref="J243" si="211">IF($A$64&lt;=J207,IF($B$64&gt;=J207,ABS(J242),0),0)</f>
        <v>456.02405233978271</v>
      </c>
      <c r="K243" s="60">
        <f t="shared" ref="K243" si="212">IF($A$64&lt;=K207,IF($B$64&gt;=K207,ABS(K242),0),0)</f>
        <v>1099.8865751428293</v>
      </c>
      <c r="L243" s="60">
        <f t="shared" ref="L243" si="213">IF($A$64&lt;=L207,IF($B$64&gt;=L207,ABS(L242),0),0)</f>
        <v>2091.6925272346434</v>
      </c>
      <c r="M243" s="60">
        <f t="shared" ref="M243" si="214">IF($A$64&lt;=M207,IF($B$64&gt;=M207,ABS(M242),0),0)</f>
        <v>1951.4854815362287</v>
      </c>
      <c r="N243" s="60">
        <f t="shared" ref="N243" si="215">IF($A$64&lt;=N207,IF($B$64&gt;=N207,ABS(N242),0),0)</f>
        <v>837.7440595963435</v>
      </c>
      <c r="O243" s="60">
        <f t="shared" ref="O243" si="216">IF($A$64&lt;=O207,IF($B$64&gt;=O207,ABS(O242),0),0)</f>
        <v>1020.774802247719</v>
      </c>
      <c r="P243" s="60">
        <f t="shared" ref="P243" si="217">IF($A$64&lt;=P207,IF($B$64&gt;=P207,ABS(P242),0),0)</f>
        <v>1041.4444302118704</v>
      </c>
      <c r="Q243" s="60">
        <f t="shared" ref="Q243" si="218">IF($A$64&lt;=Q207,IF($B$64&gt;=Q207,ABS(Q242),0),0)</f>
        <v>1268.467197716421</v>
      </c>
      <c r="R243" s="60">
        <f t="shared" ref="R243" si="219">IF($A$64&lt;=R207,IF($B$64&gt;=R207,ABS(R242),0),0)</f>
        <v>1337.4111719230236</v>
      </c>
      <c r="S243" s="60">
        <f t="shared" ref="S243" si="220">IF($A$64&lt;=S207,IF($B$64&gt;=S207,ABS(S242),0),0)</f>
        <v>4341.3435755738392</v>
      </c>
      <c r="T243" s="60">
        <f t="shared" ref="T243" si="221">IF($A$64&lt;=T207,IF($B$64&gt;=T207,ABS(T242),0),0)</f>
        <v>16178.794507057559</v>
      </c>
      <c r="U243" s="60">
        <f t="shared" ref="U243" si="222">IF($A$64&lt;=U207,IF($B$64&gt;=U207,ABS(U242),0),0)</f>
        <v>39664.167441912105</v>
      </c>
      <c r="V243" s="60">
        <f t="shared" ref="V243" si="223">IF($A$64&lt;=V207,IF($B$64&gt;=V207,ABS(V242),0),0)</f>
        <v>58117.507945489073</v>
      </c>
      <c r="W243" s="60">
        <f t="shared" ref="W243" si="224">IF($A$64&lt;=W207,IF($B$64&gt;=W207,ABS(W242),0),0)</f>
        <v>51098.342438080974</v>
      </c>
      <c r="X243" s="60">
        <f t="shared" ref="X243" si="225">IF($A$64&lt;=X207,IF($B$64&gt;=X207,ABS(X242),0),0)</f>
        <v>36484.459523680387</v>
      </c>
      <c r="Y243" s="60">
        <f t="shared" ref="Y243" si="226">IF($A$64&lt;=Y207,IF($B$64&gt;=Y207,ABS(Y242),0),0)</f>
        <v>26336.209588296926</v>
      </c>
      <c r="Z243" s="60">
        <f t="shared" ref="Z243" si="227">IF($A$64&lt;=Z207,IF($B$64&gt;=Z207,ABS(Z242),0),0)</f>
        <v>13069.126525870803</v>
      </c>
      <c r="AA243" s="60">
        <f t="shared" ref="AA243" si="228">IF($A$64&lt;=AA207,IF($B$64&gt;=AA207,ABS(AA242),0),0)</f>
        <v>6440.9807501173455</v>
      </c>
      <c r="AB243" s="60">
        <f t="shared" ref="AB243" si="229">IF($A$64&lt;=AB207,IF($B$64&gt;=AB207,ABS(AB242),0),0)</f>
        <v>1576.5046365091846</v>
      </c>
      <c r="AC243" s="60">
        <f t="shared" ref="AC243" si="230">IF($A$64&lt;=AC207,IF($B$64&gt;=AC207,ABS(AC242),0),0)</f>
        <v>698.69542078298707</v>
      </c>
      <c r="AD243" s="60">
        <f t="shared" ref="AD243" si="231">IF($A$64&lt;=AD207,IF($B$64&gt;=AD207,ABS(AD242),0),0)</f>
        <v>87.004840733371765</v>
      </c>
      <c r="AE243" s="60">
        <f t="shared" ref="AE243" si="232">IF($A$64&lt;=AE207,IF($B$64&gt;=AE207,ABS(AE242),0),0)</f>
        <v>79.527293953426806</v>
      </c>
      <c r="AF243" s="60">
        <f t="shared" ref="AF243" si="233">IF($A$64&lt;=AF207,IF($B$64&gt;=AF207,ABS(AF242),0),0)</f>
        <v>14.436822299615139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8520.8923073418227</v>
      </c>
      <c r="C248" s="27">
        <f t="shared" ref="C248:AF248" si="234">($C$17+SUM(C249:C279))*$B$51</f>
        <v>8520.8695787565357</v>
      </c>
      <c r="D248" s="27">
        <f t="shared" si="234"/>
        <v>8520.6442772010432</v>
      </c>
      <c r="E248" s="27">
        <f t="shared" si="234"/>
        <v>8518.3956874925916</v>
      </c>
      <c r="F248" s="27">
        <f t="shared" si="234"/>
        <v>8496.3464196704517</v>
      </c>
      <c r="G248" s="27">
        <f t="shared" si="234"/>
        <v>8314.1246286674723</v>
      </c>
      <c r="H248" s="27">
        <f t="shared" si="234"/>
        <v>7871.1848866815581</v>
      </c>
      <c r="I248" s="27">
        <f t="shared" si="234"/>
        <v>7650.6200812118623</v>
      </c>
      <c r="J248" s="27">
        <f t="shared" si="234"/>
        <v>7324.5540550261958</v>
      </c>
      <c r="K248" s="27">
        <f t="shared" si="234"/>
        <v>6955.8930645255332</v>
      </c>
      <c r="L248" s="27">
        <f t="shared" si="234"/>
        <v>6577.0120287497166</v>
      </c>
      <c r="M248" s="27">
        <f t="shared" si="234"/>
        <v>6260.4338170324327</v>
      </c>
      <c r="N248" s="27">
        <f t="shared" si="234"/>
        <v>5985.0167306202075</v>
      </c>
      <c r="O248" s="27">
        <f t="shared" si="234"/>
        <v>5701.9333586311577</v>
      </c>
      <c r="P248" s="27">
        <f t="shared" si="234"/>
        <v>5422.0110768524319</v>
      </c>
      <c r="Q248" s="27">
        <f t="shared" si="234"/>
        <v>5151.1101611434915</v>
      </c>
      <c r="R248" s="27">
        <f t="shared" si="234"/>
        <v>4848.6889157384403</v>
      </c>
      <c r="S248" s="27">
        <f t="shared" si="234"/>
        <v>4506.9315909810202</v>
      </c>
      <c r="T248" s="27">
        <f t="shared" si="234"/>
        <v>4131.7410186596862</v>
      </c>
      <c r="U248" s="27">
        <f t="shared" si="234"/>
        <v>3687.8745029640995</v>
      </c>
      <c r="V248" s="27">
        <f t="shared" si="234"/>
        <v>3166.2158618688322</v>
      </c>
      <c r="W248" s="27">
        <f t="shared" si="234"/>
        <v>2596.9698288645754</v>
      </c>
      <c r="X248" s="27">
        <f t="shared" si="234"/>
        <v>2001.6634771800493</v>
      </c>
      <c r="Y248" s="27">
        <f t="shared" si="234"/>
        <v>1461.864960284187</v>
      </c>
      <c r="Z248" s="27">
        <f t="shared" si="234"/>
        <v>1051.1007060211241</v>
      </c>
      <c r="AA248" s="27">
        <f t="shared" si="234"/>
        <v>794.86249168699374</v>
      </c>
      <c r="AB248" s="27">
        <f t="shared" si="234"/>
        <v>641.30143991139983</v>
      </c>
      <c r="AC248" s="27">
        <f t="shared" si="234"/>
        <v>586.17983847113715</v>
      </c>
      <c r="AD248" s="27">
        <f t="shared" si="234"/>
        <v>546.98816277223273</v>
      </c>
      <c r="AE248" s="27">
        <f t="shared" si="234"/>
        <v>525.71050590667039</v>
      </c>
      <c r="AF248" s="27">
        <f t="shared" si="234"/>
        <v>515.79605721567145</v>
      </c>
      <c r="AG248" s="27"/>
      <c r="AH248" s="27"/>
    </row>
    <row r="249" spans="1:34" x14ac:dyDescent="0.25">
      <c r="B249" s="3">
        <f t="shared" ref="B249:AF249" si="235">$C18*EXP(-B$246/$A18/EXP(-$E$126))</f>
        <v>1.9043108067473227E-8</v>
      </c>
      <c r="C249" s="3">
        <f t="shared" si="235"/>
        <v>7.4796673012602328E-71</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5.8247957377222881E-2</v>
      </c>
      <c r="C250" s="3">
        <f t="shared" si="236"/>
        <v>5.8245813422308237E-2</v>
      </c>
      <c r="D250" s="3">
        <f t="shared" si="236"/>
        <v>5.8224378212918017E-2</v>
      </c>
      <c r="E250" s="3">
        <f t="shared" si="236"/>
        <v>5.8010459504185367E-2</v>
      </c>
      <c r="F250" s="3">
        <f t="shared" si="236"/>
        <v>5.5914026473390339E-2</v>
      </c>
      <c r="G250" s="3">
        <f t="shared" si="236"/>
        <v>3.8695938987499255E-2</v>
      </c>
      <c r="H250" s="3">
        <f t="shared" si="236"/>
        <v>9.7524023046766919E-4</v>
      </c>
      <c r="I250" s="3">
        <f t="shared" si="236"/>
        <v>1.0082629216750309E-19</v>
      </c>
      <c r="J250" s="3">
        <f t="shared" si="236"/>
        <v>1.4066811816865897E-179</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1.7254953604022977E-2</v>
      </c>
      <c r="C251" s="3">
        <f t="shared" si="237"/>
        <v>1.7254896310885379E-2</v>
      </c>
      <c r="D251" s="3">
        <f t="shared" si="237"/>
        <v>1.725432338997222E-2</v>
      </c>
      <c r="E251" s="3">
        <f t="shared" si="237"/>
        <v>1.7248595226996566E-2</v>
      </c>
      <c r="F251" s="3">
        <f t="shared" si="237"/>
        <v>1.7191418084423548E-2</v>
      </c>
      <c r="G251" s="3">
        <f t="shared" si="237"/>
        <v>1.662996814190949E-2</v>
      </c>
      <c r="H251" s="3">
        <f t="shared" si="237"/>
        <v>1.1931322026909495E-2</v>
      </c>
      <c r="I251" s="3">
        <f t="shared" si="237"/>
        <v>4.3118145133089057E-4</v>
      </c>
      <c r="J251" s="3">
        <f t="shared" si="237"/>
        <v>1.6382308312419253E-18</v>
      </c>
      <c r="K251" s="3">
        <f t="shared" si="237"/>
        <v>1.0268933592229911E-162</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3.2278436742125376E-2</v>
      </c>
      <c r="C252" s="3">
        <f t="shared" si="238"/>
        <v>3.227842707386025E-2</v>
      </c>
      <c r="D252" s="3">
        <f t="shared" si="238"/>
        <v>3.22783303913683E-2</v>
      </c>
      <c r="E252" s="3">
        <f t="shared" si="238"/>
        <v>3.2277363582376026E-2</v>
      </c>
      <c r="F252" s="3">
        <f t="shared" si="238"/>
        <v>3.226769708500659E-2</v>
      </c>
      <c r="G252" s="3">
        <f t="shared" si="238"/>
        <v>3.2171191190284804E-2</v>
      </c>
      <c r="H252" s="3">
        <f t="shared" si="238"/>
        <v>3.122186524459333E-2</v>
      </c>
      <c r="I252" s="3">
        <f t="shared" si="238"/>
        <v>2.3140667276112862E-2</v>
      </c>
      <c r="J252" s="3">
        <f t="shared" si="238"/>
        <v>1.1575671882076285E-3</v>
      </c>
      <c r="K252" s="3">
        <f t="shared" si="238"/>
        <v>1.1356630830807456E-16</v>
      </c>
      <c r="L252" s="3">
        <f t="shared" si="238"/>
        <v>9.3817209847489652E-147</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3.7144505457123389E-2</v>
      </c>
      <c r="C253" s="3">
        <f t="shared" si="239"/>
        <v>3.7144504453484953E-2</v>
      </c>
      <c r="D253" s="3">
        <f t="shared" si="239"/>
        <v>3.7144494417102006E-2</v>
      </c>
      <c r="E253" s="3">
        <f t="shared" si="239"/>
        <v>3.7144394053421723E-2</v>
      </c>
      <c r="F253" s="3">
        <f t="shared" si="239"/>
        <v>3.7143390431533668E-2</v>
      </c>
      <c r="G253" s="3">
        <f t="shared" si="239"/>
        <v>3.7133355703985592E-2</v>
      </c>
      <c r="H253" s="3">
        <f t="shared" si="239"/>
        <v>3.7033157412760379E-2</v>
      </c>
      <c r="I253" s="3">
        <f t="shared" si="239"/>
        <v>3.6045925051807419E-2</v>
      </c>
      <c r="J253" s="3">
        <f t="shared" si="239"/>
        <v>2.7511262279856893E-2</v>
      </c>
      <c r="K253" s="3">
        <f t="shared" si="239"/>
        <v>1.845244571557524E-3</v>
      </c>
      <c r="L253" s="3">
        <f t="shared" si="239"/>
        <v>3.40007210609909E-15</v>
      </c>
      <c r="M253" s="3">
        <f t="shared" si="239"/>
        <v>1.5340165208239485E-132</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4.0797811714280749E-2</v>
      </c>
      <c r="C254" s="3">
        <f t="shared" si="240"/>
        <v>4.0797811614839592E-2</v>
      </c>
      <c r="D254" s="3">
        <f t="shared" si="240"/>
        <v>4.0797810620428025E-2</v>
      </c>
      <c r="E254" s="3">
        <f t="shared" si="240"/>
        <v>4.0797800676313681E-2</v>
      </c>
      <c r="F254" s="3">
        <f t="shared" si="240"/>
        <v>4.0797701235303595E-2</v>
      </c>
      <c r="G254" s="3">
        <f t="shared" si="240"/>
        <v>4.0796706838533474E-2</v>
      </c>
      <c r="H254" s="3">
        <f t="shared" si="240"/>
        <v>4.0786764203784645E-2</v>
      </c>
      <c r="I254" s="3">
        <f t="shared" si="240"/>
        <v>4.06874710314062E-2</v>
      </c>
      <c r="J254" s="3">
        <f t="shared" si="240"/>
        <v>3.9707737494562419E-2</v>
      </c>
      <c r="K254" s="3">
        <f t="shared" si="240"/>
        <v>3.1118567476469461E-2</v>
      </c>
      <c r="L254" s="3">
        <f t="shared" si="240"/>
        <v>2.7193439270888796E-3</v>
      </c>
      <c r="M254" s="3">
        <f t="shared" si="240"/>
        <v>7.06170476306197E-14</v>
      </c>
      <c r="N254" s="3">
        <f t="shared" si="240"/>
        <v>9.848356032326789E-120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3.298225591412763E-2</v>
      </c>
      <c r="C255" s="3">
        <f t="shared" si="241"/>
        <v>3.2982255906875653E-2</v>
      </c>
      <c r="D255" s="3">
        <f t="shared" si="241"/>
        <v>3.2982255834355913E-2</v>
      </c>
      <c r="E255" s="3">
        <f t="shared" si="241"/>
        <v>3.2982255109158497E-2</v>
      </c>
      <c r="F255" s="3">
        <f t="shared" si="241"/>
        <v>3.2982247857185232E-2</v>
      </c>
      <c r="G255" s="3">
        <f t="shared" si="241"/>
        <v>3.2982175337540311E-2</v>
      </c>
      <c r="H255" s="3">
        <f t="shared" si="241"/>
        <v>3.2981450149860862E-2</v>
      </c>
      <c r="I255" s="3">
        <f t="shared" si="241"/>
        <v>3.2974199149977547E-2</v>
      </c>
      <c r="J255" s="3">
        <f t="shared" si="241"/>
        <v>3.2901776770959061E-2</v>
      </c>
      <c r="K255" s="3">
        <f t="shared" si="241"/>
        <v>3.2186244097522965E-2</v>
      </c>
      <c r="L255" s="3">
        <f t="shared" si="241"/>
        <v>2.5833294321962748E-2</v>
      </c>
      <c r="M255" s="3">
        <f t="shared" si="241"/>
        <v>2.8659902285557109E-3</v>
      </c>
      <c r="N255" s="3">
        <f t="shared" si="241"/>
        <v>8.0951302227962307E-13</v>
      </c>
      <c r="O255" s="3">
        <f t="shared" si="241"/>
        <v>2.6164665104974345E-108</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2.7372238189287374E-2</v>
      </c>
      <c r="C256" s="3">
        <f t="shared" si="242"/>
        <v>2.7372238188744458E-2</v>
      </c>
      <c r="D256" s="3">
        <f t="shared" si="242"/>
        <v>2.7372238183315297E-2</v>
      </c>
      <c r="E256" s="3">
        <f t="shared" si="242"/>
        <v>2.7372238129023677E-2</v>
      </c>
      <c r="F256" s="3">
        <f t="shared" si="242"/>
        <v>2.737223758610749E-2</v>
      </c>
      <c r="G256" s="3">
        <f t="shared" si="242"/>
        <v>2.7372232156946192E-2</v>
      </c>
      <c r="H256" s="3">
        <f t="shared" si="242"/>
        <v>2.7372177865392477E-2</v>
      </c>
      <c r="I256" s="3">
        <f t="shared" si="242"/>
        <v>2.7371634955777949E-2</v>
      </c>
      <c r="J256" s="3">
        <f t="shared" si="242"/>
        <v>2.7366206451851977E-2</v>
      </c>
      <c r="K256" s="3">
        <f t="shared" si="242"/>
        <v>2.7311980591084022E-2</v>
      </c>
      <c r="L256" s="3">
        <f t="shared" si="242"/>
        <v>2.6775596632212694E-2</v>
      </c>
      <c r="M256" s="3">
        <f t="shared" si="242"/>
        <v>2.1958303022216637E-2</v>
      </c>
      <c r="N256" s="3">
        <f t="shared" si="242"/>
        <v>3.0213076160409422E-3</v>
      </c>
      <c r="O256" s="3">
        <f t="shared" si="242"/>
        <v>7.347788717978209E-12</v>
      </c>
      <c r="P256" s="3">
        <f t="shared" si="242"/>
        <v>5.3183119092562858E-98</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2.9420754796471851E-2</v>
      </c>
      <c r="C257" s="3">
        <f t="shared" si="243"/>
        <v>2.9420754796419209E-2</v>
      </c>
      <c r="D257" s="3">
        <f t="shared" si="243"/>
        <v>2.9420754795892803E-2</v>
      </c>
      <c r="E257" s="3">
        <f t="shared" si="243"/>
        <v>2.9420754790628719E-2</v>
      </c>
      <c r="F257" s="3">
        <f t="shared" si="243"/>
        <v>2.9420754737987869E-2</v>
      </c>
      <c r="G257" s="3">
        <f t="shared" si="243"/>
        <v>2.9420754211579379E-2</v>
      </c>
      <c r="H257" s="3">
        <f t="shared" si="243"/>
        <v>2.9420748947495023E-2</v>
      </c>
      <c r="I257" s="3">
        <f t="shared" si="243"/>
        <v>2.9420696306703249E-2</v>
      </c>
      <c r="J257" s="3">
        <f t="shared" si="243"/>
        <v>2.9420169903965784E-2</v>
      </c>
      <c r="K257" s="3">
        <f t="shared" si="243"/>
        <v>2.9414906394582708E-2</v>
      </c>
      <c r="L257" s="3">
        <f t="shared" si="243"/>
        <v>2.9362323065635382E-2</v>
      </c>
      <c r="M257" s="3">
        <f t="shared" si="243"/>
        <v>2.8841632158536638E-2</v>
      </c>
      <c r="N257" s="3">
        <f t="shared" si="243"/>
        <v>2.4116486823804201E-2</v>
      </c>
      <c r="O257" s="3">
        <f t="shared" si="243"/>
        <v>4.0295460830085828E-3</v>
      </c>
      <c r="P257" s="3">
        <f t="shared" si="243"/>
        <v>6.8340314696101418E-11</v>
      </c>
      <c r="Q257" s="3">
        <f t="shared" si="243"/>
        <v>1.3455054123369563E-88</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2.9009360037805573E-2</v>
      </c>
      <c r="C258" s="3">
        <f t="shared" si="244"/>
        <v>2.9009360037800892E-2</v>
      </c>
      <c r="D258" s="3">
        <f t="shared" si="244"/>
        <v>2.9009360037754069E-2</v>
      </c>
      <c r="E258" s="3">
        <f t="shared" si="244"/>
        <v>2.9009360037285842E-2</v>
      </c>
      <c r="F258" s="3">
        <f t="shared" si="244"/>
        <v>2.9009360032603602E-2</v>
      </c>
      <c r="G258" s="3">
        <f t="shared" si="244"/>
        <v>2.9009359985781188E-2</v>
      </c>
      <c r="H258" s="3">
        <f t="shared" si="244"/>
        <v>2.9009359517557034E-2</v>
      </c>
      <c r="I258" s="3">
        <f t="shared" si="244"/>
        <v>2.9009354835315925E-2</v>
      </c>
      <c r="J258" s="3">
        <f t="shared" si="244"/>
        <v>2.9009308012946412E-2</v>
      </c>
      <c r="K258" s="3">
        <f t="shared" si="244"/>
        <v>2.9008839793407813E-2</v>
      </c>
      <c r="L258" s="3">
        <f t="shared" si="244"/>
        <v>2.9004158013648414E-2</v>
      </c>
      <c r="M258" s="3">
        <f t="shared" si="244"/>
        <v>2.8957381753906171E-2</v>
      </c>
      <c r="N258" s="3">
        <f t="shared" si="244"/>
        <v>2.8493748242126582E-2</v>
      </c>
      <c r="O258" s="3">
        <f t="shared" si="244"/>
        <v>2.4246691918541157E-2</v>
      </c>
      <c r="P258" s="3">
        <f t="shared" si="244"/>
        <v>4.8270479144099298E-3</v>
      </c>
      <c r="Q258" s="3">
        <f t="shared" si="244"/>
        <v>4.7203343788501849E-10</v>
      </c>
      <c r="R258" s="3">
        <f t="shared" si="244"/>
        <v>3.7747162378434726E-80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2.677500016187806E-2</v>
      </c>
      <c r="C259" s="3">
        <f t="shared" si="245"/>
        <v>2.6775000161877671E-2</v>
      </c>
      <c r="D259" s="3">
        <f t="shared" si="245"/>
        <v>2.6775000161873775E-2</v>
      </c>
      <c r="E259" s="3">
        <f t="shared" si="245"/>
        <v>2.6775000161834789E-2</v>
      </c>
      <c r="F259" s="3">
        <f t="shared" si="245"/>
        <v>2.6775000161444944E-2</v>
      </c>
      <c r="G259" s="3">
        <f t="shared" si="245"/>
        <v>2.6775000157546493E-2</v>
      </c>
      <c r="H259" s="3">
        <f t="shared" si="245"/>
        <v>2.6775000118562018E-2</v>
      </c>
      <c r="I259" s="3">
        <f t="shared" si="245"/>
        <v>2.6774999728717226E-2</v>
      </c>
      <c r="J259" s="3">
        <f t="shared" si="245"/>
        <v>2.6774995830269609E-2</v>
      </c>
      <c r="K259" s="3">
        <f t="shared" si="245"/>
        <v>2.6774956845824694E-2</v>
      </c>
      <c r="L259" s="3">
        <f t="shared" si="245"/>
        <v>2.6774567004497391E-2</v>
      </c>
      <c r="M259" s="3">
        <f t="shared" si="245"/>
        <v>2.6770668903394017E-2</v>
      </c>
      <c r="N259" s="3">
        <f t="shared" si="245"/>
        <v>2.6731719092515812E-2</v>
      </c>
      <c r="O259" s="3">
        <f t="shared" si="245"/>
        <v>2.6345324256365172E-2</v>
      </c>
      <c r="P259" s="3">
        <f t="shared" si="245"/>
        <v>2.2775616575218205E-2</v>
      </c>
      <c r="Q259" s="3">
        <f t="shared" si="245"/>
        <v>5.3105082746869401E-3</v>
      </c>
      <c r="R259" s="3">
        <f t="shared" si="245"/>
        <v>2.5222931453989271E-9</v>
      </c>
      <c r="S259" s="3">
        <f t="shared" si="245"/>
        <v>1.4736361180543281E-72</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3.1584912015022795E-2</v>
      </c>
      <c r="C260" s="3">
        <f t="shared" si="246"/>
        <v>3.1584912015022754E-2</v>
      </c>
      <c r="D260" s="3">
        <f t="shared" si="246"/>
        <v>3.1584912015022344E-2</v>
      </c>
      <c r="E260" s="3">
        <f t="shared" si="246"/>
        <v>3.1584912015018195E-2</v>
      </c>
      <c r="F260" s="3">
        <f t="shared" si="246"/>
        <v>3.1584912014976707E-2</v>
      </c>
      <c r="G260" s="3">
        <f t="shared" si="246"/>
        <v>3.1584912014561858E-2</v>
      </c>
      <c r="H260" s="3">
        <f t="shared" si="246"/>
        <v>3.1584912010413385E-2</v>
      </c>
      <c r="I260" s="3">
        <f t="shared" si="246"/>
        <v>3.1584911968928632E-2</v>
      </c>
      <c r="J260" s="3">
        <f t="shared" si="246"/>
        <v>3.1584911554081094E-2</v>
      </c>
      <c r="K260" s="3">
        <f t="shared" si="246"/>
        <v>3.1584907405606003E-2</v>
      </c>
      <c r="L260" s="3">
        <f t="shared" si="246"/>
        <v>3.1584865920885066E-2</v>
      </c>
      <c r="M260" s="3">
        <f t="shared" si="246"/>
        <v>3.158445107667255E-2</v>
      </c>
      <c r="N260" s="3">
        <f t="shared" si="246"/>
        <v>3.1580302934212774E-2</v>
      </c>
      <c r="O260" s="3">
        <f t="shared" si="246"/>
        <v>3.1538851461597912E-2</v>
      </c>
      <c r="P260" s="3">
        <f t="shared" si="246"/>
        <v>3.1127317428934275E-2</v>
      </c>
      <c r="Q260" s="3">
        <f t="shared" si="246"/>
        <v>2.729605612324763E-2</v>
      </c>
      <c r="R260" s="3">
        <f t="shared" si="246"/>
        <v>7.3397620646625649E-3</v>
      </c>
      <c r="S260" s="3">
        <f t="shared" si="246"/>
        <v>1.4504500320177287E-8</v>
      </c>
      <c r="T260" s="3">
        <f t="shared" si="246"/>
        <v>1.3173788195010827E-65</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3.592675255612271E-2</v>
      </c>
      <c r="C261" s="3">
        <f t="shared" si="247"/>
        <v>3.5926752556122703E-2</v>
      </c>
      <c r="D261" s="3">
        <f t="shared" si="247"/>
        <v>3.5926752556122661E-2</v>
      </c>
      <c r="E261" s="3">
        <f t="shared" si="247"/>
        <v>3.5926752556122238E-2</v>
      </c>
      <c r="F261" s="3">
        <f t="shared" si="247"/>
        <v>3.5926752556117977E-2</v>
      </c>
      <c r="G261" s="3">
        <f t="shared" si="247"/>
        <v>3.5926752556075414E-2</v>
      </c>
      <c r="H261" s="3">
        <f t="shared" si="247"/>
        <v>3.5926752555649741E-2</v>
      </c>
      <c r="I261" s="3">
        <f t="shared" si="247"/>
        <v>3.5926752551393042E-2</v>
      </c>
      <c r="J261" s="3">
        <f t="shared" si="247"/>
        <v>3.5926752508826001E-2</v>
      </c>
      <c r="K261" s="3">
        <f t="shared" si="247"/>
        <v>3.5926752083155655E-2</v>
      </c>
      <c r="L261" s="3">
        <f t="shared" si="247"/>
        <v>3.5926747826452429E-2</v>
      </c>
      <c r="M261" s="3">
        <f t="shared" si="247"/>
        <v>3.5926705259447925E-2</v>
      </c>
      <c r="N261" s="3">
        <f t="shared" si="247"/>
        <v>3.5926279592176799E-2</v>
      </c>
      <c r="O261" s="3">
        <f t="shared" si="247"/>
        <v>3.5922023196842429E-2</v>
      </c>
      <c r="P261" s="3">
        <f t="shared" si="247"/>
        <v>3.5879486969038553E-2</v>
      </c>
      <c r="Q261" s="3">
        <f t="shared" si="247"/>
        <v>3.5456885128900571E-2</v>
      </c>
      <c r="R261" s="3">
        <f t="shared" si="247"/>
        <v>3.1495183170887266E-2</v>
      </c>
      <c r="S261" s="3">
        <f t="shared" si="247"/>
        <v>9.631184878526499E-3</v>
      </c>
      <c r="T261" s="3">
        <f t="shared" si="247"/>
        <v>6.8870863881163148E-8</v>
      </c>
      <c r="U261" s="3">
        <f t="shared" si="247"/>
        <v>2.4076515903820339E-59</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3.8216836337325075E-2</v>
      </c>
      <c r="C262" s="3">
        <f t="shared" si="248"/>
        <v>3.8216836337325075E-2</v>
      </c>
      <c r="D262" s="3">
        <f t="shared" si="248"/>
        <v>3.8216836337325068E-2</v>
      </c>
      <c r="E262" s="3">
        <f t="shared" si="248"/>
        <v>3.8216836337325026E-2</v>
      </c>
      <c r="F262" s="3">
        <f t="shared" si="248"/>
        <v>3.8216836337324624E-2</v>
      </c>
      <c r="G262" s="3">
        <f t="shared" si="248"/>
        <v>3.8216836337320537E-2</v>
      </c>
      <c r="H262" s="3">
        <f t="shared" si="248"/>
        <v>3.8216836337279687E-2</v>
      </c>
      <c r="I262" s="3">
        <f t="shared" si="248"/>
        <v>3.8216836336871222E-2</v>
      </c>
      <c r="J262" s="3">
        <f t="shared" si="248"/>
        <v>3.8216836332786552E-2</v>
      </c>
      <c r="K262" s="3">
        <f t="shared" si="248"/>
        <v>3.8216836291939872E-2</v>
      </c>
      <c r="L262" s="3">
        <f t="shared" si="248"/>
        <v>3.8216835883473077E-2</v>
      </c>
      <c r="M262" s="3">
        <f t="shared" si="248"/>
        <v>3.8216831798805334E-2</v>
      </c>
      <c r="N262" s="3">
        <f t="shared" si="248"/>
        <v>3.8216790952151879E-2</v>
      </c>
      <c r="O262" s="3">
        <f t="shared" si="248"/>
        <v>3.8216382488018522E-2</v>
      </c>
      <c r="P262" s="3">
        <f t="shared" si="248"/>
        <v>3.8212298086790629E-2</v>
      </c>
      <c r="Q262" s="3">
        <f t="shared" si="248"/>
        <v>3.8171478075585456E-2</v>
      </c>
      <c r="R262" s="3">
        <f t="shared" si="248"/>
        <v>3.7765668606494218E-2</v>
      </c>
      <c r="S262" s="3">
        <f t="shared" si="248"/>
        <v>3.3937448394156335E-2</v>
      </c>
      <c r="T262" s="3">
        <f t="shared" si="248"/>
        <v>1.1654651000188383E-2</v>
      </c>
      <c r="U262" s="3">
        <f t="shared" si="248"/>
        <v>2.6588885769628161E-7</v>
      </c>
      <c r="V262" s="3">
        <f t="shared" si="248"/>
        <v>1.0155674899716174E-53</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4.8113881849429982E-2</v>
      </c>
      <c r="C263" s="3">
        <f t="shared" si="249"/>
        <v>4.8113881849429982E-2</v>
      </c>
      <c r="D263" s="3">
        <f t="shared" si="249"/>
        <v>4.8113881849429982E-2</v>
      </c>
      <c r="E263" s="3">
        <f t="shared" si="249"/>
        <v>4.8113881849429975E-2</v>
      </c>
      <c r="F263" s="3">
        <f t="shared" si="249"/>
        <v>4.8113881849429926E-2</v>
      </c>
      <c r="G263" s="3">
        <f t="shared" si="249"/>
        <v>4.8113881849429468E-2</v>
      </c>
      <c r="H263" s="3">
        <f t="shared" si="249"/>
        <v>4.8113881849424826E-2</v>
      </c>
      <c r="I263" s="3">
        <f t="shared" si="249"/>
        <v>4.811388184937844E-2</v>
      </c>
      <c r="J263" s="3">
        <f t="shared" si="249"/>
        <v>4.8113881848914547E-2</v>
      </c>
      <c r="K263" s="3">
        <f t="shared" si="249"/>
        <v>4.8113881844275605E-2</v>
      </c>
      <c r="L263" s="3">
        <f t="shared" si="249"/>
        <v>4.8113881797886171E-2</v>
      </c>
      <c r="M263" s="3">
        <f t="shared" si="249"/>
        <v>4.8113881333991894E-2</v>
      </c>
      <c r="N263" s="3">
        <f t="shared" si="249"/>
        <v>4.8113876695049337E-2</v>
      </c>
      <c r="O263" s="3">
        <f t="shared" si="249"/>
        <v>4.8113830305648378E-2</v>
      </c>
      <c r="P263" s="3">
        <f t="shared" si="249"/>
        <v>4.8113366414098753E-2</v>
      </c>
      <c r="Q263" s="3">
        <f t="shared" si="249"/>
        <v>4.8108727744590046E-2</v>
      </c>
      <c r="R263" s="3">
        <f t="shared" si="249"/>
        <v>4.8062365639484371E-2</v>
      </c>
      <c r="S263" s="3">
        <f t="shared" si="249"/>
        <v>4.7601194836949468E-2</v>
      </c>
      <c r="T263" s="3">
        <f t="shared" si="249"/>
        <v>4.3225991554535152E-2</v>
      </c>
      <c r="U263" s="3">
        <f t="shared" si="249"/>
        <v>1.6482233646800917E-2</v>
      </c>
      <c r="V263" s="3">
        <f t="shared" si="249"/>
        <v>1.0708461661665823E-6</v>
      </c>
      <c r="W263" s="3">
        <f t="shared" si="249"/>
        <v>1.4349517065972129E-48</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5.6463045562969084E-2</v>
      </c>
      <c r="C264" s="3">
        <f t="shared" si="250"/>
        <v>5.6463045562969084E-2</v>
      </c>
      <c r="D264" s="3">
        <f t="shared" si="250"/>
        <v>5.6463045562969084E-2</v>
      </c>
      <c r="E264" s="3">
        <f t="shared" si="250"/>
        <v>5.6463045562969084E-2</v>
      </c>
      <c r="F264" s="3">
        <f t="shared" si="250"/>
        <v>5.6463045562969078E-2</v>
      </c>
      <c r="G264" s="3">
        <f t="shared" si="250"/>
        <v>5.6463045562969029E-2</v>
      </c>
      <c r="H264" s="3">
        <f t="shared" si="250"/>
        <v>5.6463045562968536E-2</v>
      </c>
      <c r="I264" s="3">
        <f t="shared" si="250"/>
        <v>5.646304556296363E-2</v>
      </c>
      <c r="J264" s="3">
        <f t="shared" si="250"/>
        <v>5.6463045562914524E-2</v>
      </c>
      <c r="K264" s="3">
        <f t="shared" si="250"/>
        <v>5.6463045562423431E-2</v>
      </c>
      <c r="L264" s="3">
        <f t="shared" si="250"/>
        <v>5.6463045557512553E-2</v>
      </c>
      <c r="M264" s="3">
        <f t="shared" si="250"/>
        <v>5.6463045508403725E-2</v>
      </c>
      <c r="N264" s="3">
        <f t="shared" si="250"/>
        <v>5.6463045017315514E-2</v>
      </c>
      <c r="O264" s="3">
        <f t="shared" si="250"/>
        <v>5.6463040106433604E-2</v>
      </c>
      <c r="P264" s="3">
        <f t="shared" si="250"/>
        <v>5.6462990997638039E-2</v>
      </c>
      <c r="Q264" s="3">
        <f t="shared" si="250"/>
        <v>5.646249991203154E-2</v>
      </c>
      <c r="R264" s="3">
        <f t="shared" si="250"/>
        <v>5.645758929087679E-2</v>
      </c>
      <c r="S264" s="3">
        <f t="shared" si="250"/>
        <v>5.6408506562792136E-2</v>
      </c>
      <c r="T264" s="3">
        <f t="shared" si="250"/>
        <v>5.5920020088616934E-2</v>
      </c>
      <c r="U264" s="3">
        <f t="shared" si="250"/>
        <v>5.126187516323337E-2</v>
      </c>
      <c r="V264" s="3">
        <f t="shared" si="250"/>
        <v>2.1481578348205677E-2</v>
      </c>
      <c r="W264" s="3">
        <f t="shared" si="250"/>
        <v>3.5874278787955967E-6</v>
      </c>
      <c r="X264" s="3">
        <f t="shared" si="250"/>
        <v>6.0527549201141558E-44</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5.9569205174430817E-2</v>
      </c>
      <c r="C265" s="3">
        <f t="shared" si="251"/>
        <v>5.9569205174430817E-2</v>
      </c>
      <c r="D265" s="3">
        <f t="shared" si="251"/>
        <v>5.9569205174430817E-2</v>
      </c>
      <c r="E265" s="3">
        <f t="shared" si="251"/>
        <v>5.9569205174430817E-2</v>
      </c>
      <c r="F265" s="3">
        <f t="shared" si="251"/>
        <v>5.9569205174430817E-2</v>
      </c>
      <c r="G265" s="3">
        <f t="shared" si="251"/>
        <v>5.956920517443081E-2</v>
      </c>
      <c r="H265" s="3">
        <f t="shared" si="251"/>
        <v>5.9569205174430762E-2</v>
      </c>
      <c r="I265" s="3">
        <f t="shared" si="251"/>
        <v>5.9569205174430297E-2</v>
      </c>
      <c r="J265" s="3">
        <f t="shared" si="251"/>
        <v>5.9569205174425627E-2</v>
      </c>
      <c r="K265" s="3">
        <f t="shared" si="251"/>
        <v>5.9569205174378886E-2</v>
      </c>
      <c r="L265" s="3">
        <f t="shared" si="251"/>
        <v>5.956920517391151E-2</v>
      </c>
      <c r="M265" s="3">
        <f t="shared" si="251"/>
        <v>5.9569205169237784E-2</v>
      </c>
      <c r="N265" s="3">
        <f t="shared" si="251"/>
        <v>5.9569205122500482E-2</v>
      </c>
      <c r="O265" s="3">
        <f t="shared" si="251"/>
        <v>5.9569204655127501E-2</v>
      </c>
      <c r="P265" s="3">
        <f t="shared" si="251"/>
        <v>5.9569199981397827E-2</v>
      </c>
      <c r="Q265" s="3">
        <f t="shared" si="251"/>
        <v>5.9569153244121265E-2</v>
      </c>
      <c r="R265" s="3">
        <f t="shared" si="251"/>
        <v>5.9568685873372502E-2</v>
      </c>
      <c r="S265" s="3">
        <f t="shared" si="251"/>
        <v>5.9564012367560801E-2</v>
      </c>
      <c r="T265" s="3">
        <f t="shared" si="251"/>
        <v>5.9517297471184651E-2</v>
      </c>
      <c r="U265" s="3">
        <f t="shared" si="251"/>
        <v>5.9052158840872004E-2</v>
      </c>
      <c r="V265" s="3">
        <f t="shared" si="251"/>
        <v>5.4596090391350306E-2</v>
      </c>
      <c r="W265" s="3">
        <f t="shared" si="251"/>
        <v>2.4912607902959249E-2</v>
      </c>
      <c r="X265" s="3">
        <f t="shared" si="251"/>
        <v>9.7497993716580097E-6</v>
      </c>
      <c r="Y265" s="3">
        <f t="shared" si="251"/>
        <v>8.2178941223973771E-40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6.4663842713273356E-2</v>
      </c>
      <c r="C266" s="3">
        <f t="shared" si="252"/>
        <v>6.4663842713273356E-2</v>
      </c>
      <c r="D266" s="3">
        <f t="shared" si="252"/>
        <v>6.4663842713273356E-2</v>
      </c>
      <c r="E266" s="3">
        <f t="shared" si="252"/>
        <v>6.4663842713273356E-2</v>
      </c>
      <c r="F266" s="3">
        <f t="shared" si="252"/>
        <v>6.4663842713273356E-2</v>
      </c>
      <c r="G266" s="3">
        <f t="shared" si="252"/>
        <v>6.4663842713273356E-2</v>
      </c>
      <c r="H266" s="3">
        <f t="shared" si="252"/>
        <v>6.4663842713273342E-2</v>
      </c>
      <c r="I266" s="3">
        <f t="shared" si="252"/>
        <v>6.4663842713273301E-2</v>
      </c>
      <c r="J266" s="3">
        <f t="shared" si="252"/>
        <v>6.4663842713272843E-2</v>
      </c>
      <c r="K266" s="3">
        <f t="shared" si="252"/>
        <v>6.4663842713268277E-2</v>
      </c>
      <c r="L266" s="3">
        <f t="shared" si="252"/>
        <v>6.4663842713222508E-2</v>
      </c>
      <c r="M266" s="3">
        <f t="shared" si="252"/>
        <v>6.4663842712764832E-2</v>
      </c>
      <c r="N266" s="3">
        <f t="shared" si="252"/>
        <v>6.466384270818816E-2</v>
      </c>
      <c r="O266" s="3">
        <f t="shared" si="252"/>
        <v>6.4663842662421436E-2</v>
      </c>
      <c r="P266" s="3">
        <f t="shared" si="252"/>
        <v>6.4663842204754116E-2</v>
      </c>
      <c r="Q266" s="3">
        <f t="shared" si="252"/>
        <v>6.4663837628081075E-2</v>
      </c>
      <c r="R266" s="3">
        <f t="shared" si="252"/>
        <v>6.46637918613686E-2</v>
      </c>
      <c r="S266" s="3">
        <f t="shared" si="252"/>
        <v>6.4663334196025379E-2</v>
      </c>
      <c r="T266" s="3">
        <f t="shared" si="252"/>
        <v>6.4658757720744128E-2</v>
      </c>
      <c r="U266" s="3">
        <f t="shared" si="252"/>
        <v>6.4613010778370866E-2</v>
      </c>
      <c r="V266" s="3">
        <f t="shared" si="252"/>
        <v>6.4157317743313902E-2</v>
      </c>
      <c r="W266" s="3">
        <f t="shared" si="252"/>
        <v>5.9773461142440761E-2</v>
      </c>
      <c r="X266" s="3">
        <f t="shared" si="252"/>
        <v>2.9453062306370032E-2</v>
      </c>
      <c r="Y266" s="3">
        <f t="shared" si="252"/>
        <v>2.485140667919469E-5</v>
      </c>
      <c r="Z266" s="3">
        <f t="shared" si="252"/>
        <v>4.5452332931588986E-36</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4.8548005334617741E-2</v>
      </c>
      <c r="C267" s="3">
        <f t="shared" si="253"/>
        <v>4.8548005334617741E-2</v>
      </c>
      <c r="D267" s="3">
        <f t="shared" si="253"/>
        <v>4.8548005334617741E-2</v>
      </c>
      <c r="E267" s="3">
        <f t="shared" si="253"/>
        <v>4.8548005334617741E-2</v>
      </c>
      <c r="F267" s="3">
        <f t="shared" si="253"/>
        <v>4.8548005334617741E-2</v>
      </c>
      <c r="G267" s="3">
        <f t="shared" si="253"/>
        <v>4.8548005334617741E-2</v>
      </c>
      <c r="H267" s="3">
        <f t="shared" si="253"/>
        <v>4.8548005334617741E-2</v>
      </c>
      <c r="I267" s="3">
        <f t="shared" si="253"/>
        <v>4.8548005334617735E-2</v>
      </c>
      <c r="J267" s="3">
        <f t="shared" si="253"/>
        <v>4.8548005334617707E-2</v>
      </c>
      <c r="K267" s="3">
        <f t="shared" si="253"/>
        <v>4.8548005334617395E-2</v>
      </c>
      <c r="L267" s="3">
        <f t="shared" si="253"/>
        <v>4.85480053346143E-2</v>
      </c>
      <c r="M267" s="3">
        <f t="shared" si="253"/>
        <v>4.8548005334583297E-2</v>
      </c>
      <c r="N267" s="3">
        <f t="shared" si="253"/>
        <v>4.8548005334273343E-2</v>
      </c>
      <c r="O267" s="3">
        <f t="shared" si="253"/>
        <v>4.8548005331173733E-2</v>
      </c>
      <c r="P267" s="3">
        <f t="shared" si="253"/>
        <v>4.8548005300177687E-2</v>
      </c>
      <c r="Q267" s="3">
        <f t="shared" si="253"/>
        <v>4.8548004990217164E-2</v>
      </c>
      <c r="R267" s="3">
        <f t="shared" si="253"/>
        <v>4.8548001890612112E-2</v>
      </c>
      <c r="S267" s="3">
        <f t="shared" si="253"/>
        <v>4.8547970894572433E-2</v>
      </c>
      <c r="T267" s="3">
        <f t="shared" si="253"/>
        <v>4.8547660935264116E-2</v>
      </c>
      <c r="U267" s="3">
        <f t="shared" si="253"/>
        <v>4.8544561451021949E-2</v>
      </c>
      <c r="V267" s="3">
        <f t="shared" si="253"/>
        <v>4.8513577490132853E-2</v>
      </c>
      <c r="W267" s="3">
        <f t="shared" si="253"/>
        <v>4.820482346832812E-2</v>
      </c>
      <c r="X267" s="3">
        <f t="shared" si="253"/>
        <v>4.5223320674901486E-2</v>
      </c>
      <c r="Y267" s="3">
        <f t="shared" si="253"/>
        <v>2.3882619983313858E-2</v>
      </c>
      <c r="Z267" s="3">
        <f t="shared" si="253"/>
        <v>4.0297412757990409E-5</v>
      </c>
      <c r="AA267" s="3">
        <f t="shared" si="253"/>
        <v>7.5375311237668186E-33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3.8659494646510029E-2</v>
      </c>
      <c r="C268" s="3">
        <f t="shared" si="254"/>
        <v>3.8659494646510029E-2</v>
      </c>
      <c r="D268" s="3">
        <f t="shared" si="254"/>
        <v>3.8659494646510029E-2</v>
      </c>
      <c r="E268" s="3">
        <f t="shared" si="254"/>
        <v>3.8659494646510029E-2</v>
      </c>
      <c r="F268" s="3">
        <f t="shared" si="254"/>
        <v>3.8659494646510029E-2</v>
      </c>
      <c r="G268" s="3">
        <f t="shared" si="254"/>
        <v>3.8659494646510029E-2</v>
      </c>
      <c r="H268" s="3">
        <f t="shared" si="254"/>
        <v>3.8659494646510029E-2</v>
      </c>
      <c r="I268" s="3">
        <f t="shared" si="254"/>
        <v>3.8659494646510029E-2</v>
      </c>
      <c r="J268" s="3">
        <f t="shared" si="254"/>
        <v>3.8659494646510022E-2</v>
      </c>
      <c r="K268" s="3">
        <f t="shared" si="254"/>
        <v>3.8659494646510001E-2</v>
      </c>
      <c r="L268" s="3">
        <f t="shared" si="254"/>
        <v>3.8659494646509779E-2</v>
      </c>
      <c r="M268" s="3">
        <f t="shared" si="254"/>
        <v>3.8659494646507558E-2</v>
      </c>
      <c r="N268" s="3">
        <f t="shared" si="254"/>
        <v>3.8659494646485291E-2</v>
      </c>
      <c r="O268" s="3">
        <f t="shared" si="254"/>
        <v>3.8659494646262629E-2</v>
      </c>
      <c r="P268" s="3">
        <f t="shared" si="254"/>
        <v>3.8659494644036056E-2</v>
      </c>
      <c r="Q268" s="3">
        <f t="shared" si="254"/>
        <v>3.8659494621770284E-2</v>
      </c>
      <c r="R268" s="3">
        <f t="shared" si="254"/>
        <v>3.8659494399112565E-2</v>
      </c>
      <c r="S268" s="3">
        <f t="shared" si="254"/>
        <v>3.8659492172535483E-2</v>
      </c>
      <c r="T268" s="3">
        <f t="shared" si="254"/>
        <v>3.8659469906771701E-2</v>
      </c>
      <c r="U268" s="3">
        <f t="shared" si="254"/>
        <v>3.8659247249839185E-2</v>
      </c>
      <c r="V268" s="3">
        <f t="shared" si="254"/>
        <v>3.86570207510437E-2</v>
      </c>
      <c r="W268" s="3">
        <f t="shared" si="254"/>
        <v>3.863476281455111E-2</v>
      </c>
      <c r="X268" s="3">
        <f t="shared" si="254"/>
        <v>3.8412887095504757E-2</v>
      </c>
      <c r="Y268" s="3">
        <f t="shared" si="254"/>
        <v>3.6263017844535707E-2</v>
      </c>
      <c r="Z268" s="3">
        <f t="shared" si="254"/>
        <v>2.0386087446826618E-2</v>
      </c>
      <c r="AA268" s="3">
        <f t="shared" si="254"/>
        <v>6.4273695946897753E-5</v>
      </c>
      <c r="AB268" s="3">
        <f t="shared" si="254"/>
        <v>6.2377388090967862E-30</v>
      </c>
      <c r="AC268" s="3">
        <f t="shared" si="254"/>
        <v>4.6234514676431789E-280</v>
      </c>
      <c r="AD268" s="3">
        <f t="shared" si="254"/>
        <v>0</v>
      </c>
      <c r="AE268" s="3">
        <f t="shared" si="254"/>
        <v>0</v>
      </c>
      <c r="AF268" s="3">
        <f t="shared" si="254"/>
        <v>0</v>
      </c>
      <c r="AG268" s="3"/>
      <c r="AH268" s="3"/>
    </row>
    <row r="269" spans="2:34" x14ac:dyDescent="0.25">
      <c r="B269" s="3">
        <f t="shared" ref="B269:AF269" si="255">$C38*EXP(-B$246/$A38/EXP(-$E$126))</f>
        <v>6.6103757573429938E-3</v>
      </c>
      <c r="C269" s="3">
        <f t="shared" si="255"/>
        <v>6.6103757573429938E-3</v>
      </c>
      <c r="D269" s="3">
        <f t="shared" si="255"/>
        <v>6.6103757573429938E-3</v>
      </c>
      <c r="E269" s="3">
        <f t="shared" si="255"/>
        <v>6.6103757573429938E-3</v>
      </c>
      <c r="F269" s="3">
        <f t="shared" si="255"/>
        <v>6.6103757573429938E-3</v>
      </c>
      <c r="G269" s="3">
        <f t="shared" si="255"/>
        <v>6.6103757573429938E-3</v>
      </c>
      <c r="H269" s="3">
        <f t="shared" si="255"/>
        <v>6.6103757573429938E-3</v>
      </c>
      <c r="I269" s="3">
        <f t="shared" si="255"/>
        <v>6.6103757573429938E-3</v>
      </c>
      <c r="J269" s="3">
        <f t="shared" si="255"/>
        <v>6.6103757573429938E-3</v>
      </c>
      <c r="K269" s="3">
        <f t="shared" si="255"/>
        <v>6.6103757573429929E-3</v>
      </c>
      <c r="L269" s="3">
        <f t="shared" si="255"/>
        <v>6.6103757573429903E-3</v>
      </c>
      <c r="M269" s="3">
        <f t="shared" si="255"/>
        <v>6.6103757573429556E-3</v>
      </c>
      <c r="N269" s="3">
        <f t="shared" si="255"/>
        <v>6.6103757573426122E-3</v>
      </c>
      <c r="O269" s="3">
        <f t="shared" si="255"/>
        <v>6.6103757573391774E-3</v>
      </c>
      <c r="P269" s="3">
        <f t="shared" si="255"/>
        <v>6.6103757573048334E-3</v>
      </c>
      <c r="Q269" s="3">
        <f t="shared" si="255"/>
        <v>6.6103757569613902E-3</v>
      </c>
      <c r="R269" s="3">
        <f t="shared" si="255"/>
        <v>6.6103757535269638E-3</v>
      </c>
      <c r="S269" s="3">
        <f t="shared" si="255"/>
        <v>6.6103757191826916E-3</v>
      </c>
      <c r="T269" s="3">
        <f t="shared" si="255"/>
        <v>6.6103753757399825E-3</v>
      </c>
      <c r="U269" s="3">
        <f t="shared" si="255"/>
        <v>6.6103719413138692E-3</v>
      </c>
      <c r="V269" s="3">
        <f t="shared" si="255"/>
        <v>6.6103375971508765E-3</v>
      </c>
      <c r="W269" s="3">
        <f t="shared" si="255"/>
        <v>6.6099941653347191E-3</v>
      </c>
      <c r="X269" s="3">
        <f t="shared" si="255"/>
        <v>6.6065608283615729E-3</v>
      </c>
      <c r="Y269" s="3">
        <f t="shared" si="255"/>
        <v>6.5723253891164677E-3</v>
      </c>
      <c r="Z269" s="3">
        <f t="shared" si="255"/>
        <v>6.2395783773575098E-3</v>
      </c>
      <c r="AA269" s="3">
        <f t="shared" si="255"/>
        <v>3.7112235951207982E-3</v>
      </c>
      <c r="AB269" s="3">
        <f t="shared" si="255"/>
        <v>2.0565339497462705E-5</v>
      </c>
      <c r="AC269" s="3">
        <f t="shared" si="255"/>
        <v>5.6146606169410308E-28</v>
      </c>
      <c r="AD269" s="3">
        <f t="shared" si="255"/>
        <v>1.2918133771853165E-253</v>
      </c>
      <c r="AE269" s="3">
        <f t="shared" si="255"/>
        <v>0</v>
      </c>
      <c r="AF269" s="3">
        <f t="shared" si="255"/>
        <v>0</v>
      </c>
      <c r="AG269" s="3"/>
      <c r="AH269" s="3"/>
    </row>
    <row r="270" spans="2:34" x14ac:dyDescent="0.25">
      <c r="B270" s="3">
        <f t="shared" ref="B270:AF270" si="256">$C39*EXP(-B$246/$A39/EXP(-$E$126))</f>
        <v>1.6903393193058183E-2</v>
      </c>
      <c r="C270" s="3">
        <f t="shared" si="256"/>
        <v>1.6903393193058183E-2</v>
      </c>
      <c r="D270" s="3">
        <f t="shared" si="256"/>
        <v>1.6903393193058183E-2</v>
      </c>
      <c r="E270" s="3">
        <f t="shared" si="256"/>
        <v>1.6903393193058183E-2</v>
      </c>
      <c r="F270" s="3">
        <f t="shared" si="256"/>
        <v>1.6903393193058183E-2</v>
      </c>
      <c r="G270" s="3">
        <f t="shared" si="256"/>
        <v>1.6903393193058183E-2</v>
      </c>
      <c r="H270" s="3">
        <f t="shared" si="256"/>
        <v>1.6903393193058183E-2</v>
      </c>
      <c r="I270" s="3">
        <f t="shared" si="256"/>
        <v>1.6903393193058183E-2</v>
      </c>
      <c r="J270" s="3">
        <f t="shared" si="256"/>
        <v>1.6903393193058183E-2</v>
      </c>
      <c r="K270" s="3">
        <f t="shared" si="256"/>
        <v>1.6903393193058183E-2</v>
      </c>
      <c r="L270" s="3">
        <f t="shared" si="256"/>
        <v>1.690339319305818E-2</v>
      </c>
      <c r="M270" s="3">
        <f t="shared" si="256"/>
        <v>1.6903393193058155E-2</v>
      </c>
      <c r="N270" s="3">
        <f t="shared" si="256"/>
        <v>1.6903393193057913E-2</v>
      </c>
      <c r="O270" s="3">
        <f t="shared" si="256"/>
        <v>1.6903393193055484E-2</v>
      </c>
      <c r="P270" s="3">
        <f t="shared" si="256"/>
        <v>1.6903393193031194E-2</v>
      </c>
      <c r="Q270" s="3">
        <f t="shared" si="256"/>
        <v>1.6903393192788302E-2</v>
      </c>
      <c r="R270" s="3">
        <f t="shared" si="256"/>
        <v>1.6903393190359373E-2</v>
      </c>
      <c r="S270" s="3">
        <f t="shared" si="256"/>
        <v>1.6903393166070077E-2</v>
      </c>
      <c r="T270" s="3">
        <f t="shared" si="256"/>
        <v>1.6903392923177121E-2</v>
      </c>
      <c r="U270" s="3">
        <f t="shared" si="256"/>
        <v>1.6903390494247751E-2</v>
      </c>
      <c r="V270" s="3">
        <f t="shared" si="256"/>
        <v>1.6903366204973274E-2</v>
      </c>
      <c r="W270" s="3">
        <f t="shared" si="256"/>
        <v>1.6903123314148095E-2</v>
      </c>
      <c r="X270" s="3">
        <f t="shared" si="256"/>
        <v>1.6900694597848473E-2</v>
      </c>
      <c r="Y270" s="3">
        <f t="shared" si="256"/>
        <v>1.6876426619865968E-2</v>
      </c>
      <c r="Z270" s="3">
        <f t="shared" si="256"/>
        <v>1.6635655180389442E-2</v>
      </c>
      <c r="AA270" s="3">
        <f t="shared" si="256"/>
        <v>1.4409007064622153E-2</v>
      </c>
      <c r="AB270" s="3">
        <f t="shared" si="256"/>
        <v>3.4243291179728583E-3</v>
      </c>
      <c r="AC270" s="3">
        <f t="shared" si="256"/>
        <v>1.9678407226310957E-9</v>
      </c>
      <c r="AD270" s="3">
        <f t="shared" si="256"/>
        <v>7.729197279666904E-72</v>
      </c>
      <c r="AE270" s="3">
        <f t="shared" si="256"/>
        <v>0</v>
      </c>
      <c r="AF270" s="3">
        <f t="shared" si="256"/>
        <v>0</v>
      </c>
      <c r="AG270" s="3"/>
      <c r="AH270" s="3"/>
    </row>
    <row r="271" spans="2:34" x14ac:dyDescent="0.25">
      <c r="B271" s="3">
        <f t="shared" ref="B271:AF271" si="257">$C40*EXP(-B$246/$A40/EXP(-$E$126))</f>
        <v>1.9810156254800116E-3</v>
      </c>
      <c r="C271" s="3">
        <f t="shared" si="257"/>
        <v>1.9810156254800116E-3</v>
      </c>
      <c r="D271" s="3">
        <f t="shared" si="257"/>
        <v>1.9810156254800116E-3</v>
      </c>
      <c r="E271" s="3">
        <f t="shared" si="257"/>
        <v>1.9810156254800116E-3</v>
      </c>
      <c r="F271" s="3">
        <f t="shared" si="257"/>
        <v>1.9810156254800116E-3</v>
      </c>
      <c r="G271" s="3">
        <f t="shared" si="257"/>
        <v>1.9810156254800116E-3</v>
      </c>
      <c r="H271" s="3">
        <f t="shared" si="257"/>
        <v>1.9810156254800116E-3</v>
      </c>
      <c r="I271" s="3">
        <f t="shared" si="257"/>
        <v>1.9810156254800116E-3</v>
      </c>
      <c r="J271" s="3">
        <f t="shared" si="257"/>
        <v>1.9810156254800116E-3</v>
      </c>
      <c r="K271" s="3">
        <f t="shared" si="257"/>
        <v>1.9810156254800116E-3</v>
      </c>
      <c r="L271" s="3">
        <f t="shared" si="257"/>
        <v>1.9810156254800116E-3</v>
      </c>
      <c r="M271" s="3">
        <f t="shared" si="257"/>
        <v>1.9810156254800111E-3</v>
      </c>
      <c r="N271" s="3">
        <f t="shared" si="257"/>
        <v>1.9810156254800085E-3</v>
      </c>
      <c r="O271" s="3">
        <f t="shared" si="257"/>
        <v>1.9810156254799799E-3</v>
      </c>
      <c r="P271" s="3">
        <f t="shared" si="257"/>
        <v>1.9810156254796954E-3</v>
      </c>
      <c r="Q271" s="3">
        <f t="shared" si="257"/>
        <v>1.9810156254768487E-3</v>
      </c>
      <c r="R271" s="3">
        <f t="shared" si="257"/>
        <v>1.9810156254483824E-3</v>
      </c>
      <c r="S271" s="3">
        <f t="shared" si="257"/>
        <v>1.9810156251637207E-3</v>
      </c>
      <c r="T271" s="3">
        <f t="shared" si="257"/>
        <v>1.9810156223171046E-3</v>
      </c>
      <c r="U271" s="3">
        <f t="shared" si="257"/>
        <v>1.981015593850942E-3</v>
      </c>
      <c r="V271" s="3">
        <f t="shared" si="257"/>
        <v>1.9810153091893369E-3</v>
      </c>
      <c r="W271" s="3">
        <f t="shared" si="257"/>
        <v>1.9810124625755402E-3</v>
      </c>
      <c r="X271" s="3">
        <f t="shared" si="257"/>
        <v>1.980983996662545E-3</v>
      </c>
      <c r="Y271" s="3">
        <f t="shared" si="257"/>
        <v>1.9806993600286777E-3</v>
      </c>
      <c r="Z271" s="3">
        <f t="shared" si="257"/>
        <v>1.9778552421031775E-3</v>
      </c>
      <c r="AA271" s="3">
        <f t="shared" si="257"/>
        <v>1.9496377133310142E-3</v>
      </c>
      <c r="AB271" s="3">
        <f t="shared" si="257"/>
        <v>1.6886827287666056E-3</v>
      </c>
      <c r="AC271" s="3">
        <f t="shared" si="257"/>
        <v>4.0131880102489128E-4</v>
      </c>
      <c r="AD271" s="3">
        <f t="shared" si="257"/>
        <v>2.3062370823800191E-10</v>
      </c>
      <c r="AE271" s="3">
        <f t="shared" si="257"/>
        <v>9.0583354528639061E-73</v>
      </c>
      <c r="AF271" s="3">
        <f t="shared" si="257"/>
        <v>0</v>
      </c>
      <c r="AG271" s="3"/>
      <c r="AH271" s="3"/>
    </row>
    <row r="272" spans="2:34" x14ac:dyDescent="0.25">
      <c r="B272" s="3">
        <f t="shared" ref="B272:AF272" si="258">$C41*EXP(-B$246/$A41/EXP(-$E$126))</f>
        <v>4.9795148637895425E-3</v>
      </c>
      <c r="C272" s="3">
        <f t="shared" si="258"/>
        <v>4.9795148637895425E-3</v>
      </c>
      <c r="D272" s="3">
        <f t="shared" si="258"/>
        <v>4.9795148637895425E-3</v>
      </c>
      <c r="E272" s="3">
        <f t="shared" si="258"/>
        <v>4.9795148637895425E-3</v>
      </c>
      <c r="F272" s="3">
        <f t="shared" si="258"/>
        <v>4.9795148637895425E-3</v>
      </c>
      <c r="G272" s="3">
        <f t="shared" si="258"/>
        <v>4.9795148637895425E-3</v>
      </c>
      <c r="H272" s="3">
        <f t="shared" si="258"/>
        <v>4.9795148637895425E-3</v>
      </c>
      <c r="I272" s="3">
        <f t="shared" si="258"/>
        <v>4.9795148637895425E-3</v>
      </c>
      <c r="J272" s="3">
        <f t="shared" si="258"/>
        <v>4.9795148637895425E-3</v>
      </c>
      <c r="K272" s="3">
        <f t="shared" si="258"/>
        <v>4.9795148637895425E-3</v>
      </c>
      <c r="L272" s="3">
        <f t="shared" si="258"/>
        <v>4.9795148637895425E-3</v>
      </c>
      <c r="M272" s="3">
        <f t="shared" si="258"/>
        <v>4.9795148637895425E-3</v>
      </c>
      <c r="N272" s="3">
        <f t="shared" si="258"/>
        <v>4.9795148637895416E-3</v>
      </c>
      <c r="O272" s="3">
        <f t="shared" si="258"/>
        <v>4.9795148637895347E-3</v>
      </c>
      <c r="P272" s="3">
        <f t="shared" si="258"/>
        <v>4.9795148637894627E-3</v>
      </c>
      <c r="Q272" s="3">
        <f t="shared" si="258"/>
        <v>4.9795148637887471E-3</v>
      </c>
      <c r="R272" s="3">
        <f t="shared" si="258"/>
        <v>4.9795148637815922E-3</v>
      </c>
      <c r="S272" s="3">
        <f t="shared" si="258"/>
        <v>4.9795148637100392E-3</v>
      </c>
      <c r="T272" s="3">
        <f t="shared" si="258"/>
        <v>4.9795148629945092E-3</v>
      </c>
      <c r="U272" s="3">
        <f t="shared" si="258"/>
        <v>4.979514855839205E-3</v>
      </c>
      <c r="V272" s="3">
        <f t="shared" si="258"/>
        <v>4.9795147842861707E-3</v>
      </c>
      <c r="W272" s="3">
        <f t="shared" si="258"/>
        <v>4.9795140687558768E-3</v>
      </c>
      <c r="X272" s="3">
        <f t="shared" si="258"/>
        <v>4.9795069134585986E-3</v>
      </c>
      <c r="Y272" s="3">
        <f t="shared" si="258"/>
        <v>4.9794353610513138E-3</v>
      </c>
      <c r="Z272" s="3">
        <f t="shared" si="258"/>
        <v>4.9787198935250148E-3</v>
      </c>
      <c r="AA272" s="3">
        <f t="shared" si="258"/>
        <v>4.9715708699119548E-3</v>
      </c>
      <c r="AB272" s="3">
        <f t="shared" si="258"/>
        <v>4.900642805472105E-3</v>
      </c>
      <c r="AC272" s="3">
        <f t="shared" si="258"/>
        <v>4.244701879158823E-3</v>
      </c>
      <c r="AD272" s="3">
        <f t="shared" si="258"/>
        <v>1.0087618235406026E-3</v>
      </c>
      <c r="AE272" s="3">
        <f t="shared" si="258"/>
        <v>5.7969970975626743E-10</v>
      </c>
      <c r="AF272" s="3">
        <f t="shared" si="258"/>
        <v>2.2769187404969675E-72</v>
      </c>
      <c r="AG272" s="3"/>
      <c r="AH272" s="3"/>
    </row>
    <row r="273" spans="1:34" x14ac:dyDescent="0.25">
      <c r="B273" s="3">
        <f t="shared" ref="B273:AF273" si="259">$C42*EXP(-B$246/$A42/EXP(-$E$126))</f>
        <v>1.5203897421204233E-3</v>
      </c>
      <c r="C273" s="3">
        <f t="shared" si="259"/>
        <v>1.5203897421204233E-3</v>
      </c>
      <c r="D273" s="3">
        <f t="shared" si="259"/>
        <v>1.5203897421204233E-3</v>
      </c>
      <c r="E273" s="3">
        <f t="shared" si="259"/>
        <v>1.5203897421204233E-3</v>
      </c>
      <c r="F273" s="3">
        <f t="shared" si="259"/>
        <v>1.5203897421204233E-3</v>
      </c>
      <c r="G273" s="3">
        <f t="shared" si="259"/>
        <v>1.5203897421204233E-3</v>
      </c>
      <c r="H273" s="3">
        <f t="shared" si="259"/>
        <v>1.5203897421204233E-3</v>
      </c>
      <c r="I273" s="3">
        <f t="shared" si="259"/>
        <v>1.5203897421204233E-3</v>
      </c>
      <c r="J273" s="3">
        <f t="shared" si="259"/>
        <v>1.5203897421204233E-3</v>
      </c>
      <c r="K273" s="3">
        <f t="shared" si="259"/>
        <v>1.5203897421204233E-3</v>
      </c>
      <c r="L273" s="3">
        <f t="shared" si="259"/>
        <v>1.5203897421204233E-3</v>
      </c>
      <c r="M273" s="3">
        <f t="shared" si="259"/>
        <v>1.5203897421204233E-3</v>
      </c>
      <c r="N273" s="3">
        <f t="shared" si="259"/>
        <v>1.5203897421204233E-3</v>
      </c>
      <c r="O273" s="3">
        <f t="shared" si="259"/>
        <v>1.5203897421204231E-3</v>
      </c>
      <c r="P273" s="3">
        <f t="shared" si="259"/>
        <v>1.5203897421204209E-3</v>
      </c>
      <c r="Q273" s="3">
        <f t="shared" si="259"/>
        <v>1.520389742120399E-3</v>
      </c>
      <c r="R273" s="3">
        <f t="shared" si="259"/>
        <v>1.5203897421201807E-3</v>
      </c>
      <c r="S273" s="3">
        <f t="shared" si="259"/>
        <v>1.5203897421179958E-3</v>
      </c>
      <c r="T273" s="3">
        <f t="shared" si="259"/>
        <v>1.5203897420961487E-3</v>
      </c>
      <c r="U273" s="3">
        <f t="shared" si="259"/>
        <v>1.5203897418776765E-3</v>
      </c>
      <c r="V273" s="3">
        <f t="shared" si="259"/>
        <v>1.5203897396929556E-3</v>
      </c>
      <c r="W273" s="3">
        <f t="shared" si="259"/>
        <v>1.5203897178457471E-3</v>
      </c>
      <c r="X273" s="3">
        <f t="shared" si="259"/>
        <v>1.5203894993736772E-3</v>
      </c>
      <c r="Y273" s="3">
        <f t="shared" si="259"/>
        <v>1.5203873146547075E-3</v>
      </c>
      <c r="Z273" s="3">
        <f t="shared" si="259"/>
        <v>1.5203654676376715E-3</v>
      </c>
      <c r="AA273" s="3">
        <f t="shared" si="259"/>
        <v>1.5201470147326074E-3</v>
      </c>
      <c r="AB273" s="3">
        <f t="shared" si="259"/>
        <v>1.5179642112939605E-3</v>
      </c>
      <c r="AC273" s="3">
        <f t="shared" si="259"/>
        <v>1.4963078241653684E-3</v>
      </c>
      <c r="AD273" s="3">
        <f t="shared" si="259"/>
        <v>1.2960301097526996E-3</v>
      </c>
      <c r="AE273" s="3">
        <f t="shared" si="259"/>
        <v>3.0800412704996529E-4</v>
      </c>
      <c r="AF273" s="3">
        <f t="shared" si="259"/>
        <v>1.7699906844998753E-10</v>
      </c>
      <c r="AG273" s="3"/>
      <c r="AH273" s="3"/>
    </row>
    <row r="274" spans="1:34" x14ac:dyDescent="0.25">
      <c r="B274" s="3">
        <f t="shared" ref="B274:AF274" si="260">$C43*EXP(-B$246/$A43/EXP(-$E$126))</f>
        <v>3.2547360985645695E-4</v>
      </c>
      <c r="C274" s="3">
        <f t="shared" si="260"/>
        <v>3.2547360985645695E-4</v>
      </c>
      <c r="D274" s="3">
        <f t="shared" si="260"/>
        <v>3.2547360985645695E-4</v>
      </c>
      <c r="E274" s="3">
        <f t="shared" si="260"/>
        <v>3.2547360985645695E-4</v>
      </c>
      <c r="F274" s="3">
        <f t="shared" si="260"/>
        <v>3.2547360985645695E-4</v>
      </c>
      <c r="G274" s="3">
        <f t="shared" si="260"/>
        <v>3.2547360985645695E-4</v>
      </c>
      <c r="H274" s="3">
        <f t="shared" si="260"/>
        <v>3.2547360985645695E-4</v>
      </c>
      <c r="I274" s="3">
        <f t="shared" si="260"/>
        <v>3.2547360985645695E-4</v>
      </c>
      <c r="J274" s="3">
        <f t="shared" si="260"/>
        <v>3.2547360985645695E-4</v>
      </c>
      <c r="K274" s="3">
        <f t="shared" si="260"/>
        <v>3.2547360985645695E-4</v>
      </c>
      <c r="L274" s="3">
        <f t="shared" si="260"/>
        <v>3.2547360985645695E-4</v>
      </c>
      <c r="M274" s="3">
        <f t="shared" si="260"/>
        <v>3.2547360985645695E-4</v>
      </c>
      <c r="N274" s="3">
        <f t="shared" si="260"/>
        <v>3.2547360985645695E-4</v>
      </c>
      <c r="O274" s="3">
        <f t="shared" si="260"/>
        <v>3.2547360985645695E-4</v>
      </c>
      <c r="P274" s="3">
        <f t="shared" si="260"/>
        <v>3.254736098564569E-4</v>
      </c>
      <c r="Q274" s="3">
        <f t="shared" si="260"/>
        <v>3.2547360985645646E-4</v>
      </c>
      <c r="R274" s="3">
        <f t="shared" si="260"/>
        <v>3.2547360985645175E-4</v>
      </c>
      <c r="S274" s="3">
        <f t="shared" si="260"/>
        <v>3.2547360985640497E-4</v>
      </c>
      <c r="T274" s="3">
        <f t="shared" si="260"/>
        <v>3.2547360985593729E-4</v>
      </c>
      <c r="U274" s="3">
        <f t="shared" si="260"/>
        <v>3.2547360985126043E-4</v>
      </c>
      <c r="V274" s="3">
        <f t="shared" si="260"/>
        <v>3.2547360980449158E-4</v>
      </c>
      <c r="W274" s="3">
        <f t="shared" si="260"/>
        <v>3.2547360933680292E-4</v>
      </c>
      <c r="X274" s="3">
        <f t="shared" si="260"/>
        <v>3.2547360465991671E-4</v>
      </c>
      <c r="Y274" s="3">
        <f t="shared" si="260"/>
        <v>3.2547355789105785E-4</v>
      </c>
      <c r="Z274" s="3">
        <f t="shared" si="260"/>
        <v>3.2547309020283956E-4</v>
      </c>
      <c r="AA274" s="3">
        <f t="shared" si="260"/>
        <v>3.2546841335761868E-4</v>
      </c>
      <c r="AB274" s="3">
        <f t="shared" si="260"/>
        <v>3.2542164860143471E-4</v>
      </c>
      <c r="AC274" s="3">
        <f t="shared" si="260"/>
        <v>3.249543704456425E-4</v>
      </c>
      <c r="AD274" s="3">
        <f t="shared" si="260"/>
        <v>3.2031833384271106E-4</v>
      </c>
      <c r="AE274" s="3">
        <f t="shared" si="260"/>
        <v>2.7744438588198555E-4</v>
      </c>
      <c r="AF274" s="3">
        <f t="shared" si="260"/>
        <v>6.5935208785234528E-5</v>
      </c>
      <c r="AG274" s="3"/>
      <c r="AH274" s="3"/>
    </row>
    <row r="275" spans="1:34" x14ac:dyDescent="0.25">
      <c r="B275" s="3">
        <f t="shared" ref="B275:AF275" si="261">$C44*EXP(-B$246/$A44/EXP(-$E$126))</f>
        <v>3.3657757333866336E-3</v>
      </c>
      <c r="C275" s="3">
        <f t="shared" si="261"/>
        <v>3.3657757333866336E-3</v>
      </c>
      <c r="D275" s="3">
        <f t="shared" si="261"/>
        <v>3.3657757333866336E-3</v>
      </c>
      <c r="E275" s="3">
        <f t="shared" si="261"/>
        <v>3.3657757333866336E-3</v>
      </c>
      <c r="F275" s="3">
        <f t="shared" si="261"/>
        <v>3.3657757333866336E-3</v>
      </c>
      <c r="G275" s="3">
        <f t="shared" si="261"/>
        <v>3.3657757333866336E-3</v>
      </c>
      <c r="H275" s="3">
        <f t="shared" si="261"/>
        <v>3.3657757333866336E-3</v>
      </c>
      <c r="I275" s="3">
        <f t="shared" si="261"/>
        <v>3.3657757333866336E-3</v>
      </c>
      <c r="J275" s="3">
        <f t="shared" si="261"/>
        <v>3.3657757333866336E-3</v>
      </c>
      <c r="K275" s="3">
        <f t="shared" si="261"/>
        <v>3.3657757333866336E-3</v>
      </c>
      <c r="L275" s="3">
        <f t="shared" si="261"/>
        <v>3.3657757333866336E-3</v>
      </c>
      <c r="M275" s="3">
        <f t="shared" si="261"/>
        <v>3.3657757333866336E-3</v>
      </c>
      <c r="N275" s="3">
        <f t="shared" si="261"/>
        <v>3.3657757333866336E-3</v>
      </c>
      <c r="O275" s="3">
        <f t="shared" si="261"/>
        <v>3.3657757333866336E-3</v>
      </c>
      <c r="P275" s="3">
        <f t="shared" si="261"/>
        <v>3.3657757333866336E-3</v>
      </c>
      <c r="Q275" s="3">
        <f t="shared" si="261"/>
        <v>3.3657757333866332E-3</v>
      </c>
      <c r="R275" s="3">
        <f t="shared" si="261"/>
        <v>3.3657757333866284E-3</v>
      </c>
      <c r="S275" s="3">
        <f t="shared" si="261"/>
        <v>3.3657757333865799E-3</v>
      </c>
      <c r="T275" s="3">
        <f t="shared" si="261"/>
        <v>3.3657757333860963E-3</v>
      </c>
      <c r="U275" s="3">
        <f t="shared" si="261"/>
        <v>3.3657757333812599E-3</v>
      </c>
      <c r="V275" s="3">
        <f t="shared" si="261"/>
        <v>3.3657757333328954E-3</v>
      </c>
      <c r="W275" s="3">
        <f t="shared" si="261"/>
        <v>3.365775732849251E-3</v>
      </c>
      <c r="X275" s="3">
        <f t="shared" si="261"/>
        <v>3.3657757280128064E-3</v>
      </c>
      <c r="Y275" s="3">
        <f t="shared" si="261"/>
        <v>3.3657756796483624E-3</v>
      </c>
      <c r="Z275" s="3">
        <f t="shared" si="261"/>
        <v>3.3657751960039584E-3</v>
      </c>
      <c r="AA275" s="3">
        <f t="shared" si="261"/>
        <v>3.3657703595637422E-3</v>
      </c>
      <c r="AB275" s="3">
        <f t="shared" si="261"/>
        <v>3.365721995543814E-3</v>
      </c>
      <c r="AC275" s="3">
        <f t="shared" si="261"/>
        <v>3.3652383935657269E-3</v>
      </c>
      <c r="AD275" s="3">
        <f t="shared" si="261"/>
        <v>3.3604061938730979E-3</v>
      </c>
      <c r="AE275" s="3">
        <f t="shared" si="261"/>
        <v>3.3124641825250179E-3</v>
      </c>
      <c r="AF275" s="3">
        <f t="shared" si="261"/>
        <v>2.8690976874523964E-3</v>
      </c>
      <c r="AG275" s="3"/>
      <c r="AH275" s="3"/>
    </row>
    <row r="276" spans="1:34" x14ac:dyDescent="0.25">
      <c r="B276" s="3">
        <f t="shared" ref="B276:AF276" si="262">$C45*EXP(-B$246/$A45/EXP(-$E$126))</f>
        <v>7.1877880972849508E-4</v>
      </c>
      <c r="C276" s="3">
        <f t="shared" si="262"/>
        <v>7.1877880972849508E-4</v>
      </c>
      <c r="D276" s="3">
        <f t="shared" si="262"/>
        <v>7.1877880972849508E-4</v>
      </c>
      <c r="E276" s="3">
        <f t="shared" si="262"/>
        <v>7.1877880972849508E-4</v>
      </c>
      <c r="F276" s="3">
        <f t="shared" si="262"/>
        <v>7.1877880972849508E-4</v>
      </c>
      <c r="G276" s="3">
        <f t="shared" si="262"/>
        <v>7.1877880972849508E-4</v>
      </c>
      <c r="H276" s="3">
        <f t="shared" si="262"/>
        <v>7.1877880972849508E-4</v>
      </c>
      <c r="I276" s="3">
        <f t="shared" si="262"/>
        <v>7.1877880972849508E-4</v>
      </c>
      <c r="J276" s="3">
        <f t="shared" si="262"/>
        <v>7.1877880972849508E-4</v>
      </c>
      <c r="K276" s="3">
        <f t="shared" si="262"/>
        <v>7.1877880972849508E-4</v>
      </c>
      <c r="L276" s="3">
        <f t="shared" si="262"/>
        <v>7.1877880972849508E-4</v>
      </c>
      <c r="M276" s="3">
        <f t="shared" si="262"/>
        <v>7.1877880972849508E-4</v>
      </c>
      <c r="N276" s="3">
        <f t="shared" si="262"/>
        <v>7.1877880972849508E-4</v>
      </c>
      <c r="O276" s="3">
        <f t="shared" si="262"/>
        <v>7.1877880972849508E-4</v>
      </c>
      <c r="P276" s="3">
        <f t="shared" si="262"/>
        <v>7.1877880972849508E-4</v>
      </c>
      <c r="Q276" s="3">
        <f t="shared" si="262"/>
        <v>7.1877880972849508E-4</v>
      </c>
      <c r="R276" s="3">
        <f t="shared" si="262"/>
        <v>7.1877880972849497E-4</v>
      </c>
      <c r="S276" s="3">
        <f t="shared" si="262"/>
        <v>7.1877880972849399E-4</v>
      </c>
      <c r="T276" s="3">
        <f t="shared" si="262"/>
        <v>7.1877880972848359E-4</v>
      </c>
      <c r="U276" s="3">
        <f t="shared" si="262"/>
        <v>7.1877880972838037E-4</v>
      </c>
      <c r="V276" s="3">
        <f t="shared" si="262"/>
        <v>7.1877880972734745E-4</v>
      </c>
      <c r="W276" s="3">
        <f t="shared" si="262"/>
        <v>7.1877880971701902E-4</v>
      </c>
      <c r="X276" s="3">
        <f t="shared" si="262"/>
        <v>7.1877880961373423E-4</v>
      </c>
      <c r="Y276" s="3">
        <f t="shared" si="262"/>
        <v>7.1877880858088649E-4</v>
      </c>
      <c r="Z276" s="3">
        <f t="shared" si="262"/>
        <v>7.1877879825240937E-4</v>
      </c>
      <c r="AA276" s="3">
        <f t="shared" si="262"/>
        <v>7.1877869496764636E-4</v>
      </c>
      <c r="AB276" s="3">
        <f t="shared" si="262"/>
        <v>7.1877766212083264E-4</v>
      </c>
      <c r="AC276" s="3">
        <f t="shared" si="262"/>
        <v>7.1876733373432353E-4</v>
      </c>
      <c r="AD276" s="3">
        <f t="shared" si="262"/>
        <v>7.1866405803156538E-4</v>
      </c>
      <c r="AE276" s="3">
        <f t="shared" si="262"/>
        <v>7.176321168035788E-4</v>
      </c>
      <c r="AF276" s="3">
        <f t="shared" si="262"/>
        <v>7.0739385240855635E-4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6.8174095740770341E-3</v>
      </c>
      <c r="C279" s="3">
        <f t="shared" si="265"/>
        <v>6.8174095740770341E-3</v>
      </c>
      <c r="D279" s="3">
        <f t="shared" si="265"/>
        <v>6.8174095740770341E-3</v>
      </c>
      <c r="E279" s="3">
        <f t="shared" si="265"/>
        <v>6.8174095740770341E-3</v>
      </c>
      <c r="F279" s="3">
        <f t="shared" si="265"/>
        <v>6.8174095740770341E-3</v>
      </c>
      <c r="G279" s="3">
        <f t="shared" si="265"/>
        <v>6.8174095740770341E-3</v>
      </c>
      <c r="H279" s="3">
        <f t="shared" si="265"/>
        <v>6.8174095740770341E-3</v>
      </c>
      <c r="I279" s="3">
        <f t="shared" si="265"/>
        <v>6.8174095740770341E-3</v>
      </c>
      <c r="J279" s="3">
        <f t="shared" si="265"/>
        <v>6.8174095740770341E-3</v>
      </c>
      <c r="K279" s="3">
        <f t="shared" si="265"/>
        <v>6.8174095740770341E-3</v>
      </c>
      <c r="L279" s="3">
        <f t="shared" si="265"/>
        <v>6.8174095740770341E-3</v>
      </c>
      <c r="M279" s="3">
        <f t="shared" si="265"/>
        <v>6.8174095740770341E-3</v>
      </c>
      <c r="N279" s="3">
        <f t="shared" si="265"/>
        <v>6.8174095740770341E-3</v>
      </c>
      <c r="O279" s="3">
        <f t="shared" si="265"/>
        <v>6.8174095740770341E-3</v>
      </c>
      <c r="P279" s="3">
        <f t="shared" si="265"/>
        <v>6.8174095740770341E-3</v>
      </c>
      <c r="Q279" s="3">
        <f t="shared" si="265"/>
        <v>6.8174095740770341E-3</v>
      </c>
      <c r="R279" s="3">
        <f t="shared" si="265"/>
        <v>6.8174095740770341E-3</v>
      </c>
      <c r="S279" s="3">
        <f t="shared" si="265"/>
        <v>6.8174095740770341E-3</v>
      </c>
      <c r="T279" s="3">
        <f t="shared" si="265"/>
        <v>6.8174095740770341E-3</v>
      </c>
      <c r="U279" s="3">
        <f t="shared" si="265"/>
        <v>6.8174095740770333E-3</v>
      </c>
      <c r="V279" s="3">
        <f t="shared" si="265"/>
        <v>6.8174095740770237E-3</v>
      </c>
      <c r="W279" s="3">
        <f t="shared" si="265"/>
        <v>6.8174095740769249E-3</v>
      </c>
      <c r="X279" s="3">
        <f t="shared" si="265"/>
        <v>6.8174095740759456E-3</v>
      </c>
      <c r="Y279" s="3">
        <f t="shared" si="265"/>
        <v>6.8174095740661496E-3</v>
      </c>
      <c r="Z279" s="3">
        <f t="shared" si="265"/>
        <v>6.8174095739681863E-3</v>
      </c>
      <c r="AA279" s="3">
        <f t="shared" si="265"/>
        <v>6.8174095729885611E-3</v>
      </c>
      <c r="AB279" s="3">
        <f t="shared" si="265"/>
        <v>6.8174095631922975E-3</v>
      </c>
      <c r="AC279" s="3">
        <f t="shared" si="265"/>
        <v>6.8174094652296733E-3</v>
      </c>
      <c r="AD279" s="3">
        <f t="shared" si="265"/>
        <v>6.8174084856035032E-3</v>
      </c>
      <c r="AE279" s="3">
        <f t="shared" si="265"/>
        <v>6.8173986893495502E-3</v>
      </c>
      <c r="AF279" s="3">
        <f t="shared" si="265"/>
        <v>6.8173007275842343E-3</v>
      </c>
      <c r="AG279" s="3"/>
      <c r="AH279" s="3"/>
    </row>
    <row r="280" spans="1:34" x14ac:dyDescent="0.25">
      <c r="A280" s="79">
        <f>AVERAGE(B280:AF280)</f>
        <v>1.4490631763907072E-2</v>
      </c>
      <c r="B280" s="80">
        <f>IF($D$61&lt;=B246,IF($E$61&gt;=B246,ABS((B248-B247)/B247),0),0)</f>
        <v>0.10507130638835366</v>
      </c>
      <c r="C280" s="80">
        <f t="shared" ref="C280:AF280" si="266">IF($D$61&lt;=C246,IF($E$61&gt;=C246,ABS((C248-C247)/C247),0),0)</f>
        <v>8.0312017306373551E-2</v>
      </c>
      <c r="D280" s="80">
        <f t="shared" si="266"/>
        <v>5.7484229881765547E-2</v>
      </c>
      <c r="E280" s="80">
        <f t="shared" si="266"/>
        <v>3.1525720260987475E-2</v>
      </c>
      <c r="F280" s="80">
        <f t="shared" si="266"/>
        <v>4.2594807346126471E-3</v>
      </c>
      <c r="G280" s="80">
        <f t="shared" si="266"/>
        <v>8.4770970837497669E-3</v>
      </c>
      <c r="H280" s="80">
        <f t="shared" si="266"/>
        <v>1.0943793760884266E-2</v>
      </c>
      <c r="I280" s="80">
        <f t="shared" si="266"/>
        <v>4.7813845608624403E-3</v>
      </c>
      <c r="J280" s="80">
        <f t="shared" si="266"/>
        <v>6.755446213686336E-3</v>
      </c>
      <c r="K280" s="80">
        <f t="shared" si="266"/>
        <v>7.17400305921691E-3</v>
      </c>
      <c r="L280" s="80">
        <f t="shared" si="266"/>
        <v>7.8243355168769388E-3</v>
      </c>
      <c r="M280" s="80">
        <f t="shared" si="266"/>
        <v>8.0708655533913536E-3</v>
      </c>
      <c r="N280" s="80">
        <f t="shared" si="266"/>
        <v>7.1692991637340858E-3</v>
      </c>
      <c r="O280" s="80">
        <f t="shared" si="266"/>
        <v>8.1366823653330721E-3</v>
      </c>
      <c r="P280" s="80">
        <f t="shared" si="266"/>
        <v>8.0081495419285689E-3</v>
      </c>
      <c r="Q280" s="80">
        <f t="shared" si="266"/>
        <v>8.0010890015595245E-3</v>
      </c>
      <c r="R280" s="80">
        <f t="shared" si="266"/>
        <v>7.0075723309046267E-3</v>
      </c>
      <c r="S280" s="80">
        <f t="shared" si="266"/>
        <v>1.1977523502826591E-3</v>
      </c>
      <c r="T280" s="80">
        <f t="shared" si="266"/>
        <v>1.6015940463150975E-2</v>
      </c>
      <c r="U280" s="80">
        <f t="shared" si="266"/>
        <v>2.5101932837589078E-2</v>
      </c>
      <c r="V280" s="80">
        <f t="shared" si="266"/>
        <v>2.0546239715961548E-2</v>
      </c>
      <c r="W280" s="80">
        <f t="shared" si="266"/>
        <v>1.1036771313893854E-2</v>
      </c>
      <c r="X280" s="80">
        <f t="shared" si="266"/>
        <v>4.6572012562605061E-4</v>
      </c>
      <c r="Y280" s="80">
        <f t="shared" si="266"/>
        <v>3.8427551503942242E-3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1000832.8490976386</v>
      </c>
      <c r="C281" s="21">
        <f t="shared" ref="C281:AF281" si="267">(C248-C247)^2</f>
        <v>553666.03492393228</v>
      </c>
      <c r="D281" s="21">
        <f t="shared" si="267"/>
        <v>270062.97848334524</v>
      </c>
      <c r="E281" s="21">
        <f t="shared" si="267"/>
        <v>76889.931057496899</v>
      </c>
      <c r="F281" s="21">
        <f t="shared" si="267"/>
        <v>1320.946959174282</v>
      </c>
      <c r="G281" s="21">
        <f t="shared" si="267"/>
        <v>4884.2208713511091</v>
      </c>
      <c r="H281" s="21">
        <f t="shared" si="267"/>
        <v>7585.323066324735</v>
      </c>
      <c r="I281" s="21">
        <f t="shared" si="267"/>
        <v>1351.0257922790972</v>
      </c>
      <c r="J281" s="21">
        <f t="shared" si="267"/>
        <v>2481.7502432801571</v>
      </c>
      <c r="K281" s="21">
        <f t="shared" si="267"/>
        <v>2526.2866530562292</v>
      </c>
      <c r="L281" s="21">
        <f t="shared" si="267"/>
        <v>2690.1411104620342</v>
      </c>
      <c r="M281" s="21">
        <f t="shared" si="267"/>
        <v>2594.7038146366722</v>
      </c>
      <c r="N281" s="21">
        <f t="shared" si="267"/>
        <v>1867.8145217095316</v>
      </c>
      <c r="O281" s="21">
        <f t="shared" si="267"/>
        <v>2187.939665527806</v>
      </c>
      <c r="P281" s="21">
        <f t="shared" si="267"/>
        <v>1915.8828120396267</v>
      </c>
      <c r="Q281" s="21">
        <f t="shared" si="267"/>
        <v>1726.1458462091705</v>
      </c>
      <c r="R281" s="21">
        <f t="shared" si="267"/>
        <v>1170.8248937005517</v>
      </c>
      <c r="S281" s="21">
        <f t="shared" si="267"/>
        <v>29.070751836935475</v>
      </c>
      <c r="T281" s="21">
        <f t="shared" si="267"/>
        <v>4241.9938194215774</v>
      </c>
      <c r="U281" s="21">
        <f t="shared" si="267"/>
        <v>8155.1600588630008</v>
      </c>
      <c r="V281" s="21">
        <f t="shared" si="267"/>
        <v>4063.3138489918147</v>
      </c>
      <c r="W281" s="21">
        <f t="shared" si="267"/>
        <v>803.68154136577834</v>
      </c>
      <c r="X281" s="21">
        <f t="shared" si="267"/>
        <v>0.86821586342003643</v>
      </c>
      <c r="Y281" s="21">
        <f t="shared" si="267"/>
        <v>31.801246562561818</v>
      </c>
      <c r="Z281" s="21">
        <f t="shared" si="267"/>
        <v>59.628720602063964</v>
      </c>
      <c r="AA281" s="21">
        <f t="shared" si="267"/>
        <v>11.478263927980977</v>
      </c>
      <c r="AB281" s="21">
        <f t="shared" si="267"/>
        <v>210.21104407085267</v>
      </c>
      <c r="AC281" s="21">
        <f t="shared" si="267"/>
        <v>0.55910169716810565</v>
      </c>
      <c r="AD281" s="21">
        <f t="shared" si="267"/>
        <v>10.506995620210191</v>
      </c>
      <c r="AE281" s="21">
        <f t="shared" si="267"/>
        <v>5.7416657576023128E-2</v>
      </c>
      <c r="AF281" s="21">
        <f t="shared" si="267"/>
        <v>0.19862047631297527</v>
      </c>
      <c r="AG281" s="3"/>
      <c r="AH281" s="3"/>
    </row>
    <row r="282" spans="1:34" s="3" customFormat="1" x14ac:dyDescent="0.25">
      <c r="A282" s="71">
        <f>SUM(B282:AF282)</f>
        <v>1953080.6892950695</v>
      </c>
      <c r="B282" s="21">
        <f>IF($D$61&lt;=B246,IF($E$61&gt;=B246,ABS(B281),0),0)</f>
        <v>1000832.8490976386</v>
      </c>
      <c r="C282" s="21">
        <f t="shared" ref="C282:AF282" si="268">IF($D$61&lt;=C246,IF($E$61&gt;=C246,ABS(C281),0),0)</f>
        <v>553666.03492393228</v>
      </c>
      <c r="D282" s="21">
        <f t="shared" si="268"/>
        <v>270062.97848334524</v>
      </c>
      <c r="E282" s="21">
        <f t="shared" si="268"/>
        <v>76889.931057496899</v>
      </c>
      <c r="F282" s="21">
        <f t="shared" si="268"/>
        <v>1320.946959174282</v>
      </c>
      <c r="G282" s="21">
        <f t="shared" si="268"/>
        <v>4884.2208713511091</v>
      </c>
      <c r="H282" s="21">
        <f t="shared" si="268"/>
        <v>7585.323066324735</v>
      </c>
      <c r="I282" s="21">
        <f t="shared" si="268"/>
        <v>1351.0257922790972</v>
      </c>
      <c r="J282" s="21">
        <f t="shared" si="268"/>
        <v>2481.7502432801571</v>
      </c>
      <c r="K282" s="21">
        <f t="shared" si="268"/>
        <v>2526.2866530562292</v>
      </c>
      <c r="L282" s="21">
        <f t="shared" si="268"/>
        <v>2690.1411104620342</v>
      </c>
      <c r="M282" s="21">
        <f t="shared" si="268"/>
        <v>2594.7038146366722</v>
      </c>
      <c r="N282" s="21">
        <f t="shared" si="268"/>
        <v>1867.8145217095316</v>
      </c>
      <c r="O282" s="21">
        <f t="shared" si="268"/>
        <v>2187.939665527806</v>
      </c>
      <c r="P282" s="21">
        <f t="shared" si="268"/>
        <v>1915.8828120396267</v>
      </c>
      <c r="Q282" s="21">
        <f t="shared" si="268"/>
        <v>1726.1458462091705</v>
      </c>
      <c r="R282" s="21">
        <f t="shared" si="268"/>
        <v>1170.8248937005517</v>
      </c>
      <c r="S282" s="21">
        <f t="shared" si="268"/>
        <v>29.070751836935475</v>
      </c>
      <c r="T282" s="21">
        <f t="shared" si="268"/>
        <v>4241.9938194215774</v>
      </c>
      <c r="U282" s="21">
        <f t="shared" si="268"/>
        <v>8155.1600588630008</v>
      </c>
      <c r="V282" s="21">
        <f t="shared" si="268"/>
        <v>4063.3138489918147</v>
      </c>
      <c r="W282" s="21">
        <f t="shared" si="268"/>
        <v>803.68154136577834</v>
      </c>
      <c r="X282" s="21">
        <f t="shared" si="268"/>
        <v>0.86821586342003643</v>
      </c>
      <c r="Y282" s="21">
        <f t="shared" si="268"/>
        <v>31.801246562561818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8520.8533125639296</v>
      </c>
      <c r="C287" s="27">
        <f t="shared" ref="C287:AF287" si="269">($C$17+SUM(C288:C318))*$B$51</f>
        <v>8520.481692324307</v>
      </c>
      <c r="D287" s="27">
        <f t="shared" si="269"/>
        <v>8516.7775226619178</v>
      </c>
      <c r="E287" s="27">
        <f t="shared" si="269"/>
        <v>8480.9125583958103</v>
      </c>
      <c r="F287" s="27">
        <f t="shared" si="269"/>
        <v>8217.3418779654585</v>
      </c>
      <c r="G287" s="27">
        <f t="shared" si="269"/>
        <v>7828.4248469651939</v>
      </c>
      <c r="H287" s="27">
        <f t="shared" si="269"/>
        <v>7592.911077298837</v>
      </c>
      <c r="I287" s="27">
        <f t="shared" si="269"/>
        <v>7256.8244099964359</v>
      </c>
      <c r="J287" s="27">
        <f t="shared" si="269"/>
        <v>6883.0186371377704</v>
      </c>
      <c r="K287" s="27">
        <f t="shared" si="269"/>
        <v>6511.1528064603244</v>
      </c>
      <c r="L287" s="27">
        <f t="shared" si="269"/>
        <v>6203.2210510699333</v>
      </c>
      <c r="M287" s="27">
        <f t="shared" si="269"/>
        <v>5928.1401679326909</v>
      </c>
      <c r="N287" s="27">
        <f t="shared" si="269"/>
        <v>5641.8543132394043</v>
      </c>
      <c r="O287" s="27">
        <f t="shared" si="269"/>
        <v>5361.6866645866348</v>
      </c>
      <c r="P287" s="27">
        <f t="shared" si="269"/>
        <v>5087.3553016752448</v>
      </c>
      <c r="Q287" s="27">
        <f t="shared" si="269"/>
        <v>4773.2505598799771</v>
      </c>
      <c r="R287" s="27">
        <f t="shared" si="269"/>
        <v>4421.0982104505129</v>
      </c>
      <c r="S287" s="27">
        <f t="shared" si="269"/>
        <v>4034.3496112758094</v>
      </c>
      <c r="T287" s="27">
        <f t="shared" si="269"/>
        <v>3568.1424650255385</v>
      </c>
      <c r="U287" s="27">
        <f t="shared" si="269"/>
        <v>3029.9704704141191</v>
      </c>
      <c r="V287" s="27">
        <f t="shared" si="269"/>
        <v>2454.4356410614964</v>
      </c>
      <c r="W287" s="27">
        <f t="shared" si="269"/>
        <v>1859.1139636241248</v>
      </c>
      <c r="X287" s="27">
        <f t="shared" si="269"/>
        <v>1356.2949432689993</v>
      </c>
      <c r="Y287" s="27">
        <f t="shared" si="269"/>
        <v>975.93644215136032</v>
      </c>
      <c r="Z287" s="27">
        <f t="shared" si="269"/>
        <v>767.67214164647419</v>
      </c>
      <c r="AA287" s="27">
        <f t="shared" si="269"/>
        <v>616.34917193120839</v>
      </c>
      <c r="AB287" s="27">
        <f t="shared" si="269"/>
        <v>579.11553381429269</v>
      </c>
      <c r="AC287" s="27">
        <f t="shared" si="269"/>
        <v>538.98303231142791</v>
      </c>
      <c r="AD287" s="27">
        <f t="shared" si="269"/>
        <v>523.05049930119458</v>
      </c>
      <c r="AE287" s="27">
        <f t="shared" si="269"/>
        <v>512.40751184417832</v>
      </c>
      <c r="AF287" s="27">
        <f t="shared" si="269"/>
        <v>486.76112053731424</v>
      </c>
      <c r="AG287" s="27"/>
      <c r="AH287" s="27"/>
    </row>
    <row r="288" spans="1:34" x14ac:dyDescent="0.25">
      <c r="B288" s="3">
        <f t="shared" ref="B288:AF288" si="270">$C18*EXP(-B$285/$A18/EXP(-$F$126))</f>
        <v>6.6978333009160772E-116</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5.8244265847837338E-2</v>
      </c>
      <c r="C289" s="3">
        <f t="shared" si="271"/>
        <v>5.8208910013007716E-2</v>
      </c>
      <c r="D289" s="3">
        <f t="shared" si="271"/>
        <v>5.7856529924514004E-2</v>
      </c>
      <c r="E289" s="3">
        <f t="shared" si="271"/>
        <v>5.4447950291660829E-2</v>
      </c>
      <c r="F289" s="3">
        <f t="shared" si="271"/>
        <v>2.9666961283038619E-2</v>
      </c>
      <c r="G289" s="3">
        <f t="shared" si="271"/>
        <v>6.8420833517942003E-5</v>
      </c>
      <c r="H289" s="3">
        <f t="shared" si="271"/>
        <v>2.9130055881403905E-31</v>
      </c>
      <c r="I289" s="3">
        <f t="shared" si="271"/>
        <v>5.6999479485605198E-295</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1.7254854953694141E-2</v>
      </c>
      <c r="C290" s="3">
        <f t="shared" si="272"/>
        <v>1.725390983625234E-2</v>
      </c>
      <c r="D290" s="3">
        <f t="shared" si="272"/>
        <v>1.7244461508599037E-2</v>
      </c>
      <c r="E290" s="3">
        <f t="shared" si="272"/>
        <v>1.7150262332427411E-2</v>
      </c>
      <c r="F290" s="3">
        <f t="shared" si="272"/>
        <v>1.6236113161406853E-2</v>
      </c>
      <c r="G290" s="3">
        <f t="shared" si="272"/>
        <v>9.3884757925438763E-3</v>
      </c>
      <c r="H290" s="3">
        <f t="shared" si="272"/>
        <v>3.9239666103297542E-5</v>
      </c>
      <c r="I290" s="3">
        <f t="shared" si="272"/>
        <v>6.3830379644644347E-29</v>
      </c>
      <c r="J290" s="3">
        <f t="shared" si="272"/>
        <v>8.2803495382703466E-267</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3.2278420094781324E-2</v>
      </c>
      <c r="C291" s="3">
        <f t="shared" si="273"/>
        <v>3.2278260600855924E-2</v>
      </c>
      <c r="D291" s="3">
        <f t="shared" si="273"/>
        <v>3.2276665704946306E-2</v>
      </c>
      <c r="E291" s="3">
        <f t="shared" si="273"/>
        <v>3.2260721079490552E-2</v>
      </c>
      <c r="F291" s="3">
        <f t="shared" si="273"/>
        <v>3.2101707397731077E-2</v>
      </c>
      <c r="G291" s="3">
        <f t="shared" si="273"/>
        <v>3.0554047354276984E-2</v>
      </c>
      <c r="H291" s="3">
        <f t="shared" si="273"/>
        <v>1.8641244479569274E-2</v>
      </c>
      <c r="I291" s="3">
        <f t="shared" si="273"/>
        <v>1.3320988425914721E-4</v>
      </c>
      <c r="J291" s="3">
        <f t="shared" si="273"/>
        <v>4.6254281379576829E-26</v>
      </c>
      <c r="K291" s="3">
        <f t="shared" si="273"/>
        <v>1.1784381905160292E-240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3.7144503729004033E-2</v>
      </c>
      <c r="C292" s="3">
        <f t="shared" si="274"/>
        <v>3.7144487172295453E-2</v>
      </c>
      <c r="D292" s="3">
        <f t="shared" si="274"/>
        <v>3.7144321605615531E-2</v>
      </c>
      <c r="E292" s="3">
        <f t="shared" si="274"/>
        <v>3.7142665979405312E-2</v>
      </c>
      <c r="F292" s="3">
        <f t="shared" si="274"/>
        <v>3.7126113775534188E-2</v>
      </c>
      <c r="G292" s="3">
        <f t="shared" si="274"/>
        <v>3.6960996891432854E-2</v>
      </c>
      <c r="H292" s="3">
        <f t="shared" si="274"/>
        <v>3.5349683210166613E-2</v>
      </c>
      <c r="I292" s="3">
        <f t="shared" si="274"/>
        <v>2.2636226213757278E-2</v>
      </c>
      <c r="J292" s="3">
        <f t="shared" si="274"/>
        <v>2.6241521821999286E-4</v>
      </c>
      <c r="K292" s="3">
        <f t="shared" si="274"/>
        <v>1.1503736832713066E-23</v>
      </c>
      <c r="L292" s="3">
        <f t="shared" si="274"/>
        <v>3.0153528733086856E-217</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4.079781154305754E-2</v>
      </c>
      <c r="C293" s="3">
        <f t="shared" si="275"/>
        <v>4.0797809902607569E-2</v>
      </c>
      <c r="D293" s="3">
        <f t="shared" si="275"/>
        <v>4.0797793498111461E-2</v>
      </c>
      <c r="E293" s="3">
        <f t="shared" si="275"/>
        <v>4.0797629453513146E-2</v>
      </c>
      <c r="F293" s="3">
        <f t="shared" si="275"/>
        <v>4.0795989043808177E-2</v>
      </c>
      <c r="G293" s="3">
        <f t="shared" si="275"/>
        <v>4.0779588574029704E-2</v>
      </c>
      <c r="H293" s="3">
        <f t="shared" si="275"/>
        <v>4.0615946064305901E-2</v>
      </c>
      <c r="I293" s="3">
        <f t="shared" si="275"/>
        <v>3.9015206676853535E-2</v>
      </c>
      <c r="J293" s="3">
        <f t="shared" si="275"/>
        <v>2.6098004021688374E-2</v>
      </c>
      <c r="K293" s="3">
        <f t="shared" si="275"/>
        <v>4.6810266348416407E-4</v>
      </c>
      <c r="L293" s="3">
        <f t="shared" si="275"/>
        <v>1.613166882556266E-21</v>
      </c>
      <c r="M293" s="3">
        <f t="shared" si="275"/>
        <v>3.8111948332802232E-196</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3.2982255901640778E-2</v>
      </c>
      <c r="C294" s="3">
        <f t="shared" si="276"/>
        <v>3.2982255782007204E-2</v>
      </c>
      <c r="D294" s="3">
        <f t="shared" si="276"/>
        <v>3.2982254585671486E-2</v>
      </c>
      <c r="E294" s="3">
        <f t="shared" si="276"/>
        <v>3.2982242622316658E-2</v>
      </c>
      <c r="F294" s="3">
        <f t="shared" si="276"/>
        <v>3.2982122989007032E-2</v>
      </c>
      <c r="G294" s="3">
        <f t="shared" si="276"/>
        <v>3.2980926679776937E-2</v>
      </c>
      <c r="H294" s="3">
        <f t="shared" si="276"/>
        <v>3.2968965973768784E-2</v>
      </c>
      <c r="I294" s="3">
        <f t="shared" si="276"/>
        <v>3.2849597223022269E-2</v>
      </c>
      <c r="J294" s="3">
        <f t="shared" si="276"/>
        <v>3.1679423901120767E-2</v>
      </c>
      <c r="K294" s="3">
        <f t="shared" si="276"/>
        <v>2.2041925903403169E-2</v>
      </c>
      <c r="L294" s="3">
        <f t="shared" si="276"/>
        <v>5.8610060150346389E-4</v>
      </c>
      <c r="M294" s="3">
        <f t="shared" si="276"/>
        <v>1.0356152970213672E-19</v>
      </c>
      <c r="N294" s="3">
        <f t="shared" si="276"/>
        <v>3.0722839593420627E-177</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2.7372238188352552E-2</v>
      </c>
      <c r="C295" s="3">
        <f t="shared" si="277"/>
        <v>2.7372238179396231E-2</v>
      </c>
      <c r="D295" s="3">
        <f t="shared" si="277"/>
        <v>2.7372238089833027E-2</v>
      </c>
      <c r="E295" s="3">
        <f t="shared" si="277"/>
        <v>2.7372237194201E-2</v>
      </c>
      <c r="F295" s="3">
        <f t="shared" si="277"/>
        <v>2.7372228237882327E-2</v>
      </c>
      <c r="G295" s="3">
        <f t="shared" si="277"/>
        <v>2.7372138674856786E-2</v>
      </c>
      <c r="H295" s="3">
        <f t="shared" si="277"/>
        <v>2.7371243060719187E-2</v>
      </c>
      <c r="I295" s="3">
        <f t="shared" si="277"/>
        <v>2.7362288530928178E-2</v>
      </c>
      <c r="J295" s="3">
        <f t="shared" si="277"/>
        <v>2.7272904196578442E-2</v>
      </c>
      <c r="K295" s="3">
        <f t="shared" si="277"/>
        <v>2.6394964031299113E-2</v>
      </c>
      <c r="L295" s="3">
        <f t="shared" si="277"/>
        <v>1.9029086952395236E-2</v>
      </c>
      <c r="M295" s="3">
        <f t="shared" si="277"/>
        <v>7.2174986526845426E-4</v>
      </c>
      <c r="N295" s="3">
        <f t="shared" si="277"/>
        <v>4.4470736312601251E-18</v>
      </c>
      <c r="O295" s="3">
        <f t="shared" si="277"/>
        <v>3.5071182368642794E-160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2.9420754796381211E-2</v>
      </c>
      <c r="C296" s="3">
        <f t="shared" si="278"/>
        <v>2.9420754795512812E-2</v>
      </c>
      <c r="D296" s="3">
        <f t="shared" si="278"/>
        <v>2.9420754786828814E-2</v>
      </c>
      <c r="E296" s="3">
        <f t="shared" si="278"/>
        <v>2.9420754699988835E-2</v>
      </c>
      <c r="F296" s="3">
        <f t="shared" si="278"/>
        <v>2.9420753831589048E-2</v>
      </c>
      <c r="G296" s="3">
        <f t="shared" si="278"/>
        <v>2.9420745147592599E-2</v>
      </c>
      <c r="H296" s="3">
        <f t="shared" si="278"/>
        <v>2.9420658307769115E-2</v>
      </c>
      <c r="I296" s="3">
        <f t="shared" si="278"/>
        <v>2.9419789923631774E-2</v>
      </c>
      <c r="J296" s="3">
        <f t="shared" si="278"/>
        <v>2.9411107491857467E-2</v>
      </c>
      <c r="K296" s="3">
        <f t="shared" si="278"/>
        <v>2.9324423980200829E-2</v>
      </c>
      <c r="L296" s="3">
        <f t="shared" si="278"/>
        <v>2.8471516902658478E-2</v>
      </c>
      <c r="M296" s="3">
        <f t="shared" si="278"/>
        <v>2.1194431231984084E-2</v>
      </c>
      <c r="N296" s="3">
        <f t="shared" si="278"/>
        <v>1.107473569552278E-3</v>
      </c>
      <c r="O296" s="3">
        <f t="shared" si="278"/>
        <v>1.6805421490743994E-16</v>
      </c>
      <c r="P296" s="3">
        <f t="shared" si="278"/>
        <v>1.0879521608428214E-144</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2.900936003779751E-2</v>
      </c>
      <c r="C297" s="3">
        <f t="shared" si="279"/>
        <v>2.9009360037720269E-2</v>
      </c>
      <c r="D297" s="3">
        <f t="shared" si="279"/>
        <v>2.9009360036947856E-2</v>
      </c>
      <c r="E297" s="3">
        <f t="shared" si="279"/>
        <v>2.9009360029223705E-2</v>
      </c>
      <c r="F297" s="3">
        <f t="shared" si="279"/>
        <v>2.9009359951982214E-2</v>
      </c>
      <c r="G297" s="3">
        <f t="shared" si="279"/>
        <v>2.9009359179567325E-2</v>
      </c>
      <c r="H297" s="3">
        <f t="shared" si="279"/>
        <v>2.9009351455419559E-2</v>
      </c>
      <c r="I297" s="3">
        <f t="shared" si="279"/>
        <v>2.9009274214055032E-2</v>
      </c>
      <c r="J297" s="3">
        <f t="shared" si="279"/>
        <v>2.9008501811721255E-2</v>
      </c>
      <c r="K297" s="3">
        <f t="shared" si="279"/>
        <v>2.9000778919424319E-2</v>
      </c>
      <c r="L297" s="3">
        <f t="shared" si="279"/>
        <v>2.8923662989191745E-2</v>
      </c>
      <c r="M297" s="3">
        <f t="shared" si="279"/>
        <v>2.8163692431091118E-2</v>
      </c>
      <c r="N297" s="3">
        <f t="shared" si="279"/>
        <v>2.1580057386168989E-2</v>
      </c>
      <c r="O297" s="3">
        <f t="shared" si="279"/>
        <v>1.5055064452140848E-3</v>
      </c>
      <c r="P297" s="3">
        <f t="shared" si="279"/>
        <v>4.1113349282704678E-15</v>
      </c>
      <c r="Q297" s="3">
        <f t="shared" si="279"/>
        <v>9.4838624224149089E-131</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2.677500016187739E-2</v>
      </c>
      <c r="C298" s="3">
        <f t="shared" si="280"/>
        <v>2.6775000161870958E-2</v>
      </c>
      <c r="D298" s="3">
        <f t="shared" si="280"/>
        <v>2.6775000161806648E-2</v>
      </c>
      <c r="E298" s="3">
        <f t="shared" si="280"/>
        <v>2.6775000161163534E-2</v>
      </c>
      <c r="F298" s="3">
        <f t="shared" si="280"/>
        <v>2.6775000154732383E-2</v>
      </c>
      <c r="G298" s="3">
        <f t="shared" si="280"/>
        <v>2.6775000090420893E-2</v>
      </c>
      <c r="H298" s="3">
        <f t="shared" si="280"/>
        <v>2.6774999447306009E-2</v>
      </c>
      <c r="I298" s="3">
        <f t="shared" si="280"/>
        <v>2.6774993016157992E-2</v>
      </c>
      <c r="J298" s="3">
        <f t="shared" si="280"/>
        <v>2.6774928704762793E-2</v>
      </c>
      <c r="K298" s="3">
        <f t="shared" si="280"/>
        <v>2.6774285599306651E-2</v>
      </c>
      <c r="L298" s="3">
        <f t="shared" si="280"/>
        <v>2.6767855394253186E-2</v>
      </c>
      <c r="M298" s="3">
        <f t="shared" si="280"/>
        <v>2.6703638219067946E-2</v>
      </c>
      <c r="N298" s="3">
        <f t="shared" si="280"/>
        <v>2.6069879054628122E-2</v>
      </c>
      <c r="O298" s="3">
        <f t="shared" si="280"/>
        <v>2.050334995804743E-2</v>
      </c>
      <c r="P298" s="3">
        <f t="shared" si="280"/>
        <v>1.8564484972541551E-3</v>
      </c>
      <c r="Q298" s="3">
        <f t="shared" si="280"/>
        <v>6.8748577024441783E-14</v>
      </c>
      <c r="R298" s="3">
        <f t="shared" si="280"/>
        <v>3.3348153771986744E-118</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3.1584912015022726E-2</v>
      </c>
      <c r="C299" s="3">
        <f t="shared" si="281"/>
        <v>3.1584912015022039E-2</v>
      </c>
      <c r="D299" s="3">
        <f t="shared" si="281"/>
        <v>3.1584912015015197E-2</v>
      </c>
      <c r="E299" s="3">
        <f t="shared" si="281"/>
        <v>3.1584912014946759E-2</v>
      </c>
      <c r="F299" s="3">
        <f t="shared" si="281"/>
        <v>3.1584912014262403E-2</v>
      </c>
      <c r="G299" s="3">
        <f t="shared" si="281"/>
        <v>3.1584912007418788E-2</v>
      </c>
      <c r="H299" s="3">
        <f t="shared" si="281"/>
        <v>3.1584911938982677E-2</v>
      </c>
      <c r="I299" s="3">
        <f t="shared" si="281"/>
        <v>3.1584911254621532E-2</v>
      </c>
      <c r="J299" s="3">
        <f t="shared" si="281"/>
        <v>3.158490441101091E-2</v>
      </c>
      <c r="K299" s="3">
        <f t="shared" si="281"/>
        <v>3.1584835974986257E-2</v>
      </c>
      <c r="L299" s="3">
        <f t="shared" si="281"/>
        <v>3.1584151622895178E-2</v>
      </c>
      <c r="M299" s="3">
        <f t="shared" si="281"/>
        <v>3.1577308917467656E-2</v>
      </c>
      <c r="N299" s="3">
        <f t="shared" si="281"/>
        <v>3.1508963346176151E-2</v>
      </c>
      <c r="O299" s="3">
        <f t="shared" si="281"/>
        <v>3.0833590984271728E-2</v>
      </c>
      <c r="P299" s="3">
        <f t="shared" si="281"/>
        <v>2.4826987630657719E-2</v>
      </c>
      <c r="Q299" s="3">
        <f t="shared" si="281"/>
        <v>2.8439583754461344E-3</v>
      </c>
      <c r="R299" s="3">
        <f t="shared" si="281"/>
        <v>1.1064080175768582E-12</v>
      </c>
      <c r="S299" s="3">
        <f t="shared" si="281"/>
        <v>8.7869084053332651E-107</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3.5926752556122703E-2</v>
      </c>
      <c r="C300" s="3">
        <f t="shared" si="282"/>
        <v>3.5926752556122633E-2</v>
      </c>
      <c r="D300" s="3">
        <f t="shared" si="282"/>
        <v>3.5926752556121926E-2</v>
      </c>
      <c r="E300" s="3">
        <f t="shared" si="282"/>
        <v>3.592675255611491E-2</v>
      </c>
      <c r="F300" s="3">
        <f t="shared" si="282"/>
        <v>3.5926752556044689E-2</v>
      </c>
      <c r="G300" s="3">
        <f t="shared" si="282"/>
        <v>3.5926752555342473E-2</v>
      </c>
      <c r="H300" s="3">
        <f t="shared" si="282"/>
        <v>3.5926752548320319E-2</v>
      </c>
      <c r="I300" s="3">
        <f t="shared" si="282"/>
        <v>3.5926752478098796E-2</v>
      </c>
      <c r="J300" s="3">
        <f t="shared" si="282"/>
        <v>3.5926751775883593E-2</v>
      </c>
      <c r="K300" s="3">
        <f t="shared" si="282"/>
        <v>3.5926744753732344E-2</v>
      </c>
      <c r="L300" s="3">
        <f t="shared" si="282"/>
        <v>3.5926674532295318E-2</v>
      </c>
      <c r="M300" s="3">
        <f t="shared" si="282"/>
        <v>3.592597232547394E-2</v>
      </c>
      <c r="N300" s="3">
        <f t="shared" si="282"/>
        <v>3.5918951012092103E-2</v>
      </c>
      <c r="O300" s="3">
        <f t="shared" si="282"/>
        <v>3.5848813306911566E-2</v>
      </c>
      <c r="P300" s="3">
        <f t="shared" si="282"/>
        <v>3.5154924853474073E-2</v>
      </c>
      <c r="Q300" s="3">
        <f t="shared" si="282"/>
        <v>2.8913460560222436E-2</v>
      </c>
      <c r="R300" s="3">
        <f t="shared" si="282"/>
        <v>4.094860166861251E-3</v>
      </c>
      <c r="S300" s="3">
        <f t="shared" si="282"/>
        <v>1.3293186365336875E-11</v>
      </c>
      <c r="T300" s="3">
        <f t="shared" si="282"/>
        <v>1.7279424306886921E-96</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3.8216836337325075E-2</v>
      </c>
      <c r="C301" s="3">
        <f t="shared" si="283"/>
        <v>3.8216836337325068E-2</v>
      </c>
      <c r="D301" s="3">
        <f t="shared" si="283"/>
        <v>3.8216836337324998E-2</v>
      </c>
      <c r="E301" s="3">
        <f t="shared" si="283"/>
        <v>3.8216836337324325E-2</v>
      </c>
      <c r="F301" s="3">
        <f t="shared" si="283"/>
        <v>3.8216836337317588E-2</v>
      </c>
      <c r="G301" s="3">
        <f t="shared" si="283"/>
        <v>3.8216836337250204E-2</v>
      </c>
      <c r="H301" s="3">
        <f t="shared" si="283"/>
        <v>3.8216836336576368E-2</v>
      </c>
      <c r="I301" s="3">
        <f t="shared" si="283"/>
        <v>3.8216836329838022E-2</v>
      </c>
      <c r="J301" s="3">
        <f t="shared" si="283"/>
        <v>3.8216836262454514E-2</v>
      </c>
      <c r="K301" s="3">
        <f t="shared" si="283"/>
        <v>3.8216835588619484E-2</v>
      </c>
      <c r="L301" s="3">
        <f t="shared" si="283"/>
        <v>3.8216828850269786E-2</v>
      </c>
      <c r="M301" s="3">
        <f t="shared" si="283"/>
        <v>3.8216761466838216E-2</v>
      </c>
      <c r="N301" s="3">
        <f t="shared" si="283"/>
        <v>3.8216087639056998E-2</v>
      </c>
      <c r="O301" s="3">
        <f t="shared" si="283"/>
        <v>3.8209350014651644E-2</v>
      </c>
      <c r="P301" s="3">
        <f t="shared" si="283"/>
        <v>3.8142039068672876E-2</v>
      </c>
      <c r="Q301" s="3">
        <f t="shared" si="283"/>
        <v>3.7475417017381024E-2</v>
      </c>
      <c r="R301" s="3">
        <f t="shared" si="283"/>
        <v>3.1417538097465801E-2</v>
      </c>
      <c r="S301" s="3">
        <f t="shared" si="283"/>
        <v>5.3880164320576985E-3</v>
      </c>
      <c r="T301" s="3">
        <f t="shared" si="283"/>
        <v>1.1857592550088106E-10</v>
      </c>
      <c r="U301" s="3">
        <f t="shared" si="283"/>
        <v>3.1598949025062251E-87</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4.8113881849429982E-2</v>
      </c>
      <c r="C302" s="3">
        <f t="shared" si="284"/>
        <v>4.8113881849429982E-2</v>
      </c>
      <c r="D302" s="3">
        <f t="shared" si="284"/>
        <v>4.8113881849429968E-2</v>
      </c>
      <c r="E302" s="3">
        <f t="shared" si="284"/>
        <v>4.8113881849429899E-2</v>
      </c>
      <c r="F302" s="3">
        <f t="shared" si="284"/>
        <v>4.8113881849429135E-2</v>
      </c>
      <c r="G302" s="3">
        <f t="shared" si="284"/>
        <v>4.8113881849421475E-2</v>
      </c>
      <c r="H302" s="3">
        <f t="shared" si="284"/>
        <v>4.8113881849344953E-2</v>
      </c>
      <c r="I302" s="3">
        <f t="shared" si="284"/>
        <v>4.8113881848579676E-2</v>
      </c>
      <c r="J302" s="3">
        <f t="shared" si="284"/>
        <v>4.8113881840926964E-2</v>
      </c>
      <c r="K302" s="3">
        <f t="shared" si="284"/>
        <v>4.8113881764399756E-2</v>
      </c>
      <c r="L302" s="3">
        <f t="shared" si="284"/>
        <v>4.8113880999127723E-2</v>
      </c>
      <c r="M302" s="3">
        <f t="shared" si="284"/>
        <v>4.8113873346408036E-2</v>
      </c>
      <c r="N302" s="3">
        <f t="shared" si="284"/>
        <v>4.8113796819278125E-2</v>
      </c>
      <c r="O302" s="3">
        <f t="shared" si="284"/>
        <v>4.8113031554673572E-2</v>
      </c>
      <c r="P302" s="3">
        <f t="shared" si="284"/>
        <v>4.8105379578043242E-2</v>
      </c>
      <c r="Q302" s="3">
        <f t="shared" si="284"/>
        <v>4.8028926713884749E-2</v>
      </c>
      <c r="R302" s="3">
        <f t="shared" si="284"/>
        <v>4.7271049081752801E-2</v>
      </c>
      <c r="S302" s="3">
        <f t="shared" si="284"/>
        <v>4.0319842795157233E-2</v>
      </c>
      <c r="T302" s="3">
        <f t="shared" si="284"/>
        <v>8.2177840591974496E-3</v>
      </c>
      <c r="U302" s="3">
        <f t="shared" si="284"/>
        <v>1.0165147237956071E-9</v>
      </c>
      <c r="V302" s="3">
        <f t="shared" si="284"/>
        <v>8.5251721880405243E-79</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5.6463045562969084E-2</v>
      </c>
      <c r="C303" s="3">
        <f t="shared" si="285"/>
        <v>5.6463045562969084E-2</v>
      </c>
      <c r="D303" s="3">
        <f t="shared" si="285"/>
        <v>5.6463045562969084E-2</v>
      </c>
      <c r="E303" s="3">
        <f t="shared" si="285"/>
        <v>5.6463045562969078E-2</v>
      </c>
      <c r="F303" s="3">
        <f t="shared" si="285"/>
        <v>5.6463045562968994E-2</v>
      </c>
      <c r="G303" s="3">
        <f t="shared" si="285"/>
        <v>5.6463045562968182E-2</v>
      </c>
      <c r="H303" s="3">
        <f t="shared" si="285"/>
        <v>5.6463045562960085E-2</v>
      </c>
      <c r="I303" s="3">
        <f t="shared" si="285"/>
        <v>5.6463045562879073E-2</v>
      </c>
      <c r="J303" s="3">
        <f t="shared" si="285"/>
        <v>5.6463045562068936E-2</v>
      </c>
      <c r="K303" s="3">
        <f t="shared" si="285"/>
        <v>5.6463045553967604E-2</v>
      </c>
      <c r="L303" s="3">
        <f t="shared" si="285"/>
        <v>5.6463045472954304E-2</v>
      </c>
      <c r="M303" s="3">
        <f t="shared" si="285"/>
        <v>5.6463044662821274E-2</v>
      </c>
      <c r="N303" s="3">
        <f t="shared" si="285"/>
        <v>5.6463036561491646E-2</v>
      </c>
      <c r="O303" s="3">
        <f t="shared" si="285"/>
        <v>5.6462955548259287E-2</v>
      </c>
      <c r="P303" s="3">
        <f t="shared" si="285"/>
        <v>5.6462145422328726E-2</v>
      </c>
      <c r="Q303" s="3">
        <f t="shared" si="285"/>
        <v>5.6454044802294823E-2</v>
      </c>
      <c r="R303" s="3">
        <f t="shared" si="285"/>
        <v>5.6373102495197842E-2</v>
      </c>
      <c r="S303" s="3">
        <f t="shared" si="285"/>
        <v>5.5570034958779595E-2</v>
      </c>
      <c r="T303" s="3">
        <f t="shared" si="285"/>
        <v>4.8142429280119893E-2</v>
      </c>
      <c r="U303" s="3">
        <f t="shared" si="285"/>
        <v>1.1465719482739556E-2</v>
      </c>
      <c r="V303" s="3">
        <f t="shared" si="285"/>
        <v>6.731849892717006E-9</v>
      </c>
      <c r="W303" s="3">
        <f t="shared" si="285"/>
        <v>3.276917713312838E-71</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5.9569205174430817E-2</v>
      </c>
      <c r="C304" s="3">
        <f t="shared" si="286"/>
        <v>5.9569205174430817E-2</v>
      </c>
      <c r="D304" s="3">
        <f t="shared" si="286"/>
        <v>5.9569205174430817E-2</v>
      </c>
      <c r="E304" s="3">
        <f t="shared" si="286"/>
        <v>5.9569205174430817E-2</v>
      </c>
      <c r="F304" s="3">
        <f t="shared" si="286"/>
        <v>5.956920517443081E-2</v>
      </c>
      <c r="G304" s="3">
        <f t="shared" si="286"/>
        <v>5.9569205174430734E-2</v>
      </c>
      <c r="H304" s="3">
        <f t="shared" si="286"/>
        <v>5.9569205174429957E-2</v>
      </c>
      <c r="I304" s="3">
        <f t="shared" si="286"/>
        <v>5.9569205174422254E-2</v>
      </c>
      <c r="J304" s="3">
        <f t="shared" si="286"/>
        <v>5.956920517434515E-2</v>
      </c>
      <c r="K304" s="3">
        <f t="shared" si="286"/>
        <v>5.9569205173574134E-2</v>
      </c>
      <c r="L304" s="3">
        <f t="shared" si="286"/>
        <v>5.9569205165864031E-2</v>
      </c>
      <c r="M304" s="3">
        <f t="shared" si="286"/>
        <v>5.9569205088762955E-2</v>
      </c>
      <c r="N304" s="3">
        <f t="shared" si="286"/>
        <v>5.9569204317752207E-2</v>
      </c>
      <c r="O304" s="3">
        <f t="shared" si="286"/>
        <v>5.9569196607645238E-2</v>
      </c>
      <c r="P304" s="3">
        <f t="shared" si="286"/>
        <v>5.9569119506630436E-2</v>
      </c>
      <c r="Q304" s="3">
        <f t="shared" si="286"/>
        <v>5.9568348501971027E-2</v>
      </c>
      <c r="R304" s="3">
        <f t="shared" si="286"/>
        <v>5.9560639004207938E-2</v>
      </c>
      <c r="S304" s="3">
        <f t="shared" si="286"/>
        <v>5.9483598883405063E-2</v>
      </c>
      <c r="T304" s="3">
        <f t="shared" si="286"/>
        <v>5.8718657178215915E-2</v>
      </c>
      <c r="U304" s="3">
        <f t="shared" si="286"/>
        <v>5.158992589017173E-2</v>
      </c>
      <c r="V304" s="3">
        <f t="shared" si="286"/>
        <v>1.4140110114397387E-2</v>
      </c>
      <c r="W304" s="3">
        <f t="shared" si="286"/>
        <v>3.3832311155974313E-8</v>
      </c>
      <c r="X304" s="3">
        <f t="shared" si="286"/>
        <v>2.0802733964087521E-64</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6.4663842713273356E-2</v>
      </c>
      <c r="C305" s="3">
        <f t="shared" si="287"/>
        <v>6.4663842713273356E-2</v>
      </c>
      <c r="D305" s="3">
        <f t="shared" si="287"/>
        <v>6.4663842713273356E-2</v>
      </c>
      <c r="E305" s="3">
        <f t="shared" si="287"/>
        <v>6.4663842713273356E-2</v>
      </c>
      <c r="F305" s="3">
        <f t="shared" si="287"/>
        <v>6.4663842713273356E-2</v>
      </c>
      <c r="G305" s="3">
        <f t="shared" si="287"/>
        <v>6.4663842713273342E-2</v>
      </c>
      <c r="H305" s="3">
        <f t="shared" si="287"/>
        <v>6.4663842713273273E-2</v>
      </c>
      <c r="I305" s="3">
        <f t="shared" si="287"/>
        <v>6.466384271327251E-2</v>
      </c>
      <c r="J305" s="3">
        <f t="shared" si="287"/>
        <v>6.466384271326496E-2</v>
      </c>
      <c r="K305" s="3">
        <f t="shared" si="287"/>
        <v>6.4663842713189465E-2</v>
      </c>
      <c r="L305" s="3">
        <f t="shared" si="287"/>
        <v>6.4663842712434472E-2</v>
      </c>
      <c r="M305" s="3">
        <f t="shared" si="287"/>
        <v>6.4663842704884469E-2</v>
      </c>
      <c r="N305" s="3">
        <f t="shared" si="287"/>
        <v>6.4663842629384516E-2</v>
      </c>
      <c r="O305" s="3">
        <f t="shared" si="287"/>
        <v>6.4663841874384898E-2</v>
      </c>
      <c r="P305" s="3">
        <f t="shared" si="287"/>
        <v>6.4663834324389241E-2</v>
      </c>
      <c r="Q305" s="3">
        <f t="shared" si="287"/>
        <v>6.4663758824481166E-2</v>
      </c>
      <c r="R305" s="3">
        <f t="shared" si="287"/>
        <v>6.4663003830248783E-2</v>
      </c>
      <c r="S305" s="3">
        <f t="shared" si="287"/>
        <v>6.4655454372737356E-2</v>
      </c>
      <c r="T305" s="3">
        <f t="shared" si="287"/>
        <v>6.4580008257934599E-2</v>
      </c>
      <c r="U305" s="3">
        <f t="shared" si="287"/>
        <v>6.383037227126484E-2</v>
      </c>
      <c r="V305" s="3">
        <f t="shared" si="287"/>
        <v>5.6796318829069721E-2</v>
      </c>
      <c r="W305" s="3">
        <f t="shared" si="287"/>
        <v>1.767047808474766E-2</v>
      </c>
      <c r="X305" s="3">
        <f t="shared" si="287"/>
        <v>1.5015140925678366E-7</v>
      </c>
      <c r="Y305" s="3">
        <f t="shared" si="287"/>
        <v>2.9467313377609418E-58</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4.8548005334617741E-2</v>
      </c>
      <c r="C306" s="3">
        <f t="shared" si="288"/>
        <v>4.8548005334617741E-2</v>
      </c>
      <c r="D306" s="3">
        <f t="shared" si="288"/>
        <v>4.8548005334617741E-2</v>
      </c>
      <c r="E306" s="3">
        <f t="shared" si="288"/>
        <v>4.8548005334617741E-2</v>
      </c>
      <c r="F306" s="3">
        <f t="shared" si="288"/>
        <v>4.8548005334617741E-2</v>
      </c>
      <c r="G306" s="3">
        <f t="shared" si="288"/>
        <v>4.8548005334617741E-2</v>
      </c>
      <c r="H306" s="3">
        <f t="shared" si="288"/>
        <v>4.8548005334617735E-2</v>
      </c>
      <c r="I306" s="3">
        <f t="shared" si="288"/>
        <v>4.8548005334617679E-2</v>
      </c>
      <c r="J306" s="3">
        <f t="shared" si="288"/>
        <v>4.8548005334617172E-2</v>
      </c>
      <c r="K306" s="3">
        <f t="shared" si="288"/>
        <v>4.8548005334612059E-2</v>
      </c>
      <c r="L306" s="3">
        <f t="shared" si="288"/>
        <v>4.8548005334560926E-2</v>
      </c>
      <c r="M306" s="3">
        <f t="shared" si="288"/>
        <v>4.8548005334049599E-2</v>
      </c>
      <c r="N306" s="3">
        <f t="shared" si="288"/>
        <v>4.8548005328936272E-2</v>
      </c>
      <c r="O306" s="3">
        <f t="shared" si="288"/>
        <v>4.8548005277803043E-2</v>
      </c>
      <c r="P306" s="3">
        <f t="shared" si="288"/>
        <v>4.8548004766470775E-2</v>
      </c>
      <c r="Q306" s="3">
        <f t="shared" si="288"/>
        <v>4.8547999653148363E-2</v>
      </c>
      <c r="R306" s="3">
        <f t="shared" si="288"/>
        <v>4.8547948519953872E-2</v>
      </c>
      <c r="S306" s="3">
        <f t="shared" si="288"/>
        <v>4.8547437190971002E-2</v>
      </c>
      <c r="T306" s="3">
        <f t="shared" si="288"/>
        <v>4.8542324197338164E-2</v>
      </c>
      <c r="U306" s="3">
        <f t="shared" si="288"/>
        <v>4.8491223869050734E-2</v>
      </c>
      <c r="V306" s="3">
        <f t="shared" si="288"/>
        <v>4.7983169884371416E-2</v>
      </c>
      <c r="W306" s="3">
        <f t="shared" si="288"/>
        <v>4.3186383033364133E-2</v>
      </c>
      <c r="X306" s="3">
        <f t="shared" si="288"/>
        <v>1.5063496968788849E-2</v>
      </c>
      <c r="Y306" s="3">
        <f t="shared" si="288"/>
        <v>4.0152771289898951E-7</v>
      </c>
      <c r="Z306" s="3">
        <f t="shared" si="288"/>
        <v>7.2713111937479719E-53</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3.8659494646510029E-2</v>
      </c>
      <c r="C307" s="3">
        <f t="shared" si="289"/>
        <v>3.8659494646510029E-2</v>
      </c>
      <c r="D307" s="3">
        <f t="shared" si="289"/>
        <v>3.8659494646510029E-2</v>
      </c>
      <c r="E307" s="3">
        <f t="shared" si="289"/>
        <v>3.8659494646510029E-2</v>
      </c>
      <c r="F307" s="3">
        <f t="shared" si="289"/>
        <v>3.8659494646510029E-2</v>
      </c>
      <c r="G307" s="3">
        <f t="shared" si="289"/>
        <v>3.8659494646510029E-2</v>
      </c>
      <c r="H307" s="3">
        <f t="shared" si="289"/>
        <v>3.8659494646510029E-2</v>
      </c>
      <c r="I307" s="3">
        <f t="shared" si="289"/>
        <v>3.8659494646510022E-2</v>
      </c>
      <c r="J307" s="3">
        <f t="shared" si="289"/>
        <v>3.8659494646509987E-2</v>
      </c>
      <c r="K307" s="3">
        <f t="shared" si="289"/>
        <v>3.8659494646509619E-2</v>
      </c>
      <c r="L307" s="3">
        <f t="shared" si="289"/>
        <v>3.8659494646505949E-2</v>
      </c>
      <c r="M307" s="3">
        <f t="shared" si="289"/>
        <v>3.8659494646469214E-2</v>
      </c>
      <c r="N307" s="3">
        <f t="shared" si="289"/>
        <v>3.8659494646101904E-2</v>
      </c>
      <c r="O307" s="3">
        <f t="shared" si="289"/>
        <v>3.8659494642428786E-2</v>
      </c>
      <c r="P307" s="3">
        <f t="shared" si="289"/>
        <v>3.8659494605697634E-2</v>
      </c>
      <c r="Q307" s="3">
        <f t="shared" si="289"/>
        <v>3.8659494238386091E-2</v>
      </c>
      <c r="R307" s="3">
        <f t="shared" si="289"/>
        <v>3.8659490565270863E-2</v>
      </c>
      <c r="S307" s="3">
        <f t="shared" si="289"/>
        <v>3.865945383413779E-2</v>
      </c>
      <c r="T307" s="3">
        <f t="shared" si="289"/>
        <v>3.865908652472641E-2</v>
      </c>
      <c r="U307" s="3">
        <f t="shared" si="289"/>
        <v>3.8655413622549699E-2</v>
      </c>
      <c r="V307" s="3">
        <f t="shared" si="289"/>
        <v>3.8618703787737123E-2</v>
      </c>
      <c r="W307" s="3">
        <f t="shared" si="289"/>
        <v>3.8253517407110083E-2</v>
      </c>
      <c r="X307" s="3">
        <f t="shared" si="289"/>
        <v>3.478629635818415E-2</v>
      </c>
      <c r="Y307" s="3">
        <f t="shared" si="289"/>
        <v>1.3451675174474959E-2</v>
      </c>
      <c r="Z307" s="3">
        <f t="shared" si="289"/>
        <v>1.0056761759840234E-6</v>
      </c>
      <c r="AA307" s="3">
        <f t="shared" si="289"/>
        <v>5.4862559651609202E-48</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6.6103757573429938E-3</v>
      </c>
      <c r="C308" s="3">
        <f t="shared" si="290"/>
        <v>6.6103757573429938E-3</v>
      </c>
      <c r="D308" s="3">
        <f t="shared" si="290"/>
        <v>6.6103757573429938E-3</v>
      </c>
      <c r="E308" s="3">
        <f t="shared" si="290"/>
        <v>6.6103757573429938E-3</v>
      </c>
      <c r="F308" s="3">
        <f t="shared" si="290"/>
        <v>6.6103757573429938E-3</v>
      </c>
      <c r="G308" s="3">
        <f t="shared" si="290"/>
        <v>6.6103757573429938E-3</v>
      </c>
      <c r="H308" s="3">
        <f t="shared" si="290"/>
        <v>6.6103757573429938E-3</v>
      </c>
      <c r="I308" s="3">
        <f t="shared" si="290"/>
        <v>6.6103757573429938E-3</v>
      </c>
      <c r="J308" s="3">
        <f t="shared" si="290"/>
        <v>6.6103757573429929E-3</v>
      </c>
      <c r="K308" s="3">
        <f t="shared" si="290"/>
        <v>6.6103757573429869E-3</v>
      </c>
      <c r="L308" s="3">
        <f t="shared" si="290"/>
        <v>6.6103757573429305E-3</v>
      </c>
      <c r="M308" s="3">
        <f t="shared" si="290"/>
        <v>6.6103757573423641E-3</v>
      </c>
      <c r="N308" s="3">
        <f t="shared" si="290"/>
        <v>6.6103757573366985E-3</v>
      </c>
      <c r="O308" s="3">
        <f t="shared" si="290"/>
        <v>6.6103757572800424E-3</v>
      </c>
      <c r="P308" s="3">
        <f t="shared" si="290"/>
        <v>6.6103757567134748E-3</v>
      </c>
      <c r="Q308" s="3">
        <f t="shared" si="290"/>
        <v>6.6103757510478063E-3</v>
      </c>
      <c r="R308" s="3">
        <f t="shared" si="290"/>
        <v>6.6103756943911244E-3</v>
      </c>
      <c r="S308" s="3">
        <f t="shared" si="290"/>
        <v>6.6103751278243266E-3</v>
      </c>
      <c r="T308" s="3">
        <f t="shared" si="290"/>
        <v>6.6103694621590173E-3</v>
      </c>
      <c r="U308" s="3">
        <f t="shared" si="290"/>
        <v>6.6103128057730023E-3</v>
      </c>
      <c r="V308" s="3">
        <f t="shared" si="290"/>
        <v>6.6097462686197589E-3</v>
      </c>
      <c r="W308" s="3">
        <f t="shared" si="290"/>
        <v>6.6040835669308583E-3</v>
      </c>
      <c r="X308" s="3">
        <f t="shared" si="290"/>
        <v>6.5477226896667132E-3</v>
      </c>
      <c r="Y308" s="3">
        <f t="shared" si="290"/>
        <v>6.0099028928925352E-3</v>
      </c>
      <c r="Z308" s="3">
        <f t="shared" si="290"/>
        <v>2.5505816134160425E-3</v>
      </c>
      <c r="AA308" s="3">
        <f t="shared" si="290"/>
        <v>4.8345596492428123E-7</v>
      </c>
      <c r="AB308" s="3">
        <f t="shared" si="290"/>
        <v>2.8942357677467134E-44</v>
      </c>
      <c r="AC308" s="3">
        <f t="shared" si="290"/>
        <v>0</v>
      </c>
      <c r="AD308" s="3">
        <f t="shared" si="290"/>
        <v>0</v>
      </c>
      <c r="AE308" s="3">
        <f t="shared" si="290"/>
        <v>0</v>
      </c>
      <c r="AF308" s="3">
        <f t="shared" si="290"/>
        <v>0</v>
      </c>
      <c r="AG308" s="3"/>
      <c r="AH308" s="3"/>
    </row>
    <row r="309" spans="1:34" x14ac:dyDescent="0.25">
      <c r="B309" s="3">
        <f t="shared" ref="B309:AF309" si="291">$C39*EXP(-B$285/$A39/EXP(-$F$126))</f>
        <v>1.6903393193058183E-2</v>
      </c>
      <c r="C309" s="3">
        <f t="shared" si="291"/>
        <v>1.6903393193058183E-2</v>
      </c>
      <c r="D309" s="3">
        <f t="shared" si="291"/>
        <v>1.6903393193058183E-2</v>
      </c>
      <c r="E309" s="3">
        <f t="shared" si="291"/>
        <v>1.6903393193058183E-2</v>
      </c>
      <c r="F309" s="3">
        <f t="shared" si="291"/>
        <v>1.6903393193058183E-2</v>
      </c>
      <c r="G309" s="3">
        <f t="shared" si="291"/>
        <v>1.6903393193058183E-2</v>
      </c>
      <c r="H309" s="3">
        <f t="shared" si="291"/>
        <v>1.6903393193058183E-2</v>
      </c>
      <c r="I309" s="3">
        <f t="shared" si="291"/>
        <v>1.6903393193058183E-2</v>
      </c>
      <c r="J309" s="3">
        <f t="shared" si="291"/>
        <v>1.6903393193058183E-2</v>
      </c>
      <c r="K309" s="3">
        <f t="shared" si="291"/>
        <v>1.690339319305818E-2</v>
      </c>
      <c r="L309" s="3">
        <f t="shared" si="291"/>
        <v>1.6903393193058138E-2</v>
      </c>
      <c r="M309" s="3">
        <f t="shared" si="291"/>
        <v>1.6903393193057739E-2</v>
      </c>
      <c r="N309" s="3">
        <f t="shared" si="291"/>
        <v>1.6903393193053732E-2</v>
      </c>
      <c r="O309" s="3">
        <f t="shared" si="291"/>
        <v>1.690339319301366E-2</v>
      </c>
      <c r="P309" s="3">
        <f t="shared" si="291"/>
        <v>1.690339319261297E-2</v>
      </c>
      <c r="Q309" s="3">
        <f t="shared" si="291"/>
        <v>1.690339318860604E-2</v>
      </c>
      <c r="R309" s="3">
        <f t="shared" si="291"/>
        <v>1.6903393148536741E-2</v>
      </c>
      <c r="S309" s="3">
        <f t="shared" si="291"/>
        <v>1.6903392747843748E-2</v>
      </c>
      <c r="T309" s="3">
        <f t="shared" si="291"/>
        <v>1.6903388740914363E-2</v>
      </c>
      <c r="U309" s="3">
        <f t="shared" si="291"/>
        <v>1.6903348671672765E-2</v>
      </c>
      <c r="V309" s="3">
        <f t="shared" si="291"/>
        <v>1.6902947984480832E-2</v>
      </c>
      <c r="W309" s="3">
        <f t="shared" si="291"/>
        <v>1.6898941634921592E-2</v>
      </c>
      <c r="X309" s="3">
        <f t="shared" si="291"/>
        <v>1.6858930329550586E-2</v>
      </c>
      <c r="Y309" s="3">
        <f t="shared" si="291"/>
        <v>1.6463990811743042E-2</v>
      </c>
      <c r="Z309" s="3">
        <f t="shared" si="291"/>
        <v>1.2989310737053615E-2</v>
      </c>
      <c r="AA309" s="3">
        <f t="shared" si="291"/>
        <v>1.2136571514688552E-3</v>
      </c>
      <c r="AB309" s="3">
        <f t="shared" si="291"/>
        <v>6.1545336284204074E-14</v>
      </c>
      <c r="AC309" s="3">
        <f t="shared" si="291"/>
        <v>6.9212804318692071E-117</v>
      </c>
      <c r="AD309" s="3">
        <f t="shared" si="291"/>
        <v>0</v>
      </c>
      <c r="AE309" s="3">
        <f t="shared" si="291"/>
        <v>0</v>
      </c>
      <c r="AF309" s="3">
        <f t="shared" si="291"/>
        <v>0</v>
      </c>
      <c r="AG309" s="3"/>
      <c r="AH309" s="3"/>
    </row>
    <row r="310" spans="1:34" x14ac:dyDescent="0.25">
      <c r="B310" s="3">
        <f t="shared" ref="B310:AF310" si="292">$C40*EXP(-B$285/$A40/EXP(-$F$126))</f>
        <v>1.9810156254800116E-3</v>
      </c>
      <c r="C310" s="3">
        <f t="shared" si="292"/>
        <v>1.9810156254800116E-3</v>
      </c>
      <c r="D310" s="3">
        <f t="shared" si="292"/>
        <v>1.9810156254800116E-3</v>
      </c>
      <c r="E310" s="3">
        <f t="shared" si="292"/>
        <v>1.9810156254800116E-3</v>
      </c>
      <c r="F310" s="3">
        <f t="shared" si="292"/>
        <v>1.9810156254800116E-3</v>
      </c>
      <c r="G310" s="3">
        <f t="shared" si="292"/>
        <v>1.9810156254800116E-3</v>
      </c>
      <c r="H310" s="3">
        <f t="shared" si="292"/>
        <v>1.9810156254800116E-3</v>
      </c>
      <c r="I310" s="3">
        <f t="shared" si="292"/>
        <v>1.9810156254800116E-3</v>
      </c>
      <c r="J310" s="3">
        <f t="shared" si="292"/>
        <v>1.9810156254800116E-3</v>
      </c>
      <c r="K310" s="3">
        <f t="shared" si="292"/>
        <v>1.9810156254800116E-3</v>
      </c>
      <c r="L310" s="3">
        <f t="shared" si="292"/>
        <v>1.9810156254800111E-3</v>
      </c>
      <c r="M310" s="3">
        <f t="shared" si="292"/>
        <v>1.9810156254800064E-3</v>
      </c>
      <c r="N310" s="3">
        <f t="shared" si="292"/>
        <v>1.9810156254799595E-3</v>
      </c>
      <c r="O310" s="3">
        <f t="shared" si="292"/>
        <v>1.9810156254794898E-3</v>
      </c>
      <c r="P310" s="3">
        <f t="shared" si="292"/>
        <v>1.981015625474794E-3</v>
      </c>
      <c r="Q310" s="3">
        <f t="shared" si="292"/>
        <v>1.9810156254278341E-3</v>
      </c>
      <c r="R310" s="3">
        <f t="shared" si="292"/>
        <v>1.9810156249582367E-3</v>
      </c>
      <c r="S310" s="3">
        <f t="shared" si="292"/>
        <v>1.9810156202622617E-3</v>
      </c>
      <c r="T310" s="3">
        <f t="shared" si="292"/>
        <v>1.9810155733025144E-3</v>
      </c>
      <c r="U310" s="3">
        <f t="shared" si="292"/>
        <v>1.981015103705101E-3</v>
      </c>
      <c r="V310" s="3">
        <f t="shared" si="292"/>
        <v>1.9810104077370902E-3</v>
      </c>
      <c r="W310" s="3">
        <f t="shared" si="292"/>
        <v>1.9809634486692225E-3</v>
      </c>
      <c r="X310" s="3">
        <f t="shared" si="292"/>
        <v>1.980493919209229E-3</v>
      </c>
      <c r="Y310" s="3">
        <f t="shared" si="292"/>
        <v>1.9758047411116406E-3</v>
      </c>
      <c r="Z310" s="3">
        <f t="shared" si="292"/>
        <v>1.9295192795501363E-3</v>
      </c>
      <c r="AA310" s="3">
        <f t="shared" si="292"/>
        <v>1.522299531249502E-3</v>
      </c>
      <c r="AB310" s="3">
        <f t="shared" si="292"/>
        <v>1.4223616250154676E-4</v>
      </c>
      <c r="AC310" s="3">
        <f t="shared" si="292"/>
        <v>7.2128874635952233E-15</v>
      </c>
      <c r="AD310" s="3">
        <f t="shared" si="292"/>
        <v>8.1114865679707355E-118</v>
      </c>
      <c r="AE310" s="3">
        <f t="shared" si="292"/>
        <v>0</v>
      </c>
      <c r="AF310" s="3">
        <f t="shared" si="292"/>
        <v>0</v>
      </c>
      <c r="AG310" s="3"/>
      <c r="AH310" s="3"/>
    </row>
    <row r="311" spans="1:34" x14ac:dyDescent="0.25">
      <c r="B311" s="3">
        <f t="shared" ref="B311:AF311" si="293">$C41*EXP(-B$285/$A41/EXP(-$F$126))</f>
        <v>4.9795148637895425E-3</v>
      </c>
      <c r="C311" s="3">
        <f t="shared" si="293"/>
        <v>4.9795148637895425E-3</v>
      </c>
      <c r="D311" s="3">
        <f t="shared" si="293"/>
        <v>4.9795148637895425E-3</v>
      </c>
      <c r="E311" s="3">
        <f t="shared" si="293"/>
        <v>4.9795148637895425E-3</v>
      </c>
      <c r="F311" s="3">
        <f t="shared" si="293"/>
        <v>4.9795148637895425E-3</v>
      </c>
      <c r="G311" s="3">
        <f t="shared" si="293"/>
        <v>4.9795148637895425E-3</v>
      </c>
      <c r="H311" s="3">
        <f t="shared" si="293"/>
        <v>4.9795148637895425E-3</v>
      </c>
      <c r="I311" s="3">
        <f t="shared" si="293"/>
        <v>4.9795148637895425E-3</v>
      </c>
      <c r="J311" s="3">
        <f t="shared" si="293"/>
        <v>4.9795148637895425E-3</v>
      </c>
      <c r="K311" s="3">
        <f t="shared" si="293"/>
        <v>4.9795148637895425E-3</v>
      </c>
      <c r="L311" s="3">
        <f t="shared" si="293"/>
        <v>4.9795148637895425E-3</v>
      </c>
      <c r="M311" s="3">
        <f t="shared" si="293"/>
        <v>4.9795148637895416E-3</v>
      </c>
      <c r="N311" s="3">
        <f t="shared" si="293"/>
        <v>4.9795148637895295E-3</v>
      </c>
      <c r="O311" s="3">
        <f t="shared" si="293"/>
        <v>4.9795148637894115E-3</v>
      </c>
      <c r="P311" s="3">
        <f t="shared" si="293"/>
        <v>4.979514863788231E-3</v>
      </c>
      <c r="Q311" s="3">
        <f t="shared" si="293"/>
        <v>4.9795148637764271E-3</v>
      </c>
      <c r="R311" s="3">
        <f t="shared" si="293"/>
        <v>4.9795148636583887E-3</v>
      </c>
      <c r="S311" s="3">
        <f t="shared" si="293"/>
        <v>4.9795148624779996E-3</v>
      </c>
      <c r="T311" s="3">
        <f t="shared" si="293"/>
        <v>4.9795148506741171E-3</v>
      </c>
      <c r="U311" s="3">
        <f t="shared" si="293"/>
        <v>4.9795147326352901E-3</v>
      </c>
      <c r="V311" s="3">
        <f t="shared" si="293"/>
        <v>4.9795135522471756E-3</v>
      </c>
      <c r="W311" s="3">
        <f t="shared" si="293"/>
        <v>4.9795017483814166E-3</v>
      </c>
      <c r="X311" s="3">
        <f t="shared" si="293"/>
        <v>4.9793837112627635E-3</v>
      </c>
      <c r="Y311" s="3">
        <f t="shared" si="293"/>
        <v>4.978203493956574E-3</v>
      </c>
      <c r="Z311" s="3">
        <f t="shared" si="293"/>
        <v>4.9664166954399092E-3</v>
      </c>
      <c r="AA311" s="3">
        <f t="shared" si="293"/>
        <v>4.8500727651556519E-3</v>
      </c>
      <c r="AB311" s="3">
        <f t="shared" si="293"/>
        <v>3.8264782193022807E-3</v>
      </c>
      <c r="AC311" s="3">
        <f t="shared" si="293"/>
        <v>3.575272583593174E-4</v>
      </c>
      <c r="AD311" s="3">
        <f t="shared" si="293"/>
        <v>1.8130437677446811E-14</v>
      </c>
      <c r="AE311" s="3">
        <f t="shared" si="293"/>
        <v>2.038917180315146E-117</v>
      </c>
      <c r="AF311" s="3">
        <f t="shared" si="293"/>
        <v>0</v>
      </c>
      <c r="AG311" s="3"/>
      <c r="AH311" s="3"/>
    </row>
    <row r="312" spans="1:34" x14ac:dyDescent="0.25">
      <c r="B312" s="3">
        <f t="shared" ref="B312:AF312" si="294">$C42*EXP(-B$285/$A42/EXP(-$F$126))</f>
        <v>1.5203897421204233E-3</v>
      </c>
      <c r="C312" s="3">
        <f t="shared" si="294"/>
        <v>1.5203897421204233E-3</v>
      </c>
      <c r="D312" s="3">
        <f t="shared" si="294"/>
        <v>1.5203897421204233E-3</v>
      </c>
      <c r="E312" s="3">
        <f t="shared" si="294"/>
        <v>1.5203897421204233E-3</v>
      </c>
      <c r="F312" s="3">
        <f t="shared" si="294"/>
        <v>1.5203897421204233E-3</v>
      </c>
      <c r="G312" s="3">
        <f t="shared" si="294"/>
        <v>1.5203897421204233E-3</v>
      </c>
      <c r="H312" s="3">
        <f t="shared" si="294"/>
        <v>1.5203897421204233E-3</v>
      </c>
      <c r="I312" s="3">
        <f t="shared" si="294"/>
        <v>1.5203897421204233E-3</v>
      </c>
      <c r="J312" s="3">
        <f t="shared" si="294"/>
        <v>1.5203897421204233E-3</v>
      </c>
      <c r="K312" s="3">
        <f t="shared" si="294"/>
        <v>1.5203897421204233E-3</v>
      </c>
      <c r="L312" s="3">
        <f t="shared" si="294"/>
        <v>1.5203897421204233E-3</v>
      </c>
      <c r="M312" s="3">
        <f t="shared" si="294"/>
        <v>1.5203897421204233E-3</v>
      </c>
      <c r="N312" s="3">
        <f t="shared" si="294"/>
        <v>1.5203897421204229E-3</v>
      </c>
      <c r="O312" s="3">
        <f t="shared" si="294"/>
        <v>1.5203897421204192E-3</v>
      </c>
      <c r="P312" s="3">
        <f t="shared" si="294"/>
        <v>1.5203897421203834E-3</v>
      </c>
      <c r="Q312" s="3">
        <f t="shared" si="294"/>
        <v>1.520389742120023E-3</v>
      </c>
      <c r="R312" s="3">
        <f t="shared" si="294"/>
        <v>1.5203897421164187E-3</v>
      </c>
      <c r="S312" s="3">
        <f t="shared" si="294"/>
        <v>1.5203897420803783E-3</v>
      </c>
      <c r="T312" s="3">
        <f t="shared" si="294"/>
        <v>1.5203897417199715E-3</v>
      </c>
      <c r="U312" s="3">
        <f t="shared" si="294"/>
        <v>1.520389738115905E-3</v>
      </c>
      <c r="V312" s="3">
        <f t="shared" si="294"/>
        <v>1.5203897020752411E-3</v>
      </c>
      <c r="W312" s="3">
        <f t="shared" si="294"/>
        <v>1.5203893416686491E-3</v>
      </c>
      <c r="X312" s="3">
        <f t="shared" si="294"/>
        <v>1.5203857376074289E-3</v>
      </c>
      <c r="Y312" s="3">
        <f t="shared" si="294"/>
        <v>1.5203496974651061E-3</v>
      </c>
      <c r="Z312" s="3">
        <f t="shared" si="294"/>
        <v>1.5199893430259913E-3</v>
      </c>
      <c r="AA312" s="3">
        <f t="shared" si="294"/>
        <v>1.5163904929276627E-3</v>
      </c>
      <c r="AB312" s="3">
        <f t="shared" si="294"/>
        <v>1.4808673299286992E-3</v>
      </c>
      <c r="AC312" s="3">
        <f t="shared" si="294"/>
        <v>1.1683343442511504E-3</v>
      </c>
      <c r="AD312" s="3">
        <f t="shared" si="294"/>
        <v>1.0916340065390732E-4</v>
      </c>
      <c r="AE312" s="3">
        <f t="shared" si="294"/>
        <v>5.535746396781677E-15</v>
      </c>
      <c r="AF312" s="3">
        <f t="shared" si="294"/>
        <v>6.2254031783833297E-118</v>
      </c>
      <c r="AG312" s="3"/>
      <c r="AH312" s="3"/>
    </row>
    <row r="313" spans="1:34" x14ac:dyDescent="0.25">
      <c r="B313" s="3">
        <f t="shared" ref="B313:AF313" si="295">$C43*EXP(-B$285/$A43/EXP(-$F$126))</f>
        <v>3.2547360985645695E-4</v>
      </c>
      <c r="C313" s="3">
        <f t="shared" si="295"/>
        <v>3.2547360985645695E-4</v>
      </c>
      <c r="D313" s="3">
        <f t="shared" si="295"/>
        <v>3.2547360985645695E-4</v>
      </c>
      <c r="E313" s="3">
        <f t="shared" si="295"/>
        <v>3.2547360985645695E-4</v>
      </c>
      <c r="F313" s="3">
        <f t="shared" si="295"/>
        <v>3.2547360985645695E-4</v>
      </c>
      <c r="G313" s="3">
        <f t="shared" si="295"/>
        <v>3.2547360985645695E-4</v>
      </c>
      <c r="H313" s="3">
        <f t="shared" si="295"/>
        <v>3.2547360985645695E-4</v>
      </c>
      <c r="I313" s="3">
        <f t="shared" si="295"/>
        <v>3.2547360985645695E-4</v>
      </c>
      <c r="J313" s="3">
        <f t="shared" si="295"/>
        <v>3.2547360985645695E-4</v>
      </c>
      <c r="K313" s="3">
        <f t="shared" si="295"/>
        <v>3.2547360985645695E-4</v>
      </c>
      <c r="L313" s="3">
        <f t="shared" si="295"/>
        <v>3.2547360985645695E-4</v>
      </c>
      <c r="M313" s="3">
        <f t="shared" si="295"/>
        <v>3.2547360985645695E-4</v>
      </c>
      <c r="N313" s="3">
        <f t="shared" si="295"/>
        <v>3.2547360985645695E-4</v>
      </c>
      <c r="O313" s="3">
        <f t="shared" si="295"/>
        <v>3.254736098564569E-4</v>
      </c>
      <c r="P313" s="3">
        <f t="shared" si="295"/>
        <v>3.2547360985645609E-4</v>
      </c>
      <c r="Q313" s="3">
        <f t="shared" si="295"/>
        <v>3.2547360985644839E-4</v>
      </c>
      <c r="R313" s="3">
        <f t="shared" si="295"/>
        <v>3.2547360985637125E-4</v>
      </c>
      <c r="S313" s="3">
        <f t="shared" si="295"/>
        <v>3.2547360985559967E-4</v>
      </c>
      <c r="T313" s="3">
        <f t="shared" si="295"/>
        <v>3.2547360984788438E-4</v>
      </c>
      <c r="U313" s="3">
        <f t="shared" si="295"/>
        <v>3.254736097707312E-4</v>
      </c>
      <c r="V313" s="3">
        <f t="shared" si="295"/>
        <v>3.2547360899919976E-4</v>
      </c>
      <c r="W313" s="3">
        <f t="shared" si="295"/>
        <v>3.2547360128388532E-4</v>
      </c>
      <c r="X313" s="3">
        <f t="shared" si="295"/>
        <v>3.2547352413075063E-4</v>
      </c>
      <c r="Y313" s="3">
        <f t="shared" si="295"/>
        <v>3.254727526004101E-4</v>
      </c>
      <c r="Z313" s="3">
        <f t="shared" si="295"/>
        <v>3.2546503739759299E-4</v>
      </c>
      <c r="AA313" s="3">
        <f t="shared" si="295"/>
        <v>3.2538789542742752E-4</v>
      </c>
      <c r="AB313" s="3">
        <f t="shared" si="295"/>
        <v>3.2461748064470109E-4</v>
      </c>
      <c r="AC313" s="3">
        <f t="shared" si="295"/>
        <v>3.1701294887598026E-4</v>
      </c>
      <c r="AD313" s="3">
        <f t="shared" si="295"/>
        <v>2.5010823607133986E-4</v>
      </c>
      <c r="AE313" s="3">
        <f t="shared" si="295"/>
        <v>2.3368880419754747E-5</v>
      </c>
      <c r="AF313" s="3">
        <f t="shared" si="295"/>
        <v>1.1850509860041527E-15</v>
      </c>
      <c r="AG313" s="3"/>
      <c r="AH313" s="3"/>
    </row>
    <row r="314" spans="1:34" x14ac:dyDescent="0.25">
      <c r="B314" s="3">
        <f t="shared" ref="B314:AF314" si="296">$C44*EXP(-B$285/$A44/EXP(-$F$126))</f>
        <v>3.3657757333866336E-3</v>
      </c>
      <c r="C314" s="3">
        <f t="shared" si="296"/>
        <v>3.3657757333866336E-3</v>
      </c>
      <c r="D314" s="3">
        <f t="shared" si="296"/>
        <v>3.3657757333866336E-3</v>
      </c>
      <c r="E314" s="3">
        <f t="shared" si="296"/>
        <v>3.3657757333866336E-3</v>
      </c>
      <c r="F314" s="3">
        <f t="shared" si="296"/>
        <v>3.3657757333866336E-3</v>
      </c>
      <c r="G314" s="3">
        <f t="shared" si="296"/>
        <v>3.3657757333866336E-3</v>
      </c>
      <c r="H314" s="3">
        <f t="shared" si="296"/>
        <v>3.3657757333866336E-3</v>
      </c>
      <c r="I314" s="3">
        <f t="shared" si="296"/>
        <v>3.3657757333866336E-3</v>
      </c>
      <c r="J314" s="3">
        <f t="shared" si="296"/>
        <v>3.3657757333866336E-3</v>
      </c>
      <c r="K314" s="3">
        <f t="shared" si="296"/>
        <v>3.3657757333866336E-3</v>
      </c>
      <c r="L314" s="3">
        <f t="shared" si="296"/>
        <v>3.3657757333866336E-3</v>
      </c>
      <c r="M314" s="3">
        <f t="shared" si="296"/>
        <v>3.3657757333866336E-3</v>
      </c>
      <c r="N314" s="3">
        <f t="shared" si="296"/>
        <v>3.3657757333866336E-3</v>
      </c>
      <c r="O314" s="3">
        <f t="shared" si="296"/>
        <v>3.3657757333866336E-3</v>
      </c>
      <c r="P314" s="3">
        <f t="shared" si="296"/>
        <v>3.3657757333866328E-3</v>
      </c>
      <c r="Q314" s="3">
        <f t="shared" si="296"/>
        <v>3.3657757333866245E-3</v>
      </c>
      <c r="R314" s="3">
        <f t="shared" si="296"/>
        <v>3.3657757333865452E-3</v>
      </c>
      <c r="S314" s="3">
        <f t="shared" si="296"/>
        <v>3.3657757333857472E-3</v>
      </c>
      <c r="T314" s="3">
        <f t="shared" si="296"/>
        <v>3.3657757333777683E-3</v>
      </c>
      <c r="U314" s="3">
        <f t="shared" si="296"/>
        <v>3.3657757332979836E-3</v>
      </c>
      <c r="V314" s="3">
        <f t="shared" si="296"/>
        <v>3.3657757325001301E-3</v>
      </c>
      <c r="W314" s="3">
        <f t="shared" si="296"/>
        <v>3.3657757245215973E-3</v>
      </c>
      <c r="X314" s="3">
        <f t="shared" si="296"/>
        <v>3.365775644736271E-3</v>
      </c>
      <c r="Y314" s="3">
        <f t="shared" si="296"/>
        <v>3.3657748468831098E-3</v>
      </c>
      <c r="Z314" s="3">
        <f t="shared" si="296"/>
        <v>3.365766868361905E-3</v>
      </c>
      <c r="AA314" s="3">
        <f t="shared" si="296"/>
        <v>3.3656870841900595E-3</v>
      </c>
      <c r="AB314" s="3">
        <f t="shared" si="296"/>
        <v>3.3648893464830825E-3</v>
      </c>
      <c r="AC314" s="3">
        <f t="shared" si="296"/>
        <v>3.3569223614439985E-3</v>
      </c>
      <c r="AD314" s="3">
        <f t="shared" si="296"/>
        <v>3.2782826569769711E-3</v>
      </c>
      <c r="AE314" s="3">
        <f t="shared" si="296"/>
        <v>2.5864100996093428E-3</v>
      </c>
      <c r="AF314" s="3">
        <f t="shared" si="296"/>
        <v>2.4166140741153604E-4</v>
      </c>
      <c r="AG314" s="3"/>
      <c r="AH314" s="3"/>
    </row>
    <row r="315" spans="1:34" x14ac:dyDescent="0.25">
      <c r="B315" s="3">
        <f t="shared" ref="B315:AF315" si="297">$C45*EXP(-B$285/$A45/EXP(-$F$126))</f>
        <v>7.1877880972849508E-4</v>
      </c>
      <c r="C315" s="3">
        <f t="shared" si="297"/>
        <v>7.1877880972849508E-4</v>
      </c>
      <c r="D315" s="3">
        <f t="shared" si="297"/>
        <v>7.1877880972849508E-4</v>
      </c>
      <c r="E315" s="3">
        <f t="shared" si="297"/>
        <v>7.1877880972849508E-4</v>
      </c>
      <c r="F315" s="3">
        <f t="shared" si="297"/>
        <v>7.1877880972849508E-4</v>
      </c>
      <c r="G315" s="3">
        <f t="shared" si="297"/>
        <v>7.1877880972849508E-4</v>
      </c>
      <c r="H315" s="3">
        <f t="shared" si="297"/>
        <v>7.1877880972849508E-4</v>
      </c>
      <c r="I315" s="3">
        <f t="shared" si="297"/>
        <v>7.1877880972849508E-4</v>
      </c>
      <c r="J315" s="3">
        <f t="shared" si="297"/>
        <v>7.1877880972849508E-4</v>
      </c>
      <c r="K315" s="3">
        <f t="shared" si="297"/>
        <v>7.1877880972849508E-4</v>
      </c>
      <c r="L315" s="3">
        <f t="shared" si="297"/>
        <v>7.1877880972849508E-4</v>
      </c>
      <c r="M315" s="3">
        <f t="shared" si="297"/>
        <v>7.1877880972849508E-4</v>
      </c>
      <c r="N315" s="3">
        <f t="shared" si="297"/>
        <v>7.1877880972849508E-4</v>
      </c>
      <c r="O315" s="3">
        <f t="shared" si="297"/>
        <v>7.1877880972849508E-4</v>
      </c>
      <c r="P315" s="3">
        <f t="shared" si="297"/>
        <v>7.1877880972849508E-4</v>
      </c>
      <c r="Q315" s="3">
        <f t="shared" si="297"/>
        <v>7.1877880972849497E-4</v>
      </c>
      <c r="R315" s="3">
        <f t="shared" si="297"/>
        <v>7.1877880972849313E-4</v>
      </c>
      <c r="S315" s="3">
        <f t="shared" si="297"/>
        <v>7.1877880972847621E-4</v>
      </c>
      <c r="T315" s="3">
        <f t="shared" si="297"/>
        <v>7.1877880972830578E-4</v>
      </c>
      <c r="U315" s="3">
        <f t="shared" si="297"/>
        <v>7.1877880972660184E-4</v>
      </c>
      <c r="V315" s="3">
        <f t="shared" si="297"/>
        <v>7.1877880970956339E-4</v>
      </c>
      <c r="W315" s="3">
        <f t="shared" si="297"/>
        <v>7.1877880953917766E-4</v>
      </c>
      <c r="X315" s="3">
        <f t="shared" si="297"/>
        <v>7.1877880783532077E-4</v>
      </c>
      <c r="Y315" s="3">
        <f t="shared" si="297"/>
        <v>7.1877879079675175E-4</v>
      </c>
      <c r="Z315" s="3">
        <f t="shared" si="297"/>
        <v>7.1877862041108416E-4</v>
      </c>
      <c r="AA315" s="3">
        <f t="shared" si="297"/>
        <v>7.1877691655663004E-4</v>
      </c>
      <c r="AB315" s="3">
        <f t="shared" si="297"/>
        <v>7.1875987823422918E-4</v>
      </c>
      <c r="AC315" s="3">
        <f t="shared" si="297"/>
        <v>7.1858951722240992E-4</v>
      </c>
      <c r="AD315" s="3">
        <f t="shared" si="297"/>
        <v>7.1688812637609952E-4</v>
      </c>
      <c r="AE315" s="3">
        <f t="shared" si="297"/>
        <v>7.0009421090112649E-4</v>
      </c>
      <c r="AF315" s="3">
        <f t="shared" si="297"/>
        <v>5.523412491290334E-4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6.8174095740770341E-3</v>
      </c>
      <c r="C318" s="3">
        <f t="shared" si="300"/>
        <v>6.8174095740770341E-3</v>
      </c>
      <c r="D318" s="3">
        <f t="shared" si="300"/>
        <v>6.8174095740770341E-3</v>
      </c>
      <c r="E318" s="3">
        <f t="shared" si="300"/>
        <v>6.8174095740770341E-3</v>
      </c>
      <c r="F318" s="3">
        <f t="shared" si="300"/>
        <v>6.8174095740770341E-3</v>
      </c>
      <c r="G318" s="3">
        <f t="shared" si="300"/>
        <v>6.8174095740770341E-3</v>
      </c>
      <c r="H318" s="3">
        <f t="shared" si="300"/>
        <v>6.8174095740770341E-3</v>
      </c>
      <c r="I318" s="3">
        <f t="shared" si="300"/>
        <v>6.8174095740770341E-3</v>
      </c>
      <c r="J318" s="3">
        <f t="shared" si="300"/>
        <v>6.8174095740770341E-3</v>
      </c>
      <c r="K318" s="3">
        <f t="shared" si="300"/>
        <v>6.8174095740770341E-3</v>
      </c>
      <c r="L318" s="3">
        <f t="shared" si="300"/>
        <v>6.8174095740770341E-3</v>
      </c>
      <c r="M318" s="3">
        <f t="shared" si="300"/>
        <v>6.8174095740770341E-3</v>
      </c>
      <c r="N318" s="3">
        <f t="shared" si="300"/>
        <v>6.8174095740770341E-3</v>
      </c>
      <c r="O318" s="3">
        <f t="shared" si="300"/>
        <v>6.8174095740770341E-3</v>
      </c>
      <c r="P318" s="3">
        <f t="shared" si="300"/>
        <v>6.8174095740770341E-3</v>
      </c>
      <c r="Q318" s="3">
        <f t="shared" si="300"/>
        <v>6.8174095740770341E-3</v>
      </c>
      <c r="R318" s="3">
        <f t="shared" si="300"/>
        <v>6.8174095740770341E-3</v>
      </c>
      <c r="S318" s="3">
        <f t="shared" si="300"/>
        <v>6.8174095740770341E-3</v>
      </c>
      <c r="T318" s="3">
        <f t="shared" si="300"/>
        <v>6.8174095740770324E-3</v>
      </c>
      <c r="U318" s="3">
        <f t="shared" si="300"/>
        <v>6.8174095740770159E-3</v>
      </c>
      <c r="V318" s="3">
        <f t="shared" si="300"/>
        <v>6.8174095740768546E-3</v>
      </c>
      <c r="W318" s="3">
        <f t="shared" si="300"/>
        <v>6.8174095740752387E-3</v>
      </c>
      <c r="X318" s="3">
        <f t="shared" si="300"/>
        <v>6.817409574059078E-3</v>
      </c>
      <c r="Y318" s="3">
        <f t="shared" si="300"/>
        <v>6.817409573897472E-3</v>
      </c>
      <c r="Z318" s="3">
        <f t="shared" si="300"/>
        <v>6.8174095722814123E-3</v>
      </c>
      <c r="AA318" s="3">
        <f t="shared" si="300"/>
        <v>6.8174095561208221E-3</v>
      </c>
      <c r="AB318" s="3">
        <f t="shared" si="300"/>
        <v>6.817409394514912E-3</v>
      </c>
      <c r="AC318" s="3">
        <f t="shared" si="300"/>
        <v>6.8174077784560281E-3</v>
      </c>
      <c r="AD318" s="3">
        <f t="shared" si="300"/>
        <v>6.8173916178882544E-3</v>
      </c>
      <c r="AE318" s="3">
        <f t="shared" si="300"/>
        <v>6.8172300143174627E-3</v>
      </c>
      <c r="AF318" s="3">
        <f t="shared" si="300"/>
        <v>6.815614189285747E-3</v>
      </c>
      <c r="AG318" s="3"/>
      <c r="AH318" s="3"/>
    </row>
    <row r="319" spans="1:34" x14ac:dyDescent="0.25">
      <c r="A319" s="79">
        <f>AVERAGE(B319:AF319)</f>
        <v>1.0886968100731977E-2</v>
      </c>
      <c r="B319" s="80">
        <f>IF($A$64&lt;=B285,IF($B$64&gt;=B285,ABS((B287-B286)/B286),0),0)</f>
        <v>7.9811821678825307E-2</v>
      </c>
      <c r="C319" s="80">
        <f t="shared" ref="C319:AF319" si="301">IF($A$64&lt;=C285,IF($B$64&gt;=C285,ABS((C287-C286)/C286),0),0)</f>
        <v>5.068896448105599E-2</v>
      </c>
      <c r="D319" s="80">
        <f t="shared" si="301"/>
        <v>2.3101406168863643E-2</v>
      </c>
      <c r="E319" s="80">
        <f t="shared" si="301"/>
        <v>3.1992423221359843E-3</v>
      </c>
      <c r="F319" s="80">
        <f t="shared" si="301"/>
        <v>7.3420122560313716E-3</v>
      </c>
      <c r="G319" s="80">
        <f t="shared" si="301"/>
        <v>6.7316697429415911E-3</v>
      </c>
      <c r="H319" s="80">
        <f t="shared" si="301"/>
        <v>1.8255660640044593E-3</v>
      </c>
      <c r="I319" s="80">
        <f t="shared" si="301"/>
        <v>3.0310767411347939E-3</v>
      </c>
      <c r="J319" s="80">
        <f t="shared" si="301"/>
        <v>2.8820065653176311E-3</v>
      </c>
      <c r="K319" s="80">
        <f t="shared" si="301"/>
        <v>3.4706451084174556E-3</v>
      </c>
      <c r="L319" s="80">
        <f t="shared" si="301"/>
        <v>5.2692524543065762E-3</v>
      </c>
      <c r="M319" s="80">
        <f t="shared" si="301"/>
        <v>3.742972531791794E-3</v>
      </c>
      <c r="N319" s="80">
        <f t="shared" si="301"/>
        <v>5.9347656215664847E-3</v>
      </c>
      <c r="O319" s="80">
        <f t="shared" si="301"/>
        <v>5.0826436337012256E-3</v>
      </c>
      <c r="P319" s="80">
        <f t="shared" si="301"/>
        <v>7.0631612016065892E-3</v>
      </c>
      <c r="Q319" s="80">
        <f t="shared" si="301"/>
        <v>5.4238018722897741E-3</v>
      </c>
      <c r="R319" s="80">
        <f t="shared" si="301"/>
        <v>2.1594981259098504E-3</v>
      </c>
      <c r="S319" s="80">
        <f t="shared" si="301"/>
        <v>1.1013038232662236E-2</v>
      </c>
      <c r="T319" s="80">
        <f t="shared" si="301"/>
        <v>1.5807321693805051E-2</v>
      </c>
      <c r="U319" s="80">
        <f t="shared" si="301"/>
        <v>1.0958321826274786E-2</v>
      </c>
      <c r="V319" s="80">
        <f t="shared" si="301"/>
        <v>1.6060964043756684E-3</v>
      </c>
      <c r="W319" s="80">
        <f t="shared" si="301"/>
        <v>6.9655372490391139E-3</v>
      </c>
      <c r="X319" s="80">
        <f t="shared" si="301"/>
        <v>8.1583802964749312E-3</v>
      </c>
      <c r="Y319" s="80">
        <f t="shared" si="301"/>
        <v>8.0050981013449034E-3</v>
      </c>
      <c r="Z319" s="80">
        <f t="shared" si="301"/>
        <v>1.645535057622094E-2</v>
      </c>
      <c r="AA319" s="80">
        <f t="shared" si="301"/>
        <v>2.6744517340550465E-2</v>
      </c>
      <c r="AB319" s="80">
        <f t="shared" si="301"/>
        <v>3.2334092961712165E-3</v>
      </c>
      <c r="AC319" s="80">
        <f t="shared" si="301"/>
        <v>6.6017591031759248E-3</v>
      </c>
      <c r="AD319" s="80">
        <f t="shared" si="301"/>
        <v>1.0177155767487987E-5</v>
      </c>
      <c r="AE319" s="80">
        <f t="shared" si="301"/>
        <v>1.201398989863887E-3</v>
      </c>
      <c r="AF319" s="80">
        <f t="shared" si="301"/>
        <v>3.9750982870642489E-3</v>
      </c>
    </row>
    <row r="320" spans="1:34" x14ac:dyDescent="0.25">
      <c r="B320" s="21">
        <f>(B287-B286)^2</f>
        <v>546194.50404968904</v>
      </c>
      <c r="C320" s="21">
        <f t="shared" ref="C320:AF320" si="302">(C287-C286)^2</f>
        <v>206984.61916618107</v>
      </c>
      <c r="D320" s="21">
        <f t="shared" si="302"/>
        <v>40562.850628872584</v>
      </c>
      <c r="E320" s="21">
        <f t="shared" si="302"/>
        <v>731.48437328564091</v>
      </c>
      <c r="F320" s="21">
        <f t="shared" si="302"/>
        <v>3587.0631962295397</v>
      </c>
      <c r="G320" s="21">
        <f t="shared" si="302"/>
        <v>2814.8885139752415</v>
      </c>
      <c r="H320" s="21">
        <f t="shared" si="302"/>
        <v>192.84076738540861</v>
      </c>
      <c r="I320" s="21">
        <f t="shared" si="302"/>
        <v>486.77005275315537</v>
      </c>
      <c r="J320" s="21">
        <f t="shared" si="302"/>
        <v>395.78079442430123</v>
      </c>
      <c r="K320" s="21">
        <f t="shared" si="302"/>
        <v>514.22832722307282</v>
      </c>
      <c r="L320" s="21">
        <f t="shared" si="302"/>
        <v>1079.7456005249348</v>
      </c>
      <c r="M320" s="21">
        <f t="shared" si="302"/>
        <v>496.05223625057482</v>
      </c>
      <c r="N320" s="21">
        <f t="shared" si="302"/>
        <v>1134.5433864478309</v>
      </c>
      <c r="O320" s="21">
        <f t="shared" si="302"/>
        <v>750.25373687940748</v>
      </c>
      <c r="P320" s="21">
        <f t="shared" si="302"/>
        <v>1309.6013943791459</v>
      </c>
      <c r="Q320" s="21">
        <f t="shared" si="302"/>
        <v>677.57905750556699</v>
      </c>
      <c r="R320" s="21">
        <f t="shared" si="302"/>
        <v>91.546918910503308</v>
      </c>
      <c r="S320" s="21">
        <f t="shared" si="302"/>
        <v>1931.2915611524259</v>
      </c>
      <c r="T320" s="21">
        <f t="shared" si="302"/>
        <v>3083.0337429157426</v>
      </c>
      <c r="U320" s="21">
        <f t="shared" si="302"/>
        <v>1078.6943159436057</v>
      </c>
      <c r="V320" s="21">
        <f t="shared" si="302"/>
        <v>15.490042117591452</v>
      </c>
      <c r="W320" s="21">
        <f t="shared" si="302"/>
        <v>170.05625948706822</v>
      </c>
      <c r="X320" s="21">
        <f t="shared" si="302"/>
        <v>124.46049392712771</v>
      </c>
      <c r="Y320" s="21">
        <f t="shared" si="302"/>
        <v>62.023676658997637</v>
      </c>
      <c r="Z320" s="21">
        <f t="shared" si="302"/>
        <v>154.45046745919143</v>
      </c>
      <c r="AA320" s="21">
        <f t="shared" si="302"/>
        <v>286.85963731531081</v>
      </c>
      <c r="AB320" s="21">
        <f t="shared" si="302"/>
        <v>3.4837567320177945</v>
      </c>
      <c r="AC320" s="21">
        <f t="shared" si="302"/>
        <v>12.829884878987759</v>
      </c>
      <c r="AD320" s="21">
        <f t="shared" si="302"/>
        <v>2.8335523829233014E-5</v>
      </c>
      <c r="AE320" s="21">
        <f t="shared" si="302"/>
        <v>0.37988281700047805</v>
      </c>
      <c r="AF320" s="21">
        <f t="shared" si="302"/>
        <v>3.77387155137427</v>
      </c>
      <c r="AG320" s="3"/>
      <c r="AH320" s="3"/>
    </row>
    <row r="321" spans="1:34" x14ac:dyDescent="0.25">
      <c r="A321" s="71">
        <f>SUM(B321:AF321)</f>
        <v>814931.17982220894</v>
      </c>
      <c r="B321" s="60">
        <f>IF($A$64&lt;=B285,IF($B$64&gt;=B285,ABS(B320),0),0)</f>
        <v>546194.50404968904</v>
      </c>
      <c r="C321" s="60">
        <f t="shared" ref="C321" si="303">IF($A$64&lt;=C285,IF($B$64&gt;=C285,ABS(C320),0),0)</f>
        <v>206984.61916618107</v>
      </c>
      <c r="D321" s="60">
        <f t="shared" ref="D321" si="304">IF($A$64&lt;=D285,IF($B$64&gt;=D285,ABS(D320),0),0)</f>
        <v>40562.850628872584</v>
      </c>
      <c r="E321" s="60">
        <f t="shared" ref="E321" si="305">IF($A$64&lt;=E285,IF($B$64&gt;=E285,ABS(E320),0),0)</f>
        <v>731.48437328564091</v>
      </c>
      <c r="F321" s="60">
        <f t="shared" ref="F321" si="306">IF($A$64&lt;=F285,IF($B$64&gt;=F285,ABS(F320),0),0)</f>
        <v>3587.0631962295397</v>
      </c>
      <c r="G321" s="60">
        <f t="shared" ref="G321" si="307">IF($A$64&lt;=G285,IF($B$64&gt;=G285,ABS(G320),0),0)</f>
        <v>2814.8885139752415</v>
      </c>
      <c r="H321" s="60">
        <f t="shared" ref="H321" si="308">IF($A$64&lt;=H285,IF($B$64&gt;=H285,ABS(H320),0),0)</f>
        <v>192.84076738540861</v>
      </c>
      <c r="I321" s="60">
        <f t="shared" ref="I321" si="309">IF($A$64&lt;=I285,IF($B$64&gt;=I285,ABS(I320),0),0)</f>
        <v>486.77005275315537</v>
      </c>
      <c r="J321" s="60">
        <f t="shared" ref="J321" si="310">IF($A$64&lt;=J285,IF($B$64&gt;=J285,ABS(J320),0),0)</f>
        <v>395.78079442430123</v>
      </c>
      <c r="K321" s="60">
        <f t="shared" ref="K321" si="311">IF($A$64&lt;=K285,IF($B$64&gt;=K285,ABS(K320),0),0)</f>
        <v>514.22832722307282</v>
      </c>
      <c r="L321" s="60">
        <f t="shared" ref="L321" si="312">IF($A$64&lt;=L285,IF($B$64&gt;=L285,ABS(L320),0),0)</f>
        <v>1079.7456005249348</v>
      </c>
      <c r="M321" s="60">
        <f t="shared" ref="M321" si="313">IF($A$64&lt;=M285,IF($B$64&gt;=M285,ABS(M320),0),0)</f>
        <v>496.05223625057482</v>
      </c>
      <c r="N321" s="60">
        <f t="shared" ref="N321" si="314">IF($A$64&lt;=N285,IF($B$64&gt;=N285,ABS(N320),0),0)</f>
        <v>1134.5433864478309</v>
      </c>
      <c r="O321" s="60">
        <f t="shared" ref="O321" si="315">IF($A$64&lt;=O285,IF($B$64&gt;=O285,ABS(O320),0),0)</f>
        <v>750.25373687940748</v>
      </c>
      <c r="P321" s="60">
        <f t="shared" ref="P321" si="316">IF($A$64&lt;=P285,IF($B$64&gt;=P285,ABS(P320),0),0)</f>
        <v>1309.6013943791459</v>
      </c>
      <c r="Q321" s="60">
        <f t="shared" ref="Q321" si="317">IF($A$64&lt;=Q285,IF($B$64&gt;=Q285,ABS(Q320),0),0)</f>
        <v>677.57905750556699</v>
      </c>
      <c r="R321" s="60">
        <f t="shared" ref="R321" si="318">IF($A$64&lt;=R285,IF($B$64&gt;=R285,ABS(R320),0),0)</f>
        <v>91.546918910503308</v>
      </c>
      <c r="S321" s="60">
        <f t="shared" ref="S321" si="319">IF($A$64&lt;=S285,IF($B$64&gt;=S285,ABS(S320),0),0)</f>
        <v>1931.2915611524259</v>
      </c>
      <c r="T321" s="60">
        <f t="shared" ref="T321" si="320">IF($A$64&lt;=T285,IF($B$64&gt;=T285,ABS(T320),0),0)</f>
        <v>3083.0337429157426</v>
      </c>
      <c r="U321" s="60">
        <f t="shared" ref="U321" si="321">IF($A$64&lt;=U285,IF($B$64&gt;=U285,ABS(U320),0),0)</f>
        <v>1078.6943159436057</v>
      </c>
      <c r="V321" s="60">
        <f t="shared" ref="V321" si="322">IF($A$64&lt;=V285,IF($B$64&gt;=V285,ABS(V320),0),0)</f>
        <v>15.490042117591452</v>
      </c>
      <c r="W321" s="60">
        <f t="shared" ref="W321" si="323">IF($A$64&lt;=W285,IF($B$64&gt;=W285,ABS(W320),0),0)</f>
        <v>170.05625948706822</v>
      </c>
      <c r="X321" s="60">
        <f t="shared" ref="X321" si="324">IF($A$64&lt;=X285,IF($B$64&gt;=X285,ABS(X320),0),0)</f>
        <v>124.46049392712771</v>
      </c>
      <c r="Y321" s="60">
        <f t="shared" ref="Y321" si="325">IF($A$64&lt;=Y285,IF($B$64&gt;=Y285,ABS(Y320),0),0)</f>
        <v>62.023676658997637</v>
      </c>
      <c r="Z321" s="60">
        <f t="shared" ref="Z321" si="326">IF($A$64&lt;=Z285,IF($B$64&gt;=Z285,ABS(Z320),0),0)</f>
        <v>154.45046745919143</v>
      </c>
      <c r="AA321" s="60">
        <f t="shared" ref="AA321" si="327">IF($A$64&lt;=AA285,IF($B$64&gt;=AA285,ABS(AA320),0),0)</f>
        <v>286.85963731531081</v>
      </c>
      <c r="AB321" s="60">
        <f t="shared" ref="AB321" si="328">IF($A$64&lt;=AB285,IF($B$64&gt;=AB285,ABS(AB320),0),0)</f>
        <v>3.4837567320177945</v>
      </c>
      <c r="AC321" s="60">
        <f t="shared" ref="AC321" si="329">IF($A$64&lt;=AC285,IF($B$64&gt;=AC285,ABS(AC320),0),0)</f>
        <v>12.829884878987759</v>
      </c>
      <c r="AD321" s="60">
        <f t="shared" ref="AD321" si="330">IF($A$64&lt;=AD285,IF($B$64&gt;=AD285,ABS(AD320),0),0)</f>
        <v>2.8335523829233014E-5</v>
      </c>
      <c r="AE321" s="60">
        <f t="shared" ref="AE321" si="331">IF($A$64&lt;=AE285,IF($B$64&gt;=AE285,ABS(AE320),0),0)</f>
        <v>0.37988281700047805</v>
      </c>
      <c r="AF321" s="60">
        <f t="shared" ref="AF321" si="332">IF($A$64&lt;=AF285,IF($B$64&gt;=AF285,ABS(AF320),0),0)</f>
        <v>3.77387155137427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8505.156980673506</v>
      </c>
      <c r="C326" s="27">
        <f t="shared" ref="C326:AF326" si="333">($C$17+SUM(C327:C357))*$B$51</f>
        <v>8380.0378038396339</v>
      </c>
      <c r="D326" s="27">
        <f t="shared" si="333"/>
        <v>7926.9545187873509</v>
      </c>
      <c r="E326" s="27">
        <f t="shared" si="333"/>
        <v>7697.8055367778588</v>
      </c>
      <c r="F326" s="27">
        <f t="shared" si="333"/>
        <v>7388.9376167144128</v>
      </c>
      <c r="G326" s="27">
        <f t="shared" si="333"/>
        <v>7029.0445034290406</v>
      </c>
      <c r="H326" s="27">
        <f t="shared" si="333"/>
        <v>6650.3206460128977</v>
      </c>
      <c r="I326" s="27">
        <f t="shared" si="333"/>
        <v>6323.1939346127638</v>
      </c>
      <c r="J326" s="27">
        <f t="shared" si="333"/>
        <v>6043.300825901053</v>
      </c>
      <c r="K326" s="27">
        <f t="shared" si="333"/>
        <v>5763.8528595072312</v>
      </c>
      <c r="L326" s="27">
        <f t="shared" si="333"/>
        <v>5483.1449019035927</v>
      </c>
      <c r="M326" s="27">
        <f t="shared" si="333"/>
        <v>5211.4904554119812</v>
      </c>
      <c r="N326" s="27">
        <f t="shared" si="333"/>
        <v>4918.6235488731063</v>
      </c>
      <c r="O326" s="27">
        <f t="shared" si="333"/>
        <v>4584.5414692651993</v>
      </c>
      <c r="P326" s="27">
        <f t="shared" si="333"/>
        <v>4215.6216800346338</v>
      </c>
      <c r="Q326" s="27">
        <f t="shared" si="333"/>
        <v>3788.7990040500222</v>
      </c>
      <c r="R326" s="27">
        <f t="shared" si="333"/>
        <v>3278.7607306746931</v>
      </c>
      <c r="S326" s="27">
        <f t="shared" si="333"/>
        <v>2711.8025627518759</v>
      </c>
      <c r="T326" s="27">
        <f t="shared" si="333"/>
        <v>2116.1808444220496</v>
      </c>
      <c r="U326" s="27">
        <f t="shared" si="333"/>
        <v>1546.5315161214694</v>
      </c>
      <c r="V326" s="27">
        <f t="shared" si="333"/>
        <v>1112.8396941340975</v>
      </c>
      <c r="W326" s="27">
        <f t="shared" si="333"/>
        <v>818.65575428039517</v>
      </c>
      <c r="X326" s="27">
        <f t="shared" si="333"/>
        <v>671.57092534566061</v>
      </c>
      <c r="Y326" s="27">
        <f t="shared" si="333"/>
        <v>592.07920317918956</v>
      </c>
      <c r="Z326" s="27">
        <f t="shared" si="333"/>
        <v>555.90150437405543</v>
      </c>
      <c r="AA326" s="27">
        <f t="shared" si="333"/>
        <v>528.55042511398074</v>
      </c>
      <c r="AB326" s="27">
        <f t="shared" si="333"/>
        <v>518.1138954519887</v>
      </c>
      <c r="AC326" s="27">
        <f t="shared" si="333"/>
        <v>497.70916146705741</v>
      </c>
      <c r="AD326" s="27">
        <f t="shared" si="333"/>
        <v>481.27179097870606</v>
      </c>
      <c r="AE326" s="27">
        <f t="shared" si="333"/>
        <v>477.9887271948312</v>
      </c>
      <c r="AF326" s="27">
        <f t="shared" si="333"/>
        <v>471.97949130658679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5.6751461252229164E-2</v>
      </c>
      <c r="C328" s="3">
        <f t="shared" si="335"/>
        <v>4.4898124061547383E-2</v>
      </c>
      <c r="D328" s="3">
        <f t="shared" si="335"/>
        <v>4.312604866445682E-3</v>
      </c>
      <c r="E328" s="3">
        <f t="shared" si="335"/>
        <v>2.8830647653083999E-13</v>
      </c>
      <c r="F328" s="3">
        <f t="shared" si="335"/>
        <v>5.1404566057983993E-115</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1.7214488085610647E-2</v>
      </c>
      <c r="C329" s="3">
        <f t="shared" si="336"/>
        <v>1.6854486263292265E-2</v>
      </c>
      <c r="D329" s="3">
        <f t="shared" si="336"/>
        <v>1.3643619202926482E-2</v>
      </c>
      <c r="E329" s="3">
        <f t="shared" si="336"/>
        <v>1.6484291712749351E-3</v>
      </c>
      <c r="F329" s="3">
        <f t="shared" si="336"/>
        <v>1.0926405369859858E-12</v>
      </c>
      <c r="G329" s="3">
        <f t="shared" si="336"/>
        <v>1.7887410888216437E-104</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3.2271600866569709E-2</v>
      </c>
      <c r="C330" s="3">
        <f t="shared" si="337"/>
        <v>3.2210133448066405E-2</v>
      </c>
      <c r="D330" s="3">
        <f t="shared" si="337"/>
        <v>3.1601861811920332E-2</v>
      </c>
      <c r="E330" s="3">
        <f t="shared" si="337"/>
        <v>2.6116448917376904E-2</v>
      </c>
      <c r="F330" s="3">
        <f t="shared" si="337"/>
        <v>3.8808662862435742E-3</v>
      </c>
      <c r="G330" s="3">
        <f t="shared" si="337"/>
        <v>2.0373902518860992E-11</v>
      </c>
      <c r="H330" s="3">
        <f t="shared" si="337"/>
        <v>3.2398855389148928E-94</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3.7143795773688551E-2</v>
      </c>
      <c r="C331" s="3">
        <f t="shared" si="338"/>
        <v>3.7137408229462154E-2</v>
      </c>
      <c r="D331" s="3">
        <f t="shared" si="338"/>
        <v>3.7073593170966514E-2</v>
      </c>
      <c r="E331" s="3">
        <f t="shared" si="338"/>
        <v>3.644144271458049E-2</v>
      </c>
      <c r="F331" s="3">
        <f t="shared" si="338"/>
        <v>3.0683463956594541E-2</v>
      </c>
      <c r="G331" s="3">
        <f t="shared" si="338"/>
        <v>5.4953155239508555E-3</v>
      </c>
      <c r="H331" s="3">
        <f t="shared" si="338"/>
        <v>1.8658429966831856E-10</v>
      </c>
      <c r="I331" s="3">
        <f t="shared" si="338"/>
        <v>3.7992662654988921E-85</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4.0797741397768296E-2</v>
      </c>
      <c r="C332" s="3">
        <f t="shared" si="339"/>
        <v>4.0797108455170435E-2</v>
      </c>
      <c r="D332" s="3">
        <f t="shared" si="339"/>
        <v>4.0790779569243152E-2</v>
      </c>
      <c r="E332" s="3">
        <f t="shared" si="339"/>
        <v>4.0727544684111452E-2</v>
      </c>
      <c r="F332" s="3">
        <f t="shared" si="339"/>
        <v>4.0100562392384943E-2</v>
      </c>
      <c r="G332" s="3">
        <f t="shared" si="339"/>
        <v>3.4337827104016956E-2</v>
      </c>
      <c r="H332" s="3">
        <f t="shared" si="339"/>
        <v>7.277735550858643E-3</v>
      </c>
      <c r="I332" s="3">
        <f t="shared" si="339"/>
        <v>1.3311619095111437E-9</v>
      </c>
      <c r="J332" s="3">
        <f t="shared" si="339"/>
        <v>5.5792650714200706E-77</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3.2982250786130873E-2</v>
      </c>
      <c r="C333" s="3">
        <f t="shared" si="340"/>
        <v>3.2982204626943984E-2</v>
      </c>
      <c r="D333" s="3">
        <f t="shared" si="340"/>
        <v>3.2981743038628122E-2</v>
      </c>
      <c r="E333" s="3">
        <f t="shared" si="340"/>
        <v>3.2977127510752477E-2</v>
      </c>
      <c r="F333" s="3">
        <f t="shared" si="340"/>
        <v>3.2931007741902406E-2</v>
      </c>
      <c r="G333" s="3">
        <f t="shared" si="340"/>
        <v>3.2473342724885466E-2</v>
      </c>
      <c r="H333" s="3">
        <f t="shared" si="340"/>
        <v>2.8232331644661691E-2</v>
      </c>
      <c r="I333" s="3">
        <f t="shared" si="340"/>
        <v>6.9653710440443451E-3</v>
      </c>
      <c r="J333" s="3">
        <f t="shared" si="340"/>
        <v>5.8199512585283334E-9</v>
      </c>
      <c r="K333" s="3">
        <f t="shared" si="340"/>
        <v>9.6531768077107385E-70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2.737223780538189E-2</v>
      </c>
      <c r="C334" s="3">
        <f t="shared" si="341"/>
        <v>2.7372234349689852E-2</v>
      </c>
      <c r="D334" s="3">
        <f t="shared" si="341"/>
        <v>2.7372199792793483E-2</v>
      </c>
      <c r="E334" s="3">
        <f t="shared" si="341"/>
        <v>2.7371854226229283E-2</v>
      </c>
      <c r="F334" s="3">
        <f t="shared" si="341"/>
        <v>2.7368398800525783E-2</v>
      </c>
      <c r="G334" s="3">
        <f t="shared" si="341"/>
        <v>2.7333868526138321E-2</v>
      </c>
      <c r="H334" s="3">
        <f t="shared" si="341"/>
        <v>2.6990952882022273E-2</v>
      </c>
      <c r="I334" s="3">
        <f t="shared" si="341"/>
        <v>2.3789722488844332E-2</v>
      </c>
      <c r="J334" s="3">
        <f t="shared" si="341"/>
        <v>6.7313312825302138E-3</v>
      </c>
      <c r="K334" s="3">
        <f t="shared" si="341"/>
        <v>2.2142000401516402E-8</v>
      </c>
      <c r="L334" s="3">
        <f t="shared" si="341"/>
        <v>3.2837928164755741E-63</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2.9420754759248591E-2</v>
      </c>
      <c r="C335" s="3">
        <f t="shared" si="342"/>
        <v>2.9420754424186606E-2</v>
      </c>
      <c r="D335" s="3">
        <f t="shared" si="342"/>
        <v>2.9420751073566995E-2</v>
      </c>
      <c r="E335" s="3">
        <f t="shared" si="342"/>
        <v>2.9420717567391851E-2</v>
      </c>
      <c r="F335" s="3">
        <f t="shared" si="342"/>
        <v>2.9420382507739144E-2</v>
      </c>
      <c r="G335" s="3">
        <f t="shared" si="342"/>
        <v>2.941703212107652E-2</v>
      </c>
      <c r="H335" s="3">
        <f t="shared" si="342"/>
        <v>2.9383549232053788E-2</v>
      </c>
      <c r="I335" s="3">
        <f t="shared" si="342"/>
        <v>2.9050809289518698E-2</v>
      </c>
      <c r="J335" s="3">
        <f t="shared" si="342"/>
        <v>2.592376401227341E-2</v>
      </c>
      <c r="K335" s="3">
        <f t="shared" si="342"/>
        <v>8.3003479696145913E-3</v>
      </c>
      <c r="L335" s="3">
        <f t="shared" si="342"/>
        <v>9.3989361565903832E-8</v>
      </c>
      <c r="M335" s="3">
        <f t="shared" si="342"/>
        <v>3.2576370970405389E-57</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2.9009360034494676E-2</v>
      </c>
      <c r="C336" s="3">
        <f t="shared" si="343"/>
        <v>2.9009360004691946E-2</v>
      </c>
      <c r="D336" s="3">
        <f t="shared" si="343"/>
        <v>2.9009359706664625E-2</v>
      </c>
      <c r="E336" s="3">
        <f t="shared" si="343"/>
        <v>2.9009356726391558E-2</v>
      </c>
      <c r="F336" s="3">
        <f t="shared" si="343"/>
        <v>2.9009326923677737E-2</v>
      </c>
      <c r="G336" s="3">
        <f t="shared" si="343"/>
        <v>2.9009028898223509E-2</v>
      </c>
      <c r="H336" s="3">
        <f t="shared" si="343"/>
        <v>2.9006048812072027E-2</v>
      </c>
      <c r="I336" s="3">
        <f t="shared" si="343"/>
        <v>2.8976264783238472E-2</v>
      </c>
      <c r="J336" s="3">
        <f t="shared" si="343"/>
        <v>2.8680101382150342E-2</v>
      </c>
      <c r="K336" s="3">
        <f t="shared" si="343"/>
        <v>2.587995332619808E-2</v>
      </c>
      <c r="L336" s="3">
        <f t="shared" si="343"/>
        <v>9.2638508532589207E-3</v>
      </c>
      <c r="M336" s="3">
        <f t="shared" si="343"/>
        <v>3.1994270356695431E-7</v>
      </c>
      <c r="N336" s="3">
        <f t="shared" si="343"/>
        <v>7.7246492763939398E-52</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2.6775000161602395E-2</v>
      </c>
      <c r="C337" s="3">
        <f t="shared" si="344"/>
        <v>2.6775000159121012E-2</v>
      </c>
      <c r="D337" s="3">
        <f t="shared" si="344"/>
        <v>2.677500013430717E-2</v>
      </c>
      <c r="E337" s="3">
        <f t="shared" si="344"/>
        <v>2.677499988616875E-2</v>
      </c>
      <c r="F337" s="3">
        <f t="shared" si="344"/>
        <v>2.6774997404784708E-2</v>
      </c>
      <c r="G337" s="3">
        <f t="shared" si="344"/>
        <v>2.6774972590956899E-2</v>
      </c>
      <c r="H337" s="3">
        <f t="shared" si="344"/>
        <v>2.6774724453943643E-2</v>
      </c>
      <c r="I337" s="3">
        <f t="shared" si="344"/>
        <v>2.6772243210286036E-2</v>
      </c>
      <c r="J337" s="3">
        <f t="shared" si="344"/>
        <v>2.6747443416874048E-2</v>
      </c>
      <c r="K337" s="3">
        <f t="shared" si="344"/>
        <v>2.6500705474557486E-2</v>
      </c>
      <c r="L337" s="3">
        <f t="shared" si="344"/>
        <v>2.4155109754987473E-2</v>
      </c>
      <c r="M337" s="3">
        <f t="shared" si="344"/>
        <v>9.5614732069440322E-3</v>
      </c>
      <c r="N337" s="3">
        <f t="shared" si="344"/>
        <v>9.0298967559712996E-7</v>
      </c>
      <c r="O337" s="3">
        <f t="shared" si="344"/>
        <v>5.0963882864310855E-47</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3.1584912014993465E-2</v>
      </c>
      <c r="C338" s="3">
        <f t="shared" si="345"/>
        <v>3.1584912014729412E-2</v>
      </c>
      <c r="D338" s="3">
        <f t="shared" si="345"/>
        <v>3.1584912012088885E-2</v>
      </c>
      <c r="E338" s="3">
        <f t="shared" si="345"/>
        <v>3.1584911985683597E-2</v>
      </c>
      <c r="F338" s="3">
        <f t="shared" si="345"/>
        <v>3.1584911721630797E-2</v>
      </c>
      <c r="G338" s="3">
        <f t="shared" si="345"/>
        <v>3.1584909081102848E-2</v>
      </c>
      <c r="H338" s="3">
        <f t="shared" si="345"/>
        <v>3.1584882675835535E-2</v>
      </c>
      <c r="I338" s="3">
        <f t="shared" si="345"/>
        <v>3.1584618624376504E-2</v>
      </c>
      <c r="J338" s="3">
        <f t="shared" si="345"/>
        <v>3.1581978231194914E-2</v>
      </c>
      <c r="K338" s="3">
        <f t="shared" si="345"/>
        <v>3.1555586436490542E-2</v>
      </c>
      <c r="L338" s="3">
        <f t="shared" si="345"/>
        <v>3.1292878454691551E-2</v>
      </c>
      <c r="M338" s="3">
        <f t="shared" si="345"/>
        <v>2.878313468176244E-2</v>
      </c>
      <c r="N338" s="3">
        <f t="shared" si="345"/>
        <v>1.2475669338911416E-2</v>
      </c>
      <c r="O338" s="3">
        <f t="shared" si="345"/>
        <v>2.9195876103501475E-6</v>
      </c>
      <c r="P338" s="3">
        <f t="shared" si="345"/>
        <v>1.4384609516874081E-42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3.5926752556119698E-2</v>
      </c>
      <c r="C339" s="3">
        <f t="shared" si="346"/>
        <v>3.5926752556092602E-2</v>
      </c>
      <c r="D339" s="3">
        <f t="shared" si="346"/>
        <v>3.5926752555821666E-2</v>
      </c>
      <c r="E339" s="3">
        <f t="shared" si="346"/>
        <v>3.592675255311225E-2</v>
      </c>
      <c r="F339" s="3">
        <f t="shared" si="346"/>
        <v>3.5926752526018089E-2</v>
      </c>
      <c r="G339" s="3">
        <f t="shared" si="346"/>
        <v>3.5926752255076501E-2</v>
      </c>
      <c r="H339" s="3">
        <f t="shared" si="346"/>
        <v>3.592674954566074E-2</v>
      </c>
      <c r="I339" s="3">
        <f t="shared" si="346"/>
        <v>3.5926722451514383E-2</v>
      </c>
      <c r="J339" s="3">
        <f t="shared" si="346"/>
        <v>3.5926451511174615E-2</v>
      </c>
      <c r="K339" s="3">
        <f t="shared" si="346"/>
        <v>3.5923742220155243E-2</v>
      </c>
      <c r="L339" s="3">
        <f t="shared" si="346"/>
        <v>3.5896660544660237E-2</v>
      </c>
      <c r="M339" s="3">
        <f t="shared" si="346"/>
        <v>3.5626964131018332E-2</v>
      </c>
      <c r="N339" s="3">
        <f t="shared" si="346"/>
        <v>3.3038970038901057E-2</v>
      </c>
      <c r="O339" s="3">
        <f t="shared" si="346"/>
        <v>1.5541872285873811E-2</v>
      </c>
      <c r="P339" s="3">
        <f t="shared" si="346"/>
        <v>8.2465385471962151E-6</v>
      </c>
      <c r="Q339" s="3">
        <f t="shared" si="346"/>
        <v>1.4586640125845938E-38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3.8216836337324783E-2</v>
      </c>
      <c r="C340" s="3">
        <f t="shared" si="347"/>
        <v>3.8216836337322188E-2</v>
      </c>
      <c r="D340" s="3">
        <f t="shared" si="347"/>
        <v>3.8216836337296188E-2</v>
      </c>
      <c r="E340" s="3">
        <f t="shared" si="347"/>
        <v>3.8216836337036195E-2</v>
      </c>
      <c r="F340" s="3">
        <f t="shared" si="347"/>
        <v>3.8216836334436281E-2</v>
      </c>
      <c r="G340" s="3">
        <f t="shared" si="347"/>
        <v>3.8216836308437134E-2</v>
      </c>
      <c r="H340" s="3">
        <f t="shared" si="347"/>
        <v>3.821683604844571E-2</v>
      </c>
      <c r="I340" s="3">
        <f t="shared" si="347"/>
        <v>3.8216833448531516E-2</v>
      </c>
      <c r="J340" s="3">
        <f t="shared" si="347"/>
        <v>3.8216807449399294E-2</v>
      </c>
      <c r="K340" s="3">
        <f t="shared" si="347"/>
        <v>3.8216547459049878E-2</v>
      </c>
      <c r="L340" s="3">
        <f t="shared" si="347"/>
        <v>3.8213947652833584E-2</v>
      </c>
      <c r="M340" s="3">
        <f t="shared" si="347"/>
        <v>3.8187959316005514E-2</v>
      </c>
      <c r="N340" s="3">
        <f t="shared" si="347"/>
        <v>3.7929046037668016E-2</v>
      </c>
      <c r="O340" s="3">
        <f t="shared" si="347"/>
        <v>3.543452420330858E-2</v>
      </c>
      <c r="P340" s="3">
        <f t="shared" si="347"/>
        <v>1.7946239702609858E-2</v>
      </c>
      <c r="Q340" s="3">
        <f t="shared" si="347"/>
        <v>1.9927005911520514E-5</v>
      </c>
      <c r="R340" s="3">
        <f t="shared" si="347"/>
        <v>5.6771177758620464E-35</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4.8113881849429947E-2</v>
      </c>
      <c r="C341" s="3">
        <f t="shared" si="348"/>
        <v>4.8113881849429656E-2</v>
      </c>
      <c r="D341" s="3">
        <f t="shared" si="348"/>
        <v>4.81138818494267E-2</v>
      </c>
      <c r="E341" s="3">
        <f t="shared" si="348"/>
        <v>4.8113881849397175E-2</v>
      </c>
      <c r="F341" s="3">
        <f t="shared" si="348"/>
        <v>4.8113881849101904E-2</v>
      </c>
      <c r="G341" s="3">
        <f t="shared" si="348"/>
        <v>4.811388184614919E-2</v>
      </c>
      <c r="H341" s="3">
        <f t="shared" si="348"/>
        <v>4.8113881816622059E-2</v>
      </c>
      <c r="I341" s="3">
        <f t="shared" si="348"/>
        <v>4.8113881521350717E-2</v>
      </c>
      <c r="J341" s="3">
        <f t="shared" si="348"/>
        <v>4.8113878568637469E-2</v>
      </c>
      <c r="K341" s="3">
        <f t="shared" si="348"/>
        <v>4.8113849041514951E-2</v>
      </c>
      <c r="L341" s="3">
        <f t="shared" si="348"/>
        <v>4.811355377128633E-2</v>
      </c>
      <c r="M341" s="3">
        <f t="shared" si="348"/>
        <v>4.8110601168660831E-2</v>
      </c>
      <c r="N341" s="3">
        <f t="shared" si="348"/>
        <v>4.8081085106212826E-2</v>
      </c>
      <c r="O341" s="3">
        <f t="shared" si="348"/>
        <v>4.7786918603692947E-2</v>
      </c>
      <c r="P341" s="3">
        <f t="shared" si="348"/>
        <v>4.4942445035258724E-2</v>
      </c>
      <c r="Q341" s="3">
        <f t="shared" si="348"/>
        <v>2.4329511163156167E-2</v>
      </c>
      <c r="R341" s="3">
        <f t="shared" si="348"/>
        <v>5.2589646766417035E-5</v>
      </c>
      <c r="S341" s="3">
        <f t="shared" si="348"/>
        <v>1.1710325343841346E-31</v>
      </c>
      <c r="T341" s="3">
        <f t="shared" si="348"/>
        <v>3.5095871753295145E-298</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5.6463045562969078E-2</v>
      </c>
      <c r="C342" s="3">
        <f t="shared" si="349"/>
        <v>5.646304556296905E-2</v>
      </c>
      <c r="D342" s="3">
        <f t="shared" si="349"/>
        <v>5.6463045562968738E-2</v>
      </c>
      <c r="E342" s="3">
        <f t="shared" si="349"/>
        <v>5.6463045562965615E-2</v>
      </c>
      <c r="F342" s="3">
        <f t="shared" si="349"/>
        <v>5.6463045562934355E-2</v>
      </c>
      <c r="G342" s="3">
        <f t="shared" si="349"/>
        <v>5.6463045562621779E-2</v>
      </c>
      <c r="H342" s="3">
        <f t="shared" si="349"/>
        <v>5.6463045559495967E-2</v>
      </c>
      <c r="I342" s="3">
        <f t="shared" si="349"/>
        <v>5.6463045528237929E-2</v>
      </c>
      <c r="J342" s="3">
        <f t="shared" si="349"/>
        <v>5.6463045215657495E-2</v>
      </c>
      <c r="K342" s="3">
        <f t="shared" si="349"/>
        <v>5.6463042089853317E-2</v>
      </c>
      <c r="L342" s="3">
        <f t="shared" si="349"/>
        <v>5.6463010831821016E-2</v>
      </c>
      <c r="M342" s="3">
        <f t="shared" si="349"/>
        <v>5.646269825244981E-2</v>
      </c>
      <c r="N342" s="3">
        <f t="shared" si="349"/>
        <v>5.6459572553910313E-2</v>
      </c>
      <c r="O342" s="3">
        <f t="shared" si="349"/>
        <v>5.6428325083829181E-2</v>
      </c>
      <c r="P342" s="3">
        <f t="shared" si="349"/>
        <v>5.6116799968237201E-2</v>
      </c>
      <c r="Q342" s="3">
        <f t="shared" si="349"/>
        <v>5.3094590740503329E-2</v>
      </c>
      <c r="R342" s="3">
        <f t="shared" si="349"/>
        <v>3.0522779316659861E-2</v>
      </c>
      <c r="S342" s="3">
        <f t="shared" si="349"/>
        <v>1.2032671713989322E-4</v>
      </c>
      <c r="T342" s="3">
        <f t="shared" si="349"/>
        <v>1.0907920943933308E-28</v>
      </c>
      <c r="U342" s="3">
        <f t="shared" si="349"/>
        <v>4.0882845729884841E-269</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5.9569205174430817E-2</v>
      </c>
      <c r="C343" s="3">
        <f t="shared" si="350"/>
        <v>5.9569205174430817E-2</v>
      </c>
      <c r="D343" s="3">
        <f t="shared" si="350"/>
        <v>5.9569205174430782E-2</v>
      </c>
      <c r="E343" s="3">
        <f t="shared" si="350"/>
        <v>5.9569205174430484E-2</v>
      </c>
      <c r="F343" s="3">
        <f t="shared" si="350"/>
        <v>5.9569205174427507E-2</v>
      </c>
      <c r="G343" s="3">
        <f t="shared" si="350"/>
        <v>5.956920517439776E-2</v>
      </c>
      <c r="H343" s="3">
        <f t="shared" si="350"/>
        <v>5.9569205174100283E-2</v>
      </c>
      <c r="I343" s="3">
        <f t="shared" si="350"/>
        <v>5.9569205171125426E-2</v>
      </c>
      <c r="J343" s="3">
        <f t="shared" si="350"/>
        <v>5.9569205141376869E-2</v>
      </c>
      <c r="K343" s="3">
        <f t="shared" si="350"/>
        <v>5.9569204843891312E-2</v>
      </c>
      <c r="L343" s="3">
        <f t="shared" si="350"/>
        <v>5.956920186903588E-2</v>
      </c>
      <c r="M343" s="3">
        <f t="shared" si="350"/>
        <v>5.9569172120489712E-2</v>
      </c>
      <c r="N343" s="3">
        <f t="shared" si="350"/>
        <v>5.9568874635845065E-2</v>
      </c>
      <c r="O343" s="3">
        <f t="shared" si="350"/>
        <v>5.9565899871106533E-2</v>
      </c>
      <c r="P343" s="3">
        <f t="shared" si="350"/>
        <v>5.9536160392995537E-2</v>
      </c>
      <c r="Q343" s="3">
        <f t="shared" si="350"/>
        <v>5.9239581031849023E-2</v>
      </c>
      <c r="R343" s="3">
        <f t="shared" si="350"/>
        <v>5.6353842630506884E-2</v>
      </c>
      <c r="S343" s="3">
        <f t="shared" si="350"/>
        <v>3.4201023280071498E-2</v>
      </c>
      <c r="T343" s="3">
        <f t="shared" si="350"/>
        <v>2.3184340848917326E-4</v>
      </c>
      <c r="U343" s="3">
        <f t="shared" si="350"/>
        <v>4.7506308188162549E-26</v>
      </c>
      <c r="V343" s="3">
        <f t="shared" si="350"/>
        <v>6.1989276804016407E-243</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6.4663842713273356E-2</v>
      </c>
      <c r="C344" s="3">
        <f t="shared" si="351"/>
        <v>6.4663842713273356E-2</v>
      </c>
      <c r="D344" s="3">
        <f t="shared" si="351"/>
        <v>6.4663842713273356E-2</v>
      </c>
      <c r="E344" s="3">
        <f t="shared" si="351"/>
        <v>6.4663842713273315E-2</v>
      </c>
      <c r="F344" s="3">
        <f t="shared" si="351"/>
        <v>6.4663842713273037E-2</v>
      </c>
      <c r="G344" s="3">
        <f t="shared" si="351"/>
        <v>6.4663842713270123E-2</v>
      </c>
      <c r="H344" s="3">
        <f t="shared" si="351"/>
        <v>6.4663842713240979E-2</v>
      </c>
      <c r="I344" s="3">
        <f t="shared" si="351"/>
        <v>6.4663842712949685E-2</v>
      </c>
      <c r="J344" s="3">
        <f t="shared" si="351"/>
        <v>6.4663842710036598E-2</v>
      </c>
      <c r="K344" s="3">
        <f t="shared" si="351"/>
        <v>6.4663842680905817E-2</v>
      </c>
      <c r="L344" s="3">
        <f t="shared" si="351"/>
        <v>6.4663842389597978E-2</v>
      </c>
      <c r="M344" s="3">
        <f t="shared" si="351"/>
        <v>6.4663839476519658E-2</v>
      </c>
      <c r="N344" s="3">
        <f t="shared" si="351"/>
        <v>6.4663810345743616E-2</v>
      </c>
      <c r="O344" s="3">
        <f t="shared" si="351"/>
        <v>6.4663519038705E-2</v>
      </c>
      <c r="P344" s="3">
        <f t="shared" si="351"/>
        <v>6.4660606040495602E-2</v>
      </c>
      <c r="Q344" s="3">
        <f t="shared" si="351"/>
        <v>6.4631483274876403E-2</v>
      </c>
      <c r="R344" s="3">
        <f t="shared" si="351"/>
        <v>6.4340976064742983E-2</v>
      </c>
      <c r="S344" s="3">
        <f t="shared" si="351"/>
        <v>6.1506762038386127E-2</v>
      </c>
      <c r="T344" s="3">
        <f t="shared" si="351"/>
        <v>3.9199006637101762E-2</v>
      </c>
      <c r="U344" s="3">
        <f t="shared" si="351"/>
        <v>4.3330832184609739E-4</v>
      </c>
      <c r="V344" s="3">
        <f t="shared" si="351"/>
        <v>1.1803660621338679E-23</v>
      </c>
      <c r="W344" s="3">
        <f t="shared" si="351"/>
        <v>2.6559112403973992E-219</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4.8548005334617741E-2</v>
      </c>
      <c r="C345" s="3">
        <f t="shared" si="352"/>
        <v>4.8548005334617741E-2</v>
      </c>
      <c r="D345" s="3">
        <f t="shared" si="352"/>
        <v>4.8548005334617741E-2</v>
      </c>
      <c r="E345" s="3">
        <f t="shared" si="352"/>
        <v>4.8548005334617741E-2</v>
      </c>
      <c r="F345" s="3">
        <f t="shared" si="352"/>
        <v>4.8548005334617721E-2</v>
      </c>
      <c r="G345" s="3">
        <f t="shared" si="352"/>
        <v>4.8548005334617519E-2</v>
      </c>
      <c r="H345" s="3">
        <f t="shared" si="352"/>
        <v>4.8548005334615549E-2</v>
      </c>
      <c r="I345" s="3">
        <f t="shared" si="352"/>
        <v>4.8548005334595822E-2</v>
      </c>
      <c r="J345" s="3">
        <f t="shared" si="352"/>
        <v>4.8548005334398528E-2</v>
      </c>
      <c r="K345" s="3">
        <f t="shared" si="352"/>
        <v>4.8548005332425613E-2</v>
      </c>
      <c r="L345" s="3">
        <f t="shared" si="352"/>
        <v>4.854800531269645E-2</v>
      </c>
      <c r="M345" s="3">
        <f t="shared" si="352"/>
        <v>4.8548005115404823E-2</v>
      </c>
      <c r="N345" s="3">
        <f t="shared" si="352"/>
        <v>4.8548003142488645E-2</v>
      </c>
      <c r="O345" s="3">
        <f t="shared" si="352"/>
        <v>4.8547983413331205E-2</v>
      </c>
      <c r="P345" s="3">
        <f t="shared" si="352"/>
        <v>4.8547786122197768E-2</v>
      </c>
      <c r="Q345" s="3">
        <f t="shared" si="352"/>
        <v>4.8545813254959665E-2</v>
      </c>
      <c r="R345" s="3">
        <f t="shared" si="352"/>
        <v>4.8526088991537333E-2</v>
      </c>
      <c r="S345" s="3">
        <f t="shared" si="352"/>
        <v>4.8329286590968489E-2</v>
      </c>
      <c r="T345" s="3">
        <f t="shared" si="352"/>
        <v>4.6404631139122313E-2</v>
      </c>
      <c r="U345" s="3">
        <f t="shared" si="352"/>
        <v>3.0907987656140081E-2</v>
      </c>
      <c r="V345" s="3">
        <f t="shared" si="352"/>
        <v>5.3108591349030579E-4</v>
      </c>
      <c r="W345" s="3">
        <f t="shared" si="352"/>
        <v>1.1915308869575449E-21</v>
      </c>
      <c r="X345" s="3">
        <f t="shared" si="352"/>
        <v>3.8504414823964316E-198</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3.8659494646510029E-2</v>
      </c>
      <c r="C346" s="3">
        <f t="shared" si="353"/>
        <v>3.8659494646510029E-2</v>
      </c>
      <c r="D346" s="3">
        <f t="shared" si="353"/>
        <v>3.8659494646510029E-2</v>
      </c>
      <c r="E346" s="3">
        <f t="shared" si="353"/>
        <v>3.8659494646510029E-2</v>
      </c>
      <c r="F346" s="3">
        <f t="shared" si="353"/>
        <v>3.8659494646510029E-2</v>
      </c>
      <c r="G346" s="3">
        <f t="shared" si="353"/>
        <v>3.8659494646510015E-2</v>
      </c>
      <c r="H346" s="3">
        <f t="shared" si="353"/>
        <v>3.8659494646509869E-2</v>
      </c>
      <c r="I346" s="3">
        <f t="shared" si="353"/>
        <v>3.8659494646508454E-2</v>
      </c>
      <c r="J346" s="3">
        <f t="shared" si="353"/>
        <v>3.8659494646494284E-2</v>
      </c>
      <c r="K346" s="3">
        <f t="shared" si="353"/>
        <v>3.8659494646352557E-2</v>
      </c>
      <c r="L346" s="3">
        <f t="shared" si="353"/>
        <v>3.865949464493533E-2</v>
      </c>
      <c r="M346" s="3">
        <f t="shared" si="353"/>
        <v>3.8659494630763042E-2</v>
      </c>
      <c r="N346" s="3">
        <f t="shared" si="353"/>
        <v>3.8659494489040144E-2</v>
      </c>
      <c r="O346" s="3">
        <f t="shared" si="353"/>
        <v>3.8659493071811213E-2</v>
      </c>
      <c r="P346" s="3">
        <f t="shared" si="353"/>
        <v>3.8659478899524764E-2</v>
      </c>
      <c r="Q346" s="3">
        <f t="shared" si="353"/>
        <v>3.8659337176946015E-2</v>
      </c>
      <c r="R346" s="3">
        <f t="shared" si="353"/>
        <v>3.8657919979733127E-2</v>
      </c>
      <c r="S346" s="3">
        <f t="shared" si="353"/>
        <v>3.8643750864675697E-2</v>
      </c>
      <c r="T346" s="3">
        <f t="shared" si="353"/>
        <v>3.8502345034096601E-2</v>
      </c>
      <c r="U346" s="3">
        <f t="shared" si="353"/>
        <v>3.7116435487355867E-2</v>
      </c>
      <c r="V346" s="3">
        <f t="shared" si="353"/>
        <v>2.5725099462010848E-2</v>
      </c>
      <c r="W346" s="3">
        <f t="shared" si="353"/>
        <v>6.5805936135529129E-4</v>
      </c>
      <c r="X346" s="3">
        <f t="shared" si="353"/>
        <v>7.8948732594309321E-20</v>
      </c>
      <c r="Y346" s="3">
        <f t="shared" si="353"/>
        <v>4.8769249276149697E-179</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6.6103757573429938E-3</v>
      </c>
      <c r="C347" s="3">
        <f t="shared" si="354"/>
        <v>6.6103757573429938E-3</v>
      </c>
      <c r="D347" s="3">
        <f t="shared" si="354"/>
        <v>6.6103757573429938E-3</v>
      </c>
      <c r="E347" s="3">
        <f t="shared" si="354"/>
        <v>6.6103757573429938E-3</v>
      </c>
      <c r="F347" s="3">
        <f t="shared" si="354"/>
        <v>6.6103757573429938E-3</v>
      </c>
      <c r="G347" s="3">
        <f t="shared" si="354"/>
        <v>6.6103757573429938E-3</v>
      </c>
      <c r="H347" s="3">
        <f t="shared" si="354"/>
        <v>6.6103757573429912E-3</v>
      </c>
      <c r="I347" s="3">
        <f t="shared" si="354"/>
        <v>6.6103757573429695E-3</v>
      </c>
      <c r="J347" s="3">
        <f t="shared" si="354"/>
        <v>6.6103757573427509E-3</v>
      </c>
      <c r="K347" s="3">
        <f t="shared" si="354"/>
        <v>6.6103757573405643E-3</v>
      </c>
      <c r="L347" s="3">
        <f t="shared" si="354"/>
        <v>6.6103757573187051E-3</v>
      </c>
      <c r="M347" s="3">
        <f t="shared" si="354"/>
        <v>6.6103757571001013E-3</v>
      </c>
      <c r="N347" s="3">
        <f t="shared" si="354"/>
        <v>6.6103757549140687E-3</v>
      </c>
      <c r="O347" s="3">
        <f t="shared" si="354"/>
        <v>6.6103757330537452E-3</v>
      </c>
      <c r="P347" s="3">
        <f t="shared" si="354"/>
        <v>6.6103755144505151E-3</v>
      </c>
      <c r="Q347" s="3">
        <f t="shared" si="354"/>
        <v>6.6103733284186084E-3</v>
      </c>
      <c r="R347" s="3">
        <f t="shared" si="354"/>
        <v>6.6103514681393012E-3</v>
      </c>
      <c r="S347" s="3">
        <f t="shared" si="354"/>
        <v>6.6101328693222014E-3</v>
      </c>
      <c r="T347" s="3">
        <f t="shared" si="354"/>
        <v>6.6079472787002134E-3</v>
      </c>
      <c r="U347" s="3">
        <f t="shared" si="354"/>
        <v>6.5861310787803662E-3</v>
      </c>
      <c r="V347" s="3">
        <f t="shared" si="354"/>
        <v>6.3718915525361047E-3</v>
      </c>
      <c r="W347" s="3">
        <f t="shared" si="354"/>
        <v>4.5777116514603864E-3</v>
      </c>
      <c r="X347" s="3">
        <f t="shared" si="354"/>
        <v>1.6766754601062246E-4</v>
      </c>
      <c r="Y347" s="3">
        <f t="shared" si="354"/>
        <v>7.2854227400707603E-19</v>
      </c>
      <c r="Z347" s="3">
        <f t="shared" si="354"/>
        <v>1.7478825494367164E-162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1.6903393193058183E-2</v>
      </c>
      <c r="C348" s="3">
        <f t="shared" si="355"/>
        <v>1.6903393193058183E-2</v>
      </c>
      <c r="D348" s="3">
        <f t="shared" si="355"/>
        <v>1.6903393193058183E-2</v>
      </c>
      <c r="E348" s="3">
        <f t="shared" si="355"/>
        <v>1.6903393193058183E-2</v>
      </c>
      <c r="F348" s="3">
        <f t="shared" si="355"/>
        <v>1.6903393193058183E-2</v>
      </c>
      <c r="G348" s="3">
        <f t="shared" si="355"/>
        <v>1.6903393193058183E-2</v>
      </c>
      <c r="H348" s="3">
        <f t="shared" si="355"/>
        <v>1.690339319305818E-2</v>
      </c>
      <c r="I348" s="3">
        <f t="shared" si="355"/>
        <v>1.6903393193058166E-2</v>
      </c>
      <c r="J348" s="3">
        <f t="shared" si="355"/>
        <v>1.690339319305801E-2</v>
      </c>
      <c r="K348" s="3">
        <f t="shared" si="355"/>
        <v>1.6903393193056466E-2</v>
      </c>
      <c r="L348" s="3">
        <f t="shared" si="355"/>
        <v>1.6903393193041006E-2</v>
      </c>
      <c r="M348" s="3">
        <f t="shared" si="355"/>
        <v>1.69033931928864E-2</v>
      </c>
      <c r="N348" s="3">
        <f t="shared" si="355"/>
        <v>1.6903393191340377E-2</v>
      </c>
      <c r="O348" s="3">
        <f t="shared" si="355"/>
        <v>1.6903393175880101E-2</v>
      </c>
      <c r="P348" s="3">
        <f t="shared" si="355"/>
        <v>1.6903393021277358E-2</v>
      </c>
      <c r="Q348" s="3">
        <f t="shared" si="355"/>
        <v>1.6903391475250024E-2</v>
      </c>
      <c r="R348" s="3">
        <f t="shared" si="355"/>
        <v>1.6903376014984442E-2</v>
      </c>
      <c r="S348" s="3">
        <f t="shared" si="355"/>
        <v>1.6903221413106358E-2</v>
      </c>
      <c r="T348" s="3">
        <f t="shared" si="355"/>
        <v>1.6901675472094556E-2</v>
      </c>
      <c r="U348" s="3">
        <f t="shared" si="355"/>
        <v>1.6886223836251414E-2</v>
      </c>
      <c r="V348" s="3">
        <f t="shared" si="355"/>
        <v>1.6732482280828968E-2</v>
      </c>
      <c r="W348" s="3">
        <f t="shared" si="355"/>
        <v>1.5269987923732343E-2</v>
      </c>
      <c r="X348" s="3">
        <f t="shared" si="355"/>
        <v>6.1181749541433135E-3</v>
      </c>
      <c r="Y348" s="3">
        <f t="shared" si="355"/>
        <v>6.5230975634808005E-7</v>
      </c>
      <c r="Z348" s="3">
        <f t="shared" si="355"/>
        <v>1.2381512412065676E-46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1.9810156254800116E-3</v>
      </c>
      <c r="C349" s="3">
        <f t="shared" si="356"/>
        <v>1.9810156254800116E-3</v>
      </c>
      <c r="D349" s="3">
        <f t="shared" si="356"/>
        <v>1.9810156254800116E-3</v>
      </c>
      <c r="E349" s="3">
        <f t="shared" si="356"/>
        <v>1.9810156254800116E-3</v>
      </c>
      <c r="F349" s="3">
        <f t="shared" si="356"/>
        <v>1.9810156254800116E-3</v>
      </c>
      <c r="G349" s="3">
        <f t="shared" si="356"/>
        <v>1.9810156254800116E-3</v>
      </c>
      <c r="H349" s="3">
        <f t="shared" si="356"/>
        <v>1.9810156254800116E-3</v>
      </c>
      <c r="I349" s="3">
        <f t="shared" si="356"/>
        <v>1.9810156254800111E-3</v>
      </c>
      <c r="J349" s="3">
        <f t="shared" si="356"/>
        <v>1.9810156254800094E-3</v>
      </c>
      <c r="K349" s="3">
        <f t="shared" si="356"/>
        <v>1.9810156254799912E-3</v>
      </c>
      <c r="L349" s="3">
        <f t="shared" si="356"/>
        <v>1.9810156254798103E-3</v>
      </c>
      <c r="M349" s="3">
        <f t="shared" si="356"/>
        <v>1.9810156254779984E-3</v>
      </c>
      <c r="N349" s="3">
        <f t="shared" si="356"/>
        <v>1.9810156254598792E-3</v>
      </c>
      <c r="O349" s="3">
        <f t="shared" si="356"/>
        <v>1.9810156252786908E-3</v>
      </c>
      <c r="P349" s="3">
        <f t="shared" si="356"/>
        <v>1.9810156234668034E-3</v>
      </c>
      <c r="Q349" s="3">
        <f t="shared" si="356"/>
        <v>1.9810156053479298E-3</v>
      </c>
      <c r="R349" s="3">
        <f t="shared" si="356"/>
        <v>1.9810154241592017E-3</v>
      </c>
      <c r="S349" s="3">
        <f t="shared" si="356"/>
        <v>1.9810136122728342E-3</v>
      </c>
      <c r="T349" s="3">
        <f t="shared" si="356"/>
        <v>1.9809954935003063E-3</v>
      </c>
      <c r="U349" s="3">
        <f t="shared" si="356"/>
        <v>1.980814314889274E-3</v>
      </c>
      <c r="V349" s="3">
        <f t="shared" si="356"/>
        <v>1.9790034398954261E-3</v>
      </c>
      <c r="W349" s="3">
        <f t="shared" si="356"/>
        <v>1.9609854940250936E-3</v>
      </c>
      <c r="X349" s="3">
        <f t="shared" si="356"/>
        <v>1.78958652456998E-3</v>
      </c>
      <c r="Y349" s="3">
        <f t="shared" si="356"/>
        <v>7.1702764321638279E-4</v>
      </c>
      <c r="Z349" s="3">
        <f t="shared" si="356"/>
        <v>7.6448308645467458E-8</v>
      </c>
      <c r="AA349" s="3">
        <f t="shared" si="356"/>
        <v>1.4510677989464188E-47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4.9795148637895425E-3</v>
      </c>
      <c r="C350" s="3">
        <f t="shared" si="357"/>
        <v>4.9795148637895425E-3</v>
      </c>
      <c r="D350" s="3">
        <f t="shared" si="357"/>
        <v>4.9795148637895425E-3</v>
      </c>
      <c r="E350" s="3">
        <f t="shared" si="357"/>
        <v>4.9795148637895425E-3</v>
      </c>
      <c r="F350" s="3">
        <f t="shared" si="357"/>
        <v>4.9795148637895425E-3</v>
      </c>
      <c r="G350" s="3">
        <f t="shared" si="357"/>
        <v>4.9795148637895425E-3</v>
      </c>
      <c r="H350" s="3">
        <f t="shared" si="357"/>
        <v>4.9795148637895425E-3</v>
      </c>
      <c r="I350" s="3">
        <f t="shared" si="357"/>
        <v>4.9795148637895425E-3</v>
      </c>
      <c r="J350" s="3">
        <f t="shared" si="357"/>
        <v>4.9795148637895416E-3</v>
      </c>
      <c r="K350" s="3">
        <f t="shared" si="357"/>
        <v>4.9795148637895373E-3</v>
      </c>
      <c r="L350" s="3">
        <f t="shared" si="357"/>
        <v>4.9795148637894913E-3</v>
      </c>
      <c r="M350" s="3">
        <f t="shared" si="357"/>
        <v>4.9795148637890368E-3</v>
      </c>
      <c r="N350" s="3">
        <f t="shared" si="357"/>
        <v>4.9795148637844814E-3</v>
      </c>
      <c r="O350" s="3">
        <f t="shared" si="357"/>
        <v>4.979514863738938E-3</v>
      </c>
      <c r="P350" s="3">
        <f t="shared" si="357"/>
        <v>4.9795148632834994E-3</v>
      </c>
      <c r="Q350" s="3">
        <f t="shared" si="357"/>
        <v>4.9795148587291078E-3</v>
      </c>
      <c r="R350" s="3">
        <f t="shared" si="357"/>
        <v>4.9795148131851963E-3</v>
      </c>
      <c r="S350" s="3">
        <f t="shared" si="357"/>
        <v>4.979514357746101E-3</v>
      </c>
      <c r="T350" s="3">
        <f t="shared" si="357"/>
        <v>4.9795098033574422E-3</v>
      </c>
      <c r="U350" s="3">
        <f t="shared" si="357"/>
        <v>4.9794642596999589E-3</v>
      </c>
      <c r="V350" s="3">
        <f t="shared" si="357"/>
        <v>4.9790088460348507E-3</v>
      </c>
      <c r="W350" s="3">
        <f t="shared" si="357"/>
        <v>4.9744569995817736E-3</v>
      </c>
      <c r="X350" s="3">
        <f t="shared" si="357"/>
        <v>4.9291667817145945E-3</v>
      </c>
      <c r="Y350" s="3">
        <f t="shared" si="357"/>
        <v>4.4983353914608481E-3</v>
      </c>
      <c r="Z350" s="3">
        <f t="shared" si="357"/>
        <v>1.8023329857778496E-3</v>
      </c>
      <c r="AA350" s="3">
        <f t="shared" si="357"/>
        <v>1.9216178020778403E-7</v>
      </c>
      <c r="AB350" s="3">
        <f t="shared" si="357"/>
        <v>3.6474289148876647E-47</v>
      </c>
      <c r="AC350" s="3">
        <f t="shared" si="357"/>
        <v>0</v>
      </c>
      <c r="AD350" s="3">
        <f t="shared" si="357"/>
        <v>0</v>
      </c>
      <c r="AE350" s="3">
        <f t="shared" si="357"/>
        <v>0</v>
      </c>
      <c r="AF350" s="3">
        <f t="shared" si="357"/>
        <v>0</v>
      </c>
      <c r="AG350" s="3"/>
      <c r="AH350" s="3"/>
    </row>
    <row r="351" spans="2:34" x14ac:dyDescent="0.25">
      <c r="B351" s="3">
        <f t="shared" ref="B351:AF351" si="358">$C42*EXP(-B$363/$A42/EXP(-$G$126))</f>
        <v>1.5203897421204233E-3</v>
      </c>
      <c r="C351" s="3">
        <f t="shared" si="358"/>
        <v>1.5203897421204233E-3</v>
      </c>
      <c r="D351" s="3">
        <f t="shared" si="358"/>
        <v>1.5203897421204233E-3</v>
      </c>
      <c r="E351" s="3">
        <f t="shared" si="358"/>
        <v>1.5203897421204233E-3</v>
      </c>
      <c r="F351" s="3">
        <f t="shared" si="358"/>
        <v>1.5203897421204233E-3</v>
      </c>
      <c r="G351" s="3">
        <f t="shared" si="358"/>
        <v>1.5203897421204233E-3</v>
      </c>
      <c r="H351" s="3">
        <f t="shared" si="358"/>
        <v>1.5203897421204233E-3</v>
      </c>
      <c r="I351" s="3">
        <f t="shared" si="358"/>
        <v>1.5203897421204233E-3</v>
      </c>
      <c r="J351" s="3">
        <f t="shared" si="358"/>
        <v>1.5203897421204233E-3</v>
      </c>
      <c r="K351" s="3">
        <f t="shared" si="358"/>
        <v>1.5203897421204231E-3</v>
      </c>
      <c r="L351" s="3">
        <f t="shared" si="358"/>
        <v>1.5203897421204218E-3</v>
      </c>
      <c r="M351" s="3">
        <f t="shared" si="358"/>
        <v>1.5203897421204077E-3</v>
      </c>
      <c r="N351" s="3">
        <f t="shared" si="358"/>
        <v>1.5203897421202689E-3</v>
      </c>
      <c r="O351" s="3">
        <f t="shared" si="358"/>
        <v>1.5203897421188781E-3</v>
      </c>
      <c r="P351" s="3">
        <f t="shared" si="358"/>
        <v>1.5203897421049723E-3</v>
      </c>
      <c r="Q351" s="3">
        <f t="shared" si="358"/>
        <v>1.5203897419659137E-3</v>
      </c>
      <c r="R351" s="3">
        <f t="shared" si="358"/>
        <v>1.5203897405753264E-3</v>
      </c>
      <c r="S351" s="3">
        <f t="shared" si="358"/>
        <v>1.5203897266694545E-3</v>
      </c>
      <c r="T351" s="3">
        <f t="shared" si="358"/>
        <v>1.5203895876107413E-3</v>
      </c>
      <c r="U351" s="3">
        <f t="shared" si="358"/>
        <v>1.5203881970243113E-3</v>
      </c>
      <c r="V351" s="3">
        <f t="shared" si="358"/>
        <v>1.5203742912299617E-3</v>
      </c>
      <c r="W351" s="3">
        <f t="shared" si="358"/>
        <v>1.5202352402814672E-3</v>
      </c>
      <c r="X351" s="3">
        <f t="shared" si="358"/>
        <v>1.5188454300601362E-3</v>
      </c>
      <c r="Y351" s="3">
        <f t="shared" si="358"/>
        <v>1.5050170181470817E-3</v>
      </c>
      <c r="Z351" s="3">
        <f t="shared" si="358"/>
        <v>1.3734717483280094E-3</v>
      </c>
      <c r="AA351" s="3">
        <f t="shared" si="358"/>
        <v>5.5030432851776155E-4</v>
      </c>
      <c r="AB351" s="3">
        <f t="shared" si="358"/>
        <v>5.8672542897717577E-8</v>
      </c>
      <c r="AC351" s="3">
        <f t="shared" si="358"/>
        <v>1.113665419022035E-47</v>
      </c>
      <c r="AD351" s="3">
        <f t="shared" si="358"/>
        <v>0</v>
      </c>
      <c r="AE351" s="3">
        <f t="shared" si="358"/>
        <v>0</v>
      </c>
      <c r="AF351" s="3">
        <f t="shared" si="358"/>
        <v>0</v>
      </c>
      <c r="AG351" s="3"/>
      <c r="AH351" s="3"/>
    </row>
    <row r="352" spans="2:34" x14ac:dyDescent="0.25">
      <c r="B352" s="3">
        <f t="shared" ref="B352:AF352" si="359">$C43*EXP(-B$363/$A43/EXP(-$G$126))</f>
        <v>3.2547360985645695E-4</v>
      </c>
      <c r="C352" s="3">
        <f t="shared" si="359"/>
        <v>3.2547360985645695E-4</v>
      </c>
      <c r="D352" s="3">
        <f t="shared" si="359"/>
        <v>3.2547360985645695E-4</v>
      </c>
      <c r="E352" s="3">
        <f t="shared" si="359"/>
        <v>3.2547360985645695E-4</v>
      </c>
      <c r="F352" s="3">
        <f t="shared" si="359"/>
        <v>3.2547360985645695E-4</v>
      </c>
      <c r="G352" s="3">
        <f t="shared" si="359"/>
        <v>3.2547360985645695E-4</v>
      </c>
      <c r="H352" s="3">
        <f t="shared" si="359"/>
        <v>3.2547360985645695E-4</v>
      </c>
      <c r="I352" s="3">
        <f t="shared" si="359"/>
        <v>3.2547360985645695E-4</v>
      </c>
      <c r="J352" s="3">
        <f t="shared" si="359"/>
        <v>3.2547360985645695E-4</v>
      </c>
      <c r="K352" s="3">
        <f t="shared" si="359"/>
        <v>3.2547360985645695E-4</v>
      </c>
      <c r="L352" s="3">
        <f t="shared" si="359"/>
        <v>3.254736098564569E-4</v>
      </c>
      <c r="M352" s="3">
        <f t="shared" si="359"/>
        <v>3.2547360985645663E-4</v>
      </c>
      <c r="N352" s="3">
        <f t="shared" si="359"/>
        <v>3.2547360985645365E-4</v>
      </c>
      <c r="O352" s="3">
        <f t="shared" si="359"/>
        <v>3.2547360985642388E-4</v>
      </c>
      <c r="P352" s="3">
        <f t="shared" si="359"/>
        <v>3.2547360985612616E-4</v>
      </c>
      <c r="Q352" s="3">
        <f t="shared" si="359"/>
        <v>3.2547360985314932E-4</v>
      </c>
      <c r="R352" s="3">
        <f t="shared" si="359"/>
        <v>3.2547360982338071E-4</v>
      </c>
      <c r="S352" s="3">
        <f t="shared" si="359"/>
        <v>3.2547360952569425E-4</v>
      </c>
      <c r="T352" s="3">
        <f t="shared" si="359"/>
        <v>3.2547360654882961E-4</v>
      </c>
      <c r="U352" s="3">
        <f t="shared" si="359"/>
        <v>3.2547357678018541E-4</v>
      </c>
      <c r="V352" s="3">
        <f t="shared" si="359"/>
        <v>3.2547327909389308E-4</v>
      </c>
      <c r="W352" s="3">
        <f t="shared" si="359"/>
        <v>3.2547030224594449E-4</v>
      </c>
      <c r="X352" s="3">
        <f t="shared" si="359"/>
        <v>3.2544053526389601E-4</v>
      </c>
      <c r="Y352" s="3">
        <f t="shared" si="359"/>
        <v>3.2514301513651001E-4</v>
      </c>
      <c r="Z352" s="3">
        <f t="shared" si="359"/>
        <v>3.2218273263838763E-4</v>
      </c>
      <c r="AA352" s="3">
        <f t="shared" si="359"/>
        <v>2.94022509873504E-4</v>
      </c>
      <c r="AB352" s="3">
        <f t="shared" si="359"/>
        <v>1.1780501496446099E-4</v>
      </c>
      <c r="AC352" s="3">
        <f t="shared" si="359"/>
        <v>1.2560177043647422E-8</v>
      </c>
      <c r="AD352" s="3">
        <f t="shared" si="359"/>
        <v>2.3840512340992626E-48</v>
      </c>
      <c r="AE352" s="3">
        <f t="shared" si="359"/>
        <v>0</v>
      </c>
      <c r="AF352" s="3">
        <f t="shared" si="359"/>
        <v>0</v>
      </c>
      <c r="AG352" s="3"/>
      <c r="AH352" s="3"/>
    </row>
    <row r="353" spans="1:34" x14ac:dyDescent="0.25">
      <c r="B353" s="3">
        <f t="shared" ref="B353:AF353" si="360">$C44*EXP(-B$363/$A44/EXP(-$G$126))</f>
        <v>3.3657757333866336E-3</v>
      </c>
      <c r="C353" s="3">
        <f t="shared" si="360"/>
        <v>3.3657757333866336E-3</v>
      </c>
      <c r="D353" s="3">
        <f t="shared" si="360"/>
        <v>3.3657757333866336E-3</v>
      </c>
      <c r="E353" s="3">
        <f t="shared" si="360"/>
        <v>3.3657757333866336E-3</v>
      </c>
      <c r="F353" s="3">
        <f t="shared" si="360"/>
        <v>3.3657757333866336E-3</v>
      </c>
      <c r="G353" s="3">
        <f t="shared" si="360"/>
        <v>3.3657757333866336E-3</v>
      </c>
      <c r="H353" s="3">
        <f t="shared" si="360"/>
        <v>3.3657757333866336E-3</v>
      </c>
      <c r="I353" s="3">
        <f t="shared" si="360"/>
        <v>3.3657757333866336E-3</v>
      </c>
      <c r="J353" s="3">
        <f t="shared" si="360"/>
        <v>3.3657757333866336E-3</v>
      </c>
      <c r="K353" s="3">
        <f t="shared" si="360"/>
        <v>3.3657757333866336E-3</v>
      </c>
      <c r="L353" s="3">
        <f t="shared" si="360"/>
        <v>3.3657757333866336E-3</v>
      </c>
      <c r="M353" s="3">
        <f t="shared" si="360"/>
        <v>3.3657757333866332E-3</v>
      </c>
      <c r="N353" s="3">
        <f t="shared" si="360"/>
        <v>3.3657757333866302E-3</v>
      </c>
      <c r="O353" s="3">
        <f t="shared" si="360"/>
        <v>3.3657757333865994E-3</v>
      </c>
      <c r="P353" s="3">
        <f t="shared" si="360"/>
        <v>3.3657757333862919E-3</v>
      </c>
      <c r="Q353" s="3">
        <f t="shared" si="360"/>
        <v>3.3657757333832132E-3</v>
      </c>
      <c r="R353" s="3">
        <f t="shared" si="360"/>
        <v>3.3657757333524288E-3</v>
      </c>
      <c r="S353" s="3">
        <f t="shared" si="360"/>
        <v>3.3657757330445865E-3</v>
      </c>
      <c r="T353" s="3">
        <f t="shared" si="360"/>
        <v>3.3657757299661623E-3</v>
      </c>
      <c r="U353" s="3">
        <f t="shared" si="360"/>
        <v>3.3657756991819195E-3</v>
      </c>
      <c r="V353" s="3">
        <f t="shared" si="360"/>
        <v>3.3657753913395099E-3</v>
      </c>
      <c r="W353" s="3">
        <f t="shared" si="360"/>
        <v>3.3657723129169636E-3</v>
      </c>
      <c r="X353" s="3">
        <f t="shared" si="360"/>
        <v>3.3657415288463541E-3</v>
      </c>
      <c r="Y353" s="3">
        <f t="shared" si="360"/>
        <v>3.3654337036255035E-3</v>
      </c>
      <c r="Z353" s="3">
        <f t="shared" si="360"/>
        <v>3.362356999417775E-3</v>
      </c>
      <c r="AA353" s="3">
        <f t="shared" si="360"/>
        <v>3.3317442348358983E-3</v>
      </c>
      <c r="AB353" s="3">
        <f t="shared" si="360"/>
        <v>3.0405347740424154E-3</v>
      </c>
      <c r="AC353" s="3">
        <f t="shared" si="360"/>
        <v>1.2182408915226708E-3</v>
      </c>
      <c r="AD353" s="3">
        <f t="shared" si="360"/>
        <v>1.2988684126861382E-7</v>
      </c>
      <c r="AE353" s="3">
        <f t="shared" si="360"/>
        <v>2.465386301033944E-47</v>
      </c>
      <c r="AF353" s="3">
        <f t="shared" si="360"/>
        <v>0</v>
      </c>
      <c r="AG353" s="3"/>
      <c r="AH353" s="3"/>
    </row>
    <row r="354" spans="1:34" x14ac:dyDescent="0.25">
      <c r="B354" s="3">
        <f t="shared" ref="B354:AF354" si="361">$C45*EXP(-B$363/$A45/EXP(-$G$126))</f>
        <v>7.1877880972849508E-4</v>
      </c>
      <c r="C354" s="3">
        <f t="shared" si="361"/>
        <v>7.1877880972849508E-4</v>
      </c>
      <c r="D354" s="3">
        <f t="shared" si="361"/>
        <v>7.1877880972849508E-4</v>
      </c>
      <c r="E354" s="3">
        <f t="shared" si="361"/>
        <v>7.1877880972849508E-4</v>
      </c>
      <c r="F354" s="3">
        <f t="shared" si="361"/>
        <v>7.1877880972849508E-4</v>
      </c>
      <c r="G354" s="3">
        <f t="shared" si="361"/>
        <v>7.1877880972849508E-4</v>
      </c>
      <c r="H354" s="3">
        <f t="shared" si="361"/>
        <v>7.1877880972849508E-4</v>
      </c>
      <c r="I354" s="3">
        <f t="shared" si="361"/>
        <v>7.1877880972849508E-4</v>
      </c>
      <c r="J354" s="3">
        <f t="shared" si="361"/>
        <v>7.1877880972849508E-4</v>
      </c>
      <c r="K354" s="3">
        <f t="shared" si="361"/>
        <v>7.1877880972849508E-4</v>
      </c>
      <c r="L354" s="3">
        <f t="shared" si="361"/>
        <v>7.1877880972849508E-4</v>
      </c>
      <c r="M354" s="3">
        <f t="shared" si="361"/>
        <v>7.1877880972849508E-4</v>
      </c>
      <c r="N354" s="3">
        <f t="shared" si="361"/>
        <v>7.1877880972849497E-4</v>
      </c>
      <c r="O354" s="3">
        <f t="shared" si="361"/>
        <v>7.1877880972849432E-4</v>
      </c>
      <c r="P354" s="3">
        <f t="shared" si="361"/>
        <v>7.1877880972848771E-4</v>
      </c>
      <c r="Q354" s="3">
        <f t="shared" si="361"/>
        <v>7.1877880972842211E-4</v>
      </c>
      <c r="R354" s="3">
        <f t="shared" si="361"/>
        <v>7.1877880972776454E-4</v>
      </c>
      <c r="S354" s="3">
        <f t="shared" si="361"/>
        <v>7.1877880972119048E-4</v>
      </c>
      <c r="T354" s="3">
        <f t="shared" si="361"/>
        <v>7.1877880965544913E-4</v>
      </c>
      <c r="U354" s="3">
        <f t="shared" si="361"/>
        <v>7.1877880899803577E-4</v>
      </c>
      <c r="V354" s="3">
        <f t="shared" si="361"/>
        <v>7.1877880242390152E-4</v>
      </c>
      <c r="W354" s="3">
        <f t="shared" si="361"/>
        <v>7.1877873668256336E-4</v>
      </c>
      <c r="X354" s="3">
        <f t="shared" si="361"/>
        <v>7.1877807926951239E-4</v>
      </c>
      <c r="Y354" s="3">
        <f t="shared" si="361"/>
        <v>7.1877150517207268E-4</v>
      </c>
      <c r="Z354" s="3">
        <f t="shared" si="361"/>
        <v>7.1870576750463031E-4</v>
      </c>
      <c r="AA354" s="3">
        <f t="shared" si="361"/>
        <v>7.1804872141377485E-4</v>
      </c>
      <c r="AB354" s="3">
        <f t="shared" si="361"/>
        <v>7.1151120726201653E-4</v>
      </c>
      <c r="AC354" s="3">
        <f t="shared" si="361"/>
        <v>6.493219212871591E-4</v>
      </c>
      <c r="AD354" s="3">
        <f t="shared" si="361"/>
        <v>2.6016164098080708E-4</v>
      </c>
      <c r="AE354" s="3">
        <f t="shared" si="361"/>
        <v>2.7738006498879157E-8</v>
      </c>
      <c r="AF354" s="3">
        <f t="shared" si="361"/>
        <v>5.264959912213362E-48</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6.8174095740770341E-3</v>
      </c>
      <c r="C357" s="3">
        <f t="shared" si="364"/>
        <v>6.8174095740770341E-3</v>
      </c>
      <c r="D357" s="3">
        <f t="shared" si="364"/>
        <v>6.8174095740770341E-3</v>
      </c>
      <c r="E357" s="3">
        <f t="shared" si="364"/>
        <v>6.8174095740770341E-3</v>
      </c>
      <c r="F357" s="3">
        <f t="shared" si="364"/>
        <v>6.8174095740770341E-3</v>
      </c>
      <c r="G357" s="3">
        <f t="shared" si="364"/>
        <v>6.8174095740770341E-3</v>
      </c>
      <c r="H357" s="3">
        <f t="shared" si="364"/>
        <v>6.8174095740770341E-3</v>
      </c>
      <c r="I357" s="3">
        <f t="shared" si="364"/>
        <v>6.8174095740770341E-3</v>
      </c>
      <c r="J357" s="3">
        <f t="shared" si="364"/>
        <v>6.8174095740770341E-3</v>
      </c>
      <c r="K357" s="3">
        <f t="shared" si="364"/>
        <v>6.8174095740770341E-3</v>
      </c>
      <c r="L357" s="3">
        <f t="shared" si="364"/>
        <v>6.8174095740770341E-3</v>
      </c>
      <c r="M357" s="3">
        <f t="shared" si="364"/>
        <v>6.8174095740770341E-3</v>
      </c>
      <c r="N357" s="3">
        <f t="shared" si="364"/>
        <v>6.8174095740770341E-3</v>
      </c>
      <c r="O357" s="3">
        <f t="shared" si="364"/>
        <v>6.8174095740770341E-3</v>
      </c>
      <c r="P357" s="3">
        <f t="shared" si="364"/>
        <v>6.8174095740770341E-3</v>
      </c>
      <c r="Q357" s="3">
        <f t="shared" si="364"/>
        <v>6.8174095740770333E-3</v>
      </c>
      <c r="R357" s="3">
        <f t="shared" si="364"/>
        <v>6.8174095740770272E-3</v>
      </c>
      <c r="S357" s="3">
        <f t="shared" si="364"/>
        <v>6.8174095740769648E-3</v>
      </c>
      <c r="T357" s="3">
        <f t="shared" si="364"/>
        <v>6.817409574076342E-3</v>
      </c>
      <c r="U357" s="3">
        <f t="shared" si="364"/>
        <v>6.8174095740701057E-3</v>
      </c>
      <c r="V357" s="3">
        <f t="shared" si="364"/>
        <v>6.8174095740077519E-3</v>
      </c>
      <c r="W357" s="3">
        <f t="shared" si="364"/>
        <v>6.8174095733842142E-3</v>
      </c>
      <c r="X357" s="3">
        <f t="shared" si="364"/>
        <v>6.8174095671488383E-3</v>
      </c>
      <c r="Y357" s="3">
        <f t="shared" si="364"/>
        <v>6.8174095047950729E-3</v>
      </c>
      <c r="Z357" s="3">
        <f t="shared" si="364"/>
        <v>6.8174088812574529E-3</v>
      </c>
      <c r="AA357" s="3">
        <f t="shared" si="364"/>
        <v>6.8174026458843896E-3</v>
      </c>
      <c r="AB357" s="3">
        <f t="shared" si="364"/>
        <v>6.8173402924674286E-3</v>
      </c>
      <c r="AC357" s="3">
        <f t="shared" si="364"/>
        <v>6.8167167896633204E-3</v>
      </c>
      <c r="AD357" s="3">
        <f t="shared" si="364"/>
        <v>6.8104848971119805E-3</v>
      </c>
      <c r="AE357" s="3">
        <f t="shared" si="364"/>
        <v>6.7484784620785148E-3</v>
      </c>
      <c r="AF357" s="3">
        <f t="shared" si="364"/>
        <v>6.1586310321436319E-3</v>
      </c>
      <c r="AG357" s="3"/>
      <c r="AH357" s="3"/>
    </row>
    <row r="358" spans="1:34" x14ac:dyDescent="0.25">
      <c r="A358" s="79">
        <f>AVERAGE(B358:AF358)</f>
        <v>2.289257060443636E-3</v>
      </c>
      <c r="B358" s="80">
        <f>IF($A$64&lt;=B324,IF($B$64&gt;=B324,ABS((B326-B325)/B325),0),0)</f>
        <v>1.1129474741481139E-2</v>
      </c>
      <c r="C358" s="80">
        <f t="shared" ref="C358:AF358" si="365">IF($A$64&lt;=C324,IF($B$64&gt;=C324,ABS((C326-C325)/C325),0),0)</f>
        <v>1.4714925685055008E-2</v>
      </c>
      <c r="D358" s="80">
        <f t="shared" si="365"/>
        <v>4.4206744937377047E-3</v>
      </c>
      <c r="E358" s="80">
        <f t="shared" si="365"/>
        <v>4.7946604642563456E-4</v>
      </c>
      <c r="F358" s="80">
        <f t="shared" si="365"/>
        <v>4.2940857645133745E-4</v>
      </c>
      <c r="G358" s="80">
        <f t="shared" si="365"/>
        <v>3.7905635740612516E-4</v>
      </c>
      <c r="H358" s="80">
        <f t="shared" si="365"/>
        <v>4.3790099271048881E-4</v>
      </c>
      <c r="I358" s="80">
        <f t="shared" si="365"/>
        <v>3.4304126917933863E-4</v>
      </c>
      <c r="J358" s="80">
        <f t="shared" si="365"/>
        <v>4.2957932149480113E-4</v>
      </c>
      <c r="K358" s="80">
        <f t="shared" si="365"/>
        <v>2.1733908498723951E-4</v>
      </c>
      <c r="L358" s="80">
        <f t="shared" si="365"/>
        <v>6.992479453757491E-4</v>
      </c>
      <c r="M358" s="80">
        <f t="shared" si="365"/>
        <v>6.3874632283038337E-5</v>
      </c>
      <c r="N358" s="80">
        <f t="shared" si="365"/>
        <v>1.0842478735755309E-3</v>
      </c>
      <c r="O358" s="80">
        <f t="shared" si="365"/>
        <v>1.143682555859516E-4</v>
      </c>
      <c r="P358" s="80">
        <f t="shared" si="365"/>
        <v>1.3181881613250673E-3</v>
      </c>
      <c r="Q358" s="80">
        <f t="shared" si="365"/>
        <v>3.0037670797487896E-4</v>
      </c>
      <c r="R358" s="80">
        <f t="shared" si="365"/>
        <v>1.5553795638582866E-3</v>
      </c>
      <c r="S358" s="80">
        <f t="shared" si="365"/>
        <v>1.0709399197711452E-3</v>
      </c>
      <c r="T358" s="80">
        <f t="shared" si="365"/>
        <v>1.961058326699953E-3</v>
      </c>
      <c r="U358" s="80">
        <f t="shared" si="365"/>
        <v>1.7387127091099837E-3</v>
      </c>
      <c r="V358" s="80">
        <f t="shared" si="365"/>
        <v>1.98784302421371E-3</v>
      </c>
      <c r="W358" s="80">
        <f t="shared" si="365"/>
        <v>1.1186596731661946E-3</v>
      </c>
      <c r="X358" s="80">
        <f t="shared" si="365"/>
        <v>1.6959774375171627E-3</v>
      </c>
      <c r="Y358" s="80">
        <f t="shared" si="365"/>
        <v>3.1686130146999213E-4</v>
      </c>
      <c r="Z358" s="80">
        <f t="shared" si="365"/>
        <v>3.9948381294312505E-4</v>
      </c>
      <c r="AA358" s="80">
        <f t="shared" si="365"/>
        <v>3.8356913828071473E-4</v>
      </c>
      <c r="AB358" s="80">
        <f t="shared" si="365"/>
        <v>1.0882406801243363E-3</v>
      </c>
      <c r="AC358" s="80">
        <f t="shared" si="365"/>
        <v>4.1064927990399494E-3</v>
      </c>
      <c r="AD358" s="80">
        <f t="shared" si="365"/>
        <v>4.8112082470040266E-3</v>
      </c>
      <c r="AE358" s="80">
        <f t="shared" si="365"/>
        <v>4.8752368497872031E-3</v>
      </c>
      <c r="AF358" s="80">
        <f t="shared" si="365"/>
        <v>7.2961352457178953E-3</v>
      </c>
    </row>
    <row r="359" spans="1:34" x14ac:dyDescent="0.25">
      <c r="B359" s="21">
        <f>(B326-B325)^2</f>
        <v>9162.9462595515397</v>
      </c>
      <c r="C359" s="21">
        <f t="shared" ref="C359:AF359" si="366">(C326-C325)^2</f>
        <v>14767.942908421741</v>
      </c>
      <c r="D359" s="21">
        <f t="shared" si="366"/>
        <v>1238.9051827748865</v>
      </c>
      <c r="E359" s="21">
        <f t="shared" si="366"/>
        <v>13.609219788454219</v>
      </c>
      <c r="F359" s="21">
        <f t="shared" si="366"/>
        <v>10.075775629503086</v>
      </c>
      <c r="G359" s="21">
        <f t="shared" si="366"/>
        <v>7.1044336452928505</v>
      </c>
      <c r="H359" s="21">
        <f t="shared" si="366"/>
        <v>8.4882364619453892</v>
      </c>
      <c r="I359" s="21">
        <f t="shared" si="366"/>
        <v>4.7082959972997234</v>
      </c>
      <c r="J359" s="21">
        <f t="shared" si="366"/>
        <v>6.7454102777195741</v>
      </c>
      <c r="K359" s="21">
        <f t="shared" si="366"/>
        <v>1.5699659688362841</v>
      </c>
      <c r="L359" s="21">
        <f t="shared" si="366"/>
        <v>14.720732314990636</v>
      </c>
      <c r="M359" s="21">
        <f t="shared" si="366"/>
        <v>0.11079629561774229</v>
      </c>
      <c r="N359" s="21">
        <f t="shared" si="366"/>
        <v>28.502739544182752</v>
      </c>
      <c r="O359" s="21">
        <f t="shared" si="366"/>
        <v>0.27485489234394439</v>
      </c>
      <c r="P359" s="21">
        <f t="shared" si="366"/>
        <v>30.961628223435255</v>
      </c>
      <c r="Q359" s="21">
        <f t="shared" si="366"/>
        <v>1.2959748771951096</v>
      </c>
      <c r="R359" s="21">
        <f t="shared" si="366"/>
        <v>26.088208940970198</v>
      </c>
      <c r="S359" s="21">
        <f t="shared" si="366"/>
        <v>8.4523418491434281</v>
      </c>
      <c r="T359" s="21">
        <f t="shared" si="366"/>
        <v>17.289865123331982</v>
      </c>
      <c r="U359" s="21">
        <f t="shared" si="366"/>
        <v>7.2557907200140699</v>
      </c>
      <c r="V359" s="21">
        <f t="shared" si="366"/>
        <v>4.9131240033189112</v>
      </c>
      <c r="W359" s="21">
        <f t="shared" si="366"/>
        <v>0.84056403046905748</v>
      </c>
      <c r="X359" s="21">
        <f t="shared" si="366"/>
        <v>1.3016621304046558</v>
      </c>
      <c r="Y359" s="21">
        <f t="shared" si="366"/>
        <v>3.5218696879211017E-2</v>
      </c>
      <c r="Z359" s="21">
        <f t="shared" si="366"/>
        <v>4.935613324984256E-2</v>
      </c>
      <c r="AA359" s="21">
        <f t="shared" si="366"/>
        <v>4.1133284982663831E-2</v>
      </c>
      <c r="AB359" s="21">
        <f t="shared" si="366"/>
        <v>0.31721642976950476</v>
      </c>
      <c r="AC359" s="21">
        <f t="shared" si="366"/>
        <v>4.2117986326821288</v>
      </c>
      <c r="AD359" s="21">
        <f t="shared" si="366"/>
        <v>5.310313765768603</v>
      </c>
      <c r="AE359" s="21">
        <f t="shared" si="366"/>
        <v>5.3777729188316998</v>
      </c>
      <c r="AF359" s="21">
        <f t="shared" si="366"/>
        <v>12.033517167733379</v>
      </c>
      <c r="AG359" s="3"/>
      <c r="AH359" s="3"/>
    </row>
    <row r="360" spans="1:34" x14ac:dyDescent="0.25">
      <c r="A360" s="71">
        <f>SUM(B360:AF360)</f>
        <v>25391.480298492541</v>
      </c>
      <c r="B360" s="60">
        <f>IF($A$64&lt;=B324,IF($B$64&gt;=B324,ABS(B359),0),0)</f>
        <v>9162.9462595515397</v>
      </c>
      <c r="C360" s="60">
        <f t="shared" ref="C360:AF360" si="367">IF($A$64&lt;=C324,IF($B$64&gt;=C324,ABS(C359),0),0)</f>
        <v>14767.942908421741</v>
      </c>
      <c r="D360" s="60">
        <f t="shared" si="367"/>
        <v>1238.9051827748865</v>
      </c>
      <c r="E360" s="60">
        <f t="shared" si="367"/>
        <v>13.609219788454219</v>
      </c>
      <c r="F360" s="60">
        <f t="shared" si="367"/>
        <v>10.075775629503086</v>
      </c>
      <c r="G360" s="60">
        <f t="shared" si="367"/>
        <v>7.1044336452928505</v>
      </c>
      <c r="H360" s="60">
        <f t="shared" si="367"/>
        <v>8.4882364619453892</v>
      </c>
      <c r="I360" s="60">
        <f t="shared" si="367"/>
        <v>4.7082959972997234</v>
      </c>
      <c r="J360" s="60">
        <f t="shared" si="367"/>
        <v>6.7454102777195741</v>
      </c>
      <c r="K360" s="60">
        <f t="shared" si="367"/>
        <v>1.5699659688362841</v>
      </c>
      <c r="L360" s="60">
        <f t="shared" si="367"/>
        <v>14.720732314990636</v>
      </c>
      <c r="M360" s="60">
        <f t="shared" si="367"/>
        <v>0.11079629561774229</v>
      </c>
      <c r="N360" s="60">
        <f t="shared" si="367"/>
        <v>28.502739544182752</v>
      </c>
      <c r="O360" s="60">
        <f t="shared" si="367"/>
        <v>0.27485489234394439</v>
      </c>
      <c r="P360" s="60">
        <f t="shared" si="367"/>
        <v>30.961628223435255</v>
      </c>
      <c r="Q360" s="60">
        <f t="shared" si="367"/>
        <v>1.2959748771951096</v>
      </c>
      <c r="R360" s="60">
        <f t="shared" si="367"/>
        <v>26.088208940970198</v>
      </c>
      <c r="S360" s="60">
        <f t="shared" si="367"/>
        <v>8.4523418491434281</v>
      </c>
      <c r="T360" s="60">
        <f t="shared" si="367"/>
        <v>17.289865123331982</v>
      </c>
      <c r="U360" s="60">
        <f t="shared" si="367"/>
        <v>7.2557907200140699</v>
      </c>
      <c r="V360" s="60">
        <f t="shared" si="367"/>
        <v>4.9131240033189112</v>
      </c>
      <c r="W360" s="60">
        <f t="shared" si="367"/>
        <v>0.84056403046905748</v>
      </c>
      <c r="X360" s="60">
        <f t="shared" si="367"/>
        <v>1.3016621304046558</v>
      </c>
      <c r="Y360" s="60">
        <f t="shared" si="367"/>
        <v>3.5218696879211017E-2</v>
      </c>
      <c r="Z360" s="60">
        <f t="shared" si="367"/>
        <v>4.935613324984256E-2</v>
      </c>
      <c r="AA360" s="60">
        <f t="shared" si="367"/>
        <v>4.1133284982663831E-2</v>
      </c>
      <c r="AB360" s="60">
        <f t="shared" si="367"/>
        <v>0.31721642976950476</v>
      </c>
      <c r="AC360" s="60">
        <f t="shared" si="367"/>
        <v>4.2117986326821288</v>
      </c>
      <c r="AD360" s="60">
        <f t="shared" si="367"/>
        <v>5.310313765768603</v>
      </c>
      <c r="AE360" s="60">
        <f t="shared" si="367"/>
        <v>5.3777729188316998</v>
      </c>
      <c r="AF360" s="60">
        <f t="shared" si="367"/>
        <v>12.033517167733379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7819.0017739585828</v>
      </c>
      <c r="C365" s="27">
        <f t="shared" ref="C365:AF365" si="368">($C$17+SUM(C366:C396))*$B$51</f>
        <v>7578.209382188239</v>
      </c>
      <c r="D365" s="27">
        <f t="shared" si="368"/>
        <v>7240.5489235161849</v>
      </c>
      <c r="E365" s="27">
        <f t="shared" si="368"/>
        <v>6866.2363857853234</v>
      </c>
      <c r="F365" s="27">
        <f t="shared" si="368"/>
        <v>6497.2608326204454</v>
      </c>
      <c r="G365" s="27">
        <f t="shared" si="368"/>
        <v>6191.3921036908141</v>
      </c>
      <c r="H365" s="27">
        <f t="shared" si="368"/>
        <v>5916.0834960319817</v>
      </c>
      <c r="I365" s="27">
        <f t="shared" si="368"/>
        <v>5629.5527549348553</v>
      </c>
      <c r="J365" s="27">
        <f t="shared" si="368"/>
        <v>5349.4979580788895</v>
      </c>
      <c r="K365" s="27">
        <f t="shared" si="368"/>
        <v>5073.9237702910996</v>
      </c>
      <c r="L365" s="27">
        <f t="shared" si="368"/>
        <v>4757.3779976404303</v>
      </c>
      <c r="M365" s="27">
        <f t="shared" si="368"/>
        <v>4402.9341282958585</v>
      </c>
      <c r="N365" s="27">
        <f t="shared" si="368"/>
        <v>4013.0151207327435</v>
      </c>
      <c r="O365" s="27">
        <f t="shared" si="368"/>
        <v>3541.6872652375769</v>
      </c>
      <c r="P365" s="27">
        <f t="shared" si="368"/>
        <v>2999.5280009226913</v>
      </c>
      <c r="Q365" s="27">
        <f t="shared" si="368"/>
        <v>2421.9000395807961</v>
      </c>
      <c r="R365" s="27">
        <f t="shared" si="368"/>
        <v>1826.4920180351342</v>
      </c>
      <c r="S365" s="27">
        <f t="shared" si="368"/>
        <v>1331.5743278867374</v>
      </c>
      <c r="T365" s="27">
        <f t="shared" si="368"/>
        <v>958.37963818918706</v>
      </c>
      <c r="U365" s="27">
        <f t="shared" si="368"/>
        <v>760.65706781192523</v>
      </c>
      <c r="V365" s="27">
        <f t="shared" si="368"/>
        <v>612.34862811891117</v>
      </c>
      <c r="W365" s="27">
        <f t="shared" si="368"/>
        <v>577.45885701132352</v>
      </c>
      <c r="X365" s="27">
        <f t="shared" si="368"/>
        <v>537.60336470552943</v>
      </c>
      <c r="Y365" s="27">
        <f t="shared" si="368"/>
        <v>522.56174062003811</v>
      </c>
      <c r="Z365" s="27">
        <f t="shared" si="368"/>
        <v>511.49969510419891</v>
      </c>
      <c r="AA365" s="27">
        <f t="shared" si="368"/>
        <v>485.91603827167353</v>
      </c>
      <c r="AB365" s="27">
        <f t="shared" si="368"/>
        <v>478.86923584573515</v>
      </c>
      <c r="AC365" s="27">
        <f t="shared" si="368"/>
        <v>476.67162994613352</v>
      </c>
      <c r="AD365" s="27">
        <f t="shared" si="368"/>
        <v>460.94692555216835</v>
      </c>
      <c r="AE365" s="27">
        <f t="shared" si="368"/>
        <v>412.87386238937091</v>
      </c>
      <c r="AF365" s="27">
        <f t="shared" si="368"/>
        <v>409.23966323420962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3.0426557699902271E-5</v>
      </c>
      <c r="C367" s="3">
        <f t="shared" si="370"/>
        <v>8.8102032115716764E-35</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8.7266503878781921E-3</v>
      </c>
      <c r="C368" s="3">
        <f t="shared" si="371"/>
        <v>1.8890792108039517E-5</v>
      </c>
      <c r="D368" s="3">
        <f t="shared" si="371"/>
        <v>4.2685078233183247E-32</v>
      </c>
      <c r="E368" s="3">
        <f t="shared" si="371"/>
        <v>1.4809323237695333E-298</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3.0353226141748676E-2</v>
      </c>
      <c r="C369" s="3">
        <f t="shared" si="372"/>
        <v>1.7451630290964037E-2</v>
      </c>
      <c r="D369" s="3">
        <f t="shared" si="372"/>
        <v>6.8888617347688156E-5</v>
      </c>
      <c r="E369" s="3">
        <f t="shared" si="372"/>
        <v>6.3279364685747463E-29</v>
      </c>
      <c r="F369" s="3">
        <f t="shared" si="372"/>
        <v>2.706503113872322E-269</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3.6939016617740773E-2</v>
      </c>
      <c r="C370" s="3">
        <f t="shared" si="373"/>
        <v>3.5140024446929978E-2</v>
      </c>
      <c r="D370" s="3">
        <f t="shared" si="373"/>
        <v>2.132894412900152E-2</v>
      </c>
      <c r="E370" s="3">
        <f t="shared" si="373"/>
        <v>1.4475791850569912E-4</v>
      </c>
      <c r="F370" s="3">
        <f t="shared" si="373"/>
        <v>3.0017330061854217E-26</v>
      </c>
      <c r="G370" s="3">
        <f t="shared" si="373"/>
        <v>4.4123440595227535E-243</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4.0777400326913273E-2</v>
      </c>
      <c r="C371" s="3">
        <f t="shared" si="374"/>
        <v>4.0594156666328068E-2</v>
      </c>
      <c r="D371" s="3">
        <f t="shared" si="374"/>
        <v>3.8806404818615144E-2</v>
      </c>
      <c r="E371" s="3">
        <f t="shared" si="374"/>
        <v>2.4734450882466064E-2</v>
      </c>
      <c r="F371" s="3">
        <f t="shared" si="374"/>
        <v>2.7371015307727723E-4</v>
      </c>
      <c r="G371" s="3">
        <f t="shared" si="374"/>
        <v>7.5366309681403933E-24</v>
      </c>
      <c r="H371" s="3">
        <f t="shared" si="374"/>
        <v>1.8881682052265672E-219</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3.2980767028068146E-2</v>
      </c>
      <c r="C372" s="3">
        <f t="shared" si="375"/>
        <v>3.2967370070430456E-2</v>
      </c>
      <c r="D372" s="3">
        <f t="shared" si="375"/>
        <v>3.28336994348419E-2</v>
      </c>
      <c r="E372" s="3">
        <f t="shared" si="375"/>
        <v>3.1526442612699025E-2</v>
      </c>
      <c r="F372" s="3">
        <f t="shared" si="375"/>
        <v>2.1000346999708298E-2</v>
      </c>
      <c r="G372" s="3">
        <f t="shared" si="375"/>
        <v>3.6119480435734837E-4</v>
      </c>
      <c r="H372" s="3">
        <f t="shared" si="375"/>
        <v>8.1826077182313079E-22</v>
      </c>
      <c r="I372" s="3">
        <f t="shared" si="375"/>
        <v>2.9133596289691011E-198</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2.7372126722129901E-2</v>
      </c>
      <c r="C373" s="3">
        <f t="shared" si="376"/>
        <v>2.7371123537596152E-2</v>
      </c>
      <c r="D373" s="3">
        <f t="shared" si="376"/>
        <v>2.7361093714197687E-2</v>
      </c>
      <c r="E373" s="3">
        <f t="shared" si="376"/>
        <v>2.7260997400194786E-2</v>
      </c>
      <c r="F373" s="3">
        <f t="shared" si="376"/>
        <v>2.627995510443934E-2</v>
      </c>
      <c r="G373" s="3">
        <f t="shared" si="376"/>
        <v>1.8216015828991624E-2</v>
      </c>
      <c r="H373" s="3">
        <f t="shared" si="376"/>
        <v>4.6638132864884168E-4</v>
      </c>
      <c r="I373" s="3">
        <f t="shared" si="376"/>
        <v>5.6444126784826422E-20</v>
      </c>
      <c r="J373" s="3">
        <f t="shared" si="376"/>
        <v>3.8053516203709892E-179</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2.9420743988658855E-2</v>
      </c>
      <c r="C374" s="3">
        <f t="shared" si="377"/>
        <v>2.9420646718467895E-2</v>
      </c>
      <c r="D374" s="3">
        <f t="shared" si="377"/>
        <v>2.9419674034245721E-2</v>
      </c>
      <c r="E374" s="3">
        <f t="shared" si="377"/>
        <v>2.9409948960548743E-2</v>
      </c>
      <c r="F374" s="3">
        <f t="shared" si="377"/>
        <v>2.9312874859903991E-2</v>
      </c>
      <c r="G374" s="3">
        <f t="shared" si="377"/>
        <v>2.8359583306522444E-2</v>
      </c>
      <c r="H374" s="3">
        <f t="shared" si="377"/>
        <v>2.0375776093778931E-2</v>
      </c>
      <c r="I374" s="3">
        <f t="shared" si="377"/>
        <v>7.468911297856144E-4</v>
      </c>
      <c r="J374" s="3">
        <f t="shared" si="377"/>
        <v>3.2710616013265195E-18</v>
      </c>
      <c r="K374" s="3">
        <f t="shared" si="377"/>
        <v>8.4918621411181161E-162</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2.90093590764837E-2</v>
      </c>
      <c r="C375" s="3">
        <f t="shared" si="378"/>
        <v>2.9009350424583618E-2</v>
      </c>
      <c r="D375" s="3">
        <f t="shared" si="378"/>
        <v>2.9009263905724694E-2</v>
      </c>
      <c r="E375" s="3">
        <f t="shared" si="378"/>
        <v>2.900839873132743E-2</v>
      </c>
      <c r="F375" s="3">
        <f t="shared" si="378"/>
        <v>2.8999748406394146E-2</v>
      </c>
      <c r="G375" s="3">
        <f t="shared" si="378"/>
        <v>2.8913386904530231E-2</v>
      </c>
      <c r="H375" s="3">
        <f t="shared" si="378"/>
        <v>2.8063791453456301E-2</v>
      </c>
      <c r="I375" s="3">
        <f t="shared" si="378"/>
        <v>2.0826683186141275E-2</v>
      </c>
      <c r="J375" s="3">
        <f t="shared" si="378"/>
        <v>1.0552558612126912E-3</v>
      </c>
      <c r="K375" s="3">
        <f t="shared" si="378"/>
        <v>1.1768860014610956E-16</v>
      </c>
      <c r="L375" s="3">
        <f t="shared" si="378"/>
        <v>3.5034880310835025E-146</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2.6775000081838123E-2</v>
      </c>
      <c r="C376" s="3">
        <f t="shared" si="379"/>
        <v>2.6774999361478282E-2</v>
      </c>
      <c r="D376" s="3">
        <f t="shared" si="379"/>
        <v>2.6774992157880959E-2</v>
      </c>
      <c r="E376" s="3">
        <f t="shared" si="379"/>
        <v>2.6774920122014316E-2</v>
      </c>
      <c r="F376" s="3">
        <f t="shared" si="379"/>
        <v>2.6774199774007142E-2</v>
      </c>
      <c r="G376" s="3">
        <f t="shared" si="379"/>
        <v>2.6766997359756153E-2</v>
      </c>
      <c r="H376" s="3">
        <f t="shared" si="379"/>
        <v>2.6695079693300039E-2</v>
      </c>
      <c r="I376" s="3">
        <f t="shared" si="379"/>
        <v>2.5986445400418751E-2</v>
      </c>
      <c r="J376" s="3">
        <f t="shared" si="379"/>
        <v>1.9856533804024034E-2</v>
      </c>
      <c r="K376" s="3">
        <f t="shared" si="379"/>
        <v>1.3473147226407728E-3</v>
      </c>
      <c r="L376" s="3">
        <f t="shared" si="379"/>
        <v>2.7869245802293344E-15</v>
      </c>
      <c r="M376" s="3">
        <f t="shared" si="379"/>
        <v>3.9965644482455104E-132</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3.1584912006505463E-2</v>
      </c>
      <c r="C377" s="3">
        <f t="shared" si="380"/>
        <v>3.1584911929849441E-2</v>
      </c>
      <c r="D377" s="3">
        <f t="shared" si="380"/>
        <v>3.158491116328923E-2</v>
      </c>
      <c r="E377" s="3">
        <f t="shared" si="380"/>
        <v>3.1584903497688145E-2</v>
      </c>
      <c r="F377" s="3">
        <f t="shared" si="380"/>
        <v>3.1584826841779566E-2</v>
      </c>
      <c r="G377" s="3">
        <f t="shared" si="380"/>
        <v>3.1584060292926021E-2</v>
      </c>
      <c r="H377" s="3">
        <f t="shared" si="380"/>
        <v>3.1576395827523994E-2</v>
      </c>
      <c r="I377" s="3">
        <f t="shared" si="380"/>
        <v>3.1499853395023779E-2</v>
      </c>
      <c r="J377" s="3">
        <f t="shared" si="380"/>
        <v>3.074456002166159E-2</v>
      </c>
      <c r="K377" s="3">
        <f t="shared" si="380"/>
        <v>2.4119360039955948E-2</v>
      </c>
      <c r="L377" s="3">
        <f t="shared" si="380"/>
        <v>2.12980950928358E-3</v>
      </c>
      <c r="M377" s="3">
        <f t="shared" si="380"/>
        <v>6.138900222964475E-14</v>
      </c>
      <c r="N377" s="3">
        <f t="shared" si="380"/>
        <v>2.4299016981632975E-119</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3.5926752555248756E-2</v>
      </c>
      <c r="C378" s="3">
        <f t="shared" si="381"/>
        <v>3.5926752547383166E-2</v>
      </c>
      <c r="D378" s="3">
        <f t="shared" si="381"/>
        <v>3.5926752468727292E-2</v>
      </c>
      <c r="E378" s="3">
        <f t="shared" si="381"/>
        <v>3.5926751682168565E-2</v>
      </c>
      <c r="F378" s="3">
        <f t="shared" si="381"/>
        <v>3.5926743816582202E-2</v>
      </c>
      <c r="G378" s="3">
        <f t="shared" si="381"/>
        <v>3.592666516081329E-2</v>
      </c>
      <c r="H378" s="3">
        <f t="shared" si="381"/>
        <v>3.5925878612595309E-2</v>
      </c>
      <c r="I378" s="3">
        <f t="shared" si="381"/>
        <v>3.5918014077454791E-2</v>
      </c>
      <c r="J378" s="3">
        <f t="shared" si="381"/>
        <v>3.5839463353300419E-2</v>
      </c>
      <c r="K378" s="3">
        <f t="shared" si="381"/>
        <v>3.506334263031765E-2</v>
      </c>
      <c r="L378" s="3">
        <f t="shared" si="381"/>
        <v>2.816900391859849E-2</v>
      </c>
      <c r="M378" s="3">
        <f t="shared" si="381"/>
        <v>3.1546649233944461E-3</v>
      </c>
      <c r="N378" s="3">
        <f t="shared" si="381"/>
        <v>9.7897297680363271E-13</v>
      </c>
      <c r="O378" s="3">
        <f t="shared" si="381"/>
        <v>8.1085905979216462E-108</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3.8216836337241211E-2</v>
      </c>
      <c r="C379" s="3">
        <f t="shared" si="382"/>
        <v>3.821683633648644E-2</v>
      </c>
      <c r="D379" s="3">
        <f t="shared" si="382"/>
        <v>3.8216836328938741E-2</v>
      </c>
      <c r="E379" s="3">
        <f t="shared" si="382"/>
        <v>3.8216836253461763E-2</v>
      </c>
      <c r="F379" s="3">
        <f t="shared" si="382"/>
        <v>3.8216835498691953E-2</v>
      </c>
      <c r="G379" s="3">
        <f t="shared" si="382"/>
        <v>3.8216827950994729E-2</v>
      </c>
      <c r="H379" s="3">
        <f t="shared" si="382"/>
        <v>3.8216752474104464E-2</v>
      </c>
      <c r="I379" s="3">
        <f t="shared" si="382"/>
        <v>3.8215997713400278E-2</v>
      </c>
      <c r="J379" s="3">
        <f t="shared" si="382"/>
        <v>3.8208450926146754E-2</v>
      </c>
      <c r="K379" s="3">
        <f t="shared" si="382"/>
        <v>3.8133064972572878E-2</v>
      </c>
      <c r="L379" s="3">
        <f t="shared" si="382"/>
        <v>3.7387337786618381E-2</v>
      </c>
      <c r="M379" s="3">
        <f t="shared" si="382"/>
        <v>3.0686886375394434E-2</v>
      </c>
      <c r="N379" s="3">
        <f t="shared" si="382"/>
        <v>4.2582941739893162E-3</v>
      </c>
      <c r="O379" s="3">
        <f t="shared" si="382"/>
        <v>1.1273636067598279E-11</v>
      </c>
      <c r="P379" s="3">
        <f t="shared" si="382"/>
        <v>1.9069860540935244E-97</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4.8113881849420455E-2</v>
      </c>
      <c r="C380" s="3">
        <f t="shared" si="383"/>
        <v>4.8113881849334739E-2</v>
      </c>
      <c r="D380" s="3">
        <f t="shared" si="383"/>
        <v>4.8113881848477549E-2</v>
      </c>
      <c r="E380" s="3">
        <f t="shared" si="383"/>
        <v>4.8113881839905656E-2</v>
      </c>
      <c r="F380" s="3">
        <f t="shared" si="383"/>
        <v>4.8113881754186717E-2</v>
      </c>
      <c r="G380" s="3">
        <f t="shared" si="383"/>
        <v>4.8113880896997356E-2</v>
      </c>
      <c r="H380" s="3">
        <f t="shared" si="383"/>
        <v>4.8113872325104549E-2</v>
      </c>
      <c r="I380" s="3">
        <f t="shared" si="383"/>
        <v>4.811378660626054E-2</v>
      </c>
      <c r="J380" s="3">
        <f t="shared" si="383"/>
        <v>4.8112929426219711E-2</v>
      </c>
      <c r="K380" s="3">
        <f t="shared" si="383"/>
        <v>4.8104358465685192E-2</v>
      </c>
      <c r="L380" s="3">
        <f t="shared" si="383"/>
        <v>4.8018732792384375E-2</v>
      </c>
      <c r="M380" s="3">
        <f t="shared" si="383"/>
        <v>4.7170814199641607E-2</v>
      </c>
      <c r="N380" s="3">
        <f t="shared" si="383"/>
        <v>3.9473001283601594E-2</v>
      </c>
      <c r="O380" s="3">
        <f t="shared" si="383"/>
        <v>6.6461159029248392E-3</v>
      </c>
      <c r="P380" s="3">
        <f t="shared" si="383"/>
        <v>1.2168737732961653E-10</v>
      </c>
      <c r="Q380" s="3">
        <f t="shared" si="383"/>
        <v>5.1525442966890961E-88</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5.6463045562968078E-2</v>
      </c>
      <c r="C381" s="3">
        <f t="shared" si="384"/>
        <v>5.6463045562959002E-2</v>
      </c>
      <c r="D381" s="3">
        <f t="shared" si="384"/>
        <v>5.6463045562868262E-2</v>
      </c>
      <c r="E381" s="3">
        <f t="shared" si="384"/>
        <v>5.6463045561960822E-2</v>
      </c>
      <c r="F381" s="3">
        <f t="shared" si="384"/>
        <v>5.6463045552886434E-2</v>
      </c>
      <c r="G381" s="3">
        <f t="shared" si="384"/>
        <v>5.6463045462142571E-2</v>
      </c>
      <c r="H381" s="3">
        <f t="shared" si="384"/>
        <v>5.6463044554703933E-2</v>
      </c>
      <c r="I381" s="3">
        <f t="shared" si="384"/>
        <v>5.6463035480318342E-2</v>
      </c>
      <c r="J381" s="3">
        <f t="shared" si="384"/>
        <v>5.6462944736542703E-2</v>
      </c>
      <c r="K381" s="3">
        <f t="shared" si="384"/>
        <v>5.6462037306807308E-2</v>
      </c>
      <c r="L381" s="3">
        <f t="shared" si="384"/>
        <v>5.645296381150855E-2</v>
      </c>
      <c r="M381" s="3">
        <f t="shared" si="384"/>
        <v>5.6362309016364361E-2</v>
      </c>
      <c r="N381" s="3">
        <f t="shared" si="384"/>
        <v>5.5463729388356461E-2</v>
      </c>
      <c r="O381" s="3">
        <f t="shared" si="384"/>
        <v>4.7229351626866034E-2</v>
      </c>
      <c r="P381" s="3">
        <f t="shared" si="384"/>
        <v>9.4676269358737655E-3</v>
      </c>
      <c r="Q381" s="3">
        <f t="shared" si="384"/>
        <v>9.9204795655116526E-10</v>
      </c>
      <c r="R381" s="3">
        <f t="shared" si="384"/>
        <v>1.5828799203332283E-79</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5.956920517443072E-2</v>
      </c>
      <c r="C382" s="3">
        <f t="shared" si="385"/>
        <v>5.956920517442986E-2</v>
      </c>
      <c r="D382" s="3">
        <f t="shared" si="385"/>
        <v>5.9569205174421221E-2</v>
      </c>
      <c r="E382" s="3">
        <f t="shared" si="385"/>
        <v>5.9569205174334859E-2</v>
      </c>
      <c r="F382" s="3">
        <f t="shared" si="385"/>
        <v>5.9569205173471244E-2</v>
      </c>
      <c r="G382" s="3">
        <f t="shared" si="385"/>
        <v>5.9569205164835069E-2</v>
      </c>
      <c r="H382" s="3">
        <f t="shared" si="385"/>
        <v>5.9569205078473332E-2</v>
      </c>
      <c r="I382" s="3">
        <f t="shared" si="385"/>
        <v>5.9569204214855974E-2</v>
      </c>
      <c r="J382" s="3">
        <f t="shared" si="385"/>
        <v>5.9569195578683044E-2</v>
      </c>
      <c r="K382" s="3">
        <f t="shared" si="385"/>
        <v>5.9569109217022652E-2</v>
      </c>
      <c r="L382" s="3">
        <f t="shared" si="385"/>
        <v>5.9568245607304907E-2</v>
      </c>
      <c r="M382" s="3">
        <f t="shared" si="385"/>
        <v>5.9559610198712781E-2</v>
      </c>
      <c r="N382" s="3">
        <f t="shared" si="385"/>
        <v>5.9473324934397359E-2</v>
      </c>
      <c r="O382" s="3">
        <f t="shared" si="385"/>
        <v>5.8617317677579356E-2</v>
      </c>
      <c r="P382" s="3">
        <f t="shared" si="385"/>
        <v>5.0706445099863787E-2</v>
      </c>
      <c r="Q382" s="3">
        <f t="shared" si="385"/>
        <v>1.1896943382461347E-2</v>
      </c>
      <c r="R382" s="3">
        <f t="shared" si="385"/>
        <v>6.0139207296510406E-9</v>
      </c>
      <c r="S382" s="3">
        <f t="shared" si="385"/>
        <v>6.5521034305201075E-72</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6.4663842713273342E-2</v>
      </c>
      <c r="C383" s="3">
        <f t="shared" si="386"/>
        <v>6.4663842713273259E-2</v>
      </c>
      <c r="D383" s="3">
        <f t="shared" si="386"/>
        <v>6.4663842713272413E-2</v>
      </c>
      <c r="E383" s="3">
        <f t="shared" si="386"/>
        <v>6.4663842713263961E-2</v>
      </c>
      <c r="F383" s="3">
        <f t="shared" si="386"/>
        <v>6.466384271317939E-2</v>
      </c>
      <c r="G383" s="3">
        <f t="shared" si="386"/>
        <v>6.4663842712333705E-2</v>
      </c>
      <c r="H383" s="3">
        <f t="shared" si="386"/>
        <v>6.4663842703876873E-2</v>
      </c>
      <c r="I383" s="3">
        <f t="shared" si="386"/>
        <v>6.4663842619308562E-2</v>
      </c>
      <c r="J383" s="3">
        <f t="shared" si="386"/>
        <v>6.4663841773625455E-2</v>
      </c>
      <c r="K383" s="3">
        <f t="shared" si="386"/>
        <v>6.46638333167949E-2</v>
      </c>
      <c r="L383" s="3">
        <f t="shared" si="386"/>
        <v>6.4663748748550257E-2</v>
      </c>
      <c r="M383" s="3">
        <f t="shared" si="386"/>
        <v>6.4662903072186792E-2</v>
      </c>
      <c r="N383" s="3">
        <f t="shared" si="386"/>
        <v>6.4654446916817612E-2</v>
      </c>
      <c r="O383" s="3">
        <f t="shared" si="386"/>
        <v>6.4569946160248706E-2</v>
      </c>
      <c r="P383" s="3">
        <f t="shared" si="386"/>
        <v>6.3730988990284509E-2</v>
      </c>
      <c r="Q383" s="3">
        <f t="shared" si="386"/>
        <v>5.5918175808340631E-2</v>
      </c>
      <c r="R383" s="3">
        <f t="shared" si="386"/>
        <v>1.5120855636554529E-2</v>
      </c>
      <c r="S383" s="3">
        <f t="shared" si="386"/>
        <v>3.1608951194362201E-8</v>
      </c>
      <c r="T383" s="3">
        <f t="shared" si="386"/>
        <v>5.0367138054976434E-65</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4.8548005334617741E-2</v>
      </c>
      <c r="C384" s="3">
        <f t="shared" si="387"/>
        <v>4.8548005334617735E-2</v>
      </c>
      <c r="D384" s="3">
        <f t="shared" si="387"/>
        <v>4.8548005334617679E-2</v>
      </c>
      <c r="E384" s="3">
        <f t="shared" si="387"/>
        <v>4.8548005334617103E-2</v>
      </c>
      <c r="F384" s="3">
        <f t="shared" si="387"/>
        <v>4.8548005334611379E-2</v>
      </c>
      <c r="G384" s="3">
        <f t="shared" si="387"/>
        <v>4.8548005334554105E-2</v>
      </c>
      <c r="H384" s="3">
        <f t="shared" si="387"/>
        <v>4.8548005333981355E-2</v>
      </c>
      <c r="I384" s="3">
        <f t="shared" si="387"/>
        <v>4.8548005328253867E-2</v>
      </c>
      <c r="J384" s="3">
        <f t="shared" si="387"/>
        <v>4.8548005270978994E-2</v>
      </c>
      <c r="K384" s="3">
        <f t="shared" si="387"/>
        <v>4.8548004698230271E-2</v>
      </c>
      <c r="L384" s="3">
        <f t="shared" si="387"/>
        <v>4.854799897074337E-2</v>
      </c>
      <c r="M384" s="3">
        <f t="shared" si="387"/>
        <v>4.8547941695911548E-2</v>
      </c>
      <c r="N384" s="3">
        <f t="shared" si="387"/>
        <v>4.854736895130967E-2</v>
      </c>
      <c r="O384" s="3">
        <f t="shared" si="387"/>
        <v>4.8541641876910416E-2</v>
      </c>
      <c r="P384" s="3">
        <f t="shared" si="387"/>
        <v>4.8484408278652448E-2</v>
      </c>
      <c r="Q384" s="3">
        <f t="shared" si="387"/>
        <v>4.7915770706074896E-2</v>
      </c>
      <c r="R384" s="3">
        <f t="shared" si="387"/>
        <v>4.258358894917464E-2</v>
      </c>
      <c r="S384" s="3">
        <f t="shared" si="387"/>
        <v>1.3088205079738138E-2</v>
      </c>
      <c r="T384" s="3">
        <f t="shared" si="387"/>
        <v>9.8459674276857885E-8</v>
      </c>
      <c r="U384" s="3">
        <f t="shared" si="387"/>
        <v>5.7153315373494551E-59</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3.8659494646510029E-2</v>
      </c>
      <c r="C385" s="3">
        <f t="shared" si="388"/>
        <v>3.8659494646510029E-2</v>
      </c>
      <c r="D385" s="3">
        <f t="shared" si="388"/>
        <v>3.8659494646510022E-2</v>
      </c>
      <c r="E385" s="3">
        <f t="shared" si="388"/>
        <v>3.865949464650998E-2</v>
      </c>
      <c r="F385" s="3">
        <f t="shared" si="388"/>
        <v>3.8659494646509571E-2</v>
      </c>
      <c r="G385" s="3">
        <f t="shared" si="388"/>
        <v>3.8659494646505456E-2</v>
      </c>
      <c r="H385" s="3">
        <f t="shared" si="388"/>
        <v>3.8659494646464315E-2</v>
      </c>
      <c r="I385" s="3">
        <f t="shared" si="388"/>
        <v>3.8659494646052887E-2</v>
      </c>
      <c r="J385" s="3">
        <f t="shared" si="388"/>
        <v>3.8659494641938588E-2</v>
      </c>
      <c r="K385" s="3">
        <f t="shared" si="388"/>
        <v>3.8659494600795631E-2</v>
      </c>
      <c r="L385" s="3">
        <f t="shared" si="388"/>
        <v>3.865949418936606E-2</v>
      </c>
      <c r="M385" s="3">
        <f t="shared" si="388"/>
        <v>3.8659490075070566E-2</v>
      </c>
      <c r="N385" s="3">
        <f t="shared" si="388"/>
        <v>3.8659448932139705E-2</v>
      </c>
      <c r="O385" s="3">
        <f t="shared" si="388"/>
        <v>3.8659037505239295E-2</v>
      </c>
      <c r="P385" s="3">
        <f t="shared" si="388"/>
        <v>3.8654923477047486E-2</v>
      </c>
      <c r="Q385" s="3">
        <f t="shared" si="388"/>
        <v>3.8613807266872247E-2</v>
      </c>
      <c r="R385" s="3">
        <f t="shared" si="388"/>
        <v>3.8205042887635092E-2</v>
      </c>
      <c r="S385" s="3">
        <f t="shared" si="388"/>
        <v>3.4347992658161131E-2</v>
      </c>
      <c r="T385" s="3">
        <f t="shared" si="388"/>
        <v>1.1849719222870165E-2</v>
      </c>
      <c r="U385" s="3">
        <f t="shared" si="388"/>
        <v>2.8299257785972113E-7</v>
      </c>
      <c r="V385" s="3">
        <f t="shared" si="388"/>
        <v>1.7078310250862845E-53</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6.6103757573429938E-3</v>
      </c>
      <c r="C386" s="3">
        <f t="shared" si="389"/>
        <v>6.6103757573429938E-3</v>
      </c>
      <c r="D386" s="3">
        <f t="shared" si="389"/>
        <v>6.6103757573429938E-3</v>
      </c>
      <c r="E386" s="3">
        <f t="shared" si="389"/>
        <v>6.6103757573429929E-3</v>
      </c>
      <c r="F386" s="3">
        <f t="shared" si="389"/>
        <v>6.6103757573429869E-3</v>
      </c>
      <c r="G386" s="3">
        <f t="shared" si="389"/>
        <v>6.6103757573429235E-3</v>
      </c>
      <c r="H386" s="3">
        <f t="shared" si="389"/>
        <v>6.6103757573422886E-3</v>
      </c>
      <c r="I386" s="3">
        <f t="shared" si="389"/>
        <v>6.6103757573359422E-3</v>
      </c>
      <c r="J386" s="3">
        <f t="shared" si="389"/>
        <v>6.6103757572724808E-3</v>
      </c>
      <c r="K386" s="3">
        <f t="shared" si="389"/>
        <v>6.6103757566378634E-3</v>
      </c>
      <c r="L386" s="3">
        <f t="shared" si="389"/>
        <v>6.6103757502916881E-3</v>
      </c>
      <c r="M386" s="3">
        <f t="shared" si="389"/>
        <v>6.610375686829934E-3</v>
      </c>
      <c r="N386" s="3">
        <f t="shared" si="389"/>
        <v>6.610375052212427E-3</v>
      </c>
      <c r="O386" s="3">
        <f t="shared" si="389"/>
        <v>6.6103687060407156E-3</v>
      </c>
      <c r="P386" s="3">
        <f t="shared" si="389"/>
        <v>6.6103052446586869E-3</v>
      </c>
      <c r="Q386" s="3">
        <f t="shared" si="389"/>
        <v>6.6096706643460155E-3</v>
      </c>
      <c r="R386" s="3">
        <f t="shared" si="389"/>
        <v>6.6033282107911253E-3</v>
      </c>
      <c r="S386" s="3">
        <f t="shared" si="389"/>
        <v>6.5402374456657838E-3</v>
      </c>
      <c r="T386" s="3">
        <f t="shared" si="389"/>
        <v>5.9415510774864155E-3</v>
      </c>
      <c r="U386" s="3">
        <f t="shared" si="389"/>
        <v>2.2749037481702627E-3</v>
      </c>
      <c r="V386" s="3">
        <f t="shared" si="389"/>
        <v>1.5402631996178862E-7</v>
      </c>
      <c r="W386" s="3">
        <f t="shared" si="389"/>
        <v>3.1182725330772843E-49</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1.6903393193058183E-2</v>
      </c>
      <c r="C387" s="3">
        <f t="shared" si="390"/>
        <v>1.6903393193058183E-2</v>
      </c>
      <c r="D387" s="3">
        <f t="shared" si="390"/>
        <v>1.6903393193058183E-2</v>
      </c>
      <c r="E387" s="3">
        <f t="shared" si="390"/>
        <v>1.6903393193058183E-2</v>
      </c>
      <c r="F387" s="3">
        <f t="shared" si="390"/>
        <v>1.6903393193058176E-2</v>
      </c>
      <c r="G387" s="3">
        <f t="shared" si="390"/>
        <v>1.6903393193058131E-2</v>
      </c>
      <c r="H387" s="3">
        <f t="shared" si="390"/>
        <v>1.6903393193057684E-2</v>
      </c>
      <c r="I387" s="3">
        <f t="shared" si="390"/>
        <v>1.6903393193053198E-2</v>
      </c>
      <c r="J387" s="3">
        <f t="shared" si="390"/>
        <v>1.6903393193008313E-2</v>
      </c>
      <c r="K387" s="3">
        <f t="shared" si="390"/>
        <v>1.6903393192559495E-2</v>
      </c>
      <c r="L387" s="3">
        <f t="shared" si="390"/>
        <v>1.690339318807129E-2</v>
      </c>
      <c r="M387" s="3">
        <f t="shared" si="390"/>
        <v>1.6903393143189241E-2</v>
      </c>
      <c r="N387" s="3">
        <f t="shared" si="390"/>
        <v>1.690339269436875E-2</v>
      </c>
      <c r="O387" s="3">
        <f t="shared" si="390"/>
        <v>1.6903388206164511E-2</v>
      </c>
      <c r="P387" s="3">
        <f t="shared" si="390"/>
        <v>1.690334332418765E-2</v>
      </c>
      <c r="Q387" s="3">
        <f t="shared" si="390"/>
        <v>1.6902894510973411E-2</v>
      </c>
      <c r="R387" s="3">
        <f t="shared" si="390"/>
        <v>1.6898407034201299E-2</v>
      </c>
      <c r="S387" s="3">
        <f t="shared" si="390"/>
        <v>1.6853597739170188E-2</v>
      </c>
      <c r="T387" s="3">
        <f t="shared" si="390"/>
        <v>1.6411988189969487E-2</v>
      </c>
      <c r="U387" s="3">
        <f t="shared" si="390"/>
        <v>1.2584817259200416E-2</v>
      </c>
      <c r="V387" s="3">
        <f t="shared" si="390"/>
        <v>8.8451273962507999E-4</v>
      </c>
      <c r="W387" s="3">
        <f t="shared" si="390"/>
        <v>2.6018118068814333E-15</v>
      </c>
      <c r="X387" s="3">
        <f t="shared" si="390"/>
        <v>1.2618093973575996E-130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1.9810156254800116E-3</v>
      </c>
      <c r="C388" s="3">
        <f t="shared" si="391"/>
        <v>1.9810156254800116E-3</v>
      </c>
      <c r="D388" s="3">
        <f t="shared" si="391"/>
        <v>1.9810156254800116E-3</v>
      </c>
      <c r="E388" s="3">
        <f t="shared" si="391"/>
        <v>1.9810156254800116E-3</v>
      </c>
      <c r="F388" s="3">
        <f t="shared" si="391"/>
        <v>1.9810156254800116E-3</v>
      </c>
      <c r="G388" s="3">
        <f t="shared" si="391"/>
        <v>1.9810156254800107E-3</v>
      </c>
      <c r="H388" s="3">
        <f t="shared" si="391"/>
        <v>1.9810156254800055E-3</v>
      </c>
      <c r="I388" s="3">
        <f t="shared" si="391"/>
        <v>1.981015625479953E-3</v>
      </c>
      <c r="J388" s="3">
        <f t="shared" si="391"/>
        <v>1.9810156254794274E-3</v>
      </c>
      <c r="K388" s="3">
        <f t="shared" si="391"/>
        <v>1.9810156254741673E-3</v>
      </c>
      <c r="L388" s="3">
        <f t="shared" si="391"/>
        <v>1.981015625421567E-3</v>
      </c>
      <c r="M388" s="3">
        <f t="shared" si="391"/>
        <v>1.9810156248955659E-3</v>
      </c>
      <c r="N388" s="3">
        <f t="shared" si="391"/>
        <v>1.9810156196355543E-3</v>
      </c>
      <c r="O388" s="3">
        <f t="shared" si="391"/>
        <v>1.9810155670354408E-3</v>
      </c>
      <c r="P388" s="3">
        <f t="shared" si="391"/>
        <v>1.9810150410343812E-3</v>
      </c>
      <c r="Q388" s="3">
        <f t="shared" si="391"/>
        <v>1.9810097810314667E-3</v>
      </c>
      <c r="R388" s="3">
        <f t="shared" si="391"/>
        <v>1.9809571817704678E-3</v>
      </c>
      <c r="S388" s="3">
        <f t="shared" si="391"/>
        <v>1.9804312659674689E-3</v>
      </c>
      <c r="T388" s="3">
        <f t="shared" si="391"/>
        <v>1.9751797810963821E-3</v>
      </c>
      <c r="U388" s="3">
        <f t="shared" si="391"/>
        <v>1.923424763193406E-3</v>
      </c>
      <c r="V388" s="3">
        <f t="shared" si="391"/>
        <v>1.4748943806457157E-3</v>
      </c>
      <c r="W388" s="3">
        <f t="shared" si="391"/>
        <v>1.036616458080746E-4</v>
      </c>
      <c r="X388" s="3">
        <f t="shared" si="391"/>
        <v>3.0492279183964199E-16</v>
      </c>
      <c r="Y388" s="3">
        <f t="shared" si="391"/>
        <v>1.478794289403073E-131</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4.9795148637895425E-3</v>
      </c>
      <c r="C389" s="3">
        <f t="shared" si="392"/>
        <v>4.9795148637895425E-3</v>
      </c>
      <c r="D389" s="3">
        <f t="shared" si="392"/>
        <v>4.9795148637895425E-3</v>
      </c>
      <c r="E389" s="3">
        <f t="shared" si="392"/>
        <v>4.9795148637895425E-3</v>
      </c>
      <c r="F389" s="3">
        <f t="shared" si="392"/>
        <v>4.9795148637895425E-3</v>
      </c>
      <c r="G389" s="3">
        <f t="shared" si="392"/>
        <v>4.9795148637895425E-3</v>
      </c>
      <c r="H389" s="3">
        <f t="shared" si="392"/>
        <v>4.9795148637895408E-3</v>
      </c>
      <c r="I389" s="3">
        <f t="shared" si="392"/>
        <v>4.9795148637895277E-3</v>
      </c>
      <c r="J389" s="3">
        <f t="shared" si="392"/>
        <v>4.979514863789395E-3</v>
      </c>
      <c r="K389" s="3">
        <f t="shared" si="392"/>
        <v>4.9795148637880732E-3</v>
      </c>
      <c r="L389" s="3">
        <f t="shared" si="392"/>
        <v>4.979514863774852E-3</v>
      </c>
      <c r="M389" s="3">
        <f t="shared" si="392"/>
        <v>4.9795148636426357E-3</v>
      </c>
      <c r="N389" s="3">
        <f t="shared" si="392"/>
        <v>4.9795148623204702E-3</v>
      </c>
      <c r="O389" s="3">
        <f t="shared" si="392"/>
        <v>4.9795148490988147E-3</v>
      </c>
      <c r="P389" s="3">
        <f t="shared" si="392"/>
        <v>4.9795147168822662E-3</v>
      </c>
      <c r="Q389" s="3">
        <f t="shared" si="392"/>
        <v>4.9795133947169784E-3</v>
      </c>
      <c r="R389" s="3">
        <f t="shared" si="392"/>
        <v>4.9795001730834091E-3</v>
      </c>
      <c r="S389" s="3">
        <f t="shared" si="392"/>
        <v>4.9793679586785352E-3</v>
      </c>
      <c r="T389" s="3">
        <f t="shared" si="392"/>
        <v>4.9780460076931663E-3</v>
      </c>
      <c r="U389" s="3">
        <f t="shared" si="392"/>
        <v>4.9648457852233376E-3</v>
      </c>
      <c r="V389" s="3">
        <f t="shared" si="392"/>
        <v>4.834753484279918E-3</v>
      </c>
      <c r="W389" s="3">
        <f t="shared" si="392"/>
        <v>3.7073198194312357E-3</v>
      </c>
      <c r="X389" s="3">
        <f t="shared" si="392"/>
        <v>2.6056569138929421E-4</v>
      </c>
      <c r="Y389" s="3">
        <f t="shared" si="392"/>
        <v>7.6645916102039463E-16</v>
      </c>
      <c r="Z389" s="3">
        <f t="shared" si="392"/>
        <v>3.7171226969930815E-131</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1.5203897421204233E-3</v>
      </c>
      <c r="C390" s="3">
        <f t="shared" si="393"/>
        <v>1.5203897421204233E-3</v>
      </c>
      <c r="D390" s="3">
        <f t="shared" si="393"/>
        <v>1.5203897421204233E-3</v>
      </c>
      <c r="E390" s="3">
        <f t="shared" si="393"/>
        <v>1.5203897421204233E-3</v>
      </c>
      <c r="F390" s="3">
        <f t="shared" si="393"/>
        <v>1.5203897421204233E-3</v>
      </c>
      <c r="G390" s="3">
        <f t="shared" si="393"/>
        <v>1.5203897421204233E-3</v>
      </c>
      <c r="H390" s="3">
        <f t="shared" si="393"/>
        <v>1.5203897421204233E-3</v>
      </c>
      <c r="I390" s="3">
        <f t="shared" si="393"/>
        <v>1.5203897421204229E-3</v>
      </c>
      <c r="J390" s="3">
        <f t="shared" si="393"/>
        <v>1.5203897421204187E-3</v>
      </c>
      <c r="K390" s="3">
        <f t="shared" si="393"/>
        <v>1.5203897421203784E-3</v>
      </c>
      <c r="L390" s="3">
        <f t="shared" si="393"/>
        <v>1.5203897421199749E-3</v>
      </c>
      <c r="M390" s="3">
        <f t="shared" si="393"/>
        <v>1.520389742115938E-3</v>
      </c>
      <c r="N390" s="3">
        <f t="shared" si="393"/>
        <v>1.5203897420755683E-3</v>
      </c>
      <c r="O390" s="3">
        <f t="shared" si="393"/>
        <v>1.520389741671873E-3</v>
      </c>
      <c r="P390" s="3">
        <f t="shared" si="393"/>
        <v>1.5203897376349198E-3</v>
      </c>
      <c r="Q390" s="3">
        <f t="shared" si="393"/>
        <v>1.5203896972653878E-3</v>
      </c>
      <c r="R390" s="3">
        <f t="shared" si="393"/>
        <v>1.5203892935701292E-3</v>
      </c>
      <c r="S390" s="3">
        <f t="shared" si="393"/>
        <v>1.520385256623438E-3</v>
      </c>
      <c r="T390" s="3">
        <f t="shared" si="393"/>
        <v>1.5203448877460614E-3</v>
      </c>
      <c r="U390" s="3">
        <f t="shared" si="393"/>
        <v>1.5199412579201207E-3</v>
      </c>
      <c r="V390" s="3">
        <f t="shared" si="393"/>
        <v>1.5159108486562027E-3</v>
      </c>
      <c r="W390" s="3">
        <f t="shared" si="393"/>
        <v>1.4761899109155541E-3</v>
      </c>
      <c r="X390" s="3">
        <f t="shared" si="393"/>
        <v>1.1319518423795628E-3</v>
      </c>
      <c r="Y390" s="3">
        <f t="shared" si="393"/>
        <v>7.9558233115767737E-5</v>
      </c>
      <c r="Z390" s="3">
        <f t="shared" si="393"/>
        <v>2.3402212425224029E-16</v>
      </c>
      <c r="AA390" s="3">
        <f t="shared" si="393"/>
        <v>1.1349449440964941E-131</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3.2547360985645695E-4</v>
      </c>
      <c r="C391" s="3">
        <f t="shared" si="394"/>
        <v>3.2547360985645695E-4</v>
      </c>
      <c r="D391" s="3">
        <f t="shared" si="394"/>
        <v>3.2547360985645695E-4</v>
      </c>
      <c r="E391" s="3">
        <f t="shared" si="394"/>
        <v>3.2547360985645695E-4</v>
      </c>
      <c r="F391" s="3">
        <f t="shared" si="394"/>
        <v>3.2547360985645695E-4</v>
      </c>
      <c r="G391" s="3">
        <f t="shared" si="394"/>
        <v>3.2547360985645695E-4</v>
      </c>
      <c r="H391" s="3">
        <f t="shared" si="394"/>
        <v>3.2547360985645695E-4</v>
      </c>
      <c r="I391" s="3">
        <f t="shared" si="394"/>
        <v>3.2547360985645695E-4</v>
      </c>
      <c r="J391" s="3">
        <f t="shared" si="394"/>
        <v>3.2547360985645684E-4</v>
      </c>
      <c r="K391" s="3">
        <f t="shared" si="394"/>
        <v>3.2547360985645598E-4</v>
      </c>
      <c r="L391" s="3">
        <f t="shared" si="394"/>
        <v>3.2547360985644736E-4</v>
      </c>
      <c r="M391" s="3">
        <f t="shared" si="394"/>
        <v>3.2547360985636095E-4</v>
      </c>
      <c r="N391" s="3">
        <f t="shared" si="394"/>
        <v>3.2547360985549673E-4</v>
      </c>
      <c r="O391" s="3">
        <f t="shared" si="394"/>
        <v>3.2547360984685472E-4</v>
      </c>
      <c r="P391" s="3">
        <f t="shared" si="394"/>
        <v>3.254736097604347E-4</v>
      </c>
      <c r="Q391" s="3">
        <f t="shared" si="394"/>
        <v>3.2547360889623406E-4</v>
      </c>
      <c r="R391" s="3">
        <f t="shared" si="394"/>
        <v>3.2547360025422806E-4</v>
      </c>
      <c r="S391" s="3">
        <f t="shared" si="394"/>
        <v>3.2547351383418099E-4</v>
      </c>
      <c r="T391" s="3">
        <f t="shared" si="394"/>
        <v>3.2547264963497205E-4</v>
      </c>
      <c r="U391" s="3">
        <f t="shared" si="394"/>
        <v>3.2546400776908618E-4</v>
      </c>
      <c r="V391" s="3">
        <f t="shared" si="394"/>
        <v>3.2537760172933521E-4</v>
      </c>
      <c r="W391" s="3">
        <f t="shared" si="394"/>
        <v>3.2451480200372225E-4</v>
      </c>
      <c r="X391" s="3">
        <f t="shared" si="394"/>
        <v>3.1601164216570456E-4</v>
      </c>
      <c r="Y391" s="3">
        <f t="shared" si="394"/>
        <v>2.4231974349492983E-4</v>
      </c>
      <c r="Z391" s="3">
        <f t="shared" si="394"/>
        <v>1.7031228643964032E-5</v>
      </c>
      <c r="AA391" s="3">
        <f t="shared" si="394"/>
        <v>5.0097697620890695E-17</v>
      </c>
      <c r="AB391" s="3">
        <f t="shared" si="394"/>
        <v>2.4296048421652831E-132</v>
      </c>
      <c r="AC391" s="3">
        <f t="shared" si="394"/>
        <v>0</v>
      </c>
      <c r="AD391" s="3">
        <f t="shared" si="394"/>
        <v>0</v>
      </c>
      <c r="AE391" s="3">
        <f t="shared" si="394"/>
        <v>0</v>
      </c>
      <c r="AF391" s="3">
        <f t="shared" si="394"/>
        <v>0</v>
      </c>
      <c r="AG391" s="3"/>
      <c r="AH391" s="3"/>
    </row>
    <row r="392" spans="1:34" x14ac:dyDescent="0.25">
      <c r="B392" s="3">
        <f t="shared" ref="B392:AF392" si="395">$C44*EXP(-B$363/$A44/EXP(-$H$126))</f>
        <v>3.3657757333866336E-3</v>
      </c>
      <c r="C392" s="3">
        <f t="shared" si="395"/>
        <v>3.3657757333866336E-3</v>
      </c>
      <c r="D392" s="3">
        <f t="shared" si="395"/>
        <v>3.3657757333866336E-3</v>
      </c>
      <c r="E392" s="3">
        <f t="shared" si="395"/>
        <v>3.3657757333866336E-3</v>
      </c>
      <c r="F392" s="3">
        <f t="shared" si="395"/>
        <v>3.3657757333866336E-3</v>
      </c>
      <c r="G392" s="3">
        <f t="shared" si="395"/>
        <v>3.3657757333866336E-3</v>
      </c>
      <c r="H392" s="3">
        <f t="shared" si="395"/>
        <v>3.3657757333866336E-3</v>
      </c>
      <c r="I392" s="3">
        <f t="shared" si="395"/>
        <v>3.3657757333866336E-3</v>
      </c>
      <c r="J392" s="3">
        <f t="shared" si="395"/>
        <v>3.3657757333866336E-3</v>
      </c>
      <c r="K392" s="3">
        <f t="shared" si="395"/>
        <v>3.3657757333866323E-3</v>
      </c>
      <c r="L392" s="3">
        <f t="shared" si="395"/>
        <v>3.3657757333866237E-3</v>
      </c>
      <c r="M392" s="3">
        <f t="shared" si="395"/>
        <v>3.3657757333865343E-3</v>
      </c>
      <c r="N392" s="3">
        <f t="shared" si="395"/>
        <v>3.3657757333856409E-3</v>
      </c>
      <c r="O392" s="3">
        <f t="shared" si="395"/>
        <v>3.3657757333767041E-3</v>
      </c>
      <c r="P392" s="3">
        <f t="shared" si="395"/>
        <v>3.3657757332873355E-3</v>
      </c>
      <c r="Q392" s="3">
        <f t="shared" si="395"/>
        <v>3.3657757323936515E-3</v>
      </c>
      <c r="R392" s="3">
        <f t="shared" si="395"/>
        <v>3.3657757234568119E-3</v>
      </c>
      <c r="S392" s="3">
        <f t="shared" si="395"/>
        <v>3.3657756340884173E-3</v>
      </c>
      <c r="T392" s="3">
        <f t="shared" si="395"/>
        <v>3.365774740404602E-3</v>
      </c>
      <c r="U392" s="3">
        <f t="shared" si="395"/>
        <v>3.3657658035795013E-3</v>
      </c>
      <c r="V392" s="3">
        <f t="shared" si="395"/>
        <v>3.3656764366335832E-3</v>
      </c>
      <c r="W392" s="3">
        <f t="shared" si="395"/>
        <v>3.3647828976706541E-3</v>
      </c>
      <c r="X392" s="3">
        <f t="shared" si="395"/>
        <v>3.3558605448552555E-3</v>
      </c>
      <c r="Y392" s="3">
        <f t="shared" si="395"/>
        <v>3.2679279808217844E-3</v>
      </c>
      <c r="Z392" s="3">
        <f t="shared" si="395"/>
        <v>2.5058680263982335E-3</v>
      </c>
      <c r="AA392" s="3">
        <f t="shared" si="395"/>
        <v>1.7612271577070312E-4</v>
      </c>
      <c r="AB392" s="3">
        <f t="shared" si="395"/>
        <v>5.1806846959205176E-16</v>
      </c>
      <c r="AC392" s="3">
        <f t="shared" si="395"/>
        <v>2.512494030801785E-131</v>
      </c>
      <c r="AD392" s="3">
        <f t="shared" si="395"/>
        <v>0</v>
      </c>
      <c r="AE392" s="3">
        <f t="shared" si="395"/>
        <v>0</v>
      </c>
      <c r="AF392" s="3">
        <f t="shared" si="395"/>
        <v>0</v>
      </c>
      <c r="AG392" s="3"/>
      <c r="AH392" s="3"/>
    </row>
    <row r="393" spans="1:34" x14ac:dyDescent="0.25">
      <c r="B393" s="3">
        <f t="shared" ref="B393:AF393" si="396">$C45*EXP(-B$363/$A45/EXP(-$H$126))</f>
        <v>7.1877880972849508E-4</v>
      </c>
      <c r="C393" s="3">
        <f t="shared" si="396"/>
        <v>7.1877880972849508E-4</v>
      </c>
      <c r="D393" s="3">
        <f t="shared" si="396"/>
        <v>7.1877880972849508E-4</v>
      </c>
      <c r="E393" s="3">
        <f t="shared" si="396"/>
        <v>7.1877880972849508E-4</v>
      </c>
      <c r="F393" s="3">
        <f t="shared" si="396"/>
        <v>7.1877880972849508E-4</v>
      </c>
      <c r="G393" s="3">
        <f t="shared" si="396"/>
        <v>7.1877880972849508E-4</v>
      </c>
      <c r="H393" s="3">
        <f t="shared" si="396"/>
        <v>7.1877880972849508E-4</v>
      </c>
      <c r="I393" s="3">
        <f t="shared" si="396"/>
        <v>7.1877880972849508E-4</v>
      </c>
      <c r="J393" s="3">
        <f t="shared" si="396"/>
        <v>7.1877880972849508E-4</v>
      </c>
      <c r="K393" s="3">
        <f t="shared" si="396"/>
        <v>7.1877880972849508E-4</v>
      </c>
      <c r="L393" s="3">
        <f t="shared" si="396"/>
        <v>7.1877880972849486E-4</v>
      </c>
      <c r="M393" s="3">
        <f t="shared" si="396"/>
        <v>7.1877880972849291E-4</v>
      </c>
      <c r="N393" s="3">
        <f t="shared" si="396"/>
        <v>7.1877880972847383E-4</v>
      </c>
      <c r="O393" s="3">
        <f t="shared" si="396"/>
        <v>7.1877880972828301E-4</v>
      </c>
      <c r="P393" s="3">
        <f t="shared" si="396"/>
        <v>7.1877880972637449E-4</v>
      </c>
      <c r="Q393" s="3">
        <f t="shared" si="396"/>
        <v>7.1877880970728949E-4</v>
      </c>
      <c r="R393" s="3">
        <f t="shared" si="396"/>
        <v>7.1877880951643869E-4</v>
      </c>
      <c r="S393" s="3">
        <f t="shared" si="396"/>
        <v>7.1877880760793029E-4</v>
      </c>
      <c r="T393" s="3">
        <f t="shared" si="396"/>
        <v>7.187787885228476E-4</v>
      </c>
      <c r="U393" s="3">
        <f t="shared" si="396"/>
        <v>7.1877859767204824E-4</v>
      </c>
      <c r="V393" s="3">
        <f t="shared" si="396"/>
        <v>7.1877668916684248E-4</v>
      </c>
      <c r="W393" s="3">
        <f t="shared" si="396"/>
        <v>7.1875760439349325E-4</v>
      </c>
      <c r="X393" s="3">
        <f t="shared" si="396"/>
        <v>7.1856678452815014E-4</v>
      </c>
      <c r="Y393" s="3">
        <f t="shared" si="396"/>
        <v>7.166613699537283E-4</v>
      </c>
      <c r="Z393" s="3">
        <f t="shared" si="396"/>
        <v>6.9788291627203951E-4</v>
      </c>
      <c r="AA393" s="3">
        <f t="shared" si="396"/>
        <v>5.3514107297306123E-4</v>
      </c>
      <c r="AB393" s="3">
        <f t="shared" si="396"/>
        <v>3.7611916549305632E-5</v>
      </c>
      <c r="AC393" s="3">
        <f t="shared" si="396"/>
        <v>1.106362002190068E-16</v>
      </c>
      <c r="AD393" s="3">
        <f t="shared" si="396"/>
        <v>5.3655609047146377E-132</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6.8174095740770341E-3</v>
      </c>
      <c r="C396" s="3">
        <f t="shared" si="399"/>
        <v>6.8174095740770341E-3</v>
      </c>
      <c r="D396" s="3">
        <f t="shared" si="399"/>
        <v>6.8174095740770341E-3</v>
      </c>
      <c r="E396" s="3">
        <f t="shared" si="399"/>
        <v>6.8174095740770341E-3</v>
      </c>
      <c r="F396" s="3">
        <f t="shared" si="399"/>
        <v>6.8174095740770341E-3</v>
      </c>
      <c r="G396" s="3">
        <f t="shared" si="399"/>
        <v>6.8174095740770341E-3</v>
      </c>
      <c r="H396" s="3">
        <f t="shared" si="399"/>
        <v>6.8174095740770341E-3</v>
      </c>
      <c r="I396" s="3">
        <f t="shared" si="399"/>
        <v>6.8174095740770341E-3</v>
      </c>
      <c r="J396" s="3">
        <f t="shared" si="399"/>
        <v>6.8174095740770341E-3</v>
      </c>
      <c r="K396" s="3">
        <f t="shared" si="399"/>
        <v>6.8174095740770341E-3</v>
      </c>
      <c r="L396" s="3">
        <f t="shared" si="399"/>
        <v>6.8174095740770341E-3</v>
      </c>
      <c r="M396" s="3">
        <f t="shared" si="399"/>
        <v>6.8174095740770341E-3</v>
      </c>
      <c r="N396" s="3">
        <f t="shared" si="399"/>
        <v>6.8174095740770341E-3</v>
      </c>
      <c r="O396" s="3">
        <f t="shared" si="399"/>
        <v>6.8174095740770315E-3</v>
      </c>
      <c r="P396" s="3">
        <f t="shared" si="399"/>
        <v>6.8174095740770133E-3</v>
      </c>
      <c r="Q396" s="3">
        <f t="shared" si="399"/>
        <v>6.8174095740768329E-3</v>
      </c>
      <c r="R396" s="3">
        <f t="shared" si="399"/>
        <v>6.8174095740750227E-3</v>
      </c>
      <c r="S396" s="3">
        <f t="shared" si="399"/>
        <v>6.8174095740569218E-3</v>
      </c>
      <c r="T396" s="3">
        <f t="shared" si="399"/>
        <v>6.8174095738759051E-3</v>
      </c>
      <c r="U396" s="3">
        <f t="shared" si="399"/>
        <v>6.8174095720657402E-3</v>
      </c>
      <c r="V396" s="3">
        <f t="shared" si="399"/>
        <v>6.817409553964089E-3</v>
      </c>
      <c r="W396" s="3">
        <f t="shared" si="399"/>
        <v>6.8174093729475877E-3</v>
      </c>
      <c r="X396" s="3">
        <f t="shared" si="399"/>
        <v>6.8174075627828352E-3</v>
      </c>
      <c r="Y396" s="3">
        <f t="shared" si="399"/>
        <v>6.8173894611617434E-3</v>
      </c>
      <c r="Z396" s="3">
        <f t="shared" si="399"/>
        <v>6.8172084475943027E-3</v>
      </c>
      <c r="AA396" s="3">
        <f t="shared" si="399"/>
        <v>6.8153985762412416E-3</v>
      </c>
      <c r="AB396" s="3">
        <f t="shared" si="399"/>
        <v>6.7973262688965719E-3</v>
      </c>
      <c r="AC396" s="3">
        <f t="shared" si="399"/>
        <v>6.6192180550995287E-3</v>
      </c>
      <c r="AD396" s="3">
        <f t="shared" si="399"/>
        <v>5.0756586379424162E-3</v>
      </c>
      <c r="AE396" s="3">
        <f t="shared" si="399"/>
        <v>3.5673817384722129E-4</v>
      </c>
      <c r="AF396" s="3">
        <f t="shared" si="399"/>
        <v>1.0493524299881142E-15</v>
      </c>
      <c r="AG396" s="3"/>
      <c r="AH396" s="3"/>
    </row>
    <row r="397" spans="1:34" x14ac:dyDescent="0.25">
      <c r="A397" s="79">
        <f>AVERAGE(B397:AF397)</f>
        <v>1.6226318113967551E-2</v>
      </c>
      <c r="B397" s="80">
        <f>IF($A$64&lt;=B363,IF($B$64&gt;=B363,ABS((B365-B364)/B364),0),0)</f>
        <v>8.3731015937868868E-3</v>
      </c>
      <c r="C397" s="80">
        <f t="shared" ref="C397:AF397" si="400">IF($A$64&lt;=C363,IF($B$64&gt;=C363,ABS((C365-C364)/C364),0),0)</f>
        <v>5.9741115892056615E-3</v>
      </c>
      <c r="D397" s="80">
        <f t="shared" si="400"/>
        <v>6.8567238763577653E-3</v>
      </c>
      <c r="E397" s="80">
        <f t="shared" si="400"/>
        <v>7.8933677330595524E-3</v>
      </c>
      <c r="F397" s="80">
        <f t="shared" si="400"/>
        <v>7.0192964352957009E-3</v>
      </c>
      <c r="G397" s="80">
        <f t="shared" si="400"/>
        <v>4.1010327926156217E-3</v>
      </c>
      <c r="H397" s="80">
        <f t="shared" si="400"/>
        <v>5.956111688301703E-3</v>
      </c>
      <c r="I397" s="80">
        <f t="shared" si="400"/>
        <v>3.6015335237082114E-3</v>
      </c>
      <c r="J397" s="80">
        <f t="shared" si="400"/>
        <v>4.8784003231536581E-3</v>
      </c>
      <c r="K397" s="80">
        <f t="shared" si="400"/>
        <v>2.4977692499332381E-3</v>
      </c>
      <c r="L397" s="80">
        <f t="shared" si="400"/>
        <v>5.0638470642273272E-3</v>
      </c>
      <c r="M397" s="80">
        <f t="shared" si="400"/>
        <v>2.0828744131596022E-3</v>
      </c>
      <c r="N397" s="80">
        <f t="shared" si="400"/>
        <v>1.7195013107123888E-3</v>
      </c>
      <c r="O397" s="80">
        <f t="shared" si="400"/>
        <v>9.659887768022013E-3</v>
      </c>
      <c r="P397" s="80">
        <f t="shared" si="400"/>
        <v>1.9610991841140585E-2</v>
      </c>
      <c r="Q397" s="80">
        <f t="shared" si="400"/>
        <v>1.9295505318760075E-2</v>
      </c>
      <c r="R397" s="80">
        <f t="shared" si="400"/>
        <v>8.8493888452792855E-3</v>
      </c>
      <c r="S397" s="80">
        <f t="shared" si="400"/>
        <v>2.1076399513254526E-3</v>
      </c>
      <c r="T397" s="80">
        <f t="shared" si="400"/>
        <v>1.0058436518999094E-2</v>
      </c>
      <c r="U397" s="80">
        <f t="shared" si="400"/>
        <v>2.8756219371974721E-2</v>
      </c>
      <c r="V397" s="80">
        <f t="shared" si="400"/>
        <v>1.8904619156964422E-2</v>
      </c>
      <c r="W397" s="80">
        <f t="shared" si="400"/>
        <v>4.5415870730302534E-3</v>
      </c>
      <c r="X397" s="80">
        <f t="shared" si="400"/>
        <v>4.4740150479058906E-3</v>
      </c>
      <c r="Y397" s="80">
        <f t="shared" si="400"/>
        <v>6.7424775725645535E-4</v>
      </c>
      <c r="Z397" s="80">
        <f t="shared" si="400"/>
        <v>1.5276047429288076E-3</v>
      </c>
      <c r="AA397" s="80">
        <f t="shared" si="400"/>
        <v>8.0246497946860628E-4</v>
      </c>
      <c r="AB397" s="80">
        <f t="shared" si="400"/>
        <v>3.5749866639777838E-3</v>
      </c>
      <c r="AC397" s="80">
        <f t="shared" si="400"/>
        <v>9.3589868233565922E-4</v>
      </c>
      <c r="AD397" s="80">
        <f t="shared" si="400"/>
        <v>3.1584382428966308E-2</v>
      </c>
      <c r="AE397" s="80">
        <f t="shared" si="400"/>
        <v>0.13219359342179332</v>
      </c>
      <c r="AF397" s="80">
        <f t="shared" si="400"/>
        <v>0.13944672036934788</v>
      </c>
    </row>
    <row r="398" spans="1:34" x14ac:dyDescent="0.25">
      <c r="B398" s="21">
        <f>(B365-B364)^2</f>
        <v>4358.9184828495754</v>
      </c>
      <c r="C398" s="21">
        <f t="shared" ref="C398:AF398" si="401">(C365-C364)^2</f>
        <v>2025.3787676794075</v>
      </c>
      <c r="D398" s="21">
        <f t="shared" si="401"/>
        <v>2431.313471894844</v>
      </c>
      <c r="E398" s="21">
        <f t="shared" si="401"/>
        <v>2891.5652644241309</v>
      </c>
      <c r="F398" s="21">
        <f t="shared" si="401"/>
        <v>2051.0308183594166</v>
      </c>
      <c r="G398" s="21">
        <f t="shared" si="401"/>
        <v>639.45247750035912</v>
      </c>
      <c r="H398" s="21">
        <f t="shared" si="401"/>
        <v>1226.9763404655009</v>
      </c>
      <c r="I398" s="21">
        <f t="shared" si="401"/>
        <v>408.1314642572371</v>
      </c>
      <c r="J398" s="21">
        <f t="shared" si="401"/>
        <v>674.45643285621566</v>
      </c>
      <c r="K398" s="21">
        <f t="shared" si="401"/>
        <v>159.81799427166945</v>
      </c>
      <c r="L398" s="21">
        <f t="shared" si="401"/>
        <v>574.52532668648587</v>
      </c>
      <c r="M398" s="21">
        <f t="shared" si="401"/>
        <v>83.753558037095175</v>
      </c>
      <c r="N398" s="21">
        <f t="shared" si="401"/>
        <v>47.451982044962314</v>
      </c>
      <c r="O398" s="21">
        <f t="shared" si="401"/>
        <v>1193.4269514096291</v>
      </c>
      <c r="P398" s="21">
        <f t="shared" si="401"/>
        <v>3600.0463487515708</v>
      </c>
      <c r="Q398" s="21">
        <f t="shared" si="401"/>
        <v>2270.6406589708768</v>
      </c>
      <c r="R398" s="21">
        <f t="shared" si="401"/>
        <v>265.9394757162529</v>
      </c>
      <c r="S398" s="21">
        <f t="shared" si="401"/>
        <v>7.8432295411081174</v>
      </c>
      <c r="T398" s="21">
        <f t="shared" si="401"/>
        <v>91.084213785144613</v>
      </c>
      <c r="U398" s="21">
        <f t="shared" si="401"/>
        <v>452.08119105668749</v>
      </c>
      <c r="V398" s="21">
        <f t="shared" si="401"/>
        <v>139.22297245301434</v>
      </c>
      <c r="W398" s="21">
        <f t="shared" si="401"/>
        <v>6.8158738258268485</v>
      </c>
      <c r="X398" s="21">
        <f t="shared" si="401"/>
        <v>5.8373218111941068</v>
      </c>
      <c r="Y398" s="21">
        <f t="shared" si="401"/>
        <v>0.12430828708194867</v>
      </c>
      <c r="Z398" s="21">
        <f t="shared" si="401"/>
        <v>0.61240768179268001</v>
      </c>
      <c r="AA398" s="21">
        <f t="shared" si="401"/>
        <v>0.15229019270791608</v>
      </c>
      <c r="AB398" s="21">
        <f t="shared" si="401"/>
        <v>2.9099335404506608</v>
      </c>
      <c r="AC398" s="21">
        <f t="shared" si="401"/>
        <v>0.19864779565319615</v>
      </c>
      <c r="AD398" s="21">
        <f t="shared" si="401"/>
        <v>226.00760599775506</v>
      </c>
      <c r="AE398" s="21">
        <f t="shared" si="401"/>
        <v>3955.5774513064357</v>
      </c>
      <c r="AF398" s="21">
        <f t="shared" si="401"/>
        <v>4397.6080432764775</v>
      </c>
      <c r="AG398" s="3"/>
      <c r="AH398" s="3"/>
    </row>
    <row r="399" spans="1:34" x14ac:dyDescent="0.25">
      <c r="A399" s="71">
        <f>SUM(B399:AF399)</f>
        <v>34188.901306726562</v>
      </c>
      <c r="B399" s="60">
        <f>IF($A$64&lt;=B363,IF($B$64&gt;=B363,ABS(B398),0),0)</f>
        <v>4358.9184828495754</v>
      </c>
      <c r="C399" s="60">
        <f t="shared" ref="C399" si="402">IF($A$64&lt;=C363,IF($B$64&gt;=C363,ABS(C398),0),0)</f>
        <v>2025.3787676794075</v>
      </c>
      <c r="D399" s="60">
        <f t="shared" ref="D399" si="403">IF($A$64&lt;=D363,IF($B$64&gt;=D363,ABS(D398),0),0)</f>
        <v>2431.313471894844</v>
      </c>
      <c r="E399" s="60">
        <f t="shared" ref="E399" si="404">IF($A$64&lt;=E363,IF($B$64&gt;=E363,ABS(E398),0),0)</f>
        <v>2891.5652644241309</v>
      </c>
      <c r="F399" s="60">
        <f t="shared" ref="F399" si="405">IF($A$64&lt;=F363,IF($B$64&gt;=F363,ABS(F398),0),0)</f>
        <v>2051.0308183594166</v>
      </c>
      <c r="G399" s="60">
        <f t="shared" ref="G399" si="406">IF($A$64&lt;=G363,IF($B$64&gt;=G363,ABS(G398),0),0)</f>
        <v>639.45247750035912</v>
      </c>
      <c r="H399" s="60">
        <f t="shared" ref="H399" si="407">IF($A$64&lt;=H363,IF($B$64&gt;=H363,ABS(H398),0),0)</f>
        <v>1226.9763404655009</v>
      </c>
      <c r="I399" s="60">
        <f t="shared" ref="I399" si="408">IF($A$64&lt;=I363,IF($B$64&gt;=I363,ABS(I398),0),0)</f>
        <v>408.1314642572371</v>
      </c>
      <c r="J399" s="60">
        <f t="shared" ref="J399" si="409">IF($A$64&lt;=J363,IF($B$64&gt;=J363,ABS(J398),0),0)</f>
        <v>674.45643285621566</v>
      </c>
      <c r="K399" s="60">
        <f t="shared" ref="K399" si="410">IF($A$64&lt;=K363,IF($B$64&gt;=K363,ABS(K398),0),0)</f>
        <v>159.81799427166945</v>
      </c>
      <c r="L399" s="60">
        <f t="shared" ref="L399" si="411">IF($A$64&lt;=L363,IF($B$64&gt;=L363,ABS(L398),0),0)</f>
        <v>574.52532668648587</v>
      </c>
      <c r="M399" s="60">
        <f t="shared" ref="M399" si="412">IF($A$64&lt;=M363,IF($B$64&gt;=M363,ABS(M398),0),0)</f>
        <v>83.753558037095175</v>
      </c>
      <c r="N399" s="60">
        <f t="shared" ref="N399" si="413">IF($A$64&lt;=N363,IF($B$64&gt;=N363,ABS(N398),0),0)</f>
        <v>47.451982044962314</v>
      </c>
      <c r="O399" s="60">
        <f t="shared" ref="O399" si="414">IF($A$64&lt;=O363,IF($B$64&gt;=O363,ABS(O398),0),0)</f>
        <v>1193.4269514096291</v>
      </c>
      <c r="P399" s="60">
        <f t="shared" ref="P399" si="415">IF($A$64&lt;=P363,IF($B$64&gt;=P363,ABS(P398),0),0)</f>
        <v>3600.0463487515708</v>
      </c>
      <c r="Q399" s="60">
        <f t="shared" ref="Q399" si="416">IF($A$64&lt;=Q363,IF($B$64&gt;=Q363,ABS(Q398),0),0)</f>
        <v>2270.6406589708768</v>
      </c>
      <c r="R399" s="60">
        <f t="shared" ref="R399" si="417">IF($A$64&lt;=R363,IF($B$64&gt;=R363,ABS(R398),0),0)</f>
        <v>265.9394757162529</v>
      </c>
      <c r="S399" s="60">
        <f t="shared" ref="S399" si="418">IF($A$64&lt;=S363,IF($B$64&gt;=S363,ABS(S398),0),0)</f>
        <v>7.8432295411081174</v>
      </c>
      <c r="T399" s="60">
        <f t="shared" ref="T399" si="419">IF($A$64&lt;=T363,IF($B$64&gt;=T363,ABS(T398),0),0)</f>
        <v>91.084213785144613</v>
      </c>
      <c r="U399" s="60">
        <f t="shared" ref="U399" si="420">IF($A$64&lt;=U363,IF($B$64&gt;=U363,ABS(U398),0),0)</f>
        <v>452.08119105668749</v>
      </c>
      <c r="V399" s="60">
        <f t="shared" ref="V399" si="421">IF($A$64&lt;=V363,IF($B$64&gt;=V363,ABS(V398),0),0)</f>
        <v>139.22297245301434</v>
      </c>
      <c r="W399" s="60">
        <f t="shared" ref="W399" si="422">IF($A$64&lt;=W363,IF($B$64&gt;=W363,ABS(W398),0),0)</f>
        <v>6.8158738258268485</v>
      </c>
      <c r="X399" s="60">
        <f t="shared" ref="X399" si="423">IF($A$64&lt;=X363,IF($B$64&gt;=X363,ABS(X398),0),0)</f>
        <v>5.8373218111941068</v>
      </c>
      <c r="Y399" s="60">
        <f t="shared" ref="Y399" si="424">IF($A$64&lt;=Y363,IF($B$64&gt;=Y363,ABS(Y398),0),0)</f>
        <v>0.12430828708194867</v>
      </c>
      <c r="Z399" s="60">
        <f t="shared" ref="Z399" si="425">IF($A$64&lt;=Z363,IF($B$64&gt;=Z363,ABS(Z398),0),0)</f>
        <v>0.61240768179268001</v>
      </c>
      <c r="AA399" s="60">
        <f t="shared" ref="AA399" si="426">IF($A$64&lt;=AA363,IF($B$64&gt;=AA363,ABS(AA398),0),0)</f>
        <v>0.15229019270791608</v>
      </c>
      <c r="AB399" s="60">
        <f t="shared" ref="AB399" si="427">IF($A$64&lt;=AB363,IF($B$64&gt;=AB363,ABS(AB398),0),0)</f>
        <v>2.9099335404506608</v>
      </c>
      <c r="AC399" s="60">
        <f t="shared" ref="AC399" si="428">IF($A$64&lt;=AC363,IF($B$64&gt;=AC363,ABS(AC398),0),0)</f>
        <v>0.19864779565319615</v>
      </c>
      <c r="AD399" s="60">
        <f t="shared" ref="AD399" si="429">IF($A$64&lt;=AD363,IF($B$64&gt;=AD363,ABS(AD398),0),0)</f>
        <v>226.00760599775506</v>
      </c>
      <c r="AE399" s="60">
        <f t="shared" ref="AE399" si="430">IF($A$64&lt;=AE363,IF($B$64&gt;=AE363,ABS(AE398),0),0)</f>
        <v>3955.5774513064357</v>
      </c>
      <c r="AF399" s="60">
        <f t="shared" ref="AF399" si="431">IF($A$64&lt;=AF363,IF($B$64&gt;=AF363,ABS(AF398),0),0)</f>
        <v>4397.6080432764775</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-17.218692816761287</v>
      </c>
      <c r="C403" s="107">
        <f t="shared" ref="C403:H403" si="432">IF(C125=$B$2,0,C126)</f>
        <v>-14.014764769410721</v>
      </c>
      <c r="D403" s="107">
        <f t="shared" si="432"/>
        <v>-11.583145044127384</v>
      </c>
      <c r="E403" s="107">
        <f t="shared" si="432"/>
        <v>-8.742458487122633</v>
      </c>
      <c r="F403" s="107">
        <f t="shared" si="432"/>
        <v>-5.9392986995543122</v>
      </c>
      <c r="G403" s="107">
        <f t="shared" si="432"/>
        <v>0</v>
      </c>
      <c r="H403" s="107">
        <f t="shared" si="432"/>
        <v>5.6870542497434693</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3.3267236381036455E-23</v>
      </c>
      <c r="C404" s="3">
        <f t="shared" ref="C404:H419" si="433">$A404/EXP(-C$403)</f>
        <v>8.1934158084793669E-22</v>
      </c>
      <c r="D404" s="3">
        <f t="shared" si="433"/>
        <v>9.3218910813287767E-21</v>
      </c>
      <c r="E404" s="3">
        <f t="shared" si="433"/>
        <v>1.5966088078661547E-19</v>
      </c>
      <c r="F404" s="3">
        <f t="shared" si="433"/>
        <v>2.6338761419773076E-18</v>
      </c>
      <c r="G404" s="3">
        <f t="shared" si="433"/>
        <v>1.0000000000000001E-15</v>
      </c>
      <c r="H404" s="3">
        <f t="shared" si="433"/>
        <v>2.9502327447216573E-13</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3.326723638103645E-22</v>
      </c>
      <c r="C405" s="3">
        <f t="shared" si="433"/>
        <v>8.1934158084793662E-21</v>
      </c>
      <c r="D405" s="3">
        <f t="shared" si="433"/>
        <v>9.3218910813287761E-20</v>
      </c>
      <c r="E405" s="3">
        <f t="shared" si="433"/>
        <v>1.5966088078661545E-18</v>
      </c>
      <c r="F405" s="3">
        <f t="shared" si="433"/>
        <v>2.6338761419773074E-17</v>
      </c>
      <c r="G405" s="3">
        <f t="shared" si="433"/>
        <v>1E-14</v>
      </c>
      <c r="H405" s="3">
        <f t="shared" si="433"/>
        <v>2.9502327447216567E-12</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3.3267236381036451E-21</v>
      </c>
      <c r="C406" s="3">
        <f t="shared" si="433"/>
        <v>8.1934158084793659E-20</v>
      </c>
      <c r="D406" s="3">
        <f t="shared" si="433"/>
        <v>9.3218910813287758E-19</v>
      </c>
      <c r="E406" s="3">
        <f t="shared" si="433"/>
        <v>1.5966088078661545E-17</v>
      </c>
      <c r="F406" s="3">
        <f t="shared" si="433"/>
        <v>2.6338761419773074E-16</v>
      </c>
      <c r="G406" s="3">
        <f t="shared" si="433"/>
        <v>1E-13</v>
      </c>
      <c r="H406" s="3">
        <f t="shared" si="433"/>
        <v>2.9502327447216569E-11</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3.3267236381036451E-20</v>
      </c>
      <c r="C407" s="3">
        <f t="shared" si="433"/>
        <v>8.1934158084793656E-19</v>
      </c>
      <c r="D407" s="3">
        <f t="shared" si="433"/>
        <v>9.3218910813287762E-18</v>
      </c>
      <c r="E407" s="3">
        <f t="shared" si="433"/>
        <v>1.5966088078661544E-16</v>
      </c>
      <c r="F407" s="3">
        <f t="shared" si="433"/>
        <v>2.6338761419773075E-15</v>
      </c>
      <c r="G407" s="3">
        <f t="shared" si="433"/>
        <v>9.9999999999999998E-13</v>
      </c>
      <c r="H407" s="3">
        <f t="shared" si="433"/>
        <v>2.950232744721657E-10</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3.3267236381036448E-19</v>
      </c>
      <c r="C408" s="3">
        <f t="shared" si="433"/>
        <v>8.1934158084793662E-18</v>
      </c>
      <c r="D408" s="3">
        <f t="shared" si="433"/>
        <v>9.321891081328775E-17</v>
      </c>
      <c r="E408" s="3">
        <f t="shared" si="433"/>
        <v>1.5966088078661545E-15</v>
      </c>
      <c r="F408" s="3">
        <f t="shared" si="433"/>
        <v>2.6338761419773073E-14</v>
      </c>
      <c r="G408" s="3">
        <f t="shared" si="433"/>
        <v>9.9999999999999994E-12</v>
      </c>
      <c r="H408" s="3">
        <f t="shared" si="433"/>
        <v>2.9502327447216568E-9</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3.3267236381036452E-18</v>
      </c>
      <c r="C409" s="3">
        <f t="shared" si="433"/>
        <v>8.1934158084793668E-17</v>
      </c>
      <c r="D409" s="3">
        <f t="shared" si="433"/>
        <v>9.3218910813287769E-16</v>
      </c>
      <c r="E409" s="3">
        <f t="shared" si="433"/>
        <v>1.5966088078661547E-14</v>
      </c>
      <c r="F409" s="3">
        <f t="shared" si="433"/>
        <v>2.6338761419773074E-13</v>
      </c>
      <c r="G409" s="3">
        <f t="shared" si="433"/>
        <v>1E-10</v>
      </c>
      <c r="H409" s="3">
        <f t="shared" si="433"/>
        <v>2.9502327447216571E-8</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3.3267236381036453E-17</v>
      </c>
      <c r="C410" s="3">
        <f t="shared" si="433"/>
        <v>8.1934158084793666E-16</v>
      </c>
      <c r="D410" s="3">
        <f t="shared" si="433"/>
        <v>9.3218910813287765E-15</v>
      </c>
      <c r="E410" s="3">
        <f t="shared" si="433"/>
        <v>1.5966088078661546E-13</v>
      </c>
      <c r="F410" s="3">
        <f t="shared" si="433"/>
        <v>2.6338761419773076E-12</v>
      </c>
      <c r="G410" s="3">
        <f t="shared" si="433"/>
        <v>1.0000000000000001E-9</v>
      </c>
      <c r="H410" s="3">
        <f t="shared" si="433"/>
        <v>2.9502327447216573E-7</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3.3267236381036453E-16</v>
      </c>
      <c r="C411" s="3">
        <f t="shared" si="433"/>
        <v>8.1934158084793662E-15</v>
      </c>
      <c r="D411" s="3">
        <f t="shared" si="433"/>
        <v>9.3218910813287762E-14</v>
      </c>
      <c r="E411" s="3">
        <f t="shared" si="433"/>
        <v>1.5966088078661545E-12</v>
      </c>
      <c r="F411" s="3">
        <f t="shared" si="433"/>
        <v>2.6338761419773076E-11</v>
      </c>
      <c r="G411" s="3">
        <f t="shared" si="433"/>
        <v>1E-8</v>
      </c>
      <c r="H411" s="3">
        <f t="shared" si="433"/>
        <v>2.9502327447216567E-6</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3.3267236381036449E-15</v>
      </c>
      <c r="C412" s="3">
        <f t="shared" si="433"/>
        <v>8.1934158084793655E-14</v>
      </c>
      <c r="D412" s="3">
        <f t="shared" si="433"/>
        <v>9.3218910813287752E-13</v>
      </c>
      <c r="E412" s="3">
        <f t="shared" si="433"/>
        <v>1.5966088078661543E-11</v>
      </c>
      <c r="F412" s="3">
        <f t="shared" si="433"/>
        <v>2.6338761419773074E-10</v>
      </c>
      <c r="G412" s="3">
        <f t="shared" si="433"/>
        <v>9.9999999999999995E-8</v>
      </c>
      <c r="H412" s="3">
        <f t="shared" si="433"/>
        <v>2.9502327447216568E-5</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3.3267236381036452E-14</v>
      </c>
      <c r="C413" s="3">
        <f t="shared" si="433"/>
        <v>8.1934158084793653E-13</v>
      </c>
      <c r="D413" s="3">
        <f t="shared" si="433"/>
        <v>9.3218910813287752E-12</v>
      </c>
      <c r="E413" s="3">
        <f t="shared" si="433"/>
        <v>1.5966088078661545E-10</v>
      </c>
      <c r="F413" s="3">
        <f t="shared" si="433"/>
        <v>2.6338761419773072E-9</v>
      </c>
      <c r="G413" s="3">
        <f t="shared" si="433"/>
        <v>9.9999999999999995E-7</v>
      </c>
      <c r="H413" s="3">
        <f t="shared" si="433"/>
        <v>2.950232744721657E-4</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3.3267236381036454E-13</v>
      </c>
      <c r="C414" s="3">
        <f t="shared" si="433"/>
        <v>8.1934158084793659E-12</v>
      </c>
      <c r="D414" s="3">
        <f t="shared" si="433"/>
        <v>9.3218910813287759E-11</v>
      </c>
      <c r="E414" s="3">
        <f t="shared" si="433"/>
        <v>1.5966088078661546E-9</v>
      </c>
      <c r="F414" s="3">
        <f t="shared" si="433"/>
        <v>2.6338761419773076E-8</v>
      </c>
      <c r="G414" s="3">
        <f t="shared" si="433"/>
        <v>1.0000000000000001E-5</v>
      </c>
      <c r="H414" s="3">
        <f t="shared" si="433"/>
        <v>2.9502327447216573E-3</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3.326723638103645E-12</v>
      </c>
      <c r="C415" s="3">
        <f t="shared" si="433"/>
        <v>8.1934158084793669E-11</v>
      </c>
      <c r="D415" s="3">
        <f t="shared" si="433"/>
        <v>9.3218910813287761E-10</v>
      </c>
      <c r="E415" s="3">
        <f t="shared" si="433"/>
        <v>1.5966088078661545E-8</v>
      </c>
      <c r="F415" s="3">
        <f t="shared" si="433"/>
        <v>2.6338761419773074E-7</v>
      </c>
      <c r="G415" s="3">
        <f t="shared" si="433"/>
        <v>1E-4</v>
      </c>
      <c r="H415" s="3">
        <f t="shared" si="433"/>
        <v>2.9502327447216571E-2</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3.3267236381036451E-11</v>
      </c>
      <c r="C416" s="3">
        <f t="shared" si="433"/>
        <v>8.1934158084793663E-10</v>
      </c>
      <c r="D416" s="3">
        <f t="shared" si="433"/>
        <v>9.3218910813287757E-9</v>
      </c>
      <c r="E416" s="3">
        <f t="shared" si="433"/>
        <v>1.5966088078661544E-7</v>
      </c>
      <c r="F416" s="3">
        <f t="shared" si="433"/>
        <v>2.6338761419773075E-6</v>
      </c>
      <c r="G416" s="3">
        <f t="shared" si="433"/>
        <v>1E-3</v>
      </c>
      <c r="H416" s="3">
        <f t="shared" si="433"/>
        <v>0.2950232744721657</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3.326723638103645E-10</v>
      </c>
      <c r="C417" s="3">
        <f t="shared" si="433"/>
        <v>8.1934158084793668E-9</v>
      </c>
      <c r="D417" s="3">
        <f t="shared" si="433"/>
        <v>9.3218910813287764E-8</v>
      </c>
      <c r="E417" s="3">
        <f t="shared" si="433"/>
        <v>1.5966088078661545E-6</v>
      </c>
      <c r="F417" s="3">
        <f t="shared" si="433"/>
        <v>2.6338761419773075E-5</v>
      </c>
      <c r="G417" s="3">
        <f t="shared" si="433"/>
        <v>0.01</v>
      </c>
      <c r="H417" s="3">
        <f t="shared" si="433"/>
        <v>2.950232744721657</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3.3267236381036454E-9</v>
      </c>
      <c r="C418" s="3">
        <f t="shared" si="433"/>
        <v>8.1934158084793664E-8</v>
      </c>
      <c r="D418" s="3">
        <f t="shared" si="433"/>
        <v>9.3218910813287758E-7</v>
      </c>
      <c r="E418" s="3">
        <f t="shared" si="433"/>
        <v>1.5966088078661544E-5</v>
      </c>
      <c r="F418" s="3">
        <f t="shared" si="433"/>
        <v>2.6338761419773078E-4</v>
      </c>
      <c r="G418" s="3">
        <f t="shared" si="433"/>
        <v>0.1</v>
      </c>
      <c r="H418" s="3">
        <f t="shared" si="433"/>
        <v>29.502327447216569</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3.3267236381036453E-8</v>
      </c>
      <c r="C419" s="3">
        <f t="shared" si="433"/>
        <v>8.1934158084793662E-7</v>
      </c>
      <c r="D419" s="3">
        <f t="shared" si="433"/>
        <v>9.3218910813287765E-6</v>
      </c>
      <c r="E419" s="3">
        <f t="shared" si="433"/>
        <v>1.5966088078661546E-4</v>
      </c>
      <c r="F419" s="3">
        <f t="shared" si="433"/>
        <v>2.6338761419773074E-3</v>
      </c>
      <c r="G419" s="3">
        <f t="shared" si="433"/>
        <v>1</v>
      </c>
      <c r="H419" s="3">
        <f t="shared" si="433"/>
        <v>295.02327447216567</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3.3267236381036449E-7</v>
      </c>
      <c r="C420" s="3">
        <f t="shared" si="434"/>
        <v>8.1934158084793664E-6</v>
      </c>
      <c r="D420" s="3">
        <f t="shared" si="434"/>
        <v>9.3218910813287761E-5</v>
      </c>
      <c r="E420" s="3">
        <f t="shared" si="434"/>
        <v>1.5966088078661544E-3</v>
      </c>
      <c r="F420" s="3">
        <f t="shared" si="434"/>
        <v>2.6338761419773073E-2</v>
      </c>
      <c r="G420" s="3">
        <f t="shared" si="434"/>
        <v>10</v>
      </c>
      <c r="H420" s="3">
        <f t="shared" si="434"/>
        <v>2950.2327447216567</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3.3267236381036449E-6</v>
      </c>
      <c r="C421" s="3">
        <f t="shared" si="434"/>
        <v>8.193415808479366E-5</v>
      </c>
      <c r="D421" s="3">
        <f t="shared" si="434"/>
        <v>9.3218910813287759E-4</v>
      </c>
      <c r="E421" s="3">
        <f t="shared" si="434"/>
        <v>1.5966088078661546E-2</v>
      </c>
      <c r="F421" s="3">
        <f t="shared" si="434"/>
        <v>0.26338761419773077</v>
      </c>
      <c r="G421" s="3">
        <f t="shared" si="434"/>
        <v>100</v>
      </c>
      <c r="H421" s="3">
        <f t="shared" si="434"/>
        <v>29502.327447216569</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3.3267236381036447E-5</v>
      </c>
      <c r="C422" s="3">
        <f t="shared" si="434"/>
        <v>8.193415808479366E-4</v>
      </c>
      <c r="D422" s="3">
        <f t="shared" si="434"/>
        <v>9.3218910813287759E-3</v>
      </c>
      <c r="E422" s="3">
        <f t="shared" si="434"/>
        <v>0.15966088078661544</v>
      </c>
      <c r="F422" s="3">
        <f t="shared" si="434"/>
        <v>2.6338761419773076</v>
      </c>
      <c r="G422" s="3">
        <f t="shared" si="434"/>
        <v>1000</v>
      </c>
      <c r="H422" s="3">
        <f t="shared" si="434"/>
        <v>295023.27447216568</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3.3267236381036449E-4</v>
      </c>
      <c r="C423" s="3">
        <f t="shared" si="434"/>
        <v>8.1934158084793658E-3</v>
      </c>
      <c r="D423" s="3">
        <f t="shared" si="434"/>
        <v>9.3218910813287759E-2</v>
      </c>
      <c r="E423" s="3">
        <f t="shared" si="434"/>
        <v>1.5966088078661544</v>
      </c>
      <c r="F423" s="3">
        <f t="shared" si="434"/>
        <v>26.338761419773075</v>
      </c>
      <c r="G423" s="3">
        <f t="shared" si="434"/>
        <v>10000</v>
      </c>
      <c r="H423" s="3">
        <f t="shared" si="434"/>
        <v>2950232.7447216567</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3.3267236381036452E-3</v>
      </c>
      <c r="C424" s="3">
        <f t="shared" si="434"/>
        <v>8.1934158084793665E-2</v>
      </c>
      <c r="D424" s="3">
        <f t="shared" si="434"/>
        <v>0.93218910813287759</v>
      </c>
      <c r="E424" s="3">
        <f t="shared" si="434"/>
        <v>15.966088078661546</v>
      </c>
      <c r="F424" s="3">
        <f t="shared" si="434"/>
        <v>263.38761419773073</v>
      </c>
      <c r="G424" s="3">
        <f t="shared" si="434"/>
        <v>100000</v>
      </c>
      <c r="H424" s="3">
        <f t="shared" si="434"/>
        <v>29502327.44721657</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3.3267236381036451E-2</v>
      </c>
      <c r="C425" s="3">
        <f t="shared" si="434"/>
        <v>0.81934158084793662</v>
      </c>
      <c r="D425" s="3">
        <f t="shared" si="434"/>
        <v>9.3218910813287756</v>
      </c>
      <c r="E425" s="3">
        <f t="shared" si="434"/>
        <v>159.66088078661545</v>
      </c>
      <c r="F425" s="3">
        <f t="shared" si="434"/>
        <v>2633.8761419773073</v>
      </c>
      <c r="G425" s="3">
        <f t="shared" si="434"/>
        <v>1000000</v>
      </c>
      <c r="H425" s="3">
        <f t="shared" si="434"/>
        <v>295023274.4721657</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0.33267236381036452</v>
      </c>
      <c r="C426" s="3">
        <f t="shared" si="434"/>
        <v>8.1934158084793669</v>
      </c>
      <c r="D426" s="3">
        <f t="shared" si="434"/>
        <v>93.218910813287764</v>
      </c>
      <c r="E426" s="3">
        <f t="shared" si="434"/>
        <v>1596.6088078661544</v>
      </c>
      <c r="F426" s="3">
        <f t="shared" si="434"/>
        <v>26338.761419773073</v>
      </c>
      <c r="G426" s="3">
        <f t="shared" si="434"/>
        <v>10000000</v>
      </c>
      <c r="H426" s="3">
        <f t="shared" si="434"/>
        <v>2950232744.7216568</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3.3267236381036449</v>
      </c>
      <c r="C427" s="3">
        <f t="shared" si="434"/>
        <v>81.934158084793665</v>
      </c>
      <c r="D427" s="3">
        <f t="shared" si="434"/>
        <v>932.18910813287755</v>
      </c>
      <c r="E427" s="3">
        <f t="shared" si="434"/>
        <v>15966.088078661545</v>
      </c>
      <c r="F427" s="3">
        <f t="shared" si="434"/>
        <v>263387.61419773073</v>
      </c>
      <c r="G427" s="3">
        <f t="shared" si="434"/>
        <v>100000000</v>
      </c>
      <c r="H427" s="3">
        <f t="shared" si="434"/>
        <v>29502327447.216568</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33.267236381036447</v>
      </c>
      <c r="C428" s="3">
        <f t="shared" si="434"/>
        <v>819.3415808479366</v>
      </c>
      <c r="D428" s="3">
        <f t="shared" si="434"/>
        <v>9321.8910813287748</v>
      </c>
      <c r="E428" s="3">
        <f t="shared" si="434"/>
        <v>159660.88078661545</v>
      </c>
      <c r="F428" s="3">
        <f t="shared" si="434"/>
        <v>2633876.1419773074</v>
      </c>
      <c r="G428" s="3">
        <f t="shared" si="434"/>
        <v>1000000000</v>
      </c>
      <c r="H428" s="3">
        <f t="shared" si="434"/>
        <v>295023274472.16571</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332.67236381036452</v>
      </c>
      <c r="C429" s="3">
        <f t="shared" si="434"/>
        <v>8193.4158084793653</v>
      </c>
      <c r="D429" s="3">
        <f t="shared" si="434"/>
        <v>93218.910813287759</v>
      </c>
      <c r="E429" s="3">
        <f t="shared" si="434"/>
        <v>1596608.8078661545</v>
      </c>
      <c r="F429" s="3">
        <f t="shared" si="434"/>
        <v>26338761.419773076</v>
      </c>
      <c r="G429" s="3">
        <f t="shared" si="434"/>
        <v>10000000000</v>
      </c>
      <c r="H429" s="3">
        <f t="shared" si="434"/>
        <v>2950232744721.6567</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3326.723638103645</v>
      </c>
      <c r="C430" s="3">
        <f t="shared" si="434"/>
        <v>81934.158084793657</v>
      </c>
      <c r="D430" s="3">
        <f t="shared" si="434"/>
        <v>932189.10813287762</v>
      </c>
      <c r="E430" s="3">
        <f t="shared" si="434"/>
        <v>15966088.078661544</v>
      </c>
      <c r="F430" s="3">
        <f t="shared" si="434"/>
        <v>263387614.19773075</v>
      </c>
      <c r="G430" s="3">
        <f t="shared" si="434"/>
        <v>100000000000</v>
      </c>
      <c r="H430" s="3">
        <f t="shared" si="434"/>
        <v>29502327447216.57</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33267.236381036448</v>
      </c>
      <c r="C431" s="3">
        <f t="shared" si="434"/>
        <v>819341.58084793657</v>
      </c>
      <c r="D431" s="3">
        <f t="shared" si="434"/>
        <v>9321891.0813287757</v>
      </c>
      <c r="E431" s="3">
        <f t="shared" si="434"/>
        <v>159660880.78661546</v>
      </c>
      <c r="F431" s="3">
        <f t="shared" si="434"/>
        <v>2633876141.9773073</v>
      </c>
      <c r="G431" s="3">
        <f t="shared" si="434"/>
        <v>1000000000000</v>
      </c>
      <c r="H431" s="3">
        <f t="shared" si="434"/>
        <v>295023274472165.69</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332672.36381036451</v>
      </c>
      <c r="C432" s="3">
        <f t="shared" si="434"/>
        <v>8193415.8084793659</v>
      </c>
      <c r="D432" s="3">
        <f t="shared" si="434"/>
        <v>93218910.81328775</v>
      </c>
      <c r="E432" s="3">
        <f t="shared" si="434"/>
        <v>1596608807.8661544</v>
      </c>
      <c r="F432" s="3">
        <f t="shared" si="434"/>
        <v>26338761419.773075</v>
      </c>
      <c r="G432" s="3">
        <f t="shared" si="434"/>
        <v>10000000000000</v>
      </c>
      <c r="H432" s="3">
        <f t="shared" si="434"/>
        <v>2950232744721657</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3326723.6381036448</v>
      </c>
      <c r="C433" s="3">
        <f t="shared" si="434"/>
        <v>81934158.084793657</v>
      </c>
      <c r="D433" s="3">
        <f t="shared" si="434"/>
        <v>932189108.13287759</v>
      </c>
      <c r="E433" s="3">
        <f t="shared" si="434"/>
        <v>15966088078.661545</v>
      </c>
      <c r="F433" s="3">
        <f t="shared" si="434"/>
        <v>263387614197.73074</v>
      </c>
      <c r="G433" s="3">
        <f t="shared" si="434"/>
        <v>100000000000000</v>
      </c>
      <c r="H433" s="3">
        <f t="shared" si="434"/>
        <v>2.9502327447216568E+16</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33267236.381036449</v>
      </c>
      <c r="C434" s="3">
        <f t="shared" si="434"/>
        <v>819341580.84793663</v>
      </c>
      <c r="D434" s="3">
        <f t="shared" si="434"/>
        <v>9321891081.3287754</v>
      </c>
      <c r="E434" s="3">
        <f t="shared" si="434"/>
        <v>159660880786.61545</v>
      </c>
      <c r="F434" s="3">
        <f t="shared" si="434"/>
        <v>2633876141977.3076</v>
      </c>
      <c r="G434" s="3">
        <f t="shared" si="434"/>
        <v>1000000000000000</v>
      </c>
      <c r="H434" s="3">
        <f t="shared" si="434"/>
        <v>2.950232744721657E+17</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-17.218692816761287</v>
      </c>
      <c r="M1" s="54">
        <v>1</v>
      </c>
      <c r="N1" s="56">
        <f>INDEX($H$217:$P$217,1,Q1)</f>
        <v>0.15905318561339743</v>
      </c>
      <c r="O1" s="11"/>
      <c r="P1" s="55">
        <v>1</v>
      </c>
      <c r="Q1" s="11">
        <v>2</v>
      </c>
    </row>
    <row r="2" spans="1:17" x14ac:dyDescent="0.25">
      <c r="A2" s="11">
        <f>'Mastercurve bestimmen'!M119</f>
        <v>0</v>
      </c>
      <c r="B2" s="11">
        <f>'Mastercurve bestimmen'!N119</f>
        <v>-14.014764769410721</v>
      </c>
      <c r="M2" s="54">
        <v>2</v>
      </c>
      <c r="N2" s="56">
        <f t="shared" ref="N2:N9" si="0">INDEX($H$217:$P$217,1,Q2)</f>
        <v>2.2865168516042334E-4</v>
      </c>
      <c r="O2" s="11"/>
      <c r="P2" s="55">
        <v>2</v>
      </c>
      <c r="Q2" s="11">
        <f>Q1+1</f>
        <v>3</v>
      </c>
    </row>
    <row r="3" spans="1:17" x14ac:dyDescent="0.25">
      <c r="A3" s="11">
        <f>'Mastercurve bestimmen'!M120</f>
        <v>25</v>
      </c>
      <c r="B3" s="11">
        <f>'Mastercurve bestimmen'!N120</f>
        <v>-11.583145044127384</v>
      </c>
      <c r="M3" s="54">
        <v>3</v>
      </c>
      <c r="N3" s="56">
        <f t="shared" si="0"/>
        <v>-1.4405464947548475E-5</v>
      </c>
      <c r="O3" s="11"/>
      <c r="P3" s="55">
        <v>3</v>
      </c>
      <c r="Q3" s="11">
        <f t="shared" ref="Q3:Q8" si="1">Q2+1</f>
        <v>4</v>
      </c>
    </row>
    <row r="4" spans="1:17" x14ac:dyDescent="0.25">
      <c r="A4" s="11">
        <f>'Mastercurve bestimmen'!M121</f>
        <v>50</v>
      </c>
      <c r="B4" s="11">
        <f>'Mastercurve bestimmen'!N121</f>
        <v>-8.742458487122633</v>
      </c>
      <c r="M4" s="54">
        <v>4</v>
      </c>
      <c r="N4" s="56">
        <f t="shared" si="0"/>
        <v>3.2381970215015617E-8</v>
      </c>
      <c r="O4" s="11"/>
      <c r="P4" s="55">
        <v>4</v>
      </c>
      <c r="Q4" s="11">
        <f t="shared" si="1"/>
        <v>5</v>
      </c>
    </row>
    <row r="5" spans="1:17" x14ac:dyDescent="0.25">
      <c r="A5" s="11">
        <f>'Mastercurve bestimmen'!M122</f>
        <v>80</v>
      </c>
      <c r="B5" s="11">
        <f>'Mastercurve bestimmen'!N122</f>
        <v>-5.9392986995543122</v>
      </c>
      <c r="M5" s="54">
        <v>5</v>
      </c>
      <c r="N5" s="56">
        <f t="shared" si="0"/>
        <v>6.1486167352123354E-9</v>
      </c>
      <c r="O5" s="11"/>
      <c r="P5" s="55">
        <v>5</v>
      </c>
      <c r="Q5" s="11">
        <f t="shared" si="1"/>
        <v>6</v>
      </c>
    </row>
    <row r="6" spans="1:17" x14ac:dyDescent="0.25">
      <c r="A6" s="11">
        <f>'Mastercurve bestimmen'!M123</f>
        <v>125</v>
      </c>
      <c r="B6" s="11">
        <f>'Mastercurve bestimmen'!N123</f>
        <v>0</v>
      </c>
      <c r="M6" s="54">
        <v>6</v>
      </c>
      <c r="N6" s="56">
        <f t="shared" si="0"/>
        <v>7.6541834646700789E-11</v>
      </c>
      <c r="O6" s="11"/>
      <c r="P6" s="55">
        <v>6</v>
      </c>
      <c r="Q6" s="11">
        <f t="shared" si="1"/>
        <v>7</v>
      </c>
    </row>
    <row r="7" spans="1:17" x14ac:dyDescent="0.25">
      <c r="A7" s="11">
        <f>'Mastercurve bestimmen'!M124</f>
        <v>160</v>
      </c>
      <c r="B7" s="11">
        <f>'Mastercurve bestimmen'!N124</f>
        <v>5.6870542497434693</v>
      </c>
      <c r="M7" s="54">
        <v>7</v>
      </c>
      <c r="N7" s="56">
        <f t="shared" si="0"/>
        <v>3.7106195367033982E-13</v>
      </c>
      <c r="O7" s="11"/>
      <c r="P7" s="55">
        <v>7</v>
      </c>
      <c r="Q7" s="11">
        <f t="shared" si="1"/>
        <v>8</v>
      </c>
    </row>
    <row r="8" spans="1:17" x14ac:dyDescent="0.25">
      <c r="A8" s="11"/>
      <c r="B8" s="11"/>
      <c r="M8" s="54">
        <v>8</v>
      </c>
      <c r="N8" s="56">
        <f t="shared" si="0"/>
        <v>6.4980438373932418E-16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-17.218692816761287</v>
      </c>
      <c r="E15" s="11">
        <f>A15-'Mastercurve bestimmen'!$B$2</f>
        <v>-165</v>
      </c>
      <c r="F15" s="11">
        <f>B15</f>
        <v>-17.218692816761287</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-17.154555953054231</v>
      </c>
      <c r="E16" s="11">
        <f>A16-'Mastercurve bestimmen'!$B$2</f>
        <v>-164</v>
      </c>
      <c r="F16" s="11">
        <f t="shared" ref="F16:F79" si="4">B16</f>
        <v>-17.154555953054231</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-17.090359196898852</v>
      </c>
      <c r="E17" s="11">
        <f>A17-'Mastercurve bestimmen'!$B$2</f>
        <v>-163</v>
      </c>
      <c r="F17" s="11">
        <f t="shared" si="4"/>
        <v>-17.090359196898852</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-17.02604265584684</v>
      </c>
      <c r="E18" s="11">
        <f>A18-'Mastercurve bestimmen'!$B$2</f>
        <v>-162</v>
      </c>
      <c r="F18" s="11">
        <f t="shared" si="4"/>
        <v>-17.02604265584684</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-16.961546437449876</v>
      </c>
      <c r="E19" s="11">
        <f>A19-'Mastercurve bestimmen'!$B$2</f>
        <v>-161</v>
      </c>
      <c r="F19" s="11">
        <f t="shared" si="4"/>
        <v>-16.961546437449876</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-16.896810649259638</v>
      </c>
      <c r="E20" s="11">
        <f>A20-'Mastercurve bestimmen'!$B$2</f>
        <v>-160</v>
      </c>
      <c r="F20" s="11">
        <f t="shared" si="4"/>
        <v>-16.896810649259638</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-16.831775398827812</v>
      </c>
      <c r="E21" s="11">
        <f>A21-'Mastercurve bestimmen'!$B$2</f>
        <v>-159</v>
      </c>
      <c r="F21" s="11">
        <f t="shared" si="4"/>
        <v>-16.831775398827812</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-16.76638079370608</v>
      </c>
      <c r="E22" s="11">
        <f>A22-'Mastercurve bestimmen'!$B$2</f>
        <v>-158</v>
      </c>
      <c r="F22" s="11">
        <f t="shared" si="4"/>
        <v>-16.76638079370608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-16.70056694144612</v>
      </c>
      <c r="E23" s="11">
        <f>A23-'Mastercurve bestimmen'!$B$2</f>
        <v>-157</v>
      </c>
      <c r="F23" s="11">
        <f t="shared" si="4"/>
        <v>-16.70056694144612</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-16.634273949599621</v>
      </c>
      <c r="E24" s="11">
        <f>A24-'Mastercurve bestimmen'!$B$2</f>
        <v>-156</v>
      </c>
      <c r="F24" s="11">
        <f t="shared" si="4"/>
        <v>-16.634273949599621</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-16.56744192571826</v>
      </c>
      <c r="E25" s="11">
        <f>A25-'Mastercurve bestimmen'!$B$2</f>
        <v>-155</v>
      </c>
      <c r="F25" s="11">
        <f t="shared" si="4"/>
        <v>-16.56744192571826</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-16.500010977353721</v>
      </c>
      <c r="E26" s="11">
        <f>A26-'Mastercurve bestimmen'!$B$2</f>
        <v>-154</v>
      </c>
      <c r="F26" s="11">
        <f t="shared" si="4"/>
        <v>-16.500010977353721</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-16.431921212057684</v>
      </c>
      <c r="E27" s="11">
        <f>A27-'Mastercurve bestimmen'!$B$2</f>
        <v>-153</v>
      </c>
      <c r="F27" s="11">
        <f t="shared" si="4"/>
        <v>-16.431921212057684</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-16.363112737381833</v>
      </c>
      <c r="E28" s="11">
        <f>A28-'Mastercurve bestimmen'!$B$2</f>
        <v>-152</v>
      </c>
      <c r="F28" s="11">
        <f t="shared" si="4"/>
        <v>-16.363112737381833</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-16.293525660877854</v>
      </c>
      <c r="E29" s="11">
        <f>A29-'Mastercurve bestimmen'!$B$2</f>
        <v>-151</v>
      </c>
      <c r="F29" s="11">
        <f t="shared" si="4"/>
        <v>-16.293525660877854</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-16.223100090097418</v>
      </c>
      <c r="E30" s="11">
        <f>A30-'Mastercurve bestimmen'!$B$2</f>
        <v>-150</v>
      </c>
      <c r="F30" s="11">
        <f t="shared" si="4"/>
        <v>-16.223100090097418</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-16.151776132592218</v>
      </c>
      <c r="E31" s="11">
        <f>A31-'Mastercurve bestimmen'!$B$2</f>
        <v>-149</v>
      </c>
      <c r="F31" s="11">
        <f t="shared" si="4"/>
        <v>-16.151776132592218</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-16.079493895913934</v>
      </c>
      <c r="E32" s="11">
        <f>A32-'Mastercurve bestimmen'!$B$2</f>
        <v>-148</v>
      </c>
      <c r="F32" s="11">
        <f t="shared" si="4"/>
        <v>-16.079493895913934</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-16.006193487614244</v>
      </c>
      <c r="E33" s="11">
        <f>A33-'Mastercurve bestimmen'!$B$2</f>
        <v>-147</v>
      </c>
      <c r="F33" s="11">
        <f t="shared" si="4"/>
        <v>-16.006193487614244</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-15.931815015244837</v>
      </c>
      <c r="E34" s="11">
        <f>A34-'Mastercurve bestimmen'!$B$2</f>
        <v>-146</v>
      </c>
      <c r="F34" s="11">
        <f t="shared" si="4"/>
        <v>-15.931815015244837</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-15.856298586357386</v>
      </c>
      <c r="E35" s="11">
        <f>A35-'Mastercurve bestimmen'!$B$2</f>
        <v>-145</v>
      </c>
      <c r="F35" s="11">
        <f t="shared" si="4"/>
        <v>-15.856298586357386</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-15.77958430850358</v>
      </c>
      <c r="E36" s="11">
        <f>A36-'Mastercurve bestimmen'!$B$2</f>
        <v>-144</v>
      </c>
      <c r="F36" s="11">
        <f t="shared" si="4"/>
        <v>-15.77958430850358</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-15.701612289235101</v>
      </c>
      <c r="E37" s="11">
        <f>A37-'Mastercurve bestimmen'!$B$2</f>
        <v>-143</v>
      </c>
      <c r="F37" s="11">
        <f t="shared" si="4"/>
        <v>-15.701612289235101</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-15.622322636103627</v>
      </c>
      <c r="E38" s="11">
        <f>A38-'Mastercurve bestimmen'!$B$2</f>
        <v>-142</v>
      </c>
      <c r="F38" s="11">
        <f t="shared" si="4"/>
        <v>-15.622322636103627</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-15.541655456660845</v>
      </c>
      <c r="E39" s="11">
        <f>A39-'Mastercurve bestimmen'!$B$2</f>
        <v>-141</v>
      </c>
      <c r="F39" s="11">
        <f t="shared" si="4"/>
        <v>-15.541655456660845</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-15.459550858458432</v>
      </c>
      <c r="E40" s="11">
        <f>A40-'Mastercurve bestimmen'!$B$2</f>
        <v>-140</v>
      </c>
      <c r="F40" s="11">
        <f t="shared" si="4"/>
        <v>-15.459550858458432</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-15.375948949048073</v>
      </c>
      <c r="E41" s="11">
        <f>A41-'Mastercurve bestimmen'!$B$2</f>
        <v>-139</v>
      </c>
      <c r="F41" s="11">
        <f t="shared" si="4"/>
        <v>-15.375948949048073</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-15.29078983598145</v>
      </c>
      <c r="E42" s="11">
        <f>A42-'Mastercurve bestimmen'!$B$2</f>
        <v>-138</v>
      </c>
      <c r="F42" s="11">
        <f t="shared" si="4"/>
        <v>-15.29078983598145</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-15.204013626810248</v>
      </c>
      <c r="E43" s="11">
        <f>A43-'Mastercurve bestimmen'!$B$2</f>
        <v>-137</v>
      </c>
      <c r="F43" s="11">
        <f t="shared" si="4"/>
        <v>-15.204013626810248</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-15.115560429086145</v>
      </c>
      <c r="E44" s="11">
        <f>A44-'Mastercurve bestimmen'!$B$2</f>
        <v>-136</v>
      </c>
      <c r="F44" s="11">
        <f t="shared" si="4"/>
        <v>-15.115560429086145</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-15.025370350360824</v>
      </c>
      <c r="E45" s="11">
        <f>A45-'Mastercurve bestimmen'!$B$2</f>
        <v>-135</v>
      </c>
      <c r="F45" s="11">
        <f t="shared" si="4"/>
        <v>-15.025370350360824</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-14.933383498185966</v>
      </c>
      <c r="E46" s="11">
        <f>A46-'Mastercurve bestimmen'!$B$2</f>
        <v>-134</v>
      </c>
      <c r="F46" s="11">
        <f t="shared" si="4"/>
        <v>-14.933383498185966</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-14.839539980113257</v>
      </c>
      <c r="E47" s="11">
        <f>A47-'Mastercurve bestimmen'!$B$2</f>
        <v>-133</v>
      </c>
      <c r="F47" s="11">
        <f t="shared" si="4"/>
        <v>-14.839539980113257</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-14.743779903694376</v>
      </c>
      <c r="E48" s="11">
        <f>A48-'Mastercurve bestimmen'!$B$2</f>
        <v>-132</v>
      </c>
      <c r="F48" s="11">
        <f t="shared" si="4"/>
        <v>-14.743779903694376</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-14.646043376481007</v>
      </c>
      <c r="E49" s="11">
        <f>A49-'Mastercurve bestimmen'!$B$2</f>
        <v>-131</v>
      </c>
      <c r="F49" s="11">
        <f t="shared" si="4"/>
        <v>-14.646043376481007</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-14.546270506024829</v>
      </c>
      <c r="E50" s="11">
        <f>A50-'Mastercurve bestimmen'!$B$2</f>
        <v>-130</v>
      </c>
      <c r="F50" s="11">
        <f t="shared" si="4"/>
        <v>-14.546270506024829</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-14.444401399877528</v>
      </c>
      <c r="E51" s="11">
        <f>A51-'Mastercurve bestimmen'!$B$2</f>
        <v>-129</v>
      </c>
      <c r="F51" s="11">
        <f t="shared" si="4"/>
        <v>-14.444401399877528</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-14.340376165590786</v>
      </c>
      <c r="E52" s="11">
        <f>A52-'Mastercurve bestimmen'!$B$2</f>
        <v>-128</v>
      </c>
      <c r="F52" s="11">
        <f t="shared" si="4"/>
        <v>-14.340376165590786</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-14.234134910716282</v>
      </c>
      <c r="E53" s="11">
        <f>A53-'Mastercurve bestimmen'!$B$2</f>
        <v>-127</v>
      </c>
      <c r="F53" s="11">
        <f t="shared" si="4"/>
        <v>-14.234134910716282</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-14.1256177428057</v>
      </c>
      <c r="E54" s="11">
        <f>A54-'Mastercurve bestimmen'!$B$2</f>
        <v>-126</v>
      </c>
      <c r="F54" s="11">
        <f t="shared" si="4"/>
        <v>-14.1256177428057</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-14.014764769410723</v>
      </c>
      <c r="E55" s="11">
        <f>A55-'Mastercurve bestimmen'!$B$2</f>
        <v>-125</v>
      </c>
      <c r="F55" s="11">
        <f t="shared" si="4"/>
        <v>-14.014764769410723</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-13.939693594754406</v>
      </c>
      <c r="E56" s="11">
        <f>A56-'Mastercurve bestimmen'!$B$2</f>
        <v>-124</v>
      </c>
      <c r="F56" s="11">
        <f t="shared" si="4"/>
        <v>-13.939693594754406</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-13.862289748711889</v>
      </c>
      <c r="E57" s="11">
        <f>A57-'Mastercurve bestimmen'!$B$2</f>
        <v>-123</v>
      </c>
      <c r="F57" s="11">
        <f t="shared" si="4"/>
        <v>-13.862289748711889</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-13.782616257829691</v>
      </c>
      <c r="E58" s="11">
        <f>A58-'Mastercurve bestimmen'!$B$2</f>
        <v>-122</v>
      </c>
      <c r="F58" s="11">
        <f t="shared" si="4"/>
        <v>-13.782616257829691</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-13.700736148654324</v>
      </c>
      <c r="E59" s="11">
        <f>A59-'Mastercurve bestimmen'!$B$2</f>
        <v>-121</v>
      </c>
      <c r="F59" s="11">
        <f t="shared" si="4"/>
        <v>-13.700736148654324</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-13.616712447732301</v>
      </c>
      <c r="E60" s="11">
        <f>A60-'Mastercurve bestimmen'!$B$2</f>
        <v>-120</v>
      </c>
      <c r="F60" s="11">
        <f t="shared" si="4"/>
        <v>-13.616712447732301</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-13.530608181610139</v>
      </c>
      <c r="E61" s="11">
        <f>A61-'Mastercurve bestimmen'!$B$2</f>
        <v>-119</v>
      </c>
      <c r="F61" s="11">
        <f t="shared" si="4"/>
        <v>-13.530608181610139</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-13.442486376834353</v>
      </c>
      <c r="E62" s="11">
        <f>A62-'Mastercurve bestimmen'!$B$2</f>
        <v>-118</v>
      </c>
      <c r="F62" s="11">
        <f t="shared" si="4"/>
        <v>-13.442486376834353</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-13.352410059951454</v>
      </c>
      <c r="E63" s="11">
        <f>A63-'Mastercurve bestimmen'!$B$2</f>
        <v>-117</v>
      </c>
      <c r="F63" s="11">
        <f t="shared" si="4"/>
        <v>-13.352410059951454</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-13.260442257507965</v>
      </c>
      <c r="E64" s="11">
        <f>A64-'Mastercurve bestimmen'!$B$2</f>
        <v>-116</v>
      </c>
      <c r="F64" s="11">
        <f t="shared" si="4"/>
        <v>-13.260442257507965</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-13.166645996050395</v>
      </c>
      <c r="E65" s="11">
        <f>A65-'Mastercurve bestimmen'!$B$2</f>
        <v>-115</v>
      </c>
      <c r="F65" s="11">
        <f t="shared" si="4"/>
        <v>-13.166645996050395</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-13.071084302125261</v>
      </c>
      <c r="E66" s="11">
        <f>A66-'Mastercurve bestimmen'!$B$2</f>
        <v>-114</v>
      </c>
      <c r="F66" s="11">
        <f t="shared" si="4"/>
        <v>-13.071084302125261</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-12.973820202279075</v>
      </c>
      <c r="E67" s="11">
        <f>A67-'Mastercurve bestimmen'!$B$2</f>
        <v>-113</v>
      </c>
      <c r="F67" s="11">
        <f t="shared" si="4"/>
        <v>-12.973820202279075</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-12.874916723058355</v>
      </c>
      <c r="E68" s="11">
        <f>A68-'Mastercurve bestimmen'!$B$2</f>
        <v>-112</v>
      </c>
      <c r="F68" s="11">
        <f t="shared" si="4"/>
        <v>-12.874916723058355</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-12.774436891009612</v>
      </c>
      <c r="E69" s="11">
        <f>A69-'Mastercurve bestimmen'!$B$2</f>
        <v>-111</v>
      </c>
      <c r="F69" s="11">
        <f t="shared" si="4"/>
        <v>-12.774436891009612</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-12.672443732679366</v>
      </c>
      <c r="E70" s="11">
        <f>A70-'Mastercurve bestimmen'!$B$2</f>
        <v>-110</v>
      </c>
      <c r="F70" s="11">
        <f t="shared" si="4"/>
        <v>-12.672443732679366</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-12.56900027461413</v>
      </c>
      <c r="E71" s="11">
        <f>A71-'Mastercurve bestimmen'!$B$2</f>
        <v>-109</v>
      </c>
      <c r="F71" s="11">
        <f t="shared" si="4"/>
        <v>-12.56900027461413</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-12.464169543360416</v>
      </c>
      <c r="E72" s="11">
        <f>A72-'Mastercurve bestimmen'!$B$2</f>
        <v>-108</v>
      </c>
      <c r="F72" s="11">
        <f t="shared" si="4"/>
        <v>-12.464169543360416</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-12.358014565464744</v>
      </c>
      <c r="E73" s="11">
        <f>A73-'Mastercurve bestimmen'!$B$2</f>
        <v>-107</v>
      </c>
      <c r="F73" s="11">
        <f t="shared" si="4"/>
        <v>-12.358014565464744</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-12.250598367473625</v>
      </c>
      <c r="E74" s="11">
        <f>A74-'Mastercurve bestimmen'!$B$2</f>
        <v>-106</v>
      </c>
      <c r="F74" s="11">
        <f t="shared" si="4"/>
        <v>-12.250598367473625</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-12.141983975933575</v>
      </c>
      <c r="E75" s="11">
        <f>A75-'Mastercurve bestimmen'!$B$2</f>
        <v>-105</v>
      </c>
      <c r="F75" s="11">
        <f t="shared" si="4"/>
        <v>-12.141983975933575</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-12.032234417391109</v>
      </c>
      <c r="E76" s="11">
        <f>A76-'Mastercurve bestimmen'!$B$2</f>
        <v>-104</v>
      </c>
      <c r="F76" s="11">
        <f t="shared" si="4"/>
        <v>-12.032234417391109</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-11.921412718392743</v>
      </c>
      <c r="E77" s="11">
        <f>A77-'Mastercurve bestimmen'!$B$2</f>
        <v>-103</v>
      </c>
      <c r="F77" s="11">
        <f t="shared" si="4"/>
        <v>-11.921412718392743</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-11.80958190548499</v>
      </c>
      <c r="E78" s="11">
        <f>A78-'Mastercurve bestimmen'!$B$2</f>
        <v>-102</v>
      </c>
      <c r="F78" s="11">
        <f t="shared" si="4"/>
        <v>-11.80958190548499</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-11.696805005214365</v>
      </c>
      <c r="E79" s="11">
        <f>A79-'Mastercurve bestimmen'!$B$2</f>
        <v>-101</v>
      </c>
      <c r="F79" s="11">
        <f t="shared" si="4"/>
        <v>-11.696805005214365</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-11.583145044127384</v>
      </c>
      <c r="E80" s="11">
        <f>A80-'Mastercurve bestimmen'!$B$2</f>
        <v>-100</v>
      </c>
      <c r="F80" s="11">
        <f t="shared" ref="F80:F143" si="10">B80</f>
        <v>-11.583145044127384</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-11.468671669864126</v>
      </c>
      <c r="E81" s="11">
        <f>A81-'Mastercurve bestimmen'!$B$2</f>
        <v>-99</v>
      </c>
      <c r="F81" s="11">
        <f t="shared" si="10"/>
        <v>-11.468671669864126</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-11.353481014438922</v>
      </c>
      <c r="E82" s="11">
        <f>A82-'Mastercurve bestimmen'!$B$2</f>
        <v>-98</v>
      </c>
      <c r="F82" s="11">
        <f t="shared" si="10"/>
        <v>-11.353481014438922</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-11.237675830959665</v>
      </c>
      <c r="E83" s="11">
        <f>A83-'Mastercurve bestimmen'!$B$2</f>
        <v>-97</v>
      </c>
      <c r="F83" s="11">
        <f t="shared" si="10"/>
        <v>-11.237675830959665</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-11.121358872534255</v>
      </c>
      <c r="E84" s="11">
        <f>A84-'Mastercurve bestimmen'!$B$2</f>
        <v>-96</v>
      </c>
      <c r="F84" s="11">
        <f t="shared" si="10"/>
        <v>-11.121358872534255</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-11.004632892270589</v>
      </c>
      <c r="E85" s="11">
        <f>A85-'Mastercurve bestimmen'!$B$2</f>
        <v>-95</v>
      </c>
      <c r="F85" s="11">
        <f t="shared" si="10"/>
        <v>-11.004632892270589</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-10.88760064327656</v>
      </c>
      <c r="E86" s="11">
        <f>A86-'Mastercurve bestimmen'!$B$2</f>
        <v>-94</v>
      </c>
      <c r="F86" s="11">
        <f t="shared" si="10"/>
        <v>-10.88760064327656</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-10.770364878660065</v>
      </c>
      <c r="E87" s="11">
        <f>A87-'Mastercurve bestimmen'!$B$2</f>
        <v>-93</v>
      </c>
      <c r="F87" s="11">
        <f t="shared" si="10"/>
        <v>-10.770364878660065</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-10.653028351528997</v>
      </c>
      <c r="E88" s="11">
        <f>A88-'Mastercurve bestimmen'!$B$2</f>
        <v>-92</v>
      </c>
      <c r="F88" s="11">
        <f t="shared" si="10"/>
        <v>-10.653028351528997</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-10.535693814991255</v>
      </c>
      <c r="E89" s="11">
        <f>A89-'Mastercurve bestimmen'!$B$2</f>
        <v>-91</v>
      </c>
      <c r="F89" s="11">
        <f t="shared" si="10"/>
        <v>-10.535693814991255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-10.418464022154735</v>
      </c>
      <c r="E90" s="11">
        <f>A90-'Mastercurve bestimmen'!$B$2</f>
        <v>-90</v>
      </c>
      <c r="F90" s="11">
        <f t="shared" si="10"/>
        <v>-10.418464022154735</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-10.301441726127331</v>
      </c>
      <c r="E91" s="11">
        <f>A91-'Mastercurve bestimmen'!$B$2</f>
        <v>-89</v>
      </c>
      <c r="F91" s="11">
        <f t="shared" si="10"/>
        <v>-10.301441726127331</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-10.184729680016941</v>
      </c>
      <c r="E92" s="11">
        <f>A92-'Mastercurve bestimmen'!$B$2</f>
        <v>-88</v>
      </c>
      <c r="F92" s="11">
        <f t="shared" si="10"/>
        <v>-10.184729680016941</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-10.06843063693146</v>
      </c>
      <c r="E93" s="11">
        <f>A93-'Mastercurve bestimmen'!$B$2</f>
        <v>-87</v>
      </c>
      <c r="F93" s="11">
        <f t="shared" si="10"/>
        <v>-10.06843063693146</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-9.9526473499787809</v>
      </c>
      <c r="E94" s="11">
        <f>A94-'Mastercurve bestimmen'!$B$2</f>
        <v>-86</v>
      </c>
      <c r="F94" s="11">
        <f t="shared" si="10"/>
        <v>-9.9526473499787809</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-9.8374825722668042</v>
      </c>
      <c r="E95" s="11">
        <f>A95-'Mastercurve bestimmen'!$B$2</f>
        <v>-85</v>
      </c>
      <c r="F95" s="11">
        <f t="shared" si="10"/>
        <v>-9.8374825722668042</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-9.7230390569034224</v>
      </c>
      <c r="E96" s="11">
        <f>A96-'Mastercurve bestimmen'!$B$2</f>
        <v>-84</v>
      </c>
      <c r="F96" s="11">
        <f t="shared" si="10"/>
        <v>-9.7230390569034224</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-9.6094195569965333</v>
      </c>
      <c r="E97" s="11">
        <f>A97-'Mastercurve bestimmen'!$B$2</f>
        <v>-83</v>
      </c>
      <c r="F97" s="11">
        <f t="shared" si="10"/>
        <v>-9.6094195569965333</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-9.4967268256540329</v>
      </c>
      <c r="E98" s="11">
        <f>A98-'Mastercurve bestimmen'!$B$2</f>
        <v>-82</v>
      </c>
      <c r="F98" s="11">
        <f t="shared" si="10"/>
        <v>-9.4967268256540329</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-9.3850636159838139</v>
      </c>
      <c r="E99" s="11">
        <f>A99-'Mastercurve bestimmen'!$B$2</f>
        <v>-81</v>
      </c>
      <c r="F99" s="11">
        <f t="shared" si="10"/>
        <v>-9.3850636159838139</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-9.2745326810937758</v>
      </c>
      <c r="E100" s="11">
        <f>A100-'Mastercurve bestimmen'!$B$2</f>
        <v>-80</v>
      </c>
      <c r="F100" s="11">
        <f t="shared" si="10"/>
        <v>-9.2745326810937758</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-9.165236774091813</v>
      </c>
      <c r="E101" s="11">
        <f>A101-'Mastercurve bestimmen'!$B$2</f>
        <v>-79</v>
      </c>
      <c r="F101" s="11">
        <f t="shared" si="10"/>
        <v>-9.165236774091813</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-9.0572786480858216</v>
      </c>
      <c r="E102" s="11">
        <f>A102-'Mastercurve bestimmen'!$B$2</f>
        <v>-78</v>
      </c>
      <c r="F102" s="11">
        <f t="shared" si="10"/>
        <v>-9.0572786480858216</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-8.9507610561836977</v>
      </c>
      <c r="E103" s="11">
        <f>A103-'Mastercurve bestimmen'!$B$2</f>
        <v>-77</v>
      </c>
      <c r="F103" s="11">
        <f t="shared" si="10"/>
        <v>-8.9507610561836977</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-8.8457867514933355</v>
      </c>
      <c r="E104" s="11">
        <f>A104-'Mastercurve bestimmen'!$B$2</f>
        <v>-76</v>
      </c>
      <c r="F104" s="11">
        <f t="shared" si="10"/>
        <v>-8.8457867514933355</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-8.742458487122633</v>
      </c>
      <c r="E105" s="11">
        <f>A105-'Mastercurve bestimmen'!$B$2</f>
        <v>-75</v>
      </c>
      <c r="F105" s="11">
        <f t="shared" si="10"/>
        <v>-8.742458487122633</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-8.6408427800305869</v>
      </c>
      <c r="E106" s="11">
        <f>A106-'Mastercurve bestimmen'!$B$2</f>
        <v>-74</v>
      </c>
      <c r="F106" s="11">
        <f t="shared" si="10"/>
        <v>-8.6408427800305869</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-8.5408612025806008</v>
      </c>
      <c r="E107" s="11">
        <f>A107-'Mastercurve bestimmen'!$B$2</f>
        <v>-73</v>
      </c>
      <c r="F107" s="11">
        <f t="shared" si="10"/>
        <v>-8.5408612025806008</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-8.442399090987184</v>
      </c>
      <c r="E108" s="11">
        <f>A108-'Mastercurve bestimmen'!$B$2</f>
        <v>-72</v>
      </c>
      <c r="F108" s="11">
        <f t="shared" si="10"/>
        <v>-8.442399090987184</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-8.345341781464839</v>
      </c>
      <c r="E109" s="11">
        <f>A109-'Mastercurve bestimmen'!$B$2</f>
        <v>-71</v>
      </c>
      <c r="F109" s="11">
        <f t="shared" si="10"/>
        <v>-8.345341781464839</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-8.2495746102280787</v>
      </c>
      <c r="E110" s="11">
        <f>A110-'Mastercurve bestimmen'!$B$2</f>
        <v>-70</v>
      </c>
      <c r="F110" s="11">
        <f t="shared" si="10"/>
        <v>-8.2495746102280787</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-8.154982913491402</v>
      </c>
      <c r="E111" s="11">
        <f>A111-'Mastercurve bestimmen'!$B$2</f>
        <v>-69</v>
      </c>
      <c r="F111" s="11">
        <f t="shared" si="10"/>
        <v>-8.154982913491402</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-8.0614520274693202</v>
      </c>
      <c r="E112" s="11">
        <f>A112-'Mastercurve bestimmen'!$B$2</f>
        <v>-68</v>
      </c>
      <c r="F112" s="11">
        <f t="shared" si="10"/>
        <v>-8.0614520274693202</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-7.9688672883763392</v>
      </c>
      <c r="E113" s="11">
        <f>A113-'Mastercurve bestimmen'!$B$2</f>
        <v>-67</v>
      </c>
      <c r="F113" s="11">
        <f t="shared" si="10"/>
        <v>-7.9688672883763392</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-7.877114032426964</v>
      </c>
      <c r="E114" s="11">
        <f>A114-'Mastercurve bestimmen'!$B$2</f>
        <v>-66</v>
      </c>
      <c r="F114" s="11">
        <f t="shared" si="10"/>
        <v>-7.877114032426964</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-7.7860775958357014</v>
      </c>
      <c r="E115" s="11">
        <f>A115-'Mastercurve bestimmen'!$B$2</f>
        <v>-65</v>
      </c>
      <c r="F115" s="11">
        <f t="shared" si="10"/>
        <v>-7.7860775958357014</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-7.6956433148170609</v>
      </c>
      <c r="E116" s="11">
        <f>A116-'Mastercurve bestimmen'!$B$2</f>
        <v>-64</v>
      </c>
      <c r="F116" s="11">
        <f t="shared" si="10"/>
        <v>-7.6956433148170609</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-7.6056965255855449</v>
      </c>
      <c r="E117" s="11">
        <f>A117-'Mastercurve bestimmen'!$B$2</f>
        <v>-63</v>
      </c>
      <c r="F117" s="11">
        <f t="shared" si="10"/>
        <v>-7.6056965255855449</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-7.5161225643556637</v>
      </c>
      <c r="E118" s="11">
        <f>A118-'Mastercurve bestimmen'!$B$2</f>
        <v>-62</v>
      </c>
      <c r="F118" s="11">
        <f t="shared" si="10"/>
        <v>-7.5161225643556637</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-7.4268067673419207</v>
      </c>
      <c r="E119" s="11">
        <f>A119-'Mastercurve bestimmen'!$B$2</f>
        <v>-61</v>
      </c>
      <c r="F119" s="11">
        <f t="shared" si="10"/>
        <v>-7.4268067673419207</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-7.3376344707588226</v>
      </c>
      <c r="E120" s="11">
        <f>A120-'Mastercurve bestimmen'!$B$2</f>
        <v>-60</v>
      </c>
      <c r="F120" s="11">
        <f t="shared" si="10"/>
        <v>-7.3376344707588226</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-7.2484910108208789</v>
      </c>
      <c r="E121" s="11">
        <f>A121-'Mastercurve bestimmen'!$B$2</f>
        <v>-59</v>
      </c>
      <c r="F121" s="11">
        <f t="shared" si="10"/>
        <v>-7.2484910108208789</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-7.1592617237425928</v>
      </c>
      <c r="E122" s="11">
        <f>A122-'Mastercurve bestimmen'!$B$2</f>
        <v>-58</v>
      </c>
      <c r="F122" s="11">
        <f t="shared" si="10"/>
        <v>-7.1592617237425928</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-7.0698319457384731</v>
      </c>
      <c r="E123" s="11">
        <f>A123-'Mastercurve bestimmen'!$B$2</f>
        <v>-57</v>
      </c>
      <c r="F123" s="11">
        <f t="shared" si="10"/>
        <v>-7.0698319457384731</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-6.9800870130230255</v>
      </c>
      <c r="E124" s="11">
        <f>A124-'Mastercurve bestimmen'!$B$2</f>
        <v>-56</v>
      </c>
      <c r="F124" s="11">
        <f t="shared" si="10"/>
        <v>-6.9800870130230255</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-6.8899122618107542</v>
      </c>
      <c r="E125" s="11">
        <f>A125-'Mastercurve bestimmen'!$B$2</f>
        <v>-55</v>
      </c>
      <c r="F125" s="11">
        <f t="shared" si="10"/>
        <v>-6.8899122618107542</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-6.7991930283161706</v>
      </c>
      <c r="E126" s="11">
        <f>A126-'Mastercurve bestimmen'!$B$2</f>
        <v>-54</v>
      </c>
      <c r="F126" s="11">
        <f t="shared" si="10"/>
        <v>-6.7991930283161706</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-6.7078146487537769</v>
      </c>
      <c r="E127" s="11">
        <f>A127-'Mastercurve bestimmen'!$B$2</f>
        <v>-53</v>
      </c>
      <c r="F127" s="11">
        <f t="shared" si="10"/>
        <v>-6.7078146487537769</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-6.6156624593380826</v>
      </c>
      <c r="E128" s="11">
        <f>A128-'Mastercurve bestimmen'!$B$2</f>
        <v>-52</v>
      </c>
      <c r="F128" s="11">
        <f t="shared" si="10"/>
        <v>-6.6156624593380826</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-6.522621796283592</v>
      </c>
      <c r="E129" s="11">
        <f>A129-'Mastercurve bestimmen'!$B$2</f>
        <v>-51</v>
      </c>
      <c r="F129" s="11">
        <f t="shared" si="10"/>
        <v>-6.522621796283592</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-6.4285779958048135</v>
      </c>
      <c r="E130" s="11">
        <f>A130-'Mastercurve bestimmen'!$B$2</f>
        <v>-50</v>
      </c>
      <c r="F130" s="11">
        <f t="shared" si="10"/>
        <v>-6.4285779958048135</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-6.3334163941162513</v>
      </c>
      <c r="E131" s="11">
        <f>A131-'Mastercurve bestimmen'!$B$2</f>
        <v>-49</v>
      </c>
      <c r="F131" s="11">
        <f t="shared" si="10"/>
        <v>-6.3334163941162513</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-6.2370223274324141</v>
      </c>
      <c r="E132" s="11">
        <f>A132-'Mastercurve bestimmen'!$B$2</f>
        <v>-48</v>
      </c>
      <c r="F132" s="11">
        <f t="shared" si="10"/>
        <v>-6.2370223274324141</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-6.1392811319678069</v>
      </c>
      <c r="E133" s="11">
        <f>A133-'Mastercurve bestimmen'!$B$2</f>
        <v>-47</v>
      </c>
      <c r="F133" s="11">
        <f t="shared" si="10"/>
        <v>-6.1392811319678069</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-6.0400781439369382</v>
      </c>
      <c r="E134" s="11">
        <f>A134-'Mastercurve bestimmen'!$B$2</f>
        <v>-46</v>
      </c>
      <c r="F134" s="11">
        <f t="shared" si="10"/>
        <v>-6.0400781439369382</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-5.9392986995543113</v>
      </c>
      <c r="E135" s="11">
        <f>A135-'Mastercurve bestimmen'!$B$2</f>
        <v>-45</v>
      </c>
      <c r="F135" s="11">
        <f t="shared" si="10"/>
        <v>-5.9392986995543113</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-5.8368510341499755</v>
      </c>
      <c r="E136" s="11">
        <f>A136-'Mastercurve bestimmen'!$B$2</f>
        <v>-44</v>
      </c>
      <c r="F136" s="11">
        <f t="shared" si="10"/>
        <v>-5.8368510341499755</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-5.7327349795161311</v>
      </c>
      <c r="E137" s="11">
        <f>A137-'Mastercurve bestimmen'!$B$2</f>
        <v>-43</v>
      </c>
      <c r="F137" s="11">
        <f t="shared" si="10"/>
        <v>-5.7327349795161311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-5.6269732665605199</v>
      </c>
      <c r="E138" s="11">
        <f>A138-'Mastercurve bestimmen'!$B$2</f>
        <v>-42</v>
      </c>
      <c r="F138" s="11">
        <f t="shared" si="10"/>
        <v>-5.6269732665605199</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-5.5195886261908838</v>
      </c>
      <c r="E139" s="11">
        <f>A139-'Mastercurve bestimmen'!$B$2</f>
        <v>-41</v>
      </c>
      <c r="F139" s="11">
        <f t="shared" si="10"/>
        <v>-5.5195886261908838</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-5.4106037893149654</v>
      </c>
      <c r="E140" s="11">
        <f>A140-'Mastercurve bestimmen'!$B$2</f>
        <v>-40</v>
      </c>
      <c r="F140" s="11">
        <f t="shared" si="10"/>
        <v>-5.4106037893149654</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-5.300041486840505</v>
      </c>
      <c r="E141" s="11">
        <f>A141-'Mastercurve bestimmen'!$B$2</f>
        <v>-39</v>
      </c>
      <c r="F141" s="11">
        <f t="shared" si="10"/>
        <v>-5.300041486840505</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-5.1879244496752435</v>
      </c>
      <c r="E142" s="11">
        <f>A142-'Mastercurve bestimmen'!$B$2</f>
        <v>-38</v>
      </c>
      <c r="F142" s="11">
        <f t="shared" si="10"/>
        <v>-5.1879244496752435</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-5.0742754087269253</v>
      </c>
      <c r="E143" s="11">
        <f>A143-'Mastercurve bestimmen'!$B$2</f>
        <v>-37</v>
      </c>
      <c r="F143" s="11">
        <f t="shared" si="10"/>
        <v>-5.0742754087269253</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-4.9591170949032914</v>
      </c>
      <c r="E144" s="11">
        <f>A144-'Mastercurve bestimmen'!$B$2</f>
        <v>-36</v>
      </c>
      <c r="F144" s="11">
        <f t="shared" ref="F144:F207" si="15">B144</f>
        <v>-4.9591170949032914</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-4.8424722391120802</v>
      </c>
      <c r="E145" s="11">
        <f>A145-'Mastercurve bestimmen'!$B$2</f>
        <v>-35</v>
      </c>
      <c r="F145" s="11">
        <f t="shared" si="15"/>
        <v>-4.8424722391120802</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-4.7243635722610371</v>
      </c>
      <c r="E146" s="11">
        <f>A146-'Mastercurve bestimmen'!$B$2</f>
        <v>-34</v>
      </c>
      <c r="F146" s="11">
        <f t="shared" si="15"/>
        <v>-4.7243635722610371</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-4.6048138252579003</v>
      </c>
      <c r="E147" s="11">
        <f>A147-'Mastercurve bestimmen'!$B$2</f>
        <v>-33</v>
      </c>
      <c r="F147" s="11">
        <f t="shared" si="15"/>
        <v>-4.6048138252579003</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-4.4838457290104152</v>
      </c>
      <c r="E148" s="11">
        <f>A148-'Mastercurve bestimmen'!$B$2</f>
        <v>-32</v>
      </c>
      <c r="F148" s="11">
        <f t="shared" si="15"/>
        <v>-4.4838457290104152</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-4.361482014426322</v>
      </c>
      <c r="E149" s="11">
        <f>A149-'Mastercurve bestimmen'!$B$2</f>
        <v>-31</v>
      </c>
      <c r="F149" s="11">
        <f t="shared" si="15"/>
        <v>-4.361482014426322</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-4.2377454124133607</v>
      </c>
      <c r="E150" s="11">
        <f>A150-'Mastercurve bestimmen'!$B$2</f>
        <v>-30</v>
      </c>
      <c r="F150" s="11">
        <f t="shared" si="15"/>
        <v>-4.2377454124133607</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-4.1126586538792749</v>
      </c>
      <c r="E151" s="11">
        <f>A151-'Mastercurve bestimmen'!$B$2</f>
        <v>-29</v>
      </c>
      <c r="F151" s="11">
        <f t="shared" si="15"/>
        <v>-4.1126586538792749</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-3.9862444697318051</v>
      </c>
      <c r="E152" s="11">
        <f>A152-'Mastercurve bestimmen'!$B$2</f>
        <v>-28</v>
      </c>
      <c r="F152" s="11">
        <f t="shared" si="15"/>
        <v>-3.9862444697318051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-3.8585255908786937</v>
      </c>
      <c r="E153" s="11">
        <f>A153-'Mastercurve bestimmen'!$B$2</f>
        <v>-27</v>
      </c>
      <c r="F153" s="11">
        <f t="shared" si="15"/>
        <v>-3.8585255908786937</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-3.729524748227683</v>
      </c>
      <c r="E154" s="11">
        <f>A154-'Mastercurve bestimmen'!$B$2</f>
        <v>-26</v>
      </c>
      <c r="F154" s="11">
        <f t="shared" si="15"/>
        <v>-3.729524748227683</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-3.5992646726865125</v>
      </c>
      <c r="E155" s="11">
        <f>A155-'Mastercurve bestimmen'!$B$2</f>
        <v>-25</v>
      </c>
      <c r="F155" s="11">
        <f t="shared" si="15"/>
        <v>-3.5992646726865125</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-3.4677680951629251</v>
      </c>
      <c r="E156" s="11">
        <f>A156-'Mastercurve bestimmen'!$B$2</f>
        <v>-24</v>
      </c>
      <c r="F156" s="11">
        <f t="shared" si="15"/>
        <v>-3.4677680951629251</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-3.3350577465646625</v>
      </c>
      <c r="E157" s="11">
        <f>A157-'Mastercurve bestimmen'!$B$2</f>
        <v>-23</v>
      </c>
      <c r="F157" s="11">
        <f t="shared" si="15"/>
        <v>-3.3350577465646625</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-3.2011563577994662</v>
      </c>
      <c r="E158" s="11">
        <f>A158-'Mastercurve bestimmen'!$B$2</f>
        <v>-22</v>
      </c>
      <c r="F158" s="11">
        <f t="shared" si="15"/>
        <v>-3.2011563577994662</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-3.0660866597750784</v>
      </c>
      <c r="E159" s="11">
        <f>A159-'Mastercurve bestimmen'!$B$2</f>
        <v>-21</v>
      </c>
      <c r="F159" s="11">
        <f t="shared" si="15"/>
        <v>-3.0660866597750784</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-2.9298713833992394</v>
      </c>
      <c r="E160" s="11">
        <f>A160-'Mastercurve bestimmen'!$B$2</f>
        <v>-20</v>
      </c>
      <c r="F160" s="11">
        <f t="shared" si="15"/>
        <v>-2.9298713833992394</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-2.7925332595796917</v>
      </c>
      <c r="E161" s="11">
        <f>A161-'Mastercurve bestimmen'!$B$2</f>
        <v>-19</v>
      </c>
      <c r="F161" s="11">
        <f t="shared" si="15"/>
        <v>-2.7925332595796917</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-2.6540950192241772</v>
      </c>
      <c r="E162" s="11">
        <f>A162-'Mastercurve bestimmen'!$B$2</f>
        <v>-18</v>
      </c>
      <c r="F162" s="11">
        <f t="shared" si="15"/>
        <v>-2.6540950192241772</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-2.5145793932404374</v>
      </c>
      <c r="E163" s="11">
        <f>A163-'Mastercurve bestimmen'!$B$2</f>
        <v>-17</v>
      </c>
      <c r="F163" s="11">
        <f t="shared" si="15"/>
        <v>-2.5145793932404374</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-2.3740091125362133</v>
      </c>
      <c r="E164" s="11">
        <f>A164-'Mastercurve bestimmen'!$B$2</f>
        <v>-16</v>
      </c>
      <c r="F164" s="11">
        <f t="shared" si="15"/>
        <v>-2.3740091125362133</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-2.2324069080192466</v>
      </c>
      <c r="E165" s="11">
        <f>A165-'Mastercurve bestimmen'!$B$2</f>
        <v>-15</v>
      </c>
      <c r="F165" s="11">
        <f t="shared" si="15"/>
        <v>-2.2324069080192466</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-2.0897955105972796</v>
      </c>
      <c r="E166" s="11">
        <f>A166-'Mastercurve bestimmen'!$B$2</f>
        <v>-14</v>
      </c>
      <c r="F166" s="11">
        <f t="shared" si="15"/>
        <v>-2.0897955105972796</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-1.9461976511780543</v>
      </c>
      <c r="E167" s="11">
        <f>A167-'Mastercurve bestimmen'!$B$2</f>
        <v>-13</v>
      </c>
      <c r="F167" s="11">
        <f t="shared" si="15"/>
        <v>-1.9461976511780543</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-1.8016360606693114</v>
      </c>
      <c r="E168" s="11">
        <f>A168-'Mastercurve bestimmen'!$B$2</f>
        <v>-12</v>
      </c>
      <c r="F168" s="11">
        <f t="shared" si="15"/>
        <v>-1.8016360606693114</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-1.6561334699787924</v>
      </c>
      <c r="E169" s="11">
        <f>A169-'Mastercurve bestimmen'!$B$2</f>
        <v>-11</v>
      </c>
      <c r="F169" s="11">
        <f t="shared" si="15"/>
        <v>-1.6561334699787924</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-1.5097126100142395</v>
      </c>
      <c r="E170" s="11">
        <f>A170-'Mastercurve bestimmen'!$B$2</f>
        <v>-10</v>
      </c>
      <c r="F170" s="11">
        <f t="shared" si="15"/>
        <v>-1.5097126100142395</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-1.3623962116833945</v>
      </c>
      <c r="E171" s="11">
        <f>A171-'Mastercurve bestimmen'!$B$2</f>
        <v>-9</v>
      </c>
      <c r="F171" s="11">
        <f t="shared" si="15"/>
        <v>-1.3623962116833945</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-1.2142070058939987</v>
      </c>
      <c r="E172" s="11">
        <f>A172-'Mastercurve bestimmen'!$B$2</f>
        <v>-8</v>
      </c>
      <c r="F172" s="11">
        <f t="shared" si="15"/>
        <v>-1.2142070058939987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-1.0651677235537933</v>
      </c>
      <c r="E173" s="11">
        <f>A173-'Mastercurve bestimmen'!$B$2</f>
        <v>-7</v>
      </c>
      <c r="F173" s="11">
        <f t="shared" si="15"/>
        <v>-1.0651677235537933</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-0.91530109557052086</v>
      </c>
      <c r="E174" s="11">
        <f>A174-'Mastercurve bestimmen'!$B$2</f>
        <v>-6</v>
      </c>
      <c r="F174" s="11">
        <f t="shared" si="15"/>
        <v>-0.91530109557052086</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-0.76462985285192242</v>
      </c>
      <c r="E175" s="11">
        <f>A175-'Mastercurve bestimmen'!$B$2</f>
        <v>-5</v>
      </c>
      <c r="F175" s="11">
        <f t="shared" si="15"/>
        <v>-0.76462985285192242</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-0.61317672630573983</v>
      </c>
      <c r="E176" s="11">
        <f>A176-'Mastercurve bestimmen'!$B$2</f>
        <v>-4</v>
      </c>
      <c r="F176" s="11">
        <f t="shared" si="15"/>
        <v>-0.61317672630573983</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-0.4609644468397146</v>
      </c>
      <c r="E177" s="11">
        <f>A177-'Mastercurve bestimmen'!$B$2</f>
        <v>-3</v>
      </c>
      <c r="F177" s="11">
        <f t="shared" si="15"/>
        <v>-0.4609644468397146</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-0.30801574536158849</v>
      </c>
      <c r="E178" s="11">
        <f>A178-'Mastercurve bestimmen'!$B$2</f>
        <v>-2</v>
      </c>
      <c r="F178" s="11">
        <f t="shared" si="15"/>
        <v>-0.30801574536158849</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-0.15435335277910303</v>
      </c>
      <c r="E179" s="11">
        <f>A179-'Mastercurve bestimmen'!$B$2</f>
        <v>-1</v>
      </c>
      <c r="F179" s="11">
        <f t="shared" si="15"/>
        <v>-0.15435335277910303</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0.15502218850836993</v>
      </c>
      <c r="E181" s="11">
        <f>A181-'Mastercurve bestimmen'!$B$2</f>
        <v>1</v>
      </c>
      <c r="F181" s="11">
        <f t="shared" si="15"/>
        <v>0.15502218850836993</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0.31069351404021944</v>
      </c>
      <c r="E182" s="11">
        <f>A182-'Mastercurve bestimmen'!$B$2</f>
        <v>2</v>
      </c>
      <c r="F182" s="11">
        <f t="shared" si="15"/>
        <v>0.31069351404021944</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0.46699488433015207</v>
      </c>
      <c r="E183" s="11">
        <f>A183-'Mastercurve bestimmen'!$B$2</f>
        <v>3</v>
      </c>
      <c r="F183" s="11">
        <f t="shared" si="15"/>
        <v>0.46699488433015207</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0.62390720711277126</v>
      </c>
      <c r="E184" s="11">
        <f>A184-'Mastercurve bestimmen'!$B$2</f>
        <v>4</v>
      </c>
      <c r="F184" s="11">
        <f t="shared" si="15"/>
        <v>0.62390720711277126</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0.78141139012268068</v>
      </c>
      <c r="E185" s="11">
        <f>A185-'Mastercurve bestimmen'!$B$2</f>
        <v>5</v>
      </c>
      <c r="F185" s="11">
        <f t="shared" si="15"/>
        <v>0.78141139012268068</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0.93948834109448387</v>
      </c>
      <c r="E186" s="11">
        <f>A186-'Mastercurve bestimmen'!$B$2</f>
        <v>6</v>
      </c>
      <c r="F186" s="11">
        <f t="shared" si="15"/>
        <v>0.93948834109448387</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1.0981189677627843</v>
      </c>
      <c r="E187" s="11">
        <f>A187-'Mastercurve bestimmen'!$B$2</f>
        <v>7</v>
      </c>
      <c r="F187" s="11">
        <f t="shared" si="15"/>
        <v>1.0981189677627843</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1.2572841778621855</v>
      </c>
      <c r="E188" s="11">
        <f>A188-'Mastercurve bestimmen'!$B$2</f>
        <v>8</v>
      </c>
      <c r="F188" s="11">
        <f t="shared" si="15"/>
        <v>1.2572841778621855</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1.4169648791272911</v>
      </c>
      <c r="E189" s="11">
        <f>A189-'Mastercurve bestimmen'!$B$2</f>
        <v>9</v>
      </c>
      <c r="F189" s="11">
        <f t="shared" si="15"/>
        <v>1.4169648791272911</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1.5771419792927044</v>
      </c>
      <c r="E190" s="11">
        <f>A190-'Mastercurve bestimmen'!$B$2</f>
        <v>10</v>
      </c>
      <c r="F190" s="11">
        <f t="shared" si="15"/>
        <v>1.5771419792927044</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1.7377963860930294</v>
      </c>
      <c r="E191" s="11">
        <f>A191-'Mastercurve bestimmen'!$B$2</f>
        <v>11</v>
      </c>
      <c r="F191" s="11">
        <f t="shared" si="15"/>
        <v>1.7377963860930294</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1.8989090072628694</v>
      </c>
      <c r="E192" s="11">
        <f>A192-'Mastercurve bestimmen'!$B$2</f>
        <v>12</v>
      </c>
      <c r="F192" s="11">
        <f t="shared" si="15"/>
        <v>1.8989090072628694</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2.0604607505368278</v>
      </c>
      <c r="E193" s="11">
        <f>A193-'Mastercurve bestimmen'!$B$2</f>
        <v>13</v>
      </c>
      <c r="F193" s="11">
        <f t="shared" si="15"/>
        <v>2.0604607505368278</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2.2224325236495086</v>
      </c>
      <c r="E194" s="11">
        <f>A194-'Mastercurve bestimmen'!$B$2</f>
        <v>14</v>
      </c>
      <c r="F194" s="11">
        <f t="shared" si="15"/>
        <v>2.2224325236495086</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2.3848052343355142</v>
      </c>
      <c r="E195" s="11">
        <f>A195-'Mastercurve bestimmen'!$B$2</f>
        <v>15</v>
      </c>
      <c r="F195" s="11">
        <f t="shared" si="15"/>
        <v>2.3848052343355142</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2.5475597903294496</v>
      </c>
      <c r="E196" s="11">
        <f>A196-'Mastercurve bestimmen'!$B$2</f>
        <v>16</v>
      </c>
      <c r="F196" s="11">
        <f t="shared" si="15"/>
        <v>2.5475597903294496</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2.7106770993659177</v>
      </c>
      <c r="E197" s="11">
        <f>A197-'Mastercurve bestimmen'!$B$2</f>
        <v>17</v>
      </c>
      <c r="F197" s="11">
        <f t="shared" si="15"/>
        <v>2.7106770993659177</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2.8741380691795215</v>
      </c>
      <c r="E198" s="11">
        <f>A198-'Mastercurve bestimmen'!$B$2</f>
        <v>18</v>
      </c>
      <c r="F198" s="11">
        <f t="shared" si="15"/>
        <v>2.8741380691795215</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3.0379236075048657</v>
      </c>
      <c r="E199" s="11">
        <f>A199-'Mastercurve bestimmen'!$B$2</f>
        <v>19</v>
      </c>
      <c r="F199" s="11">
        <f t="shared" si="15"/>
        <v>3.0379236075048657</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3.2020146220765526</v>
      </c>
      <c r="E200" s="11">
        <f>A200-'Mastercurve bestimmen'!$B$2</f>
        <v>20</v>
      </c>
      <c r="F200" s="11">
        <f t="shared" si="15"/>
        <v>3.2020146220765526</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3.3663920206291871</v>
      </c>
      <c r="E201" s="11">
        <f>A201-'Mastercurve bestimmen'!$B$2</f>
        <v>21</v>
      </c>
      <c r="F201" s="11">
        <f t="shared" si="15"/>
        <v>3.3663920206291871</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3.5310367108973719</v>
      </c>
      <c r="E202" s="11">
        <f>A202-'Mastercurve bestimmen'!$B$2</f>
        <v>22</v>
      </c>
      <c r="F202" s="11">
        <f t="shared" si="15"/>
        <v>3.5310367108973719</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3.6959296006157101</v>
      </c>
      <c r="E203" s="11">
        <f>A203-'Mastercurve bestimmen'!$B$2</f>
        <v>23</v>
      </c>
      <c r="F203" s="11">
        <f t="shared" si="15"/>
        <v>3.6959296006157101</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3.8610515975188062</v>
      </c>
      <c r="E204" s="11">
        <f>A204-'Mastercurve bestimmen'!$B$2</f>
        <v>24</v>
      </c>
      <c r="F204" s="11">
        <f t="shared" si="15"/>
        <v>3.8610515975188062</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4.0263836093412628</v>
      </c>
      <c r="E205" s="11">
        <f>A205-'Mastercurve bestimmen'!$B$2</f>
        <v>25</v>
      </c>
      <c r="F205" s="11">
        <f t="shared" si="15"/>
        <v>4.0263836093412628</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4.1919065438176846</v>
      </c>
      <c r="E206" s="11">
        <f>A206-'Mastercurve bestimmen'!$B$2</f>
        <v>26</v>
      </c>
      <c r="F206" s="11">
        <f t="shared" si="15"/>
        <v>4.1919065438176846</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4.3576013086826739</v>
      </c>
      <c r="E207" s="11">
        <f>A207-'Mastercurve bestimmen'!$B$2</f>
        <v>27</v>
      </c>
      <c r="F207" s="11">
        <f t="shared" si="15"/>
        <v>4.3576013086826739</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4.5234488116708356</v>
      </c>
      <c r="E208" s="11">
        <f>A208-'Mastercurve bestimmen'!$B$2</f>
        <v>28</v>
      </c>
      <c r="F208" s="11">
        <f t="shared" ref="F208:F215" si="21">B208</f>
        <v>4.5234488116708356</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4.6894299605167724</v>
      </c>
      <c r="E209" s="11">
        <f>A209-'Mastercurve bestimmen'!$B$2</f>
        <v>29</v>
      </c>
      <c r="F209" s="11">
        <f t="shared" si="21"/>
        <v>4.6894299605167724</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4.8555256629550874</v>
      </c>
      <c r="E210" s="11">
        <f>A210-'Mastercurve bestimmen'!$B$2</f>
        <v>30</v>
      </c>
      <c r="F210" s="11">
        <f t="shared" si="21"/>
        <v>4.8555256629550874</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5.0217168267203851</v>
      </c>
      <c r="E211" s="11">
        <f>A211-'Mastercurve bestimmen'!$B$2</f>
        <v>31</v>
      </c>
      <c r="F211" s="11">
        <f t="shared" si="21"/>
        <v>5.0217168267203851</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5.1879843595472686</v>
      </c>
      <c r="E212" s="11">
        <f>A212-'Mastercurve bestimmen'!$B$2</f>
        <v>32</v>
      </c>
      <c r="F212" s="11">
        <f t="shared" si="21"/>
        <v>5.1879843595472686</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5.3543091691703415</v>
      </c>
      <c r="E213" s="11">
        <f>A213-'Mastercurve bestimmen'!$B$2</f>
        <v>33</v>
      </c>
      <c r="F213" s="11">
        <f t="shared" si="21"/>
        <v>5.3543091691703415</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5.5206721633242077</v>
      </c>
      <c r="E214" s="11">
        <f>A214-'Mastercurve bestimmen'!$B$2</f>
        <v>34</v>
      </c>
      <c r="F214" s="11">
        <f t="shared" si="21"/>
        <v>5.5206721633242077</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5.6870542497434693</v>
      </c>
      <c r="E215" s="11">
        <f>A215-'Mastercurve bestimmen'!$B$2</f>
        <v>35</v>
      </c>
      <c r="F215" s="11">
        <f t="shared" si="21"/>
        <v>5.6870542497434693</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0.15905318561339743</v>
      </c>
      <c r="J217" s="98">
        <v>2.2865168516042334E-4</v>
      </c>
      <c r="K217" s="98">
        <v>-1.4405464947548475E-5</v>
      </c>
      <c r="L217" s="98">
        <v>3.2381970215015617E-8</v>
      </c>
      <c r="M217" s="98">
        <v>6.1486167352123354E-9</v>
      </c>
      <c r="N217" s="98">
        <v>7.6541834646700789E-11</v>
      </c>
      <c r="O217" s="98">
        <v>3.7106195367033982E-13</v>
      </c>
      <c r="P217" s="98">
        <v>6.4980438373932418E-16</v>
      </c>
    </row>
    <row r="218" spans="1:16" x14ac:dyDescent="0.25">
      <c r="G218" s="11"/>
      <c r="H218" s="11">
        <v>0</v>
      </c>
      <c r="I218" s="11">
        <v>4.8190189020393272E-4</v>
      </c>
      <c r="J218" s="11">
        <v>1.9574675860186738E-5</v>
      </c>
      <c r="K218" s="3">
        <v>6.033275982545954E-7</v>
      </c>
      <c r="L218" s="3">
        <v>1.5503982541147571E-8</v>
      </c>
      <c r="M218" s="3">
        <v>4.3180688408195785E-10</v>
      </c>
      <c r="N218" s="3">
        <v>5.1214717281936391E-12</v>
      </c>
      <c r="O218" s="11">
        <v>2.6909618309250074E-14</v>
      </c>
      <c r="P218" s="11">
        <v>5.2533430897835296E-17</v>
      </c>
    </row>
    <row r="219" spans="1:16" x14ac:dyDescent="0.25">
      <c r="G219" s="11"/>
      <c r="H219" s="11">
        <v>0.99998309488958914</v>
      </c>
      <c r="I219" s="11">
        <v>4.142923137740772E-2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-17.204956515886238</v>
      </c>
      <c r="G222">
        <f>F15</f>
        <v>-17.218692816761287</v>
      </c>
    </row>
    <row r="223" spans="1:16" x14ac:dyDescent="0.25">
      <c r="E223" s="11">
        <f t="shared" ref="E223:E286" si="25">E16</f>
        <v>-164</v>
      </c>
      <c r="F223" s="11">
        <f t="shared" ref="F223:F286" si="26">$H$217*0+E223*$I$217+E223^2*$J$217+E223^3*$K$217+E223^4*$L$217+E223^5*$M$217+E223^6*$N$217+E223^7*$O$217+E223^8*$P$217</f>
        <v>-17.151402363042166</v>
      </c>
      <c r="G223" s="11">
        <f t="shared" ref="G223:G286" si="27">F16</f>
        <v>-17.154555953054231</v>
      </c>
    </row>
    <row r="224" spans="1:16" x14ac:dyDescent="0.25">
      <c r="E224" s="11">
        <f t="shared" si="25"/>
        <v>-163</v>
      </c>
      <c r="F224" s="11">
        <f t="shared" si="26"/>
        <v>-17.094992423612666</v>
      </c>
      <c r="G224" s="11">
        <f t="shared" si="27"/>
        <v>-17.090359196898852</v>
      </c>
    </row>
    <row r="225" spans="5:7" x14ac:dyDescent="0.25">
      <c r="E225" s="11">
        <f t="shared" si="25"/>
        <v>-162</v>
      </c>
      <c r="F225" s="11">
        <f t="shared" si="26"/>
        <v>-17.036048891762562</v>
      </c>
      <c r="G225" s="11">
        <f t="shared" si="27"/>
        <v>-17.02604265584684</v>
      </c>
    </row>
    <row r="226" spans="5:7" x14ac:dyDescent="0.25">
      <c r="E226" s="11">
        <f t="shared" si="25"/>
        <v>-161</v>
      </c>
      <c r="F226" s="11">
        <f t="shared" si="26"/>
        <v>-16.974860560357683</v>
      </c>
      <c r="G226" s="11">
        <f t="shared" si="27"/>
        <v>-16.961546437449876</v>
      </c>
    </row>
    <row r="227" spans="5:7" x14ac:dyDescent="0.25">
      <c r="E227" s="11">
        <f t="shared" si="25"/>
        <v>-160</v>
      </c>
      <c r="F227" s="11">
        <f t="shared" si="26"/>
        <v>-16.911685084686098</v>
      </c>
      <c r="G227" s="11">
        <f t="shared" si="27"/>
        <v>-16.896810649259638</v>
      </c>
    </row>
    <row r="228" spans="5:7" x14ac:dyDescent="0.25">
      <c r="E228" s="11">
        <f t="shared" si="25"/>
        <v>-159</v>
      </c>
      <c r="F228" s="11">
        <f t="shared" si="26"/>
        <v>-16.846751150226794</v>
      </c>
      <c r="G228" s="11">
        <f t="shared" si="27"/>
        <v>-16.831775398827812</v>
      </c>
    </row>
    <row r="229" spans="5:7" x14ac:dyDescent="0.25">
      <c r="E229" s="11">
        <f t="shared" si="25"/>
        <v>-158</v>
      </c>
      <c r="F229" s="11">
        <f t="shared" si="26"/>
        <v>-16.780260546831812</v>
      </c>
      <c r="G229" s="11">
        <f t="shared" si="27"/>
        <v>-16.76638079370608</v>
      </c>
    </row>
    <row r="230" spans="5:7" x14ac:dyDescent="0.25">
      <c r="E230" s="11">
        <f t="shared" si="25"/>
        <v>-157</v>
      </c>
      <c r="F230" s="11">
        <f t="shared" si="26"/>
        <v>-16.712390151652585</v>
      </c>
      <c r="G230" s="11">
        <f t="shared" si="27"/>
        <v>-16.70056694144612</v>
      </c>
    </row>
    <row r="231" spans="5:7" x14ac:dyDescent="0.25">
      <c r="E231" s="11">
        <f t="shared" si="25"/>
        <v>-156</v>
      </c>
      <c r="F231" s="11">
        <f t="shared" si="26"/>
        <v>-16.643293823122178</v>
      </c>
      <c r="G231" s="11">
        <f t="shared" si="27"/>
        <v>-16.634273949599621</v>
      </c>
    </row>
    <row r="232" spans="5:7" x14ac:dyDescent="0.25">
      <c r="E232" s="11">
        <f t="shared" si="25"/>
        <v>-155</v>
      </c>
      <c r="F232" s="11">
        <f t="shared" si="26"/>
        <v>-16.573104208276845</v>
      </c>
      <c r="G232" s="11">
        <f t="shared" si="27"/>
        <v>-16.56744192571826</v>
      </c>
    </row>
    <row r="233" spans="5:7" x14ac:dyDescent="0.25">
      <c r="E233" s="11">
        <f t="shared" si="25"/>
        <v>-154</v>
      </c>
      <c r="F233" s="11">
        <f t="shared" si="26"/>
        <v>-16.501934465667119</v>
      </c>
      <c r="G233" s="11">
        <f t="shared" si="27"/>
        <v>-16.500010977353721</v>
      </c>
    </row>
    <row r="234" spans="5:7" x14ac:dyDescent="0.25">
      <c r="E234" s="11">
        <f t="shared" si="25"/>
        <v>-153</v>
      </c>
      <c r="F234" s="11">
        <f t="shared" si="26"/>
        <v>-16.429879906098336</v>
      </c>
      <c r="G234" s="11">
        <f t="shared" si="27"/>
        <v>-16.431921212057684</v>
      </c>
    </row>
    <row r="235" spans="5:7" x14ac:dyDescent="0.25">
      <c r="E235" s="11">
        <f t="shared" si="25"/>
        <v>-152</v>
      </c>
      <c r="F235" s="11">
        <f t="shared" si="26"/>
        <v>-16.357019553395503</v>
      </c>
      <c r="G235" s="11">
        <f t="shared" si="27"/>
        <v>-16.363112737381833</v>
      </c>
    </row>
    <row r="236" spans="5:7" x14ac:dyDescent="0.25">
      <c r="E236" s="11">
        <f t="shared" si="25"/>
        <v>-151</v>
      </c>
      <c r="F236" s="11">
        <f t="shared" si="26"/>
        <v>-16.283417627374746</v>
      </c>
      <c r="G236" s="11">
        <f t="shared" si="27"/>
        <v>-16.293525660877854</v>
      </c>
    </row>
    <row r="237" spans="5:7" x14ac:dyDescent="0.25">
      <c r="E237" s="11">
        <f t="shared" si="25"/>
        <v>-150</v>
      </c>
      <c r="F237" s="11">
        <f t="shared" si="26"/>
        <v>-16.209124951173351</v>
      </c>
      <c r="G237" s="11">
        <f t="shared" si="27"/>
        <v>-16.223100090097418</v>
      </c>
    </row>
    <row r="238" spans="5:7" x14ac:dyDescent="0.25">
      <c r="E238" s="11">
        <f t="shared" si="25"/>
        <v>-149</v>
      </c>
      <c r="F238" s="11">
        <f t="shared" si="26"/>
        <v>-16.134180285061603</v>
      </c>
      <c r="G238" s="11">
        <f t="shared" si="27"/>
        <v>-16.151776132592218</v>
      </c>
    </row>
    <row r="239" spans="5:7" x14ac:dyDescent="0.25">
      <c r="E239" s="11">
        <f t="shared" si="25"/>
        <v>-148</v>
      </c>
      <c r="F239" s="11">
        <f t="shared" si="26"/>
        <v>-16.058611588836385</v>
      </c>
      <c r="G239" s="11">
        <f t="shared" si="27"/>
        <v>-16.079493895913934</v>
      </c>
    </row>
    <row r="240" spans="5:7" x14ac:dyDescent="0.25">
      <c r="E240" s="11">
        <f t="shared" si="25"/>
        <v>-147</v>
      </c>
      <c r="F240" s="11">
        <f t="shared" si="26"/>
        <v>-15.982437214870345</v>
      </c>
      <c r="G240" s="11">
        <f t="shared" si="27"/>
        <v>-16.006193487614244</v>
      </c>
    </row>
    <row r="241" spans="5:7" x14ac:dyDescent="0.25">
      <c r="E241" s="11">
        <f t="shared" si="25"/>
        <v>-146</v>
      </c>
      <c r="F241" s="11">
        <f t="shared" si="26"/>
        <v>-15.905667033862272</v>
      </c>
      <c r="G241" s="11">
        <f t="shared" si="27"/>
        <v>-15.931815015244837</v>
      </c>
    </row>
    <row r="242" spans="5:7" x14ac:dyDescent="0.25">
      <c r="E242" s="11">
        <f t="shared" si="25"/>
        <v>-145</v>
      </c>
      <c r="F242" s="11">
        <f t="shared" si="26"/>
        <v>-15.828303495310138</v>
      </c>
      <c r="G242" s="11">
        <f t="shared" si="27"/>
        <v>-15.856298586357386</v>
      </c>
    </row>
    <row r="243" spans="5:7" x14ac:dyDescent="0.25">
      <c r="E243" s="11">
        <f t="shared" si="25"/>
        <v>-144</v>
      </c>
      <c r="F243" s="11">
        <f t="shared" si="26"/>
        <v>-15.750342624700224</v>
      </c>
      <c r="G243" s="11">
        <f t="shared" si="27"/>
        <v>-15.77958430850358</v>
      </c>
    </row>
    <row r="244" spans="5:7" x14ac:dyDescent="0.25">
      <c r="E244" s="11">
        <f t="shared" si="25"/>
        <v>-143</v>
      </c>
      <c r="F244" s="11">
        <f t="shared" si="26"/>
        <v>-15.671774959380883</v>
      </c>
      <c r="G244" s="11">
        <f t="shared" si="27"/>
        <v>-15.701612289235101</v>
      </c>
    </row>
    <row r="245" spans="5:7" x14ac:dyDescent="0.25">
      <c r="E245" s="11">
        <f t="shared" si="25"/>
        <v>-142</v>
      </c>
      <c r="F245" s="11">
        <f t="shared" si="26"/>
        <v>-15.592586425063729</v>
      </c>
      <c r="G245" s="11">
        <f t="shared" si="27"/>
        <v>-15.622322636103627</v>
      </c>
    </row>
    <row r="246" spans="5:7" x14ac:dyDescent="0.25">
      <c r="E246" s="11">
        <f t="shared" si="25"/>
        <v>-141</v>
      </c>
      <c r="F246" s="11">
        <f t="shared" si="26"/>
        <v>-15.512759154867041</v>
      </c>
      <c r="G246" s="11">
        <f t="shared" si="27"/>
        <v>-15.541655456660845</v>
      </c>
    </row>
    <row r="247" spans="5:7" x14ac:dyDescent="0.25">
      <c r="E247" s="11">
        <f t="shared" si="25"/>
        <v>-140</v>
      </c>
      <c r="F247" s="11">
        <f t="shared" si="26"/>
        <v>-15.432272252790909</v>
      </c>
      <c r="G247" s="11">
        <f t="shared" si="27"/>
        <v>-15.459550858458432</v>
      </c>
    </row>
    <row r="248" spans="5:7" x14ac:dyDescent="0.25">
      <c r="E248" s="11">
        <f t="shared" si="25"/>
        <v>-139</v>
      </c>
      <c r="F248" s="11">
        <f t="shared" si="26"/>
        <v>-15.351102503487738</v>
      </c>
      <c r="G248" s="11">
        <f t="shared" si="27"/>
        <v>-15.375948949048073</v>
      </c>
    </row>
    <row r="249" spans="5:7" x14ac:dyDescent="0.25">
      <c r="E249" s="11">
        <f t="shared" si="25"/>
        <v>-138</v>
      </c>
      <c r="F249" s="11">
        <f t="shared" si="26"/>
        <v>-15.269225030166112</v>
      </c>
      <c r="G249" s="11">
        <f t="shared" si="27"/>
        <v>-15.29078983598145</v>
      </c>
    </row>
    <row r="250" spans="5:7" x14ac:dyDescent="0.25">
      <c r="E250" s="11">
        <f t="shared" si="25"/>
        <v>-137</v>
      </c>
      <c r="F250" s="11">
        <f t="shared" si="26"/>
        <v>-15.186613902437131</v>
      </c>
      <c r="G250" s="11">
        <f t="shared" si="27"/>
        <v>-15.204013626810248</v>
      </c>
    </row>
    <row r="251" spans="5:7" x14ac:dyDescent="0.25">
      <c r="E251" s="11">
        <f t="shared" si="25"/>
        <v>-136</v>
      </c>
      <c r="F251" s="11">
        <f t="shared" si="26"/>
        <v>-15.10324269589016</v>
      </c>
      <c r="G251" s="11">
        <f t="shared" si="27"/>
        <v>-15.115560429086145</v>
      </c>
    </row>
    <row r="252" spans="5:7" x14ac:dyDescent="0.25">
      <c r="E252" s="11">
        <f t="shared" si="25"/>
        <v>-135</v>
      </c>
      <c r="F252" s="11">
        <f t="shared" si="26"/>
        <v>-15.019085005154224</v>
      </c>
      <c r="G252" s="11">
        <f t="shared" si="27"/>
        <v>-15.025370350360824</v>
      </c>
    </row>
    <row r="253" spans="5:7" x14ac:dyDescent="0.25">
      <c r="E253" s="11">
        <f t="shared" si="25"/>
        <v>-134</v>
      </c>
      <c r="F253" s="11">
        <f t="shared" si="26"/>
        <v>-14.934114912179453</v>
      </c>
      <c r="G253" s="11">
        <f t="shared" si="27"/>
        <v>-14.933383498185966</v>
      </c>
    </row>
    <row r="254" spans="5:7" x14ac:dyDescent="0.25">
      <c r="E254" s="11">
        <f t="shared" si="25"/>
        <v>-133</v>
      </c>
      <c r="F254" s="11">
        <f t="shared" si="26"/>
        <v>-14.848307411444267</v>
      </c>
      <c r="G254" s="11">
        <f t="shared" si="27"/>
        <v>-14.839539980113257</v>
      </c>
    </row>
    <row r="255" spans="5:7" x14ac:dyDescent="0.25">
      <c r="E255" s="11">
        <f t="shared" si="25"/>
        <v>-132</v>
      </c>
      <c r="F255" s="11">
        <f t="shared" si="26"/>
        <v>-14.761638793766664</v>
      </c>
      <c r="G255" s="11">
        <f t="shared" si="27"/>
        <v>-14.743779903694376</v>
      </c>
    </row>
    <row r="256" spans="5:7" x14ac:dyDescent="0.25">
      <c r="E256" s="11">
        <f t="shared" si="25"/>
        <v>-131</v>
      </c>
      <c r="F256" s="11">
        <f t="shared" si="26"/>
        <v>-14.674086990375777</v>
      </c>
      <c r="G256" s="11">
        <f t="shared" si="27"/>
        <v>-14.646043376481007</v>
      </c>
    </row>
    <row r="257" spans="5:7" x14ac:dyDescent="0.25">
      <c r="E257" s="11">
        <f t="shared" si="25"/>
        <v>-130</v>
      </c>
      <c r="F257" s="11">
        <f t="shared" si="26"/>
        <v>-14.585631878869428</v>
      </c>
      <c r="G257" s="11">
        <f t="shared" si="27"/>
        <v>-14.546270506024829</v>
      </c>
    </row>
    <row r="258" spans="5:7" x14ac:dyDescent="0.25">
      <c r="E258" s="11">
        <f t="shared" si="25"/>
        <v>-129</v>
      </c>
      <c r="F258" s="11">
        <f t="shared" si="26"/>
        <v>-14.496255552660188</v>
      </c>
      <c r="G258" s="11">
        <f t="shared" si="27"/>
        <v>-14.444401399877528</v>
      </c>
    </row>
    <row r="259" spans="5:7" x14ac:dyDescent="0.25">
      <c r="E259" s="11">
        <f t="shared" si="25"/>
        <v>-128</v>
      </c>
      <c r="F259" s="11">
        <f t="shared" si="26"/>
        <v>-14.405942555484359</v>
      </c>
      <c r="G259" s="11">
        <f t="shared" si="27"/>
        <v>-14.340376165590786</v>
      </c>
    </row>
    <row r="260" spans="5:7" x14ac:dyDescent="0.25">
      <c r="E260" s="11">
        <f t="shared" si="25"/>
        <v>-127</v>
      </c>
      <c r="F260" s="11">
        <f t="shared" si="26"/>
        <v>-14.31468008252309</v>
      </c>
      <c r="G260" s="11">
        <f t="shared" si="27"/>
        <v>-14.234134910716282</v>
      </c>
    </row>
    <row r="261" spans="5:7" x14ac:dyDescent="0.25">
      <c r="E261" s="11">
        <f t="shared" si="25"/>
        <v>-126</v>
      </c>
      <c r="F261" s="11">
        <f t="shared" si="26"/>
        <v>-14.222458149658699</v>
      </c>
      <c r="G261" s="11">
        <f t="shared" si="27"/>
        <v>-14.1256177428057</v>
      </c>
    </row>
    <row r="262" spans="5:7" x14ac:dyDescent="0.25">
      <c r="E262" s="11">
        <f t="shared" si="25"/>
        <v>-125</v>
      </c>
      <c r="F262" s="11">
        <f t="shared" si="26"/>
        <v>-14.129269732362097</v>
      </c>
      <c r="G262" s="11">
        <f t="shared" si="27"/>
        <v>-14.014764769410723</v>
      </c>
    </row>
    <row r="263" spans="5:7" x14ac:dyDescent="0.25">
      <c r="E263" s="11">
        <f t="shared" si="25"/>
        <v>-124</v>
      </c>
      <c r="F263" s="11">
        <f t="shared" si="26"/>
        <v>-14.035110875682648</v>
      </c>
      <c r="G263" s="11">
        <f t="shared" si="27"/>
        <v>-13.939693594754406</v>
      </c>
    </row>
    <row r="264" spans="5:7" x14ac:dyDescent="0.25">
      <c r="E264" s="11">
        <f t="shared" si="25"/>
        <v>-123</v>
      </c>
      <c r="F264" s="11">
        <f t="shared" si="26"/>
        <v>-13.939980776783351</v>
      </c>
      <c r="G264" s="11">
        <f t="shared" si="27"/>
        <v>-13.862289748711889</v>
      </c>
    </row>
    <row r="265" spans="5:7" x14ac:dyDescent="0.25">
      <c r="E265" s="11">
        <f t="shared" si="25"/>
        <v>-122</v>
      </c>
      <c r="F265" s="11">
        <f t="shared" si="26"/>
        <v>-13.843881841440385</v>
      </c>
      <c r="G265" s="11">
        <f t="shared" si="27"/>
        <v>-13.782616257829691</v>
      </c>
    </row>
    <row r="266" spans="5:7" x14ac:dyDescent="0.25">
      <c r="E266" s="11">
        <f t="shared" si="25"/>
        <v>-121</v>
      </c>
      <c r="F266" s="11">
        <f t="shared" si="26"/>
        <v>-13.74681971589861</v>
      </c>
      <c r="G266" s="11">
        <f t="shared" si="27"/>
        <v>-13.700736148654324</v>
      </c>
    </row>
    <row r="267" spans="5:7" x14ac:dyDescent="0.25">
      <c r="E267" s="11">
        <f t="shared" si="25"/>
        <v>-120</v>
      </c>
      <c r="F267" s="11">
        <f t="shared" si="26"/>
        <v>-13.648803295447745</v>
      </c>
      <c r="G267" s="11">
        <f t="shared" si="27"/>
        <v>-13.616712447732301</v>
      </c>
    </row>
    <row r="268" spans="5:7" x14ac:dyDescent="0.25">
      <c r="E268" s="11">
        <f t="shared" si="25"/>
        <v>-119</v>
      </c>
      <c r="F268" s="11">
        <f t="shared" si="26"/>
        <v>-13.549844711059841</v>
      </c>
      <c r="G268" s="11">
        <f t="shared" si="27"/>
        <v>-13.530608181610139</v>
      </c>
    </row>
    <row r="269" spans="5:7" x14ac:dyDescent="0.25">
      <c r="E269" s="11">
        <f t="shared" si="25"/>
        <v>-118</v>
      </c>
      <c r="F269" s="11">
        <f t="shared" si="26"/>
        <v>-13.449959295400109</v>
      </c>
      <c r="G269" s="11">
        <f t="shared" si="27"/>
        <v>-13.442486376834353</v>
      </c>
    </row>
    <row r="270" spans="5:7" x14ac:dyDescent="0.25">
      <c r="E270" s="11">
        <f t="shared" si="25"/>
        <v>-117</v>
      </c>
      <c r="F270" s="11">
        <f t="shared" si="26"/>
        <v>-13.349165529499018</v>
      </c>
      <c r="G270" s="11">
        <f t="shared" si="27"/>
        <v>-13.352410059951454</v>
      </c>
    </row>
    <row r="271" spans="5:7" x14ac:dyDescent="0.25">
      <c r="E271" s="11">
        <f t="shared" si="25"/>
        <v>-116</v>
      </c>
      <c r="F271" s="11">
        <f t="shared" si="26"/>
        <v>-13.24748497134533</v>
      </c>
      <c r="G271" s="11">
        <f t="shared" si="27"/>
        <v>-13.260442257507965</v>
      </c>
    </row>
    <row r="272" spans="5:7" x14ac:dyDescent="0.25">
      <c r="E272" s="11">
        <f t="shared" si="25"/>
        <v>-115</v>
      </c>
      <c r="F272" s="11">
        <f t="shared" si="26"/>
        <v>-13.144942167635833</v>
      </c>
      <c r="G272" s="11">
        <f t="shared" si="27"/>
        <v>-13.166645996050395</v>
      </c>
    </row>
    <row r="273" spans="5:7" x14ac:dyDescent="0.25">
      <c r="E273" s="11">
        <f t="shared" si="25"/>
        <v>-114</v>
      </c>
      <c r="F273" s="11">
        <f t="shared" si="26"/>
        <v>-13.041564549889053</v>
      </c>
      <c r="G273" s="11">
        <f t="shared" si="27"/>
        <v>-13.071084302125261</v>
      </c>
    </row>
    <row r="274" spans="5:7" x14ac:dyDescent="0.25">
      <c r="E274" s="11">
        <f t="shared" si="25"/>
        <v>-113</v>
      </c>
      <c r="F274" s="11">
        <f t="shared" si="26"/>
        <v>-12.937382316106056</v>
      </c>
      <c r="G274" s="11">
        <f t="shared" si="27"/>
        <v>-12.973820202279075</v>
      </c>
    </row>
    <row r="275" spans="5:7" x14ac:dyDescent="0.25">
      <c r="E275" s="11">
        <f t="shared" si="25"/>
        <v>-112</v>
      </c>
      <c r="F275" s="11">
        <f t="shared" si="26"/>
        <v>-12.832428299133589</v>
      </c>
      <c r="G275" s="11">
        <f t="shared" si="27"/>
        <v>-12.874916723058355</v>
      </c>
    </row>
    <row r="276" spans="5:7" x14ac:dyDescent="0.25">
      <c r="E276" s="11">
        <f t="shared" si="25"/>
        <v>-111</v>
      </c>
      <c r="F276" s="11">
        <f t="shared" si="26"/>
        <v>-12.726737822859349</v>
      </c>
      <c r="G276" s="11">
        <f t="shared" si="27"/>
        <v>-12.774436891009612</v>
      </c>
    </row>
    <row r="277" spans="5:7" x14ac:dyDescent="0.25">
      <c r="E277" s="11">
        <f t="shared" si="25"/>
        <v>-110</v>
      </c>
      <c r="F277" s="11">
        <f t="shared" si="26"/>
        <v>-12.620348547343699</v>
      </c>
      <c r="G277" s="11">
        <f t="shared" si="27"/>
        <v>-12.672443732679366</v>
      </c>
    </row>
    <row r="278" spans="5:7" x14ac:dyDescent="0.25">
      <c r="E278" s="11">
        <f t="shared" si="25"/>
        <v>-109</v>
      </c>
      <c r="F278" s="11">
        <f t="shared" si="26"/>
        <v>-12.513300303964284</v>
      </c>
      <c r="G278" s="11">
        <f t="shared" si="27"/>
        <v>-12.56900027461413</v>
      </c>
    </row>
    <row r="279" spans="5:7" x14ac:dyDescent="0.25">
      <c r="E279" s="11">
        <f t="shared" si="25"/>
        <v>-108</v>
      </c>
      <c r="F279" s="11">
        <f t="shared" si="26"/>
        <v>-12.405634921625106</v>
      </c>
      <c r="G279" s="11">
        <f t="shared" si="27"/>
        <v>-12.464169543360416</v>
      </c>
    </row>
    <row r="280" spans="5:7" x14ac:dyDescent="0.25">
      <c r="E280" s="11">
        <f t="shared" si="25"/>
        <v>-107</v>
      </c>
      <c r="F280" s="11">
        <f t="shared" si="26"/>
        <v>-12.297396045055146</v>
      </c>
      <c r="G280" s="11">
        <f t="shared" si="27"/>
        <v>-12.358014565464744</v>
      </c>
    </row>
    <row r="281" spans="5:7" x14ac:dyDescent="0.25">
      <c r="E281" s="11">
        <f t="shared" si="25"/>
        <v>-106</v>
      </c>
      <c r="F281" s="11">
        <f t="shared" si="26"/>
        <v>-12.188628946194935</v>
      </c>
      <c r="G281" s="11">
        <f t="shared" si="27"/>
        <v>-12.250598367473625</v>
      </c>
    </row>
    <row r="282" spans="5:7" x14ac:dyDescent="0.25">
      <c r="E282" s="11">
        <f t="shared" si="25"/>
        <v>-105</v>
      </c>
      <c r="F282" s="11">
        <f t="shared" si="26"/>
        <v>-12.079380329644168</v>
      </c>
      <c r="G282" s="11">
        <f t="shared" si="27"/>
        <v>-12.141983975933575</v>
      </c>
    </row>
    <row r="283" spans="5:7" x14ac:dyDescent="0.25">
      <c r="E283" s="11">
        <f t="shared" si="25"/>
        <v>-104</v>
      </c>
      <c r="F283" s="11">
        <f t="shared" si="26"/>
        <v>-11.969698133115962</v>
      </c>
      <c r="G283" s="11">
        <f t="shared" si="27"/>
        <v>-12.032234417391109</v>
      </c>
    </row>
    <row r="284" spans="5:7" x14ac:dyDescent="0.25">
      <c r="E284" s="11">
        <f t="shared" si="25"/>
        <v>-103</v>
      </c>
      <c r="F284" s="11">
        <f t="shared" si="26"/>
        <v>-11.859631323818622</v>
      </c>
      <c r="G284" s="11">
        <f t="shared" si="27"/>
        <v>-11.921412718392743</v>
      </c>
    </row>
    <row r="285" spans="5:7" x14ac:dyDescent="0.25">
      <c r="E285" s="11">
        <f t="shared" si="25"/>
        <v>-102</v>
      </c>
      <c r="F285" s="11">
        <f t="shared" si="26"/>
        <v>-11.749229691658627</v>
      </c>
      <c r="G285" s="11">
        <f t="shared" si="27"/>
        <v>-11.80958190548499</v>
      </c>
    </row>
    <row r="286" spans="5:7" x14ac:dyDescent="0.25">
      <c r="E286" s="11">
        <f t="shared" si="25"/>
        <v>-101</v>
      </c>
      <c r="F286" s="11">
        <f t="shared" si="26"/>
        <v>-11.63854364013242</v>
      </c>
      <c r="G286" s="11">
        <f t="shared" si="27"/>
        <v>-11.696805005214365</v>
      </c>
    </row>
    <row r="287" spans="5:7" x14ac:dyDescent="0.25">
      <c r="E287" s="11">
        <f t="shared" ref="E287:E350" si="28">E80</f>
        <v>-100</v>
      </c>
      <c r="F287" s="11">
        <f t="shared" ref="F287:F350" si="29">$H$217*0+E287*$I$217+E287^2*$J$217+E287^3*$K$217+E287^4*$L$217+E287^5*$M$217+E287^6*$N$217+E287^7*$O$217+E287^8*$P$217</f>
        <v>-11.52762397574878</v>
      </c>
      <c r="G287" s="11">
        <f t="shared" ref="G287:G350" si="30">F80</f>
        <v>-11.583145044127384</v>
      </c>
    </row>
    <row r="288" spans="5:7" x14ac:dyDescent="0.25">
      <c r="E288" s="11">
        <f t="shared" si="28"/>
        <v>-99</v>
      </c>
      <c r="F288" s="11">
        <f t="shared" si="29"/>
        <v>-11.416521696797073</v>
      </c>
      <c r="G288" s="11">
        <f t="shared" si="30"/>
        <v>-11.468671669864126</v>
      </c>
    </row>
    <row r="289" spans="5:7" x14ac:dyDescent="0.25">
      <c r="E289" s="11">
        <f t="shared" si="28"/>
        <v>-98</v>
      </c>
      <c r="F289" s="11">
        <f t="shared" si="29"/>
        <v>-11.305287782250513</v>
      </c>
      <c r="G289" s="11">
        <f t="shared" si="30"/>
        <v>-11.353481014438922</v>
      </c>
    </row>
    <row r="290" spans="5:7" x14ac:dyDescent="0.25">
      <c r="E290" s="11">
        <f t="shared" si="28"/>
        <v>-97</v>
      </c>
      <c r="F290" s="11">
        <f t="shared" si="29"/>
        <v>-11.193972981567423</v>
      </c>
      <c r="G290" s="11">
        <f t="shared" si="30"/>
        <v>-11.237675830959665</v>
      </c>
    </row>
    <row r="291" spans="5:7" x14ac:dyDescent="0.25">
      <c r="E291" s="11">
        <f t="shared" si="28"/>
        <v>-96</v>
      </c>
      <c r="F291" s="11">
        <f t="shared" si="29"/>
        <v>-11.082627606127263</v>
      </c>
      <c r="G291" s="11">
        <f t="shared" si="30"/>
        <v>-11.121358872534255</v>
      </c>
    </row>
    <row r="292" spans="5:7" x14ac:dyDescent="0.25">
      <c r="E292" s="11">
        <f t="shared" si="28"/>
        <v>-95</v>
      </c>
      <c r="F292" s="11">
        <f t="shared" si="29"/>
        <v>-10.971301323011932</v>
      </c>
      <c r="G292" s="11">
        <f t="shared" si="30"/>
        <v>-11.004632892270589</v>
      </c>
    </row>
    <row r="293" spans="5:7" x14ac:dyDescent="0.25">
      <c r="E293" s="11">
        <f t="shared" si="28"/>
        <v>-94</v>
      </c>
      <c r="F293" s="11">
        <f t="shared" si="29"/>
        <v>-10.860042951816737</v>
      </c>
      <c r="G293" s="11">
        <f t="shared" si="30"/>
        <v>-10.88760064327656</v>
      </c>
    </row>
    <row r="294" spans="5:7" x14ac:dyDescent="0.25">
      <c r="E294" s="11">
        <f t="shared" si="28"/>
        <v>-93</v>
      </c>
      <c r="F294" s="11">
        <f t="shared" si="29"/>
        <v>-10.748900265149238</v>
      </c>
      <c r="G294" s="11">
        <f t="shared" si="30"/>
        <v>-10.770364878660065</v>
      </c>
    </row>
    <row r="295" spans="5:7" x14ac:dyDescent="0.25">
      <c r="E295" s="11">
        <f t="shared" si="28"/>
        <v>-92</v>
      </c>
      <c r="F295" s="11">
        <f t="shared" si="29"/>
        <v>-10.637919793447804</v>
      </c>
      <c r="G295" s="11">
        <f t="shared" si="30"/>
        <v>-10.653028351528997</v>
      </c>
    </row>
    <row r="296" spans="5:7" x14ac:dyDescent="0.25">
      <c r="E296" s="11">
        <f t="shared" si="28"/>
        <v>-91</v>
      </c>
      <c r="F296" s="11">
        <f t="shared" si="29"/>
        <v>-10.52714663472578</v>
      </c>
      <c r="G296" s="11">
        <f t="shared" si="30"/>
        <v>-10.535693814991255</v>
      </c>
    </row>
    <row r="297" spans="5:7" x14ac:dyDescent="0.25">
      <c r="E297" s="11">
        <f t="shared" si="28"/>
        <v>-90</v>
      </c>
      <c r="F297" s="11">
        <f t="shared" si="29"/>
        <v>-10.416624269820685</v>
      </c>
      <c r="G297" s="11">
        <f t="shared" si="30"/>
        <v>-10.418464022154735</v>
      </c>
    </row>
    <row r="298" spans="5:7" x14ac:dyDescent="0.25">
      <c r="E298" s="11">
        <f t="shared" si="28"/>
        <v>-89</v>
      </c>
      <c r="F298" s="11">
        <f t="shared" si="29"/>
        <v>-10.306394383701946</v>
      </c>
      <c r="G298" s="11">
        <f t="shared" si="30"/>
        <v>-10.301441726127331</v>
      </c>
    </row>
    <row r="299" spans="5:7" x14ac:dyDescent="0.25">
      <c r="E299" s="11">
        <f t="shared" si="28"/>
        <v>-88</v>
      </c>
      <c r="F299" s="11">
        <f t="shared" si="29"/>
        <v>-10.196496693364178</v>
      </c>
      <c r="G299" s="11">
        <f t="shared" si="30"/>
        <v>-10.184729680016941</v>
      </c>
    </row>
    <row r="300" spans="5:7" x14ac:dyDescent="0.25">
      <c r="E300" s="11">
        <f t="shared" si="28"/>
        <v>-87</v>
      </c>
      <c r="F300" s="11">
        <f t="shared" si="29"/>
        <v>-10.08696878280708</v>
      </c>
      <c r="G300" s="11">
        <f t="shared" si="30"/>
        <v>-10.06843063693146</v>
      </c>
    </row>
    <row r="301" spans="5:7" x14ac:dyDescent="0.25">
      <c r="E301" s="11">
        <f t="shared" si="28"/>
        <v>-86</v>
      </c>
      <c r="F301" s="11">
        <f t="shared" si="29"/>
        <v>-9.9778459455766502</v>
      </c>
      <c r="G301" s="11">
        <f t="shared" si="30"/>
        <v>-9.9526473499787809</v>
      </c>
    </row>
    <row r="302" spans="5:7" x14ac:dyDescent="0.25">
      <c r="E302" s="11">
        <f t="shared" si="28"/>
        <v>-85</v>
      </c>
      <c r="F302" s="11">
        <f t="shared" si="29"/>
        <v>-9.869161035316294</v>
      </c>
      <c r="G302" s="11">
        <f t="shared" si="30"/>
        <v>-9.8374825722668042</v>
      </c>
    </row>
    <row r="303" spans="5:7" x14ac:dyDescent="0.25">
      <c r="E303" s="11">
        <f t="shared" si="28"/>
        <v>-84</v>
      </c>
      <c r="F303" s="11">
        <f t="shared" si="29"/>
        <v>-9.7609443247501808</v>
      </c>
      <c r="G303" s="11">
        <f t="shared" si="30"/>
        <v>-9.7230390569034224</v>
      </c>
    </row>
    <row r="304" spans="5:7" x14ac:dyDescent="0.25">
      <c r="E304" s="11">
        <f t="shared" si="28"/>
        <v>-83</v>
      </c>
      <c r="F304" s="11">
        <f t="shared" si="29"/>
        <v>-9.6532233734949973</v>
      </c>
      <c r="G304" s="11">
        <f t="shared" si="30"/>
        <v>-9.6094195569965333</v>
      </c>
    </row>
    <row r="305" spans="5:7" x14ac:dyDescent="0.25">
      <c r="E305" s="11">
        <f t="shared" si="28"/>
        <v>-82</v>
      </c>
      <c r="F305" s="11">
        <f t="shared" si="29"/>
        <v>-9.54602290507008</v>
      </c>
      <c r="G305" s="11">
        <f t="shared" si="30"/>
        <v>-9.4967268256540329</v>
      </c>
    </row>
    <row r="306" spans="5:7" x14ac:dyDescent="0.25">
      <c r="E306" s="11">
        <f t="shared" si="28"/>
        <v>-81</v>
      </c>
      <c r="F306" s="11">
        <f t="shared" si="29"/>
        <v>-9.4393646934496473</v>
      </c>
      <c r="G306" s="11">
        <f t="shared" si="30"/>
        <v>-9.3850636159838139</v>
      </c>
    </row>
    <row r="307" spans="5:7" x14ac:dyDescent="0.25">
      <c r="E307" s="11">
        <f t="shared" si="28"/>
        <v>-80</v>
      </c>
      <c r="F307" s="11">
        <f t="shared" si="29"/>
        <v>-9.3332674594747278</v>
      </c>
      <c r="G307" s="11">
        <f t="shared" si="30"/>
        <v>-9.2745326810937758</v>
      </c>
    </row>
    <row r="308" spans="5:7" x14ac:dyDescent="0.25">
      <c r="E308" s="11">
        <f t="shared" si="28"/>
        <v>-79</v>
      </c>
      <c r="F308" s="11">
        <f t="shared" si="29"/>
        <v>-9.2277467774161117</v>
      </c>
      <c r="G308" s="11">
        <f t="shared" si="30"/>
        <v>-9.165236774091813</v>
      </c>
    </row>
    <row r="309" spans="5:7" x14ac:dyDescent="0.25">
      <c r="E309" s="11">
        <f t="shared" si="28"/>
        <v>-78</v>
      </c>
      <c r="F309" s="11">
        <f t="shared" si="29"/>
        <v>-9.1228149919534847</v>
      </c>
      <c r="G309" s="11">
        <f t="shared" si="30"/>
        <v>-9.0572786480858216</v>
      </c>
    </row>
    <row r="310" spans="5:7" x14ac:dyDescent="0.25">
      <c r="E310" s="11">
        <f t="shared" si="28"/>
        <v>-77</v>
      </c>
      <c r="F310" s="11">
        <f t="shared" si="29"/>
        <v>-9.0184811458097567</v>
      </c>
      <c r="G310" s="11">
        <f t="shared" si="30"/>
        <v>-8.9507610561836977</v>
      </c>
    </row>
    <row r="311" spans="5:7" x14ac:dyDescent="0.25">
      <c r="E311" s="11">
        <f t="shared" si="28"/>
        <v>-76</v>
      </c>
      <c r="F311" s="11">
        <f t="shared" si="29"/>
        <v>-8.9147509182532012</v>
      </c>
      <c r="G311" s="11">
        <f t="shared" si="30"/>
        <v>-8.8457867514933355</v>
      </c>
    </row>
    <row r="312" spans="5:7" x14ac:dyDescent="0.25">
      <c r="E312" s="11">
        <f t="shared" si="28"/>
        <v>-75</v>
      </c>
      <c r="F312" s="11">
        <f t="shared" si="29"/>
        <v>-8.8116265746541824</v>
      </c>
      <c r="G312" s="11">
        <f t="shared" si="30"/>
        <v>-8.742458487122633</v>
      </c>
    </row>
    <row r="313" spans="5:7" x14ac:dyDescent="0.25">
      <c r="E313" s="11">
        <f t="shared" si="28"/>
        <v>-74</v>
      </c>
      <c r="F313" s="11">
        <f t="shared" si="29"/>
        <v>-8.7091069272565722</v>
      </c>
      <c r="G313" s="11">
        <f t="shared" si="30"/>
        <v>-8.6408427800305869</v>
      </c>
    </row>
    <row r="314" spans="5:7" x14ac:dyDescent="0.25">
      <c r="E314" s="11">
        <f t="shared" si="28"/>
        <v>-73</v>
      </c>
      <c r="F314" s="11">
        <f t="shared" si="29"/>
        <v>-8.607187307298231</v>
      </c>
      <c r="G314" s="11">
        <f t="shared" si="30"/>
        <v>-8.5408612025806008</v>
      </c>
    </row>
    <row r="315" spans="5:7" x14ac:dyDescent="0.25">
      <c r="E315" s="11">
        <f t="shared" si="28"/>
        <v>-72</v>
      </c>
      <c r="F315" s="11">
        <f t="shared" si="29"/>
        <v>-8.5058595485883952</v>
      </c>
      <c r="G315" s="11">
        <f t="shared" si="30"/>
        <v>-8.442399090987184</v>
      </c>
    </row>
    <row r="316" spans="5:7" x14ac:dyDescent="0.25">
      <c r="E316" s="11">
        <f t="shared" si="28"/>
        <v>-71</v>
      </c>
      <c r="F316" s="11">
        <f t="shared" si="29"/>
        <v>-8.4051119826237173</v>
      </c>
      <c r="G316" s="11">
        <f t="shared" si="30"/>
        <v>-8.345341781464839</v>
      </c>
    </row>
    <row r="317" spans="5:7" x14ac:dyDescent="0.25">
      <c r="E317" s="11">
        <f t="shared" si="28"/>
        <v>-70</v>
      </c>
      <c r="F317" s="11">
        <f t="shared" si="29"/>
        <v>-8.3049294452986064</v>
      </c>
      <c r="G317" s="11">
        <f t="shared" si="30"/>
        <v>-8.2495746102280787</v>
      </c>
    </row>
    <row r="318" spans="5:7" x14ac:dyDescent="0.25">
      <c r="E318" s="11">
        <f t="shared" si="28"/>
        <v>-69</v>
      </c>
      <c r="F318" s="11">
        <f t="shared" si="29"/>
        <v>-8.205293295239116</v>
      </c>
      <c r="G318" s="11">
        <f t="shared" si="30"/>
        <v>-8.154982913491402</v>
      </c>
    </row>
    <row r="319" spans="5:7" x14ac:dyDescent="0.25">
      <c r="E319" s="11">
        <f t="shared" si="28"/>
        <v>-68</v>
      </c>
      <c r="F319" s="11">
        <f t="shared" si="29"/>
        <v>-8.1061814437636208</v>
      </c>
      <c r="G319" s="11">
        <f t="shared" si="30"/>
        <v>-8.0614520274693202</v>
      </c>
    </row>
    <row r="320" spans="5:7" x14ac:dyDescent="0.25">
      <c r="E320" s="11">
        <f t="shared" si="28"/>
        <v>-67</v>
      </c>
      <c r="F320" s="11">
        <f t="shared" si="29"/>
        <v>-8.0075683964471729</v>
      </c>
      <c r="G320" s="11">
        <f t="shared" si="30"/>
        <v>-7.9688672883763392</v>
      </c>
    </row>
    <row r="321" spans="5:7" x14ac:dyDescent="0.25">
      <c r="E321" s="11">
        <f t="shared" si="28"/>
        <v>-66</v>
      </c>
      <c r="F321" s="11">
        <f t="shared" si="29"/>
        <v>-7.9094253062403617</v>
      </c>
      <c r="G321" s="11">
        <f t="shared" si="30"/>
        <v>-7.877114032426964</v>
      </c>
    </row>
    <row r="322" spans="5:7" x14ac:dyDescent="0.25">
      <c r="E322" s="11">
        <f t="shared" si="28"/>
        <v>-65</v>
      </c>
      <c r="F322" s="11">
        <f t="shared" si="29"/>
        <v>-7.8117200380671648</v>
      </c>
      <c r="G322" s="11">
        <f t="shared" si="30"/>
        <v>-7.7860775958357014</v>
      </c>
    </row>
    <row r="323" spans="5:7" x14ac:dyDescent="0.25">
      <c r="E323" s="11">
        <f t="shared" si="28"/>
        <v>-64</v>
      </c>
      <c r="F323" s="11">
        <f t="shared" si="29"/>
        <v>-7.7144172448001784</v>
      </c>
      <c r="G323" s="11">
        <f t="shared" si="30"/>
        <v>-7.6956433148170609</v>
      </c>
    </row>
    <row r="324" spans="5:7" x14ac:dyDescent="0.25">
      <c r="E324" s="11">
        <f t="shared" si="28"/>
        <v>-63</v>
      </c>
      <c r="F324" s="11">
        <f t="shared" si="29"/>
        <v>-7.6174784544853944</v>
      </c>
      <c r="G324" s="11">
        <f t="shared" si="30"/>
        <v>-7.6056965255855449</v>
      </c>
    </row>
    <row r="325" spans="5:7" x14ac:dyDescent="0.25">
      <c r="E325" s="11">
        <f t="shared" si="28"/>
        <v>-62</v>
      </c>
      <c r="F325" s="11">
        <f t="shared" si="29"/>
        <v>-7.5208621686624433</v>
      </c>
      <c r="G325" s="11">
        <f t="shared" si="30"/>
        <v>-7.5161225643556637</v>
      </c>
    </row>
    <row r="326" spans="5:7" x14ac:dyDescent="0.25">
      <c r="E326" s="11">
        <f t="shared" si="28"/>
        <v>-61</v>
      </c>
      <c r="F326" s="11">
        <f t="shared" si="29"/>
        <v>-7.4245239716001139</v>
      </c>
      <c r="G326" s="11">
        <f t="shared" si="30"/>
        <v>-7.4268067673419207</v>
      </c>
    </row>
    <row r="327" spans="5:7" x14ac:dyDescent="0.25">
      <c r="E327" s="11">
        <f t="shared" si="28"/>
        <v>-60</v>
      </c>
      <c r="F327" s="11">
        <f t="shared" si="29"/>
        <v>-7.3284166502406185</v>
      </c>
      <c r="G327" s="11">
        <f t="shared" si="30"/>
        <v>-7.3376344707588226</v>
      </c>
    </row>
    <row r="328" spans="5:7" x14ac:dyDescent="0.25">
      <c r="E328" s="11">
        <f t="shared" si="28"/>
        <v>-59</v>
      </c>
      <c r="F328" s="11">
        <f t="shared" si="29"/>
        <v>-7.2324903246200689</v>
      </c>
      <c r="G328" s="11">
        <f t="shared" si="30"/>
        <v>-7.2484910108208789</v>
      </c>
    </row>
    <row r="329" spans="5:7" x14ac:dyDescent="0.25">
      <c r="E329" s="11">
        <f t="shared" si="28"/>
        <v>-58</v>
      </c>
      <c r="F329" s="11">
        <f t="shared" si="29"/>
        <v>-7.1366925885061976</v>
      </c>
      <c r="G329" s="11">
        <f t="shared" si="30"/>
        <v>-7.1592617237425928</v>
      </c>
    </row>
    <row r="330" spans="5:7" x14ac:dyDescent="0.25">
      <c r="E330" s="11">
        <f t="shared" si="28"/>
        <v>-57</v>
      </c>
      <c r="F330" s="11">
        <f t="shared" si="29"/>
        <v>-7.0409686599683861</v>
      </c>
      <c r="G330" s="11">
        <f t="shared" si="30"/>
        <v>-7.0698319457384731</v>
      </c>
    </row>
    <row r="331" spans="5:7" x14ac:dyDescent="0.25">
      <c r="E331" s="11">
        <f t="shared" si="28"/>
        <v>-56</v>
      </c>
      <c r="F331" s="11">
        <f t="shared" si="29"/>
        <v>-6.9452615415687005</v>
      </c>
      <c r="G331" s="11">
        <f t="shared" si="30"/>
        <v>-6.9800870130230255</v>
      </c>
    </row>
    <row r="332" spans="5:7" x14ac:dyDescent="0.25">
      <c r="E332" s="11">
        <f t="shared" si="28"/>
        <v>-55</v>
      </c>
      <c r="F332" s="11">
        <f t="shared" si="29"/>
        <v>-6.8495121898364708</v>
      </c>
      <c r="G332" s="11">
        <f t="shared" si="30"/>
        <v>-6.8899122618107542</v>
      </c>
    </row>
    <row r="333" spans="5:7" x14ac:dyDescent="0.25">
      <c r="E333" s="11">
        <f t="shared" si="28"/>
        <v>-54</v>
      </c>
      <c r="F333" s="11">
        <f t="shared" si="29"/>
        <v>-6.753659693662823</v>
      </c>
      <c r="G333" s="11">
        <f t="shared" si="30"/>
        <v>-6.7991930283161706</v>
      </c>
    </row>
    <row r="334" spans="5:7" x14ac:dyDescent="0.25">
      <c r="E334" s="11">
        <f t="shared" si="28"/>
        <v>-53</v>
      </c>
      <c r="F334" s="11">
        <f t="shared" si="29"/>
        <v>-6.6576414612252801</v>
      </c>
      <c r="G334" s="11">
        <f t="shared" si="30"/>
        <v>-6.7078146487537769</v>
      </c>
    </row>
    <row r="335" spans="5:7" x14ac:dyDescent="0.25">
      <c r="E335" s="11">
        <f t="shared" si="28"/>
        <v>-52</v>
      </c>
      <c r="F335" s="11">
        <f t="shared" si="29"/>
        <v>-6.5613934150263864</v>
      </c>
      <c r="G335" s="11">
        <f t="shared" si="30"/>
        <v>-6.6156624593380826</v>
      </c>
    </row>
    <row r="336" spans="5:7" x14ac:dyDescent="0.25">
      <c r="E336" s="11">
        <f t="shared" si="28"/>
        <v>-51</v>
      </c>
      <c r="F336" s="11">
        <f t="shared" si="29"/>
        <v>-6.4648501946041286</v>
      </c>
      <c r="G336" s="11">
        <f t="shared" si="30"/>
        <v>-6.522621796283592</v>
      </c>
    </row>
    <row r="337" spans="5:7" x14ac:dyDescent="0.25">
      <c r="E337" s="11">
        <f t="shared" si="28"/>
        <v>-50</v>
      </c>
      <c r="F337" s="11">
        <f t="shared" si="29"/>
        <v>-6.3679453664456966</v>
      </c>
      <c r="G337" s="11">
        <f t="shared" si="30"/>
        <v>-6.4285779958048135</v>
      </c>
    </row>
    <row r="338" spans="5:7" x14ac:dyDescent="0.25">
      <c r="E338" s="11">
        <f t="shared" si="28"/>
        <v>-49</v>
      </c>
      <c r="F338" s="11">
        <f t="shared" si="29"/>
        <v>-6.2706116406099293</v>
      </c>
      <c r="G338" s="11">
        <f t="shared" si="30"/>
        <v>-6.3334163941162513</v>
      </c>
    </row>
    <row r="339" spans="5:7" x14ac:dyDescent="0.25">
      <c r="E339" s="11">
        <f t="shared" si="28"/>
        <v>-48</v>
      </c>
      <c r="F339" s="11">
        <f t="shared" si="29"/>
        <v>-6.1727810935376093</v>
      </c>
      <c r="G339" s="11">
        <f t="shared" si="30"/>
        <v>-6.2370223274324141</v>
      </c>
    </row>
    <row r="340" spans="5:7" x14ac:dyDescent="0.25">
      <c r="E340" s="11">
        <f t="shared" si="28"/>
        <v>-47</v>
      </c>
      <c r="F340" s="11">
        <f t="shared" si="29"/>
        <v>-6.0743853965025698</v>
      </c>
      <c r="G340" s="11">
        <f t="shared" si="30"/>
        <v>-6.1392811319678069</v>
      </c>
    </row>
    <row r="341" spans="5:7" x14ac:dyDescent="0.25">
      <c r="E341" s="11">
        <f t="shared" si="28"/>
        <v>-46</v>
      </c>
      <c r="F341" s="11">
        <f t="shared" si="29"/>
        <v>-5.9753560491303386</v>
      </c>
      <c r="G341" s="11">
        <f t="shared" si="30"/>
        <v>-6.0400781439369382</v>
      </c>
    </row>
    <row r="342" spans="5:7" x14ac:dyDescent="0.25">
      <c r="E342" s="11">
        <f t="shared" si="28"/>
        <v>-45</v>
      </c>
      <c r="F342" s="11">
        <f t="shared" si="29"/>
        <v>-5.8756246173849043</v>
      </c>
      <c r="G342" s="11">
        <f t="shared" si="30"/>
        <v>-5.9392986995543113</v>
      </c>
    </row>
    <row r="343" spans="5:7" x14ac:dyDescent="0.25">
      <c r="E343" s="11">
        <f t="shared" si="28"/>
        <v>-44</v>
      </c>
      <c r="F343" s="11">
        <f t="shared" si="29"/>
        <v>-5.7751229753979247</v>
      </c>
      <c r="G343" s="11">
        <f t="shared" si="30"/>
        <v>-5.8368510341499755</v>
      </c>
    </row>
    <row r="344" spans="5:7" x14ac:dyDescent="0.25">
      <c r="E344" s="11">
        <f t="shared" si="28"/>
        <v>-43</v>
      </c>
      <c r="F344" s="11">
        <f t="shared" si="29"/>
        <v>-5.6737835504885643</v>
      </c>
      <c r="G344" s="11">
        <f t="shared" si="30"/>
        <v>-5.7327349795161311</v>
      </c>
    </row>
    <row r="345" spans="5:7" x14ac:dyDescent="0.25">
      <c r="E345" s="11">
        <f t="shared" si="28"/>
        <v>-42</v>
      </c>
      <c r="F345" s="11">
        <f t="shared" si="29"/>
        <v>-5.5715395706958963</v>
      </c>
      <c r="G345" s="11">
        <f t="shared" si="30"/>
        <v>-5.6269732665605199</v>
      </c>
    </row>
    <row r="346" spans="5:7" x14ac:dyDescent="0.25">
      <c r="E346" s="11">
        <f t="shared" si="28"/>
        <v>-41</v>
      </c>
      <c r="F346" s="11">
        <f t="shared" si="29"/>
        <v>-5.4683253141196104</v>
      </c>
      <c r="G346" s="11">
        <f t="shared" si="30"/>
        <v>-5.5195886261908838</v>
      </c>
    </row>
    <row r="347" spans="5:7" x14ac:dyDescent="0.25">
      <c r="E347" s="11">
        <f t="shared" si="28"/>
        <v>-40</v>
      </c>
      <c r="F347" s="11">
        <f t="shared" si="29"/>
        <v>-5.3640763593386085</v>
      </c>
      <c r="G347" s="11">
        <f t="shared" si="30"/>
        <v>-5.4106037893149654</v>
      </c>
    </row>
    <row r="348" spans="5:7" x14ac:dyDescent="0.25">
      <c r="E348" s="11">
        <f t="shared" si="28"/>
        <v>-39</v>
      </c>
      <c r="F348" s="11">
        <f t="shared" si="29"/>
        <v>-5.2587298361508115</v>
      </c>
      <c r="G348" s="11">
        <f t="shared" si="30"/>
        <v>-5.300041486840505</v>
      </c>
    </row>
    <row r="349" spans="5:7" x14ac:dyDescent="0.25">
      <c r="E349" s="11">
        <f t="shared" si="28"/>
        <v>-38</v>
      </c>
      <c r="F349" s="11">
        <f t="shared" si="29"/>
        <v>-5.1522246758513468</v>
      </c>
      <c r="G349" s="11">
        <f t="shared" si="30"/>
        <v>-5.1879244496752435</v>
      </c>
    </row>
    <row r="350" spans="5:7" x14ac:dyDescent="0.25">
      <c r="E350" s="11">
        <f t="shared" si="28"/>
        <v>-37</v>
      </c>
      <c r="F350" s="11">
        <f t="shared" si="29"/>
        <v>-5.0445018602400733</v>
      </c>
      <c r="G350" s="11">
        <f t="shared" si="30"/>
        <v>-5.0742754087269253</v>
      </c>
    </row>
    <row r="351" spans="5:7" x14ac:dyDescent="0.25">
      <c r="E351" s="11">
        <f t="shared" ref="E351:E414" si="31">E144</f>
        <v>-36</v>
      </c>
      <c r="F351" s="11">
        <f t="shared" ref="F351:F414" si="32">$H$217*0+E351*$I$217+E351^2*$J$217+E351^3*$K$217+E351^4*$L$217+E351^5*$M$217+E351^6*$N$217+E351^7*$O$217+E351^8*$P$217</f>
        <v>-4.9355046685231665</v>
      </c>
      <c r="G351" s="11">
        <f t="shared" ref="G351:G414" si="33">F144</f>
        <v>-4.9591170949032914</v>
      </c>
    </row>
    <row r="352" spans="5:7" x14ac:dyDescent="0.25">
      <c r="E352" s="11">
        <f t="shared" si="31"/>
        <v>-35</v>
      </c>
      <c r="F352" s="11">
        <f t="shared" si="32"/>
        <v>-4.8251789212473595</v>
      </c>
      <c r="G352" s="11">
        <f t="shared" si="33"/>
        <v>-4.8424722391120802</v>
      </c>
    </row>
    <row r="353" spans="5:7" x14ac:dyDescent="0.25">
      <c r="E353" s="11">
        <f t="shared" si="31"/>
        <v>-34</v>
      </c>
      <c r="F353" s="11">
        <f t="shared" si="32"/>
        <v>-4.7134732203791563</v>
      </c>
      <c r="G353" s="11">
        <f t="shared" si="33"/>
        <v>-4.7243635722610371</v>
      </c>
    </row>
    <row r="354" spans="5:7" x14ac:dyDescent="0.25">
      <c r="E354" s="11">
        <f t="shared" si="31"/>
        <v>-33</v>
      </c>
      <c r="F354" s="11">
        <f t="shared" si="32"/>
        <v>-4.6003391846151773</v>
      </c>
      <c r="G354" s="11">
        <f t="shared" si="33"/>
        <v>-4.6048138252579003</v>
      </c>
    </row>
    <row r="355" spans="5:7" x14ac:dyDescent="0.25">
      <c r="E355" s="11">
        <f t="shared" si="31"/>
        <v>-32</v>
      </c>
      <c r="F355" s="11">
        <f t="shared" si="32"/>
        <v>-4.4857316789836164</v>
      </c>
      <c r="G355" s="11">
        <f t="shared" si="33"/>
        <v>-4.4838457290104152</v>
      </c>
    </row>
    <row r="356" spans="5:7" x14ac:dyDescent="0.25">
      <c r="E356" s="11">
        <f t="shared" si="31"/>
        <v>-31</v>
      </c>
      <c r="F356" s="11">
        <f t="shared" si="32"/>
        <v>-4.369609037770501</v>
      </c>
      <c r="G356" s="11">
        <f t="shared" si="33"/>
        <v>-4.361482014426322</v>
      </c>
    </row>
    <row r="357" spans="5:7" x14ac:dyDescent="0.25">
      <c r="E357" s="11">
        <f t="shared" si="31"/>
        <v>-30</v>
      </c>
      <c r="F357" s="11">
        <f t="shared" si="32"/>
        <v>-4.2519332797783838</v>
      </c>
      <c r="G357" s="11">
        <f t="shared" si="33"/>
        <v>-4.2377454124133607</v>
      </c>
    </row>
    <row r="358" spans="5:7" x14ac:dyDescent="0.25">
      <c r="E358" s="11">
        <f t="shared" si="31"/>
        <v>-29</v>
      </c>
      <c r="F358" s="11">
        <f t="shared" si="32"/>
        <v>-4.1326703148987516</v>
      </c>
      <c r="G358" s="11">
        <f t="shared" si="33"/>
        <v>-4.1126586538792749</v>
      </c>
    </row>
    <row r="359" spans="5:7" x14ac:dyDescent="0.25">
      <c r="E359" s="11">
        <f t="shared" si="31"/>
        <v>-28</v>
      </c>
      <c r="F359" s="11">
        <f t="shared" si="32"/>
        <v>-4.0117901409533303</v>
      </c>
      <c r="G359" s="11">
        <f t="shared" si="33"/>
        <v>-3.9862444697318051</v>
      </c>
    </row>
    <row r="360" spans="5:7" x14ac:dyDescent="0.25">
      <c r="E360" s="11">
        <f t="shared" si="31"/>
        <v>-27</v>
      </c>
      <c r="F360" s="11">
        <f t="shared" si="32"/>
        <v>-3.8892670297332543</v>
      </c>
      <c r="G360" s="11">
        <f t="shared" si="33"/>
        <v>-3.8585255908786937</v>
      </c>
    </row>
    <row r="361" spans="5:7" x14ac:dyDescent="0.25">
      <c r="E361" s="11">
        <f t="shared" si="31"/>
        <v>-26</v>
      </c>
      <c r="F361" s="11">
        <f t="shared" si="32"/>
        <v>-3.7650797011388106</v>
      </c>
      <c r="G361" s="11">
        <f t="shared" si="33"/>
        <v>-3.729524748227683</v>
      </c>
    </row>
    <row r="362" spans="5:7" x14ac:dyDescent="0.25">
      <c r="E362" s="11">
        <f t="shared" si="31"/>
        <v>-25</v>
      </c>
      <c r="F362" s="11">
        <f t="shared" si="32"/>
        <v>-3.6392114842963377</v>
      </c>
      <c r="G362" s="11">
        <f t="shared" si="33"/>
        <v>-3.5992646726865125</v>
      </c>
    </row>
    <row r="363" spans="5:7" x14ac:dyDescent="0.25">
      <c r="E363" s="11">
        <f t="shared" si="31"/>
        <v>-24</v>
      </c>
      <c r="F363" s="11">
        <f t="shared" si="32"/>
        <v>-3.5116504645026354</v>
      </c>
      <c r="G363" s="11">
        <f t="shared" si="33"/>
        <v>-3.4677680951629251</v>
      </c>
    </row>
    <row r="364" spans="5:7" x14ac:dyDescent="0.25">
      <c r="E364" s="11">
        <f t="shared" si="31"/>
        <v>-23</v>
      </c>
      <c r="F364" s="11">
        <f t="shared" si="32"/>
        <v>-3.3823896148210055</v>
      </c>
      <c r="G364" s="11">
        <f t="shared" si="33"/>
        <v>-3.3350577465646625</v>
      </c>
    </row>
    <row r="365" spans="5:7" x14ac:dyDescent="0.25">
      <c r="E365" s="11">
        <f t="shared" si="31"/>
        <v>-22</v>
      </c>
      <c r="F365" s="11">
        <f t="shared" si="32"/>
        <v>-3.251426911126901</v>
      </c>
      <c r="G365" s="11">
        <f t="shared" si="33"/>
        <v>-3.2011563577994662</v>
      </c>
    </row>
    <row r="366" spans="5:7" x14ac:dyDescent="0.25">
      <c r="E366" s="11">
        <f t="shared" si="31"/>
        <v>-21</v>
      </c>
      <c r="F366" s="11">
        <f t="shared" si="32"/>
        <v>-3.1187654293749318</v>
      </c>
      <c r="G366" s="11">
        <f t="shared" si="33"/>
        <v>-3.0660866597750784</v>
      </c>
    </row>
    <row r="367" spans="5:7" x14ac:dyDescent="0.25">
      <c r="E367" s="11">
        <f t="shared" si="31"/>
        <v>-20</v>
      </c>
      <c r="F367" s="11">
        <f t="shared" si="32"/>
        <v>-2.9844134238327542</v>
      </c>
      <c r="G367" s="11">
        <f t="shared" si="33"/>
        <v>-2.9298713833992394</v>
      </c>
    </row>
    <row r="368" spans="5:7" x14ac:dyDescent="0.25">
      <c r="E368" s="11">
        <f t="shared" si="31"/>
        <v>-19</v>
      </c>
      <c r="F368" s="11">
        <f t="shared" si="32"/>
        <v>-2.8483843850012325</v>
      </c>
      <c r="G368" s="11">
        <f t="shared" si="33"/>
        <v>-2.7925332595796917</v>
      </c>
    </row>
    <row r="369" spans="5:7" x14ac:dyDescent="0.25">
      <c r="E369" s="11">
        <f t="shared" si="31"/>
        <v>-18</v>
      </c>
      <c r="F369" s="11">
        <f t="shared" si="32"/>
        <v>-2.710697075913989</v>
      </c>
      <c r="G369" s="11">
        <f t="shared" si="33"/>
        <v>-2.6540950192241772</v>
      </c>
    </row>
    <row r="370" spans="5:7" x14ac:dyDescent="0.25">
      <c r="E370" s="11">
        <f t="shared" si="31"/>
        <v>-17</v>
      </c>
      <c r="F370" s="11">
        <f t="shared" si="32"/>
        <v>-2.5713755454833023</v>
      </c>
      <c r="G370" s="11">
        <f t="shared" si="33"/>
        <v>-2.5145793932404374</v>
      </c>
    </row>
    <row r="371" spans="5:7" x14ac:dyDescent="0.25">
      <c r="E371" s="11">
        <f t="shared" si="31"/>
        <v>-16</v>
      </c>
      <c r="F371" s="11">
        <f t="shared" si="32"/>
        <v>-2.4304491175331195</v>
      </c>
      <c r="G371" s="11">
        <f t="shared" si="33"/>
        <v>-2.3740091125362133</v>
      </c>
    </row>
    <row r="372" spans="5:7" x14ac:dyDescent="0.25">
      <c r="E372" s="11">
        <f t="shared" si="31"/>
        <v>-15</v>
      </c>
      <c r="F372" s="11">
        <f t="shared" si="32"/>
        <v>-2.2879523541337115</v>
      </c>
      <c r="G372" s="11">
        <f t="shared" si="33"/>
        <v>-2.2324069080192466</v>
      </c>
    </row>
    <row r="373" spans="5:7" x14ac:dyDescent="0.25">
      <c r="E373" s="11">
        <f t="shared" si="31"/>
        <v>-14</v>
      </c>
      <c r="F373" s="11">
        <f t="shared" si="32"/>
        <v>-2.1439249918263275</v>
      </c>
      <c r="G373" s="11">
        <f t="shared" si="33"/>
        <v>-2.0897955105972796</v>
      </c>
    </row>
    <row r="374" spans="5:7" x14ac:dyDescent="0.25">
      <c r="E374" s="11">
        <f t="shared" si="31"/>
        <v>-13</v>
      </c>
      <c r="F374" s="11">
        <f t="shared" si="32"/>
        <v>-1.9984118493000078</v>
      </c>
      <c r="G374" s="11">
        <f t="shared" si="33"/>
        <v>-1.9461976511780543</v>
      </c>
    </row>
    <row r="375" spans="5:7" x14ac:dyDescent="0.25">
      <c r="E375" s="11">
        <f t="shared" si="31"/>
        <v>-12</v>
      </c>
      <c r="F375" s="11">
        <f t="shared" si="32"/>
        <v>-1.8514627050564856</v>
      </c>
      <c r="G375" s="11">
        <f t="shared" si="33"/>
        <v>-1.8016360606693114</v>
      </c>
    </row>
    <row r="376" spans="5:7" x14ac:dyDescent="0.25">
      <c r="E376" s="11">
        <f t="shared" si="31"/>
        <v>-11</v>
      </c>
      <c r="F376" s="11">
        <f t="shared" si="32"/>
        <v>-1.7031321435729521</v>
      </c>
      <c r="G376" s="11">
        <f t="shared" si="33"/>
        <v>-1.6561334699787924</v>
      </c>
    </row>
    <row r="377" spans="5:7" x14ac:dyDescent="0.25">
      <c r="E377" s="11">
        <f t="shared" si="31"/>
        <v>-10</v>
      </c>
      <c r="F377" s="11">
        <f t="shared" si="32"/>
        <v>-1.5534793684462063</v>
      </c>
      <c r="G377" s="11">
        <f t="shared" si="33"/>
        <v>-1.5097126100142395</v>
      </c>
    </row>
    <row r="378" spans="5:7" x14ac:dyDescent="0.25">
      <c r="E378" s="11">
        <f t="shared" si="31"/>
        <v>-9</v>
      </c>
      <c r="F378" s="11">
        <f t="shared" si="32"/>
        <v>-1.4025679809755636</v>
      </c>
      <c r="G378" s="11">
        <f t="shared" si="33"/>
        <v>-1.3623962116833945</v>
      </c>
    </row>
    <row r="379" spans="5:7" x14ac:dyDescent="0.25">
      <c r="E379" s="11">
        <f t="shared" si="31"/>
        <v>-8</v>
      </c>
      <c r="F379" s="11">
        <f t="shared" si="32"/>
        <v>-1.2504657226156541</v>
      </c>
      <c r="G379" s="11">
        <f t="shared" si="33"/>
        <v>-1.2142070058939987</v>
      </c>
    </row>
    <row r="380" spans="5:7" x14ac:dyDescent="0.25">
      <c r="E380" s="11">
        <f t="shared" si="31"/>
        <v>-7</v>
      </c>
      <c r="F380" s="11">
        <f t="shared" si="32"/>
        <v>-1.0972441797040717</v>
      </c>
      <c r="G380" s="11">
        <f t="shared" si="33"/>
        <v>-1.0651677235537933</v>
      </c>
    </row>
    <row r="381" spans="5:7" x14ac:dyDescent="0.25">
      <c r="E381" s="11">
        <f t="shared" si="31"/>
        <v>-6</v>
      </c>
      <c r="F381" s="11">
        <f t="shared" si="32"/>
        <v>-0.94297844884261317</v>
      </c>
      <c r="G381" s="11">
        <f t="shared" si="33"/>
        <v>-0.91530109557052086</v>
      </c>
    </row>
    <row r="382" spans="5:7" x14ac:dyDescent="0.25">
      <c r="E382" s="11">
        <f t="shared" si="31"/>
        <v>-5</v>
      </c>
      <c r="F382" s="11">
        <f t="shared" si="32"/>
        <v>-0.78774676128466514</v>
      </c>
      <c r="G382" s="11">
        <f t="shared" si="33"/>
        <v>-0.76462985285192242</v>
      </c>
    </row>
    <row r="383" spans="5:7" x14ac:dyDescent="0.25">
      <c r="E383" s="11">
        <f t="shared" si="31"/>
        <v>-4</v>
      </c>
      <c r="F383" s="11">
        <f t="shared" si="32"/>
        <v>-0.63163006465508043</v>
      </c>
      <c r="G383" s="11">
        <f t="shared" si="33"/>
        <v>-0.61317672630573983</v>
      </c>
    </row>
    <row r="384" spans="5:7" x14ac:dyDescent="0.25">
      <c r="E384" s="11">
        <f t="shared" si="31"/>
        <v>-3</v>
      </c>
      <c r="F384" s="11">
        <f t="shared" si="32"/>
        <v>-0.47471156030269551</v>
      </c>
      <c r="G384" s="11">
        <f t="shared" si="33"/>
        <v>-0.4609644468397146</v>
      </c>
    </row>
    <row r="385" spans="5:7" x14ac:dyDescent="0.25">
      <c r="E385" s="11">
        <f t="shared" si="31"/>
        <v>-2</v>
      </c>
      <c r="F385" s="11">
        <f t="shared" si="32"/>
        <v>-0.31707619455943703</v>
      </c>
      <c r="G385" s="11">
        <f t="shared" si="33"/>
        <v>-0.30801574536158849</v>
      </c>
    </row>
    <row r="386" spans="5:7" x14ac:dyDescent="0.25">
      <c r="E386" s="11">
        <f t="shared" si="31"/>
        <v>-1</v>
      </c>
      <c r="F386" s="11">
        <f t="shared" si="32"/>
        <v>-0.15881010215376457</v>
      </c>
      <c r="G386" s="11">
        <f t="shared" si="33"/>
        <v>-0.15435335277910303</v>
      </c>
    </row>
    <row r="387" spans="5:7" x14ac:dyDescent="0.25">
      <c r="E387" s="11">
        <f t="shared" si="31"/>
        <v>0</v>
      </c>
      <c r="F387" s="11">
        <f t="shared" si="32"/>
        <v>0</v>
      </c>
      <c r="G387" s="11">
        <f t="shared" si="33"/>
        <v>0</v>
      </c>
    </row>
    <row r="388" spans="5:7" x14ac:dyDescent="0.25">
      <c r="E388" s="11">
        <f t="shared" si="31"/>
        <v>1</v>
      </c>
      <c r="F388" s="11">
        <f t="shared" si="32"/>
        <v>0.15926747044111078</v>
      </c>
      <c r="G388" s="11">
        <f t="shared" si="33"/>
        <v>0.15502218850836993</v>
      </c>
    </row>
    <row r="389" spans="5:7" x14ac:dyDescent="0.25">
      <c r="E389" s="11">
        <f t="shared" si="31"/>
        <v>2</v>
      </c>
      <c r="F389" s="11">
        <f t="shared" si="32"/>
        <v>0.3189064540614549</v>
      </c>
      <c r="G389" s="11">
        <f t="shared" si="33"/>
        <v>0.31069351404021944</v>
      </c>
    </row>
    <row r="390" spans="5:7" x14ac:dyDescent="0.25">
      <c r="E390" s="11">
        <f t="shared" si="31"/>
        <v>3</v>
      </c>
      <c r="F390" s="11">
        <f t="shared" si="32"/>
        <v>0.47883264812127962</v>
      </c>
      <c r="G390" s="11">
        <f t="shared" si="33"/>
        <v>0.46699488433015207</v>
      </c>
    </row>
    <row r="391" spans="5:7" x14ac:dyDescent="0.25">
      <c r="E391" s="11">
        <f t="shared" si="31"/>
        <v>4</v>
      </c>
      <c r="F391" s="11">
        <f t="shared" si="32"/>
        <v>0.6389641252648447</v>
      </c>
      <c r="G391" s="11">
        <f t="shared" si="33"/>
        <v>0.62390720711277126</v>
      </c>
    </row>
    <row r="392" spans="5:7" x14ac:dyDescent="0.25">
      <c r="E392" s="11">
        <f t="shared" si="31"/>
        <v>5</v>
      </c>
      <c r="F392" s="11">
        <f t="shared" si="32"/>
        <v>0.79922221544544736</v>
      </c>
      <c r="G392" s="11">
        <f t="shared" si="33"/>
        <v>0.78141139012268068</v>
      </c>
    </row>
    <row r="393" spans="5:7" x14ac:dyDescent="0.25">
      <c r="E393" s="11">
        <f t="shared" si="31"/>
        <v>6</v>
      </c>
      <c r="F393" s="11">
        <f t="shared" si="32"/>
        <v>0.95953244869547927</v>
      </c>
      <c r="G393" s="11">
        <f t="shared" si="33"/>
        <v>0.93948834109448387</v>
      </c>
    </row>
    <row r="394" spans="5:7" x14ac:dyDescent="0.25">
      <c r="E394" s="11">
        <f t="shared" si="31"/>
        <v>7</v>
      </c>
      <c r="F394" s="11">
        <f t="shared" si="32"/>
        <v>1.1198255607033605</v>
      </c>
      <c r="G394" s="11">
        <f t="shared" si="33"/>
        <v>1.0981189677627843</v>
      </c>
    </row>
    <row r="395" spans="5:7" x14ac:dyDescent="0.25">
      <c r="E395" s="11">
        <f t="shared" si="31"/>
        <v>8</v>
      </c>
      <c r="F395" s="11">
        <f t="shared" si="32"/>
        <v>1.2800385631854101</v>
      </c>
      <c r="G395" s="11">
        <f t="shared" si="33"/>
        <v>1.2572841778621855</v>
      </c>
    </row>
    <row r="396" spans="5:7" x14ac:dyDescent="0.25">
      <c r="E396" s="11">
        <f t="shared" si="31"/>
        <v>9</v>
      </c>
      <c r="F396" s="11">
        <f t="shared" si="32"/>
        <v>1.4401158810669028</v>
      </c>
      <c r="G396" s="11">
        <f t="shared" si="33"/>
        <v>1.4169648791272911</v>
      </c>
    </row>
    <row r="397" spans="5:7" x14ac:dyDescent="0.25">
      <c r="E397" s="11">
        <f t="shared" si="31"/>
        <v>10</v>
      </c>
      <c r="F397" s="11">
        <f t="shared" si="32"/>
        <v>1.6000105585127615</v>
      </c>
      <c r="G397" s="11">
        <f t="shared" si="33"/>
        <v>1.5771419792927044</v>
      </c>
    </row>
    <row r="398" spans="5:7" x14ac:dyDescent="0.25">
      <c r="E398" s="11">
        <f t="shared" si="31"/>
        <v>11</v>
      </c>
      <c r="F398" s="11">
        <f t="shared" si="32"/>
        <v>1.7596855358745482</v>
      </c>
      <c r="G398" s="11">
        <f t="shared" si="33"/>
        <v>1.7377963860930294</v>
      </c>
    </row>
    <row r="399" spans="5:7" x14ac:dyDescent="0.25">
      <c r="E399" s="11">
        <f t="shared" si="31"/>
        <v>12</v>
      </c>
      <c r="F399" s="11">
        <f t="shared" si="32"/>
        <v>1.9191149996465982</v>
      </c>
      <c r="G399" s="11">
        <f t="shared" si="33"/>
        <v>1.8989090072628694</v>
      </c>
    </row>
    <row r="400" spans="5:7" x14ac:dyDescent="0.25">
      <c r="E400" s="11">
        <f t="shared" si="31"/>
        <v>13</v>
      </c>
      <c r="F400" s="11">
        <f t="shared" si="32"/>
        <v>2.0782858075503481</v>
      </c>
      <c r="G400" s="11">
        <f t="shared" si="33"/>
        <v>2.0604607505368278</v>
      </c>
    </row>
    <row r="401" spans="5:7" x14ac:dyDescent="0.25">
      <c r="E401" s="11">
        <f t="shared" si="31"/>
        <v>14</v>
      </c>
      <c r="F401" s="11">
        <f t="shared" si="32"/>
        <v>2.2371989908921273</v>
      </c>
      <c r="G401" s="11">
        <f t="shared" si="33"/>
        <v>2.2224325236495086</v>
      </c>
    </row>
    <row r="402" spans="5:7" x14ac:dyDescent="0.25">
      <c r="E402" s="11">
        <f t="shared" si="31"/>
        <v>15</v>
      </c>
      <c r="F402" s="11">
        <f t="shared" si="32"/>
        <v>2.3958713363658433</v>
      </c>
      <c r="G402" s="11">
        <f t="shared" si="33"/>
        <v>2.3848052343355142</v>
      </c>
    </row>
    <row r="403" spans="5:7" x14ac:dyDescent="0.25">
      <c r="E403" s="11">
        <f t="shared" si="31"/>
        <v>16</v>
      </c>
      <c r="F403" s="11">
        <f t="shared" si="32"/>
        <v>2.5543370494982405</v>
      </c>
      <c r="G403" s="11">
        <f t="shared" si="33"/>
        <v>2.5475597903294496</v>
      </c>
    </row>
    <row r="404" spans="5:7" x14ac:dyDescent="0.25">
      <c r="E404" s="11">
        <f t="shared" si="31"/>
        <v>17</v>
      </c>
      <c r="F404" s="11">
        <f t="shared" si="32"/>
        <v>2.7126495019605561</v>
      </c>
      <c r="G404" s="11">
        <f t="shared" si="33"/>
        <v>2.7106770993659177</v>
      </c>
    </row>
    <row r="405" spans="5:7" x14ac:dyDescent="0.25">
      <c r="E405" s="11">
        <f t="shared" si="31"/>
        <v>18</v>
      </c>
      <c r="F405" s="11">
        <f t="shared" si="32"/>
        <v>2.8708830649966566</v>
      </c>
      <c r="G405" s="11">
        <f t="shared" si="33"/>
        <v>2.8741380691795215</v>
      </c>
    </row>
    <row r="406" spans="5:7" x14ac:dyDescent="0.25">
      <c r="E406" s="11">
        <f t="shared" si="31"/>
        <v>19</v>
      </c>
      <c r="F406" s="11">
        <f t="shared" si="32"/>
        <v>3.0291350312438925</v>
      </c>
      <c r="G406" s="11">
        <f t="shared" si="33"/>
        <v>3.0379236075048657</v>
      </c>
    </row>
    <row r="407" spans="5:7" x14ac:dyDescent="0.25">
      <c r="E407" s="11">
        <f t="shared" si="31"/>
        <v>20</v>
      </c>
      <c r="F407" s="11">
        <f t="shared" si="32"/>
        <v>3.1875276272491226</v>
      </c>
      <c r="G407" s="11">
        <f t="shared" si="33"/>
        <v>3.2020146220765526</v>
      </c>
    </row>
    <row r="408" spans="5:7" x14ac:dyDescent="0.25">
      <c r="E408" s="11">
        <f t="shared" si="31"/>
        <v>21</v>
      </c>
      <c r="F408" s="11">
        <f t="shared" si="32"/>
        <v>3.3462101190085765</v>
      </c>
      <c r="G408" s="11">
        <f t="shared" si="33"/>
        <v>3.3663920206291871</v>
      </c>
    </row>
    <row r="409" spans="5:7" x14ac:dyDescent="0.25">
      <c r="E409" s="11">
        <f t="shared" si="31"/>
        <v>22</v>
      </c>
      <c r="F409" s="11">
        <f t="shared" si="32"/>
        <v>3.5053610128863935</v>
      </c>
      <c r="G409" s="11">
        <f t="shared" si="33"/>
        <v>3.5310367108973719</v>
      </c>
    </row>
    <row r="410" spans="5:7" x14ac:dyDescent="0.25">
      <c r="E410" s="11">
        <f t="shared" si="31"/>
        <v>23</v>
      </c>
      <c r="F410" s="11">
        <f t="shared" si="32"/>
        <v>3.6651903542929052</v>
      </c>
      <c r="G410" s="11">
        <f t="shared" si="33"/>
        <v>3.6959296006157101</v>
      </c>
    </row>
    <row r="411" spans="5:7" x14ac:dyDescent="0.25">
      <c r="E411" s="11">
        <f t="shared" si="31"/>
        <v>24</v>
      </c>
      <c r="F411" s="11">
        <f t="shared" si="32"/>
        <v>3.8259421265299127</v>
      </c>
      <c r="G411" s="11">
        <f t="shared" si="33"/>
        <v>3.8610515975188062</v>
      </c>
    </row>
    <row r="412" spans="5:7" x14ac:dyDescent="0.25">
      <c r="E412" s="11">
        <f t="shared" si="31"/>
        <v>25</v>
      </c>
      <c r="F412" s="11">
        <f t="shared" si="32"/>
        <v>3.9878967522364004</v>
      </c>
      <c r="G412" s="11">
        <f t="shared" si="33"/>
        <v>4.0263836093412628</v>
      </c>
    </row>
    <row r="413" spans="5:7" x14ac:dyDescent="0.25">
      <c r="E413" s="11">
        <f t="shared" si="31"/>
        <v>26</v>
      </c>
      <c r="F413" s="11">
        <f t="shared" si="32"/>
        <v>4.1513736998943642</v>
      </c>
      <c r="G413" s="11">
        <f t="shared" si="33"/>
        <v>4.1919065438176846</v>
      </c>
    </row>
    <row r="414" spans="5:7" x14ac:dyDescent="0.25">
      <c r="E414" s="11">
        <f t="shared" si="31"/>
        <v>27</v>
      </c>
      <c r="F414" s="11">
        <f t="shared" si="32"/>
        <v>4.3167341978805984</v>
      </c>
      <c r="G414" s="11">
        <f t="shared" si="33"/>
        <v>4.3576013086826739</v>
      </c>
    </row>
    <row r="415" spans="5:7" x14ac:dyDescent="0.25">
      <c r="E415" s="11">
        <f t="shared" ref="E415:E422" si="34">E208</f>
        <v>28</v>
      </c>
      <c r="F415" s="11">
        <f t="shared" ref="F415:F422" si="35">$H$217*0+E415*$I$217+E415^2*$J$217+E415^3*$K$217+E415^4*$L$217+E415^5*$M$217+E415^6*$N$217+E415^7*$O$217+E415^8*$P$217</f>
        <v>4.4843840585764765</v>
      </c>
      <c r="G415" s="11">
        <f t="shared" ref="G415:G422" si="36">F208</f>
        <v>4.5234488116708356</v>
      </c>
    </row>
    <row r="416" spans="5:7" x14ac:dyDescent="0.25">
      <c r="E416" s="11">
        <f t="shared" si="34"/>
        <v>29</v>
      </c>
      <c r="F416" s="11">
        <f t="shared" si="35"/>
        <v>4.6547766150740255</v>
      </c>
      <c r="G416" s="11">
        <f t="shared" si="36"/>
        <v>4.6894299605167724</v>
      </c>
    </row>
    <row r="417" spans="5:7" x14ac:dyDescent="0.25">
      <c r="E417" s="11">
        <f t="shared" si="34"/>
        <v>30</v>
      </c>
      <c r="F417" s="11">
        <f t="shared" si="35"/>
        <v>4.8284157730427042</v>
      </c>
      <c r="G417" s="11">
        <f t="shared" si="36"/>
        <v>4.8555256629550874</v>
      </c>
    </row>
    <row r="418" spans="5:7" x14ac:dyDescent="0.25">
      <c r="E418" s="11">
        <f t="shared" si="34"/>
        <v>31</v>
      </c>
      <c r="F418" s="11">
        <f t="shared" si="35"/>
        <v>5.0058591803475592</v>
      </c>
      <c r="G418" s="11">
        <f t="shared" si="36"/>
        <v>5.0217168267203851</v>
      </c>
    </row>
    <row r="419" spans="5:7" x14ac:dyDescent="0.25">
      <c r="E419" s="11">
        <f t="shared" si="34"/>
        <v>32</v>
      </c>
      <c r="F419" s="11">
        <f t="shared" si="35"/>
        <v>5.1877215170356346</v>
      </c>
      <c r="G419" s="11">
        <f t="shared" si="36"/>
        <v>5.1879843595472686</v>
      </c>
    </row>
    <row r="420" spans="5:7" x14ac:dyDescent="0.25">
      <c r="E420" s="11">
        <f t="shared" si="34"/>
        <v>33</v>
      </c>
      <c r="F420" s="11">
        <f t="shared" si="35"/>
        <v>5.374677908333644</v>
      </c>
      <c r="G420" s="11">
        <f t="shared" si="36"/>
        <v>5.3543091691703415</v>
      </c>
    </row>
    <row r="421" spans="5:7" x14ac:dyDescent="0.25">
      <c r="E421" s="11">
        <f t="shared" si="34"/>
        <v>34</v>
      </c>
      <c r="F421" s="11">
        <f t="shared" si="35"/>
        <v>5.5674674633262038</v>
      </c>
      <c r="G421" s="11">
        <f t="shared" si="36"/>
        <v>5.5206721633242077</v>
      </c>
    </row>
    <row r="422" spans="5:7" x14ac:dyDescent="0.25">
      <c r="E422" s="11">
        <f t="shared" si="34"/>
        <v>35</v>
      </c>
      <c r="F422" s="11">
        <f t="shared" si="35"/>
        <v>5.7668969420100664</v>
      </c>
      <c r="G422" s="11">
        <f t="shared" si="36"/>
        <v>5.6870542497434693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2022-01-07T07:39:51Z</dcterms:modified>
</cp:coreProperties>
</file>