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O33" i="11"/>
  <c r="N33" i="11"/>
  <c r="P33" i="11" s="1"/>
  <c r="O32" i="11"/>
  <c r="N32" i="11"/>
  <c r="P32" i="11" s="1"/>
  <c r="O31" i="11"/>
  <c r="N31" i="11"/>
  <c r="P31" i="11" s="1"/>
  <c r="O30" i="11"/>
  <c r="N30" i="11"/>
  <c r="P29" i="11"/>
  <c r="O29" i="11"/>
  <c r="N29" i="11"/>
  <c r="O28" i="11"/>
  <c r="N28" i="11"/>
  <c r="P28" i="11" s="1"/>
  <c r="O27" i="11"/>
  <c r="P27" i="11" s="1"/>
  <c r="N27" i="11"/>
  <c r="O26" i="11"/>
  <c r="N26" i="11"/>
  <c r="P26" i="11" s="1"/>
  <c r="P25" i="11"/>
  <c r="O25" i="11"/>
  <c r="N25" i="11"/>
  <c r="O24" i="11"/>
  <c r="N24" i="11"/>
  <c r="P24" i="11" s="1"/>
  <c r="O23" i="11"/>
  <c r="P23" i="11" s="1"/>
  <c r="N23" i="11"/>
  <c r="O22" i="11"/>
  <c r="N22" i="11"/>
  <c r="O21" i="11"/>
  <c r="N21" i="11"/>
  <c r="P21" i="11" s="1"/>
  <c r="O20" i="11"/>
  <c r="N20" i="11"/>
  <c r="P20" i="11" s="1"/>
  <c r="O19" i="11"/>
  <c r="N19" i="11"/>
  <c r="P19" i="11" s="1"/>
  <c r="O18" i="11"/>
  <c r="N18" i="11"/>
  <c r="P17" i="11"/>
  <c r="O17" i="11"/>
  <c r="N17" i="11"/>
  <c r="O16" i="11"/>
  <c r="N16" i="11"/>
  <c r="P16" i="11" s="1"/>
  <c r="O15" i="11"/>
  <c r="N15" i="11"/>
  <c r="P15" i="11" s="1"/>
  <c r="O14" i="11"/>
  <c r="N14" i="11"/>
  <c r="P14" i="11" s="1"/>
  <c r="P13" i="11"/>
  <c r="O13" i="11"/>
  <c r="N13" i="11"/>
  <c r="O12" i="11"/>
  <c r="N12" i="11"/>
  <c r="O11" i="11"/>
  <c r="P11" i="11" s="1"/>
  <c r="N11" i="11"/>
  <c r="O10" i="11"/>
  <c r="N10" i="11"/>
  <c r="O9" i="11"/>
  <c r="N9" i="11"/>
  <c r="P9" i="11" s="1"/>
  <c r="O8" i="11"/>
  <c r="N8" i="11"/>
  <c r="P8" i="11" s="1"/>
  <c r="O7" i="11"/>
  <c r="N7" i="11"/>
  <c r="P7" i="11" s="1"/>
  <c r="O6" i="11"/>
  <c r="N6" i="11"/>
  <c r="P5" i="11"/>
  <c r="O5" i="11"/>
  <c r="N5" i="11"/>
  <c r="O4" i="11"/>
  <c r="N4" i="11"/>
  <c r="P4" i="11" s="1"/>
  <c r="O3" i="11"/>
  <c r="N3" i="11"/>
  <c r="P3" i="11" s="1"/>
  <c r="P6" i="11" l="1"/>
  <c r="P18" i="11"/>
  <c r="P30" i="11"/>
  <c r="P12" i="11"/>
  <c r="P10" i="11"/>
  <c r="P2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R14" i="37"/>
  <c r="R3" i="37"/>
  <c r="L4" i="37"/>
  <c r="L5" i="37"/>
  <c r="L6" i="37"/>
  <c r="L7" i="37"/>
  <c r="L8" i="37"/>
  <c r="L9" i="37"/>
  <c r="L10" i="37"/>
  <c r="L11" i="37"/>
  <c r="L12" i="37"/>
  <c r="L13" i="37"/>
  <c r="L14" i="37"/>
  <c r="L3" i="37"/>
  <c r="P6" i="37" l="1"/>
  <c r="B31" i="39" s="1"/>
  <c r="P9" i="37"/>
  <c r="B33"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<sst xmlns="http://schemas.openxmlformats.org/spreadsheetml/2006/main" count="309" uniqueCount="163">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</sst>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-3.5999508571428571E-4</c:v>
                </c:pt>
                <c:pt idx="1">
                  <c:v>-3.6278599999999998E-4</c:v>
                </c:pt>
                <c:pt idx="2">
                  <c:v>-3.7324014285714294E-4</c:v>
                </c:pt>
                <c:pt idx="3">
                  <c:v>-3.806628857142857E-4</c:v>
                </c:pt>
                <c:pt idx="4">
                  <c:v>-3.878932285714286E-4</c:v>
                </c:pt>
                <c:pt idx="5">
                  <c:v>-3.9618314285714287E-4</c:v>
                </c:pt>
                <c:pt idx="6">
                  <c:v>-4.0530537142857145E-4</c:v>
                </c:pt>
                <c:pt idx="7">
                  <c:v>-4.1631285714285719E-4</c:v>
                </c:pt>
                <c:pt idx="8">
                  <c:v>-4.2841082857142859E-4</c:v>
                </c:pt>
                <c:pt idx="9">
                  <c:v>-4.4282602857142865E-4</c:v>
                </c:pt>
                <c:pt idx="10">
                  <c:v>-4.5658385714285717E-4</c:v>
                </c:pt>
                <c:pt idx="11">
                  <c:v>-4.7222405714285716E-4</c:v>
                </c:pt>
                <c:pt idx="12">
                  <c:v>-4.9287082857142855E-4</c:v>
                </c:pt>
                <c:pt idx="13">
                  <c:v>-5.1801585714285716E-4</c:v>
                </c:pt>
                <c:pt idx="14">
                  <c:v>-5.4382945714285722E-4</c:v>
                </c:pt>
                <c:pt idx="15">
                  <c:v>-5.6631957142857148E-4</c:v>
                </c:pt>
                <c:pt idx="16">
                  <c:v>-5.9135617142857145E-4</c:v>
                </c:pt>
                <c:pt idx="17">
                  <c:v>-6.1750360000000003E-4</c:v>
                </c:pt>
                <c:pt idx="18">
                  <c:v>-6.4772062857142859E-4</c:v>
                </c:pt>
                <c:pt idx="19">
                  <c:v>-6.7977485714285719E-4</c:v>
                </c:pt>
                <c:pt idx="20">
                  <c:v>-7.3137274285714287E-4</c:v>
                </c:pt>
                <c:pt idx="21">
                  <c:v>-8.0382091428571442E-4</c:v>
                </c:pt>
                <c:pt idx="22">
                  <c:v>-9.0442820000000005E-4</c:v>
                </c:pt>
                <c:pt idx="23">
                  <c:v>-1.0340307714285716E-3</c:v>
                </c:pt>
                <c:pt idx="24">
                  <c:v>-1.2221332857142858E-3</c:v>
                </c:pt>
                <c:pt idx="25">
                  <c:v>-1.5110083142857143E-3</c:v>
                </c:pt>
                <c:pt idx="26">
                  <c:v>-2.0067045714285713E-3</c:v>
                </c:pt>
                <c:pt idx="27">
                  <c:v>-2.7355667999999999E-3</c:v>
                </c:pt>
                <c:pt idx="28">
                  <c:v>-3.7568405714285716E-3</c:v>
                </c:pt>
                <c:pt idx="29">
                  <c:v>-4.6848757142857146E-3</c:v>
                </c:pt>
                <c:pt idx="30">
                  <c:v>-5.4542020000000009E-3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-3.6499157142857151E-4</c:v>
                </c:pt>
                <c:pt idx="1">
                  <c:v>-3.7702474285714288E-4</c:v>
                </c:pt>
                <c:pt idx="2">
                  <c:v>-3.8432448571428576E-4</c:v>
                </c:pt>
                <c:pt idx="3">
                  <c:v>-3.9200328571428571E-4</c:v>
                </c:pt>
                <c:pt idx="4">
                  <c:v>-4.0057774285714288E-4</c:v>
                </c:pt>
                <c:pt idx="5">
                  <c:v>-4.1050514285714286E-4</c:v>
                </c:pt>
                <c:pt idx="6">
                  <c:v>-4.2189285714285712E-4</c:v>
                </c:pt>
                <c:pt idx="7">
                  <c:v>-4.350891142857143E-4</c:v>
                </c:pt>
                <c:pt idx="8">
                  <c:v>-4.4929674285714289E-4</c:v>
                </c:pt>
                <c:pt idx="9">
                  <c:v>-4.6354088571428579E-4</c:v>
                </c:pt>
                <c:pt idx="10">
                  <c:v>-4.8108748571428574E-4</c:v>
                </c:pt>
                <c:pt idx="11">
                  <c:v>-5.0375437142857141E-4</c:v>
                </c:pt>
                <c:pt idx="12">
                  <c:v>-5.2969905714285719E-4</c:v>
                </c:pt>
                <c:pt idx="13">
                  <c:v>-5.5408702857142863E-4</c:v>
                </c:pt>
                <c:pt idx="14">
                  <c:v>-5.774936857142857E-4</c:v>
                </c:pt>
                <c:pt idx="15">
                  <c:v>-6.0290725714285721E-4</c:v>
                </c:pt>
                <c:pt idx="16">
                  <c:v>-6.3093077142857145E-4</c:v>
                </c:pt>
                <c:pt idx="17">
                  <c:v>-6.6142368571428577E-4</c:v>
                </c:pt>
                <c:pt idx="18">
                  <c:v>-7.0192851428571438E-4</c:v>
                </c:pt>
                <c:pt idx="19">
                  <c:v>-7.6508594285714293E-4</c:v>
                </c:pt>
                <c:pt idx="20">
                  <c:v>-8.4982022857142865E-4</c:v>
                </c:pt>
                <c:pt idx="21">
                  <c:v>-9.6031400000000009E-4</c:v>
                </c:pt>
                <c:pt idx="22">
                  <c:v>-1.1084513428571429E-3</c:v>
                </c:pt>
                <c:pt idx="23">
                  <c:v>-1.3287063714285715E-3</c:v>
                </c:pt>
                <c:pt idx="24">
                  <c:v>-1.6862730571428571E-3</c:v>
                </c:pt>
                <c:pt idx="25">
                  <c:v>-2.2753457428571428E-3</c:v>
                </c:pt>
                <c:pt idx="26">
                  <c:v>-3.1217257142857145E-3</c:v>
                </c:pt>
                <c:pt idx="27">
                  <c:v>-4.1663445714285718E-3</c:v>
                </c:pt>
                <c:pt idx="28">
                  <c:v>-5.0214025714285723E-3</c:v>
                </c:pt>
                <c:pt idx="29">
                  <c:v>-5.6401380000000003E-3</c:v>
                </c:pt>
                <c:pt idx="30">
                  <c:v>-5.9958525714285723E-3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-3.7633954285714287E-4</c:v>
                </c:pt>
                <c:pt idx="1">
                  <c:v>-3.8540391428571434E-4</c:v>
                </c:pt>
                <c:pt idx="2">
                  <c:v>-3.9335028571428572E-4</c:v>
                </c:pt>
                <c:pt idx="3">
                  <c:v>-4.0201937142857143E-4</c:v>
                </c:pt>
                <c:pt idx="4">
                  <c:v>-4.1216908571428576E-4</c:v>
                </c:pt>
                <c:pt idx="5">
                  <c:v>-4.2365497142857146E-4</c:v>
                </c:pt>
                <c:pt idx="6">
                  <c:v>-4.3714400000000004E-4</c:v>
                </c:pt>
                <c:pt idx="7">
                  <c:v>-4.5126900000000002E-4</c:v>
                </c:pt>
                <c:pt idx="8">
                  <c:v>-4.6570742857142861E-4</c:v>
                </c:pt>
                <c:pt idx="9">
                  <c:v>-4.8378871428571426E-4</c:v>
                </c:pt>
                <c:pt idx="10">
                  <c:v>-5.0694940000000006E-4</c:v>
                </c:pt>
                <c:pt idx="11">
                  <c:v>-5.3302717142857147E-4</c:v>
                </c:pt>
                <c:pt idx="12">
                  <c:v>-5.5704579999999999E-4</c:v>
                </c:pt>
                <c:pt idx="13">
                  <c:v>-5.8081520000000011E-4</c:v>
                </c:pt>
                <c:pt idx="14">
                  <c:v>-6.0632237142857145E-4</c:v>
                </c:pt>
                <c:pt idx="15">
                  <c:v>-6.3484974285714293E-4</c:v>
                </c:pt>
                <c:pt idx="16">
                  <c:v>-6.6514245714285717E-4</c:v>
                </c:pt>
                <c:pt idx="17">
                  <c:v>-7.0607157142857152E-4</c:v>
                </c:pt>
                <c:pt idx="18">
                  <c:v>-7.6816097142857142E-4</c:v>
                </c:pt>
                <c:pt idx="19">
                  <c:v>-8.5432602857142862E-4</c:v>
                </c:pt>
                <c:pt idx="20">
                  <c:v>-9.6764748571428582E-4</c:v>
                </c:pt>
                <c:pt idx="21">
                  <c:v>-1.1218572857142858E-3</c:v>
                </c:pt>
                <c:pt idx="22">
                  <c:v>-1.3513724571428572E-3</c:v>
                </c:pt>
                <c:pt idx="23">
                  <c:v>-1.7279395999999999E-3</c:v>
                </c:pt>
                <c:pt idx="24">
                  <c:v>-2.3361168857142858E-3</c:v>
                </c:pt>
                <c:pt idx="25">
                  <c:v>-3.210096E-3</c:v>
                </c:pt>
                <c:pt idx="26">
                  <c:v>-4.2436945714285712E-3</c:v>
                </c:pt>
                <c:pt idx="27">
                  <c:v>-5.0913620000000003E-3</c:v>
                </c:pt>
                <c:pt idx="28">
                  <c:v>-5.6714805714285716E-3</c:v>
                </c:pt>
                <c:pt idx="29">
                  <c:v>-6.0295740000000002E-3</c:v>
                </c:pt>
                <c:pt idx="30">
                  <c:v>-6.2946374285714288E-3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-3.8382265714285714E-4</c:v>
                </c:pt>
                <c:pt idx="1">
                  <c:v>-3.9338445714285714E-4</c:v>
                </c:pt>
                <c:pt idx="2">
                  <c:v>-4.0219902857142859E-4</c:v>
                </c:pt>
                <c:pt idx="3">
                  <c:v>-4.1229211428571433E-4</c:v>
                </c:pt>
                <c:pt idx="4">
                  <c:v>-4.237640857142858E-4</c:v>
                </c:pt>
                <c:pt idx="5">
                  <c:v>-4.3715760000000002E-4</c:v>
                </c:pt>
                <c:pt idx="6">
                  <c:v>-4.5135482857142859E-4</c:v>
                </c:pt>
                <c:pt idx="7">
                  <c:v>-4.6574105714285716E-4</c:v>
                </c:pt>
                <c:pt idx="8">
                  <c:v>-4.8362802857142864E-4</c:v>
                </c:pt>
                <c:pt idx="9">
                  <c:v>-5.0662740000000008E-4</c:v>
                </c:pt>
                <c:pt idx="10">
                  <c:v>-5.3271571428571435E-4</c:v>
                </c:pt>
                <c:pt idx="11">
                  <c:v>-5.569610571428572E-4</c:v>
                </c:pt>
                <c:pt idx="12">
                  <c:v>-5.8063117142857139E-4</c:v>
                </c:pt>
                <c:pt idx="13">
                  <c:v>-6.0616185714285715E-4</c:v>
                </c:pt>
                <c:pt idx="14">
                  <c:v>-6.3452037142857146E-4</c:v>
                </c:pt>
                <c:pt idx="15">
                  <c:v>-6.6471354285714285E-4</c:v>
                </c:pt>
                <c:pt idx="16">
                  <c:v>-7.0354954285714285E-4</c:v>
                </c:pt>
                <c:pt idx="17">
                  <c:v>-7.6183774285714279E-4</c:v>
                </c:pt>
                <c:pt idx="18">
                  <c:v>-8.4521674285714286E-4</c:v>
                </c:pt>
                <c:pt idx="19">
                  <c:v>-9.5746677142857144E-4</c:v>
                </c:pt>
                <c:pt idx="20">
                  <c:v>-1.1098411428571431E-3</c:v>
                </c:pt>
                <c:pt idx="21">
                  <c:v>-1.3359454857142859E-3</c:v>
                </c:pt>
                <c:pt idx="22">
                  <c:v>-1.7043230571428571E-3</c:v>
                </c:pt>
                <c:pt idx="23">
                  <c:v>-2.3040462857142857E-3</c:v>
                </c:pt>
                <c:pt idx="24">
                  <c:v>-3.1656362857142859E-3</c:v>
                </c:pt>
                <c:pt idx="25">
                  <c:v>-4.2048082857142864E-3</c:v>
                </c:pt>
                <c:pt idx="26">
                  <c:v>-5.0564605714285716E-3</c:v>
                </c:pt>
                <c:pt idx="27">
                  <c:v>-5.6548028571428571E-3</c:v>
                </c:pt>
                <c:pt idx="28">
                  <c:v>-6.0127154285714293E-3</c:v>
                </c:pt>
                <c:pt idx="29">
                  <c:v>-6.2865677142857146E-3</c:v>
                </c:pt>
                <c:pt idx="30">
                  <c:v>-6.4140320000000009E-3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-3.9366482857142865E-4</c:v>
                </c:pt>
                <c:pt idx="1">
                  <c:v>-4.0491805714285717E-4</c:v>
                </c:pt>
                <c:pt idx="2">
                  <c:v>-4.1571082857142861E-4</c:v>
                </c:pt>
                <c:pt idx="3">
                  <c:v>-4.2745811428571433E-4</c:v>
                </c:pt>
                <c:pt idx="4">
                  <c:v>-4.4150500000000002E-4</c:v>
                </c:pt>
                <c:pt idx="5">
                  <c:v>-4.554939428571429E-4</c:v>
                </c:pt>
                <c:pt idx="6">
                  <c:v>-4.7038757142857146E-4</c:v>
                </c:pt>
                <c:pt idx="7">
                  <c:v>-4.8958205714285719E-4</c:v>
                </c:pt>
                <c:pt idx="8">
                  <c:v>-5.1373637142857148E-4</c:v>
                </c:pt>
                <c:pt idx="9">
                  <c:v>-5.4002100000000001E-4</c:v>
                </c:pt>
                <c:pt idx="10">
                  <c:v>-5.6337371428571439E-4</c:v>
                </c:pt>
                <c:pt idx="11">
                  <c:v>-5.8787177142857142E-4</c:v>
                </c:pt>
                <c:pt idx="12">
                  <c:v>-6.1364405714285717E-4</c:v>
                </c:pt>
                <c:pt idx="13">
                  <c:v>-6.4314922857142858E-4</c:v>
                </c:pt>
                <c:pt idx="14">
                  <c:v>-6.7329702857142854E-4</c:v>
                </c:pt>
                <c:pt idx="15">
                  <c:v>-7.1481365714285718E-4</c:v>
                </c:pt>
                <c:pt idx="16">
                  <c:v>-7.7185057142857148E-4</c:v>
                </c:pt>
                <c:pt idx="17">
                  <c:v>-8.5811151428571433E-4</c:v>
                </c:pt>
                <c:pt idx="18">
                  <c:v>-9.7714334285714283E-4</c:v>
                </c:pt>
                <c:pt idx="19">
                  <c:v>-1.1450628000000001E-3</c:v>
                </c:pt>
                <c:pt idx="20">
                  <c:v>-1.3958689142857146E-3</c:v>
                </c:pt>
                <c:pt idx="21">
                  <c:v>-1.8148498000000002E-3</c:v>
                </c:pt>
                <c:pt idx="22">
                  <c:v>-2.464179485714286E-3</c:v>
                </c:pt>
                <c:pt idx="23">
                  <c:v>-3.3960300000000004E-3</c:v>
                </c:pt>
                <c:pt idx="24">
                  <c:v>-4.3980477142857143E-3</c:v>
                </c:pt>
                <c:pt idx="25">
                  <c:v>-5.2293177142857146E-3</c:v>
                </c:pt>
                <c:pt idx="26">
                  <c:v>-5.7320725714285724E-3</c:v>
                </c:pt>
                <c:pt idx="27">
                  <c:v>-6.0948040000000005E-3</c:v>
                </c:pt>
                <c:pt idx="28">
                  <c:v>-6.3178514285714285E-3</c:v>
                </c:pt>
                <c:pt idx="29">
                  <c:v>-6.4428497142857144E-3</c:v>
                </c:pt>
                <c:pt idx="30">
                  <c:v>-6.7568782857142864E-3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-4.2099691428571434E-4</c:v>
                </c:pt>
                <c:pt idx="1">
                  <c:v>-4.3679314285714293E-4</c:v>
                </c:pt>
                <c:pt idx="2">
                  <c:v>-4.5152640000000003E-4</c:v>
                </c:pt>
                <c:pt idx="3">
                  <c:v>-4.6579128571428574E-4</c:v>
                </c:pt>
                <c:pt idx="4">
                  <c:v>-4.8305622857142865E-4</c:v>
                </c:pt>
                <c:pt idx="5">
                  <c:v>-5.0552008571428568E-4</c:v>
                </c:pt>
                <c:pt idx="6">
                  <c:v>-5.3161102857142862E-4</c:v>
                </c:pt>
                <c:pt idx="7">
                  <c:v>-5.5661174285714281E-4</c:v>
                </c:pt>
                <c:pt idx="8">
                  <c:v>-5.7996000000000002E-4</c:v>
                </c:pt>
                <c:pt idx="9">
                  <c:v>-6.0558114285714289E-4</c:v>
                </c:pt>
                <c:pt idx="10">
                  <c:v>-6.3340537142857146E-4</c:v>
                </c:pt>
                <c:pt idx="11">
                  <c:v>-6.6375940000000001E-4</c:v>
                </c:pt>
                <c:pt idx="12">
                  <c:v>-6.9877779999999998E-4</c:v>
                </c:pt>
                <c:pt idx="13">
                  <c:v>-7.4557468571428585E-4</c:v>
                </c:pt>
                <c:pt idx="14">
                  <c:v>-8.0384180000000007E-4</c:v>
                </c:pt>
                <c:pt idx="15">
                  <c:v>-8.9073805714285725E-4</c:v>
                </c:pt>
                <c:pt idx="16">
                  <c:v>-1.0281325428571429E-3</c:v>
                </c:pt>
                <c:pt idx="17">
                  <c:v>-1.2448388857142858E-3</c:v>
                </c:pt>
                <c:pt idx="18">
                  <c:v>-1.5896212285714288E-3</c:v>
                </c:pt>
                <c:pt idx="19">
                  <c:v>-2.1613843714285716E-3</c:v>
                </c:pt>
                <c:pt idx="20">
                  <c:v>-2.981823142857143E-3</c:v>
                </c:pt>
                <c:pt idx="21">
                  <c:v>-4.0335100000000006E-3</c:v>
                </c:pt>
                <c:pt idx="22">
                  <c:v>-4.9064134285714284E-3</c:v>
                </c:pt>
                <c:pt idx="23">
                  <c:v>-5.5716142857142863E-3</c:v>
                </c:pt>
                <c:pt idx="24">
                  <c:v>-5.9386188571428581E-3</c:v>
                </c:pt>
                <c:pt idx="25">
                  <c:v>-6.2464694285714285E-3</c:v>
                </c:pt>
                <c:pt idx="26">
                  <c:v>-6.358090857142857E-3</c:v>
                </c:pt>
                <c:pt idx="27">
                  <c:v>-6.6076685714285726E-3</c:v>
                </c:pt>
                <c:pt idx="28">
                  <c:v>-6.8895494285714292E-3</c:v>
                </c:pt>
                <c:pt idx="29">
                  <c:v>-6.9306028571428577E-3</c:v>
                </c:pt>
                <c:pt idx="30">
                  <c:v>-6.9356111428571432E-3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-4.5570065714285718E-4</c:v>
                </c:pt>
                <c:pt idx="1">
                  <c:v>-4.7502377142857145E-4</c:v>
                </c:pt>
                <c:pt idx="2">
                  <c:v>-4.9555025714285712E-4</c:v>
                </c:pt>
                <c:pt idx="3">
                  <c:v>-5.2058842857142867E-4</c:v>
                </c:pt>
                <c:pt idx="4">
                  <c:v>-5.4701862857142855E-4</c:v>
                </c:pt>
                <c:pt idx="5">
                  <c:v>-5.7006357142857145E-4</c:v>
                </c:pt>
                <c:pt idx="6">
                  <c:v>-5.9517077142857142E-4</c:v>
                </c:pt>
                <c:pt idx="7">
                  <c:v>-6.2135062857142864E-4</c:v>
                </c:pt>
                <c:pt idx="8">
                  <c:v>-6.5162028571428578E-4</c:v>
                </c:pt>
                <c:pt idx="9">
                  <c:v>-6.8221957142857142E-4</c:v>
                </c:pt>
                <c:pt idx="10">
                  <c:v>-7.24981542857143E-4</c:v>
                </c:pt>
                <c:pt idx="11">
                  <c:v>-7.7555411428571427E-4</c:v>
                </c:pt>
                <c:pt idx="12">
                  <c:v>-8.4309208571428575E-4</c:v>
                </c:pt>
                <c:pt idx="13">
                  <c:v>-9.3429554285714294E-4</c:v>
                </c:pt>
                <c:pt idx="14">
                  <c:v>-1.0801062E-3</c:v>
                </c:pt>
                <c:pt idx="15">
                  <c:v>-1.3319143428571429E-3</c:v>
                </c:pt>
                <c:pt idx="16">
                  <c:v>-1.7799718571428571E-3</c:v>
                </c:pt>
                <c:pt idx="17">
                  <c:v>-2.461023085714286E-3</c:v>
                </c:pt>
                <c:pt idx="18">
                  <c:v>-3.4348485714285715E-3</c:v>
                </c:pt>
                <c:pt idx="19">
                  <c:v>-4.4121640000000005E-3</c:v>
                </c:pt>
                <c:pt idx="20">
                  <c:v>-5.2413105714285719E-3</c:v>
                </c:pt>
                <c:pt idx="21">
                  <c:v>-5.7147317142857146E-3</c:v>
                </c:pt>
                <c:pt idx="22">
                  <c:v>-6.0956394285714291E-3</c:v>
                </c:pt>
                <c:pt idx="23">
                  <c:v>-6.2988837142857138E-3</c:v>
                </c:pt>
                <c:pt idx="24">
                  <c:v>-6.4397999999999999E-3</c:v>
                </c:pt>
                <c:pt idx="25">
                  <c:v>-6.7772074285714287E-3</c:v>
                </c:pt>
                <c:pt idx="26">
                  <c:v>-6.9143051428571436E-3</c:v>
                </c:pt>
                <c:pt idx="27">
                  <c:v>-6.9280194285714298E-3</c:v>
                </c:pt>
                <c:pt idx="28">
                  <c:v>-6.9320440000000001E-3</c:v>
                </c:pt>
                <c:pt idx="29">
                  <c:v>-6.9347925714285724E-3</c:v>
                </c:pt>
                <c:pt idx="30">
                  <c:v>-6.9376311428571442E-3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124666944"/>
        <c:axId val="1246689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466694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668904"/>
        <c:crossesAt val="-8.0000000000000019E-3"/>
        <c:crossBetween val="midCat"/>
      </c:valAx>
      <c:valAx>
        <c:axId val="1246689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6669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27778.156971666598</c:v>
                </c:pt>
                <c:pt idx="1">
                  <c:v>27564.45948851389</c:v>
                </c:pt>
                <c:pt idx="2">
                  <c:v>26792.4021340531</c:v>
                </c:pt>
                <c:pt idx="3">
                  <c:v>26269.963201786119</c:v>
                </c:pt>
                <c:pt idx="4">
                  <c:v>25780.290202097585</c:v>
                </c:pt>
                <c:pt idx="5">
                  <c:v>25240.85181384367</c:v>
                </c:pt>
                <c:pt idx="6">
                  <c:v>24672.754680633043</c:v>
                </c:pt>
                <c:pt idx="7">
                  <c:v>24020.396748324576</c:v>
                </c:pt>
                <c:pt idx="8">
                  <c:v>23342.080388924409</c:v>
                </c:pt>
                <c:pt idx="9">
                  <c:v>22582.231745185189</c:v>
                </c:pt>
                <c:pt idx="10">
                  <c:v>21901.781772523715</c:v>
                </c:pt>
                <c:pt idx="11">
                  <c:v>21176.388302840744</c:v>
                </c:pt>
                <c:pt idx="12">
                  <c:v>20289.291677060097</c:v>
                </c:pt>
                <c:pt idx="13">
                  <c:v>19304.428353130945</c:v>
                </c:pt>
                <c:pt idx="14">
                  <c:v>18388.117577406487</c:v>
                </c:pt>
                <c:pt idx="15">
                  <c:v>17657.874642711824</c:v>
                </c:pt>
                <c:pt idx="16">
                  <c:v>16910.282640396654</c:v>
                </c:pt>
                <c:pt idx="17">
                  <c:v>16194.23757205626</c:v>
                </c:pt>
                <c:pt idx="18">
                  <c:v>15438.754856480893</c:v>
                </c:pt>
                <c:pt idx="19">
                  <c:v>14710.752971992406</c:v>
                </c:pt>
                <c:pt idx="20">
                  <c:v>13672.918628242171</c:v>
                </c:pt>
                <c:pt idx="21">
                  <c:v>12440.582003127063</c:v>
                </c:pt>
                <c:pt idx="22">
                  <c:v>11056.709642622818</c:v>
                </c:pt>
                <c:pt idx="23">
                  <c:v>9670.892082045526</c:v>
                </c:pt>
                <c:pt idx="24">
                  <c:v>8182.4135852378968</c:v>
                </c:pt>
                <c:pt idx="25">
                  <c:v>6618.0972701842556</c:v>
                </c:pt>
                <c:pt idx="26">
                  <c:v>4983.2945727935466</c:v>
                </c:pt>
                <c:pt idx="27">
                  <c:v>3655.5495555802186</c:v>
                </c:pt>
                <c:pt idx="28">
                  <c:v>2661.8111175788895</c:v>
                </c:pt>
                <c:pt idx="29">
                  <c:v>2134.5283439444802</c:v>
                </c:pt>
                <c:pt idx="30">
                  <c:v>1833.4487794914817</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27397.892945473101</c:v>
                </c:pt>
                <c:pt idx="1">
                  <c:v>26523.458180008798</c:v>
                </c:pt>
                <c:pt idx="2">
                  <c:v>26019.67965016466</c:v>
                </c:pt>
                <c:pt idx="3">
                  <c:v>25509.990258828006</c:v>
                </c:pt>
                <c:pt idx="4">
                  <c:v>24963.943150396844</c:v>
                </c:pt>
                <c:pt idx="5">
                  <c:v>24360.23074010557</c:v>
                </c:pt>
                <c:pt idx="6">
                  <c:v>23702.700414797258</c:v>
                </c:pt>
                <c:pt idx="7">
                  <c:v>22983.797276603891</c:v>
                </c:pt>
                <c:pt idx="8">
                  <c:v>22257.005328835807</c:v>
                </c:pt>
                <c:pt idx="9">
                  <c:v>21573.070053120908</c:v>
                </c:pt>
                <c:pt idx="10">
                  <c:v>20786.240126684414</c:v>
                </c:pt>
                <c:pt idx="11">
                  <c:v>19850.944363304498</c:v>
                </c:pt>
                <c:pt idx="12">
                  <c:v>18878.644137935571</c:v>
                </c:pt>
                <c:pt idx="13">
                  <c:v>18047.706378874158</c:v>
                </c:pt>
                <c:pt idx="14">
                  <c:v>17316.206648443753</c:v>
                </c:pt>
                <c:pt idx="15">
                  <c:v>16586.298939889071</c:v>
                </c:pt>
                <c:pt idx="16">
                  <c:v>15849.59943760187</c:v>
                </c:pt>
                <c:pt idx="17">
                  <c:v>15118.902174180206</c:v>
                </c:pt>
                <c:pt idx="18">
                  <c:v>14246.464983939348</c:v>
                </c:pt>
                <c:pt idx="19">
                  <c:v>13070.427045955023</c:v>
                </c:pt>
                <c:pt idx="20">
                  <c:v>11767.194594567696</c:v>
                </c:pt>
                <c:pt idx="21">
                  <c:v>10413.260662658255</c:v>
                </c:pt>
                <c:pt idx="22">
                  <c:v>9021.5958187429424</c:v>
                </c:pt>
                <c:pt idx="23">
                  <c:v>7526.1172935058657</c:v>
                </c:pt>
                <c:pt idx="24">
                  <c:v>5930.2376668127145</c:v>
                </c:pt>
                <c:pt idx="25">
                  <c:v>4394.9364756509658</c:v>
                </c:pt>
                <c:pt idx="26">
                  <c:v>3203.3563852960447</c:v>
                </c:pt>
                <c:pt idx="27">
                  <c:v>2400.1855412000077</c:v>
                </c:pt>
                <c:pt idx="28">
                  <c:v>1991.4754608402236</c:v>
                </c:pt>
                <c:pt idx="29">
                  <c:v>1773.0062633219256</c:v>
                </c:pt>
                <c:pt idx="30">
                  <c:v>1667.8195270597521</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26571.749341248375</c:v>
                </c:pt>
                <c:pt idx="1">
                  <c:v>25946.804454577039</c:v>
                </c:pt>
                <c:pt idx="2">
                  <c:v>25422.633116538804</c:v>
                </c:pt>
                <c:pt idx="3">
                  <c:v>24874.423250962038</c:v>
                </c:pt>
                <c:pt idx="4">
                  <c:v>24261.887527712272</c:v>
                </c:pt>
                <c:pt idx="5">
                  <c:v>23604.113428150831</c:v>
                </c:pt>
                <c:pt idx="6">
                  <c:v>22875.757187562907</c:v>
                </c:pt>
                <c:pt idx="7">
                  <c:v>22159.731778606551</c:v>
                </c:pt>
                <c:pt idx="8">
                  <c:v>21472.708800620374</c:v>
                </c:pt>
                <c:pt idx="9">
                  <c:v>20670.180400475889</c:v>
                </c:pt>
                <c:pt idx="10">
                  <c:v>19725.834570471921</c:v>
                </c:pt>
                <c:pt idx="11">
                  <c:v>18760.769686841479</c:v>
                </c:pt>
                <c:pt idx="12">
                  <c:v>17951.845252221632</c:v>
                </c:pt>
                <c:pt idx="13">
                  <c:v>17217.180266632138</c:v>
                </c:pt>
                <c:pt idx="14">
                  <c:v>16492.876514582083</c:v>
                </c:pt>
                <c:pt idx="15">
                  <c:v>15751.758762624639</c:v>
                </c:pt>
                <c:pt idx="16">
                  <c:v>15034.373302458171</c:v>
                </c:pt>
                <c:pt idx="17">
                  <c:v>14162.870174431931</c:v>
                </c:pt>
                <c:pt idx="18">
                  <c:v>13018.104761821871</c:v>
                </c:pt>
                <c:pt idx="19">
                  <c:v>11705.13324605317</c:v>
                </c:pt>
                <c:pt idx="20">
                  <c:v>10334.341945422744</c:v>
                </c:pt>
                <c:pt idx="21">
                  <c:v>8913.7897728524422</c:v>
                </c:pt>
                <c:pt idx="22">
                  <c:v>7399.8844264907739</c:v>
                </c:pt>
                <c:pt idx="23">
                  <c:v>5787.2393224855778</c:v>
                </c:pt>
                <c:pt idx="24">
                  <c:v>4280.6077303543925</c:v>
                </c:pt>
                <c:pt idx="25">
                  <c:v>3115.1716334963194</c:v>
                </c:pt>
                <c:pt idx="26">
                  <c:v>2356.4372580738441</c:v>
                </c:pt>
                <c:pt idx="27">
                  <c:v>1964.1109785554434</c:v>
                </c:pt>
                <c:pt idx="28">
                  <c:v>1763.2080149189565</c:v>
                </c:pt>
                <c:pt idx="29">
                  <c:v>1658.491959796828</c:v>
                </c:pt>
                <c:pt idx="30">
                  <c:v>1588.6538523426129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26053.699055806504</c:v>
                </c:pt>
                <c:pt idx="1">
                  <c:v>25420.424773845374</c:v>
                </c:pt>
                <c:pt idx="2">
                  <c:v>24863.312165419735</c:v>
                </c:pt>
                <c:pt idx="3">
                  <c:v>24254.64774489987</c:v>
                </c:pt>
                <c:pt idx="4">
                  <c:v>23598.035645574491</c:v>
                </c:pt>
                <c:pt idx="5">
                  <c:v>22875.045521340588</c:v>
                </c:pt>
                <c:pt idx="6">
                  <c:v>22155.517936189448</c:v>
                </c:pt>
                <c:pt idx="7">
                  <c:v>21471.158375742449</c:v>
                </c:pt>
                <c:pt idx="8">
                  <c:v>20677.048080812518</c:v>
                </c:pt>
                <c:pt idx="9">
                  <c:v>19738.371829079908</c:v>
                </c:pt>
                <c:pt idx="10">
                  <c:v>18771.738343420904</c:v>
                </c:pt>
                <c:pt idx="11">
                  <c:v>17954.576665195927</c:v>
                </c:pt>
                <c:pt idx="12">
                  <c:v>17222.637178428147</c:v>
                </c:pt>
                <c:pt idx="13">
                  <c:v>16497.243899731639</c:v>
                </c:pt>
                <c:pt idx="14">
                  <c:v>15759.935299611905</c:v>
                </c:pt>
                <c:pt idx="15">
                  <c:v>15044.074409883286</c:v>
                </c:pt>
                <c:pt idx="16">
                  <c:v>14213.640107546087</c:v>
                </c:pt>
                <c:pt idx="17">
                  <c:v>13126.154609374827</c:v>
                </c:pt>
                <c:pt idx="18">
                  <c:v>11831.284797076225</c:v>
                </c:pt>
                <c:pt idx="19">
                  <c:v>10444.226680660338</c:v>
                </c:pt>
                <c:pt idx="20">
                  <c:v>9010.2985137641299</c:v>
                </c:pt>
                <c:pt idx="21">
                  <c:v>7485.3353725382967</c:v>
                </c:pt>
                <c:pt idx="22">
                  <c:v>5867.432208987475</c:v>
                </c:pt>
                <c:pt idx="23">
                  <c:v>4340.1905864490318</c:v>
                </c:pt>
                <c:pt idx="24">
                  <c:v>3158.9225980026404</c:v>
                </c:pt>
                <c:pt idx="25">
                  <c:v>2378.2297123925264</c:v>
                </c:pt>
                <c:pt idx="26">
                  <c:v>1977.667947517439</c:v>
                </c:pt>
                <c:pt idx="27">
                  <c:v>1768.4082456329159</c:v>
                </c:pt>
                <c:pt idx="28">
                  <c:v>1663.1420726285587</c:v>
                </c:pt>
                <c:pt idx="29">
                  <c:v>1590.6931181661835</c:v>
                </c:pt>
                <c:pt idx="30">
                  <c:v>1559.0817133434941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25402.320131795943</c:v>
                </c:pt>
                <c:pt idx="1">
                  <c:v>24696.354789808618</c:v>
                </c:pt>
                <c:pt idx="2">
                  <c:v>24055.182864407325</c:v>
                </c:pt>
                <c:pt idx="3">
                  <c:v>23394.104979642449</c:v>
                </c:pt>
                <c:pt idx="4">
                  <c:v>22649.800115513979</c:v>
                </c:pt>
                <c:pt idx="5">
                  <c:v>21954.188758853183</c:v>
                </c:pt>
                <c:pt idx="6">
                  <c:v>21259.065093131409</c:v>
                </c:pt>
                <c:pt idx="7">
                  <c:v>20425.585157999485</c:v>
                </c:pt>
                <c:pt idx="8">
                  <c:v>19465.236561298003</c:v>
                </c:pt>
                <c:pt idx="9">
                  <c:v>18517.798381914778</c:v>
                </c:pt>
                <c:pt idx="10">
                  <c:v>17750.206916697767</c:v>
                </c:pt>
                <c:pt idx="11">
                  <c:v>17010.512302196905</c:v>
                </c:pt>
                <c:pt idx="12">
                  <c:v>16296.091982965276</c:v>
                </c:pt>
                <c:pt idx="13">
                  <c:v>15548.491012283619</c:v>
                </c:pt>
                <c:pt idx="14">
                  <c:v>14852.2859535227</c:v>
                </c:pt>
                <c:pt idx="15">
                  <c:v>13989.659962528494</c:v>
                </c:pt>
                <c:pt idx="16">
                  <c:v>12955.875619152041</c:v>
                </c:pt>
                <c:pt idx="17">
                  <c:v>11653.497049650856</c:v>
                </c:pt>
                <c:pt idx="18">
                  <c:v>10233.913041622172</c:v>
                </c:pt>
                <c:pt idx="19">
                  <c:v>8733.14546590807</c:v>
                </c:pt>
                <c:pt idx="20">
                  <c:v>7163.9964882498571</c:v>
                </c:pt>
                <c:pt idx="21">
                  <c:v>5510.0978604400207</c:v>
                </c:pt>
                <c:pt idx="22">
                  <c:v>4058.1459499900525</c:v>
                </c:pt>
                <c:pt idx="23">
                  <c:v>2944.6147413303179</c:v>
                </c:pt>
                <c:pt idx="24">
                  <c:v>2273.7361324021235</c:v>
                </c:pt>
                <c:pt idx="25">
                  <c:v>1912.2953598098456</c:v>
                </c:pt>
                <c:pt idx="26">
                  <c:v>1744.5696779634031</c:v>
                </c:pt>
                <c:pt idx="27">
                  <c:v>1640.7418515837423</c:v>
                </c:pt>
                <c:pt idx="28">
                  <c:v>1582.8165814056135</c:v>
                </c:pt>
                <c:pt idx="29">
                  <c:v>1552.1082197256635</c:v>
                </c:pt>
                <c:pt idx="30">
                  <c:v>1479.9733807759237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23753.143219509173</c:v>
                </c:pt>
                <c:pt idx="1">
                  <c:v>22894.132299303492</c:v>
                </c:pt>
                <c:pt idx="2">
                  <c:v>22147.099261527121</c:v>
                </c:pt>
                <c:pt idx="3">
                  <c:v>21468.84303484792</c:v>
                </c:pt>
                <c:pt idx="4">
                  <c:v>20701.523774103076</c:v>
                </c:pt>
                <c:pt idx="5">
                  <c:v>19781.607660297574</c:v>
                </c:pt>
                <c:pt idx="6">
                  <c:v>18810.745944967493</c:v>
                </c:pt>
                <c:pt idx="7">
                  <c:v>17965.844465783306</c:v>
                </c:pt>
                <c:pt idx="8">
                  <c:v>17242.568452996758</c:v>
                </c:pt>
                <c:pt idx="9">
                  <c:v>16513.063720610284</c:v>
                </c:pt>
                <c:pt idx="10">
                  <c:v>15787.67792487483</c:v>
                </c:pt>
                <c:pt idx="11">
                  <c:v>15065.700011178749</c:v>
                </c:pt>
                <c:pt idx="12">
                  <c:v>14310.70076925741</c:v>
                </c:pt>
                <c:pt idx="13">
                  <c:v>13412.472541794603</c:v>
                </c:pt>
                <c:pt idx="14">
                  <c:v>12440.258767334566</c:v>
                </c:pt>
                <c:pt idx="15">
                  <c:v>11226.645049922003</c:v>
                </c:pt>
                <c:pt idx="16">
                  <c:v>9726.3724112947184</c:v>
                </c:pt>
                <c:pt idx="17">
                  <c:v>8033.1680788249332</c:v>
                </c:pt>
                <c:pt idx="18">
                  <c:v>6290.8067785348248</c:v>
                </c:pt>
                <c:pt idx="19">
                  <c:v>4626.6643417017394</c:v>
                </c:pt>
                <c:pt idx="20">
                  <c:v>3353.6529569014392</c:v>
                </c:pt>
                <c:pt idx="21">
                  <c:v>2479.2302485924165</c:v>
                </c:pt>
                <c:pt idx="22">
                  <c:v>2038.148669202473</c:v>
                </c:pt>
                <c:pt idx="23">
                  <c:v>1794.8119678062012</c:v>
                </c:pt>
                <c:pt idx="24">
                  <c:v>1683.8932149976572</c:v>
                </c:pt>
                <c:pt idx="25">
                  <c:v>1600.9043371380121</c:v>
                </c:pt>
                <c:pt idx="26">
                  <c:v>1572.7991663984669</c:v>
                </c:pt>
                <c:pt idx="27">
                  <c:v>1513.3930965060508</c:v>
                </c:pt>
                <c:pt idx="28">
                  <c:v>1451.473728968301</c:v>
                </c:pt>
                <c:pt idx="29">
                  <c:v>1442.8759238013101</c:v>
                </c:pt>
                <c:pt idx="30">
                  <c:v>1441.8340062647276</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21944.22993088884</c:v>
                </c:pt>
                <c:pt idx="1">
                  <c:v>21051.578050349599</c:v>
                </c:pt>
                <c:pt idx="2">
                  <c:v>20179.587954723233</c:v>
                </c:pt>
                <c:pt idx="3">
                  <c:v>19209.032416339858</c:v>
                </c:pt>
                <c:pt idx="4">
                  <c:v>18280.913076243109</c:v>
                </c:pt>
                <c:pt idx="5">
                  <c:v>17541.903221319928</c:v>
                </c:pt>
                <c:pt idx="6">
                  <c:v>16801.90036213856</c:v>
                </c:pt>
                <c:pt idx="7">
                  <c:v>16093.972614128335</c:v>
                </c:pt>
                <c:pt idx="8">
                  <c:v>15346.360785926596</c:v>
                </c:pt>
                <c:pt idx="9">
                  <c:v>14658.037410243078</c:v>
                </c:pt>
                <c:pt idx="10">
                  <c:v>13793.454603809812</c:v>
                </c:pt>
                <c:pt idx="11">
                  <c:v>12894.006769869315</c:v>
                </c:pt>
                <c:pt idx="12">
                  <c:v>11861.100548142122</c:v>
                </c:pt>
                <c:pt idx="13">
                  <c:v>10703.251317478494</c:v>
                </c:pt>
                <c:pt idx="14">
                  <c:v>9258.3488549551894</c:v>
                </c:pt>
                <c:pt idx="15">
                  <c:v>7507.9903250749585</c:v>
                </c:pt>
                <c:pt idx="16">
                  <c:v>5618.0663530555021</c:v>
                </c:pt>
                <c:pt idx="17">
                  <c:v>4063.3507495512199</c:v>
                </c:pt>
                <c:pt idx="18">
                  <c:v>2911.3364947674963</c:v>
                </c:pt>
                <c:pt idx="19">
                  <c:v>2266.4615367878437</c:v>
                </c:pt>
                <c:pt idx="20">
                  <c:v>1907.9197585642019</c:v>
                </c:pt>
                <c:pt idx="21">
                  <c:v>1749.8634231598223</c:v>
                </c:pt>
                <c:pt idx="22">
                  <c:v>1640.5169822099524</c:v>
                </c:pt>
                <c:pt idx="23">
                  <c:v>1587.5828882695905</c:v>
                </c:pt>
                <c:pt idx="24">
                  <c:v>1552.8432560017393</c:v>
                </c:pt>
                <c:pt idx="25">
                  <c:v>1475.5340020790695</c:v>
                </c:pt>
                <c:pt idx="26">
                  <c:v>1446.2769278168969</c:v>
                </c:pt>
                <c:pt idx="27">
                  <c:v>1443.4139660116425</c:v>
                </c:pt>
                <c:pt idx="28">
                  <c:v>1442.5759559518087</c:v>
                </c:pt>
                <c:pt idx="29">
                  <c:v>1442.004197962621</c:v>
                </c:pt>
                <c:pt idx="30">
                  <c:v>1441.4141937044049</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24670472"/>
        <c:axId val="1246673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467047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667336"/>
        <c:crosses val="autoZero"/>
        <c:crossBetween val="midCat"/>
      </c:valAx>
      <c:valAx>
        <c:axId val="12466733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67047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32878.229128228493</c:v>
                </c:pt>
                <c:pt idx="1">
                  <c:v>32917.621395250077</c:v>
                </c:pt>
                <c:pt idx="2">
                  <c:v>33027.932534087544</c:v>
                </c:pt>
                <c:pt idx="3">
                  <c:v>33126.431322112228</c:v>
                </c:pt>
                <c:pt idx="4">
                  <c:v>33232.994377679985</c:v>
                </c:pt>
                <c:pt idx="5">
                  <c:v>33369.04393074676</c:v>
                </c:pt>
                <c:pt idx="6">
                  <c:v>33536.478154290198</c:v>
                </c:pt>
                <c:pt idx="7">
                  <c:v>33763.382357764502</c:v>
                </c:pt>
                <c:pt idx="8">
                  <c:v>34045.918294192881</c:v>
                </c:pt>
                <c:pt idx="9">
                  <c:v>34429.394077487086</c:v>
                </c:pt>
                <c:pt idx="10">
                  <c:v>34848.57319188078</c:v>
                </c:pt>
                <c:pt idx="11">
                  <c:v>35387.277658954059</c:v>
                </c:pt>
                <c:pt idx="12">
                  <c:v>36211.574088156383</c:v>
                </c:pt>
                <c:pt idx="13">
                  <c:v>37421.710840644082</c:v>
                </c:pt>
                <c:pt idx="14">
                  <c:v>38951.098987451682</c:v>
                </c:pt>
                <c:pt idx="15">
                  <c:v>40568.71496485774</c:v>
                </c:pt>
                <c:pt idx="16">
                  <c:v>42732.071838619653</c:v>
                </c:pt>
                <c:pt idx="17">
                  <c:v>45521.775796670132</c:v>
                </c:pt>
                <c:pt idx="18">
                  <c:v>49555.852135531619</c:v>
                </c:pt>
                <c:pt idx="19">
                  <c:v>54063.455668120841</c:v>
                </c:pt>
                <c:pt idx="20">
                  <c:v>55616.680936317942</c:v>
                </c:pt>
                <c:pt idx="21">
                  <c:v>47250.76168227828</c:v>
                </c:pt>
                <c:pt idx="22">
                  <c:v>38372.055671055496</c:v>
                </c:pt>
                <c:pt idx="23">
                  <c:v>32616.615817362534</c:v>
                </c:pt>
                <c:pt idx="24">
                  <c:v>29588.562583402756</c:v>
                </c:pt>
                <c:pt idx="25">
                  <c:v>28444.801602791398</c:v>
                </c:pt>
                <c:pt idx="26">
                  <c:v>30608.703926029837</c:v>
                </c:pt>
                <c:pt idx="27">
                  <c:v>42229.006211524982</c:v>
                </c:pt>
                <c:pt idx="28">
                  <c:v>266342.79382938251</c:v>
                </c:pt>
                <c:pt idx="29">
                  <c:v>-63610.38746722733</c:v>
                </c:pt>
                <c:pt idx="30">
                  <c:v>-31064.324097111163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32845.136364466423</c:v>
                </c:pt>
                <c:pt idx="1">
                  <c:v>32978.697382158534</c:v>
                </c:pt>
                <c:pt idx="2">
                  <c:v>33070.809686995737</c:v>
                </c:pt>
                <c:pt idx="3">
                  <c:v>33179.420636882976</c:v>
                </c:pt>
                <c:pt idx="4">
                  <c:v>33315.643678415632</c:v>
                </c:pt>
                <c:pt idx="5">
                  <c:v>33492.716559024913</c:v>
                </c:pt>
                <c:pt idx="6">
                  <c:v>33723.038695529671</c:v>
                </c:pt>
                <c:pt idx="7">
                  <c:v>34026.110781900396</c:v>
                </c:pt>
                <c:pt idx="8">
                  <c:v>34401.191531464567</c:v>
                </c:pt>
                <c:pt idx="9">
                  <c:v>34828.548806220606</c:v>
                </c:pt>
                <c:pt idx="10">
                  <c:v>35428.816220000408</c:v>
                </c:pt>
                <c:pt idx="11">
                  <c:v>36343.440361027038</c:v>
                </c:pt>
                <c:pt idx="12">
                  <c:v>37619.06245170653</c:v>
                </c:pt>
                <c:pt idx="13">
                  <c:v>39089.155663069367</c:v>
                </c:pt>
                <c:pt idx="14">
                  <c:v>40779.668105699609</c:v>
                </c:pt>
                <c:pt idx="15">
                  <c:v>43006.671612679616</c:v>
                </c:pt>
                <c:pt idx="16">
                  <c:v>46027.517511892336</c:v>
                </c:pt>
                <c:pt idx="17">
                  <c:v>49809.634691869775</c:v>
                </c:pt>
                <c:pt idx="18">
                  <c:v>52072.08204417731</c:v>
                </c:pt>
                <c:pt idx="19">
                  <c:v>47000.747983332156</c:v>
                </c:pt>
                <c:pt idx="20">
                  <c:v>38796.5530925286</c:v>
                </c:pt>
                <c:pt idx="21">
                  <c:v>32906.823295623995</c:v>
                </c:pt>
                <c:pt idx="22">
                  <c:v>29413.630864815354</c:v>
                </c:pt>
                <c:pt idx="23">
                  <c:v>27574.064528195548</c:v>
                </c:pt>
                <c:pt idx="24">
                  <c:v>27347.875683433191</c:v>
                </c:pt>
                <c:pt idx="25">
                  <c:v>31039.620656814455</c:v>
                </c:pt>
                <c:pt idx="26">
                  <c:v>51039.931309002168</c:v>
                </c:pt>
                <c:pt idx="27">
                  <c:v>-469113.5630113699</c:v>
                </c:pt>
                <c:pt idx="28">
                  <c:v>-49053.038106922882</c:v>
                </c:pt>
                <c:pt idx="29">
                  <c:v>-30167.862606934468</c:v>
                </c:pt>
                <c:pt idx="30">
                  <c:v>-25394.116691045081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32914.930027937065</c:v>
                </c:pt>
                <c:pt idx="1">
                  <c:v>33025.817678199324</c:v>
                </c:pt>
                <c:pt idx="2">
                  <c:v>33131.419105957953</c:v>
                </c:pt>
                <c:pt idx="3">
                  <c:v>33262.142844177419</c:v>
                </c:pt>
                <c:pt idx="4">
                  <c:v>33435.111723998991</c:v>
                </c:pt>
                <c:pt idx="5">
                  <c:v>33658.398452236819</c:v>
                </c:pt>
                <c:pt idx="6">
                  <c:v>33957.432127339969</c:v>
                </c:pt>
                <c:pt idx="7">
                  <c:v>34318.754197061076</c:v>
                </c:pt>
                <c:pt idx="8">
                  <c:v>34738.607265315688</c:v>
                </c:pt>
                <c:pt idx="9">
                  <c:v>35340.11895928318</c:v>
                </c:pt>
                <c:pt idx="10">
                  <c:v>36253.02790468061</c:v>
                </c:pt>
                <c:pt idx="11">
                  <c:v>37508.414208976021</c:v>
                </c:pt>
                <c:pt idx="12">
                  <c:v>38923.741206765451</c:v>
                </c:pt>
                <c:pt idx="13">
                  <c:v>40597.279235301292</c:v>
                </c:pt>
                <c:pt idx="14">
                  <c:v>42778.705220106953</c:v>
                </c:pt>
                <c:pt idx="15">
                  <c:v>45789.281754821095</c:v>
                </c:pt>
                <c:pt idx="16">
                  <c:v>49598.914832427879</c:v>
                </c:pt>
                <c:pt idx="17">
                  <c:v>52967.151739842295</c:v>
                </c:pt>
                <c:pt idx="18">
                  <c:v>49016.600942407204</c:v>
                </c:pt>
                <c:pt idx="19">
                  <c:v>40472.370380006629</c:v>
                </c:pt>
                <c:pt idx="20">
                  <c:v>33956.107753013719</c:v>
                </c:pt>
                <c:pt idx="21">
                  <c:v>30122.242082820478</c:v>
                </c:pt>
                <c:pt idx="22">
                  <c:v>28176.964864290905</c:v>
                </c:pt>
                <c:pt idx="23">
                  <c:v>28221.950968956324</c:v>
                </c:pt>
                <c:pt idx="24">
                  <c:v>32946.866588253128</c:v>
                </c:pt>
                <c:pt idx="25">
                  <c:v>60583.96712817868</c:v>
                </c:pt>
                <c:pt idx="26">
                  <c:v>-192085.0003567205</c:v>
                </c:pt>
                <c:pt idx="27">
                  <c:v>-43136.991005074786</c:v>
                </c:pt>
                <c:pt idx="28">
                  <c:v>-29067.25664892737</c:v>
                </c:pt>
                <c:pt idx="29">
                  <c:v>-24590.860771464442</c:v>
                </c:pt>
                <c:pt idx="30">
                  <c:v>-21808.361824400279</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32940.622758096513</c:v>
                </c:pt>
                <c:pt idx="1">
                  <c:v>33063.028902188402</c:v>
                </c:pt>
                <c:pt idx="2">
                  <c:v>33186.791838901372</c:v>
                </c:pt>
                <c:pt idx="3">
                  <c:v>33348.219978731839</c:v>
                </c:pt>
                <c:pt idx="4">
                  <c:v>33558.485844186886</c:v>
                </c:pt>
                <c:pt idx="5">
                  <c:v>33839.457530678323</c:v>
                </c:pt>
                <c:pt idx="6">
                  <c:v>34184.055314255194</c:v>
                </c:pt>
                <c:pt idx="7">
                  <c:v>34582.004544510135</c:v>
                </c:pt>
                <c:pt idx="8">
                  <c:v>35148.296991701412</c:v>
                </c:pt>
                <c:pt idx="9">
                  <c:v>36010.404414126533</c:v>
                </c:pt>
                <c:pt idx="10">
                  <c:v>37203.892360508056</c:v>
                </c:pt>
                <c:pt idx="11">
                  <c:v>38561.662334649511</c:v>
                </c:pt>
                <c:pt idx="12">
                  <c:v>40144.606838172716</c:v>
                </c:pt>
                <c:pt idx="13">
                  <c:v>42213.057405633284</c:v>
                </c:pt>
                <c:pt idx="14">
                  <c:v>45047.052160805426</c:v>
                </c:pt>
                <c:pt idx="15">
                  <c:v>48772.670582415376</c:v>
                </c:pt>
                <c:pt idx="16">
                  <c:v>53173.436252798107</c:v>
                </c:pt>
                <c:pt idx="17">
                  <c:v>52041.72318769533</c:v>
                </c:pt>
                <c:pt idx="18">
                  <c:v>43516.198345340119</c:v>
                </c:pt>
                <c:pt idx="19">
                  <c:v>35940.774942666772</c:v>
                </c:pt>
                <c:pt idx="20">
                  <c:v>31361.636224374335</c:v>
                </c:pt>
                <c:pt idx="21">
                  <c:v>29062.27497495657</c:v>
                </c:pt>
                <c:pt idx="22">
                  <c:v>29036.575549063033</c:v>
                </c:pt>
                <c:pt idx="23">
                  <c:v>34066.30392866247</c:v>
                </c:pt>
                <c:pt idx="24">
                  <c:v>63544.420636467767</c:v>
                </c:pt>
                <c:pt idx="25">
                  <c:v>-164849.55358741846</c:v>
                </c:pt>
                <c:pt idx="26">
                  <c:v>-42104.857938209301</c:v>
                </c:pt>
                <c:pt idx="27">
                  <c:v>-28492.115824520955</c:v>
                </c:pt>
                <c:pt idx="28">
                  <c:v>-24494.572002844325</c:v>
                </c:pt>
                <c:pt idx="29">
                  <c:v>-21714.596986386121</c:v>
                </c:pt>
                <c:pt idx="30">
                  <c:v>-20553.584368940563</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32980.582446509005</c:v>
                </c:pt>
                <c:pt idx="1">
                  <c:v>33133.758293663705</c:v>
                </c:pt>
                <c:pt idx="2">
                  <c:v>33298.683674492604</c:v>
                </c:pt>
                <c:pt idx="3">
                  <c:v>33506.339006837261</c:v>
                </c:pt>
                <c:pt idx="4">
                  <c:v>33792.339508352357</c:v>
                </c:pt>
                <c:pt idx="5">
                  <c:v>34123.407204660194</c:v>
                </c:pt>
                <c:pt idx="6">
                  <c:v>34524.750922170912</c:v>
                </c:pt>
                <c:pt idx="7">
                  <c:v>35121.061596903281</c:v>
                </c:pt>
                <c:pt idx="8">
                  <c:v>36018.391196364231</c:v>
                </c:pt>
                <c:pt idx="9">
                  <c:v>37216.102016523655</c:v>
                </c:pt>
                <c:pt idx="10">
                  <c:v>38513.469855000949</c:v>
                </c:pt>
                <c:pt idx="11">
                  <c:v>40131.860911409232</c:v>
                </c:pt>
                <c:pt idx="12">
                  <c:v>42202.398991753347</c:v>
                </c:pt>
                <c:pt idx="13">
                  <c:v>45141.120687391449</c:v>
                </c:pt>
                <c:pt idx="14">
                  <c:v>48935.430677929115</c:v>
                </c:pt>
                <c:pt idx="15">
                  <c:v>54828.632326397623</c:v>
                </c:pt>
                <c:pt idx="16">
                  <c:v>56926.730743394786</c:v>
                </c:pt>
                <c:pt idx="17">
                  <c:v>48788.518361001385</c:v>
                </c:pt>
                <c:pt idx="18">
                  <c:v>39424.36373864171</c:v>
                </c:pt>
                <c:pt idx="19">
                  <c:v>33786.14490047373</c:v>
                </c:pt>
                <c:pt idx="20">
                  <c:v>31209.015874510449</c:v>
                </c:pt>
                <c:pt idx="21">
                  <c:v>32327.943526223095</c:v>
                </c:pt>
                <c:pt idx="22">
                  <c:v>41843.0050450708</c:v>
                </c:pt>
                <c:pt idx="23">
                  <c:v>141567.54915832213</c:v>
                </c:pt>
                <c:pt idx="24">
                  <c:v>-71523.040227827194</c:v>
                </c:pt>
                <c:pt idx="25">
                  <c:v>-32457.590448640276</c:v>
                </c:pt>
                <c:pt idx="26">
                  <c:v>-26179.224466654621</c:v>
                </c:pt>
                <c:pt idx="27">
                  <c:v>-22743.458981196909</c:v>
                </c:pt>
                <c:pt idx="28">
                  <c:v>-20171.073758124621</c:v>
                </c:pt>
                <c:pt idx="29">
                  <c:v>-20359.75098279411</c:v>
                </c:pt>
                <c:pt idx="30">
                  <c:v>-17392.012991336898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33227.321090717371</c:v>
                </c:pt>
                <c:pt idx="1">
                  <c:v>33498.180752086977</c:v>
                </c:pt>
                <c:pt idx="2">
                  <c:v>33793.796011339487</c:v>
                </c:pt>
                <c:pt idx="3">
                  <c:v>34125.219783478031</c:v>
                </c:pt>
                <c:pt idx="4">
                  <c:v>34587.007609971733</c:v>
                </c:pt>
                <c:pt idx="5">
                  <c:v>35299.121223334449</c:v>
                </c:pt>
                <c:pt idx="6">
                  <c:v>36308.978619094836</c:v>
                </c:pt>
                <c:pt idx="7">
                  <c:v>37495.949366155641</c:v>
                </c:pt>
                <c:pt idx="8">
                  <c:v>38820.179758727929</c:v>
                </c:pt>
                <c:pt idx="9">
                  <c:v>40566.356405900551</c:v>
                </c:pt>
                <c:pt idx="10">
                  <c:v>42888.725764683921</c:v>
                </c:pt>
                <c:pt idx="11">
                  <c:v>46092.228442039224</c:v>
                </c:pt>
                <c:pt idx="12">
                  <c:v>50930.507650562598</c:v>
                </c:pt>
                <c:pt idx="13">
                  <c:v>60352.173902547278</c:v>
                </c:pt>
                <c:pt idx="14">
                  <c:v>78389.055633608659</c:v>
                </c:pt>
                <c:pt idx="15">
                  <c:v>99064.323314250432</c:v>
                </c:pt>
                <c:pt idx="16">
                  <c:v>85015.362275963344</c:v>
                </c:pt>
                <c:pt idx="17">
                  <c:v>65511.382789934971</c:v>
                </c:pt>
                <c:pt idx="18">
                  <c:v>63327.291909685009</c:v>
                </c:pt>
                <c:pt idx="19">
                  <c:v>113713.19388197045</c:v>
                </c:pt>
                <c:pt idx="20">
                  <c:v>-146920.54536906688</c:v>
                </c:pt>
                <c:pt idx="21">
                  <c:v>-33019.011214577105</c:v>
                </c:pt>
                <c:pt idx="22">
                  <c:v>-22836.395106695516</c:v>
                </c:pt>
                <c:pt idx="23">
                  <c:v>-19672.912535355055</c:v>
                </c:pt>
                <c:pt idx="24">
                  <c:v>-20109.949713634411</c:v>
                </c:pt>
                <c:pt idx="25">
                  <c:v>-19267.218149499204</c:v>
                </c:pt>
                <c:pt idx="26">
                  <c:v>-13467.640338584128</c:v>
                </c:pt>
                <c:pt idx="27">
                  <c:v>-17869.104216700292</c:v>
                </c:pt>
                <c:pt idx="28">
                  <c:v>-15903.286209624497</c:v>
                </c:pt>
                <c:pt idx="29">
                  <c:v>-14418.672097974508</c:v>
                </c:pt>
                <c:pt idx="30">
                  <c:v>-14753.048717517431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33712.602032634866</c:v>
                </c:pt>
                <c:pt idx="1">
                  <c:v>34147.721364506273</c:v>
                </c:pt>
                <c:pt idx="2">
                  <c:v>34696.879043487541</c:v>
                </c:pt>
                <c:pt idx="3">
                  <c:v>35511.075397115274</c:v>
                </c:pt>
                <c:pt idx="4">
                  <c:v>36572.854369380897</c:v>
                </c:pt>
                <c:pt idx="5">
                  <c:v>37698.306014771195</c:v>
                </c:pt>
                <c:pt idx="6">
                  <c:v>39152.486922342272</c:v>
                </c:pt>
                <c:pt idx="7">
                  <c:v>40993.203959250131</c:v>
                </c:pt>
                <c:pt idx="8">
                  <c:v>43625.906110069838</c:v>
                </c:pt>
                <c:pt idx="9">
                  <c:v>47031.385656153085</c:v>
                </c:pt>
                <c:pt idx="10">
                  <c:v>53502.634011104579</c:v>
                </c:pt>
                <c:pt idx="11">
                  <c:v>65721.627222423907</c:v>
                </c:pt>
                <c:pt idx="12">
                  <c:v>100706.41232255145</c:v>
                </c:pt>
                <c:pt idx="13">
                  <c:v>501369.45485383167</c:v>
                </c:pt>
                <c:pt idx="14">
                  <c:v>-118375.41579364783</c:v>
                </c:pt>
                <c:pt idx="15">
                  <c:v>-62217.37756242256</c:v>
                </c:pt>
                <c:pt idx="16">
                  <c:v>-38486.588578477997</c:v>
                </c:pt>
                <c:pt idx="17">
                  <c:v>-23364.529653326481</c:v>
                </c:pt>
                <c:pt idx="18">
                  <c:v>-14203.42024852575</c:v>
                </c:pt>
                <c:pt idx="19">
                  <c:v>-11570.811747984026</c:v>
                </c:pt>
                <c:pt idx="20">
                  <c:v>-11188.999333902882</c:v>
                </c:pt>
                <c:pt idx="21">
                  <c:v>-13243.083610397513</c:v>
                </c:pt>
                <c:pt idx="22">
                  <c:v>-14434.120611511818</c:v>
                </c:pt>
                <c:pt idx="23">
                  <c:v>-14688.114671370091</c:v>
                </c:pt>
                <c:pt idx="24">
                  <c:v>-16576.443453015301</c:v>
                </c:pt>
                <c:pt idx="25">
                  <c:v>-14395.721098121998</c:v>
                </c:pt>
                <c:pt idx="26">
                  <c:v>-15556.924564917272</c:v>
                </c:pt>
                <c:pt idx="27">
                  <c:v>-15548.838457342066</c:v>
                </c:pt>
                <c:pt idx="28">
                  <c:v>-15639.676160397003</c:v>
                </c:pt>
                <c:pt idx="29">
                  <c:v>-15554.269735924026</c:v>
                </c:pt>
                <c:pt idx="30">
                  <c:v>-15488.953057408791</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124668512"/>
        <c:axId val="6871867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1246685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86776"/>
        <c:crosses val="autoZero"/>
        <c:crossBetween val="midCat"/>
        <c:majorUnit val="10000"/>
      </c:valAx>
      <c:valAx>
        <c:axId val="68718677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668512"/>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0.35918667302442542</c:v>
                </c:pt>
                <c:pt idx="1">
                  <c:v>0.36043716445192803</c:v>
                </c:pt>
                <c:pt idx="2">
                  <c:v>0.36479927706444065</c:v>
                </c:pt>
                <c:pt idx="3">
                  <c:v>0.36782979555738898</c:v>
                </c:pt>
                <c:pt idx="4">
                  <c:v>0.37070936236282398</c:v>
                </c:pt>
                <c:pt idx="5">
                  <c:v>0.37393080112300153</c:v>
                </c:pt>
                <c:pt idx="6">
                  <c:v>0.37738349384252629</c:v>
                </c:pt>
                <c:pt idx="7">
                  <c:v>0.38142777238272035</c:v>
                </c:pt>
                <c:pt idx="8">
                  <c:v>0.38573236010641054</c:v>
                </c:pt>
                <c:pt idx="9">
                  <c:v>0.39068337123814695</c:v>
                </c:pt>
                <c:pt idx="10">
                  <c:v>0.39525261358655128</c:v>
                </c:pt>
                <c:pt idx="11">
                  <c:v>0.40026364603437042</c:v>
                </c:pt>
                <c:pt idx="12">
                  <c:v>0.40661691191299681</c:v>
                </c:pt>
                <c:pt idx="13">
                  <c:v>0.41402304562656794</c:v>
                </c:pt>
                <c:pt idx="14">
                  <c:v>0.4213196458490584</c:v>
                </c:pt>
                <c:pt idx="15">
                  <c:v>0.42745693055183126</c:v>
                </c:pt>
                <c:pt idx="16">
                  <c:v>0.43404531260010282</c:v>
                </c:pt>
                <c:pt idx="17">
                  <c:v>0.44070882455468396</c:v>
                </c:pt>
                <c:pt idx="18">
                  <c:v>0.44807624733449902</c:v>
                </c:pt>
                <c:pt idx="19">
                  <c:v>0.45464973276866461</c:v>
                </c:pt>
                <c:pt idx="20">
                  <c:v>0.45902632568126489</c:v>
                </c:pt>
                <c:pt idx="21">
                  <c:v>0.45611858391200993</c:v>
                </c:pt>
                <c:pt idx="22">
                  <c:v>0.45197586086514591</c:v>
                </c:pt>
                <c:pt idx="23">
                  <c:v>0.45058299867671792</c:v>
                </c:pt>
                <c:pt idx="24">
                  <c:v>0.45391004231126064</c:v>
                </c:pt>
                <c:pt idx="25">
                  <c:v>0.46122257321038468</c:v>
                </c:pt>
                <c:pt idx="26">
                  <c:v>0.47286559086354235</c:v>
                </c:pt>
                <c:pt idx="27">
                  <c:v>0.48557251723586398</c:v>
                </c:pt>
                <c:pt idx="28">
                  <c:v>0.49833434507506391</c:v>
                </c:pt>
                <c:pt idx="29">
                  <c:v>0.50559271430588337</c:v>
                </c:pt>
                <c:pt idx="30">
                  <c:v>0.50983684034542798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0.36097437866471271</c:v>
                </c:pt>
                <c:pt idx="1">
                  <c:v>0.3659566109567951</c:v>
                </c:pt>
                <c:pt idx="2">
                  <c:v>0.36886885092708488</c:v>
                </c:pt>
                <c:pt idx="3">
                  <c:v>0.37185836999179678</c:v>
                </c:pt>
                <c:pt idx="4">
                  <c:v>0.37511400854522908</c:v>
                </c:pt>
                <c:pt idx="5">
                  <c:v>0.37877846666963633</c:v>
                </c:pt>
                <c:pt idx="6">
                  <c:v>0.38285604672818085</c:v>
                </c:pt>
                <c:pt idx="7">
                  <c:v>0.38742078388013651</c:v>
                </c:pt>
                <c:pt idx="8">
                  <c:v>0.39216940684317697</c:v>
                </c:pt>
                <c:pt idx="9">
                  <c:v>0.39676538934984368</c:v>
                </c:pt>
                <c:pt idx="10">
                  <c:v>0.40221594385387111</c:v>
                </c:pt>
                <c:pt idx="11">
                  <c:v>0.40896594559151084</c:v>
                </c:pt>
                <c:pt idx="12">
                  <c:v>0.41636047034146129</c:v>
                </c:pt>
                <c:pt idx="13">
                  <c:v>0.42304896301488693</c:v>
                </c:pt>
                <c:pt idx="14">
                  <c:v>0.42922859416298381</c:v>
                </c:pt>
                <c:pt idx="15">
                  <c:v>0.43572199258886246</c:v>
                </c:pt>
                <c:pt idx="16">
                  <c:v>0.44260824721679903</c:v>
                </c:pt>
                <c:pt idx="17">
                  <c:v>0.44941105180517749</c:v>
                </c:pt>
                <c:pt idx="18">
                  <c:v>0.45440146163846229</c:v>
                </c:pt>
                <c:pt idx="19">
                  <c:v>0.45365170553388434</c:v>
                </c:pt>
                <c:pt idx="20">
                  <c:v>0.44944914063841662</c:v>
                </c:pt>
                <c:pt idx="21">
                  <c:v>0.44725885789142183</c:v>
                </c:pt>
                <c:pt idx="22">
                  <c:v>0.4488808671722867</c:v>
                </c:pt>
                <c:pt idx="23">
                  <c:v>0.45450968496253596</c:v>
                </c:pt>
                <c:pt idx="24">
                  <c:v>0.46385924245415805</c:v>
                </c:pt>
                <c:pt idx="25">
                  <c:v>0.47640147021424106</c:v>
                </c:pt>
                <c:pt idx="26">
                  <c:v>0.48953970514477341</c:v>
                </c:pt>
                <c:pt idx="27">
                  <c:v>0.50085273791907747</c:v>
                </c:pt>
                <c:pt idx="28">
                  <c:v>0.50676640203371748</c:v>
                </c:pt>
                <c:pt idx="29">
                  <c:v>0.50979522638833097</c:v>
                </c:pt>
                <c:pt idx="30">
                  <c:v>0.51094623311999854</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0.36545239845719868</c:v>
                </c:pt>
                <c:pt idx="1">
                  <c:v>0.36905797605880936</c:v>
                </c:pt>
                <c:pt idx="2">
                  <c:v>0.37211216320458834</c:v>
                </c:pt>
                <c:pt idx="3">
                  <c:v>0.37536169188151419</c:v>
                </c:pt>
                <c:pt idx="4">
                  <c:v>0.37905983522157827</c:v>
                </c:pt>
                <c:pt idx="5">
                  <c:v>0.38311924852056162</c:v>
                </c:pt>
                <c:pt idx="6">
                  <c:v>0.38772336542910996</c:v>
                </c:pt>
                <c:pt idx="7">
                  <c:v>0.39238278847301405</c:v>
                </c:pt>
                <c:pt idx="8">
                  <c:v>0.39697961196974679</c:v>
                </c:pt>
                <c:pt idx="9">
                  <c:v>0.40251787010917695</c:v>
                </c:pt>
                <c:pt idx="10">
                  <c:v>0.4093140825720053</c:v>
                </c:pt>
                <c:pt idx="11">
                  <c:v>0.41663750617698336</c:v>
                </c:pt>
                <c:pt idx="12">
                  <c:v>0.42313240927150236</c:v>
                </c:pt>
                <c:pt idx="13">
                  <c:v>0.4293171833558862</c:v>
                </c:pt>
                <c:pt idx="14">
                  <c:v>0.43574343266615878</c:v>
                </c:pt>
                <c:pt idx="15">
                  <c:v>0.44266577184675554</c:v>
                </c:pt>
                <c:pt idx="16">
                  <c:v>0.44948016721315892</c:v>
                </c:pt>
                <c:pt idx="17">
                  <c:v>0.45543505201111745</c:v>
                </c:pt>
                <c:pt idx="18">
                  <c:v>0.4557357286050982</c:v>
                </c:pt>
                <c:pt idx="19">
                  <c:v>0.45179784325227995</c:v>
                </c:pt>
                <c:pt idx="20">
                  <c:v>0.44927597895597277</c:v>
                </c:pt>
                <c:pt idx="21">
                  <c:v>0.45067991204890967</c:v>
                </c:pt>
                <c:pt idx="22">
                  <c:v>0.45622970475983404</c:v>
                </c:pt>
                <c:pt idx="23">
                  <c:v>0.46582306134179358</c:v>
                </c:pt>
                <c:pt idx="24">
                  <c:v>0.47834590370484276</c:v>
                </c:pt>
                <c:pt idx="25">
                  <c:v>0.49143015393576134</c:v>
                </c:pt>
                <c:pt idx="26">
                  <c:v>0.50204461328205197</c:v>
                </c:pt>
                <c:pt idx="27">
                  <c:v>0.5075886570234055</c:v>
                </c:pt>
                <c:pt idx="28">
                  <c:v>0.51010993249331416</c:v>
                </c:pt>
                <c:pt idx="29">
                  <c:v>0.51124057141397672</c:v>
                </c:pt>
                <c:pt idx="30">
                  <c:v>0.51214101472586804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0.36817847349590693</c:v>
                </c:pt>
                <c:pt idx="1">
                  <c:v>0.37185876179580335</c:v>
                </c:pt>
                <c:pt idx="2">
                  <c:v>0.3751344998631097</c:v>
                </c:pt>
                <c:pt idx="3">
                  <c:v>0.37878089764926726</c:v>
                </c:pt>
                <c:pt idx="4">
                  <c:v>0.38280144821818979</c:v>
                </c:pt>
                <c:pt idx="5">
                  <c:v>0.38733544019038313</c:v>
                </c:pt>
                <c:pt idx="6">
                  <c:v>0.39197927838718466</c:v>
                </c:pt>
                <c:pt idx="7">
                  <c:v>0.39652056197751084</c:v>
                </c:pt>
                <c:pt idx="8">
                  <c:v>0.40195329574718602</c:v>
                </c:pt>
                <c:pt idx="9">
                  <c:v>0.40864505157044401</c:v>
                </c:pt>
                <c:pt idx="10">
                  <c:v>0.41590602867785276</c:v>
                </c:pt>
                <c:pt idx="11">
                  <c:v>0.42239884737773664</c:v>
                </c:pt>
                <c:pt idx="12">
                  <c:v>0.42849750549783489</c:v>
                </c:pt>
                <c:pt idx="13">
                  <c:v>0.43486516213373472</c:v>
                </c:pt>
                <c:pt idx="14">
                  <c:v>0.44169083752934107</c:v>
                </c:pt>
                <c:pt idx="15">
                  <c:v>0.44859117401119813</c:v>
                </c:pt>
                <c:pt idx="16">
                  <c:v>0.45544880705730789</c:v>
                </c:pt>
                <c:pt idx="17">
                  <c:v>0.45796272104585001</c:v>
                </c:pt>
                <c:pt idx="18">
                  <c:v>0.45468628063821065</c:v>
                </c:pt>
                <c:pt idx="19">
                  <c:v>0.45156742030316488</c:v>
                </c:pt>
                <c:pt idx="20">
                  <c:v>0.45211613296523251</c:v>
                </c:pt>
                <c:pt idx="21">
                  <c:v>0.45707301315887733</c:v>
                </c:pt>
                <c:pt idx="22">
                  <c:v>0.46632160130204697</c:v>
                </c:pt>
                <c:pt idx="23">
                  <c:v>0.47876596477104505</c:v>
                </c:pt>
                <c:pt idx="24">
                  <c:v>0.49171466047854784</c:v>
                </c:pt>
                <c:pt idx="25">
                  <c:v>0.50240444459876499</c:v>
                </c:pt>
                <c:pt idx="26">
                  <c:v>0.50782834429865453</c:v>
                </c:pt>
                <c:pt idx="27">
                  <c:v>0.51034443034770449</c:v>
                </c:pt>
                <c:pt idx="28">
                  <c:v>0.5113163988089241</c:v>
                </c:pt>
                <c:pt idx="29">
                  <c:v>0.51220909233823575</c:v>
                </c:pt>
                <c:pt idx="30">
                  <c:v>0.51264241543273503</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0.3716299195494005</c:v>
                </c:pt>
                <c:pt idx="1">
                  <c:v>0.37577445651790431</c:v>
                </c:pt>
                <c:pt idx="2">
                  <c:v>0.37959892999797451</c:v>
                </c:pt>
                <c:pt idx="3">
                  <c:v>0.38363343736803218</c:v>
                </c:pt>
                <c:pt idx="4">
                  <c:v>0.38828927677570391</c:v>
                </c:pt>
                <c:pt idx="5">
                  <c:v>0.39277062991209288</c:v>
                </c:pt>
                <c:pt idx="6">
                  <c:v>0.39737282903186527</c:v>
                </c:pt>
                <c:pt idx="7">
                  <c:v>0.40307057821680203</c:v>
                </c:pt>
                <c:pt idx="8">
                  <c:v>0.40992917823944497</c:v>
                </c:pt>
                <c:pt idx="9">
                  <c:v>0.41707084936114919</c:v>
                </c:pt>
                <c:pt idx="10">
                  <c:v>0.42318615199857185</c:v>
                </c:pt>
                <c:pt idx="11">
                  <c:v>0.42935574580112512</c:v>
                </c:pt>
                <c:pt idx="12">
                  <c:v>0.43564310571479736</c:v>
                </c:pt>
                <c:pt idx="13">
                  <c:v>0.44259302540005935</c:v>
                </c:pt>
                <c:pt idx="14">
                  <c:v>0.4494153631027461</c:v>
                </c:pt>
                <c:pt idx="15">
                  <c:v>0.45747459138001917</c:v>
                </c:pt>
                <c:pt idx="16">
                  <c:v>0.4620685647147838</c:v>
                </c:pt>
                <c:pt idx="17">
                  <c:v>0.460190438785129</c:v>
                </c:pt>
                <c:pt idx="18">
                  <c:v>0.45673608875691496</c:v>
                </c:pt>
                <c:pt idx="19">
                  <c:v>0.45691949322405223</c:v>
                </c:pt>
                <c:pt idx="20">
                  <c:v>0.46174184346250108</c:v>
                </c:pt>
                <c:pt idx="21">
                  <c:v>0.47159269835206985</c:v>
                </c:pt>
                <c:pt idx="22">
                  <c:v>0.48383582494605387</c:v>
                </c:pt>
                <c:pt idx="23">
                  <c:v>0.49653332189140181</c:v>
                </c:pt>
                <c:pt idx="24">
                  <c:v>0.50529837687072454</c:v>
                </c:pt>
                <c:pt idx="25">
                  <c:v>0.50981945637048953</c:v>
                </c:pt>
                <c:pt idx="26">
                  <c:v>0.51110657855293817</c:v>
                </c:pt>
                <c:pt idx="27">
                  <c:v>0.51202354380176018</c:v>
                </c:pt>
                <c:pt idx="28">
                  <c:v>0.51307827073218382</c:v>
                </c:pt>
                <c:pt idx="29">
                  <c:v>0.51270569092452178</c:v>
                </c:pt>
                <c:pt idx="30">
                  <c:v>0.51418250033806812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0.38085536018859178</c:v>
                </c:pt>
                <c:pt idx="1">
                  <c:v>0.38609265844047785</c:v>
                </c:pt>
                <c:pt idx="2">
                  <c:v>0.39077334759859633</c:v>
                </c:pt>
                <c:pt idx="3">
                  <c:v>0.39514674107563202</c:v>
                </c:pt>
                <c:pt idx="4">
                  <c:v>0.40024421883332356</c:v>
                </c:pt>
                <c:pt idx="5">
                  <c:v>0.40660009383264306</c:v>
                </c:pt>
                <c:pt idx="6">
                  <c:v>0.41365429589604341</c:v>
                </c:pt>
                <c:pt idx="7">
                  <c:v>0.42014317648757582</c:v>
                </c:pt>
                <c:pt idx="8">
                  <c:v>0.42597248578719715</c:v>
                </c:pt>
                <c:pt idx="9">
                  <c:v>0.43215616262820034</c:v>
                </c:pt>
                <c:pt idx="10">
                  <c:v>0.43864868663660572</c:v>
                </c:pt>
                <c:pt idx="11">
                  <c:v>0.44552335422400691</c:v>
                </c:pt>
                <c:pt idx="12">
                  <c:v>0.4531691925939425</c:v>
                </c:pt>
                <c:pt idx="13">
                  <c:v>0.46296053736343123</c:v>
                </c:pt>
                <c:pt idx="14">
                  <c:v>0.47355017936542809</c:v>
                </c:pt>
                <c:pt idx="15">
                  <c:v>0.48111219613962503</c:v>
                </c:pt>
                <c:pt idx="16">
                  <c:v>0.48093212773372551</c:v>
                </c:pt>
                <c:pt idx="17">
                  <c:v>0.47956292037425102</c:v>
                </c:pt>
                <c:pt idx="18">
                  <c:v>0.48344366599604865</c:v>
                </c:pt>
                <c:pt idx="19">
                  <c:v>0.49321881043621607</c:v>
                </c:pt>
                <c:pt idx="20">
                  <c:v>0.50380438391430893</c:v>
                </c:pt>
                <c:pt idx="21">
                  <c:v>0.51251415551928003</c:v>
                </c:pt>
                <c:pt idx="22">
                  <c:v>0.5148750029625947</c:v>
                </c:pt>
                <c:pt idx="23">
                  <c:v>0.51520544186988637</c:v>
                </c:pt>
                <c:pt idx="24">
                  <c:v>0.5139557220760228</c:v>
                </c:pt>
                <c:pt idx="25">
                  <c:v>0.5138482570474211</c:v>
                </c:pt>
                <c:pt idx="26">
                  <c:v>0.51946392892960958</c:v>
                </c:pt>
                <c:pt idx="27">
                  <c:v>0.5141155471305201</c:v>
                </c:pt>
                <c:pt idx="28">
                  <c:v>0.51521146541492668</c:v>
                </c:pt>
                <c:pt idx="29">
                  <c:v>0.51667832647829848</c:v>
                </c:pt>
                <c:pt idx="30">
                  <c:v>0.5162885429521733</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0.39151321954894824</c:v>
                </c:pt>
                <c:pt idx="1">
                  <c:v>0.39725240216549768</c:v>
                </c:pt>
                <c:pt idx="2">
                  <c:v>0.40306722818195923</c:v>
                </c:pt>
                <c:pt idx="3">
                  <c:v>0.4098448760866481</c:v>
                </c:pt>
                <c:pt idx="4">
                  <c:v>0.41669179508746956</c:v>
                </c:pt>
                <c:pt idx="5">
                  <c:v>0.42244610312884906</c:v>
                </c:pt>
                <c:pt idx="6">
                  <c:v>0.42847665762388393</c:v>
                </c:pt>
                <c:pt idx="7">
                  <c:v>0.43456650103056604</c:v>
                </c:pt>
                <c:pt idx="8">
                  <c:v>0.44137137710787738</c:v>
                </c:pt>
                <c:pt idx="9">
                  <c:v>0.4480558312080925</c:v>
                </c:pt>
                <c:pt idx="10">
                  <c:v>0.45703185192419077</c:v>
                </c:pt>
                <c:pt idx="11">
                  <c:v>0.46730146195195965</c:v>
                </c:pt>
                <c:pt idx="12">
                  <c:v>0.48037016664812376</c:v>
                </c:pt>
                <c:pt idx="13">
                  <c:v>0.49644199461632577</c:v>
                </c:pt>
                <c:pt idx="14">
                  <c:v>0.51303529227033418</c:v>
                </c:pt>
                <c:pt idx="15">
                  <c:v>0.52011225432300434</c:v>
                </c:pt>
                <c:pt idx="16">
                  <c:v>0.52432910857418857</c:v>
                </c:pt>
                <c:pt idx="17">
                  <c:v>0.52898518116878868</c:v>
                </c:pt>
                <c:pt idx="18">
                  <c:v>0.53416238769519475</c:v>
                </c:pt>
                <c:pt idx="19">
                  <c:v>0.53264624796358429</c:v>
                </c:pt>
                <c:pt idx="20">
                  <c:v>0.52841957684847307</c:v>
                </c:pt>
                <c:pt idx="21">
                  <c:v>0.52202235615510217</c:v>
                </c:pt>
                <c:pt idx="22">
                  <c:v>0.51894258087444056</c:v>
                </c:pt>
                <c:pt idx="23">
                  <c:v>0.51801437107246184</c:v>
                </c:pt>
                <c:pt idx="24">
                  <c:v>0.51561295160009402</c:v>
                </c:pt>
                <c:pt idx="25">
                  <c:v>0.51708301598812767</c:v>
                </c:pt>
                <c:pt idx="26">
                  <c:v>0.51549446059407766</c:v>
                </c:pt>
                <c:pt idx="27">
                  <c:v>0.51547183058048163</c:v>
                </c:pt>
                <c:pt idx="28">
                  <c:v>0.51537303736510776</c:v>
                </c:pt>
                <c:pt idx="29">
                  <c:v>0.51545132218188916</c:v>
                </c:pt>
                <c:pt idx="30">
                  <c:v>0.51551013151504277</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687187168"/>
        <c:axId val="6871875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7187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7187560"/>
        <c:crosses val="autoZero"/>
        <c:crossBetween val="midCat"/>
        <c:majorUnit val="10000"/>
      </c:valAx>
      <c:valAx>
        <c:axId val="68718756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687187168"/>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687187952"/>
        <c:axId val="6871887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68718795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88736"/>
        <c:crosses val="autoZero"/>
        <c:crossBetween val="midCat"/>
        <c:majorUnit val="10000"/>
      </c:valAx>
      <c:valAx>
        <c:axId val="68718873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87952"/>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7.5496008354756002E-3</c:v>
                </c:pt>
                <c:pt idx="1">
                  <c:v>1.0036706941418809E-2</c:v>
                </c:pt>
                <c:pt idx="2">
                  <c:v>2.7248052753766475E-3</c:v>
                </c:pt>
                <c:pt idx="3">
                  <c:v>4.584106897181575E-4</c:v>
                </c:pt>
                <c:pt idx="4">
                  <c:v>6.6150636310129148E-5</c:v>
                </c:pt>
                <c:pt idx="5">
                  <c:v>6.8206145465204725E-6</c:v>
                </c:pt>
                <c:pt idx="6">
                  <c:v>6.8612059813464526E-7</c:v>
                </c:pt>
                <c:pt idx="7">
                  <c:v>8.1627568306675817E-6</c:v>
                </c:pt>
                <c:pt idx="8">
                  <c:v>2.5236992119003108E-5</c:v>
                </c:pt>
                <c:pt idx="9">
                  <c:v>4.907015525612543E-5</c:v>
                </c:pt>
                <c:pt idx="10">
                  <c:v>9.0729820282064893E-5</c:v>
                </c:pt>
                <c:pt idx="11">
                  <c:v>1.4118798108170552E-4</c:v>
                </c:pt>
                <c:pt idx="12">
                  <c:v>1.8171397649736099E-4</c:v>
                </c:pt>
                <c:pt idx="13">
                  <c:v>2.0049830953147951E-4</c:v>
                </c:pt>
                <c:pt idx="14">
                  <c:v>1.883782990848578E-4</c:v>
                </c:pt>
                <c:pt idx="15">
                  <c:v>1.5494089049954783E-4</c:v>
                </c:pt>
                <c:pt idx="16">
                  <c:v>1.1161821836680078E-4</c:v>
                </c:pt>
                <c:pt idx="17">
                  <c:v>6.9066644611204061E-5</c:v>
                </c:pt>
                <c:pt idx="18">
                  <c:v>3.8601947005365326E-5</c:v>
                </c:pt>
                <c:pt idx="19">
                  <c:v>2.1492179562717536E-5</c:v>
                </c:pt>
                <c:pt idx="20">
                  <c:v>1.6856985809090442E-5</c:v>
                </c:pt>
                <c:pt idx="21">
                  <c:v>2.5908768499010027E-5</c:v>
                </c:pt>
                <c:pt idx="22">
                  <c:v>5.5818317331333533E-5</c:v>
                </c:pt>
                <c:pt idx="23">
                  <c:v>9.0579869213912274E-5</c:v>
                </c:pt>
                <c:pt idx="24">
                  <c:v>1.0836142213055303E-4</c:v>
                </c:pt>
                <c:pt idx="25">
                  <c:v>1.2181970631500915E-4</c:v>
                </c:pt>
                <c:pt idx="26">
                  <c:v>1.3668079308145776E-4</c:v>
                </c:pt>
                <c:pt idx="27">
                  <c:v>1.1938697300634273E-4</c:v>
                </c:pt>
                <c:pt idx="28">
                  <c:v>1.1544373389031734E-4</c:v>
                </c:pt>
                <c:pt idx="29">
                  <c:v>1.7461255721168425E-4</c:v>
                </c:pt>
                <c:pt idx="30">
                  <c:v>1.2943195745088699E-4</c:v>
                </c:pt>
              </c:numCache>
            </c:numRef>
          </c:yVal>
          <c:smooth val="1"/>
        </c:ser>
        <c:dLbls>
          <c:showLegendKey val="0"/>
          <c:showVal val="0"/>
          <c:showCatName val="0"/>
          <c:showSerName val="0"/>
          <c:showPercent val="0"/>
          <c:showBubbleSize val="0"/>
        </c:dLbls>
        <c:axId val="687185992"/>
        <c:axId val="124669296"/>
      </c:scatterChart>
      <c:valAx>
        <c:axId val="6871859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669296"/>
        <c:crossesAt val="-1.5000000000000005E-3"/>
        <c:crossBetween val="midCat"/>
      </c:valAx>
      <c:valAx>
        <c:axId val="12466929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718599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9449.4265655192376</c:v>
                </c:pt>
                <c:pt idx="1">
                  <c:v>9357.9466205459739</c:v>
                </c:pt>
                <c:pt idx="2">
                  <c:v>9015.6870050661892</c:v>
                </c:pt>
                <c:pt idx="3">
                  <c:v>8799.7180611049407</c:v>
                </c:pt>
                <c:pt idx="4">
                  <c:v>8532.1268107240303</c:v>
                </c:pt>
                <c:pt idx="5">
                  <c:v>8244.2936583778446</c:v>
                </c:pt>
                <c:pt idx="6">
                  <c:v>7958.2841072236188</c:v>
                </c:pt>
                <c:pt idx="7">
                  <c:v>7687.3136337836158</c:v>
                </c:pt>
                <c:pt idx="8">
                  <c:v>7374.5573301326149</c:v>
                </c:pt>
                <c:pt idx="9">
                  <c:v>7005.811450551465</c:v>
                </c:pt>
                <c:pt idx="10">
                  <c:v>6629.4800359729679</c:v>
                </c:pt>
                <c:pt idx="11">
                  <c:v>6310.4809624462496</c:v>
                </c:pt>
                <c:pt idx="12">
                  <c:v>6029.3303649530662</c:v>
                </c:pt>
                <c:pt idx="13">
                  <c:v>5747.5561695603137</c:v>
                </c:pt>
                <c:pt idx="14">
                  <c:v>5466.8115101676676</c:v>
                </c:pt>
                <c:pt idx="15">
                  <c:v>5191.8525176245475</c:v>
                </c:pt>
                <c:pt idx="16">
                  <c:v>4883.4512556550799</c:v>
                </c:pt>
                <c:pt idx="17">
                  <c:v>4501.2289547787923</c:v>
                </c:pt>
                <c:pt idx="18">
                  <c:v>4066.7674072357577</c:v>
                </c:pt>
                <c:pt idx="19">
                  <c:v>3597.4912585472111</c:v>
                </c:pt>
                <c:pt idx="20">
                  <c:v>3102.5240322338755</c:v>
                </c:pt>
                <c:pt idx="21">
                  <c:v>2568.5540014530561</c:v>
                </c:pt>
                <c:pt idx="22">
                  <c:v>2000.8433736398795</c:v>
                </c:pt>
                <c:pt idx="23">
                  <c:v>1467.3712933423078</c:v>
                </c:pt>
                <c:pt idx="24">
                  <c:v>1058.9374050712406</c:v>
                </c:pt>
                <c:pt idx="25">
                  <c:v>791.37811582502013</c:v>
                </c:pt>
                <c:pt idx="26">
                  <c:v>655.88973181856727</c:v>
                </c:pt>
                <c:pt idx="27">
                  <c:v>585.36221447129253</c:v>
                </c:pt>
                <c:pt idx="28">
                  <c:v>550.29313295028589</c:v>
                </c:pt>
                <c:pt idx="29">
                  <c:v>525.85828614279797</c:v>
                </c:pt>
                <c:pt idx="30">
                  <c:v>515.41709145297239</c:v>
                </c:pt>
              </c:numCache>
            </c:numRef>
          </c:yVal>
          <c:smooth val="1"/>
        </c:ser>
        <c:dLbls>
          <c:showLegendKey val="0"/>
          <c:showVal val="0"/>
          <c:showCatName val="0"/>
          <c:showSerName val="0"/>
          <c:showPercent val="0"/>
          <c:showBubbleSize val="0"/>
        </c:dLbls>
        <c:axId val="685088832"/>
        <c:axId val="685090400"/>
      </c:scatterChart>
      <c:valAx>
        <c:axId val="6850888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5090400"/>
        <c:crosses val="autoZero"/>
        <c:crossBetween val="midCat"/>
      </c:valAx>
      <c:valAx>
        <c:axId val="6850904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508883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7.4156283262062778E-2</c:v>
                </c:pt>
                <c:pt idx="1">
                  <c:v>6.6123419710674564E-2</c:v>
                </c:pt>
                <c:pt idx="2">
                  <c:v>3.6165753687289061E-2</c:v>
                </c:pt>
                <c:pt idx="3">
                  <c:v>1.5159664704633136E-2</c:v>
                </c:pt>
                <c:pt idx="4">
                  <c:v>2.2720243502999762E-3</c:v>
                </c:pt>
                <c:pt idx="5">
                  <c:v>1.9775077290649736E-3</c:v>
                </c:pt>
                <c:pt idx="6">
                  <c:v>5.1581154433282426E-3</c:v>
                </c:pt>
                <c:pt idx="7">
                  <c:v>1.2817534811740933E-3</c:v>
                </c:pt>
                <c:pt idx="8">
                  <c:v>2.6391465714964272E-3</c:v>
                </c:pt>
                <c:pt idx="9">
                  <c:v>1.1940649762731382E-3</c:v>
                </c:pt>
                <c:pt idx="10">
                  <c:v>2.6740066258526796E-3</c:v>
                </c:pt>
                <c:pt idx="11">
                  <c:v>2.3694133966162727E-3</c:v>
                </c:pt>
                <c:pt idx="12">
                  <c:v>1.9267101336456047E-3</c:v>
                </c:pt>
                <c:pt idx="13">
                  <c:v>2.3212116718056243E-3</c:v>
                </c:pt>
                <c:pt idx="14">
                  <c:v>3.030786668206224E-3</c:v>
                </c:pt>
                <c:pt idx="15">
                  <c:v>4.0982501430889369E-3</c:v>
                </c:pt>
                <c:pt idx="16">
                  <c:v>3.058701912513354E-3</c:v>
                </c:pt>
                <c:pt idx="17">
                  <c:v>4.834390786809928E-3</c:v>
                </c:pt>
                <c:pt idx="18">
                  <c:v>2.7540612156528852E-3</c:v>
                </c:pt>
                <c:pt idx="19">
                  <c:v>4.0748154560842527E-3</c:v>
                </c:pt>
                <c:pt idx="20">
                  <c:v>4.3441373969711804E-4</c:v>
                </c:pt>
                <c:pt idx="21">
                  <c:v>8.1771818904793035E-4</c:v>
                </c:pt>
                <c:pt idx="22">
                  <c:v>3.4063328594139382E-3</c:v>
                </c:pt>
                <c:pt idx="23">
                  <c:v>5.9514779840246839E-3</c:v>
                </c:pt>
                <c:pt idx="24">
                  <c:v>2.4789761323053697E-3</c:v>
                </c:pt>
                <c:pt idx="25">
                  <c:v>3.4814004042359209E-2</c:v>
                </c:pt>
                <c:pt idx="26">
                  <c:v>6.4608575411926709E-3</c:v>
                </c:pt>
                <c:pt idx="27">
                  <c:v>1.2069665019279646E-2</c:v>
                </c:pt>
                <c:pt idx="28">
                  <c:v>6.4147182893062706E-3</c:v>
                </c:pt>
                <c:pt idx="29">
                  <c:v>1.3022267050869819E-3</c:v>
                </c:pt>
                <c:pt idx="30">
                  <c:v>1.5315241783829441E-3</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7.5592618244275777E-3</c:v>
                </c:pt>
                <c:pt idx="1">
                  <c:v>9.9571241449905278E-3</c:v>
                </c:pt>
                <c:pt idx="2">
                  <c:v>2.8374215188243898E-3</c:v>
                </c:pt>
                <c:pt idx="3">
                  <c:v>3.6895359729510242E-4</c:v>
                </c:pt>
                <c:pt idx="4">
                  <c:v>1.8685793594764964E-4</c:v>
                </c:pt>
                <c:pt idx="5">
                  <c:v>1.2582895751166463E-4</c:v>
                </c:pt>
                <c:pt idx="6">
                  <c:v>1.3631943020460285E-4</c:v>
                </c:pt>
                <c:pt idx="7">
                  <c:v>1.4954154763814436E-4</c:v>
                </c:pt>
                <c:pt idx="8">
                  <c:v>1.5698230575233337E-4</c:v>
                </c:pt>
                <c:pt idx="9">
                  <c:v>2.6881016856706322E-4</c:v>
                </c:pt>
                <c:pt idx="10">
                  <c:v>1.2695753291356942E-4</c:v>
                </c:pt>
                <c:pt idx="11">
                  <c:v>3.1726345829818952E-4</c:v>
                </c:pt>
                <c:pt idx="12">
                  <c:v>4.5741813836325355E-6</c:v>
                </c:pt>
                <c:pt idx="13">
                  <c:v>3.8465731516456242E-4</c:v>
                </c:pt>
                <c:pt idx="14">
                  <c:v>6.6115229824847695E-6</c:v>
                </c:pt>
                <c:pt idx="15">
                  <c:v>3.3968055864381906E-4</c:v>
                </c:pt>
                <c:pt idx="16">
                  <c:v>1.3634402086676171E-4</c:v>
                </c:pt>
                <c:pt idx="17">
                  <c:v>3.6744000460583223E-4</c:v>
                </c:pt>
                <c:pt idx="18">
                  <c:v>3.1994847636412698E-4</c:v>
                </c:pt>
                <c:pt idx="19">
                  <c:v>4.1969170914405715E-4</c:v>
                </c:pt>
                <c:pt idx="20">
                  <c:v>5.2459358772374257E-4</c:v>
                </c:pt>
                <c:pt idx="21">
                  <c:v>5.4921474409955857E-4</c:v>
                </c:pt>
                <c:pt idx="22">
                  <c:v>1.2419231005095757E-3</c:v>
                </c:pt>
                <c:pt idx="23">
                  <c:v>1.1964374183055662E-3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4.478100612118994E-3</c:v>
                </c:pt>
                <c:pt idx="1">
                  <c:v>1.4370379781786526E-3</c:v>
                </c:pt>
                <c:pt idx="2">
                  <c:v>3.6968531952549948E-3</c:v>
                </c:pt>
                <c:pt idx="3">
                  <c:v>2.0695953239755613E-3</c:v>
                </c:pt>
                <c:pt idx="4">
                  <c:v>2.7759024992435599E-3</c:v>
                </c:pt>
                <c:pt idx="5">
                  <c:v>1.6224983469841333E-3</c:v>
                </c:pt>
                <c:pt idx="6">
                  <c:v>1.7814264189831798E-3</c:v>
                </c:pt>
                <c:pt idx="7">
                  <c:v>1.6820887087141878E-3</c:v>
                </c:pt>
                <c:pt idx="8">
                  <c:v>1.0756770652342153E-3</c:v>
                </c:pt>
                <c:pt idx="9">
                  <c:v>8.8166355262114695E-4</c:v>
                </c:pt>
                <c:pt idx="10">
                  <c:v>4.4616073738511176E-4</c:v>
                </c:pt>
                <c:pt idx="11">
                  <c:v>1.4542356895697287E-3</c:v>
                </c:pt>
                <c:pt idx="12">
                  <c:v>2.3338727688454401E-4</c:v>
                </c:pt>
                <c:pt idx="13">
                  <c:v>1.918566162292444E-3</c:v>
                </c:pt>
                <c:pt idx="14">
                  <c:v>3.331162892759798E-4</c:v>
                </c:pt>
                <c:pt idx="15">
                  <c:v>9.4034266831782176E-5</c:v>
                </c:pt>
                <c:pt idx="16">
                  <c:v>5.2970050434944359E-3</c:v>
                </c:pt>
                <c:pt idx="17">
                  <c:v>6.3094987921628E-3</c:v>
                </c:pt>
                <c:pt idx="18">
                  <c:v>3.8955287067542537E-3</c:v>
                </c:pt>
                <c:pt idx="19">
                  <c:v>3.0818184731501216E-3</c:v>
                </c:pt>
                <c:pt idx="20">
                  <c:v>1.2808525858505138E-2</c:v>
                </c:pt>
                <c:pt idx="21">
                  <c:v>1.6660739027947163E-2</c:v>
                </c:pt>
                <c:pt idx="22">
                  <c:v>3.7058358875717364E-3</c:v>
                </c:pt>
                <c:pt idx="23">
                  <c:v>1.4979182243329411E-2</c:v>
                </c:pt>
                <c:pt idx="24">
                  <c:v>5.3736309851581277E-3</c:v>
                </c:pt>
                <c:pt idx="25">
                  <c:v>3.1209593406440498E-3</c:v>
                </c:pt>
                <c:pt idx="26">
                  <c:v>3.0099281703531463E-3</c:v>
                </c:pt>
                <c:pt idx="27">
                  <c:v>1.0411853687101135E-3</c:v>
                </c:pt>
                <c:pt idx="28">
                  <c:v>2.9797457661296122E-3</c:v>
                </c:pt>
                <c:pt idx="29">
                  <c:v>3.3640208909930633E-3</c:v>
                </c:pt>
                <c:pt idx="30">
                  <c:v>5.1881547262735007E-2</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8.1326915458385758E-4</c:v>
                </c:pt>
                <c:pt idx="1">
                  <c:v>9.2465358965751268E-3</c:v>
                </c:pt>
                <c:pt idx="2">
                  <c:v>1.0869430058244912E-2</c:v>
                </c:pt>
                <c:pt idx="3">
                  <c:v>1.0780545935615008E-2</c:v>
                </c:pt>
                <c:pt idx="4">
                  <c:v>1.0036190137395835E-2</c:v>
                </c:pt>
                <c:pt idx="5">
                  <c:v>8.6866127376648509E-3</c:v>
                </c:pt>
                <c:pt idx="6">
                  <c:v>9.969512641773641E-3</c:v>
                </c:pt>
                <c:pt idx="7">
                  <c:v>8.4906559328341499E-3</c:v>
                </c:pt>
                <c:pt idx="8">
                  <c:v>1.0606079549048027E-2</c:v>
                </c:pt>
                <c:pt idx="9">
                  <c:v>8.6900612175303607E-3</c:v>
                </c:pt>
                <c:pt idx="10">
                  <c:v>8.4011183003260791E-3</c:v>
                </c:pt>
                <c:pt idx="11">
                  <c:v>3.5252527622466616E-3</c:v>
                </c:pt>
                <c:pt idx="12">
                  <c:v>1.8048914456944766E-2</c:v>
                </c:pt>
                <c:pt idx="13">
                  <c:v>3.0217338211110226E-2</c:v>
                </c:pt>
                <c:pt idx="14">
                  <c:v>3.5014430475184231E-2</c:v>
                </c:pt>
                <c:pt idx="15">
                  <c:v>5.9424631218912985E-3</c:v>
                </c:pt>
                <c:pt idx="16">
                  <c:v>2.3047737030273543E-2</c:v>
                </c:pt>
                <c:pt idx="17">
                  <c:v>3.978714300134272E-3</c:v>
                </c:pt>
                <c:pt idx="18">
                  <c:v>2.6509654157160904E-3</c:v>
                </c:pt>
                <c:pt idx="19">
                  <c:v>1.7890707760963396E-3</c:v>
                </c:pt>
                <c:pt idx="20">
                  <c:v>1.581402103644211E-3</c:v>
                </c:pt>
                <c:pt idx="21">
                  <c:v>3.3610387894796312E-3</c:v>
                </c:pt>
                <c:pt idx="22">
                  <c:v>2.2915010593491715E-3</c:v>
                </c:pt>
                <c:pt idx="23">
                  <c:v>4.7607726907416435E-3</c:v>
                </c:pt>
                <c:pt idx="24">
                  <c:v>4.5088729246257099E-3</c:v>
                </c:pt>
                <c:pt idx="25">
                  <c:v>5.7067310021632955E-2</c:v>
                </c:pt>
                <c:pt idx="26">
                  <c:v>7.7321713213562904E-2</c:v>
                </c:pt>
                <c:pt idx="27">
                  <c:v>7.9442424727028615E-2</c:v>
                </c:pt>
                <c:pt idx="28">
                  <c:v>7.9999076616774134E-2</c:v>
                </c:pt>
                <c:pt idx="29">
                  <c:v>8.0483114075308712E-2</c:v>
                </c:pt>
                <c:pt idx="30">
                  <c:v>8.0967327782462586E-2</c:v>
                </c:pt>
              </c:numCache>
            </c:numRef>
          </c:yVal>
          <c:smooth val="1"/>
        </c:ser>
        <c:dLbls>
          <c:showLegendKey val="0"/>
          <c:showVal val="0"/>
          <c:showCatName val="0"/>
          <c:showSerName val="0"/>
          <c:showPercent val="0"/>
          <c:showBubbleSize val="0"/>
        </c:dLbls>
        <c:axId val="685090008"/>
        <c:axId val="685089616"/>
      </c:scatterChart>
      <c:valAx>
        <c:axId val="6850900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5089616"/>
        <c:crossesAt val="1.0000000000000005E-9"/>
        <c:crossBetween val="midCat"/>
      </c:valAx>
      <c:valAx>
        <c:axId val="6850896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509000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-8.052831202133488</c:v>
                </c:pt>
                <c:pt idx="1">
                  <c:v>-4.7387399799709815</c:v>
                </c:pt>
                <c:pt idx="2">
                  <c:v>-2.2102814822745551</c:v>
                </c:pt>
                <c:pt idx="3">
                  <c:v>0</c:v>
                </c:pt>
                <c:pt idx="4">
                  <c:v>2.8184077714527396</c:v>
                </c:pt>
                <c:pt idx="5">
                  <c:v>8.7901607577065022</c:v>
                </c:pt>
                <c:pt idx="6">
                  <c:v>14.474999762898356</c:v>
                </c:pt>
              </c:numCache>
            </c:numRef>
          </c:yVal>
          <c:smooth val="0"/>
        </c:ser>
        <c:dLbls>
          <c:showLegendKey val="0"/>
          <c:showVal val="0"/>
          <c:showCatName val="0"/>
          <c:showSerName val="0"/>
          <c:showPercent val="0"/>
          <c:showBubbleSize val="0"/>
        </c:dLbls>
        <c:axId val="685092360"/>
        <c:axId val="685091184"/>
      </c:scatterChart>
      <c:valAx>
        <c:axId val="6850923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5091184"/>
        <c:crossesAt val="-100"/>
        <c:crossBetween val="midCat"/>
      </c:valAx>
      <c:valAx>
        <c:axId val="685091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509236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ser>
        <c:dLbls>
          <c:showLegendKey val="0"/>
          <c:showVal val="0"/>
          <c:showCatName val="0"/>
          <c:showSerName val="0"/>
          <c:showPercent val="0"/>
          <c:showBubbleSize val="0"/>
        </c:dLbls>
        <c:axId val="682557520"/>
        <c:axId val="682559480"/>
      </c:scatterChart>
      <c:valAx>
        <c:axId val="68255752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559480"/>
        <c:crosses val="autoZero"/>
        <c:crossBetween val="midCat"/>
      </c:valAx>
      <c:valAx>
        <c:axId val="68255948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55752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-8.052831202133488</c:v>
                </c:pt>
                <c:pt idx="1">
                  <c:v>-7.9954565392803687</c:v>
                </c:pt>
                <c:pt idx="2">
                  <c:v>-7.9379862756103599</c:v>
                </c:pt>
                <c:pt idx="3">
                  <c:v>-7.8803248103065737</c:v>
                </c:pt>
                <c:pt idx="4">
                  <c:v>-7.8223765425521199</c:v>
                </c:pt>
                <c:pt idx="5">
                  <c:v>-7.7640458715301097</c:v>
                </c:pt>
                <c:pt idx="6">
                  <c:v>-7.7052371964236546</c:v>
                </c:pt>
                <c:pt idx="7">
                  <c:v>-7.645854916415864</c:v>
                </c:pt>
                <c:pt idx="8">
                  <c:v>-7.5858034306898503</c:v>
                </c:pt>
                <c:pt idx="9">
                  <c:v>-7.5249871384287239</c:v>
                </c:pt>
                <c:pt idx="10">
                  <c:v>-7.4633104388155953</c:v>
                </c:pt>
                <c:pt idx="11">
                  <c:v>-7.4006777310335758</c:v>
                </c:pt>
                <c:pt idx="12">
                  <c:v>-7.336993414265776</c:v>
                </c:pt>
                <c:pt idx="13">
                  <c:v>-7.272161887695308</c:v>
                </c:pt>
                <c:pt idx="14">
                  <c:v>-7.2060875505052806</c:v>
                </c:pt>
                <c:pt idx="15">
                  <c:v>-7.1386748018788069</c:v>
                </c:pt>
                <c:pt idx="16">
                  <c:v>-7.0698280409989964</c:v>
                </c:pt>
                <c:pt idx="17">
                  <c:v>-6.9994516670489606</c:v>
                </c:pt>
                <c:pt idx="18">
                  <c:v>-6.927450079211809</c:v>
                </c:pt>
                <c:pt idx="19">
                  <c:v>-6.8537276766706556</c:v>
                </c:pt>
                <c:pt idx="20">
                  <c:v>-6.7781888586086083</c:v>
                </c:pt>
                <c:pt idx="21">
                  <c:v>-6.7007380242087802</c:v>
                </c:pt>
                <c:pt idx="22">
                  <c:v>-6.6212795726542799</c:v>
                </c:pt>
                <c:pt idx="23">
                  <c:v>-6.5397179031282207</c:v>
                </c:pt>
                <c:pt idx="24">
                  <c:v>-6.4559574148137111</c:v>
                </c:pt>
                <c:pt idx="25">
                  <c:v>-6.3699025068938635</c:v>
                </c:pt>
                <c:pt idx="26">
                  <c:v>-6.2814575785517892</c:v>
                </c:pt>
                <c:pt idx="27">
                  <c:v>-6.1905270289705978</c:v>
                </c:pt>
                <c:pt idx="28">
                  <c:v>-6.0970152573334015</c:v>
                </c:pt>
                <c:pt idx="29">
                  <c:v>-6.00082666282331</c:v>
                </c:pt>
                <c:pt idx="30">
                  <c:v>-5.9018656446234345</c:v>
                </c:pt>
                <c:pt idx="31">
                  <c:v>-5.8000366019168874</c:v>
                </c:pt>
                <c:pt idx="32">
                  <c:v>-5.6952439338867773</c:v>
                </c:pt>
                <c:pt idx="33">
                  <c:v>-5.5873920397162173</c:v>
                </c:pt>
                <c:pt idx="34">
                  <c:v>-5.4763853185883171</c:v>
                </c:pt>
                <c:pt idx="35">
                  <c:v>-5.3621281696861862</c:v>
                </c:pt>
                <c:pt idx="36">
                  <c:v>-5.2445249921929387</c:v>
                </c:pt>
                <c:pt idx="37">
                  <c:v>-5.1234801852916831</c:v>
                </c:pt>
                <c:pt idx="38">
                  <c:v>-4.9988981481655301</c:v>
                </c:pt>
                <c:pt idx="39">
                  <c:v>-4.8706832799975928</c:v>
                </c:pt>
                <c:pt idx="40">
                  <c:v>-4.7387399799709815</c:v>
                </c:pt>
                <c:pt idx="41">
                  <c:v>-4.6600393059567402</c:v>
                </c:pt>
                <c:pt idx="42">
                  <c:v>-4.5777400870189844</c:v>
                </c:pt>
                <c:pt idx="43">
                  <c:v>-4.492067810909762</c:v>
                </c:pt>
                <c:pt idx="44">
                  <c:v>-4.4032479653811265</c:v>
                </c:pt>
                <c:pt idx="45">
                  <c:v>-4.3115060381851249</c:v>
                </c:pt>
                <c:pt idx="46">
                  <c:v>-4.217067517073807</c:v>
                </c:pt>
                <c:pt idx="47">
                  <c:v>-4.1201578897992217</c:v>
                </c:pt>
                <c:pt idx="48">
                  <c:v>-4.0210026441134206</c:v>
                </c:pt>
                <c:pt idx="49">
                  <c:v>-3.9198272677684511</c:v>
                </c:pt>
                <c:pt idx="50">
                  <c:v>-3.8168572485163637</c:v>
                </c:pt>
                <c:pt idx="51">
                  <c:v>-3.7123180741092079</c:v>
                </c:pt>
                <c:pt idx="52">
                  <c:v>-3.6064352322990332</c:v>
                </c:pt>
                <c:pt idx="53">
                  <c:v>-3.4994342108378884</c:v>
                </c:pt>
                <c:pt idx="54">
                  <c:v>-3.3915404974778243</c:v>
                </c:pt>
                <c:pt idx="55">
                  <c:v>-3.2829795799708892</c:v>
                </c:pt>
                <c:pt idx="56">
                  <c:v>-3.1739769460691329</c:v>
                </c:pt>
                <c:pt idx="57">
                  <c:v>-3.0647580835246053</c:v>
                </c:pt>
                <c:pt idx="58">
                  <c:v>-2.9555484800893561</c:v>
                </c:pt>
                <c:pt idx="59">
                  <c:v>-2.8465736235154342</c:v>
                </c:pt>
                <c:pt idx="60">
                  <c:v>-2.7380590015548893</c:v>
                </c:pt>
                <c:pt idx="61">
                  <c:v>-2.6302301019597714</c:v>
                </c:pt>
                <c:pt idx="62">
                  <c:v>-2.5233124124821296</c:v>
                </c:pt>
                <c:pt idx="63">
                  <c:v>-2.4175314208740128</c:v>
                </c:pt>
                <c:pt idx="64">
                  <c:v>-2.3131126148874719</c:v>
                </c:pt>
                <c:pt idx="65">
                  <c:v>-2.2102814822745551</c:v>
                </c:pt>
                <c:pt idx="66">
                  <c:v>-2.1092113476712728</c:v>
                </c:pt>
                <c:pt idx="67">
                  <c:v>-2.0098668832494746</c:v>
                </c:pt>
                <c:pt idx="68">
                  <c:v>-1.9121605980649696</c:v>
                </c:pt>
                <c:pt idx="69">
                  <c:v>-1.8160050011735682</c:v>
                </c:pt>
                <c:pt idx="70">
                  <c:v>-1.7213126016310796</c:v>
                </c:pt>
                <c:pt idx="71">
                  <c:v>-1.6279959084933138</c:v>
                </c:pt>
                <c:pt idx="72">
                  <c:v>-1.5359674308160804</c:v>
                </c:pt>
                <c:pt idx="73">
                  <c:v>-1.4451396776551895</c:v>
                </c:pt>
                <c:pt idx="74">
                  <c:v>-1.3554251580664503</c:v>
                </c:pt>
                <c:pt idx="75">
                  <c:v>-1.2667363811056727</c:v>
                </c:pt>
                <c:pt idx="76">
                  <c:v>-1.1789858558286663</c:v>
                </c:pt>
                <c:pt idx="77">
                  <c:v>-1.0920860912912409</c:v>
                </c:pt>
                <c:pt idx="78">
                  <c:v>-1.005949596549206</c:v>
                </c:pt>
                <c:pt idx="79">
                  <c:v>-0.92048888065837187</c:v>
                </c:pt>
                <c:pt idx="80">
                  <c:v>-0.83561645267454765</c:v>
                </c:pt>
                <c:pt idx="81">
                  <c:v>-0.75124482165354345</c:v>
                </c:pt>
                <c:pt idx="82">
                  <c:v>-0.66728649665116868</c:v>
                </c:pt>
                <c:pt idx="83">
                  <c:v>-0.58365398672323332</c:v>
                </c:pt>
                <c:pt idx="84">
                  <c:v>-0.50025980092554678</c:v>
                </c:pt>
                <c:pt idx="85">
                  <c:v>-0.41701644831391893</c:v>
                </c:pt>
                <c:pt idx="86">
                  <c:v>-0.33383643794415951</c:v>
                </c:pt>
                <c:pt idx="87">
                  <c:v>-0.25063227887207823</c:v>
                </c:pt>
                <c:pt idx="88">
                  <c:v>-0.16731648015348471</c:v>
                </c:pt>
                <c:pt idx="89">
                  <c:v>-8.3801550844188749E-2</c:v>
                </c:pt>
                <c:pt idx="90">
                  <c:v>0</c:v>
                </c:pt>
                <c:pt idx="91">
                  <c:v>8.4165927291761367E-2</c:v>
                </c:pt>
                <c:pt idx="92">
                  <c:v>0.16873504181773344</c:v>
                </c:pt>
                <c:pt idx="93">
                  <c:v>0.25373641833304383</c:v>
                </c:pt>
                <c:pt idx="94">
                  <c:v>0.33919913159282028</c:v>
                </c:pt>
                <c:pt idx="95">
                  <c:v>0.42515225635219034</c:v>
                </c:pt>
                <c:pt idx="96">
                  <c:v>0.51162486736628165</c:v>
                </c:pt>
                <c:pt idx="97">
                  <c:v>0.59864603939022198</c:v>
                </c:pt>
                <c:pt idx="98">
                  <c:v>0.68624484717913881</c:v>
                </c:pt>
                <c:pt idx="99">
                  <c:v>0.77445036548815982</c:v>
                </c:pt>
                <c:pt idx="100">
                  <c:v>0.86329166907241284</c:v>
                </c:pt>
                <c:pt idx="101">
                  <c:v>0.95279783268702534</c:v>
                </c:pt>
                <c:pt idx="102">
                  <c:v>1.0429979310871249</c:v>
                </c:pt>
                <c:pt idx="103">
                  <c:v>1.1339210390278394</c:v>
                </c:pt>
                <c:pt idx="104">
                  <c:v>1.2255962312642963</c:v>
                </c:pt>
                <c:pt idx="105">
                  <c:v>1.3180525825516234</c:v>
                </c:pt>
                <c:pt idx="106">
                  <c:v>1.4113191676449481</c:v>
                </c:pt>
                <c:pt idx="107">
                  <c:v>1.5054250612993982</c:v>
                </c:pt>
                <c:pt idx="108">
                  <c:v>1.6003993382701012</c:v>
                </c:pt>
                <c:pt idx="109">
                  <c:v>1.6962710733121853</c:v>
                </c:pt>
                <c:pt idx="110">
                  <c:v>1.7930693411807774</c:v>
                </c:pt>
                <c:pt idx="111">
                  <c:v>1.8908232166310055</c:v>
                </c:pt>
                <c:pt idx="112">
                  <c:v>1.9895617744179974</c:v>
                </c:pt>
                <c:pt idx="113">
                  <c:v>2.0893140892968805</c:v>
                </c:pt>
                <c:pt idx="114">
                  <c:v>2.1901092360227823</c:v>
                </c:pt>
                <c:pt idx="115">
                  <c:v>2.2919762893508309</c:v>
                </c:pt>
                <c:pt idx="116">
                  <c:v>2.3949443240361536</c:v>
                </c:pt>
                <c:pt idx="117">
                  <c:v>2.4990424148338786</c:v>
                </c:pt>
                <c:pt idx="118">
                  <c:v>2.6042996364991327</c:v>
                </c:pt>
                <c:pt idx="119">
                  <c:v>2.7107450637870438</c:v>
                </c:pt>
                <c:pt idx="120">
                  <c:v>2.8184077714527396</c:v>
                </c:pt>
                <c:pt idx="121">
                  <c:v>2.927310201590672</c:v>
                </c:pt>
                <c:pt idx="122">
                  <c:v>3.0374482656525879</c:v>
                </c:pt>
                <c:pt idx="123">
                  <c:v>3.1488112424295593</c:v>
                </c:pt>
                <c:pt idx="124">
                  <c:v>3.2613884107126569</c:v>
                </c:pt>
                <c:pt idx="125">
                  <c:v>3.3751690492929534</c:v>
                </c:pt>
                <c:pt idx="126">
                  <c:v>3.4901424369615186</c:v>
                </c:pt>
                <c:pt idx="127">
                  <c:v>3.6062978525094245</c:v>
                </c:pt>
                <c:pt idx="128">
                  <c:v>3.7236245747277428</c:v>
                </c:pt>
                <c:pt idx="129">
                  <c:v>3.842111882407544</c:v>
                </c:pt>
                <c:pt idx="130">
                  <c:v>3.9617490543399003</c:v>
                </c:pt>
                <c:pt idx="131">
                  <c:v>4.0825253693158832</c:v>
                </c:pt>
                <c:pt idx="132">
                  <c:v>4.204430106126563</c:v>
                </c:pt>
                <c:pt idx="133">
                  <c:v>4.3274525435630125</c:v>
                </c:pt>
                <c:pt idx="134">
                  <c:v>4.4515819604163012</c:v>
                </c:pt>
                <c:pt idx="135">
                  <c:v>4.5768076354775022</c:v>
                </c:pt>
                <c:pt idx="136">
                  <c:v>4.7031188475376862</c:v>
                </c:pt>
                <c:pt idx="137">
                  <c:v>4.8305048753879252</c:v>
                </c:pt>
                <c:pt idx="138">
                  <c:v>4.9589549978192888</c:v>
                </c:pt>
                <c:pt idx="139">
                  <c:v>5.0884584936228512</c:v>
                </c:pt>
                <c:pt idx="140">
                  <c:v>5.2190046415896809</c:v>
                </c:pt>
                <c:pt idx="141">
                  <c:v>5.350582720510852</c:v>
                </c:pt>
                <c:pt idx="142">
                  <c:v>5.4831820091774324</c:v>
                </c:pt>
                <c:pt idx="143">
                  <c:v>5.6167917863804977</c:v>
                </c:pt>
                <c:pt idx="144">
                  <c:v>5.7514013309111158</c:v>
                </c:pt>
                <c:pt idx="145">
                  <c:v>5.886999921560359</c:v>
                </c:pt>
                <c:pt idx="146">
                  <c:v>6.0235768371193004</c:v>
                </c:pt>
                <c:pt idx="147">
                  <c:v>6.1611213563790086</c:v>
                </c:pt>
                <c:pt idx="148">
                  <c:v>6.2996227581305577</c:v>
                </c:pt>
                <c:pt idx="149">
                  <c:v>6.4390703211650164</c:v>
                </c:pt>
                <c:pt idx="150">
                  <c:v>6.5794533242734587</c:v>
                </c:pt>
                <c:pt idx="151">
                  <c:v>6.7207610462469534</c:v>
                </c:pt>
                <c:pt idx="152">
                  <c:v>6.8629827658765743</c:v>
                </c:pt>
                <c:pt idx="153">
                  <c:v>7.006107761953392</c:v>
                </c:pt>
                <c:pt idx="154">
                  <c:v>7.1501253132684761</c:v>
                </c:pt>
                <c:pt idx="155">
                  <c:v>7.2950246986129006</c:v>
                </c:pt>
                <c:pt idx="156">
                  <c:v>7.440795196777735</c:v>
                </c:pt>
                <c:pt idx="157">
                  <c:v>7.5874260865540526</c:v>
                </c:pt>
                <c:pt idx="158">
                  <c:v>7.7349066467329219</c:v>
                </c:pt>
                <c:pt idx="159">
                  <c:v>7.8832261561054171</c:v>
                </c:pt>
                <c:pt idx="160">
                  <c:v>8.0323738934626085</c:v>
                </c:pt>
                <c:pt idx="161">
                  <c:v>8.1823391375955659</c:v>
                </c:pt>
                <c:pt idx="162">
                  <c:v>8.3331111672953639</c:v>
                </c:pt>
                <c:pt idx="163">
                  <c:v>8.4846792613530706</c:v>
                </c:pt>
                <c:pt idx="164">
                  <c:v>8.6370326985597607</c:v>
                </c:pt>
                <c:pt idx="165">
                  <c:v>8.790160757706504</c:v>
                </c:pt>
                <c:pt idx="166">
                  <c:v>8.9440508668299952</c:v>
                </c:pt>
                <c:pt idx="167">
                  <c:v>9.0986830509494361</c:v>
                </c:pt>
                <c:pt idx="168">
                  <c:v>9.254035484329652</c:v>
                </c:pt>
                <c:pt idx="169">
                  <c:v>9.4100863412354663</c:v>
                </c:pt>
                <c:pt idx="170">
                  <c:v>9.5668137959317061</c:v>
                </c:pt>
                <c:pt idx="171">
                  <c:v>9.7241960226831949</c:v>
                </c:pt>
                <c:pt idx="172">
                  <c:v>9.8822111957547598</c:v>
                </c:pt>
                <c:pt idx="173">
                  <c:v>10.040837489411222</c:v>
                </c:pt>
                <c:pt idx="174">
                  <c:v>10.20005307791741</c:v>
                </c:pt>
                <c:pt idx="175">
                  <c:v>10.359836135538147</c:v>
                </c:pt>
                <c:pt idx="176">
                  <c:v>10.52016483653826</c:v>
                </c:pt>
                <c:pt idx="177">
                  <c:v>10.681017355182572</c:v>
                </c:pt>
                <c:pt idx="178">
                  <c:v>10.842371865735908</c:v>
                </c:pt>
                <c:pt idx="179">
                  <c:v>11.004206542463091</c:v>
                </c:pt>
                <c:pt idx="180">
                  <c:v>11.166499559628953</c:v>
                </c:pt>
                <c:pt idx="181">
                  <c:v>11.329229091498313</c:v>
                </c:pt>
                <c:pt idx="182">
                  <c:v>11.492373312335998</c:v>
                </c:pt>
                <c:pt idx="183">
                  <c:v>11.655910396406831</c:v>
                </c:pt>
                <c:pt idx="184">
                  <c:v>11.819818517975641</c:v>
                </c:pt>
                <c:pt idx="185">
                  <c:v>11.984075851307249</c:v>
                </c:pt>
                <c:pt idx="186">
                  <c:v>12.148660570666483</c:v>
                </c:pt>
                <c:pt idx="187">
                  <c:v>12.313550850318165</c:v>
                </c:pt>
                <c:pt idx="188">
                  <c:v>12.478724864527123</c:v>
                </c:pt>
                <c:pt idx="189">
                  <c:v>12.644160787558182</c:v>
                </c:pt>
                <c:pt idx="190">
                  <c:v>12.809836793676164</c:v>
                </c:pt>
                <c:pt idx="191">
                  <c:v>12.975731057145897</c:v>
                </c:pt>
                <c:pt idx="192">
                  <c:v>13.141821752232202</c:v>
                </c:pt>
                <c:pt idx="193">
                  <c:v>13.308087053199909</c:v>
                </c:pt>
                <c:pt idx="194">
                  <c:v>13.474505134313841</c:v>
                </c:pt>
                <c:pt idx="195">
                  <c:v>13.641054169838823</c:v>
                </c:pt>
                <c:pt idx="196">
                  <c:v>13.80771233403968</c:v>
                </c:pt>
                <c:pt idx="197">
                  <c:v>13.974457801181236</c:v>
                </c:pt>
                <c:pt idx="198">
                  <c:v>14.141268745528318</c:v>
                </c:pt>
                <c:pt idx="199">
                  <c:v>14.30812334134575</c:v>
                </c:pt>
                <c:pt idx="200">
                  <c:v>14.474999762898356</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-8.052831202133488</c:v>
                </c:pt>
                <c:pt idx="1">
                  <c:v>-4.7387399799709815</c:v>
                </c:pt>
                <c:pt idx="2">
                  <c:v>-2.2102814822745551</c:v>
                </c:pt>
                <c:pt idx="3">
                  <c:v>0</c:v>
                </c:pt>
                <c:pt idx="4">
                  <c:v>2.8184077714527396</c:v>
                </c:pt>
                <c:pt idx="5">
                  <c:v>8.7901607577065022</c:v>
                </c:pt>
                <c:pt idx="6">
                  <c:v>14.474999762898356</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-8.0561518965684638</c:v>
                </c:pt>
                <c:pt idx="1">
                  <c:v>-7.9945853473577095</c:v>
                </c:pt>
                <c:pt idx="2">
                  <c:v>-7.9348129415771442</c:v>
                </c:pt>
                <c:pt idx="3">
                  <c:v>-7.876324457061223</c:v>
                </c:pt>
                <c:pt idx="4">
                  <c:v>-7.8186559924577583</c:v>
                </c:pt>
                <c:pt idx="5">
                  <c:v>-7.7613874914639105</c:v>
                </c:pt>
                <c:pt idx="6">
                  <c:v>-7.7041403507935327</c:v>
                </c:pt>
                <c:pt idx="7">
                  <c:v>-7.6465751101780324</c:v>
                </c:pt>
                <c:pt idx="8">
                  <c:v>-7.5883892227189875</c:v>
                </c:pt>
                <c:pt idx="9">
                  <c:v>-7.5293149039267853</c:v>
                </c:pt>
                <c:pt idx="10">
                  <c:v>-7.4691170577955068</c:v>
                </c:pt>
                <c:pt idx="11">
                  <c:v>-7.4075912782804272</c:v>
                </c:pt>
                <c:pt idx="12">
                  <c:v>-7.3445619245603853</c:v>
                </c:pt>
                <c:pt idx="13">
                  <c:v>-7.2798802684834563</c:v>
                </c:pt>
                <c:pt idx="14">
                  <c:v>-7.213422712610229</c:v>
                </c:pt>
                <c:pt idx="15">
                  <c:v>-7.1450890772851521</c:v>
                </c:pt>
                <c:pt idx="16">
                  <c:v>-7.0748009551823641</c:v>
                </c:pt>
                <c:pt idx="17">
                  <c:v>-7.0025001317884765</c:v>
                </c:pt>
                <c:pt idx="18">
                  <c:v>-6.9281470703007662</c:v>
                </c:pt>
                <c:pt idx="19">
                  <c:v>-6.8517194594353494</c:v>
                </c:pt>
                <c:pt idx="20">
                  <c:v>-6.7732108226558259</c:v>
                </c:pt>
                <c:pt idx="21">
                  <c:v>-6.6926291873489694</c:v>
                </c:pt>
                <c:pt idx="22">
                  <c:v>-6.6099958124901113</c:v>
                </c:pt>
                <c:pt idx="23">
                  <c:v>-6.5253439733567493</c:v>
                </c:pt>
                <c:pt idx="24">
                  <c:v>-6.4387178018651081</c:v>
                </c:pt>
                <c:pt idx="25">
                  <c:v>-6.3501711811202863</c:v>
                </c:pt>
                <c:pt idx="26">
                  <c:v>-6.2597666927866973</c:v>
                </c:pt>
                <c:pt idx="27">
                  <c:v>-6.167574615901537</c:v>
                </c:pt>
                <c:pt idx="28">
                  <c:v>-6.073671975770031</c:v>
                </c:pt>
                <c:pt idx="29">
                  <c:v>-5.978141641597241</c:v>
                </c:pt>
                <c:pt idx="30">
                  <c:v>-5.8810714715272336</c:v>
                </c:pt>
                <c:pt idx="31">
                  <c:v>-5.7825535037764588</c:v>
                </c:pt>
                <c:pt idx="32">
                  <c:v>-5.682683192564185</c:v>
                </c:pt>
                <c:pt idx="33">
                  <c:v>-5.5815586875588865</c:v>
                </c:pt>
                <c:pt idx="34">
                  <c:v>-5.4792801555754957</c:v>
                </c:pt>
                <c:pt idx="35">
                  <c:v>-5.3759491432744637</c:v>
                </c:pt>
                <c:pt idx="36">
                  <c:v>-5.2716679796295862</c:v>
                </c:pt>
                <c:pt idx="37">
                  <c:v>-5.1665392169476005</c:v>
                </c:pt>
                <c:pt idx="38">
                  <c:v>-5.0606651092385793</c:v>
                </c:pt>
                <c:pt idx="39">
                  <c:v>-4.9541471267521482</c:v>
                </c:pt>
                <c:pt idx="40">
                  <c:v>-4.8470855055106181</c:v>
                </c:pt>
                <c:pt idx="41">
                  <c:v>-4.7395788306861411</c:v>
                </c:pt>
                <c:pt idx="42">
                  <c:v>-4.6317236526849639</c:v>
                </c:pt>
                <c:pt idx="43">
                  <c:v>-4.5236141348180396</c:v>
                </c:pt>
                <c:pt idx="44">
                  <c:v>-4.4153417314530552</c:v>
                </c:pt>
                <c:pt idx="45">
                  <c:v>-4.3069948955591659</c:v>
                </c:pt>
                <c:pt idx="46">
                  <c:v>-4.1986588145716439</c:v>
                </c:pt>
                <c:pt idx="47">
                  <c:v>-4.090415173519701</c:v>
                </c:pt>
                <c:pt idx="48">
                  <c:v>-3.9823419443767762</c:v>
                </c:pt>
                <c:pt idx="49">
                  <c:v>-3.8745132006085923</c:v>
                </c:pt>
                <c:pt idx="50">
                  <c:v>-3.7669989559103523</c:v>
                </c:pt>
                <c:pt idx="51">
                  <c:v>-3.6598650261403924</c:v>
                </c:pt>
                <c:pt idx="52">
                  <c:v>-3.553172913473746</c:v>
                </c:pt>
                <c:pt idx="53">
                  <c:v>-3.4469797118149881</c:v>
                </c:pt>
                <c:pt idx="54">
                  <c:v>-3.3413380325258322</c:v>
                </c:pt>
                <c:pt idx="55">
                  <c:v>-3.2362959495389547</c:v>
                </c:pt>
                <c:pt idx="56">
                  <c:v>-3.1318969629455395</c:v>
                </c:pt>
                <c:pt idx="57">
                  <c:v>-3.0281799801600728</c:v>
                </c:pt>
                <c:pt idx="58">
                  <c:v>-2.9251793137819431</c:v>
                </c:pt>
                <c:pt idx="59">
                  <c:v>-2.8229246952894282</c:v>
                </c:pt>
                <c:pt idx="60">
                  <c:v>-2.7214413037176688</c:v>
                </c:pt>
                <c:pt idx="61">
                  <c:v>-2.6207498084882777</c:v>
                </c:pt>
                <c:pt idx="62">
                  <c:v>-2.5208664255742308</c:v>
                </c:pt>
                <c:pt idx="63">
                  <c:v>-2.4218029861997326</c:v>
                </c:pt>
                <c:pt idx="64">
                  <c:v>-2.3235670172907725</c:v>
                </c:pt>
                <c:pt idx="65">
                  <c:v>-2.2261618329081108</c:v>
                </c:pt>
                <c:pt idx="66">
                  <c:v>-2.1295866359104543</c:v>
                </c:pt>
                <c:pt idx="67">
                  <c:v>-2.0338366291116348</c:v>
                </c:pt>
                <c:pt idx="68">
                  <c:v>-1.9389031352115877</c:v>
                </c:pt>
                <c:pt idx="69">
                  <c:v>-1.8447737247969929</c:v>
                </c:pt>
                <c:pt idx="70">
                  <c:v>-1.7514323517234476</c:v>
                </c:pt>
                <c:pt idx="71">
                  <c:v>-1.6588594952070739</c:v>
                </c:pt>
                <c:pt idx="72">
                  <c:v>-1.567032307969481</c:v>
                </c:pt>
                <c:pt idx="73">
                  <c:v>-1.4759247697960469</c:v>
                </c:pt>
                <c:pt idx="74">
                  <c:v>-1.3855078458834922</c:v>
                </c:pt>
                <c:pt idx="75">
                  <c:v>-1.2957496493687517</c:v>
                </c:pt>
                <c:pt idx="76">
                  <c:v>-1.206615607447187</c:v>
                </c:pt>
                <c:pt idx="77">
                  <c:v>-1.1180686305041929</c:v>
                </c:pt>
                <c:pt idx="78">
                  <c:v>-1.0300692837002845</c:v>
                </c:pt>
                <c:pt idx="79">
                  <c:v>-0.94257596046578329</c:v>
                </c:pt>
                <c:pt idx="80">
                  <c:v>-0.85554505737723796</c:v>
                </c:pt>
                <c:pt idx="81">
                  <c:v>-0.768931149903754</c:v>
                </c:pt>
                <c:pt idx="82">
                  <c:v>-0.68268716852741507</c:v>
                </c:pt>
                <c:pt idx="83">
                  <c:v>-0.59676457475802835</c:v>
                </c:pt>
                <c:pt idx="84">
                  <c:v>-0.51111353657843051</c:v>
                </c:pt>
                <c:pt idx="85">
                  <c:v>-0.42568310287263711</c:v>
                </c:pt>
                <c:pt idx="86">
                  <c:v>-0.34042137640512737</c:v>
                </c:pt>
                <c:pt idx="87">
                  <c:v>-0.25527568493559899</c:v>
                </c:pt>
                <c:pt idx="88">
                  <c:v>-0.17019275006954082</c:v>
                </c:pt>
                <c:pt idx="89">
                  <c:v>-8.5118853461007435E-2</c:v>
                </c:pt>
                <c:pt idx="90">
                  <c:v>0</c:v>
                </c:pt>
                <c:pt idx="91">
                  <c:v>8.5217922367110552E-2</c:v>
                </c:pt>
                <c:pt idx="92">
                  <c:v>0.1705889865196597</c:v>
                </c:pt>
                <c:pt idx="93">
                  <c:v>0.2561670740667768</c:v>
                </c:pt>
                <c:pt idx="94">
                  <c:v>0.34200572757697012</c:v>
                </c:pt>
                <c:pt idx="95">
                  <c:v>0.42815800742067078</c:v>
                </c:pt>
                <c:pt idx="96">
                  <c:v>0.51467635349716589</c:v>
                </c:pt>
                <c:pt idx="97">
                  <c:v>0.60161245210133063</c:v>
                </c:pt>
                <c:pt idx="98">
                  <c:v>0.68901710816953521</c:v>
                </c:pt>
                <c:pt idx="99">
                  <c:v>0.77694012312808447</c:v>
                </c:pt>
                <c:pt idx="100">
                  <c:v>0.86543017855151205</c:v>
                </c:pt>
                <c:pt idx="101">
                  <c:v>0.95453472582203136</c:v>
                </c:pt>
                <c:pt idx="102">
                  <c:v>1.044299881965417</c:v>
                </c:pt>
                <c:pt idx="103">
                  <c:v>1.134770331822561</c:v>
                </c:pt>
                <c:pt idx="104">
                  <c:v>1.2259892366999261</c:v>
                </c:pt>
                <c:pt idx="105">
                  <c:v>1.3179981496260862</c:v>
                </c:pt>
                <c:pt idx="106">
                  <c:v>1.410836937325525</c:v>
                </c:pt>
                <c:pt idx="107">
                  <c:v>1.5045437090048268</c:v>
                </c:pt>
                <c:pt idx="108">
                  <c:v>1.5991547520303822</c:v>
                </c:pt>
                <c:pt idx="109">
                  <c:v>1.6947044745606787</c:v>
                </c:pt>
                <c:pt idx="110">
                  <c:v>1.7912253551802566</c:v>
                </c:pt>
                <c:pt idx="111">
                  <c:v>1.8887478995663487</c:v>
                </c:pt>
                <c:pt idx="112">
                  <c:v>1.9873006042032137</c:v>
                </c:pt>
                <c:pt idx="113">
                  <c:v>2.0869099271431493</c:v>
                </c:pt>
                <c:pt idx="114">
                  <c:v>2.1876002657971267</c:v>
                </c:pt>
                <c:pt idx="115">
                  <c:v>2.289393941721988</c:v>
                </c:pt>
                <c:pt idx="116">
                  <c:v>2.3923111923550908</c:v>
                </c:pt>
                <c:pt idx="117">
                  <c:v>2.4963701696312897</c:v>
                </c:pt>
                <c:pt idx="118">
                  <c:v>2.6015869454010803</c:v>
                </c:pt>
                <c:pt idx="119">
                  <c:v>2.7079755235527512</c:v>
                </c:pt>
                <c:pt idx="120">
                  <c:v>2.8155478587253149</c:v>
                </c:pt>
                <c:pt idx="121">
                  <c:v>2.924313881483001</c:v>
                </c:pt>
                <c:pt idx="122">
                  <c:v>3.0342815298060368</c:v>
                </c:pt>
                <c:pt idx="123">
                  <c:v>3.1454567867364407</c:v>
                </c:pt>
                <c:pt idx="124">
                  <c:v>3.2578437240015132</c:v>
                </c:pt>
                <c:pt idx="125">
                  <c:v>3.3714445514216762</c:v>
                </c:pt>
                <c:pt idx="126">
                  <c:v>3.4862596718933059</c:v>
                </c:pt>
                <c:pt idx="127">
                  <c:v>3.6022877417211614</c:v>
                </c:pt>
                <c:pt idx="128">
                  <c:v>3.7195257360589893</c:v>
                </c:pt>
                <c:pt idx="129">
                  <c:v>3.8379690192008478</c:v>
                </c:pt>
                <c:pt idx="130">
                  <c:v>3.9576114194497043</c:v>
                </c:pt>
                <c:pt idx="131">
                  <c:v>4.0784453082737731</c:v>
                </c:pt>
                <c:pt idx="132">
                  <c:v>4.2004616834450905</c:v>
                </c:pt>
                <c:pt idx="133">
                  <c:v>4.3236502558387633</c:v>
                </c:pt>
                <c:pt idx="134">
                  <c:v>4.4479995395553171</c:v>
                </c:pt>
                <c:pt idx="135">
                  <c:v>4.5734969450125327</c:v>
                </c:pt>
                <c:pt idx="136">
                  <c:v>4.7001288746371372</c:v>
                </c:pt>
                <c:pt idx="137">
                  <c:v>4.8278808207706909</c:v>
                </c:pt>
                <c:pt idx="138">
                  <c:v>4.956737465388005</c:v>
                </c:pt>
                <c:pt idx="139">
                  <c:v>5.0866827812103166</c:v>
                </c:pt>
                <c:pt idx="140">
                  <c:v>5.2177001337795641</c:v>
                </c:pt>
                <c:pt idx="141">
                  <c:v>5.3497723840439315</c:v>
                </c:pt>
                <c:pt idx="142">
                  <c:v>5.4828819909888882</c:v>
                </c:pt>
                <c:pt idx="143">
                  <c:v>5.6170111138319276</c:v>
                </c:pt>
                <c:pt idx="144">
                  <c:v>5.7521417132831134</c:v>
                </c:pt>
                <c:pt idx="145">
                  <c:v>5.8882556513576025</c:v>
                </c:pt>
                <c:pt idx="146">
                  <c:v>6.0253347892102278</c:v>
                </c:pt>
                <c:pt idx="147">
                  <c:v>6.1633610824461984</c:v>
                </c:pt>
                <c:pt idx="148">
                  <c:v>6.3023166733460032</c:v>
                </c:pt>
                <c:pt idx="149">
                  <c:v>6.4421839794264937</c:v>
                </c:pt>
                <c:pt idx="150">
                  <c:v>6.5829457777441771</c:v>
                </c:pt>
                <c:pt idx="151">
                  <c:v>6.7245852843306624</c:v>
                </c:pt>
                <c:pt idx="152">
                  <c:v>6.8670862281342142</c:v>
                </c:pt>
                <c:pt idx="153">
                  <c:v>7.0104329188253152</c:v>
                </c:pt>
                <c:pt idx="154">
                  <c:v>7.1546103078081389</c:v>
                </c:pt>
                <c:pt idx="155">
                  <c:v>7.2996040417637849</c:v>
                </c:pt>
                <c:pt idx="156">
                  <c:v>7.4454005080350996</c:v>
                </c:pt>
                <c:pt idx="157">
                  <c:v>7.5919868711469256</c:v>
                </c:pt>
                <c:pt idx="158">
                  <c:v>7.7393510997395039</c:v>
                </c:pt>
                <c:pt idx="159">
                  <c:v>7.8874819831768477</c:v>
                </c:pt>
                <c:pt idx="160">
                  <c:v>8.036369137075754</c:v>
                </c:pt>
                <c:pt idx="161">
                  <c:v>8.1860029969851951</c:v>
                </c:pt>
                <c:pt idx="162">
                  <c:v>8.3363747994297572</c:v>
                </c:pt>
                <c:pt idx="163">
                  <c:v>8.4874765495147493</c:v>
                </c:pt>
                <c:pt idx="164">
                  <c:v>8.6393009742746223</c:v>
                </c:pt>
                <c:pt idx="165">
                  <c:v>8.7918414609303177</c:v>
                </c:pt>
                <c:pt idx="166">
                  <c:v>8.9450919792050367</c:v>
                </c:pt>
                <c:pt idx="167">
                  <c:v>9.0990469868320591</c:v>
                </c:pt>
                <c:pt idx="168">
                  <c:v>9.2537013173720837</c:v>
                </c:pt>
                <c:pt idx="169">
                  <c:v>9.4090500494415377</c:v>
                </c:pt>
                <c:pt idx="170">
                  <c:v>9.5650883564374141</c:v>
                </c:pt>
                <c:pt idx="171">
                  <c:v>9.7218113358279741</c:v>
                </c:pt>
                <c:pt idx="172">
                  <c:v>9.8792138170627872</c:v>
                </c:pt>
                <c:pt idx="173">
                  <c:v>10.037290147139437</c:v>
                </c:pt>
                <c:pt idx="174">
                  <c:v>10.196033952848305</c:v>
                </c:pt>
                <c:pt idx="175">
                  <c:v>10.355437878700716</c:v>
                </c:pt>
                <c:pt idx="176">
                  <c:v>10.515493299529737</c:v>
                </c:pt>
                <c:pt idx="177">
                  <c:v>10.676190006736972</c:v>
                </c:pt>
                <c:pt idx="178">
                  <c:v>10.83751586714251</c:v>
                </c:pt>
                <c:pt idx="179">
                  <c:v>10.999456453379318</c:v>
                </c:pt>
                <c:pt idx="180">
                  <c:v>11.161994644757225</c:v>
                </c:pt>
                <c:pt idx="181">
                  <c:v>11.32511019750571</c:v>
                </c:pt>
                <c:pt idx="182">
                  <c:v>11.488779283288579</c:v>
                </c:pt>
                <c:pt idx="183">
                  <c:v>11.652973994867706</c:v>
                </c:pt>
                <c:pt idx="184">
                  <c:v>11.817661817776871</c:v>
                </c:pt>
                <c:pt idx="185">
                  <c:v>11.982805066850789</c:v>
                </c:pt>
                <c:pt idx="186">
                  <c:v>12.148360286438374</c:v>
                </c:pt>
                <c:pt idx="187">
                  <c:v>12.314277613113196</c:v>
                </c:pt>
                <c:pt idx="188">
                  <c:v>12.480500099678142</c:v>
                </c:pt>
                <c:pt idx="189">
                  <c:v>12.646962999245272</c:v>
                </c:pt>
                <c:pt idx="190">
                  <c:v>12.813593008155738</c:v>
                </c:pt>
                <c:pt idx="191">
                  <c:v>12.980307466488673</c:v>
                </c:pt>
                <c:pt idx="192">
                  <c:v>13.14701351489197</c:v>
                </c:pt>
                <c:pt idx="193">
                  <c:v>13.31360720645176</c:v>
                </c:pt>
                <c:pt idx="194">
                  <c:v>13.479972572301405</c:v>
                </c:pt>
                <c:pt idx="195">
                  <c:v>13.645980639654866</c:v>
                </c:pt>
                <c:pt idx="196">
                  <c:v>13.811488400933065</c:v>
                </c:pt>
                <c:pt idx="197">
                  <c:v>13.976337732636178</c:v>
                </c:pt>
                <c:pt idx="198">
                  <c:v>14.140354262598464</c:v>
                </c:pt>
                <c:pt idx="199">
                  <c:v>14.30334618424622</c:v>
                </c:pt>
                <c:pt idx="200">
                  <c:v>14.465103016463793</c:v>
                </c:pt>
              </c:numCache>
            </c:numRef>
          </c:yVal>
          <c:smooth val="1"/>
        </c:ser>
        <c:dLbls>
          <c:showLegendKey val="0"/>
          <c:showVal val="0"/>
          <c:showCatName val="0"/>
          <c:showSerName val="0"/>
          <c:showPercent val="0"/>
          <c:showBubbleSize val="0"/>
        </c:dLbls>
        <c:axId val="682558304"/>
        <c:axId val="682559088"/>
      </c:scatterChart>
      <c:valAx>
        <c:axId val="68255830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559088"/>
        <c:crossesAt val="-1000"/>
        <c:crossBetween val="midCat"/>
      </c:valAx>
      <c:valAx>
        <c:axId val="682559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255830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151</v>
      </c>
    </row>
    <row r="22" spans="1:2" s="11" customFormat="1" x14ac:dyDescent="0.25">
      <c r="A22" s="61" t="s">
        <v>157</v>
      </c>
      <c r="B22" s="100">
        <f>CTE!N8-0.5</f>
        <v>161</v>
      </c>
    </row>
    <row r="23" spans="1:2" s="11" customFormat="1" x14ac:dyDescent="0.25">
      <c r="A23" s="61" t="s">
        <v>158</v>
      </c>
      <c r="B23" s="100">
        <f>CTE!N9</f>
        <v>180.5</v>
      </c>
    </row>
    <row r="24" spans="1:2" s="11" customFormat="1" x14ac:dyDescent="0.25"/>
    <row r="25" spans="1:2" s="11" customFormat="1" x14ac:dyDescent="0.25">
      <c r="A25" s="61" t="s">
        <v>147</v>
      </c>
      <c r="B25" s="53">
        <f>CTE!O5</f>
        <v>1.9178677428571428E-5</v>
      </c>
    </row>
    <row r="26" spans="1:2" s="11" customFormat="1" x14ac:dyDescent="0.25">
      <c r="A26" s="61" t="s">
        <v>148</v>
      </c>
      <c r="B26" s="53">
        <f>CTE!O6</f>
        <v>2.1154238571428571E-5</v>
      </c>
    </row>
    <row r="27" spans="1:2" s="11" customFormat="1" x14ac:dyDescent="0.25">
      <c r="A27" s="61" t="s">
        <v>149</v>
      </c>
      <c r="B27" s="53">
        <f>CTE!O8</f>
        <v>5.9200051428571433E-5</v>
      </c>
    </row>
    <row r="28" spans="1:2" s="11" customFormat="1" x14ac:dyDescent="0.25">
      <c r="A28" s="61" t="s">
        <v>150</v>
      </c>
      <c r="B28" s="53">
        <f>CTE!O9</f>
        <v>5.9157857142857142E-5</v>
      </c>
    </row>
    <row r="29" spans="1:2" s="11" customFormat="1" x14ac:dyDescent="0.25">
      <c r="A29" s="61"/>
    </row>
    <row r="30" spans="1:2" s="11" customFormat="1" x14ac:dyDescent="0.25">
      <c r="A30" s="61" t="s">
        <v>151</v>
      </c>
      <c r="B30" s="52">
        <f>CTE!P5</f>
        <v>1.9777143684210526E-5</v>
      </c>
    </row>
    <row r="31" spans="1:2" s="11" customFormat="1" x14ac:dyDescent="0.25">
      <c r="A31" s="61" t="s">
        <v>152</v>
      </c>
      <c r="B31" s="52">
        <f>CTE!P6</f>
        <v>2.1845439578947371E-5</v>
      </c>
    </row>
    <row r="32" spans="1:2" s="11" customFormat="1" x14ac:dyDescent="0.25">
      <c r="A32" s="61" t="s">
        <v>153</v>
      </c>
      <c r="B32" s="52">
        <f>CTE!P8</f>
        <v>6.052054E-5</v>
      </c>
    </row>
    <row r="33" spans="1:2" s="11" customFormat="1" x14ac:dyDescent="0.25">
      <c r="A33" s="61" t="s">
        <v>154</v>
      </c>
      <c r="B33" s="52">
        <f>CTE!P9</f>
        <v>6.0679988421052626E-5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8.515936736385632E-2</v>
      </c>
      <c r="D59" s="55">
        <v>1</v>
      </c>
    </row>
    <row r="60" spans="1:4" s="11" customFormat="1" x14ac:dyDescent="0.25">
      <c r="A60" s="54">
        <v>2</v>
      </c>
      <c r="B60" s="56">
        <f>'Shiftfunktion bestimmen'!N2</f>
        <v>4.9536107672626757E-5</v>
      </c>
      <c r="D60" s="55">
        <v>2</v>
      </c>
    </row>
    <row r="61" spans="1:4" s="11" customFormat="1" x14ac:dyDescent="0.25">
      <c r="A61" s="54">
        <v>3</v>
      </c>
      <c r="B61" s="56">
        <f>'Shiftfunktion bestimmen'!N3</f>
        <v>9.0218352304496702E-6</v>
      </c>
      <c r="D61" s="55">
        <v>3</v>
      </c>
    </row>
    <row r="62" spans="1:4" s="11" customFormat="1" x14ac:dyDescent="0.25">
      <c r="A62" s="54">
        <v>4</v>
      </c>
      <c r="B62" s="56">
        <f>'Shiftfunktion bestimmen'!N4</f>
        <v>-1.6602123496329666E-9</v>
      </c>
      <c r="D62" s="55">
        <v>4</v>
      </c>
    </row>
    <row r="63" spans="1:4" s="11" customFormat="1" x14ac:dyDescent="0.25">
      <c r="A63" s="54">
        <v>5</v>
      </c>
      <c r="B63" s="56">
        <f>'Shiftfunktion bestimmen'!N5</f>
        <v>-1.2850895963299752E-9</v>
      </c>
      <c r="D63" s="55">
        <v>5</v>
      </c>
    </row>
    <row r="64" spans="1:4" s="11" customFormat="1" x14ac:dyDescent="0.25">
      <c r="A64" s="54">
        <v>6</v>
      </c>
      <c r="B64" s="56">
        <f>'Shiftfunktion bestimmen'!N6</f>
        <v>5.5916920187982993E-12</v>
      </c>
      <c r="D64" s="55">
        <v>6</v>
      </c>
    </row>
    <row r="65" spans="1:5" s="11" customFormat="1" x14ac:dyDescent="0.25">
      <c r="A65" s="54">
        <v>7</v>
      </c>
      <c r="B65" s="56">
        <f>'Shiftfunktion bestimmen'!N7</f>
        <v>6.1805499518956488E-14</v>
      </c>
      <c r="D65" s="55">
        <v>7</v>
      </c>
    </row>
    <row r="66" spans="1:5" x14ac:dyDescent="0.25">
      <c r="A66" s="54">
        <v>8</v>
      </c>
      <c r="B66" s="56">
        <f>'Shiftfunktion bestimmen'!N8</f>
        <v>-3.9748648078367303E-16</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7.1305145397417183E-2</v>
      </c>
      <c r="D74" s="51">
        <v>1</v>
      </c>
      <c r="E74" s="56">
        <f>'Mastercurve bestimmen'!A18</f>
        <v>1.0000000000000001E-20</v>
      </c>
    </row>
    <row r="75" spans="1:5" x14ac:dyDescent="0.25">
      <c r="A75" s="50">
        <f>A74+1</f>
        <v>2</v>
      </c>
      <c r="B75" s="56">
        <f>'Mastercurve bestimmen'!C19</f>
        <v>4.2592751966225952E-2</v>
      </c>
      <c r="D75" s="51">
        <v>2</v>
      </c>
      <c r="E75" s="56">
        <f>'Mastercurve bestimmen'!A19</f>
        <v>3.9038946506297401E-14</v>
      </c>
    </row>
    <row r="76" spans="1:5" x14ac:dyDescent="0.25">
      <c r="A76" s="50">
        <f t="shared" ref="A76:A104" si="0">A75+1</f>
        <v>3</v>
      </c>
      <c r="B76" s="56">
        <f>'Mastercurve bestimmen'!C20</f>
        <v>1.8189961130651151E-2</v>
      </c>
      <c r="D76" s="51">
        <v>3</v>
      </c>
      <c r="E76" s="56">
        <f>'Mastercurve bestimmen'!A20</f>
        <v>4.3276437088188502E-13</v>
      </c>
    </row>
    <row r="77" spans="1:5" x14ac:dyDescent="0.25">
      <c r="A77" s="50">
        <f t="shared" si="0"/>
        <v>4</v>
      </c>
      <c r="B77" s="56">
        <f>'Mastercurve bestimmen'!C21</f>
        <v>2.8233725164638263E-2</v>
      </c>
      <c r="D77" s="51">
        <v>4</v>
      </c>
      <c r="E77" s="56">
        <f>'Mastercurve bestimmen'!A21</f>
        <v>4.7973886968128502E-12</v>
      </c>
    </row>
    <row r="78" spans="1:5" x14ac:dyDescent="0.25">
      <c r="A78" s="50">
        <f t="shared" si="0"/>
        <v>5</v>
      </c>
      <c r="B78" s="56">
        <f>'Mastercurve bestimmen'!C22</f>
        <v>2.9847581872853059E-2</v>
      </c>
      <c r="D78" s="51">
        <v>5</v>
      </c>
      <c r="E78" s="56">
        <f>'Mastercurve bestimmen'!A22</f>
        <v>5.31812225239524E-11</v>
      </c>
    </row>
    <row r="79" spans="1:5" x14ac:dyDescent="0.25">
      <c r="A79" s="50">
        <f t="shared" si="0"/>
        <v>6</v>
      </c>
      <c r="B79" s="56">
        <f>'Mastercurve bestimmen'!C23</f>
        <v>2.9885282741606206E-2</v>
      </c>
      <c r="D79" s="51">
        <v>6</v>
      </c>
      <c r="E79" s="56">
        <f>'Mastercurve bestimmen'!A23</f>
        <v>5.8953789402578301E-10</v>
      </c>
    </row>
    <row r="80" spans="1:5" x14ac:dyDescent="0.25">
      <c r="A80" s="50">
        <f t="shared" si="0"/>
        <v>7</v>
      </c>
      <c r="B80" s="56">
        <f>'Mastercurve bestimmen'!C24</f>
        <v>2.6241418279634488E-2</v>
      </c>
      <c r="D80" s="51">
        <v>7</v>
      </c>
      <c r="E80" s="56">
        <f>'Mastercurve bestimmen'!A24</f>
        <v>6.5352940755699598E-9</v>
      </c>
    </row>
    <row r="81" spans="1:5" x14ac:dyDescent="0.25">
      <c r="A81" s="50">
        <f t="shared" si="0"/>
        <v>8</v>
      </c>
      <c r="B81" s="56">
        <f>'Mastercurve bestimmen'!C25</f>
        <v>3.291720600179527E-2</v>
      </c>
      <c r="D81" s="51">
        <v>8</v>
      </c>
      <c r="E81" s="56">
        <f>'Mastercurve bestimmen'!A25</f>
        <v>7.2446689325643296E-8</v>
      </c>
    </row>
    <row r="82" spans="1:5" x14ac:dyDescent="0.25">
      <c r="A82" s="50">
        <f t="shared" si="0"/>
        <v>9</v>
      </c>
      <c r="B82" s="56">
        <f>'Mastercurve bestimmen'!C26</f>
        <v>4.0072808202412338E-2</v>
      </c>
      <c r="D82" s="51">
        <f>A82</f>
        <v>9</v>
      </c>
      <c r="E82" s="56">
        <f>'Mastercurve bestimmen'!A26</f>
        <v>8.03104303120212E-7</v>
      </c>
    </row>
    <row r="83" spans="1:5" x14ac:dyDescent="0.25">
      <c r="A83" s="50">
        <f t="shared" si="0"/>
        <v>10</v>
      </c>
      <c r="B83" s="56">
        <f>'Mastercurve bestimmen'!C27</f>
        <v>3.976591284009507E-2</v>
      </c>
      <c r="C83" s="11"/>
      <c r="D83" s="51">
        <f t="shared" ref="D83:D104" si="1">A83</f>
        <v>10</v>
      </c>
      <c r="E83" s="56">
        <f>'Mastercurve bestimmen'!A27</f>
        <v>8.9027742702096099E-6</v>
      </c>
    </row>
    <row r="84" spans="1:5" x14ac:dyDescent="0.25">
      <c r="A84" s="50">
        <f t="shared" si="0"/>
        <v>11</v>
      </c>
      <c r="B84" s="56">
        <f>'Mastercurve bestimmen'!C28</f>
        <v>2.9424353030171317E-2</v>
      </c>
      <c r="C84" s="11"/>
      <c r="D84" s="51">
        <f t="shared" si="1"/>
        <v>11</v>
      </c>
      <c r="E84" s="56">
        <f>'Mastercurve bestimmen'!A28</f>
        <v>9.86912775817142E-5</v>
      </c>
    </row>
    <row r="85" spans="1:5" x14ac:dyDescent="0.25">
      <c r="A85" s="50">
        <f t="shared" si="0"/>
        <v>12</v>
      </c>
      <c r="B85" s="56">
        <f>'Mastercurve bestimmen'!C29</f>
        <v>2.8571417110976157E-2</v>
      </c>
      <c r="C85" s="11"/>
      <c r="D85" s="51">
        <f t="shared" si="1"/>
        <v>12</v>
      </c>
      <c r="E85" s="56">
        <f>'Mastercurve bestimmen'!A29</f>
        <v>1.0940374286813801E-3</v>
      </c>
    </row>
    <row r="86" spans="1:5" x14ac:dyDescent="0.25">
      <c r="A86" s="50">
        <f t="shared" si="0"/>
        <v>13</v>
      </c>
      <c r="B86" s="56">
        <f>'Mastercurve bestimmen'!C30</f>
        <v>2.9426851905512412E-2</v>
      </c>
      <c r="C86" s="11"/>
      <c r="D86" s="51">
        <f t="shared" si="1"/>
        <v>13</v>
      </c>
      <c r="E86" s="56">
        <f>'Mastercurve bestimmen'!A30</f>
        <v>1.2127899493091E-2</v>
      </c>
    </row>
    <row r="87" spans="1:5" x14ac:dyDescent="0.25">
      <c r="A87" s="50">
        <f t="shared" si="0"/>
        <v>14</v>
      </c>
      <c r="B87" s="56">
        <f>'Mastercurve bestimmen'!C31</f>
        <v>2.8440803506547933E-2</v>
      </c>
      <c r="C87" s="11"/>
      <c r="D87" s="51">
        <f t="shared" si="1"/>
        <v>14</v>
      </c>
      <c r="E87" s="56">
        <f>'Mastercurve bestimmen'!A31</f>
        <v>0.13444324870292301</v>
      </c>
    </row>
    <row r="88" spans="1:5" x14ac:dyDescent="0.25">
      <c r="A88" s="50">
        <f t="shared" si="0"/>
        <v>15</v>
      </c>
      <c r="B88" s="56">
        <f>'Mastercurve bestimmen'!C32</f>
        <v>2.6740342475666101E-2</v>
      </c>
      <c r="C88" s="11"/>
      <c r="D88" s="51">
        <f t="shared" si="1"/>
        <v>15</v>
      </c>
      <c r="E88" s="56">
        <f>'Mastercurve bestimmen'!A32</f>
        <v>1.49036419143257</v>
      </c>
    </row>
    <row r="89" spans="1:5" x14ac:dyDescent="0.25">
      <c r="A89" s="50">
        <f t="shared" si="0"/>
        <v>16</v>
      </c>
      <c r="B89" s="56">
        <f>'Mastercurve bestimmen'!C33</f>
        <v>3.6384067061729697E-2</v>
      </c>
      <c r="C89" s="11"/>
      <c r="D89" s="51">
        <f t="shared" si="1"/>
        <v>16</v>
      </c>
      <c r="E89" s="56">
        <f>'Mastercurve bestimmen'!A33</f>
        <v>16.521360830937301</v>
      </c>
    </row>
    <row r="90" spans="1:5" x14ac:dyDescent="0.25">
      <c r="A90" s="50">
        <f t="shared" si="0"/>
        <v>17</v>
      </c>
      <c r="B90" s="56">
        <f>'Mastercurve bestimmen'!C34</f>
        <v>4.1964426446168525E-2</v>
      </c>
      <c r="C90" s="11"/>
      <c r="D90" s="51">
        <f t="shared" si="1"/>
        <v>17</v>
      </c>
      <c r="E90" s="56">
        <f>'Mastercurve bestimmen'!A34</f>
        <v>183.146753843879</v>
      </c>
    </row>
    <row r="91" spans="1:5" x14ac:dyDescent="0.25">
      <c r="A91" s="50">
        <f t="shared" si="0"/>
        <v>18</v>
      </c>
      <c r="B91" s="56">
        <f>'Mastercurve bestimmen'!C35</f>
        <v>4.8106928297009681E-2</v>
      </c>
      <c r="C91" s="11"/>
      <c r="D91" s="51">
        <f t="shared" si="1"/>
        <v>18</v>
      </c>
      <c r="E91" s="56">
        <f>'Mastercurve bestimmen'!A35</f>
        <v>2030.26456396616</v>
      </c>
    </row>
    <row r="92" spans="1:5" x14ac:dyDescent="0.25">
      <c r="A92" s="50">
        <f t="shared" si="0"/>
        <v>19</v>
      </c>
      <c r="B92" s="56">
        <f>'Mastercurve bestimmen'!C36</f>
        <v>4.6100301020196389E-2</v>
      </c>
      <c r="C92" s="11"/>
      <c r="D92" s="51">
        <f t="shared" si="1"/>
        <v>19</v>
      </c>
      <c r="E92" s="56">
        <f>'Mastercurve bestimmen'!A36</f>
        <v>22506.400540467101</v>
      </c>
    </row>
    <row r="93" spans="1:5" x14ac:dyDescent="0.25">
      <c r="A93" s="50">
        <f t="shared" si="0"/>
        <v>20</v>
      </c>
      <c r="B93" s="56">
        <f>'Mastercurve bestimmen'!C37</f>
        <v>6.1544571271861997E-2</v>
      </c>
      <c r="C93" s="11"/>
      <c r="D93" s="51">
        <f t="shared" si="1"/>
        <v>20</v>
      </c>
      <c r="E93" s="56">
        <f>'Mastercurve bestimmen'!A37</f>
        <v>249493.62476110301</v>
      </c>
    </row>
    <row r="94" spans="1:5" x14ac:dyDescent="0.25">
      <c r="A94" s="50">
        <f t="shared" si="0"/>
        <v>21</v>
      </c>
      <c r="B94" s="56">
        <f>'Mastercurve bestimmen'!C38</f>
        <v>2.0548359308290503E-2</v>
      </c>
      <c r="C94" s="11"/>
      <c r="D94" s="51">
        <f t="shared" si="1"/>
        <v>21</v>
      </c>
      <c r="E94" s="56">
        <f>'Mastercurve bestimmen'!A38</f>
        <v>2765749.6224023802</v>
      </c>
    </row>
    <row r="95" spans="1:5" x14ac:dyDescent="0.25">
      <c r="A95" s="50">
        <f t="shared" si="0"/>
        <v>22</v>
      </c>
      <c r="B95" s="56">
        <f>'Mastercurve bestimmen'!C39</f>
        <v>6.8598536150208847E-2</v>
      </c>
      <c r="C95" s="11"/>
      <c r="D95" s="51">
        <f t="shared" si="1"/>
        <v>22</v>
      </c>
      <c r="E95" s="56">
        <f>'Mastercurve bestimmen'!A39</f>
        <v>10000000</v>
      </c>
    </row>
    <row r="96" spans="1:5" x14ac:dyDescent="0.25">
      <c r="A96" s="50">
        <f t="shared" si="0"/>
        <v>23</v>
      </c>
      <c r="B96" s="56">
        <f>'Mastercurve bestimmen'!C40</f>
        <v>4.2430467850210242E-2</v>
      </c>
      <c r="C96" s="11"/>
      <c r="D96" s="51">
        <f t="shared" si="1"/>
        <v>23</v>
      </c>
      <c r="E96" s="56">
        <f>'Mastercurve bestimmen'!A40</f>
        <v>100000000</v>
      </c>
    </row>
    <row r="97" spans="1:5" x14ac:dyDescent="0.25">
      <c r="A97" s="50">
        <f t="shared" si="0"/>
        <v>24</v>
      </c>
      <c r="B97" s="56">
        <f>'Mastercurve bestimmen'!C41</f>
        <v>4.2564807754428377E-2</v>
      </c>
      <c r="C97" s="11"/>
      <c r="D97" s="51">
        <f t="shared" si="1"/>
        <v>24</v>
      </c>
      <c r="E97" s="56">
        <f>'Mastercurve bestimmen'!A41</f>
        <v>1000000000</v>
      </c>
    </row>
    <row r="98" spans="1:5" x14ac:dyDescent="0.25">
      <c r="A98" s="50">
        <f t="shared" si="0"/>
        <v>25</v>
      </c>
      <c r="B98" s="56">
        <f>'Mastercurve bestimmen'!C42</f>
        <v>1.7794430151868639E-2</v>
      </c>
      <c r="C98" s="11"/>
      <c r="D98" s="51">
        <f t="shared" si="1"/>
        <v>25</v>
      </c>
      <c r="E98" s="56">
        <f>'Mastercurve bestimmen'!A42</f>
        <v>10000000000</v>
      </c>
    </row>
    <row r="99" spans="1:5" x14ac:dyDescent="0.25">
      <c r="A99" s="50">
        <f t="shared" si="0"/>
        <v>26</v>
      </c>
      <c r="B99" s="56">
        <f>'Mastercurve bestimmen'!C43</f>
        <v>1.1846247724533283E-2</v>
      </c>
      <c r="C99" s="11"/>
      <c r="D99" s="51">
        <f t="shared" si="1"/>
        <v>26</v>
      </c>
      <c r="E99" s="56">
        <f>'Mastercurve bestimmen'!A43</f>
        <v>100000000000</v>
      </c>
    </row>
    <row r="100" spans="1:5" x14ac:dyDescent="0.25">
      <c r="A100" s="50">
        <f t="shared" si="0"/>
        <v>27</v>
      </c>
      <c r="B100" s="56">
        <f>'Mastercurve bestimmen'!C44</f>
        <v>4.239833197731321E-3</v>
      </c>
      <c r="C100" s="11"/>
      <c r="D100" s="51">
        <f t="shared" si="1"/>
        <v>27</v>
      </c>
      <c r="E100" s="56">
        <f>'Mastercurve bestimmen'!A44</f>
        <v>1000000000000</v>
      </c>
    </row>
    <row r="101" spans="1:5" x14ac:dyDescent="0.25">
      <c r="A101" s="50">
        <f t="shared" si="0"/>
        <v>28</v>
      </c>
      <c r="B101" s="56">
        <f>'Mastercurve bestimmen'!C45</f>
        <v>3.1413173103933909E-3</v>
      </c>
      <c r="C101" s="11"/>
      <c r="D101" s="51">
        <f t="shared" si="1"/>
        <v>28</v>
      </c>
      <c r="E101" s="56">
        <f>'Mastercurve bestimmen'!A45</f>
        <v>10000000000000</v>
      </c>
    </row>
    <row r="102" spans="1:5" x14ac:dyDescent="0.25">
      <c r="A102" s="50">
        <f t="shared" si="0"/>
        <v>29</v>
      </c>
      <c r="B102" s="56">
        <f>'Mastercurve bestimmen'!C46</f>
        <v>2.257189619316161E-3</v>
      </c>
      <c r="C102" s="11"/>
      <c r="D102" s="51">
        <f t="shared" si="1"/>
        <v>29</v>
      </c>
      <c r="E102" s="56">
        <f>'Mastercurve bestimmen'!A46</f>
        <v>100000000000000</v>
      </c>
    </row>
    <row r="103" spans="1:5" x14ac:dyDescent="0.25">
      <c r="A103" s="50">
        <f t="shared" si="0"/>
        <v>30</v>
      </c>
      <c r="B103" s="56">
        <f>'Mastercurve bestimmen'!C47</f>
        <v>3.6224207496198294E-4</v>
      </c>
      <c r="C103" s="11"/>
      <c r="D103" s="51">
        <f t="shared" si="1"/>
        <v>30</v>
      </c>
      <c r="E103" s="56">
        <f>'Mastercurve bestimmen'!A47</f>
        <v>1000000000000000</v>
      </c>
    </row>
    <row r="104" spans="1:5" x14ac:dyDescent="0.25">
      <c r="A104" s="50">
        <f t="shared" si="0"/>
        <v>31</v>
      </c>
      <c r="B104" s="56">
        <f>'Mastercurve bestimmen'!C48</f>
        <v>0</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27691.328000000001</v>
      </c>
    </row>
    <row r="108" spans="1:5" s="11" customFormat="1" x14ac:dyDescent="0.25">
      <c r="A108" s="61" t="str">
        <f>STUTT!B3</f>
        <v>mp,PRXY,MatID,</v>
      </c>
      <c r="B108" s="52">
        <f>STUTT!C3</f>
        <v>0.35195679000000002</v>
      </c>
    </row>
    <row r="109" spans="1:5" s="11" customFormat="1" x14ac:dyDescent="0.25">
      <c r="A109" s="61" t="str">
        <f>STUTT!B4</f>
        <v>mp,ey,MatID,</v>
      </c>
      <c r="B109" s="52">
        <f>STUTT!C4</f>
        <v>27960.883999999998</v>
      </c>
    </row>
    <row r="110" spans="1:5" s="11" customFormat="1" x14ac:dyDescent="0.25">
      <c r="A110" s="61" t="str">
        <f>STUTT!B5</f>
        <v>mp,PRYZ,MatID,</v>
      </c>
      <c r="B110" s="52">
        <f>STUTT!C5</f>
        <v>0.35541003999999998</v>
      </c>
    </row>
    <row r="111" spans="1:5" s="11" customFormat="1" x14ac:dyDescent="0.25">
      <c r="A111" s="61" t="str">
        <f>STUTT!B6</f>
        <v>mp,ez,MatID,</v>
      </c>
      <c r="B111" s="52">
        <f>STUTT!C6</f>
        <v>27691.328000000001</v>
      </c>
    </row>
    <row r="112" spans="1:5" s="11" customFormat="1" x14ac:dyDescent="0.25">
      <c r="A112" s="61" t="str">
        <f>STUTT!B7</f>
        <v>mp,PRXZ,MatID,</v>
      </c>
      <c r="B112" s="52">
        <f>STUTT!C7</f>
        <v>0.35911014000000002</v>
      </c>
    </row>
    <row r="113" spans="1:4" s="11" customFormat="1" x14ac:dyDescent="0.25">
      <c r="A113" s="61" t="str">
        <f>STUTT!B8</f>
        <v>MP,GXZ,</v>
      </c>
      <c r="B113" s="52" t="str">
        <f>STUTT!C8</f>
        <v>MatID,</v>
      </c>
      <c r="C113" s="103">
        <f>STUTT!D8</f>
        <v>10187.300999999999</v>
      </c>
      <c r="D113" s="103"/>
    </row>
    <row r="114" spans="1:4" s="11" customFormat="1" x14ac:dyDescent="0.25">
      <c r="A114" s="61" t="str">
        <f>STUTT!B9</f>
        <v>MP,GXY,</v>
      </c>
      <c r="B114" s="52" t="str">
        <f>STUTT!C9</f>
        <v>MatID,</v>
      </c>
      <c r="C114" s="103">
        <f>STUTT!D9</f>
        <v>10360.254000000001</v>
      </c>
      <c r="D114" s="103"/>
    </row>
    <row r="115" spans="1:4" x14ac:dyDescent="0.25">
      <c r="A115" s="61" t="str">
        <f>STUTT!B10</f>
        <v>MP,GYZ,</v>
      </c>
      <c r="B115" s="52" t="str">
        <f>STUTT!C10</f>
        <v>MatID,</v>
      </c>
      <c r="C115" s="103">
        <f>STUTT!D10</f>
        <v>10360.254000000001</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1.0879999999999999E-7</v>
      </c>
      <c r="C3" s="3">
        <v>3.8299999999999999E-8</v>
      </c>
      <c r="D3" s="3">
        <v>1.0879999999999999E-7</v>
      </c>
      <c r="E3" s="3">
        <v>-1.0000000000000001E-5</v>
      </c>
      <c r="F3" s="3">
        <v>-1.0000000000000001E-5</v>
      </c>
      <c r="G3" s="3">
        <v>-1.0000000000000001E-5</v>
      </c>
      <c r="H3" s="3">
        <v>-3.3571118E-6</v>
      </c>
      <c r="I3" s="3">
        <v>-9.3909650000000005E-7</v>
      </c>
      <c r="J3" s="3">
        <v>-3.3571118E-6</v>
      </c>
      <c r="L3" s="48">
        <f>ABS(H3/(-0.5)/$L$1)</f>
        <v>1.9183496000000003E-5</v>
      </c>
      <c r="R3">
        <f>ABS(I3/(-0.5)/$R$1)</f>
        <v>1.9770452631578948E-5</v>
      </c>
    </row>
    <row r="4" spans="1:18" x14ac:dyDescent="0.25">
      <c r="A4">
        <v>-39</v>
      </c>
      <c r="B4" s="3">
        <v>-1.0879999999999999E-7</v>
      </c>
      <c r="C4" s="3">
        <v>-3.8229999999999999E-8</v>
      </c>
      <c r="D4" s="3">
        <v>-1.0879999999999999E-7</v>
      </c>
      <c r="E4" s="3">
        <v>1.0000000000000001E-5</v>
      </c>
      <c r="F4" s="3">
        <v>1.0000000000000001E-5</v>
      </c>
      <c r="G4" s="3">
        <v>1.0000000000000001E-5</v>
      </c>
      <c r="H4" s="3">
        <v>3.3570912999999998E-6</v>
      </c>
      <c r="I4" s="3">
        <v>9.3910432999999997E-7</v>
      </c>
      <c r="J4" s="3">
        <v>3.3570912999999998E-6</v>
      </c>
      <c r="L4" s="48">
        <f t="shared" ref="L4:L14" si="0">ABS(H4/(-0.5)/$L$1)</f>
        <v>1.9183378857142858E-5</v>
      </c>
      <c r="N4" s="39" t="s">
        <v>27</v>
      </c>
      <c r="O4" s="39" t="s">
        <v>131</v>
      </c>
      <c r="P4" s="86" t="s">
        <v>132</v>
      </c>
      <c r="R4" s="11">
        <f t="shared" ref="R4:R14" si="1">ABS(I4/(-0.5)/$R$1)</f>
        <v>1.9770617473684209E-5</v>
      </c>
    </row>
    <row r="5" spans="1:18" x14ac:dyDescent="0.25">
      <c r="A5">
        <v>0</v>
      </c>
      <c r="B5" s="3">
        <v>1.1000000000000001E-7</v>
      </c>
      <c r="C5" s="3">
        <v>3.5479999999999997E-8</v>
      </c>
      <c r="D5" s="3">
        <v>1.1000000000000001E-7</v>
      </c>
      <c r="E5" s="3">
        <v>-1.0000000000000001E-5</v>
      </c>
      <c r="F5" s="3">
        <v>-1.0000000000000001E-5</v>
      </c>
      <c r="G5" s="3">
        <v>-1.0000000000000001E-5</v>
      </c>
      <c r="H5" s="3">
        <v>-3.3562790999999999E-6</v>
      </c>
      <c r="I5" s="3">
        <v>-9.3941038999999995E-7</v>
      </c>
      <c r="J5" s="3">
        <v>-3.3562790999999999E-6</v>
      </c>
      <c r="L5" s="48">
        <f t="shared" si="0"/>
        <v>1.9178737714285714E-5</v>
      </c>
      <c r="M5" s="48"/>
      <c r="N5" s="10">
        <f>(INDEX(A:A,ROW(A2)*2+1)+INDEX(A:A,ROW(A2)*2+2))/2</f>
        <v>0.5</v>
      </c>
      <c r="O5" s="90">
        <f>(INDEX(L:L,ROW(L2)*2+1)+INDEX(L:L,ROW(L2)*2+2))/2</f>
        <v>1.9178677428571428E-5</v>
      </c>
      <c r="P5" s="90">
        <f>(INDEX(R:R,ROW(M2)*2+1)+INDEX(R:R,ROW(R2)*2+2))/2</f>
        <v>1.9777143684210526E-5</v>
      </c>
      <c r="R5" s="11">
        <f t="shared" si="1"/>
        <v>1.9777060842105263E-5</v>
      </c>
    </row>
    <row r="6" spans="1:18" x14ac:dyDescent="0.25">
      <c r="A6">
        <v>1</v>
      </c>
      <c r="B6" s="3">
        <v>-1.1000000000000001E-7</v>
      </c>
      <c r="C6" s="3">
        <v>-3.5409999999999997E-8</v>
      </c>
      <c r="D6" s="3">
        <v>-1.1000000000000001E-7</v>
      </c>
      <c r="E6" s="3">
        <v>1.0000000000000001E-5</v>
      </c>
      <c r="F6" s="3">
        <v>1.0000000000000001E-5</v>
      </c>
      <c r="G6" s="3">
        <v>1.0000000000000001E-5</v>
      </c>
      <c r="H6" s="3">
        <v>3.3562580000000001E-6</v>
      </c>
      <c r="I6" s="3">
        <v>9.3941826000000002E-7</v>
      </c>
      <c r="J6" s="3">
        <v>3.3562580000000001E-6</v>
      </c>
      <c r="L6" s="48">
        <f t="shared" si="0"/>
        <v>1.9178617142857144E-5</v>
      </c>
      <c r="M6" s="49"/>
      <c r="N6" s="10">
        <f>(INDEX(A:A,ROW(A3)*2+1)+INDEX(A:A,ROW(A3)*2+2))/2</f>
        <v>151.5</v>
      </c>
      <c r="O6" s="90">
        <f t="shared" ref="O6:O7" si="2">(INDEX(L:L,ROW(L3)*2+1)+INDEX(L:L,ROW(L3)*2+2))/2</f>
        <v>2.1154238571428571E-5</v>
      </c>
      <c r="P6" s="90">
        <f t="shared" ref="P6:P9" si="3">(INDEX(R:R,ROW(M3)*2+1)+INDEX(R:R,ROW(R3)*2+2))/2</f>
        <v>2.1845439578947371E-5</v>
      </c>
      <c r="R6" s="11">
        <f t="shared" si="1"/>
        <v>1.9777226526315789E-5</v>
      </c>
    </row>
    <row r="7" spans="1:18" x14ac:dyDescent="0.25">
      <c r="A7">
        <v>151</v>
      </c>
      <c r="B7" s="3">
        <v>1.268E-7</v>
      </c>
      <c r="C7" s="3">
        <v>1.7590000000000001E-7</v>
      </c>
      <c r="D7" s="3">
        <v>1.268E-7</v>
      </c>
      <c r="E7" s="3">
        <v>-1.0689999999999999E-5</v>
      </c>
      <c r="F7" s="3">
        <v>-1.0689999999999999E-5</v>
      </c>
      <c r="G7" s="3">
        <v>-1.0689999999999999E-5</v>
      </c>
      <c r="H7" s="3">
        <v>-3.5274511000000002E-6</v>
      </c>
      <c r="I7" s="3">
        <v>-9.8912186000000008E-7</v>
      </c>
      <c r="J7" s="3">
        <v>-3.5274511000000002E-6</v>
      </c>
      <c r="L7" s="48">
        <f t="shared" si="0"/>
        <v>2.015686342857143E-5</v>
      </c>
      <c r="M7" s="48"/>
      <c r="N7" s="10">
        <f>(INDEX(A:A,ROW(A4)*2+1)+INDEX(A:A,ROW(A4)*2+2))/2</f>
        <v>156.5</v>
      </c>
      <c r="O7" s="90">
        <f t="shared" si="2"/>
        <v>4.1120605142857142E-5</v>
      </c>
      <c r="P7" s="90">
        <f t="shared" si="3"/>
        <v>4.226697684210527E-5</v>
      </c>
      <c r="R7" s="11">
        <f t="shared" si="1"/>
        <v>2.082361810526316E-5</v>
      </c>
    </row>
    <row r="8" spans="1:18" x14ac:dyDescent="0.25">
      <c r="A8">
        <v>152</v>
      </c>
      <c r="B8" s="3">
        <v>-1.515E-7</v>
      </c>
      <c r="C8" s="3">
        <v>-4.7759999999999999E-7</v>
      </c>
      <c r="D8" s="3">
        <v>-1.515E-7</v>
      </c>
      <c r="E8" s="3">
        <v>1.206E-5</v>
      </c>
      <c r="F8" s="3">
        <v>1.206E-5</v>
      </c>
      <c r="G8" s="3">
        <v>1.206E-5</v>
      </c>
      <c r="H8" s="3">
        <v>3.8765323999999999E-6</v>
      </c>
      <c r="I8" s="3">
        <v>1.0861949E-6</v>
      </c>
      <c r="J8" s="3">
        <v>3.8765323999999999E-6</v>
      </c>
      <c r="L8" s="48">
        <f t="shared" si="0"/>
        <v>2.2151613714285715E-5</v>
      </c>
      <c r="M8" s="49"/>
      <c r="N8" s="10">
        <f>(INDEX(A:A,ROW(A5)*2+1)+INDEX(A:A,ROW(A5)*2+2))/2</f>
        <v>161.5</v>
      </c>
      <c r="O8" s="90">
        <f t="shared" ref="O8:O9" si="4">(INDEX(L:L,ROW(L5)*2+1)+INDEX(L:L,ROW(L5)*2+2))/2</f>
        <v>5.9200051428571433E-5</v>
      </c>
      <c r="P8" s="90">
        <f t="shared" si="3"/>
        <v>6.052054E-5</v>
      </c>
      <c r="R8" s="11">
        <f t="shared" si="1"/>
        <v>2.2867261052631578E-5</v>
      </c>
    </row>
    <row r="9" spans="1:18" x14ac:dyDescent="0.25">
      <c r="A9">
        <v>156</v>
      </c>
      <c r="B9" s="3">
        <v>3.7329999999999999E-7</v>
      </c>
      <c r="C9" s="3">
        <v>3.1930000000000002E-6</v>
      </c>
      <c r="D9" s="3">
        <v>3.7329999999999999E-7</v>
      </c>
      <c r="E9" s="3">
        <v>-2.444E-5</v>
      </c>
      <c r="F9" s="3">
        <v>-2.444E-5</v>
      </c>
      <c r="G9" s="3">
        <v>-2.444E-5</v>
      </c>
      <c r="H9" s="3">
        <v>-7.0206212999999999E-6</v>
      </c>
      <c r="I9" s="3">
        <v>-1.9594163000000001E-6</v>
      </c>
      <c r="J9" s="3">
        <v>-7.0206212999999999E-6</v>
      </c>
      <c r="L9" s="48">
        <f t="shared" si="0"/>
        <v>4.0117836000000003E-5</v>
      </c>
      <c r="M9" s="48"/>
      <c r="N9" s="10">
        <f>(INDEX(A:A,ROW(A6)*2+1)+INDEX(A:A,ROW(A6)*2+2))/2</f>
        <v>180.5</v>
      </c>
      <c r="O9" s="90">
        <f t="shared" si="4"/>
        <v>5.9157857142857142E-5</v>
      </c>
      <c r="P9" s="90">
        <f t="shared" si="3"/>
        <v>6.0679988421052626E-5</v>
      </c>
      <c r="R9" s="11">
        <f t="shared" si="1"/>
        <v>4.1250869473684213E-5</v>
      </c>
    </row>
    <row r="10" spans="1:18" x14ac:dyDescent="0.25">
      <c r="A10">
        <v>157</v>
      </c>
      <c r="B10" s="3">
        <v>-3.967E-7</v>
      </c>
      <c r="C10" s="3">
        <v>-3.4979999999999998E-6</v>
      </c>
      <c r="D10" s="3">
        <v>-3.967E-7</v>
      </c>
      <c r="E10" s="3">
        <v>2.5809999999999999E-5</v>
      </c>
      <c r="F10" s="3">
        <v>2.5809999999999999E-5</v>
      </c>
      <c r="G10" s="3">
        <v>2.5809999999999999E-5</v>
      </c>
      <c r="H10" s="3">
        <v>7.3715904999999997E-6</v>
      </c>
      <c r="I10" s="3">
        <v>2.0559465000000002E-6</v>
      </c>
      <c r="J10" s="3">
        <v>7.3715904999999997E-6</v>
      </c>
      <c r="L10" s="48">
        <f t="shared" si="0"/>
        <v>4.2123374285714289E-5</v>
      </c>
      <c r="M10" s="49"/>
      <c r="N10" s="10"/>
      <c r="O10" s="3"/>
      <c r="R10" s="11">
        <f t="shared" si="1"/>
        <v>4.3283084210526321E-5</v>
      </c>
    </row>
    <row r="11" spans="1:18" x14ac:dyDescent="0.25">
      <c r="A11">
        <v>161</v>
      </c>
      <c r="B11" s="3">
        <v>5.7840000000000004E-7</v>
      </c>
      <c r="C11" s="3">
        <v>6.117E-6</v>
      </c>
      <c r="D11" s="3">
        <v>5.7840000000000004E-7</v>
      </c>
      <c r="E11" s="3">
        <v>-3.7499999999999997E-5</v>
      </c>
      <c r="F11" s="3">
        <v>-3.7499999999999997E-5</v>
      </c>
      <c r="G11" s="3">
        <v>-3.7499999999999997E-5</v>
      </c>
      <c r="H11" s="3">
        <v>-1.0360211E-5</v>
      </c>
      <c r="I11" s="3">
        <v>-2.8745259000000001E-6</v>
      </c>
      <c r="J11" s="3">
        <v>-1.0360211E-5</v>
      </c>
      <c r="L11" s="48">
        <f t="shared" si="0"/>
        <v>5.9201205714285719E-5</v>
      </c>
      <c r="M11" s="48"/>
      <c r="N11" s="10"/>
      <c r="O11" s="3"/>
      <c r="R11" s="11">
        <f t="shared" si="1"/>
        <v>6.0516334736842108E-5</v>
      </c>
    </row>
    <row r="12" spans="1:18" x14ac:dyDescent="0.25">
      <c r="A12">
        <v>162</v>
      </c>
      <c r="B12" s="3">
        <v>-5.7950000000000002E-7</v>
      </c>
      <c r="C12" s="3">
        <v>-6.1129999999999997E-6</v>
      </c>
      <c r="D12" s="3">
        <v>-5.7950000000000002E-7</v>
      </c>
      <c r="E12" s="3">
        <v>3.7499999999999997E-5</v>
      </c>
      <c r="F12" s="3">
        <v>3.7499999999999997E-5</v>
      </c>
      <c r="G12" s="3">
        <v>3.7499999999999997E-5</v>
      </c>
      <c r="H12" s="3">
        <v>1.0359806999999999E-5</v>
      </c>
      <c r="I12" s="3">
        <v>2.8749254E-6</v>
      </c>
      <c r="J12" s="3">
        <v>1.0359806999999999E-5</v>
      </c>
      <c r="L12" s="48">
        <f t="shared" si="0"/>
        <v>5.9198897142857147E-5</v>
      </c>
      <c r="M12" s="49"/>
      <c r="N12" s="10"/>
      <c r="O12" s="3"/>
      <c r="R12" s="11">
        <f t="shared" si="1"/>
        <v>6.0524745263157893E-5</v>
      </c>
    </row>
    <row r="13" spans="1:18" x14ac:dyDescent="0.25">
      <c r="A13">
        <v>180</v>
      </c>
      <c r="B13" s="3">
        <v>6.0019999999999999E-7</v>
      </c>
      <c r="C13" s="3">
        <v>6.0449999999999997E-6</v>
      </c>
      <c r="D13" s="3">
        <v>6.0019999999999999E-7</v>
      </c>
      <c r="E13" s="3">
        <v>-3.7499999999999997E-5</v>
      </c>
      <c r="F13" s="3">
        <v>-3.7499999999999997E-5</v>
      </c>
      <c r="G13" s="3">
        <v>-3.7499999999999997E-5</v>
      </c>
      <c r="H13" s="3">
        <v>-1.035282E-5</v>
      </c>
      <c r="I13" s="3">
        <v>-2.8820989000000001E-6</v>
      </c>
      <c r="J13" s="3">
        <v>-1.035282E-5</v>
      </c>
      <c r="L13" s="48">
        <f t="shared" si="0"/>
        <v>5.9158971428571432E-5</v>
      </c>
      <c r="M13" s="48"/>
      <c r="N13" s="10"/>
      <c r="O13" s="3"/>
      <c r="R13" s="11">
        <f t="shared" si="1"/>
        <v>6.0675766315789475E-5</v>
      </c>
    </row>
    <row r="14" spans="1:18" x14ac:dyDescent="0.25">
      <c r="A14" s="11">
        <v>181</v>
      </c>
      <c r="B14" s="3">
        <v>-6.0129999999999996E-7</v>
      </c>
      <c r="C14" s="3">
        <v>-6.0410000000000003E-6</v>
      </c>
      <c r="D14" s="3">
        <v>-6.0129999999999996E-7</v>
      </c>
      <c r="E14" s="3">
        <v>3.7499999999999997E-5</v>
      </c>
      <c r="F14" s="3">
        <v>3.7499999999999997E-5</v>
      </c>
      <c r="G14" s="3">
        <v>3.7499999999999997E-5</v>
      </c>
      <c r="H14" s="3">
        <v>1.035243E-5</v>
      </c>
      <c r="I14" s="3">
        <v>2.8824999999999999E-6</v>
      </c>
      <c r="J14" s="3">
        <v>1.035243E-5</v>
      </c>
      <c r="L14" s="48">
        <f t="shared" si="0"/>
        <v>5.9156742857142859E-5</v>
      </c>
      <c r="M14" s="49"/>
      <c r="N14" s="10"/>
      <c r="O14" s="3"/>
      <c r="R14" s="11">
        <f t="shared" si="1"/>
        <v>6.0684210526315785E-5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27691.328000000001</v>
      </c>
    </row>
    <row r="3" spans="2:4" x14ac:dyDescent="0.25">
      <c r="B3" t="s">
        <v>119</v>
      </c>
      <c r="C3" s="3">
        <v>0.35195679000000002</v>
      </c>
    </row>
    <row r="4" spans="2:4" x14ac:dyDescent="0.25">
      <c r="B4" t="s">
        <v>120</v>
      </c>
      <c r="C4" s="3">
        <v>27960.883999999998</v>
      </c>
    </row>
    <row r="5" spans="2:4" x14ac:dyDescent="0.25">
      <c r="B5" t="s">
        <v>121</v>
      </c>
      <c r="C5" s="3">
        <v>0.35541003999999998</v>
      </c>
    </row>
    <row r="6" spans="2:4" x14ac:dyDescent="0.25">
      <c r="B6" t="s">
        <v>122</v>
      </c>
      <c r="C6" s="3">
        <v>27691.328000000001</v>
      </c>
    </row>
    <row r="7" spans="2:4" x14ac:dyDescent="0.25">
      <c r="B7" t="s">
        <v>123</v>
      </c>
      <c r="C7" s="3">
        <v>0.35911014000000002</v>
      </c>
    </row>
    <row r="8" spans="2:4" x14ac:dyDescent="0.25">
      <c r="B8" t="s">
        <v>124</v>
      </c>
      <c r="C8" t="s">
        <v>125</v>
      </c>
      <c r="D8" s="3">
        <v>10187.300999999999</v>
      </c>
    </row>
    <row r="9" spans="2:4" x14ac:dyDescent="0.25">
      <c r="B9" t="s">
        <v>126</v>
      </c>
      <c r="C9" t="s">
        <v>125</v>
      </c>
      <c r="D9" s="3">
        <v>10360.254000000001</v>
      </c>
    </row>
    <row r="10" spans="2:4" x14ac:dyDescent="0.25">
      <c r="B10" t="s">
        <v>127</v>
      </c>
      <c r="C10" t="s">
        <v>125</v>
      </c>
      <c r="D10" s="3">
        <v>10360.254000000001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X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-3.5999508571428571E-4</v>
      </c>
      <c r="C3" s="2">
        <f>IF('Modell einstellen'!$B$2="Ja",creep_res0!O3,creep_res0!C3)</f>
        <v>-3.6499157142857151E-4</v>
      </c>
      <c r="D3" s="2">
        <f>IF('Modell einstellen'!$B$2="Ja",creep_res25!O3,creep_res25!C3)</f>
        <v>-3.7633954285714287E-4</v>
      </c>
      <c r="E3" s="2">
        <f>IF('Modell einstellen'!$B$2="Ja",creep_res50!O3,creep_res50!C3)</f>
        <v>-3.8382265714285714E-4</v>
      </c>
      <c r="F3" s="2">
        <f>IF('Modell einstellen'!$B$2="Ja",creep_res80!O3,creep_res80!C3)</f>
        <v>-3.9366482857142865E-4</v>
      </c>
      <c r="G3" s="2">
        <f>IF('Modell einstellen'!$B$2="Ja",creep_res125!O3,creep_res125!C3)</f>
        <v>-4.2099691428571434E-4</v>
      </c>
      <c r="H3" s="2">
        <f>IF('Modell einstellen'!$B$2="Ja",creep_res160!O3,creep_res160!C3)</f>
        <v>-4.5570065714285718E-4</v>
      </c>
      <c r="M3" s="9">
        <v>-10</v>
      </c>
      <c r="N3" s="2">
        <f t="shared" ref="N3:N33" si="4">A3</f>
        <v>1.0000000000000001E-15</v>
      </c>
      <c r="O3" s="2">
        <f t="shared" ref="O3:O33" si="5">$M$3/B3</f>
        <v>27778.156971666598</v>
      </c>
      <c r="P3" s="2">
        <f t="shared" ref="P3:P33" si="6">$M$3/C3</f>
        <v>27397.892945473101</v>
      </c>
      <c r="Q3" s="2">
        <f t="shared" ref="Q3:Q33" si="7">$M$3/D3</f>
        <v>26571.749341248375</v>
      </c>
      <c r="R3" s="2">
        <f t="shared" ref="R3:R33" si="8">$M$3/E3</f>
        <v>26053.699055806504</v>
      </c>
      <c r="S3" s="2">
        <f t="shared" ref="S3:S33" si="9">$M$3/F3</f>
        <v>25402.320131795943</v>
      </c>
      <c r="T3" s="2">
        <f t="shared" ref="T3:T33" si="10">$M$3/G3</f>
        <v>23753.143219509173</v>
      </c>
      <c r="U3" s="2">
        <f t="shared" ref="U3:U33" si="11">$M$3/H3</f>
        <v>21944.22993088884</v>
      </c>
      <c r="Z3" s="2">
        <v>1.0000000000000001E-15</v>
      </c>
      <c r="AA3" s="3">
        <f>IF('Modell einstellen'!$B$2="Ja",'creep_res-40'!P3,'creep_res-40'!L3)</f>
        <v>0.35918667302442542</v>
      </c>
      <c r="AB3" s="2">
        <f>IF('Modell einstellen'!$B$2="Ja",creep_res0!P3,creep_res0!L3)</f>
        <v>0.36097437866471271</v>
      </c>
      <c r="AC3" s="2">
        <f>IF('Modell einstellen'!$B$2="Ja",creep_res25!P3,creep_res25!L3)</f>
        <v>0.36545239845719868</v>
      </c>
      <c r="AD3" s="2">
        <f>IF('Modell einstellen'!$B$2="Ja",creep_res50!P3,creep_res50!L3)</f>
        <v>0.36817847349590693</v>
      </c>
      <c r="AE3" s="2">
        <f>IF('Modell einstellen'!$B$2="Ja",creep_res80!P3,creep_res80!L3)</f>
        <v>0.3716299195494005</v>
      </c>
      <c r="AF3" s="2">
        <f>IF('Modell einstellen'!$B$2="Ja",creep_res125!P3,creep_res125!L3)</f>
        <v>0.38085536018859178</v>
      </c>
      <c r="AG3" s="2">
        <f>IF('Modell einstellen'!$B$2="Ja",creep_res160!P3,creep_res160!L3)</f>
        <v>0.39151321954894824</v>
      </c>
      <c r="AL3" s="2">
        <f t="shared" ref="AL3:AL33" si="12">Z3</f>
        <v>1.0000000000000001E-15</v>
      </c>
      <c r="AM3" s="2">
        <f t="shared" ref="AM3:AM33" si="13">O3/(2*(1+AA3))</f>
        <v>10218.668827091791</v>
      </c>
      <c r="AN3" s="2">
        <f t="shared" ref="AN3:AN33" si="14">P3/(2*(1+AB3))</f>
        <v>10065.543251576082</v>
      </c>
      <c r="AO3" s="2">
        <f t="shared" ref="AO3:AO33" si="15">Q3/(2*(1+AC3))</f>
        <v>9730.0167223959397</v>
      </c>
      <c r="AP3" s="2">
        <f t="shared" ref="AP3:AP33" si="16">R3/(2*(1+AD3))</f>
        <v>9521.3086452220268</v>
      </c>
      <c r="AQ3" s="2">
        <f t="shared" ref="AQ3:AQ33" si="17">S3/(2*(1+AE3))</f>
        <v>9259.9030429946288</v>
      </c>
      <c r="AR3" s="2">
        <f t="shared" ref="AR3:AR33" si="18">T3/(2*(1+AF3))</f>
        <v>8600.88026028485</v>
      </c>
      <c r="AS3" s="2">
        <f t="shared" ref="AS3:AS33" si="19">U3/(2*(1+AG3))</f>
        <v>7885.0238799750496</v>
      </c>
      <c r="AX3" s="2">
        <f>AL3</f>
        <v>1.0000000000000001E-15</v>
      </c>
      <c r="AY3" s="37">
        <f t="shared" ref="AY3:AY33" si="20">O3/(3*(1-(2*AA3)))</f>
        <v>32878.229128228493</v>
      </c>
      <c r="AZ3" s="37">
        <f t="shared" ref="AZ3:AZ33" si="21">P3/(3*(1-(2*AB3)))</f>
        <v>32845.136364466423</v>
      </c>
      <c r="BA3" s="37">
        <f t="shared" ref="BA3:BA33" si="22">Q3/(3*(1-(2*AC3)))</f>
        <v>32914.930027937065</v>
      </c>
      <c r="BB3" s="37">
        <f t="shared" ref="BB3:BB33" si="23">R3/(3*(1-(2*AD3)))</f>
        <v>32940.622758096513</v>
      </c>
      <c r="BC3" s="37">
        <f t="shared" ref="BC3:BC33" si="24">S3/(3*(1-(2*AE3)))</f>
        <v>32980.582446509005</v>
      </c>
      <c r="BD3" s="37">
        <f t="shared" ref="BD3:BD33" si="25">T3/(3*(1-(2*AF3)))</f>
        <v>33227.321090717371</v>
      </c>
      <c r="BE3" s="37">
        <f t="shared" ref="BE3:BE33" si="26">U3/(3*(1-(2*AG3)))</f>
        <v>33712.602032634866</v>
      </c>
    </row>
    <row r="4" spans="1:308" x14ac:dyDescent="0.25">
      <c r="A4" s="2">
        <f>'creep_res-40'!A4</f>
        <v>1E-14</v>
      </c>
      <c r="B4" s="3">
        <f>'creep_res-40'!O4</f>
        <v>-3.6278599999999998E-4</v>
      </c>
      <c r="C4" s="2">
        <f>IF('Modell einstellen'!$B$2="Ja",creep_res0!O4,creep_res0!C4)</f>
        <v>-3.7702474285714288E-4</v>
      </c>
      <c r="D4" s="2">
        <f>IF('Modell einstellen'!$B$2="Ja",creep_res25!O4,creep_res25!C4)</f>
        <v>-3.8540391428571434E-4</v>
      </c>
      <c r="E4" s="2">
        <f>IF('Modell einstellen'!$B$2="Ja",creep_res50!O4,creep_res50!C4)</f>
        <v>-3.9338445714285714E-4</v>
      </c>
      <c r="F4" s="2">
        <f>IF('Modell einstellen'!$B$2="Ja",creep_res80!O4,creep_res80!C4)</f>
        <v>-4.0491805714285717E-4</v>
      </c>
      <c r="G4" s="2">
        <f>IF('Modell einstellen'!$B$2="Ja",creep_res125!O4,creep_res125!C4)</f>
        <v>-4.3679314285714293E-4</v>
      </c>
      <c r="H4" s="2">
        <f>IF('Modell einstellen'!$B$2="Ja",creep_res160!O4,creep_res160!C4)</f>
        <v>-4.7502377142857145E-4</v>
      </c>
      <c r="M4" s="9">
        <f t="shared" ref="M4:M31" si="27">M3</f>
        <v>-10</v>
      </c>
      <c r="N4" s="2">
        <f t="shared" si="4"/>
        <v>1E-14</v>
      </c>
      <c r="O4" s="2">
        <f t="shared" si="5"/>
        <v>27564.45948851389</v>
      </c>
      <c r="P4" s="2">
        <f t="shared" si="6"/>
        <v>26523.458180008798</v>
      </c>
      <c r="Q4" s="2">
        <f t="shared" si="7"/>
        <v>25946.804454577039</v>
      </c>
      <c r="R4" s="2">
        <f t="shared" si="8"/>
        <v>25420.424773845374</v>
      </c>
      <c r="S4" s="2">
        <f t="shared" si="9"/>
        <v>24696.354789808618</v>
      </c>
      <c r="T4" s="2">
        <f t="shared" si="10"/>
        <v>22894.132299303492</v>
      </c>
      <c r="U4" s="2">
        <f t="shared" si="11"/>
        <v>21051.578050349599</v>
      </c>
      <c r="Z4" s="2">
        <v>1E-14</v>
      </c>
      <c r="AA4" s="3">
        <f>IF('Modell einstellen'!$B$2="Ja",'creep_res-40'!P4,'creep_res-40'!L4)</f>
        <v>0.36043716445192803</v>
      </c>
      <c r="AB4" s="2">
        <f>IF('Modell einstellen'!$B$2="Ja",creep_res0!P4,creep_res0!L4)</f>
        <v>0.3659566109567951</v>
      </c>
      <c r="AC4" s="2">
        <f>IF('Modell einstellen'!$B$2="Ja",creep_res25!P4,creep_res25!L4)</f>
        <v>0.36905797605880936</v>
      </c>
      <c r="AD4" s="2">
        <f>IF('Modell einstellen'!$B$2="Ja",creep_res50!P4,creep_res50!L4)</f>
        <v>0.37185876179580335</v>
      </c>
      <c r="AE4" s="2">
        <f>IF('Modell einstellen'!$B$2="Ja",creep_res80!P4,creep_res80!L4)</f>
        <v>0.37577445651790431</v>
      </c>
      <c r="AF4" s="2">
        <f>IF('Modell einstellen'!$B$2="Ja",creep_res125!P4,creep_res125!L4)</f>
        <v>0.38609265844047785</v>
      </c>
      <c r="AG4" s="2">
        <f>IF('Modell einstellen'!$B$2="Ja",creep_res160!P4,creep_res160!L4)</f>
        <v>0.39725240216549768</v>
      </c>
      <c r="AL4" s="2">
        <f t="shared" si="12"/>
        <v>1E-14</v>
      </c>
      <c r="AM4" s="2">
        <f t="shared" si="13"/>
        <v>10130.735990154546</v>
      </c>
      <c r="AN4" s="2">
        <f t="shared" si="14"/>
        <v>9708.7484211633309</v>
      </c>
      <c r="AO4" s="2">
        <f t="shared" si="15"/>
        <v>9476.1525473419642</v>
      </c>
      <c r="AP4" s="2">
        <f t="shared" si="16"/>
        <v>9264.9569626866305</v>
      </c>
      <c r="AQ4" s="2">
        <f t="shared" si="17"/>
        <v>8975.4373156175916</v>
      </c>
      <c r="AR4" s="2">
        <f t="shared" si="18"/>
        <v>8258.5143784911779</v>
      </c>
      <c r="AS4" s="2">
        <f t="shared" si="19"/>
        <v>7533.2051738552464</v>
      </c>
      <c r="AX4" s="2">
        <f t="shared" ref="AX4:AX32" si="28">AL4</f>
        <v>1E-14</v>
      </c>
      <c r="AY4" s="37">
        <f t="shared" si="20"/>
        <v>32917.621395250077</v>
      </c>
      <c r="AZ4" s="37">
        <f t="shared" si="21"/>
        <v>32978.697382158534</v>
      </c>
      <c r="BA4" s="37">
        <f t="shared" si="22"/>
        <v>33025.817678199324</v>
      </c>
      <c r="BB4" s="37">
        <f t="shared" si="23"/>
        <v>33063.028902188402</v>
      </c>
      <c r="BC4" s="37">
        <f t="shared" si="24"/>
        <v>33133.758293663705</v>
      </c>
      <c r="BD4" s="37">
        <f t="shared" si="25"/>
        <v>33498.180752086977</v>
      </c>
      <c r="BE4" s="37">
        <f t="shared" si="26"/>
        <v>34147.721364506273</v>
      </c>
      <c r="BF4" s="5"/>
      <c r="BG4" s="5"/>
    </row>
    <row r="5" spans="1:308" x14ac:dyDescent="0.25">
      <c r="A5" s="2">
        <f>'creep_res-40'!A5</f>
        <v>1E-13</v>
      </c>
      <c r="B5" s="3">
        <f>'creep_res-40'!O5</f>
        <v>-3.7324014285714294E-4</v>
      </c>
      <c r="C5" s="2">
        <f>IF('Modell einstellen'!$B$2="Ja",creep_res0!O5,creep_res0!C5)</f>
        <v>-3.8432448571428576E-4</v>
      </c>
      <c r="D5" s="2">
        <f>IF('Modell einstellen'!$B$2="Ja",creep_res25!O5,creep_res25!C5)</f>
        <v>-3.9335028571428572E-4</v>
      </c>
      <c r="E5" s="2">
        <f>IF('Modell einstellen'!$B$2="Ja",creep_res50!O5,creep_res50!C5)</f>
        <v>-4.0219902857142859E-4</v>
      </c>
      <c r="F5" s="2">
        <f>IF('Modell einstellen'!$B$2="Ja",creep_res80!O5,creep_res80!C5)</f>
        <v>-4.1571082857142861E-4</v>
      </c>
      <c r="G5" s="2">
        <f>IF('Modell einstellen'!$B$2="Ja",creep_res125!O5,creep_res125!C5)</f>
        <v>-4.5152640000000003E-4</v>
      </c>
      <c r="H5" s="2">
        <f>IF('Modell einstellen'!$B$2="Ja",creep_res160!O5,creep_res160!C5)</f>
        <v>-4.9555025714285712E-4</v>
      </c>
      <c r="M5" s="9">
        <f t="shared" si="27"/>
        <v>-10</v>
      </c>
      <c r="N5" s="2">
        <f t="shared" si="4"/>
        <v>1E-13</v>
      </c>
      <c r="O5" s="2">
        <f t="shared" si="5"/>
        <v>26792.4021340531</v>
      </c>
      <c r="P5" s="2">
        <f t="shared" si="6"/>
        <v>26019.67965016466</v>
      </c>
      <c r="Q5" s="2">
        <f t="shared" si="7"/>
        <v>25422.633116538804</v>
      </c>
      <c r="R5" s="2">
        <f t="shared" si="8"/>
        <v>24863.312165419735</v>
      </c>
      <c r="S5" s="2">
        <f t="shared" si="9"/>
        <v>24055.182864407325</v>
      </c>
      <c r="T5" s="2">
        <f t="shared" si="10"/>
        <v>22147.099261527121</v>
      </c>
      <c r="U5" s="2">
        <f t="shared" si="11"/>
        <v>20179.587954723233</v>
      </c>
      <c r="Z5" s="2">
        <v>1E-13</v>
      </c>
      <c r="AA5" s="3">
        <f>IF('Modell einstellen'!$B$2="Ja",'creep_res-40'!P5,'creep_res-40'!L5)</f>
        <v>0.36479927706444065</v>
      </c>
      <c r="AB5" s="2">
        <f>IF('Modell einstellen'!$B$2="Ja",creep_res0!P5,creep_res0!L5)</f>
        <v>0.36886885092708488</v>
      </c>
      <c r="AC5" s="2">
        <f>IF('Modell einstellen'!$B$2="Ja",creep_res25!P5,creep_res25!L5)</f>
        <v>0.37211216320458834</v>
      </c>
      <c r="AD5" s="2">
        <f>IF('Modell einstellen'!$B$2="Ja",creep_res50!P5,creep_res50!L5)</f>
        <v>0.3751344998631097</v>
      </c>
      <c r="AE5" s="2">
        <f>IF('Modell einstellen'!$B$2="Ja",creep_res80!P5,creep_res80!L5)</f>
        <v>0.37959892999797451</v>
      </c>
      <c r="AF5" s="2">
        <f>IF('Modell einstellen'!$B$2="Ja",creep_res125!P5,creep_res125!L5)</f>
        <v>0.39077334759859633</v>
      </c>
      <c r="AG5" s="2">
        <f>IF('Modell einstellen'!$B$2="Ja",creep_res160!P5,creep_res160!L5)</f>
        <v>0.40306722818195923</v>
      </c>
      <c r="AL5" s="2">
        <f t="shared" si="12"/>
        <v>1E-13</v>
      </c>
      <c r="AM5" s="2">
        <f t="shared" si="13"/>
        <v>9815.5100842671618</v>
      </c>
      <c r="AN5" s="2">
        <f t="shared" si="14"/>
        <v>9504.080552546171</v>
      </c>
      <c r="AO5" s="2">
        <f t="shared" si="15"/>
        <v>9264.0506360514537</v>
      </c>
      <c r="AP5" s="2">
        <f t="shared" si="16"/>
        <v>9040.3201170121174</v>
      </c>
      <c r="AQ5" s="2">
        <f t="shared" si="17"/>
        <v>8718.1797337443004</v>
      </c>
      <c r="AR5" s="2">
        <f t="shared" si="18"/>
        <v>7962.1526037178537</v>
      </c>
      <c r="AS5" s="2">
        <f t="shared" si="19"/>
        <v>7191.2405725815324</v>
      </c>
      <c r="AX5" s="2">
        <f t="shared" si="28"/>
        <v>1E-13</v>
      </c>
      <c r="AY5" s="37">
        <f t="shared" si="20"/>
        <v>33027.932534087544</v>
      </c>
      <c r="AZ5" s="37">
        <f t="shared" si="21"/>
        <v>33070.809686995737</v>
      </c>
      <c r="BA5" s="37">
        <f t="shared" si="22"/>
        <v>33131.419105957953</v>
      </c>
      <c r="BB5" s="37">
        <f t="shared" si="23"/>
        <v>33186.791838901372</v>
      </c>
      <c r="BC5" s="37">
        <f t="shared" si="24"/>
        <v>33298.683674492604</v>
      </c>
      <c r="BD5" s="37">
        <f t="shared" si="25"/>
        <v>33793.796011339487</v>
      </c>
      <c r="BE5" s="37">
        <f t="shared" si="26"/>
        <v>34696.879043487541</v>
      </c>
    </row>
    <row r="6" spans="1:308" x14ac:dyDescent="0.25">
      <c r="A6" s="2">
        <f>'creep_res-40'!A6</f>
        <v>9.9999999999999998E-13</v>
      </c>
      <c r="B6" s="3">
        <f>'creep_res-40'!O6</f>
        <v>-3.806628857142857E-4</v>
      </c>
      <c r="C6" s="2">
        <f>IF('Modell einstellen'!$B$2="Ja",creep_res0!O6,creep_res0!C6)</f>
        <v>-3.9200328571428571E-4</v>
      </c>
      <c r="D6" s="2">
        <f>IF('Modell einstellen'!$B$2="Ja",creep_res25!O6,creep_res25!C6)</f>
        <v>-4.0201937142857143E-4</v>
      </c>
      <c r="E6" s="2">
        <f>IF('Modell einstellen'!$B$2="Ja",creep_res50!O6,creep_res50!C6)</f>
        <v>-4.1229211428571433E-4</v>
      </c>
      <c r="F6" s="2">
        <f>IF('Modell einstellen'!$B$2="Ja",creep_res80!O6,creep_res80!C6)</f>
        <v>-4.2745811428571433E-4</v>
      </c>
      <c r="G6" s="2">
        <f>IF('Modell einstellen'!$B$2="Ja",creep_res125!O6,creep_res125!C6)</f>
        <v>-4.6579128571428574E-4</v>
      </c>
      <c r="H6" s="2">
        <f>IF('Modell einstellen'!$B$2="Ja",creep_res160!O6,creep_res160!C6)</f>
        <v>-5.2058842857142867E-4</v>
      </c>
      <c r="M6" s="9">
        <f t="shared" si="27"/>
        <v>-10</v>
      </c>
      <c r="N6" s="2">
        <f t="shared" si="4"/>
        <v>9.9999999999999998E-13</v>
      </c>
      <c r="O6" s="2">
        <f t="shared" si="5"/>
        <v>26269.963201786119</v>
      </c>
      <c r="P6" s="2">
        <f t="shared" si="6"/>
        <v>25509.990258828006</v>
      </c>
      <c r="Q6" s="2">
        <f t="shared" si="7"/>
        <v>24874.423250962038</v>
      </c>
      <c r="R6" s="2">
        <f t="shared" si="8"/>
        <v>24254.64774489987</v>
      </c>
      <c r="S6" s="2">
        <f t="shared" si="9"/>
        <v>23394.104979642449</v>
      </c>
      <c r="T6" s="2">
        <f t="shared" si="10"/>
        <v>21468.84303484792</v>
      </c>
      <c r="U6" s="2">
        <f t="shared" si="11"/>
        <v>19209.032416339858</v>
      </c>
      <c r="Z6" s="2">
        <v>9.9999999999999998E-13</v>
      </c>
      <c r="AA6" s="3">
        <f>IF('Modell einstellen'!$B$2="Ja",'creep_res-40'!P6,'creep_res-40'!L6)</f>
        <v>0.36782979555738898</v>
      </c>
      <c r="AB6" s="2">
        <f>IF('Modell einstellen'!$B$2="Ja",creep_res0!P6,creep_res0!L6)</f>
        <v>0.37185836999179678</v>
      </c>
      <c r="AC6" s="2">
        <f>IF('Modell einstellen'!$B$2="Ja",creep_res25!P6,creep_res25!L6)</f>
        <v>0.37536169188151419</v>
      </c>
      <c r="AD6" s="2">
        <f>IF('Modell einstellen'!$B$2="Ja",creep_res50!P6,creep_res50!L6)</f>
        <v>0.37878089764926726</v>
      </c>
      <c r="AE6" s="2">
        <f>IF('Modell einstellen'!$B$2="Ja",creep_res80!P6,creep_res80!L6)</f>
        <v>0.38363343736803218</v>
      </c>
      <c r="AF6" s="2">
        <f>IF('Modell einstellen'!$B$2="Ja",creep_res125!P6,creep_res125!L6)</f>
        <v>0.39514674107563202</v>
      </c>
      <c r="AG6" s="2">
        <f>IF('Modell einstellen'!$B$2="Ja",creep_res160!P6,creep_res160!L6)</f>
        <v>0.4098448760866481</v>
      </c>
      <c r="AL6" s="2">
        <f t="shared" si="12"/>
        <v>9.9999999999999998E-13</v>
      </c>
      <c r="AM6" s="2">
        <f t="shared" si="13"/>
        <v>9602.7895017015398</v>
      </c>
      <c r="AN6" s="2">
        <f t="shared" si="14"/>
        <v>9297.6034614201999</v>
      </c>
      <c r="AO6" s="2">
        <f t="shared" si="15"/>
        <v>9042.8661048910981</v>
      </c>
      <c r="AP6" s="2">
        <f t="shared" si="16"/>
        <v>8795.6860246078559</v>
      </c>
      <c r="AQ6" s="2">
        <f t="shared" si="17"/>
        <v>8453.8665906134283</v>
      </c>
      <c r="AR6" s="2">
        <f t="shared" si="18"/>
        <v>7694.1164691736458</v>
      </c>
      <c r="AS6" s="2">
        <f t="shared" si="19"/>
        <v>6812.4631092957497</v>
      </c>
      <c r="AX6" s="2">
        <f t="shared" si="28"/>
        <v>9.9999999999999998E-13</v>
      </c>
      <c r="AY6" s="37">
        <f t="shared" si="20"/>
        <v>33126.431322112228</v>
      </c>
      <c r="AZ6" s="37">
        <f t="shared" si="21"/>
        <v>33179.420636882976</v>
      </c>
      <c r="BA6" s="37">
        <f t="shared" si="22"/>
        <v>33262.142844177419</v>
      </c>
      <c r="BB6" s="37">
        <f t="shared" si="23"/>
        <v>33348.219978731839</v>
      </c>
      <c r="BC6" s="37">
        <f t="shared" si="24"/>
        <v>33506.339006837261</v>
      </c>
      <c r="BD6" s="37">
        <f t="shared" si="25"/>
        <v>34125.219783478031</v>
      </c>
      <c r="BE6" s="37">
        <f t="shared" si="26"/>
        <v>35511.075397115274</v>
      </c>
    </row>
    <row r="7" spans="1:308" x14ac:dyDescent="0.25">
      <c r="A7" s="2">
        <f>'creep_res-40'!A7</f>
        <v>9.9999999999999994E-12</v>
      </c>
      <c r="B7" s="3">
        <f>'creep_res-40'!O7</f>
        <v>-3.878932285714286E-4</v>
      </c>
      <c r="C7" s="2">
        <f>IF('Modell einstellen'!$B$2="Ja",creep_res0!O7,creep_res0!C7)</f>
        <v>-4.0057774285714288E-4</v>
      </c>
      <c r="D7" s="2">
        <f>IF('Modell einstellen'!$B$2="Ja",creep_res25!O7,creep_res25!C7)</f>
        <v>-4.1216908571428576E-4</v>
      </c>
      <c r="E7" s="2">
        <f>IF('Modell einstellen'!$B$2="Ja",creep_res50!O7,creep_res50!C7)</f>
        <v>-4.237640857142858E-4</v>
      </c>
      <c r="F7" s="2">
        <f>IF('Modell einstellen'!$B$2="Ja",creep_res80!O7,creep_res80!C7)</f>
        <v>-4.4150500000000002E-4</v>
      </c>
      <c r="G7" s="2">
        <f>IF('Modell einstellen'!$B$2="Ja",creep_res125!O7,creep_res125!C7)</f>
        <v>-4.8305622857142865E-4</v>
      </c>
      <c r="H7" s="2">
        <f>IF('Modell einstellen'!$B$2="Ja",creep_res160!O7,creep_res160!C7)</f>
        <v>-5.4701862857142855E-4</v>
      </c>
      <c r="M7" s="9">
        <f t="shared" si="27"/>
        <v>-10</v>
      </c>
      <c r="N7" s="2">
        <f t="shared" si="4"/>
        <v>9.9999999999999994E-12</v>
      </c>
      <c r="O7" s="2">
        <f t="shared" si="5"/>
        <v>25780.290202097585</v>
      </c>
      <c r="P7" s="2">
        <f t="shared" si="6"/>
        <v>24963.943150396844</v>
      </c>
      <c r="Q7" s="2">
        <f t="shared" si="7"/>
        <v>24261.887527712272</v>
      </c>
      <c r="R7" s="2">
        <f t="shared" si="8"/>
        <v>23598.035645574491</v>
      </c>
      <c r="S7" s="2">
        <f t="shared" si="9"/>
        <v>22649.800115513979</v>
      </c>
      <c r="T7" s="2">
        <f t="shared" si="10"/>
        <v>20701.523774103076</v>
      </c>
      <c r="U7" s="2">
        <f t="shared" si="11"/>
        <v>18280.913076243109</v>
      </c>
      <c r="Z7" s="2">
        <v>9.9999999999999994E-12</v>
      </c>
      <c r="AA7" s="3">
        <f>IF('Modell einstellen'!$B$2="Ja",'creep_res-40'!P7,'creep_res-40'!L7)</f>
        <v>0.37070936236282398</v>
      </c>
      <c r="AB7" s="2">
        <f>IF('Modell einstellen'!$B$2="Ja",creep_res0!P7,creep_res0!L7)</f>
        <v>0.37511400854522908</v>
      </c>
      <c r="AC7" s="2">
        <f>IF('Modell einstellen'!$B$2="Ja",creep_res25!P7,creep_res25!L7)</f>
        <v>0.37905983522157827</v>
      </c>
      <c r="AD7" s="2">
        <f>IF('Modell einstellen'!$B$2="Ja",creep_res50!P7,creep_res50!L7)</f>
        <v>0.38280144821818979</v>
      </c>
      <c r="AE7" s="2">
        <f>IF('Modell einstellen'!$B$2="Ja",creep_res80!P7,creep_res80!L7)</f>
        <v>0.38828927677570391</v>
      </c>
      <c r="AF7" s="2">
        <f>IF('Modell einstellen'!$B$2="Ja",creep_res125!P7,creep_res125!L7)</f>
        <v>0.40024421883332356</v>
      </c>
      <c r="AG7" s="2">
        <f>IF('Modell einstellen'!$B$2="Ja",creep_res160!P7,creep_res160!L7)</f>
        <v>0.41669179508746956</v>
      </c>
      <c r="AL7" s="2">
        <f t="shared" si="12"/>
        <v>9.9999999999999994E-12</v>
      </c>
      <c r="AM7" s="2">
        <f t="shared" si="13"/>
        <v>9403.9958104822508</v>
      </c>
      <c r="AN7" s="2">
        <f t="shared" si="14"/>
        <v>9077.0448832845814</v>
      </c>
      <c r="AO7" s="2">
        <f t="shared" si="15"/>
        <v>8796.5318501985184</v>
      </c>
      <c r="AP7" s="2">
        <f t="shared" si="16"/>
        <v>8532.6912536798991</v>
      </c>
      <c r="AQ7" s="2">
        <f t="shared" si="17"/>
        <v>8157.4497816903277</v>
      </c>
      <c r="AR7" s="2">
        <f t="shared" si="18"/>
        <v>7392.1118529421537</v>
      </c>
      <c r="AS7" s="2">
        <f t="shared" si="19"/>
        <v>6451.9725248759578</v>
      </c>
      <c r="AX7" s="2">
        <f t="shared" si="28"/>
        <v>9.9999999999999994E-12</v>
      </c>
      <c r="AY7" s="37">
        <f t="shared" si="20"/>
        <v>33232.994377679985</v>
      </c>
      <c r="AZ7" s="37">
        <f t="shared" si="21"/>
        <v>33315.643678415632</v>
      </c>
      <c r="BA7" s="37">
        <f t="shared" si="22"/>
        <v>33435.111723998991</v>
      </c>
      <c r="BB7" s="37">
        <f t="shared" si="23"/>
        <v>33558.485844186886</v>
      </c>
      <c r="BC7" s="37">
        <f t="shared" si="24"/>
        <v>33792.339508352357</v>
      </c>
      <c r="BD7" s="37">
        <f t="shared" si="25"/>
        <v>34587.007609971733</v>
      </c>
      <c r="BE7" s="37">
        <f t="shared" si="26"/>
        <v>36572.854369380897</v>
      </c>
    </row>
    <row r="8" spans="1:308" x14ac:dyDescent="0.25">
      <c r="A8" s="2">
        <f>'creep_res-40'!A8</f>
        <v>1E-10</v>
      </c>
      <c r="B8" s="3">
        <f>'creep_res-40'!O8</f>
        <v>-3.9618314285714287E-4</v>
      </c>
      <c r="C8" s="2">
        <f>IF('Modell einstellen'!$B$2="Ja",creep_res0!O8,creep_res0!C8)</f>
        <v>-4.1050514285714286E-4</v>
      </c>
      <c r="D8" s="2">
        <f>IF('Modell einstellen'!$B$2="Ja",creep_res25!O8,creep_res25!C8)</f>
        <v>-4.2365497142857146E-4</v>
      </c>
      <c r="E8" s="2">
        <f>IF('Modell einstellen'!$B$2="Ja",creep_res50!O8,creep_res50!C8)</f>
        <v>-4.3715760000000002E-4</v>
      </c>
      <c r="F8" s="2">
        <f>IF('Modell einstellen'!$B$2="Ja",creep_res80!O8,creep_res80!C8)</f>
        <v>-4.554939428571429E-4</v>
      </c>
      <c r="G8" s="2">
        <f>IF('Modell einstellen'!$B$2="Ja",creep_res125!O8,creep_res125!C8)</f>
        <v>-5.0552008571428568E-4</v>
      </c>
      <c r="H8" s="2">
        <f>IF('Modell einstellen'!$B$2="Ja",creep_res160!O8,creep_res160!C8)</f>
        <v>-5.7006357142857145E-4</v>
      </c>
      <c r="M8" s="9">
        <f t="shared" si="27"/>
        <v>-10</v>
      </c>
      <c r="N8" s="2">
        <f t="shared" si="4"/>
        <v>1E-10</v>
      </c>
      <c r="O8" s="2">
        <f t="shared" si="5"/>
        <v>25240.85181384367</v>
      </c>
      <c r="P8" s="2">
        <f t="shared" si="6"/>
        <v>24360.23074010557</v>
      </c>
      <c r="Q8" s="2">
        <f t="shared" si="7"/>
        <v>23604.113428150831</v>
      </c>
      <c r="R8" s="2">
        <f t="shared" si="8"/>
        <v>22875.045521340588</v>
      </c>
      <c r="S8" s="2">
        <f t="shared" si="9"/>
        <v>21954.188758853183</v>
      </c>
      <c r="T8" s="2">
        <f t="shared" si="10"/>
        <v>19781.607660297574</v>
      </c>
      <c r="U8" s="2">
        <f t="shared" si="11"/>
        <v>17541.903221319928</v>
      </c>
      <c r="Z8" s="2">
        <v>1E-10</v>
      </c>
      <c r="AA8" s="3">
        <f>IF('Modell einstellen'!$B$2="Ja",'creep_res-40'!P8,'creep_res-40'!L8)</f>
        <v>0.37393080112300153</v>
      </c>
      <c r="AB8" s="2">
        <f>IF('Modell einstellen'!$B$2="Ja",creep_res0!P8,creep_res0!L8)</f>
        <v>0.37877846666963633</v>
      </c>
      <c r="AC8" s="2">
        <f>IF('Modell einstellen'!$B$2="Ja",creep_res25!P8,creep_res25!L8)</f>
        <v>0.38311924852056162</v>
      </c>
      <c r="AD8" s="2">
        <f>IF('Modell einstellen'!$B$2="Ja",creep_res50!P8,creep_res50!L8)</f>
        <v>0.38733544019038313</v>
      </c>
      <c r="AE8" s="2">
        <f>IF('Modell einstellen'!$B$2="Ja",creep_res80!P8,creep_res80!L8)</f>
        <v>0.39277062991209288</v>
      </c>
      <c r="AF8" s="2">
        <f>IF('Modell einstellen'!$B$2="Ja",creep_res125!P8,creep_res125!L8)</f>
        <v>0.40660009383264306</v>
      </c>
      <c r="AG8" s="2">
        <f>IF('Modell einstellen'!$B$2="Ja",creep_res160!P8,creep_res160!L8)</f>
        <v>0.42244610312884906</v>
      </c>
      <c r="AL8" s="2">
        <f t="shared" si="12"/>
        <v>1E-10</v>
      </c>
      <c r="AM8" s="2">
        <f t="shared" si="13"/>
        <v>9185.6343104080297</v>
      </c>
      <c r="AN8" s="2">
        <f t="shared" si="14"/>
        <v>8833.9901329277236</v>
      </c>
      <c r="AO8" s="2">
        <f t="shared" si="15"/>
        <v>8532.9278199977016</v>
      </c>
      <c r="AP8" s="2">
        <f t="shared" si="16"/>
        <v>8244.2374276121209</v>
      </c>
      <c r="AQ8" s="2">
        <f t="shared" si="17"/>
        <v>7881.4803699008435</v>
      </c>
      <c r="AR8" s="2">
        <f t="shared" si="18"/>
        <v>7031.7099177768096</v>
      </c>
      <c r="AS8" s="2">
        <f t="shared" si="19"/>
        <v>6166.1047060884439</v>
      </c>
      <c r="AX8" s="2">
        <f t="shared" si="28"/>
        <v>1E-10</v>
      </c>
      <c r="AY8" s="37">
        <f t="shared" si="20"/>
        <v>33369.04393074676</v>
      </c>
      <c r="AZ8" s="37">
        <f t="shared" si="21"/>
        <v>33492.716559024913</v>
      </c>
      <c r="BA8" s="37">
        <f t="shared" si="22"/>
        <v>33658.398452236819</v>
      </c>
      <c r="BB8" s="37">
        <f t="shared" si="23"/>
        <v>33839.457530678323</v>
      </c>
      <c r="BC8" s="37">
        <f t="shared" si="24"/>
        <v>34123.407204660194</v>
      </c>
      <c r="BD8" s="37">
        <f t="shared" si="25"/>
        <v>35299.121223334449</v>
      </c>
      <c r="BE8" s="37">
        <f t="shared" si="26"/>
        <v>37698.306014771195</v>
      </c>
    </row>
    <row r="9" spans="1:308" x14ac:dyDescent="0.25">
      <c r="A9" s="2">
        <f>'creep_res-40'!A9</f>
        <v>1.0000000000000001E-9</v>
      </c>
      <c r="B9" s="3">
        <f>'creep_res-40'!O9</f>
        <v>-4.0530537142857145E-4</v>
      </c>
      <c r="C9" s="2">
        <f>IF('Modell einstellen'!$B$2="Ja",creep_res0!O9,creep_res0!C9)</f>
        <v>-4.2189285714285712E-4</v>
      </c>
      <c r="D9" s="2">
        <f>IF('Modell einstellen'!$B$2="Ja",creep_res25!O9,creep_res25!C9)</f>
        <v>-4.3714400000000004E-4</v>
      </c>
      <c r="E9" s="2">
        <f>IF('Modell einstellen'!$B$2="Ja",creep_res50!O9,creep_res50!C9)</f>
        <v>-4.5135482857142859E-4</v>
      </c>
      <c r="F9" s="2">
        <f>IF('Modell einstellen'!$B$2="Ja",creep_res80!O9,creep_res80!C9)</f>
        <v>-4.7038757142857146E-4</v>
      </c>
      <c r="G9" s="2">
        <f>IF('Modell einstellen'!$B$2="Ja",creep_res125!O9,creep_res125!C9)</f>
        <v>-5.3161102857142862E-4</v>
      </c>
      <c r="H9" s="2">
        <f>IF('Modell einstellen'!$B$2="Ja",creep_res160!O9,creep_res160!C9)</f>
        <v>-5.9517077142857142E-4</v>
      </c>
      <c r="M9" s="9">
        <f t="shared" si="27"/>
        <v>-10</v>
      </c>
      <c r="N9" s="2">
        <f t="shared" si="4"/>
        <v>1.0000000000000001E-9</v>
      </c>
      <c r="O9" s="2">
        <f t="shared" si="5"/>
        <v>24672.754680633043</v>
      </c>
      <c r="P9" s="2">
        <f t="shared" si="6"/>
        <v>23702.700414797258</v>
      </c>
      <c r="Q9" s="2">
        <f t="shared" si="7"/>
        <v>22875.757187562907</v>
      </c>
      <c r="R9" s="2">
        <f t="shared" si="8"/>
        <v>22155.517936189448</v>
      </c>
      <c r="S9" s="2">
        <f t="shared" si="9"/>
        <v>21259.065093131409</v>
      </c>
      <c r="T9" s="2">
        <f t="shared" si="10"/>
        <v>18810.745944967493</v>
      </c>
      <c r="U9" s="2">
        <f t="shared" si="11"/>
        <v>16801.90036213856</v>
      </c>
      <c r="Z9" s="2">
        <v>1.0000000000000001E-9</v>
      </c>
      <c r="AA9" s="3">
        <f>IF('Modell einstellen'!$B$2="Ja",'creep_res-40'!P9,'creep_res-40'!L9)</f>
        <v>0.37738349384252629</v>
      </c>
      <c r="AB9" s="2">
        <f>IF('Modell einstellen'!$B$2="Ja",creep_res0!P9,creep_res0!L9)</f>
        <v>0.38285604672818085</v>
      </c>
      <c r="AC9" s="2">
        <f>IF('Modell einstellen'!$B$2="Ja",creep_res25!P9,creep_res25!L9)</f>
        <v>0.38772336542910996</v>
      </c>
      <c r="AD9" s="2">
        <f>IF('Modell einstellen'!$B$2="Ja",creep_res50!P9,creep_res50!L9)</f>
        <v>0.39197927838718466</v>
      </c>
      <c r="AE9" s="2">
        <f>IF('Modell einstellen'!$B$2="Ja",creep_res80!P9,creep_res80!L9)</f>
        <v>0.39737282903186527</v>
      </c>
      <c r="AF9" s="2">
        <f>IF('Modell einstellen'!$B$2="Ja",creep_res125!P9,creep_res125!L9)</f>
        <v>0.41365429589604341</v>
      </c>
      <c r="AG9" s="2">
        <f>IF('Modell einstellen'!$B$2="Ja",creep_res160!P9,creep_res160!L9)</f>
        <v>0.42847665762388393</v>
      </c>
      <c r="AL9" s="2">
        <f t="shared" si="12"/>
        <v>1.0000000000000001E-9</v>
      </c>
      <c r="AM9" s="2">
        <f t="shared" si="13"/>
        <v>8956.3853461764484</v>
      </c>
      <c r="AN9" s="2">
        <f t="shared" si="14"/>
        <v>8570.1980588932365</v>
      </c>
      <c r="AO9" s="2">
        <f t="shared" si="15"/>
        <v>8242.1892422663423</v>
      </c>
      <c r="AP9" s="2">
        <f t="shared" si="16"/>
        <v>7958.2786468847135</v>
      </c>
      <c r="AQ9" s="2">
        <f t="shared" si="17"/>
        <v>7606.797789198542</v>
      </c>
      <c r="AR9" s="2">
        <f t="shared" si="18"/>
        <v>6653.2341038317008</v>
      </c>
      <c r="AS9" s="2">
        <f t="shared" si="19"/>
        <v>5881.0552739751101</v>
      </c>
      <c r="AX9" s="2">
        <f t="shared" si="28"/>
        <v>1.0000000000000001E-9</v>
      </c>
      <c r="AY9" s="37">
        <f t="shared" si="20"/>
        <v>33536.478154290198</v>
      </c>
      <c r="AZ9" s="37">
        <f t="shared" si="21"/>
        <v>33723.038695529671</v>
      </c>
      <c r="BA9" s="37">
        <f t="shared" si="22"/>
        <v>33957.432127339969</v>
      </c>
      <c r="BB9" s="37">
        <f t="shared" si="23"/>
        <v>34184.055314255194</v>
      </c>
      <c r="BC9" s="37">
        <f t="shared" si="24"/>
        <v>34524.750922170912</v>
      </c>
      <c r="BD9" s="37">
        <f t="shared" si="25"/>
        <v>36308.978619094836</v>
      </c>
      <c r="BE9" s="37">
        <f t="shared" si="26"/>
        <v>39152.486922342272</v>
      </c>
    </row>
    <row r="10" spans="1:308" x14ac:dyDescent="0.25">
      <c r="A10" s="2">
        <f>'creep_res-40'!A10</f>
        <v>1E-8</v>
      </c>
      <c r="B10" s="3">
        <f>'creep_res-40'!O10</f>
        <v>-4.1631285714285719E-4</v>
      </c>
      <c r="C10" s="2">
        <f>IF('Modell einstellen'!$B$2="Ja",creep_res0!O10,creep_res0!C10)</f>
        <v>-4.350891142857143E-4</v>
      </c>
      <c r="D10" s="2">
        <f>IF('Modell einstellen'!$B$2="Ja",creep_res25!O10,creep_res25!C10)</f>
        <v>-4.5126900000000002E-4</v>
      </c>
      <c r="E10" s="2">
        <f>IF('Modell einstellen'!$B$2="Ja",creep_res50!O10,creep_res50!C10)</f>
        <v>-4.6574105714285716E-4</v>
      </c>
      <c r="F10" s="2">
        <f>IF('Modell einstellen'!$B$2="Ja",creep_res80!O10,creep_res80!C10)</f>
        <v>-4.8958205714285719E-4</v>
      </c>
      <c r="G10" s="2">
        <f>IF('Modell einstellen'!$B$2="Ja",creep_res125!O10,creep_res125!C10)</f>
        <v>-5.5661174285714281E-4</v>
      </c>
      <c r="H10" s="2">
        <f>IF('Modell einstellen'!$B$2="Ja",creep_res160!O10,creep_res160!C10)</f>
        <v>-6.2135062857142864E-4</v>
      </c>
      <c r="M10" s="9">
        <f t="shared" si="27"/>
        <v>-10</v>
      </c>
      <c r="N10" s="2">
        <f t="shared" si="4"/>
        <v>1E-8</v>
      </c>
      <c r="O10" s="2">
        <f t="shared" si="5"/>
        <v>24020.396748324576</v>
      </c>
      <c r="P10" s="2">
        <f t="shared" si="6"/>
        <v>22983.797276603891</v>
      </c>
      <c r="Q10" s="2">
        <f t="shared" si="7"/>
        <v>22159.731778606551</v>
      </c>
      <c r="R10" s="2">
        <f t="shared" si="8"/>
        <v>21471.158375742449</v>
      </c>
      <c r="S10" s="2">
        <f t="shared" si="9"/>
        <v>20425.585157999485</v>
      </c>
      <c r="T10" s="2">
        <f t="shared" si="10"/>
        <v>17965.844465783306</v>
      </c>
      <c r="U10" s="2">
        <f t="shared" si="11"/>
        <v>16093.972614128335</v>
      </c>
      <c r="Z10" s="2">
        <v>1E-8</v>
      </c>
      <c r="AA10" s="3">
        <f>IF('Modell einstellen'!$B$2="Ja",'creep_res-40'!P10,'creep_res-40'!L10)</f>
        <v>0.38142777238272035</v>
      </c>
      <c r="AB10" s="2">
        <f>IF('Modell einstellen'!$B$2="Ja",creep_res0!P10,creep_res0!L10)</f>
        <v>0.38742078388013651</v>
      </c>
      <c r="AC10" s="2">
        <f>IF('Modell einstellen'!$B$2="Ja",creep_res25!P10,creep_res25!L10)</f>
        <v>0.39238278847301405</v>
      </c>
      <c r="AD10" s="2">
        <f>IF('Modell einstellen'!$B$2="Ja",creep_res50!P10,creep_res50!L10)</f>
        <v>0.39652056197751084</v>
      </c>
      <c r="AE10" s="2">
        <f>IF('Modell einstellen'!$B$2="Ja",creep_res80!P10,creep_res80!L10)</f>
        <v>0.40307057821680203</v>
      </c>
      <c r="AF10" s="2">
        <f>IF('Modell einstellen'!$B$2="Ja",creep_res125!P10,creep_res125!L10)</f>
        <v>0.42014317648757582</v>
      </c>
      <c r="AG10" s="2">
        <f>IF('Modell einstellen'!$B$2="Ja",creep_res160!P10,creep_res160!L10)</f>
        <v>0.43456650103056604</v>
      </c>
      <c r="AL10" s="2">
        <f t="shared" si="12"/>
        <v>1E-8</v>
      </c>
      <c r="AM10" s="2">
        <f t="shared" si="13"/>
        <v>8694.0472851843733</v>
      </c>
      <c r="AN10" s="2">
        <f t="shared" si="14"/>
        <v>8282.9223634397895</v>
      </c>
      <c r="AO10" s="2">
        <f t="shared" si="15"/>
        <v>7957.4855284258747</v>
      </c>
      <c r="AP10" s="2">
        <f t="shared" si="16"/>
        <v>7687.376383967704</v>
      </c>
      <c r="AQ10" s="2">
        <f t="shared" si="17"/>
        <v>7278.8872759198184</v>
      </c>
      <c r="AR10" s="2">
        <f t="shared" si="18"/>
        <v>6325.3637954371716</v>
      </c>
      <c r="AS10" s="2">
        <f t="shared" si="19"/>
        <v>5609.3504910949478</v>
      </c>
      <c r="AX10" s="2">
        <f t="shared" si="28"/>
        <v>1E-8</v>
      </c>
      <c r="AY10" s="37">
        <f t="shared" si="20"/>
        <v>33763.382357764502</v>
      </c>
      <c r="AZ10" s="37">
        <f t="shared" si="21"/>
        <v>34026.110781900396</v>
      </c>
      <c r="BA10" s="37">
        <f t="shared" si="22"/>
        <v>34318.754197061076</v>
      </c>
      <c r="BB10" s="37">
        <f t="shared" si="23"/>
        <v>34582.004544510135</v>
      </c>
      <c r="BC10" s="37">
        <f t="shared" si="24"/>
        <v>35121.061596903281</v>
      </c>
      <c r="BD10" s="37">
        <f t="shared" si="25"/>
        <v>37495.949366155641</v>
      </c>
      <c r="BE10" s="37">
        <f t="shared" si="26"/>
        <v>40993.203959250131</v>
      </c>
    </row>
    <row r="11" spans="1:308" x14ac:dyDescent="0.25">
      <c r="A11" s="2">
        <f>'creep_res-40'!A11</f>
        <v>9.9999999999999995E-8</v>
      </c>
      <c r="B11" s="3">
        <f>'creep_res-40'!O11</f>
        <v>-4.2841082857142859E-4</v>
      </c>
      <c r="C11" s="2">
        <f>IF('Modell einstellen'!$B$2="Ja",creep_res0!O11,creep_res0!C11)</f>
        <v>-4.4929674285714289E-4</v>
      </c>
      <c r="D11" s="2">
        <f>IF('Modell einstellen'!$B$2="Ja",creep_res25!O11,creep_res25!C11)</f>
        <v>-4.6570742857142861E-4</v>
      </c>
      <c r="E11" s="2">
        <f>IF('Modell einstellen'!$B$2="Ja",creep_res50!O11,creep_res50!C11)</f>
        <v>-4.8362802857142864E-4</v>
      </c>
      <c r="F11" s="2">
        <f>IF('Modell einstellen'!$B$2="Ja",creep_res80!O11,creep_res80!C11)</f>
        <v>-5.1373637142857148E-4</v>
      </c>
      <c r="G11" s="2">
        <f>IF('Modell einstellen'!$B$2="Ja",creep_res125!O11,creep_res125!C11)</f>
        <v>-5.7996000000000002E-4</v>
      </c>
      <c r="H11" s="2">
        <f>IF('Modell einstellen'!$B$2="Ja",creep_res160!O11,creep_res160!C11)</f>
        <v>-6.5162028571428578E-4</v>
      </c>
      <c r="M11" s="9">
        <f t="shared" si="27"/>
        <v>-10</v>
      </c>
      <c r="N11" s="2">
        <f t="shared" si="4"/>
        <v>9.9999999999999995E-8</v>
      </c>
      <c r="O11" s="2">
        <f t="shared" si="5"/>
        <v>23342.080388924409</v>
      </c>
      <c r="P11" s="2">
        <f t="shared" si="6"/>
        <v>22257.005328835807</v>
      </c>
      <c r="Q11" s="2">
        <f t="shared" si="7"/>
        <v>21472.708800620374</v>
      </c>
      <c r="R11" s="2">
        <f t="shared" si="8"/>
        <v>20677.048080812518</v>
      </c>
      <c r="S11" s="2">
        <f t="shared" si="9"/>
        <v>19465.236561298003</v>
      </c>
      <c r="T11" s="2">
        <f t="shared" si="10"/>
        <v>17242.568452996758</v>
      </c>
      <c r="U11" s="2">
        <f t="shared" si="11"/>
        <v>15346.360785926596</v>
      </c>
      <c r="Z11" s="2">
        <v>9.9999999999999995E-8</v>
      </c>
      <c r="AA11" s="3">
        <f>IF('Modell einstellen'!$B$2="Ja",'creep_res-40'!P11,'creep_res-40'!L11)</f>
        <v>0.38573236010641054</v>
      </c>
      <c r="AB11" s="2">
        <f>IF('Modell einstellen'!$B$2="Ja",creep_res0!P11,creep_res0!L11)</f>
        <v>0.39216940684317697</v>
      </c>
      <c r="AC11" s="2">
        <f>IF('Modell einstellen'!$B$2="Ja",creep_res25!P11,creep_res25!L11)</f>
        <v>0.39697961196974679</v>
      </c>
      <c r="AD11" s="2">
        <f>IF('Modell einstellen'!$B$2="Ja",creep_res50!P11,creep_res50!L11)</f>
        <v>0.40195329574718602</v>
      </c>
      <c r="AE11" s="2">
        <f>IF('Modell einstellen'!$B$2="Ja",creep_res80!P11,creep_res80!L11)</f>
        <v>0.40992917823944497</v>
      </c>
      <c r="AF11" s="2">
        <f>IF('Modell einstellen'!$B$2="Ja",creep_res125!P11,creep_res125!L11)</f>
        <v>0.42597248578719715</v>
      </c>
      <c r="AG11" s="2">
        <f>IF('Modell einstellen'!$B$2="Ja",creep_res160!P11,creep_res160!L11)</f>
        <v>0.44137137710787738</v>
      </c>
      <c r="AL11" s="2">
        <f t="shared" si="12"/>
        <v>9.9999999999999995E-8</v>
      </c>
      <c r="AM11" s="2">
        <f t="shared" si="13"/>
        <v>8422.2902852365987</v>
      </c>
      <c r="AN11" s="2">
        <f t="shared" si="14"/>
        <v>7993.641154385381</v>
      </c>
      <c r="AO11" s="2">
        <f t="shared" si="15"/>
        <v>7685.4052187432317</v>
      </c>
      <c r="AP11" s="2">
        <f t="shared" si="16"/>
        <v>7374.3712231841728</v>
      </c>
      <c r="AQ11" s="2">
        <f t="shared" si="17"/>
        <v>6902.9128773701668</v>
      </c>
      <c r="AR11" s="2">
        <f t="shared" si="18"/>
        <v>6045.8980186697399</v>
      </c>
      <c r="AS11" s="2">
        <f t="shared" si="19"/>
        <v>5323.5276590267758</v>
      </c>
      <c r="AX11" s="2">
        <f t="shared" si="28"/>
        <v>9.9999999999999995E-8</v>
      </c>
      <c r="AY11" s="37">
        <f t="shared" si="20"/>
        <v>34045.918294192881</v>
      </c>
      <c r="AZ11" s="37">
        <f t="shared" si="21"/>
        <v>34401.191531464567</v>
      </c>
      <c r="BA11" s="37">
        <f t="shared" si="22"/>
        <v>34738.607265315688</v>
      </c>
      <c r="BB11" s="37">
        <f t="shared" si="23"/>
        <v>35148.296991701412</v>
      </c>
      <c r="BC11" s="37">
        <f t="shared" si="24"/>
        <v>36018.391196364231</v>
      </c>
      <c r="BD11" s="37">
        <f t="shared" si="25"/>
        <v>38820.179758727929</v>
      </c>
      <c r="BE11" s="37">
        <f t="shared" si="26"/>
        <v>43625.906110069838</v>
      </c>
    </row>
    <row r="12" spans="1:308" x14ac:dyDescent="0.25">
      <c r="A12" s="2">
        <f>'creep_res-40'!A12</f>
        <v>9.9999999999999995E-7</v>
      </c>
      <c r="B12" s="3">
        <f>'creep_res-40'!O12</f>
        <v>-4.4282602857142865E-4</v>
      </c>
      <c r="C12" s="2">
        <f>IF('Modell einstellen'!$B$2="Ja",creep_res0!O12,creep_res0!C12)</f>
        <v>-4.6354088571428579E-4</v>
      </c>
      <c r="D12" s="2">
        <f>IF('Modell einstellen'!$B$2="Ja",creep_res25!O12,creep_res25!C12)</f>
        <v>-4.8378871428571426E-4</v>
      </c>
      <c r="E12" s="2">
        <f>IF('Modell einstellen'!$B$2="Ja",creep_res50!O12,creep_res50!C12)</f>
        <v>-5.0662740000000008E-4</v>
      </c>
      <c r="F12" s="2">
        <f>IF('Modell einstellen'!$B$2="Ja",creep_res80!O12,creep_res80!C12)</f>
        <v>-5.4002100000000001E-4</v>
      </c>
      <c r="G12" s="2">
        <f>IF('Modell einstellen'!$B$2="Ja",creep_res125!O12,creep_res125!C12)</f>
        <v>-6.0558114285714289E-4</v>
      </c>
      <c r="H12" s="2">
        <f>IF('Modell einstellen'!$B$2="Ja",creep_res160!O12,creep_res160!C12)</f>
        <v>-6.8221957142857142E-4</v>
      </c>
      <c r="M12" s="9">
        <f t="shared" si="27"/>
        <v>-10</v>
      </c>
      <c r="N12" s="2">
        <f t="shared" si="4"/>
        <v>9.9999999999999995E-7</v>
      </c>
      <c r="O12" s="2">
        <f t="shared" si="5"/>
        <v>22582.231745185189</v>
      </c>
      <c r="P12" s="2">
        <f t="shared" si="6"/>
        <v>21573.070053120908</v>
      </c>
      <c r="Q12" s="2">
        <f t="shared" si="7"/>
        <v>20670.180400475889</v>
      </c>
      <c r="R12" s="2">
        <f t="shared" si="8"/>
        <v>19738.371829079908</v>
      </c>
      <c r="S12" s="2">
        <f t="shared" si="9"/>
        <v>18517.798381914778</v>
      </c>
      <c r="T12" s="2">
        <f t="shared" si="10"/>
        <v>16513.063720610284</v>
      </c>
      <c r="U12" s="2">
        <f t="shared" si="11"/>
        <v>14658.037410243078</v>
      </c>
      <c r="Z12" s="2">
        <v>9.9999999999999995E-7</v>
      </c>
      <c r="AA12" s="3">
        <f>IF('Modell einstellen'!$B$2="Ja",'creep_res-40'!P12,'creep_res-40'!L12)</f>
        <v>0.39068337123814695</v>
      </c>
      <c r="AB12" s="2">
        <f>IF('Modell einstellen'!$B$2="Ja",creep_res0!P12,creep_res0!L12)</f>
        <v>0.39676538934984368</v>
      </c>
      <c r="AC12" s="2">
        <f>IF('Modell einstellen'!$B$2="Ja",creep_res25!P12,creep_res25!L12)</f>
        <v>0.40251787010917695</v>
      </c>
      <c r="AD12" s="2">
        <f>IF('Modell einstellen'!$B$2="Ja",creep_res50!P12,creep_res50!L12)</f>
        <v>0.40864505157044401</v>
      </c>
      <c r="AE12" s="2">
        <f>IF('Modell einstellen'!$B$2="Ja",creep_res80!P12,creep_res80!L12)</f>
        <v>0.41707084936114919</v>
      </c>
      <c r="AF12" s="2">
        <f>IF('Modell einstellen'!$B$2="Ja",creep_res125!P12,creep_res125!L12)</f>
        <v>0.43215616262820034</v>
      </c>
      <c r="AG12" s="2">
        <f>IF('Modell einstellen'!$B$2="Ja",creep_res160!P12,creep_res160!L12)</f>
        <v>0.4480558312080925</v>
      </c>
      <c r="AL12" s="2">
        <f t="shared" si="12"/>
        <v>9.9999999999999995E-7</v>
      </c>
      <c r="AM12" s="2">
        <f t="shared" si="13"/>
        <v>8119.1133122846923</v>
      </c>
      <c r="AN12" s="2">
        <f t="shared" si="14"/>
        <v>7722.5102431706819</v>
      </c>
      <c r="AO12" s="2">
        <f t="shared" si="15"/>
        <v>7368.9543787655439</v>
      </c>
      <c r="AP12" s="2">
        <f t="shared" si="16"/>
        <v>7006.1552436770207</v>
      </c>
      <c r="AQ12" s="2">
        <f t="shared" si="17"/>
        <v>6533.8294095397778</v>
      </c>
      <c r="AR12" s="2">
        <f t="shared" si="18"/>
        <v>5765.1058423358591</v>
      </c>
      <c r="AS12" s="2">
        <f t="shared" si="19"/>
        <v>5061.2818561056738</v>
      </c>
      <c r="AX12" s="2">
        <f t="shared" si="28"/>
        <v>9.9999999999999995E-7</v>
      </c>
      <c r="AY12" s="37">
        <f t="shared" si="20"/>
        <v>34429.394077487086</v>
      </c>
      <c r="AZ12" s="37">
        <f t="shared" si="21"/>
        <v>34828.548806220606</v>
      </c>
      <c r="BA12" s="37">
        <f t="shared" si="22"/>
        <v>35340.11895928318</v>
      </c>
      <c r="BB12" s="37">
        <f t="shared" si="23"/>
        <v>36010.404414126533</v>
      </c>
      <c r="BC12" s="37">
        <f t="shared" si="24"/>
        <v>37216.102016523655</v>
      </c>
      <c r="BD12" s="37">
        <f t="shared" si="25"/>
        <v>40566.356405900551</v>
      </c>
      <c r="BE12" s="37">
        <f t="shared" si="26"/>
        <v>47031.385656153085</v>
      </c>
    </row>
    <row r="13" spans="1:308" x14ac:dyDescent="0.25">
      <c r="A13" s="2">
        <f>'creep_res-40'!A13</f>
        <v>1.0000000000000001E-5</v>
      </c>
      <c r="B13" s="3">
        <f>'creep_res-40'!O13</f>
        <v>-4.5658385714285717E-4</v>
      </c>
      <c r="C13" s="2">
        <f>IF('Modell einstellen'!$B$2="Ja",creep_res0!O13,creep_res0!C13)</f>
        <v>-4.8108748571428574E-4</v>
      </c>
      <c r="D13" s="2">
        <f>IF('Modell einstellen'!$B$2="Ja",creep_res25!O13,creep_res25!C13)</f>
        <v>-5.0694940000000006E-4</v>
      </c>
      <c r="E13" s="2">
        <f>IF('Modell einstellen'!$B$2="Ja",creep_res50!O13,creep_res50!C13)</f>
        <v>-5.3271571428571435E-4</v>
      </c>
      <c r="F13" s="2">
        <f>IF('Modell einstellen'!$B$2="Ja",creep_res80!O13,creep_res80!C13)</f>
        <v>-5.6337371428571439E-4</v>
      </c>
      <c r="G13" s="2">
        <f>IF('Modell einstellen'!$B$2="Ja",creep_res125!O13,creep_res125!C13)</f>
        <v>-6.3340537142857146E-4</v>
      </c>
      <c r="H13" s="2">
        <f>IF('Modell einstellen'!$B$2="Ja",creep_res160!O13,creep_res160!C13)</f>
        <v>-7.24981542857143E-4</v>
      </c>
      <c r="M13" s="9">
        <f t="shared" si="27"/>
        <v>-10</v>
      </c>
      <c r="N13" s="2">
        <f t="shared" si="4"/>
        <v>1.0000000000000001E-5</v>
      </c>
      <c r="O13" s="2">
        <f t="shared" si="5"/>
        <v>21901.781772523715</v>
      </c>
      <c r="P13" s="2">
        <f t="shared" si="6"/>
        <v>20786.240126684414</v>
      </c>
      <c r="Q13" s="2">
        <f t="shared" si="7"/>
        <v>19725.834570471921</v>
      </c>
      <c r="R13" s="2">
        <f t="shared" si="8"/>
        <v>18771.738343420904</v>
      </c>
      <c r="S13" s="2">
        <f t="shared" si="9"/>
        <v>17750.206916697767</v>
      </c>
      <c r="T13" s="2">
        <f t="shared" si="10"/>
        <v>15787.67792487483</v>
      </c>
      <c r="U13" s="2">
        <f t="shared" si="11"/>
        <v>13793.454603809812</v>
      </c>
      <c r="Z13" s="2">
        <v>1.0000000000000001E-5</v>
      </c>
      <c r="AA13" s="3">
        <f>IF('Modell einstellen'!$B$2="Ja",'creep_res-40'!P13,'creep_res-40'!L13)</f>
        <v>0.39525261358655128</v>
      </c>
      <c r="AB13" s="2">
        <f>IF('Modell einstellen'!$B$2="Ja",creep_res0!P13,creep_res0!L13)</f>
        <v>0.40221594385387111</v>
      </c>
      <c r="AC13" s="2">
        <f>IF('Modell einstellen'!$B$2="Ja",creep_res25!P13,creep_res25!L13)</f>
        <v>0.4093140825720053</v>
      </c>
      <c r="AD13" s="2">
        <f>IF('Modell einstellen'!$B$2="Ja",creep_res50!P13,creep_res50!L13)</f>
        <v>0.41590602867785276</v>
      </c>
      <c r="AE13" s="2">
        <f>IF('Modell einstellen'!$B$2="Ja",creep_res80!P13,creep_res80!L13)</f>
        <v>0.42318615199857185</v>
      </c>
      <c r="AF13" s="2">
        <f>IF('Modell einstellen'!$B$2="Ja",creep_res125!P13,creep_res125!L13)</f>
        <v>0.43864868663660572</v>
      </c>
      <c r="AG13" s="2">
        <f>IF('Modell einstellen'!$B$2="Ja",creep_res160!P13,creep_res160!L13)</f>
        <v>0.45703185192419077</v>
      </c>
      <c r="AL13" s="2">
        <f t="shared" si="12"/>
        <v>1.0000000000000001E-5</v>
      </c>
      <c r="AM13" s="2">
        <f t="shared" si="13"/>
        <v>7848.6797155048253</v>
      </c>
      <c r="AN13" s="2">
        <f t="shared" si="14"/>
        <v>7411.9254661857585</v>
      </c>
      <c r="AO13" s="2">
        <f t="shared" si="15"/>
        <v>6998.3812744112274</v>
      </c>
      <c r="AP13" s="2">
        <f t="shared" si="16"/>
        <v>6628.8785990090082</v>
      </c>
      <c r="AQ13" s="2">
        <f t="shared" si="17"/>
        <v>6236.0805337275306</v>
      </c>
      <c r="AR13" s="2">
        <f t="shared" si="18"/>
        <v>5486.9816625574504</v>
      </c>
      <c r="AS13" s="2">
        <f t="shared" si="19"/>
        <v>4733.4087396901623</v>
      </c>
      <c r="AX13" s="2">
        <f t="shared" si="28"/>
        <v>1.0000000000000001E-5</v>
      </c>
      <c r="AY13" s="37">
        <f t="shared" si="20"/>
        <v>34848.57319188078</v>
      </c>
      <c r="AZ13" s="37">
        <f t="shared" si="21"/>
        <v>35428.816220000408</v>
      </c>
      <c r="BA13" s="37">
        <f t="shared" si="22"/>
        <v>36253.02790468061</v>
      </c>
      <c r="BB13" s="37">
        <f t="shared" si="23"/>
        <v>37203.892360508056</v>
      </c>
      <c r="BC13" s="37">
        <f t="shared" si="24"/>
        <v>38513.469855000949</v>
      </c>
      <c r="BD13" s="37">
        <f t="shared" si="25"/>
        <v>42888.725764683921</v>
      </c>
      <c r="BE13" s="37">
        <f t="shared" si="26"/>
        <v>53502.634011104579</v>
      </c>
    </row>
    <row r="14" spans="1:308" x14ac:dyDescent="0.25">
      <c r="A14" s="2">
        <f>'creep_res-40'!A14</f>
        <v>1E-4</v>
      </c>
      <c r="B14" s="3">
        <f>'creep_res-40'!O14</f>
        <v>-4.7222405714285716E-4</v>
      </c>
      <c r="C14" s="2">
        <f>IF('Modell einstellen'!$B$2="Ja",creep_res0!O14,creep_res0!C14)</f>
        <v>-5.0375437142857141E-4</v>
      </c>
      <c r="D14" s="2">
        <f>IF('Modell einstellen'!$B$2="Ja",creep_res25!O14,creep_res25!C14)</f>
        <v>-5.3302717142857147E-4</v>
      </c>
      <c r="E14" s="2">
        <f>IF('Modell einstellen'!$B$2="Ja",creep_res50!O14,creep_res50!C14)</f>
        <v>-5.569610571428572E-4</v>
      </c>
      <c r="F14" s="2">
        <f>IF('Modell einstellen'!$B$2="Ja",creep_res80!O14,creep_res80!C14)</f>
        <v>-5.8787177142857142E-4</v>
      </c>
      <c r="G14" s="2">
        <f>IF('Modell einstellen'!$B$2="Ja",creep_res125!O14,creep_res125!C14)</f>
        <v>-6.6375940000000001E-4</v>
      </c>
      <c r="H14" s="2">
        <f>IF('Modell einstellen'!$B$2="Ja",creep_res160!O14,creep_res160!C14)</f>
        <v>-7.7555411428571427E-4</v>
      </c>
      <c r="M14" s="9">
        <f t="shared" si="27"/>
        <v>-10</v>
      </c>
      <c r="N14" s="2">
        <f t="shared" si="4"/>
        <v>1E-4</v>
      </c>
      <c r="O14" s="2">
        <f t="shared" si="5"/>
        <v>21176.388302840744</v>
      </c>
      <c r="P14" s="2">
        <f t="shared" si="6"/>
        <v>19850.944363304498</v>
      </c>
      <c r="Q14" s="2">
        <f t="shared" si="7"/>
        <v>18760.769686841479</v>
      </c>
      <c r="R14" s="2">
        <f t="shared" si="8"/>
        <v>17954.576665195927</v>
      </c>
      <c r="S14" s="2">
        <f t="shared" si="9"/>
        <v>17010.512302196905</v>
      </c>
      <c r="T14" s="2">
        <f t="shared" si="10"/>
        <v>15065.700011178749</v>
      </c>
      <c r="U14" s="2">
        <f t="shared" si="11"/>
        <v>12894.006769869315</v>
      </c>
      <c r="Z14" s="2">
        <v>1E-4</v>
      </c>
      <c r="AA14" s="3">
        <f>IF('Modell einstellen'!$B$2="Ja",'creep_res-40'!P14,'creep_res-40'!L14)</f>
        <v>0.40026364603437042</v>
      </c>
      <c r="AB14" s="2">
        <f>IF('Modell einstellen'!$B$2="Ja",creep_res0!P14,creep_res0!L14)</f>
        <v>0.40896594559151084</v>
      </c>
      <c r="AC14" s="2">
        <f>IF('Modell einstellen'!$B$2="Ja",creep_res25!P14,creep_res25!L14)</f>
        <v>0.41663750617698336</v>
      </c>
      <c r="AD14" s="2">
        <f>IF('Modell einstellen'!$B$2="Ja",creep_res50!P14,creep_res50!L14)</f>
        <v>0.42239884737773664</v>
      </c>
      <c r="AE14" s="2">
        <f>IF('Modell einstellen'!$B$2="Ja",creep_res80!P14,creep_res80!L14)</f>
        <v>0.42935574580112512</v>
      </c>
      <c r="AF14" s="2">
        <f>IF('Modell einstellen'!$B$2="Ja",creep_res125!P14,creep_res125!L14)</f>
        <v>0.44552335422400691</v>
      </c>
      <c r="AG14" s="2">
        <f>IF('Modell einstellen'!$B$2="Ja",creep_res160!P14,creep_res160!L14)</f>
        <v>0.46730146195195965</v>
      </c>
      <c r="AL14" s="2">
        <f t="shared" si="12"/>
        <v>1E-4</v>
      </c>
      <c r="AM14" s="2">
        <f t="shared" si="13"/>
        <v>7561.5718378512247</v>
      </c>
      <c r="AN14" s="2">
        <f t="shared" si="14"/>
        <v>7044.5082173262499</v>
      </c>
      <c r="AO14" s="2">
        <f t="shared" si="15"/>
        <v>6621.5844226341051</v>
      </c>
      <c r="AP14" s="2">
        <f t="shared" si="16"/>
        <v>6311.3720523241727</v>
      </c>
      <c r="AQ14" s="2">
        <f t="shared" si="17"/>
        <v>5950.4123980915811</v>
      </c>
      <c r="AR14" s="2">
        <f t="shared" si="18"/>
        <v>5211.1575946368548</v>
      </c>
      <c r="AS14" s="2">
        <f t="shared" si="19"/>
        <v>4393.7824312927287</v>
      </c>
      <c r="AX14" s="2">
        <f t="shared" si="28"/>
        <v>1E-4</v>
      </c>
      <c r="AY14" s="37">
        <f t="shared" si="20"/>
        <v>35387.277658954059</v>
      </c>
      <c r="AZ14" s="37">
        <f t="shared" si="21"/>
        <v>36343.440361027038</v>
      </c>
      <c r="BA14" s="37">
        <f t="shared" si="22"/>
        <v>37508.414208976021</v>
      </c>
      <c r="BB14" s="37">
        <f t="shared" si="23"/>
        <v>38561.662334649511</v>
      </c>
      <c r="BC14" s="37">
        <f t="shared" si="24"/>
        <v>40131.860911409232</v>
      </c>
      <c r="BD14" s="37">
        <f t="shared" si="25"/>
        <v>46092.228442039224</v>
      </c>
      <c r="BE14" s="37">
        <f t="shared" si="26"/>
        <v>65721.627222423907</v>
      </c>
    </row>
    <row r="15" spans="1:308" x14ac:dyDescent="0.25">
      <c r="A15" s="2">
        <f>'creep_res-40'!A15</f>
        <v>1E-3</v>
      </c>
      <c r="B15" s="3">
        <f>'creep_res-40'!O15</f>
        <v>-4.9287082857142855E-4</v>
      </c>
      <c r="C15" s="2">
        <f>IF('Modell einstellen'!$B$2="Ja",creep_res0!O15,creep_res0!C15)</f>
        <v>-5.2969905714285719E-4</v>
      </c>
      <c r="D15" s="2">
        <f>IF('Modell einstellen'!$B$2="Ja",creep_res25!O15,creep_res25!C15)</f>
        <v>-5.5704579999999999E-4</v>
      </c>
      <c r="E15" s="2">
        <f>IF('Modell einstellen'!$B$2="Ja",creep_res50!O15,creep_res50!C15)</f>
        <v>-5.8063117142857139E-4</v>
      </c>
      <c r="F15" s="2">
        <f>IF('Modell einstellen'!$B$2="Ja",creep_res80!O15,creep_res80!C15)</f>
        <v>-6.1364405714285717E-4</v>
      </c>
      <c r="G15" s="2">
        <f>IF('Modell einstellen'!$B$2="Ja",creep_res125!O15,creep_res125!C15)</f>
        <v>-6.9877779999999998E-4</v>
      </c>
      <c r="H15" s="2">
        <f>IF('Modell einstellen'!$B$2="Ja",creep_res160!O15,creep_res160!C15)</f>
        <v>-8.4309208571428575E-4</v>
      </c>
      <c r="M15" s="9">
        <f t="shared" si="27"/>
        <v>-10</v>
      </c>
      <c r="N15" s="2">
        <f t="shared" si="4"/>
        <v>1E-3</v>
      </c>
      <c r="O15" s="2">
        <f t="shared" si="5"/>
        <v>20289.291677060097</v>
      </c>
      <c r="P15" s="2">
        <f t="shared" si="6"/>
        <v>18878.644137935571</v>
      </c>
      <c r="Q15" s="2">
        <f t="shared" si="7"/>
        <v>17951.845252221632</v>
      </c>
      <c r="R15" s="2">
        <f t="shared" si="8"/>
        <v>17222.637178428147</v>
      </c>
      <c r="S15" s="2">
        <f t="shared" si="9"/>
        <v>16296.091982965276</v>
      </c>
      <c r="T15" s="2">
        <f t="shared" si="10"/>
        <v>14310.70076925741</v>
      </c>
      <c r="U15" s="2">
        <f t="shared" si="11"/>
        <v>11861.100548142122</v>
      </c>
      <c r="Z15" s="2">
        <v>1E-3</v>
      </c>
      <c r="AA15" s="3">
        <f>IF('Modell einstellen'!$B$2="Ja",'creep_res-40'!P15,'creep_res-40'!L15)</f>
        <v>0.40661691191299681</v>
      </c>
      <c r="AB15" s="2">
        <f>IF('Modell einstellen'!$B$2="Ja",creep_res0!P15,creep_res0!L15)</f>
        <v>0.41636047034146129</v>
      </c>
      <c r="AC15" s="2">
        <f>IF('Modell einstellen'!$B$2="Ja",creep_res25!P15,creep_res25!L15)</f>
        <v>0.42313240927150236</v>
      </c>
      <c r="AD15" s="2">
        <f>IF('Modell einstellen'!$B$2="Ja",creep_res50!P15,creep_res50!L15)</f>
        <v>0.42849750549783489</v>
      </c>
      <c r="AE15" s="2">
        <f>IF('Modell einstellen'!$B$2="Ja",creep_res80!P15,creep_res80!L15)</f>
        <v>0.43564310571479736</v>
      </c>
      <c r="AF15" s="2">
        <f>IF('Modell einstellen'!$B$2="Ja",creep_res125!P15,creep_res125!L15)</f>
        <v>0.4531691925939425</v>
      </c>
      <c r="AG15" s="2">
        <f>IF('Modell einstellen'!$B$2="Ja",creep_res160!P15,creep_res160!L15)</f>
        <v>0.48037016664812376</v>
      </c>
      <c r="AL15" s="2">
        <f t="shared" si="12"/>
        <v>1E-3</v>
      </c>
      <c r="AM15" s="2">
        <f t="shared" si="13"/>
        <v>7212.0886309644511</v>
      </c>
      <c r="AN15" s="2">
        <f t="shared" si="14"/>
        <v>6664.4913259208079</v>
      </c>
      <c r="AO15" s="2">
        <f t="shared" si="15"/>
        <v>6307.1591705971805</v>
      </c>
      <c r="AP15" s="2">
        <f t="shared" si="16"/>
        <v>6028.2349504089671</v>
      </c>
      <c r="AQ15" s="2">
        <f t="shared" si="17"/>
        <v>5675.5372968728034</v>
      </c>
      <c r="AR15" s="2">
        <f t="shared" si="18"/>
        <v>4923.9623445747775</v>
      </c>
      <c r="AS15" s="2">
        <f t="shared" si="19"/>
        <v>4006.1265808261332</v>
      </c>
      <c r="AX15" s="2">
        <f t="shared" si="28"/>
        <v>1E-3</v>
      </c>
      <c r="AY15" s="37">
        <f t="shared" si="20"/>
        <v>36211.574088156383</v>
      </c>
      <c r="AZ15" s="37">
        <f t="shared" si="21"/>
        <v>37619.06245170653</v>
      </c>
      <c r="BA15" s="37">
        <f t="shared" si="22"/>
        <v>38923.741206765451</v>
      </c>
      <c r="BB15" s="37">
        <f t="shared" si="23"/>
        <v>40144.606838172716</v>
      </c>
      <c r="BC15" s="37">
        <f t="shared" si="24"/>
        <v>42202.398991753347</v>
      </c>
      <c r="BD15" s="37">
        <f t="shared" si="25"/>
        <v>50930.507650562598</v>
      </c>
      <c r="BE15" s="37">
        <f t="shared" si="26"/>
        <v>100706.41232255145</v>
      </c>
    </row>
    <row r="16" spans="1:308" x14ac:dyDescent="0.25">
      <c r="A16" s="2">
        <f>'creep_res-40'!A16</f>
        <v>0.01</v>
      </c>
      <c r="B16" s="3">
        <f>'creep_res-40'!O16</f>
        <v>-5.1801585714285716E-4</v>
      </c>
      <c r="C16" s="2">
        <f>IF('Modell einstellen'!$B$2="Ja",creep_res0!O16,creep_res0!C16)</f>
        <v>-5.5408702857142863E-4</v>
      </c>
      <c r="D16" s="2">
        <f>IF('Modell einstellen'!$B$2="Ja",creep_res25!O16,creep_res25!C16)</f>
        <v>-5.8081520000000011E-4</v>
      </c>
      <c r="E16" s="2">
        <f>IF('Modell einstellen'!$B$2="Ja",creep_res50!O16,creep_res50!C16)</f>
        <v>-6.0616185714285715E-4</v>
      </c>
      <c r="F16" s="2">
        <f>IF('Modell einstellen'!$B$2="Ja",creep_res80!O16,creep_res80!C16)</f>
        <v>-6.4314922857142858E-4</v>
      </c>
      <c r="G16" s="2">
        <f>IF('Modell einstellen'!$B$2="Ja",creep_res125!O16,creep_res125!C16)</f>
        <v>-7.4557468571428585E-4</v>
      </c>
      <c r="H16" s="2">
        <f>IF('Modell einstellen'!$B$2="Ja",creep_res160!O16,creep_res160!C16)</f>
        <v>-9.3429554285714294E-4</v>
      </c>
      <c r="M16" s="9">
        <f t="shared" si="27"/>
        <v>-10</v>
      </c>
      <c r="N16" s="2">
        <f t="shared" si="4"/>
        <v>0.01</v>
      </c>
      <c r="O16" s="2">
        <f t="shared" si="5"/>
        <v>19304.428353130945</v>
      </c>
      <c r="P16" s="2">
        <f t="shared" si="6"/>
        <v>18047.706378874158</v>
      </c>
      <c r="Q16" s="2">
        <f t="shared" si="7"/>
        <v>17217.180266632138</v>
      </c>
      <c r="R16" s="2">
        <f t="shared" si="8"/>
        <v>16497.243899731639</v>
      </c>
      <c r="S16" s="2">
        <f t="shared" si="9"/>
        <v>15548.491012283619</v>
      </c>
      <c r="T16" s="2">
        <f t="shared" si="10"/>
        <v>13412.472541794603</v>
      </c>
      <c r="U16" s="2">
        <f t="shared" si="11"/>
        <v>10703.251317478494</v>
      </c>
      <c r="Z16" s="2">
        <v>0.01</v>
      </c>
      <c r="AA16" s="3">
        <f>IF('Modell einstellen'!$B$2="Ja",'creep_res-40'!P16,'creep_res-40'!L16)</f>
        <v>0.41402304562656794</v>
      </c>
      <c r="AB16" s="2">
        <f>IF('Modell einstellen'!$B$2="Ja",creep_res0!P16,creep_res0!L16)</f>
        <v>0.42304896301488693</v>
      </c>
      <c r="AC16" s="2">
        <f>IF('Modell einstellen'!$B$2="Ja",creep_res25!P16,creep_res25!L16)</f>
        <v>0.4293171833558862</v>
      </c>
      <c r="AD16" s="2">
        <f>IF('Modell einstellen'!$B$2="Ja",creep_res50!P16,creep_res50!L16)</f>
        <v>0.43486516213373472</v>
      </c>
      <c r="AE16" s="2">
        <f>IF('Modell einstellen'!$B$2="Ja",creep_res80!P16,creep_res80!L16)</f>
        <v>0.44259302540005935</v>
      </c>
      <c r="AF16" s="2">
        <f>IF('Modell einstellen'!$B$2="Ja",creep_res125!P16,creep_res125!L16)</f>
        <v>0.46296053736343123</v>
      </c>
      <c r="AG16" s="2">
        <f>IF('Modell einstellen'!$B$2="Ja",creep_res160!P16,creep_res160!L16)</f>
        <v>0.49644199461632577</v>
      </c>
      <c r="AL16" s="2">
        <f t="shared" si="12"/>
        <v>0.01</v>
      </c>
      <c r="AM16" s="2">
        <f t="shared" si="13"/>
        <v>6826.065675816817</v>
      </c>
      <c r="AN16" s="2">
        <f t="shared" si="14"/>
        <v>6341.2106146502829</v>
      </c>
      <c r="AO16" s="2">
        <f t="shared" si="15"/>
        <v>6022.8689849680577</v>
      </c>
      <c r="AP16" s="2">
        <f t="shared" si="16"/>
        <v>5748.7087759518809</v>
      </c>
      <c r="AQ16" s="2">
        <f t="shared" si="17"/>
        <v>5389.077424650558</v>
      </c>
      <c r="AR16" s="2">
        <f t="shared" si="18"/>
        <v>4584.0172032140918</v>
      </c>
      <c r="AS16" s="2">
        <f t="shared" si="19"/>
        <v>3576.233277328839</v>
      </c>
      <c r="AX16" s="2">
        <f t="shared" si="28"/>
        <v>0.01</v>
      </c>
      <c r="AY16" s="37">
        <f t="shared" si="20"/>
        <v>37421.710840644082</v>
      </c>
      <c r="AZ16" s="37">
        <f t="shared" si="21"/>
        <v>39089.155663069367</v>
      </c>
      <c r="BA16" s="37">
        <f t="shared" si="22"/>
        <v>40597.279235301292</v>
      </c>
      <c r="BB16" s="37">
        <f t="shared" si="23"/>
        <v>42213.057405633284</v>
      </c>
      <c r="BC16" s="37">
        <f t="shared" si="24"/>
        <v>45141.120687391449</v>
      </c>
      <c r="BD16" s="37">
        <f t="shared" si="25"/>
        <v>60352.173902547278</v>
      </c>
      <c r="BE16" s="37">
        <f t="shared" si="26"/>
        <v>501369.45485383167</v>
      </c>
    </row>
    <row r="17" spans="1:57" x14ac:dyDescent="0.25">
      <c r="A17" s="2">
        <f>'creep_res-40'!A17</f>
        <v>0.1</v>
      </c>
      <c r="B17" s="3">
        <f>'creep_res-40'!O17</f>
        <v>-5.4382945714285722E-4</v>
      </c>
      <c r="C17" s="2">
        <f>IF('Modell einstellen'!$B$2="Ja",creep_res0!O17,creep_res0!C17)</f>
        <v>-5.774936857142857E-4</v>
      </c>
      <c r="D17" s="2">
        <f>IF('Modell einstellen'!$B$2="Ja",creep_res25!O17,creep_res25!C17)</f>
        <v>-6.0632237142857145E-4</v>
      </c>
      <c r="E17" s="2">
        <f>IF('Modell einstellen'!$B$2="Ja",creep_res50!O17,creep_res50!C17)</f>
        <v>-6.3452037142857146E-4</v>
      </c>
      <c r="F17" s="2">
        <f>IF('Modell einstellen'!$B$2="Ja",creep_res80!O17,creep_res80!C17)</f>
        <v>-6.7329702857142854E-4</v>
      </c>
      <c r="G17" s="2">
        <f>IF('Modell einstellen'!$B$2="Ja",creep_res125!O17,creep_res125!C17)</f>
        <v>-8.0384180000000007E-4</v>
      </c>
      <c r="H17" s="2">
        <f>IF('Modell einstellen'!$B$2="Ja",creep_res160!O17,creep_res160!C17)</f>
        <v>-1.0801062E-3</v>
      </c>
      <c r="M17" s="9">
        <f t="shared" si="27"/>
        <v>-10</v>
      </c>
      <c r="N17" s="2">
        <f t="shared" si="4"/>
        <v>0.1</v>
      </c>
      <c r="O17" s="2">
        <f t="shared" si="5"/>
        <v>18388.117577406487</v>
      </c>
      <c r="P17" s="2">
        <f t="shared" si="6"/>
        <v>17316.206648443753</v>
      </c>
      <c r="Q17" s="2">
        <f t="shared" si="7"/>
        <v>16492.876514582083</v>
      </c>
      <c r="R17" s="2">
        <f t="shared" si="8"/>
        <v>15759.935299611905</v>
      </c>
      <c r="S17" s="2">
        <f t="shared" si="9"/>
        <v>14852.2859535227</v>
      </c>
      <c r="T17" s="2">
        <f t="shared" si="10"/>
        <v>12440.258767334566</v>
      </c>
      <c r="U17" s="2">
        <f t="shared" si="11"/>
        <v>9258.3488549551894</v>
      </c>
      <c r="Z17" s="2">
        <v>0.1</v>
      </c>
      <c r="AA17" s="3">
        <f>IF('Modell einstellen'!$B$2="Ja",'creep_res-40'!P17,'creep_res-40'!L17)</f>
        <v>0.4213196458490584</v>
      </c>
      <c r="AB17" s="2">
        <f>IF('Modell einstellen'!$B$2="Ja",creep_res0!P17,creep_res0!L17)</f>
        <v>0.42922859416298381</v>
      </c>
      <c r="AC17" s="2">
        <f>IF('Modell einstellen'!$B$2="Ja",creep_res25!P17,creep_res25!L17)</f>
        <v>0.43574343266615878</v>
      </c>
      <c r="AD17" s="2">
        <f>IF('Modell einstellen'!$B$2="Ja",creep_res50!P17,creep_res50!L17)</f>
        <v>0.44169083752934107</v>
      </c>
      <c r="AE17" s="2">
        <f>IF('Modell einstellen'!$B$2="Ja",creep_res80!P17,creep_res80!L17)</f>
        <v>0.4494153631027461</v>
      </c>
      <c r="AF17" s="2">
        <f>IF('Modell einstellen'!$B$2="Ja",creep_res125!P17,creep_res125!L17)</f>
        <v>0.47355017936542809</v>
      </c>
      <c r="AG17" s="2">
        <f>IF('Modell einstellen'!$B$2="Ja",creep_res160!P17,creep_res160!L17)</f>
        <v>0.51303529227033418</v>
      </c>
      <c r="AL17" s="2">
        <f t="shared" si="12"/>
        <v>0.1</v>
      </c>
      <c r="AM17" s="2">
        <f t="shared" si="13"/>
        <v>6468.6777640443843</v>
      </c>
      <c r="AN17" s="2">
        <f t="shared" si="14"/>
        <v>6057.8856031721252</v>
      </c>
      <c r="AO17" s="2">
        <f t="shared" si="15"/>
        <v>5743.6712365645317</v>
      </c>
      <c r="AP17" s="2">
        <f t="shared" si="16"/>
        <v>5465.7818754747968</v>
      </c>
      <c r="AQ17" s="2">
        <f t="shared" si="17"/>
        <v>5123.5437168709832</v>
      </c>
      <c r="AR17" s="2">
        <f t="shared" si="18"/>
        <v>4221.1859974432145</v>
      </c>
      <c r="AS17" s="2">
        <f t="shared" si="19"/>
        <v>3059.5283871610445</v>
      </c>
      <c r="AX17" s="2">
        <f t="shared" si="28"/>
        <v>0.1</v>
      </c>
      <c r="AY17" s="37">
        <f t="shared" si="20"/>
        <v>38951.098987451682</v>
      </c>
      <c r="AZ17" s="37">
        <f t="shared" si="21"/>
        <v>40779.668105699609</v>
      </c>
      <c r="BA17" s="37">
        <f t="shared" si="22"/>
        <v>42778.705220106953</v>
      </c>
      <c r="BB17" s="37">
        <f t="shared" si="23"/>
        <v>45047.052160805426</v>
      </c>
      <c r="BC17" s="37">
        <f t="shared" si="24"/>
        <v>48935.430677929115</v>
      </c>
      <c r="BD17" s="37">
        <f t="shared" si="25"/>
        <v>78389.055633608659</v>
      </c>
      <c r="BE17" s="37">
        <f t="shared" si="26"/>
        <v>-118375.41579364783</v>
      </c>
    </row>
    <row r="18" spans="1:57" x14ac:dyDescent="0.25">
      <c r="A18" s="2">
        <f>'creep_res-40'!A18</f>
        <v>1</v>
      </c>
      <c r="B18" s="3">
        <f>'creep_res-40'!O18</f>
        <v>-5.6631957142857148E-4</v>
      </c>
      <c r="C18" s="2">
        <f>IF('Modell einstellen'!$B$2="Ja",creep_res0!O18,creep_res0!C18)</f>
        <v>-6.0290725714285721E-4</v>
      </c>
      <c r="D18" s="2">
        <f>IF('Modell einstellen'!$B$2="Ja",creep_res25!O18,creep_res25!C18)</f>
        <v>-6.3484974285714293E-4</v>
      </c>
      <c r="E18" s="2">
        <f>IF('Modell einstellen'!$B$2="Ja",creep_res50!O18,creep_res50!C18)</f>
        <v>-6.6471354285714285E-4</v>
      </c>
      <c r="F18" s="2">
        <f>IF('Modell einstellen'!$B$2="Ja",creep_res80!O18,creep_res80!C18)</f>
        <v>-7.1481365714285718E-4</v>
      </c>
      <c r="G18" s="2">
        <f>IF('Modell einstellen'!$B$2="Ja",creep_res125!O18,creep_res125!C18)</f>
        <v>-8.9073805714285725E-4</v>
      </c>
      <c r="H18" s="2">
        <f>IF('Modell einstellen'!$B$2="Ja",creep_res160!O18,creep_res160!C18)</f>
        <v>-1.3319143428571429E-3</v>
      </c>
      <c r="M18" s="9">
        <f t="shared" si="27"/>
        <v>-10</v>
      </c>
      <c r="N18" s="2">
        <f t="shared" si="4"/>
        <v>1</v>
      </c>
      <c r="O18" s="2">
        <f t="shared" si="5"/>
        <v>17657.874642711824</v>
      </c>
      <c r="P18" s="2">
        <f t="shared" si="6"/>
        <v>16586.298939889071</v>
      </c>
      <c r="Q18" s="2">
        <f t="shared" si="7"/>
        <v>15751.758762624639</v>
      </c>
      <c r="R18" s="2">
        <f t="shared" si="8"/>
        <v>15044.074409883286</v>
      </c>
      <c r="S18" s="2">
        <f t="shared" si="9"/>
        <v>13989.659962528494</v>
      </c>
      <c r="T18" s="2">
        <f t="shared" si="10"/>
        <v>11226.645049922003</v>
      </c>
      <c r="U18" s="2">
        <f t="shared" si="11"/>
        <v>7507.9903250749585</v>
      </c>
      <c r="Z18" s="2">
        <v>1</v>
      </c>
      <c r="AA18" s="3">
        <f>IF('Modell einstellen'!$B$2="Ja",'creep_res-40'!P18,'creep_res-40'!L18)</f>
        <v>0.42745693055183126</v>
      </c>
      <c r="AB18" s="2">
        <f>IF('Modell einstellen'!$B$2="Ja",creep_res0!P18,creep_res0!L18)</f>
        <v>0.43572199258886246</v>
      </c>
      <c r="AC18" s="2">
        <f>IF('Modell einstellen'!$B$2="Ja",creep_res25!P18,creep_res25!L18)</f>
        <v>0.44266577184675554</v>
      </c>
      <c r="AD18" s="2">
        <f>IF('Modell einstellen'!$B$2="Ja",creep_res50!P18,creep_res50!L18)</f>
        <v>0.44859117401119813</v>
      </c>
      <c r="AE18" s="2">
        <f>IF('Modell einstellen'!$B$2="Ja",creep_res80!P18,creep_res80!L18)</f>
        <v>0.45747459138001917</v>
      </c>
      <c r="AF18" s="2">
        <f>IF('Modell einstellen'!$B$2="Ja",creep_res125!P18,creep_res125!L18)</f>
        <v>0.48111219613962503</v>
      </c>
      <c r="AG18" s="2">
        <f>IF('Modell einstellen'!$B$2="Ja",creep_res160!P18,creep_res160!L18)</f>
        <v>0.52011225432300434</v>
      </c>
      <c r="AL18" s="2">
        <f t="shared" si="12"/>
        <v>1</v>
      </c>
      <c r="AM18" s="2">
        <f t="shared" si="13"/>
        <v>6185.0814076350389</v>
      </c>
      <c r="AN18" s="2">
        <f t="shared" si="14"/>
        <v>5776.2920069159836</v>
      </c>
      <c r="AO18" s="2">
        <f t="shared" si="15"/>
        <v>5459.2543435964462</v>
      </c>
      <c r="AP18" s="2">
        <f t="shared" si="16"/>
        <v>5192.657072535425</v>
      </c>
      <c r="AQ18" s="2">
        <f t="shared" si="17"/>
        <v>4799.280908658001</v>
      </c>
      <c r="AR18" s="2">
        <f t="shared" si="18"/>
        <v>3789.937412973562</v>
      </c>
      <c r="AS18" s="2">
        <f t="shared" si="19"/>
        <v>2469.5512794279489</v>
      </c>
      <c r="AX18" s="2">
        <f t="shared" si="28"/>
        <v>1</v>
      </c>
      <c r="AY18" s="37">
        <f t="shared" si="20"/>
        <v>40568.71496485774</v>
      </c>
      <c r="AZ18" s="37">
        <f t="shared" si="21"/>
        <v>43006.671612679616</v>
      </c>
      <c r="BA18" s="37">
        <f t="shared" si="22"/>
        <v>45789.281754821095</v>
      </c>
      <c r="BB18" s="37">
        <f t="shared" si="23"/>
        <v>48772.670582415376</v>
      </c>
      <c r="BC18" s="37">
        <f t="shared" si="24"/>
        <v>54828.632326397623</v>
      </c>
      <c r="BD18" s="37">
        <f t="shared" si="25"/>
        <v>99064.323314250432</v>
      </c>
      <c r="BE18" s="37">
        <f t="shared" si="26"/>
        <v>-62217.37756242256</v>
      </c>
    </row>
    <row r="19" spans="1:57" x14ac:dyDescent="0.25">
      <c r="A19" s="2">
        <f>'creep_res-40'!A19</f>
        <v>10</v>
      </c>
      <c r="B19" s="3">
        <f>'creep_res-40'!O19</f>
        <v>-5.9135617142857145E-4</v>
      </c>
      <c r="C19" s="2">
        <f>IF('Modell einstellen'!$B$2="Ja",creep_res0!O19,creep_res0!C19)</f>
        <v>-6.3093077142857145E-4</v>
      </c>
      <c r="D19" s="2">
        <f>IF('Modell einstellen'!$B$2="Ja",creep_res25!O19,creep_res25!C19)</f>
        <v>-6.6514245714285717E-4</v>
      </c>
      <c r="E19" s="2">
        <f>IF('Modell einstellen'!$B$2="Ja",creep_res50!O19,creep_res50!C19)</f>
        <v>-7.0354954285714285E-4</v>
      </c>
      <c r="F19" s="2">
        <f>IF('Modell einstellen'!$B$2="Ja",creep_res80!O19,creep_res80!C19)</f>
        <v>-7.7185057142857148E-4</v>
      </c>
      <c r="G19" s="2">
        <f>IF('Modell einstellen'!$B$2="Ja",creep_res125!O19,creep_res125!C19)</f>
        <v>-1.0281325428571429E-3</v>
      </c>
      <c r="H19" s="2">
        <f>IF('Modell einstellen'!$B$2="Ja",creep_res160!O19,creep_res160!C19)</f>
        <v>-1.7799718571428571E-3</v>
      </c>
      <c r="M19" s="9">
        <f t="shared" si="27"/>
        <v>-10</v>
      </c>
      <c r="N19" s="2">
        <f t="shared" si="4"/>
        <v>10</v>
      </c>
      <c r="O19" s="2">
        <f t="shared" si="5"/>
        <v>16910.282640396654</v>
      </c>
      <c r="P19" s="2">
        <f t="shared" si="6"/>
        <v>15849.59943760187</v>
      </c>
      <c r="Q19" s="2">
        <f t="shared" si="7"/>
        <v>15034.373302458171</v>
      </c>
      <c r="R19" s="2">
        <f t="shared" si="8"/>
        <v>14213.640107546087</v>
      </c>
      <c r="S19" s="2">
        <f t="shared" si="9"/>
        <v>12955.875619152041</v>
      </c>
      <c r="T19" s="2">
        <f t="shared" si="10"/>
        <v>9726.3724112947184</v>
      </c>
      <c r="U19" s="2">
        <f t="shared" si="11"/>
        <v>5618.0663530555021</v>
      </c>
      <c r="Z19" s="2">
        <v>10</v>
      </c>
      <c r="AA19" s="3">
        <f>IF('Modell einstellen'!$B$2="Ja",'creep_res-40'!P19,'creep_res-40'!L19)</f>
        <v>0.43404531260010282</v>
      </c>
      <c r="AB19" s="2">
        <f>IF('Modell einstellen'!$B$2="Ja",creep_res0!P19,creep_res0!L19)</f>
        <v>0.44260824721679903</v>
      </c>
      <c r="AC19" s="2">
        <f>IF('Modell einstellen'!$B$2="Ja",creep_res25!P19,creep_res25!L19)</f>
        <v>0.44948016721315892</v>
      </c>
      <c r="AD19" s="2">
        <f>IF('Modell einstellen'!$B$2="Ja",creep_res50!P19,creep_res50!L19)</f>
        <v>0.45544880705730789</v>
      </c>
      <c r="AE19" s="2">
        <f>IF('Modell einstellen'!$B$2="Ja",creep_res80!P19,creep_res80!L19)</f>
        <v>0.4620685647147838</v>
      </c>
      <c r="AF19" s="2">
        <f>IF('Modell einstellen'!$B$2="Ja",creep_res125!P19,creep_res125!L19)</f>
        <v>0.48093212773372551</v>
      </c>
      <c r="AG19" s="2">
        <f>IF('Modell einstellen'!$B$2="Ja",creep_res160!P19,creep_res160!L19)</f>
        <v>0.52432910857418857</v>
      </c>
      <c r="AL19" s="2">
        <f t="shared" si="12"/>
        <v>10</v>
      </c>
      <c r="AM19" s="2">
        <f t="shared" si="13"/>
        <v>5896.0070828362468</v>
      </c>
      <c r="AN19" s="2">
        <f t="shared" si="14"/>
        <v>5493.3830678495879</v>
      </c>
      <c r="AO19" s="2">
        <f t="shared" si="15"/>
        <v>5186.1259100095131</v>
      </c>
      <c r="AP19" s="2">
        <f t="shared" si="16"/>
        <v>4882.9062343607484</v>
      </c>
      <c r="AQ19" s="2">
        <f t="shared" si="17"/>
        <v>4430.6662258617935</v>
      </c>
      <c r="AR19" s="2">
        <f t="shared" si="18"/>
        <v>3283.8683924627298</v>
      </c>
      <c r="AS19" s="2">
        <f t="shared" si="19"/>
        <v>1842.799668868907</v>
      </c>
      <c r="AX19" s="2">
        <f t="shared" si="28"/>
        <v>10</v>
      </c>
      <c r="AY19" s="37">
        <f t="shared" si="20"/>
        <v>42732.071838619653</v>
      </c>
      <c r="AZ19" s="37">
        <f t="shared" si="21"/>
        <v>46027.517511892336</v>
      </c>
      <c r="BA19" s="37">
        <f t="shared" si="22"/>
        <v>49598.914832427879</v>
      </c>
      <c r="BB19" s="37">
        <f t="shared" si="23"/>
        <v>53173.436252798107</v>
      </c>
      <c r="BC19" s="37">
        <f t="shared" si="24"/>
        <v>56926.730743394786</v>
      </c>
      <c r="BD19" s="37">
        <f t="shared" si="25"/>
        <v>85015.362275963344</v>
      </c>
      <c r="BE19" s="37">
        <f t="shared" si="26"/>
        <v>-38486.588578477997</v>
      </c>
    </row>
    <row r="20" spans="1:57" x14ac:dyDescent="0.25">
      <c r="A20" s="2">
        <f>'creep_res-40'!A20</f>
        <v>100</v>
      </c>
      <c r="B20" s="3">
        <f>'creep_res-40'!O20</f>
        <v>-6.1750360000000003E-4</v>
      </c>
      <c r="C20" s="2">
        <f>IF('Modell einstellen'!$B$2="Ja",creep_res0!O20,creep_res0!C20)</f>
        <v>-6.6142368571428577E-4</v>
      </c>
      <c r="D20" s="2">
        <f>IF('Modell einstellen'!$B$2="Ja",creep_res25!O20,creep_res25!C20)</f>
        <v>-7.0607157142857152E-4</v>
      </c>
      <c r="E20" s="2">
        <f>IF('Modell einstellen'!$B$2="Ja",creep_res50!O20,creep_res50!C20)</f>
        <v>-7.6183774285714279E-4</v>
      </c>
      <c r="F20" s="2">
        <f>IF('Modell einstellen'!$B$2="Ja",creep_res80!O20,creep_res80!C20)</f>
        <v>-8.5811151428571433E-4</v>
      </c>
      <c r="G20" s="2">
        <f>IF('Modell einstellen'!$B$2="Ja",creep_res125!O20,creep_res125!C20)</f>
        <v>-1.2448388857142858E-3</v>
      </c>
      <c r="H20" s="2">
        <f>IF('Modell einstellen'!$B$2="Ja",creep_res160!O20,creep_res160!C20)</f>
        <v>-2.461023085714286E-3</v>
      </c>
      <c r="M20" s="9">
        <f t="shared" si="27"/>
        <v>-10</v>
      </c>
      <c r="N20" s="2">
        <f t="shared" si="4"/>
        <v>100</v>
      </c>
      <c r="O20" s="2">
        <f t="shared" si="5"/>
        <v>16194.23757205626</v>
      </c>
      <c r="P20" s="2">
        <f t="shared" si="6"/>
        <v>15118.902174180206</v>
      </c>
      <c r="Q20" s="2">
        <f t="shared" si="7"/>
        <v>14162.870174431931</v>
      </c>
      <c r="R20" s="2">
        <f t="shared" si="8"/>
        <v>13126.154609374827</v>
      </c>
      <c r="S20" s="2">
        <f t="shared" si="9"/>
        <v>11653.497049650856</v>
      </c>
      <c r="T20" s="2">
        <f t="shared" si="10"/>
        <v>8033.1680788249332</v>
      </c>
      <c r="U20" s="2">
        <f t="shared" si="11"/>
        <v>4063.3507495512199</v>
      </c>
      <c r="Z20" s="2">
        <v>100</v>
      </c>
      <c r="AA20" s="3">
        <f>IF('Modell einstellen'!$B$2="Ja",'creep_res-40'!P20,'creep_res-40'!L20)</f>
        <v>0.44070882455468396</v>
      </c>
      <c r="AB20" s="2">
        <f>IF('Modell einstellen'!$B$2="Ja",creep_res0!P20,creep_res0!L20)</f>
        <v>0.44941105180517749</v>
      </c>
      <c r="AC20" s="2">
        <f>IF('Modell einstellen'!$B$2="Ja",creep_res25!P20,creep_res25!L20)</f>
        <v>0.45543505201111745</v>
      </c>
      <c r="AD20" s="2">
        <f>IF('Modell einstellen'!$B$2="Ja",creep_res50!P20,creep_res50!L20)</f>
        <v>0.45796272104585001</v>
      </c>
      <c r="AE20" s="2">
        <f>IF('Modell einstellen'!$B$2="Ja",creep_res80!P20,creep_res80!L20)</f>
        <v>0.460190438785129</v>
      </c>
      <c r="AF20" s="2">
        <f>IF('Modell einstellen'!$B$2="Ja",creep_res125!P20,creep_res125!L20)</f>
        <v>0.47956292037425102</v>
      </c>
      <c r="AG20" s="2">
        <f>IF('Modell einstellen'!$B$2="Ja",creep_res160!P20,creep_res160!L20)</f>
        <v>0.52898518116878868</v>
      </c>
      <c r="AL20" s="2">
        <f t="shared" si="12"/>
        <v>100</v>
      </c>
      <c r="AM20" s="2">
        <f t="shared" si="13"/>
        <v>5620.2326577203476</v>
      </c>
      <c r="AN20" s="2">
        <f t="shared" si="14"/>
        <v>5215.5329419319251</v>
      </c>
      <c r="AO20" s="2">
        <f t="shared" si="15"/>
        <v>4865.5108844814831</v>
      </c>
      <c r="AP20" s="2">
        <f t="shared" si="16"/>
        <v>4501.5398610325774</v>
      </c>
      <c r="AQ20" s="2">
        <f t="shared" si="17"/>
        <v>3990.4031488339651</v>
      </c>
      <c r="AR20" s="2">
        <f t="shared" si="18"/>
        <v>2714.7098539050189</v>
      </c>
      <c r="AS20" s="2">
        <f t="shared" si="19"/>
        <v>1328.7737512423464</v>
      </c>
      <c r="AX20" s="2">
        <f t="shared" si="28"/>
        <v>100</v>
      </c>
      <c r="AY20" s="37">
        <f t="shared" si="20"/>
        <v>45521.775796670132</v>
      </c>
      <c r="AZ20" s="37">
        <f t="shared" si="21"/>
        <v>49809.634691869775</v>
      </c>
      <c r="BA20" s="37">
        <f t="shared" si="22"/>
        <v>52967.151739842295</v>
      </c>
      <c r="BB20" s="37">
        <f t="shared" si="23"/>
        <v>52041.72318769533</v>
      </c>
      <c r="BC20" s="37">
        <f t="shared" si="24"/>
        <v>48788.518361001385</v>
      </c>
      <c r="BD20" s="37">
        <f t="shared" si="25"/>
        <v>65511.382789934971</v>
      </c>
      <c r="BE20" s="37">
        <f t="shared" si="26"/>
        <v>-23364.529653326481</v>
      </c>
    </row>
    <row r="21" spans="1:57" x14ac:dyDescent="0.25">
      <c r="A21" s="2">
        <f>'creep_res-40'!A21</f>
        <v>1000</v>
      </c>
      <c r="B21" s="3">
        <f>'creep_res-40'!O21</f>
        <v>-6.4772062857142859E-4</v>
      </c>
      <c r="C21" s="2">
        <f>IF('Modell einstellen'!$B$2="Ja",creep_res0!O21,creep_res0!C21)</f>
        <v>-7.0192851428571438E-4</v>
      </c>
      <c r="D21" s="2">
        <f>IF('Modell einstellen'!$B$2="Ja",creep_res25!O21,creep_res25!C21)</f>
        <v>-7.6816097142857142E-4</v>
      </c>
      <c r="E21" s="2">
        <f>IF('Modell einstellen'!$B$2="Ja",creep_res50!O21,creep_res50!C21)</f>
        <v>-8.4521674285714286E-4</v>
      </c>
      <c r="F21" s="2">
        <f>IF('Modell einstellen'!$B$2="Ja",creep_res80!O21,creep_res80!C21)</f>
        <v>-9.7714334285714283E-4</v>
      </c>
      <c r="G21" s="2">
        <f>IF('Modell einstellen'!$B$2="Ja",creep_res125!O21,creep_res125!C21)</f>
        <v>-1.5896212285714288E-3</v>
      </c>
      <c r="H21" s="2">
        <f>IF('Modell einstellen'!$B$2="Ja",creep_res160!O21,creep_res160!C21)</f>
        <v>-3.4348485714285715E-3</v>
      </c>
      <c r="M21" s="9">
        <f t="shared" si="27"/>
        <v>-10</v>
      </c>
      <c r="N21" s="2">
        <f t="shared" si="4"/>
        <v>1000</v>
      </c>
      <c r="O21" s="2">
        <f t="shared" si="5"/>
        <v>15438.754856480893</v>
      </c>
      <c r="P21" s="2">
        <f t="shared" si="6"/>
        <v>14246.464983939348</v>
      </c>
      <c r="Q21" s="2">
        <f t="shared" si="7"/>
        <v>13018.104761821871</v>
      </c>
      <c r="R21" s="2">
        <f t="shared" si="8"/>
        <v>11831.284797076225</v>
      </c>
      <c r="S21" s="2">
        <f t="shared" si="9"/>
        <v>10233.913041622172</v>
      </c>
      <c r="T21" s="2">
        <f t="shared" si="10"/>
        <v>6290.8067785348248</v>
      </c>
      <c r="U21" s="2">
        <f t="shared" si="11"/>
        <v>2911.3364947674963</v>
      </c>
      <c r="Z21" s="2">
        <v>1000</v>
      </c>
      <c r="AA21" s="3">
        <f>IF('Modell einstellen'!$B$2="Ja",'creep_res-40'!P21,'creep_res-40'!L21)</f>
        <v>0.44807624733449902</v>
      </c>
      <c r="AB21" s="2">
        <f>IF('Modell einstellen'!$B$2="Ja",creep_res0!P21,creep_res0!L21)</f>
        <v>0.45440146163846229</v>
      </c>
      <c r="AC21" s="2">
        <f>IF('Modell einstellen'!$B$2="Ja",creep_res25!P21,creep_res25!L21)</f>
        <v>0.4557357286050982</v>
      </c>
      <c r="AD21" s="2">
        <f>IF('Modell einstellen'!$B$2="Ja",creep_res50!P21,creep_res50!L21)</f>
        <v>0.45468628063821065</v>
      </c>
      <c r="AE21" s="2">
        <f>IF('Modell einstellen'!$B$2="Ja",creep_res80!P21,creep_res80!L21)</f>
        <v>0.45673608875691496</v>
      </c>
      <c r="AF21" s="2">
        <f>IF('Modell einstellen'!$B$2="Ja",creep_res125!P21,creep_res125!L21)</f>
        <v>0.48344366599604865</v>
      </c>
      <c r="AG21" s="2">
        <f>IF('Modell einstellen'!$B$2="Ja",creep_res160!P21,creep_res160!L21)</f>
        <v>0.53416238769519475</v>
      </c>
      <c r="AL21" s="2">
        <f t="shared" si="12"/>
        <v>1000</v>
      </c>
      <c r="AM21" s="2">
        <f t="shared" si="13"/>
        <v>5330.7810569019748</v>
      </c>
      <c r="AN21" s="2">
        <f t="shared" si="14"/>
        <v>4897.7071873573095</v>
      </c>
      <c r="AO21" s="2">
        <f t="shared" si="15"/>
        <v>4471.3145751722259</v>
      </c>
      <c r="AP21" s="2">
        <f t="shared" si="16"/>
        <v>4066.6104281555185</v>
      </c>
      <c r="AQ21" s="2">
        <f t="shared" si="17"/>
        <v>3512.6173919241392</v>
      </c>
      <c r="AR21" s="2">
        <f t="shared" si="18"/>
        <v>2120.3389527808267</v>
      </c>
      <c r="AS21" s="2">
        <f t="shared" si="19"/>
        <v>948.83583319405307</v>
      </c>
      <c r="AX21" s="2">
        <f t="shared" si="28"/>
        <v>1000</v>
      </c>
      <c r="AY21" s="37">
        <f t="shared" si="20"/>
        <v>49555.852135531619</v>
      </c>
      <c r="AZ21" s="37">
        <f t="shared" si="21"/>
        <v>52072.08204417731</v>
      </c>
      <c r="BA21" s="37">
        <f t="shared" si="22"/>
        <v>49016.600942407204</v>
      </c>
      <c r="BB21" s="37">
        <f t="shared" si="23"/>
        <v>43516.198345340119</v>
      </c>
      <c r="BC21" s="37">
        <f t="shared" si="24"/>
        <v>39424.36373864171</v>
      </c>
      <c r="BD21" s="37">
        <f t="shared" si="25"/>
        <v>63327.291909685009</v>
      </c>
      <c r="BE21" s="37">
        <f t="shared" si="26"/>
        <v>-14203.42024852575</v>
      </c>
    </row>
    <row r="22" spans="1:57" x14ac:dyDescent="0.25">
      <c r="A22" s="2">
        <f>'creep_res-40'!A22</f>
        <v>10000</v>
      </c>
      <c r="B22" s="3">
        <f>'creep_res-40'!O22</f>
        <v>-6.7977485714285719E-4</v>
      </c>
      <c r="C22" s="2">
        <f>IF('Modell einstellen'!$B$2="Ja",creep_res0!O22,creep_res0!C22)</f>
        <v>-7.6508594285714293E-4</v>
      </c>
      <c r="D22" s="2">
        <f>IF('Modell einstellen'!$B$2="Ja",creep_res25!O22,creep_res25!C22)</f>
        <v>-8.5432602857142862E-4</v>
      </c>
      <c r="E22" s="2">
        <f>IF('Modell einstellen'!$B$2="Ja",creep_res50!O22,creep_res50!C22)</f>
        <v>-9.5746677142857144E-4</v>
      </c>
      <c r="F22" s="2">
        <f>IF('Modell einstellen'!$B$2="Ja",creep_res80!O22,creep_res80!C22)</f>
        <v>-1.1450628000000001E-3</v>
      </c>
      <c r="G22" s="2">
        <f>IF('Modell einstellen'!$B$2="Ja",creep_res125!O22,creep_res125!C22)</f>
        <v>-2.1613843714285716E-3</v>
      </c>
      <c r="H22" s="2">
        <f>IF('Modell einstellen'!$B$2="Ja",creep_res160!O22,creep_res160!C22)</f>
        <v>-4.4121640000000005E-3</v>
      </c>
      <c r="M22" s="9">
        <f t="shared" si="27"/>
        <v>-10</v>
      </c>
      <c r="N22" s="2">
        <f t="shared" si="4"/>
        <v>10000</v>
      </c>
      <c r="O22" s="2">
        <f t="shared" si="5"/>
        <v>14710.752971992406</v>
      </c>
      <c r="P22" s="2">
        <f t="shared" si="6"/>
        <v>13070.427045955023</v>
      </c>
      <c r="Q22" s="2">
        <f t="shared" si="7"/>
        <v>11705.13324605317</v>
      </c>
      <c r="R22" s="2">
        <f t="shared" si="8"/>
        <v>10444.226680660338</v>
      </c>
      <c r="S22" s="2">
        <f t="shared" si="9"/>
        <v>8733.14546590807</v>
      </c>
      <c r="T22" s="2">
        <f t="shared" si="10"/>
        <v>4626.6643417017394</v>
      </c>
      <c r="U22" s="2">
        <f t="shared" si="11"/>
        <v>2266.4615367878437</v>
      </c>
      <c r="Z22" s="2">
        <v>10000</v>
      </c>
      <c r="AA22" s="3">
        <f>IF('Modell einstellen'!$B$2="Ja",'creep_res-40'!P22,'creep_res-40'!L22)</f>
        <v>0.45464973276866461</v>
      </c>
      <c r="AB22" s="2">
        <f>IF('Modell einstellen'!$B$2="Ja",creep_res0!P22,creep_res0!L22)</f>
        <v>0.45365170553388434</v>
      </c>
      <c r="AC22" s="2">
        <f>IF('Modell einstellen'!$B$2="Ja",creep_res25!P22,creep_res25!L22)</f>
        <v>0.45179784325227995</v>
      </c>
      <c r="AD22" s="2">
        <f>IF('Modell einstellen'!$B$2="Ja",creep_res50!P22,creep_res50!L22)</f>
        <v>0.45156742030316488</v>
      </c>
      <c r="AE22" s="2">
        <f>IF('Modell einstellen'!$B$2="Ja",creep_res80!P22,creep_res80!L22)</f>
        <v>0.45691949322405223</v>
      </c>
      <c r="AF22" s="2">
        <f>IF('Modell einstellen'!$B$2="Ja",creep_res125!P22,creep_res125!L22)</f>
        <v>0.49321881043621607</v>
      </c>
      <c r="AG22" s="2">
        <f>IF('Modell einstellen'!$B$2="Ja",creep_res160!P22,creep_res160!L22)</f>
        <v>0.53264624796358429</v>
      </c>
      <c r="AL22" s="2">
        <f t="shared" si="12"/>
        <v>10000</v>
      </c>
      <c r="AM22" s="2">
        <f t="shared" si="13"/>
        <v>5056.458830124393</v>
      </c>
      <c r="AN22" s="2">
        <f t="shared" si="14"/>
        <v>4495.7217042422935</v>
      </c>
      <c r="AO22" s="2">
        <f t="shared" si="15"/>
        <v>4031.2545236434685</v>
      </c>
      <c r="AP22" s="2">
        <f t="shared" si="16"/>
        <v>3597.5685781370817</v>
      </c>
      <c r="AQ22" s="2">
        <f t="shared" si="17"/>
        <v>2997.1269883218743</v>
      </c>
      <c r="AR22" s="2">
        <f t="shared" si="18"/>
        <v>1549.2251736201158</v>
      </c>
      <c r="AS22" s="2">
        <f t="shared" si="19"/>
        <v>739.39486681916139</v>
      </c>
      <c r="AX22" s="2">
        <f t="shared" si="28"/>
        <v>10000</v>
      </c>
      <c r="AY22" s="37">
        <f t="shared" si="20"/>
        <v>54063.455668120841</v>
      </c>
      <c r="AZ22" s="37">
        <f t="shared" si="21"/>
        <v>47000.747983332156</v>
      </c>
      <c r="BA22" s="37">
        <f t="shared" si="22"/>
        <v>40472.370380006629</v>
      </c>
      <c r="BB22" s="37">
        <f t="shared" si="23"/>
        <v>35940.774942666772</v>
      </c>
      <c r="BC22" s="37">
        <f t="shared" si="24"/>
        <v>33786.14490047373</v>
      </c>
      <c r="BD22" s="37">
        <f t="shared" si="25"/>
        <v>113713.19388197045</v>
      </c>
      <c r="BE22" s="37">
        <f t="shared" si="26"/>
        <v>-11570.811747984026</v>
      </c>
    </row>
    <row r="23" spans="1:57" x14ac:dyDescent="0.25">
      <c r="A23" s="2">
        <f>'creep_res-40'!A23</f>
        <v>100000</v>
      </c>
      <c r="B23" s="3">
        <f>'creep_res-40'!O23</f>
        <v>-7.3137274285714287E-4</v>
      </c>
      <c r="C23" s="2">
        <f>IF('Modell einstellen'!$B$2="Ja",creep_res0!O23,creep_res0!C23)</f>
        <v>-8.4982022857142865E-4</v>
      </c>
      <c r="D23" s="2">
        <f>IF('Modell einstellen'!$B$2="Ja",creep_res25!O23,creep_res25!C23)</f>
        <v>-9.6764748571428582E-4</v>
      </c>
      <c r="E23" s="2">
        <f>IF('Modell einstellen'!$B$2="Ja",creep_res50!O23,creep_res50!C23)</f>
        <v>-1.1098411428571431E-3</v>
      </c>
      <c r="F23" s="2">
        <f>IF('Modell einstellen'!$B$2="Ja",creep_res80!O23,creep_res80!C23)</f>
        <v>-1.3958689142857146E-3</v>
      </c>
      <c r="G23" s="2">
        <f>IF('Modell einstellen'!$B$2="Ja",creep_res125!O23,creep_res125!C23)</f>
        <v>-2.981823142857143E-3</v>
      </c>
      <c r="H23" s="2">
        <f>IF('Modell einstellen'!$B$2="Ja",creep_res160!O23,creep_res160!C23)</f>
        <v>-5.2413105714285719E-3</v>
      </c>
      <c r="M23" s="9">
        <f t="shared" si="27"/>
        <v>-10</v>
      </c>
      <c r="N23" s="2">
        <f t="shared" si="4"/>
        <v>100000</v>
      </c>
      <c r="O23" s="2">
        <f t="shared" si="5"/>
        <v>13672.918628242171</v>
      </c>
      <c r="P23" s="2">
        <f t="shared" si="6"/>
        <v>11767.194594567696</v>
      </c>
      <c r="Q23" s="2">
        <f t="shared" si="7"/>
        <v>10334.341945422744</v>
      </c>
      <c r="R23" s="2">
        <f t="shared" si="8"/>
        <v>9010.2985137641299</v>
      </c>
      <c r="S23" s="2">
        <f t="shared" si="9"/>
        <v>7163.9964882498571</v>
      </c>
      <c r="T23" s="2">
        <f t="shared" si="10"/>
        <v>3353.6529569014392</v>
      </c>
      <c r="U23" s="2">
        <f t="shared" si="11"/>
        <v>1907.9197585642019</v>
      </c>
      <c r="Z23" s="2">
        <v>100000</v>
      </c>
      <c r="AA23" s="3">
        <f>IF('Modell einstellen'!$B$2="Ja",'creep_res-40'!P23,'creep_res-40'!L23)</f>
        <v>0.45902632568126489</v>
      </c>
      <c r="AB23" s="2">
        <f>IF('Modell einstellen'!$B$2="Ja",creep_res0!P23,creep_res0!L23)</f>
        <v>0.44944914063841662</v>
      </c>
      <c r="AC23" s="2">
        <f>IF('Modell einstellen'!$B$2="Ja",creep_res25!P23,creep_res25!L23)</f>
        <v>0.44927597895597277</v>
      </c>
      <c r="AD23" s="2">
        <f>IF('Modell einstellen'!$B$2="Ja",creep_res50!P23,creep_res50!L23)</f>
        <v>0.45211613296523251</v>
      </c>
      <c r="AE23" s="2">
        <f>IF('Modell einstellen'!$B$2="Ja",creep_res80!P23,creep_res80!L23)</f>
        <v>0.46174184346250108</v>
      </c>
      <c r="AF23" s="2">
        <f>IF('Modell einstellen'!$B$2="Ja",creep_res125!P23,creep_res125!L23)</f>
        <v>0.50380438391430893</v>
      </c>
      <c r="AG23" s="2">
        <f>IF('Modell einstellen'!$B$2="Ja",creep_res160!P23,creep_res160!L23)</f>
        <v>0.52841957684847307</v>
      </c>
      <c r="AL23" s="2">
        <f t="shared" si="12"/>
        <v>100000</v>
      </c>
      <c r="AM23" s="2">
        <f t="shared" si="13"/>
        <v>4685.6312280238881</v>
      </c>
      <c r="AN23" s="2">
        <f t="shared" si="14"/>
        <v>4059.1954090175182</v>
      </c>
      <c r="AO23" s="2">
        <f t="shared" si="15"/>
        <v>3565.3464541885878</v>
      </c>
      <c r="AP23" s="2">
        <f t="shared" si="16"/>
        <v>3102.4717339118838</v>
      </c>
      <c r="AQ23" s="2">
        <f t="shared" si="17"/>
        <v>2450.4999019800034</v>
      </c>
      <c r="AR23" s="2">
        <f t="shared" si="18"/>
        <v>1115.0562509241029</v>
      </c>
      <c r="AS23" s="2">
        <f t="shared" si="19"/>
        <v>624.14790659062351</v>
      </c>
      <c r="AX23" s="2">
        <f t="shared" si="28"/>
        <v>100000</v>
      </c>
      <c r="AY23" s="37">
        <f t="shared" si="20"/>
        <v>55616.680936317942</v>
      </c>
      <c r="AZ23" s="37">
        <f t="shared" si="21"/>
        <v>38796.5530925286</v>
      </c>
      <c r="BA23" s="37">
        <f t="shared" si="22"/>
        <v>33956.107753013719</v>
      </c>
      <c r="BB23" s="37">
        <f t="shared" si="23"/>
        <v>31361.636224374335</v>
      </c>
      <c r="BC23" s="37">
        <f t="shared" si="24"/>
        <v>31209.015874510449</v>
      </c>
      <c r="BD23" s="37">
        <f t="shared" si="25"/>
        <v>-146920.54536906688</v>
      </c>
      <c r="BE23" s="37">
        <f t="shared" si="26"/>
        <v>-11188.999333902882</v>
      </c>
    </row>
    <row r="24" spans="1:57" x14ac:dyDescent="0.25">
      <c r="A24" s="2">
        <f>'creep_res-40'!A24</f>
        <v>1000000</v>
      </c>
      <c r="B24" s="3">
        <f>'creep_res-40'!O24</f>
        <v>-8.0382091428571442E-4</v>
      </c>
      <c r="C24" s="2">
        <f>IF('Modell einstellen'!$B$2="Ja",creep_res0!O24,creep_res0!C24)</f>
        <v>-9.6031400000000009E-4</v>
      </c>
      <c r="D24" s="2">
        <f>IF('Modell einstellen'!$B$2="Ja",creep_res25!O24,creep_res25!C24)</f>
        <v>-1.1218572857142858E-3</v>
      </c>
      <c r="E24" s="2">
        <f>IF('Modell einstellen'!$B$2="Ja",creep_res50!O24,creep_res50!C24)</f>
        <v>-1.3359454857142859E-3</v>
      </c>
      <c r="F24" s="2">
        <f>IF('Modell einstellen'!$B$2="Ja",creep_res80!O24,creep_res80!C24)</f>
        <v>-1.8148498000000002E-3</v>
      </c>
      <c r="G24" s="2">
        <f>IF('Modell einstellen'!$B$2="Ja",creep_res125!O24,creep_res125!C24)</f>
        <v>-4.0335100000000006E-3</v>
      </c>
      <c r="H24" s="2">
        <f>IF('Modell einstellen'!$B$2="Ja",creep_res160!O24,creep_res160!C24)</f>
        <v>-5.7147317142857146E-3</v>
      </c>
      <c r="M24" s="9">
        <f t="shared" si="27"/>
        <v>-10</v>
      </c>
      <c r="N24" s="2">
        <f t="shared" si="4"/>
        <v>1000000</v>
      </c>
      <c r="O24" s="2">
        <f t="shared" si="5"/>
        <v>12440.582003127063</v>
      </c>
      <c r="P24" s="2">
        <f t="shared" si="6"/>
        <v>10413.260662658255</v>
      </c>
      <c r="Q24" s="2">
        <f t="shared" si="7"/>
        <v>8913.7897728524422</v>
      </c>
      <c r="R24" s="2">
        <f t="shared" si="8"/>
        <v>7485.3353725382967</v>
      </c>
      <c r="S24" s="2">
        <f t="shared" si="9"/>
        <v>5510.0978604400207</v>
      </c>
      <c r="T24" s="2">
        <f t="shared" si="10"/>
        <v>2479.2302485924165</v>
      </c>
      <c r="U24" s="2">
        <f t="shared" si="11"/>
        <v>1749.8634231598223</v>
      </c>
      <c r="Z24" s="2">
        <v>1000000</v>
      </c>
      <c r="AA24" s="3">
        <f>IF('Modell einstellen'!$B$2="Ja",'creep_res-40'!P24,'creep_res-40'!L24)</f>
        <v>0.45611858391200993</v>
      </c>
      <c r="AB24" s="2">
        <f>IF('Modell einstellen'!$B$2="Ja",creep_res0!P24,creep_res0!L24)</f>
        <v>0.44725885789142183</v>
      </c>
      <c r="AC24" s="2">
        <f>IF('Modell einstellen'!$B$2="Ja",creep_res25!P24,creep_res25!L24)</f>
        <v>0.45067991204890967</v>
      </c>
      <c r="AD24" s="2">
        <f>IF('Modell einstellen'!$B$2="Ja",creep_res50!P24,creep_res50!L24)</f>
        <v>0.45707301315887733</v>
      </c>
      <c r="AE24" s="2">
        <f>IF('Modell einstellen'!$B$2="Ja",creep_res80!P24,creep_res80!L24)</f>
        <v>0.47159269835206985</v>
      </c>
      <c r="AF24" s="2">
        <f>IF('Modell einstellen'!$B$2="Ja",creep_res125!P24,creep_res125!L24)</f>
        <v>0.51251415551928003</v>
      </c>
      <c r="AG24" s="2">
        <f>IF('Modell einstellen'!$B$2="Ja",creep_res160!P24,creep_res160!L24)</f>
        <v>0.52202235615510217</v>
      </c>
      <c r="AL24" s="2">
        <f t="shared" si="12"/>
        <v>1000000</v>
      </c>
      <c r="AM24" s="2">
        <f t="shared" si="13"/>
        <v>4271.8299665210579</v>
      </c>
      <c r="AN24" s="2">
        <f t="shared" si="14"/>
        <v>3597.5805592338243</v>
      </c>
      <c r="AO24" s="2">
        <f t="shared" si="15"/>
        <v>3072.2800042990852</v>
      </c>
      <c r="AP24" s="2">
        <f t="shared" si="16"/>
        <v>2568.6205512482802</v>
      </c>
      <c r="AQ24" s="2">
        <f t="shared" si="17"/>
        <v>1872.1545257089074</v>
      </c>
      <c r="AR24" s="2">
        <f t="shared" si="18"/>
        <v>819.57257707159806</v>
      </c>
      <c r="AS24" s="2">
        <f t="shared" si="19"/>
        <v>574.84813415628378</v>
      </c>
      <c r="AX24" s="2">
        <f t="shared" si="28"/>
        <v>1000000</v>
      </c>
      <c r="AY24" s="37">
        <f t="shared" si="20"/>
        <v>47250.76168227828</v>
      </c>
      <c r="AZ24" s="37">
        <f t="shared" si="21"/>
        <v>32906.823295623995</v>
      </c>
      <c r="BA24" s="37">
        <f t="shared" si="22"/>
        <v>30122.242082820478</v>
      </c>
      <c r="BB24" s="37">
        <f t="shared" si="23"/>
        <v>29062.27497495657</v>
      </c>
      <c r="BC24" s="37">
        <f t="shared" si="24"/>
        <v>32327.943526223095</v>
      </c>
      <c r="BD24" s="37">
        <f t="shared" si="25"/>
        <v>-33019.011214577105</v>
      </c>
      <c r="BE24" s="37">
        <f t="shared" si="26"/>
        <v>-13243.083610397513</v>
      </c>
    </row>
    <row r="25" spans="1:57" x14ac:dyDescent="0.25">
      <c r="A25" s="2">
        <f>'creep_res-40'!A25</f>
        <v>10000000</v>
      </c>
      <c r="B25" s="3">
        <f>'creep_res-40'!O25</f>
        <v>-9.0442820000000005E-4</v>
      </c>
      <c r="C25" s="2">
        <f>IF('Modell einstellen'!$B$2="Ja",creep_res0!O25,creep_res0!C25)</f>
        <v>-1.1084513428571429E-3</v>
      </c>
      <c r="D25" s="2">
        <f>IF('Modell einstellen'!$B$2="Ja",creep_res25!O25,creep_res25!C25)</f>
        <v>-1.3513724571428572E-3</v>
      </c>
      <c r="E25" s="2">
        <f>IF('Modell einstellen'!$B$2="Ja",creep_res50!O25,creep_res50!C25)</f>
        <v>-1.7043230571428571E-3</v>
      </c>
      <c r="F25" s="2">
        <f>IF('Modell einstellen'!$B$2="Ja",creep_res80!O25,creep_res80!C25)</f>
        <v>-2.464179485714286E-3</v>
      </c>
      <c r="G25" s="2">
        <f>IF('Modell einstellen'!$B$2="Ja",creep_res125!O25,creep_res125!C25)</f>
        <v>-4.9064134285714284E-3</v>
      </c>
      <c r="H25" s="2">
        <f>IF('Modell einstellen'!$B$2="Ja",creep_res160!O25,creep_res160!C25)</f>
        <v>-6.0956394285714291E-3</v>
      </c>
      <c r="M25" s="9">
        <f t="shared" si="27"/>
        <v>-10</v>
      </c>
      <c r="N25" s="2">
        <f t="shared" si="4"/>
        <v>10000000</v>
      </c>
      <c r="O25" s="2">
        <f t="shared" si="5"/>
        <v>11056.709642622818</v>
      </c>
      <c r="P25" s="2">
        <f t="shared" si="6"/>
        <v>9021.5958187429424</v>
      </c>
      <c r="Q25" s="2">
        <f t="shared" si="7"/>
        <v>7399.8844264907739</v>
      </c>
      <c r="R25" s="2">
        <f t="shared" si="8"/>
        <v>5867.432208987475</v>
      </c>
      <c r="S25" s="2">
        <f t="shared" si="9"/>
        <v>4058.1459499900525</v>
      </c>
      <c r="T25" s="2">
        <f t="shared" si="10"/>
        <v>2038.148669202473</v>
      </c>
      <c r="U25" s="2">
        <f t="shared" si="11"/>
        <v>1640.5169822099524</v>
      </c>
      <c r="Z25" s="2">
        <v>10000000</v>
      </c>
      <c r="AA25" s="3">
        <f>IF('Modell einstellen'!$B$2="Ja",'creep_res-40'!P25,'creep_res-40'!L25)</f>
        <v>0.45197586086514591</v>
      </c>
      <c r="AB25" s="2">
        <f>IF('Modell einstellen'!$B$2="Ja",creep_res0!P25,creep_res0!L25)</f>
        <v>0.4488808671722867</v>
      </c>
      <c r="AC25" s="2">
        <f>IF('Modell einstellen'!$B$2="Ja",creep_res25!P25,creep_res25!L25)</f>
        <v>0.45622970475983404</v>
      </c>
      <c r="AD25" s="2">
        <f>IF('Modell einstellen'!$B$2="Ja",creep_res50!P25,creep_res50!L25)</f>
        <v>0.46632160130204697</v>
      </c>
      <c r="AE25" s="2">
        <f>IF('Modell einstellen'!$B$2="Ja",creep_res80!P25,creep_res80!L25)</f>
        <v>0.48383582494605387</v>
      </c>
      <c r="AF25" s="2">
        <f>IF('Modell einstellen'!$B$2="Ja",creep_res125!P25,creep_res125!L25)</f>
        <v>0.5148750029625947</v>
      </c>
      <c r="AG25" s="2">
        <f>IF('Modell einstellen'!$B$2="Ja",creep_res160!P25,creep_res160!L25)</f>
        <v>0.51894258087444056</v>
      </c>
      <c r="AL25" s="2">
        <f t="shared" si="12"/>
        <v>10000000</v>
      </c>
      <c r="AM25" s="2">
        <f t="shared" si="13"/>
        <v>3807.4701999642007</v>
      </c>
      <c r="AN25" s="2">
        <f t="shared" si="14"/>
        <v>3113.2980023229825</v>
      </c>
      <c r="AO25" s="2">
        <f t="shared" si="15"/>
        <v>2540.7682600840731</v>
      </c>
      <c r="AP25" s="2">
        <f t="shared" si="16"/>
        <v>2000.7316961631682</v>
      </c>
      <c r="AQ25" s="2">
        <f t="shared" si="17"/>
        <v>1367.4511296212941</v>
      </c>
      <c r="AR25" s="2">
        <f t="shared" si="18"/>
        <v>672.71182943032534</v>
      </c>
      <c r="AS25" s="2">
        <f t="shared" si="19"/>
        <v>540.01941971549797</v>
      </c>
      <c r="AX25" s="2">
        <f t="shared" si="28"/>
        <v>10000000</v>
      </c>
      <c r="AY25" s="37">
        <f t="shared" si="20"/>
        <v>38372.055671055496</v>
      </c>
      <c r="AZ25" s="37">
        <f t="shared" si="21"/>
        <v>29413.630864815354</v>
      </c>
      <c r="BA25" s="37">
        <f t="shared" si="22"/>
        <v>28176.964864290905</v>
      </c>
      <c r="BB25" s="37">
        <f t="shared" si="23"/>
        <v>29036.575549063033</v>
      </c>
      <c r="BC25" s="37">
        <f t="shared" si="24"/>
        <v>41843.0050450708</v>
      </c>
      <c r="BD25" s="37">
        <f t="shared" si="25"/>
        <v>-22836.395106695516</v>
      </c>
      <c r="BE25" s="37">
        <f t="shared" si="26"/>
        <v>-14434.120611511818</v>
      </c>
    </row>
    <row r="26" spans="1:57" x14ac:dyDescent="0.25">
      <c r="A26" s="2">
        <f>'creep_res-40'!A26</f>
        <v>100000000</v>
      </c>
      <c r="B26" s="3">
        <f>'creep_res-40'!O26</f>
        <v>-1.0340307714285716E-3</v>
      </c>
      <c r="C26" s="2">
        <f>IF('Modell einstellen'!$B$2="Ja",creep_res0!O26,creep_res0!C26)</f>
        <v>-1.3287063714285715E-3</v>
      </c>
      <c r="D26" s="2">
        <f>IF('Modell einstellen'!$B$2="Ja",creep_res25!O26,creep_res25!C26)</f>
        <v>-1.7279395999999999E-3</v>
      </c>
      <c r="E26" s="2">
        <f>IF('Modell einstellen'!$B$2="Ja",creep_res50!O26,creep_res50!C26)</f>
        <v>-2.3040462857142857E-3</v>
      </c>
      <c r="F26" s="2">
        <f>IF('Modell einstellen'!$B$2="Ja",creep_res80!O26,creep_res80!C26)</f>
        <v>-3.3960300000000004E-3</v>
      </c>
      <c r="G26" s="2">
        <f>IF('Modell einstellen'!$B$2="Ja",creep_res125!O26,creep_res125!C26)</f>
        <v>-5.5716142857142863E-3</v>
      </c>
      <c r="H26" s="2">
        <f>IF('Modell einstellen'!$B$2="Ja",creep_res160!O26,creep_res160!C26)</f>
        <v>-6.2988837142857138E-3</v>
      </c>
      <c r="M26" s="9">
        <f t="shared" si="27"/>
        <v>-10</v>
      </c>
      <c r="N26" s="2">
        <f t="shared" si="4"/>
        <v>100000000</v>
      </c>
      <c r="O26" s="2">
        <f t="shared" si="5"/>
        <v>9670.892082045526</v>
      </c>
      <c r="P26" s="2">
        <f t="shared" si="6"/>
        <v>7526.1172935058657</v>
      </c>
      <c r="Q26" s="2">
        <f t="shared" si="7"/>
        <v>5787.2393224855778</v>
      </c>
      <c r="R26" s="2">
        <f t="shared" si="8"/>
        <v>4340.1905864490318</v>
      </c>
      <c r="S26" s="2">
        <f t="shared" si="9"/>
        <v>2944.6147413303179</v>
      </c>
      <c r="T26" s="2">
        <f t="shared" si="10"/>
        <v>1794.8119678062012</v>
      </c>
      <c r="U26" s="2">
        <f t="shared" si="11"/>
        <v>1587.5828882695905</v>
      </c>
      <c r="Z26" s="2">
        <v>100000000</v>
      </c>
      <c r="AA26" s="3">
        <f>IF('Modell einstellen'!$B$2="Ja",'creep_res-40'!P26,'creep_res-40'!L26)</f>
        <v>0.45058299867671792</v>
      </c>
      <c r="AB26" s="2">
        <f>IF('Modell einstellen'!$B$2="Ja",creep_res0!P26,creep_res0!L26)</f>
        <v>0.45450968496253596</v>
      </c>
      <c r="AC26" s="2">
        <f>IF('Modell einstellen'!$B$2="Ja",creep_res25!P26,creep_res25!L26)</f>
        <v>0.46582306134179358</v>
      </c>
      <c r="AD26" s="2">
        <f>IF('Modell einstellen'!$B$2="Ja",creep_res50!P26,creep_res50!L26)</f>
        <v>0.47876596477104505</v>
      </c>
      <c r="AE26" s="2">
        <f>IF('Modell einstellen'!$B$2="Ja",creep_res80!P26,creep_res80!L26)</f>
        <v>0.49653332189140181</v>
      </c>
      <c r="AF26" s="2">
        <f>IF('Modell einstellen'!$B$2="Ja",creep_res125!P26,creep_res125!L26)</f>
        <v>0.51520544186988637</v>
      </c>
      <c r="AG26" s="2">
        <f>IF('Modell einstellen'!$B$2="Ja",creep_res160!P26,creep_res160!L26)</f>
        <v>0.51801437107246184</v>
      </c>
      <c r="AL26" s="2">
        <f t="shared" si="12"/>
        <v>100000000</v>
      </c>
      <c r="AM26" s="2">
        <f t="shared" si="13"/>
        <v>3333.4500993282409</v>
      </c>
      <c r="AN26" s="2">
        <f t="shared" si="14"/>
        <v>2587.1664421745386</v>
      </c>
      <c r="AO26" s="2">
        <f t="shared" si="15"/>
        <v>1974.0579457073152</v>
      </c>
      <c r="AP26" s="2">
        <f t="shared" si="16"/>
        <v>1467.5042196825975</v>
      </c>
      <c r="AQ26" s="2">
        <f t="shared" si="17"/>
        <v>983.81195335121254</v>
      </c>
      <c r="AR26" s="2">
        <f t="shared" si="18"/>
        <v>592.26686963031818</v>
      </c>
      <c r="AS26" s="2">
        <f t="shared" si="19"/>
        <v>522.91431442377564</v>
      </c>
      <c r="AX26" s="2">
        <f t="shared" si="28"/>
        <v>100000000</v>
      </c>
      <c r="AY26" s="37">
        <f t="shared" si="20"/>
        <v>32616.615817362534</v>
      </c>
      <c r="AZ26" s="37">
        <f t="shared" si="21"/>
        <v>27574.064528195548</v>
      </c>
      <c r="BA26" s="37">
        <f t="shared" si="22"/>
        <v>28221.950968956324</v>
      </c>
      <c r="BB26" s="37">
        <f t="shared" si="23"/>
        <v>34066.30392866247</v>
      </c>
      <c r="BC26" s="37">
        <f t="shared" si="24"/>
        <v>141567.54915832213</v>
      </c>
      <c r="BD26" s="37">
        <f t="shared" si="25"/>
        <v>-19672.912535355055</v>
      </c>
      <c r="BE26" s="37">
        <f t="shared" si="26"/>
        <v>-14688.114671370091</v>
      </c>
    </row>
    <row r="27" spans="1:57" x14ac:dyDescent="0.25">
      <c r="A27" s="2">
        <f>'creep_res-40'!A27</f>
        <v>1000000000</v>
      </c>
      <c r="B27" s="3">
        <f>'creep_res-40'!O27</f>
        <v>-1.2221332857142858E-3</v>
      </c>
      <c r="C27" s="2">
        <f>IF('Modell einstellen'!$B$2="Ja",creep_res0!O27,creep_res0!C27)</f>
        <v>-1.6862730571428571E-3</v>
      </c>
      <c r="D27" s="2">
        <f>IF('Modell einstellen'!$B$2="Ja",creep_res25!O27,creep_res25!C27)</f>
        <v>-2.3361168857142858E-3</v>
      </c>
      <c r="E27" s="2">
        <f>IF('Modell einstellen'!$B$2="Ja",creep_res50!O27,creep_res50!C27)</f>
        <v>-3.1656362857142859E-3</v>
      </c>
      <c r="F27" s="2">
        <f>IF('Modell einstellen'!$B$2="Ja",creep_res80!O27,creep_res80!C27)</f>
        <v>-4.3980477142857143E-3</v>
      </c>
      <c r="G27" s="2">
        <f>IF('Modell einstellen'!$B$2="Ja",creep_res125!O27,creep_res125!C27)</f>
        <v>-5.9386188571428581E-3</v>
      </c>
      <c r="H27" s="2">
        <f>IF('Modell einstellen'!$B$2="Ja",creep_res160!O27,creep_res160!C27)</f>
        <v>-6.4397999999999999E-3</v>
      </c>
      <c r="M27" s="9">
        <f t="shared" si="27"/>
        <v>-10</v>
      </c>
      <c r="N27" s="2">
        <f t="shared" si="4"/>
        <v>1000000000</v>
      </c>
      <c r="O27" s="2">
        <f t="shared" si="5"/>
        <v>8182.4135852378968</v>
      </c>
      <c r="P27" s="2">
        <f t="shared" si="6"/>
        <v>5930.2376668127145</v>
      </c>
      <c r="Q27" s="2">
        <f t="shared" si="7"/>
        <v>4280.6077303543925</v>
      </c>
      <c r="R27" s="2">
        <f t="shared" si="8"/>
        <v>3158.9225980026404</v>
      </c>
      <c r="S27" s="2">
        <f t="shared" si="9"/>
        <v>2273.7361324021235</v>
      </c>
      <c r="T27" s="2">
        <f t="shared" si="10"/>
        <v>1683.8932149976572</v>
      </c>
      <c r="U27" s="2">
        <f t="shared" si="11"/>
        <v>1552.8432560017393</v>
      </c>
      <c r="Z27" s="2">
        <v>1000000000</v>
      </c>
      <c r="AA27" s="3">
        <f>IF('Modell einstellen'!$B$2="Ja",'creep_res-40'!P27,'creep_res-40'!L27)</f>
        <v>0.45391004231126064</v>
      </c>
      <c r="AB27" s="2">
        <f>IF('Modell einstellen'!$B$2="Ja",creep_res0!P27,creep_res0!L27)</f>
        <v>0.46385924245415805</v>
      </c>
      <c r="AC27" s="2">
        <f>IF('Modell einstellen'!$B$2="Ja",creep_res25!P27,creep_res25!L27)</f>
        <v>0.47834590370484276</v>
      </c>
      <c r="AD27" s="2">
        <f>IF('Modell einstellen'!$B$2="Ja",creep_res50!P27,creep_res50!L27)</f>
        <v>0.49171466047854784</v>
      </c>
      <c r="AE27" s="2">
        <f>IF('Modell einstellen'!$B$2="Ja",creep_res80!P27,creep_res80!L27)</f>
        <v>0.50529837687072454</v>
      </c>
      <c r="AF27" s="2">
        <f>IF('Modell einstellen'!$B$2="Ja",creep_res125!P27,creep_res125!L27)</f>
        <v>0.5139557220760228</v>
      </c>
      <c r="AG27" s="2">
        <f>IF('Modell einstellen'!$B$2="Ja",creep_res160!P27,creep_res160!L27)</f>
        <v>0.51561295160009402</v>
      </c>
      <c r="AL27" s="2">
        <f t="shared" si="12"/>
        <v>1000000000</v>
      </c>
      <c r="AM27" s="2">
        <f t="shared" si="13"/>
        <v>2813.9339254547094</v>
      </c>
      <c r="AN27" s="2">
        <f t="shared" si="14"/>
        <v>2025.5491425769458</v>
      </c>
      <c r="AO27" s="2">
        <f t="shared" si="15"/>
        <v>1447.7693345065175</v>
      </c>
      <c r="AP27" s="2">
        <f t="shared" si="16"/>
        <v>1058.8226695409851</v>
      </c>
      <c r="AQ27" s="2">
        <f t="shared" si="17"/>
        <v>755.24433140254177</v>
      </c>
      <c r="AR27" s="2">
        <f t="shared" si="18"/>
        <v>556.12366677692739</v>
      </c>
      <c r="AS27" s="2">
        <f t="shared" si="19"/>
        <v>512.28225991416207</v>
      </c>
      <c r="AX27" s="2">
        <f t="shared" si="28"/>
        <v>1000000000</v>
      </c>
      <c r="AY27" s="37">
        <f t="shared" si="20"/>
        <v>29588.562583402756</v>
      </c>
      <c r="AZ27" s="37">
        <f t="shared" si="21"/>
        <v>27347.875683433191</v>
      </c>
      <c r="BA27" s="37">
        <f t="shared" si="22"/>
        <v>32946.866588253128</v>
      </c>
      <c r="BB27" s="37">
        <f t="shared" si="23"/>
        <v>63544.420636467767</v>
      </c>
      <c r="BC27" s="37">
        <f t="shared" si="24"/>
        <v>-71523.040227827194</v>
      </c>
      <c r="BD27" s="37">
        <f t="shared" si="25"/>
        <v>-20109.949713634411</v>
      </c>
      <c r="BE27" s="37">
        <f t="shared" si="26"/>
        <v>-16576.443453015301</v>
      </c>
    </row>
    <row r="28" spans="1:57" x14ac:dyDescent="0.25">
      <c r="A28" s="2">
        <f>'creep_res-40'!A28</f>
        <v>10000000000</v>
      </c>
      <c r="B28" s="3">
        <f>'creep_res-40'!O28</f>
        <v>-1.5110083142857143E-3</v>
      </c>
      <c r="C28" s="2">
        <f>IF('Modell einstellen'!$B$2="Ja",creep_res0!O28,creep_res0!C28)</f>
        <v>-2.2753457428571428E-3</v>
      </c>
      <c r="D28" s="2">
        <f>IF('Modell einstellen'!$B$2="Ja",creep_res25!O28,creep_res25!C28)</f>
        <v>-3.210096E-3</v>
      </c>
      <c r="E28" s="2">
        <f>IF('Modell einstellen'!$B$2="Ja",creep_res50!O28,creep_res50!C28)</f>
        <v>-4.2048082857142864E-3</v>
      </c>
      <c r="F28" s="2">
        <f>IF('Modell einstellen'!$B$2="Ja",creep_res80!O28,creep_res80!C28)</f>
        <v>-5.2293177142857146E-3</v>
      </c>
      <c r="G28" s="2">
        <f>IF('Modell einstellen'!$B$2="Ja",creep_res125!O28,creep_res125!C28)</f>
        <v>-6.2464694285714285E-3</v>
      </c>
      <c r="H28" s="2">
        <f>IF('Modell einstellen'!$B$2="Ja",creep_res160!O28,creep_res160!C28)</f>
        <v>-6.7772074285714287E-3</v>
      </c>
      <c r="M28" s="9">
        <f t="shared" si="27"/>
        <v>-10</v>
      </c>
      <c r="N28" s="2">
        <f t="shared" si="4"/>
        <v>10000000000</v>
      </c>
      <c r="O28" s="2">
        <f t="shared" si="5"/>
        <v>6618.0972701842556</v>
      </c>
      <c r="P28" s="2">
        <f t="shared" si="6"/>
        <v>4394.9364756509658</v>
      </c>
      <c r="Q28" s="2">
        <f t="shared" si="7"/>
        <v>3115.1716334963194</v>
      </c>
      <c r="R28" s="2">
        <f t="shared" si="8"/>
        <v>2378.2297123925264</v>
      </c>
      <c r="S28" s="2">
        <f t="shared" si="9"/>
        <v>1912.2953598098456</v>
      </c>
      <c r="T28" s="2">
        <f t="shared" si="10"/>
        <v>1600.9043371380121</v>
      </c>
      <c r="U28" s="2">
        <f t="shared" si="11"/>
        <v>1475.5340020790695</v>
      </c>
      <c r="Z28" s="2">
        <v>10000000000</v>
      </c>
      <c r="AA28" s="3">
        <f>IF('Modell einstellen'!$B$2="Ja",'creep_res-40'!P28,'creep_res-40'!L28)</f>
        <v>0.46122257321038468</v>
      </c>
      <c r="AB28" s="2">
        <f>IF('Modell einstellen'!$B$2="Ja",creep_res0!P28,creep_res0!L28)</f>
        <v>0.47640147021424106</v>
      </c>
      <c r="AC28" s="2">
        <f>IF('Modell einstellen'!$B$2="Ja",creep_res25!P28,creep_res25!L28)</f>
        <v>0.49143015393576134</v>
      </c>
      <c r="AD28" s="2">
        <f>IF('Modell einstellen'!$B$2="Ja",creep_res50!P28,creep_res50!L28)</f>
        <v>0.50240444459876499</v>
      </c>
      <c r="AE28" s="2">
        <f>IF('Modell einstellen'!$B$2="Ja",creep_res80!P28,creep_res80!L28)</f>
        <v>0.50981945637048953</v>
      </c>
      <c r="AF28" s="2">
        <f>IF('Modell einstellen'!$B$2="Ja",creep_res125!P28,creep_res125!L28)</f>
        <v>0.5138482570474211</v>
      </c>
      <c r="AG28" s="2">
        <f>IF('Modell einstellen'!$B$2="Ja",creep_res160!P28,creep_res160!L28)</f>
        <v>0.51708301598812767</v>
      </c>
      <c r="AL28" s="2">
        <f t="shared" si="12"/>
        <v>10000000000</v>
      </c>
      <c r="AM28" s="2">
        <f t="shared" si="13"/>
        <v>2264.5753602217969</v>
      </c>
      <c r="AN28" s="2">
        <f t="shared" si="14"/>
        <v>1488.3947775442189</v>
      </c>
      <c r="AO28" s="2">
        <f t="shared" si="15"/>
        <v>1044.3571981147218</v>
      </c>
      <c r="AP28" s="2">
        <f t="shared" si="16"/>
        <v>791.47453302018846</v>
      </c>
      <c r="AQ28" s="2">
        <f t="shared" si="17"/>
        <v>633.28610309701617</v>
      </c>
      <c r="AR28" s="2">
        <f t="shared" si="18"/>
        <v>528.75323853804991</v>
      </c>
      <c r="AS28" s="2">
        <f t="shared" si="19"/>
        <v>486.30628203230003</v>
      </c>
      <c r="AX28" s="2">
        <f t="shared" si="28"/>
        <v>10000000000</v>
      </c>
      <c r="AY28" s="37">
        <f t="shared" si="20"/>
        <v>28444.801602791398</v>
      </c>
      <c r="AZ28" s="37">
        <f t="shared" si="21"/>
        <v>31039.620656814455</v>
      </c>
      <c r="BA28" s="37">
        <f t="shared" si="22"/>
        <v>60583.96712817868</v>
      </c>
      <c r="BB28" s="37">
        <f t="shared" si="23"/>
        <v>-164849.55358741846</v>
      </c>
      <c r="BC28" s="37">
        <f t="shared" si="24"/>
        <v>-32457.590448640276</v>
      </c>
      <c r="BD28" s="37">
        <f t="shared" si="25"/>
        <v>-19267.218149499204</v>
      </c>
      <c r="BE28" s="37">
        <f t="shared" si="26"/>
        <v>-14395.721098121998</v>
      </c>
    </row>
    <row r="29" spans="1:57" x14ac:dyDescent="0.25">
      <c r="A29" s="2">
        <f>'creep_res-40'!A29</f>
        <v>100000000000</v>
      </c>
      <c r="B29" s="3">
        <f>'creep_res-40'!O29</f>
        <v>-2.0067045714285713E-3</v>
      </c>
      <c r="C29" s="2">
        <f>IF('Modell einstellen'!$B$2="Ja",creep_res0!O29,creep_res0!C29)</f>
        <v>-3.1217257142857145E-3</v>
      </c>
      <c r="D29" s="2">
        <f>IF('Modell einstellen'!$B$2="Ja",creep_res25!O29,creep_res25!C29)</f>
        <v>-4.2436945714285712E-3</v>
      </c>
      <c r="E29" s="2">
        <f>IF('Modell einstellen'!$B$2="Ja",creep_res50!O29,creep_res50!C29)</f>
        <v>-5.0564605714285716E-3</v>
      </c>
      <c r="F29" s="2">
        <f>IF('Modell einstellen'!$B$2="Ja",creep_res80!O29,creep_res80!C29)</f>
        <v>-5.7320725714285724E-3</v>
      </c>
      <c r="G29" s="2">
        <f>IF('Modell einstellen'!$B$2="Ja",creep_res125!O29,creep_res125!C29)</f>
        <v>-6.358090857142857E-3</v>
      </c>
      <c r="H29" s="2">
        <f>IF('Modell einstellen'!$B$2="Ja",creep_res160!O29,creep_res160!C29)</f>
        <v>-6.9143051428571436E-3</v>
      </c>
      <c r="M29" s="9">
        <f t="shared" si="27"/>
        <v>-10</v>
      </c>
      <c r="N29" s="2">
        <f t="shared" si="4"/>
        <v>100000000000</v>
      </c>
      <c r="O29" s="2">
        <f t="shared" si="5"/>
        <v>4983.2945727935466</v>
      </c>
      <c r="P29" s="2">
        <f t="shared" si="6"/>
        <v>3203.3563852960447</v>
      </c>
      <c r="Q29" s="2">
        <f t="shared" si="7"/>
        <v>2356.4372580738441</v>
      </c>
      <c r="R29" s="2">
        <f t="shared" si="8"/>
        <v>1977.667947517439</v>
      </c>
      <c r="S29" s="2">
        <f t="shared" si="9"/>
        <v>1744.5696779634031</v>
      </c>
      <c r="T29" s="2">
        <f t="shared" si="10"/>
        <v>1572.7991663984669</v>
      </c>
      <c r="U29" s="2">
        <f t="shared" si="11"/>
        <v>1446.2769278168969</v>
      </c>
      <c r="Z29" s="2">
        <v>100000000000</v>
      </c>
      <c r="AA29" s="3">
        <f>IF('Modell einstellen'!$B$2="Ja",'creep_res-40'!P29,'creep_res-40'!L29)</f>
        <v>0.47286559086354235</v>
      </c>
      <c r="AB29" s="2">
        <f>IF('Modell einstellen'!$B$2="Ja",creep_res0!P29,creep_res0!L29)</f>
        <v>0.48953970514477341</v>
      </c>
      <c r="AC29" s="2">
        <f>IF('Modell einstellen'!$B$2="Ja",creep_res25!P29,creep_res25!L29)</f>
        <v>0.50204461328205197</v>
      </c>
      <c r="AD29" s="2">
        <f>IF('Modell einstellen'!$B$2="Ja",creep_res50!P29,creep_res50!L29)</f>
        <v>0.50782834429865453</v>
      </c>
      <c r="AE29" s="2">
        <f>IF('Modell einstellen'!$B$2="Ja",creep_res80!P29,creep_res80!L29)</f>
        <v>0.51110657855293817</v>
      </c>
      <c r="AF29" s="2">
        <f>IF('Modell einstellen'!$B$2="Ja",creep_res125!P29,creep_res125!L29)</f>
        <v>0.51946392892960958</v>
      </c>
      <c r="AG29" s="2">
        <f>IF('Modell einstellen'!$B$2="Ja",creep_res160!P29,creep_res160!L29)</f>
        <v>0.51549446059407766</v>
      </c>
      <c r="AL29" s="2">
        <f t="shared" si="12"/>
        <v>100000000000</v>
      </c>
      <c r="AM29" s="2">
        <f t="shared" si="13"/>
        <v>1691.7003845109305</v>
      </c>
      <c r="AN29" s="2">
        <f t="shared" si="14"/>
        <v>1075.2839868020503</v>
      </c>
      <c r="AO29" s="2">
        <f t="shared" si="15"/>
        <v>784.40987612375113</v>
      </c>
      <c r="AP29" s="2">
        <f t="shared" si="16"/>
        <v>655.80009654126911</v>
      </c>
      <c r="AQ29" s="2">
        <f t="shared" si="17"/>
        <v>577.24905136540178</v>
      </c>
      <c r="AR29" s="2">
        <f t="shared" si="18"/>
        <v>517.55067575260887</v>
      </c>
      <c r="AS29" s="2">
        <f t="shared" si="19"/>
        <v>477.16338311456207</v>
      </c>
      <c r="AX29" s="2">
        <f t="shared" si="28"/>
        <v>100000000000</v>
      </c>
      <c r="AY29" s="37">
        <f t="shared" si="20"/>
        <v>30608.703926029837</v>
      </c>
      <c r="AZ29" s="37">
        <f t="shared" si="21"/>
        <v>51039.931309002168</v>
      </c>
      <c r="BA29" s="37">
        <f t="shared" si="22"/>
        <v>-192085.0003567205</v>
      </c>
      <c r="BB29" s="37">
        <f t="shared" si="23"/>
        <v>-42104.857938209301</v>
      </c>
      <c r="BC29" s="37">
        <f t="shared" si="24"/>
        <v>-26179.224466654621</v>
      </c>
      <c r="BD29" s="37">
        <f t="shared" si="25"/>
        <v>-13467.640338584128</v>
      </c>
      <c r="BE29" s="37">
        <f t="shared" si="26"/>
        <v>-15556.924564917272</v>
      </c>
    </row>
    <row r="30" spans="1:57" x14ac:dyDescent="0.25">
      <c r="A30" s="2">
        <f>'creep_res-40'!A30</f>
        <v>1000000000000</v>
      </c>
      <c r="B30" s="3">
        <f>'creep_res-40'!O30</f>
        <v>-2.7355667999999999E-3</v>
      </c>
      <c r="C30" s="2">
        <f>IF('Modell einstellen'!$B$2="Ja",creep_res0!O30,creep_res0!C30)</f>
        <v>-4.1663445714285718E-3</v>
      </c>
      <c r="D30" s="2">
        <f>IF('Modell einstellen'!$B$2="Ja",creep_res25!O30,creep_res25!C30)</f>
        <v>-5.0913620000000003E-3</v>
      </c>
      <c r="E30" s="2">
        <f>IF('Modell einstellen'!$B$2="Ja",creep_res50!O30,creep_res50!C30)</f>
        <v>-5.6548028571428571E-3</v>
      </c>
      <c r="F30" s="2">
        <f>IF('Modell einstellen'!$B$2="Ja",creep_res80!O30,creep_res80!C30)</f>
        <v>-6.0948040000000005E-3</v>
      </c>
      <c r="G30" s="2">
        <f>IF('Modell einstellen'!$B$2="Ja",creep_res125!O30,creep_res125!C30)</f>
        <v>-6.6076685714285726E-3</v>
      </c>
      <c r="H30" s="2">
        <f>IF('Modell einstellen'!$B$2="Ja",creep_res160!O30,creep_res160!C30)</f>
        <v>-6.9280194285714298E-3</v>
      </c>
      <c r="M30" s="9">
        <f t="shared" si="27"/>
        <v>-10</v>
      </c>
      <c r="N30" s="2">
        <f t="shared" si="4"/>
        <v>1000000000000</v>
      </c>
      <c r="O30" s="2">
        <f t="shared" si="5"/>
        <v>3655.5495555802186</v>
      </c>
      <c r="P30" s="2">
        <f t="shared" si="6"/>
        <v>2400.1855412000077</v>
      </c>
      <c r="Q30" s="2">
        <f t="shared" si="7"/>
        <v>1964.1109785554434</v>
      </c>
      <c r="R30" s="2">
        <f t="shared" si="8"/>
        <v>1768.4082456329159</v>
      </c>
      <c r="S30" s="2">
        <f t="shared" si="9"/>
        <v>1640.7418515837423</v>
      </c>
      <c r="T30" s="2">
        <f t="shared" si="10"/>
        <v>1513.3930965060508</v>
      </c>
      <c r="U30" s="2">
        <f t="shared" si="11"/>
        <v>1443.4139660116425</v>
      </c>
      <c r="Z30" s="2">
        <v>1000000000000</v>
      </c>
      <c r="AA30" s="3">
        <f>IF('Modell einstellen'!$B$2="Ja",'creep_res-40'!P30,'creep_res-40'!L30)</f>
        <v>0.48557251723586398</v>
      </c>
      <c r="AB30" s="2">
        <f>IF('Modell einstellen'!$B$2="Ja",creep_res0!P30,creep_res0!L30)</f>
        <v>0.50085273791907747</v>
      </c>
      <c r="AC30" s="2">
        <f>IF('Modell einstellen'!$B$2="Ja",creep_res25!P30,creep_res25!L30)</f>
        <v>0.5075886570234055</v>
      </c>
      <c r="AD30" s="2">
        <f>IF('Modell einstellen'!$B$2="Ja",creep_res50!P30,creep_res50!L30)</f>
        <v>0.51034443034770449</v>
      </c>
      <c r="AE30" s="2">
        <f>IF('Modell einstellen'!$B$2="Ja",creep_res80!P30,creep_res80!L30)</f>
        <v>0.51202354380176018</v>
      </c>
      <c r="AF30" s="2">
        <f>IF('Modell einstellen'!$B$2="Ja",creep_res125!P30,creep_res125!L30)</f>
        <v>0.5141155471305201</v>
      </c>
      <c r="AG30" s="2">
        <f>IF('Modell einstellen'!$B$2="Ja",creep_res160!P30,creep_res160!L30)</f>
        <v>0.51547183058048163</v>
      </c>
      <c r="AL30" s="2">
        <f t="shared" si="12"/>
        <v>1000000000000</v>
      </c>
      <c r="AM30" s="2">
        <f t="shared" si="13"/>
        <v>1230.3504248927311</v>
      </c>
      <c r="AN30" s="2">
        <f t="shared" si="14"/>
        <v>799.60727676982128</v>
      </c>
      <c r="AO30" s="2">
        <f t="shared" si="15"/>
        <v>651.40811766035665</v>
      </c>
      <c r="AP30" s="2">
        <f t="shared" si="16"/>
        <v>585.43210743850034</v>
      </c>
      <c r="AQ30" s="2">
        <f t="shared" si="17"/>
        <v>542.56491517927657</v>
      </c>
      <c r="AR30" s="2">
        <f t="shared" si="18"/>
        <v>499.76142817308812</v>
      </c>
      <c r="AS30" s="2">
        <f t="shared" si="19"/>
        <v>476.22593072507385</v>
      </c>
      <c r="AX30" s="2">
        <f t="shared" si="28"/>
        <v>1000000000000</v>
      </c>
      <c r="AY30" s="37">
        <f t="shared" si="20"/>
        <v>42229.006211524982</v>
      </c>
      <c r="AZ30" s="37">
        <f t="shared" si="21"/>
        <v>-469113.5630113699</v>
      </c>
      <c r="BA30" s="37">
        <f t="shared" si="22"/>
        <v>-43136.991005074786</v>
      </c>
      <c r="BB30" s="37">
        <f t="shared" si="23"/>
        <v>-28492.115824520955</v>
      </c>
      <c r="BC30" s="37">
        <f t="shared" si="24"/>
        <v>-22743.458981196909</v>
      </c>
      <c r="BD30" s="37">
        <f t="shared" si="25"/>
        <v>-17869.104216700292</v>
      </c>
      <c r="BE30" s="37">
        <f t="shared" si="26"/>
        <v>-15548.838457342066</v>
      </c>
    </row>
    <row r="31" spans="1:57" x14ac:dyDescent="0.25">
      <c r="A31" s="2">
        <f>'creep_res-40'!A31</f>
        <v>10000000000000</v>
      </c>
      <c r="B31" s="3">
        <f>'creep_res-40'!O31</f>
        <v>-3.7568405714285716E-3</v>
      </c>
      <c r="C31" s="2">
        <f>IF('Modell einstellen'!$B$2="Ja",creep_res0!O31,creep_res0!C31)</f>
        <v>-5.0214025714285723E-3</v>
      </c>
      <c r="D31" s="2">
        <f>IF('Modell einstellen'!$B$2="Ja",creep_res25!O31,creep_res25!C31)</f>
        <v>-5.6714805714285716E-3</v>
      </c>
      <c r="E31" s="2">
        <f>IF('Modell einstellen'!$B$2="Ja",creep_res50!O31,creep_res50!C31)</f>
        <v>-6.0127154285714293E-3</v>
      </c>
      <c r="F31" s="2">
        <f>IF('Modell einstellen'!$B$2="Ja",creep_res80!O31,creep_res80!C31)</f>
        <v>-6.3178514285714285E-3</v>
      </c>
      <c r="G31" s="2">
        <f>IF('Modell einstellen'!$B$2="Ja",creep_res125!O31,creep_res125!C31)</f>
        <v>-6.8895494285714292E-3</v>
      </c>
      <c r="H31" s="2">
        <f>IF('Modell einstellen'!$B$2="Ja",creep_res160!O31,creep_res160!C31)</f>
        <v>-6.9320440000000001E-3</v>
      </c>
      <c r="M31" s="9">
        <f t="shared" si="27"/>
        <v>-10</v>
      </c>
      <c r="N31" s="2">
        <f t="shared" si="4"/>
        <v>10000000000000</v>
      </c>
      <c r="O31" s="2">
        <f t="shared" si="5"/>
        <v>2661.8111175788895</v>
      </c>
      <c r="P31" s="2">
        <f t="shared" si="6"/>
        <v>1991.4754608402236</v>
      </c>
      <c r="Q31" s="2">
        <f t="shared" si="7"/>
        <v>1763.2080149189565</v>
      </c>
      <c r="R31" s="2">
        <f t="shared" si="8"/>
        <v>1663.1420726285587</v>
      </c>
      <c r="S31" s="2">
        <f t="shared" si="9"/>
        <v>1582.8165814056135</v>
      </c>
      <c r="T31" s="2">
        <f t="shared" si="10"/>
        <v>1451.473728968301</v>
      </c>
      <c r="U31" s="2">
        <f t="shared" si="11"/>
        <v>1442.5759559518087</v>
      </c>
      <c r="Z31" s="2">
        <v>10000000000000</v>
      </c>
      <c r="AA31" s="3">
        <f>IF('Modell einstellen'!$B$2="Ja",'creep_res-40'!P31,'creep_res-40'!L31)</f>
        <v>0.49833434507506391</v>
      </c>
      <c r="AB31" s="2">
        <f>IF('Modell einstellen'!$B$2="Ja",creep_res0!P31,creep_res0!L31)</f>
        <v>0.50676640203371748</v>
      </c>
      <c r="AC31" s="2">
        <f>IF('Modell einstellen'!$B$2="Ja",creep_res25!P31,creep_res25!L31)</f>
        <v>0.51010993249331416</v>
      </c>
      <c r="AD31" s="2">
        <f>IF('Modell einstellen'!$B$2="Ja",creep_res50!P31,creep_res50!L31)</f>
        <v>0.5113163988089241</v>
      </c>
      <c r="AE31" s="2">
        <f>IF('Modell einstellen'!$B$2="Ja",creep_res80!P31,creep_res80!L31)</f>
        <v>0.51307827073218382</v>
      </c>
      <c r="AF31" s="2">
        <f>IF('Modell einstellen'!$B$2="Ja",creep_res125!P31,creep_res125!L31)</f>
        <v>0.51521146541492668</v>
      </c>
      <c r="AG31" s="2">
        <f>IF('Modell einstellen'!$B$2="Ja",creep_res160!P31,creep_res160!L31)</f>
        <v>0.51537303736510776</v>
      </c>
      <c r="AL31" s="2">
        <f t="shared" si="12"/>
        <v>10000000000000</v>
      </c>
      <c r="AM31" s="2">
        <f t="shared" si="13"/>
        <v>888.25672531905332</v>
      </c>
      <c r="AN31" s="2">
        <f t="shared" si="14"/>
        <v>660.84412890819806</v>
      </c>
      <c r="AO31" s="2">
        <f t="shared" si="15"/>
        <v>583.80121108393644</v>
      </c>
      <c r="AP31" s="2">
        <f t="shared" si="16"/>
        <v>550.22961238933465</v>
      </c>
      <c r="AQ31" s="2">
        <f t="shared" si="17"/>
        <v>523.04517618896307</v>
      </c>
      <c r="AR31" s="2">
        <f t="shared" si="18"/>
        <v>478.96737917397832</v>
      </c>
      <c r="AS31" s="2">
        <f t="shared" si="19"/>
        <v>475.98047490013522</v>
      </c>
      <c r="AX31" s="2">
        <f t="shared" si="28"/>
        <v>10000000000000</v>
      </c>
      <c r="AY31" s="37">
        <f t="shared" si="20"/>
        <v>266342.79382938251</v>
      </c>
      <c r="AZ31" s="37">
        <f t="shared" si="21"/>
        <v>-49053.038106922882</v>
      </c>
      <c r="BA31" s="37">
        <f t="shared" si="22"/>
        <v>-29067.25664892737</v>
      </c>
      <c r="BB31" s="37">
        <f t="shared" si="23"/>
        <v>-24494.572002844325</v>
      </c>
      <c r="BC31" s="37">
        <f t="shared" si="24"/>
        <v>-20171.073758124621</v>
      </c>
      <c r="BD31" s="37">
        <f t="shared" si="25"/>
        <v>-15903.286209624497</v>
      </c>
      <c r="BE31" s="37">
        <f t="shared" si="26"/>
        <v>-15639.676160397003</v>
      </c>
    </row>
    <row r="32" spans="1:57" x14ac:dyDescent="0.25">
      <c r="A32" s="2">
        <f>'creep_res-40'!A32</f>
        <v>100000000000000</v>
      </c>
      <c r="B32" s="3">
        <f>'creep_res-40'!O32</f>
        <v>-4.6848757142857146E-3</v>
      </c>
      <c r="C32" s="2">
        <f>IF('Modell einstellen'!$B$2="Ja",creep_res0!O32,creep_res0!C32)</f>
        <v>-5.6401380000000003E-3</v>
      </c>
      <c r="D32" s="2">
        <f>IF('Modell einstellen'!$B$2="Ja",creep_res25!O32,creep_res25!C32)</f>
        <v>-6.0295740000000002E-3</v>
      </c>
      <c r="E32" s="2">
        <f>IF('Modell einstellen'!$B$2="Ja",creep_res50!O32,creep_res50!C32)</f>
        <v>-6.2865677142857146E-3</v>
      </c>
      <c r="F32" s="2">
        <f>IF('Modell einstellen'!$B$2="Ja",creep_res80!O32,creep_res80!C32)</f>
        <v>-6.4428497142857144E-3</v>
      </c>
      <c r="G32" s="2">
        <f>IF('Modell einstellen'!$B$2="Ja",creep_res125!O32,creep_res125!C32)</f>
        <v>-6.9306028571428577E-3</v>
      </c>
      <c r="H32" s="2">
        <f>IF('Modell einstellen'!$B$2="Ja",creep_res160!O32,creep_res160!C32)</f>
        <v>-6.9347925714285724E-3</v>
      </c>
      <c r="M32" s="9">
        <v>-1</v>
      </c>
      <c r="N32" s="2">
        <f t="shared" si="4"/>
        <v>100000000000000</v>
      </c>
      <c r="O32" s="2">
        <f t="shared" si="5"/>
        <v>2134.5283439444802</v>
      </c>
      <c r="P32" s="2">
        <f t="shared" si="6"/>
        <v>1773.0062633219256</v>
      </c>
      <c r="Q32" s="2">
        <f t="shared" si="7"/>
        <v>1658.491959796828</v>
      </c>
      <c r="R32" s="2">
        <f t="shared" si="8"/>
        <v>1590.6931181661835</v>
      </c>
      <c r="S32" s="2">
        <f t="shared" si="9"/>
        <v>1552.1082197256635</v>
      </c>
      <c r="T32" s="2">
        <f t="shared" si="10"/>
        <v>1442.8759238013101</v>
      </c>
      <c r="U32" s="2">
        <f t="shared" si="11"/>
        <v>1442.004197962621</v>
      </c>
      <c r="Z32" s="2">
        <v>100000000000000</v>
      </c>
      <c r="AA32" s="3">
        <f>IF('Modell einstellen'!$B$2="Ja",'creep_res-40'!P32,'creep_res-40'!L32)</f>
        <v>0.50559271430588337</v>
      </c>
      <c r="AB32" s="2">
        <f>IF('Modell einstellen'!$B$2="Ja",creep_res0!P32,creep_res0!L32)</f>
        <v>0.50979522638833097</v>
      </c>
      <c r="AC32" s="2">
        <f>IF('Modell einstellen'!$B$2="Ja",creep_res25!P32,creep_res25!L32)</f>
        <v>0.51124057141397672</v>
      </c>
      <c r="AD32" s="2">
        <f>IF('Modell einstellen'!$B$2="Ja",creep_res50!P32,creep_res50!L32)</f>
        <v>0.51220909233823575</v>
      </c>
      <c r="AE32" s="2">
        <f>IF('Modell einstellen'!$B$2="Ja",creep_res80!P32,creep_res80!L32)</f>
        <v>0.51270569092452178</v>
      </c>
      <c r="AF32" s="2">
        <f>IF('Modell einstellen'!$B$2="Ja",creep_res125!P32,creep_res125!L32)</f>
        <v>0.51667832647829848</v>
      </c>
      <c r="AG32" s="2">
        <f>IF('Modell einstellen'!$B$2="Ja",creep_res160!P32,creep_res160!L32)</f>
        <v>0.51545132218188916</v>
      </c>
      <c r="AL32" s="2">
        <f t="shared" si="12"/>
        <v>100000000000000</v>
      </c>
      <c r="AM32" s="2">
        <f t="shared" si="13"/>
        <v>708.86645626754114</v>
      </c>
      <c r="AN32" s="2">
        <f t="shared" si="14"/>
        <v>587.16779346403064</v>
      </c>
      <c r="AO32" s="2">
        <f t="shared" si="15"/>
        <v>548.71871201984641</v>
      </c>
      <c r="AP32" s="2">
        <f t="shared" si="16"/>
        <v>525.95012363885235</v>
      </c>
      <c r="AQ32" s="2">
        <f t="shared" si="17"/>
        <v>513.02385818918287</v>
      </c>
      <c r="AR32" s="2">
        <f t="shared" si="18"/>
        <v>475.66972462501121</v>
      </c>
      <c r="AS32" s="2">
        <f t="shared" si="19"/>
        <v>475.76724400704541</v>
      </c>
      <c r="AX32" s="2">
        <f t="shared" si="28"/>
        <v>100000000000000</v>
      </c>
      <c r="AY32" s="37">
        <f t="shared" si="20"/>
        <v>-63610.38746722733</v>
      </c>
      <c r="AZ32" s="37">
        <f t="shared" si="21"/>
        <v>-30167.862606934468</v>
      </c>
      <c r="BA32" s="37">
        <f t="shared" si="22"/>
        <v>-24590.860771464442</v>
      </c>
      <c r="BB32" s="37">
        <f t="shared" si="23"/>
        <v>-21714.596986386121</v>
      </c>
      <c r="BC32" s="37">
        <f t="shared" si="24"/>
        <v>-20359.75098279411</v>
      </c>
      <c r="BD32" s="37">
        <f t="shared" si="25"/>
        <v>-14418.672097974508</v>
      </c>
      <c r="BE32" s="37">
        <f t="shared" si="26"/>
        <v>-15554.269735924026</v>
      </c>
    </row>
    <row r="33" spans="1:60" x14ac:dyDescent="0.25">
      <c r="A33" s="2">
        <f>'creep_res-40'!A33</f>
        <v>1000000000000000</v>
      </c>
      <c r="B33" s="3">
        <f>'creep_res-40'!O33</f>
        <v>-5.4542020000000009E-3</v>
      </c>
      <c r="C33" s="2">
        <f>IF('Modell einstellen'!$B$2="Ja",creep_res0!O33,creep_res0!C33)</f>
        <v>-5.9958525714285723E-3</v>
      </c>
      <c r="D33" s="2">
        <f>IF('Modell einstellen'!$B$2="Ja",creep_res25!O33,creep_res25!C33)</f>
        <v>-6.2946374285714288E-3</v>
      </c>
      <c r="E33" s="2">
        <f>IF('Modell einstellen'!$B$2="Ja",creep_res50!O33,creep_res50!C33)</f>
        <v>-6.4140320000000009E-3</v>
      </c>
      <c r="F33" s="2">
        <f>IF('Modell einstellen'!$B$2="Ja",creep_res80!O33,creep_res80!C33)</f>
        <v>-6.7568782857142864E-3</v>
      </c>
      <c r="G33" s="2">
        <f>IF('Modell einstellen'!$B$2="Ja",creep_res125!O33,creep_res125!C33)</f>
        <v>-6.9356111428571432E-3</v>
      </c>
      <c r="H33" s="2">
        <f>IF('Modell einstellen'!$B$2="Ja",creep_res160!O33,creep_res160!C33)</f>
        <v>-6.9376311428571442E-3</v>
      </c>
      <c r="M33" s="9">
        <f>M31</f>
        <v>-10</v>
      </c>
      <c r="N33" s="2">
        <f t="shared" si="4"/>
        <v>1000000000000000</v>
      </c>
      <c r="O33" s="2">
        <f t="shared" si="5"/>
        <v>1833.4487794914817</v>
      </c>
      <c r="P33" s="2">
        <f t="shared" si="6"/>
        <v>1667.8195270597521</v>
      </c>
      <c r="Q33" s="2">
        <f t="shared" si="7"/>
        <v>1588.6538523426129</v>
      </c>
      <c r="R33" s="2">
        <f t="shared" si="8"/>
        <v>1559.0817133434941</v>
      </c>
      <c r="S33" s="2">
        <f t="shared" si="9"/>
        <v>1479.9733807759237</v>
      </c>
      <c r="T33" s="2">
        <f t="shared" si="10"/>
        <v>1441.8340062647276</v>
      </c>
      <c r="U33" s="2">
        <f t="shared" si="11"/>
        <v>1441.4141937044049</v>
      </c>
      <c r="Z33" s="2">
        <v>1000000000000000</v>
      </c>
      <c r="AA33" s="3">
        <f>IF('Modell einstellen'!$B$2="Ja",'creep_res-40'!P33,'creep_res-40'!L33)</f>
        <v>0.50983684034542798</v>
      </c>
      <c r="AB33" s="2">
        <f>IF('Modell einstellen'!$B$2="Ja",creep_res0!P33,creep_res0!L33)</f>
        <v>0.51094623311999854</v>
      </c>
      <c r="AC33" s="2">
        <f>IF('Modell einstellen'!$B$2="Ja",creep_res25!P33,creep_res25!L33)</f>
        <v>0.51214101472586804</v>
      </c>
      <c r="AD33" s="2">
        <f>IF('Modell einstellen'!$B$2="Ja",creep_res50!P33,creep_res50!L33)</f>
        <v>0.51264241543273503</v>
      </c>
      <c r="AE33" s="2">
        <f>IF('Modell einstellen'!$B$2="Ja",creep_res80!P33,creep_res80!L33)</f>
        <v>0.51418250033806812</v>
      </c>
      <c r="AF33" s="2">
        <f>IF('Modell einstellen'!$B$2="Ja",creep_res125!P33,creep_res125!L33)</f>
        <v>0.5162885429521733</v>
      </c>
      <c r="AG33" s="2">
        <f>IF('Modell einstellen'!$B$2="Ja",creep_res160!P33,creep_res160!L33)</f>
        <v>0.51551013151504277</v>
      </c>
      <c r="AL33" s="2">
        <f t="shared" si="12"/>
        <v>1000000000000000</v>
      </c>
      <c r="AM33" s="2">
        <f t="shared" si="13"/>
        <v>607.16785102157667</v>
      </c>
      <c r="AN33" s="2">
        <f t="shared" si="14"/>
        <v>551.91226878266252</v>
      </c>
      <c r="AO33" s="2">
        <f t="shared" si="15"/>
        <v>525.29950476563715</v>
      </c>
      <c r="AP33" s="2">
        <f t="shared" si="16"/>
        <v>515.3503886433972</v>
      </c>
      <c r="AQ33" s="2">
        <f t="shared" si="17"/>
        <v>488.70376604058401</v>
      </c>
      <c r="AR33" s="2">
        <f t="shared" si="18"/>
        <v>475.44842733478526</v>
      </c>
      <c r="AS33" s="2">
        <f t="shared" si="19"/>
        <v>475.55412653805064</v>
      </c>
      <c r="AX33" s="2">
        <f>AL33</f>
        <v>1000000000000000</v>
      </c>
      <c r="AY33" s="37">
        <f t="shared" si="20"/>
        <v>-31064.324097111163</v>
      </c>
      <c r="AZ33" s="37">
        <f t="shared" si="21"/>
        <v>-25394.116691045081</v>
      </c>
      <c r="BA33" s="37">
        <f t="shared" si="22"/>
        <v>-21808.361824400279</v>
      </c>
      <c r="BB33" s="37">
        <f t="shared" si="23"/>
        <v>-20553.584368940563</v>
      </c>
      <c r="BC33" s="37">
        <f t="shared" si="24"/>
        <v>-17392.012991336898</v>
      </c>
      <c r="BD33" s="37">
        <f t="shared" si="25"/>
        <v>-14753.048717517431</v>
      </c>
      <c r="BE33" s="37">
        <f t="shared" si="26"/>
        <v>-15488.953057408791</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C5" sqref="C5"/>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8" t="s">
        <v>26</v>
      </c>
      <c r="B15" s="108"/>
      <c r="C15" s="108"/>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9521.3086452220268</v>
      </c>
      <c r="G16" s="26">
        <f>INDEX(Comparison!$AM$3:$AS$33,G14,$B$3)</f>
        <v>9264.9569626866305</v>
      </c>
      <c r="H16" s="26">
        <f>INDEX(Comparison!$AM$3:$AS$33,H14,$B$3)</f>
        <v>9040.3201170121174</v>
      </c>
      <c r="I16" s="26">
        <f>INDEX(Comparison!$AM$3:$AS$33,I14,$B$3)</f>
        <v>8795.6860246078559</v>
      </c>
      <c r="J16" s="26">
        <f>INDEX(Comparison!$AM$3:$AS$33,J14,$B$3)</f>
        <v>8532.6912536798991</v>
      </c>
      <c r="K16" s="26">
        <f>INDEX(Comparison!$AM$3:$AS$33,K14,$B$3)</f>
        <v>8244.2374276121209</v>
      </c>
      <c r="L16" s="26">
        <f>INDEX(Comparison!$AM$3:$AS$33,L14,$B$3)</f>
        <v>7958.2786468847135</v>
      </c>
      <c r="M16" s="26">
        <f>INDEX(Comparison!$AM$3:$AS$33,M14,$B$3)</f>
        <v>7687.376383967704</v>
      </c>
      <c r="N16" s="26">
        <f>INDEX(Comparison!$AM$3:$AS$33,N14,$B$3)</f>
        <v>7374.3712231841728</v>
      </c>
      <c r="O16" s="26">
        <f>INDEX(Comparison!$AM$3:$AS$33,O14,$B$3)</f>
        <v>7006.1552436770207</v>
      </c>
      <c r="P16" s="26">
        <f>INDEX(Comparison!$AM$3:$AS$33,P14,$B$3)</f>
        <v>6628.8785990090082</v>
      </c>
      <c r="Q16" s="26">
        <f>INDEX(Comparison!$AM$3:$AS$33,Q14,$B$3)</f>
        <v>6311.3720523241727</v>
      </c>
      <c r="R16" s="26">
        <f>INDEX(Comparison!$AM$3:$AS$33,R14,$B$3)</f>
        <v>6028.2349504089671</v>
      </c>
      <c r="S16" s="26">
        <f>INDEX(Comparison!$AM$3:$AS$33,S14,$B$3)</f>
        <v>5748.7087759518809</v>
      </c>
      <c r="T16" s="26">
        <f>INDEX(Comparison!$AM$3:$AS$33,T14,$B$3)</f>
        <v>5465.7818754747968</v>
      </c>
      <c r="U16" s="26">
        <f>INDEX(Comparison!$AM$3:$AS$33,U14,$B$3)</f>
        <v>5192.657072535425</v>
      </c>
      <c r="V16" s="26">
        <f>INDEX(Comparison!$AM$3:$AS$33,V14,$B$3)</f>
        <v>4882.9062343607484</v>
      </c>
      <c r="W16" s="26">
        <f>INDEX(Comparison!$AM$3:$AS$33,W14,$B$3)</f>
        <v>4501.5398610325774</v>
      </c>
      <c r="X16" s="26">
        <f>INDEX(Comparison!$AM$3:$AS$33,X14,$B$3)</f>
        <v>4066.6104281555185</v>
      </c>
      <c r="Y16" s="26">
        <f>INDEX(Comparison!$AM$3:$AS$33,Y14,$B$3)</f>
        <v>3597.5685781370817</v>
      </c>
      <c r="Z16" s="26">
        <f>INDEX(Comparison!$AM$3:$AS$33,Z14,$B$3)</f>
        <v>3102.4717339118838</v>
      </c>
      <c r="AA16" s="26">
        <f>INDEX(Comparison!$AM$3:$AS$33,AA14,$B$3)</f>
        <v>2568.6205512482802</v>
      </c>
      <c r="AB16" s="26">
        <f>INDEX(Comparison!$AM$3:$AS$33,AB14,$B$3)</f>
        <v>2000.7316961631682</v>
      </c>
      <c r="AC16" s="26">
        <f>INDEX(Comparison!$AM$3:$AS$33,AC14,$B$3)</f>
        <v>1467.5042196825975</v>
      </c>
      <c r="AD16" s="26">
        <f>INDEX(Comparison!$AM$3:$AS$33,AD14,$B$3)</f>
        <v>1058.8226695409851</v>
      </c>
      <c r="AE16" s="26">
        <f>INDEX(Comparison!$AM$3:$AS$33,AE14,$B$3)</f>
        <v>791.47453302018846</v>
      </c>
      <c r="AF16" s="26">
        <f>INDEX(Comparison!$AM$3:$AS$33,AF14,$B$3)</f>
        <v>655.80009654126911</v>
      </c>
      <c r="AG16" s="26">
        <f>INDEX(Comparison!$AM$3:$AS$33,AG14,$B$3)</f>
        <v>585.43210743850034</v>
      </c>
      <c r="AH16" s="26">
        <f>INDEX(Comparison!$AM$3:$AS$33,AH14,$B$3)</f>
        <v>550.22961238933465</v>
      </c>
      <c r="AI16" s="26">
        <f>INDEX(Comparison!$AM$3:$AS$33,AI14,$B$3)</f>
        <v>525.95012363885235</v>
      </c>
      <c r="AJ16" s="26">
        <f>INDEX(Comparison!$AM$3:$AS$33,AJ14,$B$3)</f>
        <v>515.3503886433972</v>
      </c>
    </row>
    <row r="17" spans="1:36" x14ac:dyDescent="0.25">
      <c r="A17" s="14" t="s">
        <v>20</v>
      </c>
      <c r="B17" s="14">
        <v>3.1569557247388066E-2</v>
      </c>
      <c r="C17" s="18">
        <f t="shared" ref="C17:C48" si="3">ABS(B17/$B$49)</f>
        <v>5.0460713134888202E-2</v>
      </c>
      <c r="D17" s="67"/>
      <c r="E17" s="66" t="s">
        <v>22</v>
      </c>
      <c r="F17" s="27">
        <f>($C$17+SUM(F18:F48))*$B$51</f>
        <v>9449.4265655192376</v>
      </c>
      <c r="G17" s="27">
        <f t="shared" ref="G17:M17" si="4">($C$17+SUM(G18:G48))*$B$51</f>
        <v>9357.9466205459739</v>
      </c>
      <c r="H17" s="27">
        <f t="shared" si="4"/>
        <v>9015.6870050661892</v>
      </c>
      <c r="I17" s="27">
        <f t="shared" si="4"/>
        <v>8799.7180611049407</v>
      </c>
      <c r="J17" s="27">
        <f t="shared" si="4"/>
        <v>8532.1268107240303</v>
      </c>
      <c r="K17" s="27">
        <f t="shared" si="4"/>
        <v>8244.2936583778446</v>
      </c>
      <c r="L17" s="27">
        <f t="shared" si="4"/>
        <v>7958.2841072236188</v>
      </c>
      <c r="M17" s="27">
        <f t="shared" si="4"/>
        <v>7687.3136337836158</v>
      </c>
      <c r="N17" s="27">
        <f t="shared" ref="N17" si="5">($C$17+SUM(N18:N48))*$B$51</f>
        <v>7374.5573301326149</v>
      </c>
      <c r="O17" s="27">
        <f t="shared" ref="O17" si="6">($C$17+SUM(O18:O48))*$B$51</f>
        <v>7005.811450551465</v>
      </c>
      <c r="P17" s="27">
        <f t="shared" ref="P17" si="7">($C$17+SUM(P18:P48))*$B$51</f>
        <v>6629.4800359729679</v>
      </c>
      <c r="Q17" s="27">
        <f t="shared" ref="Q17" si="8">($C$17+SUM(Q18:Q48))*$B$51</f>
        <v>6310.4809624462496</v>
      </c>
      <c r="R17" s="27">
        <f t="shared" ref="R17" si="9">($C$17+SUM(R18:R48))*$B$51</f>
        <v>6029.3303649530662</v>
      </c>
      <c r="S17" s="27">
        <f t="shared" ref="S17:T17" si="10">($C$17+SUM(S18:S48))*$B$51</f>
        <v>5747.5561695603137</v>
      </c>
      <c r="T17" s="27">
        <f t="shared" si="10"/>
        <v>5466.8115101676676</v>
      </c>
      <c r="U17" s="27">
        <f t="shared" ref="U17" si="11">($C$17+SUM(U18:U48))*$B$51</f>
        <v>5191.8525176245475</v>
      </c>
      <c r="V17" s="27">
        <f t="shared" ref="V17" si="12">($C$17+SUM(V18:V48))*$B$51</f>
        <v>4883.4512556550799</v>
      </c>
      <c r="W17" s="27">
        <f t="shared" ref="W17" si="13">($C$17+SUM(W18:W48))*$B$51</f>
        <v>4501.2289547787923</v>
      </c>
      <c r="X17" s="27">
        <f t="shared" ref="X17" si="14">($C$17+SUM(X18:X48))*$B$51</f>
        <v>4066.7674072357577</v>
      </c>
      <c r="Y17" s="27">
        <f t="shared" ref="Y17" si="15">($C$17+SUM(Y18:Y48))*$B$51</f>
        <v>3597.4912585472111</v>
      </c>
      <c r="Z17" s="27">
        <f t="shared" ref="Z17:AA17" si="16">($C$17+SUM(Z18:Z48))*$B$51</f>
        <v>3102.5240322338755</v>
      </c>
      <c r="AA17" s="27">
        <f t="shared" si="16"/>
        <v>2568.5540014530561</v>
      </c>
      <c r="AB17" s="27">
        <f t="shared" ref="AB17" si="17">($C$17+SUM(AB18:AB48))*$B$51</f>
        <v>2000.8433736398795</v>
      </c>
      <c r="AC17" s="27">
        <f t="shared" ref="AC17" si="18">($C$17+SUM(AC18:AC48))*$B$51</f>
        <v>1467.3712933423078</v>
      </c>
      <c r="AD17" s="27">
        <f t="shared" ref="AD17" si="19">($C$17+SUM(AD18:AD48))*$B$51</f>
        <v>1058.9374050712406</v>
      </c>
      <c r="AE17" s="27">
        <f t="shared" ref="AE17" si="20">($C$17+SUM(AE18:AE48))*$B$51</f>
        <v>791.37811582502013</v>
      </c>
      <c r="AF17" s="27">
        <f t="shared" ref="AF17" si="21">($C$17+SUM(AF18:AF48))*$B$51</f>
        <v>655.88973181856727</v>
      </c>
      <c r="AG17" s="27">
        <f t="shared" ref="AG17:AH17" si="22">($C$17+SUM(AG18:AG48))*$B$51</f>
        <v>585.36221447129253</v>
      </c>
      <c r="AH17" s="27">
        <f t="shared" si="22"/>
        <v>550.29313295028589</v>
      </c>
      <c r="AI17" s="27">
        <f t="shared" ref="AI17" si="23">($C$17+SUM(AI18:AI48))*$B$51</f>
        <v>525.85828614279797</v>
      </c>
      <c r="AJ17" s="27">
        <f t="shared" ref="AJ17" si="24">($C$17+SUM(AJ18:AJ48))*$B$51</f>
        <v>515.41709145297239</v>
      </c>
    </row>
    <row r="18" spans="1:36" x14ac:dyDescent="0.25">
      <c r="A18" s="3">
        <f>0.000000000000001/10^5</f>
        <v>1.0000000000000001E-20</v>
      </c>
      <c r="B18" s="17">
        <v>4.4610385581346751E-2</v>
      </c>
      <c r="C18" s="18">
        <f t="shared" si="3"/>
        <v>7.1305145397417183E-2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2.6647152566535954E-2</v>
      </c>
      <c r="C19" s="18">
        <f t="shared" si="3"/>
        <v>4.2592751966225952E-2</v>
      </c>
      <c r="D19" s="17"/>
      <c r="F19" s="3">
        <f t="shared" si="25"/>
        <v>4.1515574742496335E-2</v>
      </c>
      <c r="G19" s="3">
        <f t="shared" si="25"/>
        <v>3.2967744492997733E-2</v>
      </c>
      <c r="H19" s="3">
        <f t="shared" si="25"/>
        <v>3.2875399979023262E-3</v>
      </c>
      <c r="I19" s="3">
        <f t="shared" si="25"/>
        <v>3.19660623802532E-13</v>
      </c>
      <c r="J19" s="3">
        <f t="shared" si="25"/>
        <v>2.4147385480180967E-113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1.1380120960772219E-2</v>
      </c>
      <c r="C20" s="18">
        <f t="shared" si="3"/>
        <v>1.8189961130651151E-2</v>
      </c>
      <c r="D20" s="17"/>
      <c r="F20" s="3">
        <f t="shared" si="25"/>
        <v>1.8147977634502453E-2</v>
      </c>
      <c r="G20" s="3">
        <f t="shared" si="25"/>
        <v>1.7774459955672117E-2</v>
      </c>
      <c r="H20" s="3">
        <f t="shared" si="25"/>
        <v>1.4437041479681159E-2</v>
      </c>
      <c r="I20" s="3">
        <f t="shared" si="25"/>
        <v>1.8042474630441819E-3</v>
      </c>
      <c r="J20" s="3">
        <f t="shared" si="25"/>
        <v>1.6767761718665579E-12</v>
      </c>
      <c r="K20" s="3">
        <f t="shared" si="25"/>
        <v>8.0587001717274003E-103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1.7663765482454342E-2</v>
      </c>
      <c r="C21" s="18">
        <f t="shared" si="3"/>
        <v>2.8233725164638263E-2</v>
      </c>
      <c r="D21" s="17"/>
      <c r="F21" s="3">
        <f t="shared" si="25"/>
        <v>2.8227840550207509E-2</v>
      </c>
      <c r="G21" s="3">
        <f t="shared" si="25"/>
        <v>2.8174934182202682E-2</v>
      </c>
      <c r="H21" s="3">
        <f t="shared" si="25"/>
        <v>2.7651293772773162E-2</v>
      </c>
      <c r="I21" s="3">
        <f t="shared" si="25"/>
        <v>2.2921388226964576E-2</v>
      </c>
      <c r="J21" s="3">
        <f t="shared" si="25"/>
        <v>3.511523057387824E-3</v>
      </c>
      <c r="K21" s="3">
        <f t="shared" si="25"/>
        <v>2.5005848673781842E-11</v>
      </c>
      <c r="L21" s="3">
        <f t="shared" si="25"/>
        <v>8.3849859833238226E-93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1.8673436939194866E-2</v>
      </c>
      <c r="C22" s="18">
        <f t="shared" si="3"/>
        <v>2.9847581872853059E-2</v>
      </c>
      <c r="D22" s="17"/>
      <c r="F22" s="3">
        <f t="shared" si="25"/>
        <v>2.9847020635261356E-2</v>
      </c>
      <c r="G22" s="3">
        <f t="shared" si="25"/>
        <v>2.9841969971806416E-2</v>
      </c>
      <c r="H22" s="3">
        <f t="shared" si="25"/>
        <v>2.9791510319972257E-2</v>
      </c>
      <c r="I22" s="3">
        <f t="shared" si="25"/>
        <v>2.9291582787115529E-2</v>
      </c>
      <c r="J22" s="3">
        <f t="shared" si="25"/>
        <v>2.4731247700098272E-2</v>
      </c>
      <c r="K22" s="3">
        <f t="shared" si="25"/>
        <v>4.5527929786712065E-3</v>
      </c>
      <c r="L22" s="3">
        <f t="shared" si="25"/>
        <v>2.0351510996086298E-10</v>
      </c>
      <c r="M22" s="3">
        <f t="shared" si="25"/>
        <v>6.4831223800299146E-84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1.8697023600191851E-2</v>
      </c>
      <c r="C23" s="18">
        <f t="shared" si="3"/>
        <v>2.9885282741606206E-2</v>
      </c>
      <c r="D23" s="17"/>
      <c r="F23" s="3">
        <f t="shared" si="25"/>
        <v>2.9885232048923516E-2</v>
      </c>
      <c r="G23" s="3">
        <f t="shared" si="25"/>
        <v>2.9884775818648714E-2</v>
      </c>
      <c r="H23" s="3">
        <f t="shared" si="25"/>
        <v>2.9880213898949706E-2</v>
      </c>
      <c r="I23" s="3">
        <f t="shared" si="25"/>
        <v>2.9834632985235181E-2</v>
      </c>
      <c r="J23" s="3">
        <f t="shared" si="25"/>
        <v>2.9382630639390121E-2</v>
      </c>
      <c r="K23" s="3">
        <f t="shared" si="25"/>
        <v>2.5222633919530998E-2</v>
      </c>
      <c r="L23" s="3">
        <f t="shared" si="25"/>
        <v>5.480094466142265E-3</v>
      </c>
      <c r="M23" s="3">
        <f t="shared" si="25"/>
        <v>1.2845887915778143E-9</v>
      </c>
      <c r="N23" s="3">
        <f t="shared" si="25"/>
        <v>6.4346504905667601E-76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1.6417325581924953E-2</v>
      </c>
      <c r="C24" s="18">
        <f t="shared" si="3"/>
        <v>2.6241418279634488E-2</v>
      </c>
      <c r="D24" s="17"/>
      <c r="F24" s="3">
        <f t="shared" si="25"/>
        <v>2.6241414264296239E-2</v>
      </c>
      <c r="G24" s="3">
        <f t="shared" si="25"/>
        <v>2.6241378126279646E-2</v>
      </c>
      <c r="H24" s="3">
        <f t="shared" si="25"/>
        <v>2.6241016748850866E-2</v>
      </c>
      <c r="I24" s="3">
        <f t="shared" si="25"/>
        <v>2.6237403248266452E-2</v>
      </c>
      <c r="J24" s="3">
        <f t="shared" si="25"/>
        <v>2.6201295598818803E-2</v>
      </c>
      <c r="K24" s="3">
        <f t="shared" si="25"/>
        <v>2.5842940855984781E-2</v>
      </c>
      <c r="L24" s="3">
        <f t="shared" si="25"/>
        <v>2.2518196380557264E-2</v>
      </c>
      <c r="M24" s="3">
        <f t="shared" si="25"/>
        <v>5.681333565036791E-3</v>
      </c>
      <c r="N24" s="3">
        <f t="shared" si="25"/>
        <v>5.9376849558655597E-9</v>
      </c>
      <c r="O24" s="3">
        <f t="shared" si="25"/>
        <v>9.2317869778852511E-69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2.0593875011632731E-2</v>
      </c>
      <c r="C25" s="18">
        <f t="shared" si="3"/>
        <v>3.291720600179527E-2</v>
      </c>
      <c r="D25" s="17"/>
      <c r="F25" s="3">
        <f t="shared" si="25"/>
        <v>3.2917205547430738E-2</v>
      </c>
      <c r="G25" s="3">
        <f t="shared" si="25"/>
        <v>3.2917201458150275E-2</v>
      </c>
      <c r="H25" s="3">
        <f t="shared" si="25"/>
        <v>3.2917160565373554E-2</v>
      </c>
      <c r="I25" s="3">
        <f t="shared" si="25"/>
        <v>3.2916751640400331E-2</v>
      </c>
      <c r="J25" s="3">
        <f t="shared" si="25"/>
        <v>3.2912662670058504E-2</v>
      </c>
      <c r="K25" s="3">
        <f t="shared" si="25"/>
        <v>3.2871800892837651E-2</v>
      </c>
      <c r="L25" s="3">
        <f t="shared" si="25"/>
        <v>3.2465962946683448E-2</v>
      </c>
      <c r="M25" s="3">
        <f t="shared" si="25"/>
        <v>2.867320225751336E-2</v>
      </c>
      <c r="N25" s="3">
        <f t="shared" si="25"/>
        <v>8.2785693916759637E-3</v>
      </c>
      <c r="O25" s="3">
        <f t="shared" si="25"/>
        <v>3.3323165181627087E-8</v>
      </c>
      <c r="P25" s="3">
        <f t="shared" si="25"/>
        <v>3.7209665907118639E-62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2.5070609074190627E-2</v>
      </c>
      <c r="C26" s="18">
        <f t="shared" si="3"/>
        <v>4.0072808202412338E-2</v>
      </c>
      <c r="D26" s="17"/>
      <c r="F26" s="3">
        <f t="shared" si="25"/>
        <v>4.0072808152514947E-2</v>
      </c>
      <c r="G26" s="3">
        <f t="shared" si="25"/>
        <v>4.0072807703438448E-2</v>
      </c>
      <c r="H26" s="3">
        <f t="shared" si="25"/>
        <v>4.0072803212673702E-2</v>
      </c>
      <c r="I26" s="3">
        <f t="shared" si="25"/>
        <v>4.0072758305053927E-2</v>
      </c>
      <c r="J26" s="3">
        <f t="shared" si="25"/>
        <v>4.0072309231624102E-2</v>
      </c>
      <c r="K26" s="3">
        <f t="shared" si="25"/>
        <v>4.0067818774105105E-2</v>
      </c>
      <c r="L26" s="3">
        <f t="shared" si="25"/>
        <v>4.0022941865369983E-2</v>
      </c>
      <c r="M26" s="3">
        <f t="shared" si="25"/>
        <v>3.9576927986161102E-2</v>
      </c>
      <c r="N26" s="3">
        <f t="shared" si="25"/>
        <v>3.5381220218762326E-2</v>
      </c>
      <c r="O26" s="3">
        <f t="shared" si="25"/>
        <v>1.1536659287033403E-2</v>
      </c>
      <c r="P26" s="3">
        <f t="shared" si="25"/>
        <v>1.567301927677057E-7</v>
      </c>
      <c r="Q26" s="3">
        <f t="shared" si="25"/>
        <v>3.3564383724415886E-56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2.4878607215561833E-2</v>
      </c>
      <c r="C27" s="18">
        <f t="shared" si="3"/>
        <v>3.976591284009507E-2</v>
      </c>
      <c r="D27" s="17"/>
      <c r="F27" s="3">
        <f t="shared" si="25"/>
        <v>3.9765912835628386E-2</v>
      </c>
      <c r="G27" s="3">
        <f t="shared" si="25"/>
        <v>3.9765912795428189E-2</v>
      </c>
      <c r="H27" s="3">
        <f t="shared" si="25"/>
        <v>3.9765912393426299E-2</v>
      </c>
      <c r="I27" s="3">
        <f t="shared" si="25"/>
        <v>3.9765908373407564E-2</v>
      </c>
      <c r="J27" s="3">
        <f t="shared" si="25"/>
        <v>3.9765868173242583E-2</v>
      </c>
      <c r="K27" s="3">
        <f t="shared" si="25"/>
        <v>3.976546617382791E-2</v>
      </c>
      <c r="L27" s="3">
        <f t="shared" si="25"/>
        <v>3.9761446403187545E-2</v>
      </c>
      <c r="M27" s="3">
        <f t="shared" si="25"/>
        <v>3.9721271039062409E-2</v>
      </c>
      <c r="N27" s="3">
        <f t="shared" si="25"/>
        <v>3.9321743291290547E-2</v>
      </c>
      <c r="O27" s="3">
        <f t="shared" si="25"/>
        <v>3.5540949785542425E-2</v>
      </c>
      <c r="P27" s="3">
        <f t="shared" si="25"/>
        <v>1.2932774026777838E-2</v>
      </c>
      <c r="Q27" s="3">
        <f t="shared" si="25"/>
        <v>5.2640291551001563E-7</v>
      </c>
      <c r="R27" s="3">
        <f t="shared" si="25"/>
        <v>6.5702856779427215E-51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1.8408653777251219E-2</v>
      </c>
      <c r="C28" s="18">
        <f t="shared" si="3"/>
        <v>2.9424353030171317E-2</v>
      </c>
      <c r="D28" s="17"/>
      <c r="F28" s="3">
        <f t="shared" si="25"/>
        <v>2.9424353029873174E-2</v>
      </c>
      <c r="G28" s="3">
        <f t="shared" si="25"/>
        <v>2.9424353027189862E-2</v>
      </c>
      <c r="H28" s="3">
        <f t="shared" si="25"/>
        <v>2.9424353000356774E-2</v>
      </c>
      <c r="I28" s="3">
        <f t="shared" si="25"/>
        <v>2.9424352732025892E-2</v>
      </c>
      <c r="J28" s="3">
        <f t="shared" si="25"/>
        <v>2.9424350048717206E-2</v>
      </c>
      <c r="K28" s="3">
        <f t="shared" si="25"/>
        <v>2.942432321564379E-2</v>
      </c>
      <c r="L28" s="3">
        <f t="shared" si="25"/>
        <v>2.9424054886255473E-2</v>
      </c>
      <c r="M28" s="3">
        <f t="shared" si="25"/>
        <v>2.9421371726952396E-2</v>
      </c>
      <c r="N28" s="3">
        <f t="shared" si="25"/>
        <v>2.939455358739056E-2</v>
      </c>
      <c r="O28" s="3">
        <f t="shared" si="25"/>
        <v>2.9127713010303837E-2</v>
      </c>
      <c r="P28" s="3">
        <f t="shared" si="25"/>
        <v>2.6588973206646774E-2</v>
      </c>
      <c r="Q28" s="3">
        <f t="shared" si="25"/>
        <v>1.0682019366943529E-2</v>
      </c>
      <c r="R28" s="3">
        <f t="shared" si="25"/>
        <v>1.1699607908649033E-6</v>
      </c>
      <c r="S28" s="3">
        <f t="shared" si="25"/>
        <v>2.9063691232809556E-46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1.7875034498875064E-2</v>
      </c>
      <c r="C29" s="18">
        <f t="shared" si="3"/>
        <v>2.8571417110976157E-2</v>
      </c>
      <c r="D29" s="17"/>
      <c r="F29" s="3">
        <f t="shared" si="25"/>
        <v>2.8571417110950043E-2</v>
      </c>
      <c r="G29" s="3">
        <f t="shared" si="25"/>
        <v>2.8571417110715001E-2</v>
      </c>
      <c r="H29" s="3">
        <f t="shared" si="25"/>
        <v>2.85714171083646E-2</v>
      </c>
      <c r="I29" s="3">
        <f t="shared" si="25"/>
        <v>2.8571417084860582E-2</v>
      </c>
      <c r="J29" s="3">
        <f t="shared" si="25"/>
        <v>2.8571416849820404E-2</v>
      </c>
      <c r="K29" s="3">
        <f t="shared" si="25"/>
        <v>2.8571414499418725E-2</v>
      </c>
      <c r="L29" s="3">
        <f t="shared" si="25"/>
        <v>2.8571390995412553E-2</v>
      </c>
      <c r="M29" s="3">
        <f t="shared" si="25"/>
        <v>2.8571155956414306E-2</v>
      </c>
      <c r="N29" s="3">
        <f t="shared" si="25"/>
        <v>2.8568805672772764E-2</v>
      </c>
      <c r="O29" s="3">
        <f t="shared" si="25"/>
        <v>2.8545313467213999E-2</v>
      </c>
      <c r="P29" s="3">
        <f t="shared" si="25"/>
        <v>2.8311451268608481E-2</v>
      </c>
      <c r="Q29" s="3">
        <f t="shared" si="25"/>
        <v>2.607565877860642E-2</v>
      </c>
      <c r="R29" s="3">
        <f t="shared" si="25"/>
        <v>1.1454255334381666E-2</v>
      </c>
      <c r="S29" s="3">
        <f t="shared" si="25"/>
        <v>3.0639563031612092E-6</v>
      </c>
      <c r="T29" s="3">
        <f t="shared" si="25"/>
        <v>5.7469793918259548E-42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1.8410217139780874E-2</v>
      </c>
      <c r="C30" s="18">
        <f t="shared" si="3"/>
        <v>2.9426851905512412E-2</v>
      </c>
      <c r="D30" s="17"/>
      <c r="F30" s="3">
        <f t="shared" si="25"/>
        <v>2.9426851905509983E-2</v>
      </c>
      <c r="G30" s="3">
        <f t="shared" si="25"/>
        <v>2.9426851905488147E-2</v>
      </c>
      <c r="H30" s="3">
        <f t="shared" si="25"/>
        <v>2.9426851905269776E-2</v>
      </c>
      <c r="I30" s="3">
        <f t="shared" si="25"/>
        <v>2.9426851903086037E-2</v>
      </c>
      <c r="J30" s="3">
        <f t="shared" si="25"/>
        <v>2.9426851881248644E-2</v>
      </c>
      <c r="K30" s="3">
        <f t="shared" si="25"/>
        <v>2.9426851662874749E-2</v>
      </c>
      <c r="L30" s="3">
        <f t="shared" si="25"/>
        <v>2.9426849479135882E-2</v>
      </c>
      <c r="M30" s="3">
        <f t="shared" si="25"/>
        <v>2.9426827641756113E-2</v>
      </c>
      <c r="N30" s="3">
        <f t="shared" si="25"/>
        <v>2.9426609268849699E-2</v>
      </c>
      <c r="O30" s="3">
        <f t="shared" si="25"/>
        <v>2.9424425628912138E-2</v>
      </c>
      <c r="P30" s="3">
        <f t="shared" si="25"/>
        <v>2.94025981397446E-2</v>
      </c>
      <c r="Q30" s="3">
        <f t="shared" si="25"/>
        <v>2.9185211827217752E-2</v>
      </c>
      <c r="R30" s="3">
        <f t="shared" si="25"/>
        <v>2.709781448867235E-2</v>
      </c>
      <c r="S30" s="3">
        <f t="shared" si="25"/>
        <v>1.290174399839515E-2</v>
      </c>
      <c r="T30" s="3">
        <f t="shared" si="25"/>
        <v>7.7230699687342252E-6</v>
      </c>
      <c r="U30" s="3">
        <f t="shared" si="25"/>
        <v>4.5625271501680853E-38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1.7793319172116559E-2</v>
      </c>
      <c r="C31" s="18">
        <f t="shared" si="3"/>
        <v>2.8440803506547933E-2</v>
      </c>
      <c r="D31" s="17"/>
      <c r="F31" s="3">
        <f t="shared" si="25"/>
        <v>2.8440803506547721E-2</v>
      </c>
      <c r="G31" s="3">
        <f t="shared" si="25"/>
        <v>2.8440803506545816E-2</v>
      </c>
      <c r="H31" s="3">
        <f t="shared" si="25"/>
        <v>2.8440803506526776E-2</v>
      </c>
      <c r="I31" s="3">
        <f t="shared" si="25"/>
        <v>2.844080350633639E-2</v>
      </c>
      <c r="J31" s="3">
        <f t="shared" si="25"/>
        <v>2.8440803504432483E-2</v>
      </c>
      <c r="K31" s="3">
        <f t="shared" si="25"/>
        <v>2.8440803485393427E-2</v>
      </c>
      <c r="L31" s="3">
        <f t="shared" si="25"/>
        <v>2.8440803295002884E-2</v>
      </c>
      <c r="M31" s="3">
        <f t="shared" si="25"/>
        <v>2.8440801391097531E-2</v>
      </c>
      <c r="N31" s="3">
        <f t="shared" si="25"/>
        <v>2.8440782352050997E-2</v>
      </c>
      <c r="O31" s="3">
        <f t="shared" si="25"/>
        <v>2.8440591962286627E-2</v>
      </c>
      <c r="P31" s="3">
        <f t="shared" si="25"/>
        <v>2.8438688134739983E-2</v>
      </c>
      <c r="Q31" s="3">
        <f t="shared" si="25"/>
        <v>2.8419656867240694E-2</v>
      </c>
      <c r="R31" s="3">
        <f t="shared" si="25"/>
        <v>2.8230043256277097E-2</v>
      </c>
      <c r="S31" s="3">
        <f t="shared" si="25"/>
        <v>2.6402112619045154E-2</v>
      </c>
      <c r="T31" s="3">
        <f t="shared" si="25"/>
        <v>1.3517925087058133E-2</v>
      </c>
      <c r="U31" s="3">
        <f t="shared" si="25"/>
        <v>1.6734918311994419E-5</v>
      </c>
      <c r="V31" s="3">
        <f t="shared" si="26"/>
        <v>1.4150090287104289E-34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1.6729465759702921E-2</v>
      </c>
      <c r="C32" s="18">
        <f t="shared" si="3"/>
        <v>2.6740342475666101E-2</v>
      </c>
      <c r="D32" s="17"/>
      <c r="F32" s="3">
        <f t="shared" si="25"/>
        <v>2.6740342475666083E-2</v>
      </c>
      <c r="G32" s="3">
        <f t="shared" si="25"/>
        <v>2.6740342475665924E-2</v>
      </c>
      <c r="H32" s="3">
        <f t="shared" si="25"/>
        <v>2.6740342475664307E-2</v>
      </c>
      <c r="I32" s="3">
        <f t="shared" si="25"/>
        <v>2.6740342475648157E-2</v>
      </c>
      <c r="J32" s="3">
        <f t="shared" si="25"/>
        <v>2.6740342475486678E-2</v>
      </c>
      <c r="K32" s="3">
        <f t="shared" si="25"/>
        <v>2.6740342473871886E-2</v>
      </c>
      <c r="L32" s="3">
        <f t="shared" si="25"/>
        <v>2.6740342457723946E-2</v>
      </c>
      <c r="M32" s="3">
        <f t="shared" si="25"/>
        <v>2.6740342296244571E-2</v>
      </c>
      <c r="N32" s="3">
        <f t="shared" si="25"/>
        <v>2.6740340681450852E-2</v>
      </c>
      <c r="O32" s="3">
        <f t="shared" si="25"/>
        <v>2.6740324533519034E-2</v>
      </c>
      <c r="P32" s="3">
        <f t="shared" si="25"/>
        <v>2.6740163054737184E-2</v>
      </c>
      <c r="Q32" s="3">
        <f t="shared" si="25"/>
        <v>2.673854832055007E-2</v>
      </c>
      <c r="R32" s="3">
        <f t="shared" si="25"/>
        <v>2.6722406340620106E-2</v>
      </c>
      <c r="S32" s="3">
        <f t="shared" si="25"/>
        <v>2.6561521539323809E-2</v>
      </c>
      <c r="T32" s="3">
        <f t="shared" si="25"/>
        <v>2.500499701564473E-2</v>
      </c>
      <c r="U32" s="3">
        <f t="shared" si="25"/>
        <v>1.3669901461452121E-2</v>
      </c>
      <c r="V32" s="3">
        <f t="shared" si="26"/>
        <v>3.2595012615392125E-5</v>
      </c>
      <c r="W32" s="3">
        <f t="shared" si="26"/>
        <v>1.9364614161534382E-31</v>
      </c>
      <c r="X32" s="3">
        <f t="shared" si="26"/>
        <v>1.060683455338954E-293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2.2762835018356641E-2</v>
      </c>
      <c r="C33" s="18">
        <f t="shared" si="3"/>
        <v>3.6384067061729697E-2</v>
      </c>
      <c r="D33" s="17"/>
      <c r="F33" s="3">
        <f t="shared" si="25"/>
        <v>3.638406706172969E-2</v>
      </c>
      <c r="G33" s="3">
        <f t="shared" si="25"/>
        <v>3.6384067061729676E-2</v>
      </c>
      <c r="H33" s="3">
        <f t="shared" si="25"/>
        <v>3.6384067061729475E-2</v>
      </c>
      <c r="I33" s="3">
        <f t="shared" si="25"/>
        <v>3.6384067061727497E-2</v>
      </c>
      <c r="J33" s="3">
        <f t="shared" si="25"/>
        <v>3.6384067061707673E-2</v>
      </c>
      <c r="K33" s="3">
        <f t="shared" si="25"/>
        <v>3.638406706150947E-2</v>
      </c>
      <c r="L33" s="3">
        <f t="shared" si="25"/>
        <v>3.6384067059527452E-2</v>
      </c>
      <c r="M33" s="3">
        <f t="shared" si="25"/>
        <v>3.6384067039707257E-2</v>
      </c>
      <c r="N33" s="3">
        <f t="shared" si="25"/>
        <v>3.6384066841505303E-2</v>
      </c>
      <c r="O33" s="3">
        <f t="shared" si="25"/>
        <v>3.638406485948581E-2</v>
      </c>
      <c r="P33" s="3">
        <f t="shared" si="25"/>
        <v>3.6384045039296785E-2</v>
      </c>
      <c r="Q33" s="3">
        <f t="shared" si="25"/>
        <v>3.6383846838000417E-2</v>
      </c>
      <c r="R33" s="3">
        <f t="shared" si="25"/>
        <v>3.6381864884419107E-2</v>
      </c>
      <c r="S33" s="3">
        <f t="shared" si="25"/>
        <v>3.6362051285647193E-2</v>
      </c>
      <c r="T33" s="3">
        <f t="shared" si="25"/>
        <v>3.6164507807134684E-2</v>
      </c>
      <c r="U33" s="3">
        <f t="shared" ref="P33:AE48" si="27">$C33*EXP(-U$15/$A33)</f>
        <v>3.4247146899534169E-2</v>
      </c>
      <c r="V33" s="3">
        <f t="shared" si="27"/>
        <v>1.9862905435523215E-2</v>
      </c>
      <c r="W33" s="3">
        <f t="shared" si="27"/>
        <v>8.5551289222273296E-5</v>
      </c>
      <c r="X33" s="3">
        <f t="shared" si="27"/>
        <v>1.8795954899928915E-28</v>
      </c>
      <c r="Y33" s="3">
        <f t="shared" si="27"/>
        <v>4.9254141244605129E-265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2.625405549669424E-2</v>
      </c>
      <c r="C34" s="18">
        <f t="shared" si="3"/>
        <v>4.1964426446168525E-2</v>
      </c>
      <c r="D34" s="17"/>
      <c r="F34" s="3">
        <f t="shared" ref="F34:O48" si="28">$C34*EXP(-F$15/$A34)</f>
        <v>4.1964426446168525E-2</v>
      </c>
      <c r="G34" s="3">
        <f t="shared" si="28"/>
        <v>4.1964426446168525E-2</v>
      </c>
      <c r="H34" s="3">
        <f t="shared" si="28"/>
        <v>4.1964426446168504E-2</v>
      </c>
      <c r="I34" s="3">
        <f t="shared" si="28"/>
        <v>4.1964426446168296E-2</v>
      </c>
      <c r="J34" s="3">
        <f t="shared" si="28"/>
        <v>4.1964426446166235E-2</v>
      </c>
      <c r="K34" s="3">
        <f t="shared" si="28"/>
        <v>4.1964426446145613E-2</v>
      </c>
      <c r="L34" s="3">
        <f t="shared" si="28"/>
        <v>4.1964426445939396E-2</v>
      </c>
      <c r="M34" s="3">
        <f t="shared" si="28"/>
        <v>4.1964426443877226E-2</v>
      </c>
      <c r="N34" s="3">
        <f t="shared" si="28"/>
        <v>4.196442642325552E-2</v>
      </c>
      <c r="O34" s="3">
        <f t="shared" si="28"/>
        <v>4.1964426217038463E-2</v>
      </c>
      <c r="P34" s="3">
        <f t="shared" si="27"/>
        <v>4.1964424154868001E-2</v>
      </c>
      <c r="Q34" s="3">
        <f t="shared" si="27"/>
        <v>4.1964403533168916E-2</v>
      </c>
      <c r="R34" s="3">
        <f t="shared" si="27"/>
        <v>4.1964197316735431E-2</v>
      </c>
      <c r="S34" s="3">
        <f t="shared" si="27"/>
        <v>4.1962135208134757E-2</v>
      </c>
      <c r="T34" s="3">
        <f t="shared" si="27"/>
        <v>4.1941519694534898E-2</v>
      </c>
      <c r="U34" s="3">
        <f t="shared" si="27"/>
        <v>4.1735920787365141E-2</v>
      </c>
      <c r="V34" s="3">
        <f t="shared" si="27"/>
        <v>3.9734556411501316E-2</v>
      </c>
      <c r="W34" s="3">
        <f t="shared" si="27"/>
        <v>2.4308158786036947E-2</v>
      </c>
      <c r="X34" s="3">
        <f t="shared" si="27"/>
        <v>1.7847977937102236E-4</v>
      </c>
      <c r="Y34" s="3">
        <f t="shared" si="27"/>
        <v>8.127529953588407E-26</v>
      </c>
      <c r="Z34" s="3">
        <f t="shared" si="27"/>
        <v>3.1164069337538813E-239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3.0096967175408603E-2</v>
      </c>
      <c r="C35" s="18">
        <f t="shared" si="3"/>
        <v>4.8106928297009681E-2</v>
      </c>
      <c r="D35" s="17"/>
      <c r="F35" s="3">
        <f t="shared" si="28"/>
        <v>4.8106928297009681E-2</v>
      </c>
      <c r="G35" s="3">
        <f t="shared" si="28"/>
        <v>4.8106928297009681E-2</v>
      </c>
      <c r="H35" s="3">
        <f t="shared" si="28"/>
        <v>4.8106928297009681E-2</v>
      </c>
      <c r="I35" s="3">
        <f t="shared" si="28"/>
        <v>4.810692829700966E-2</v>
      </c>
      <c r="J35" s="3">
        <f t="shared" si="28"/>
        <v>4.8106928297009445E-2</v>
      </c>
      <c r="K35" s="3">
        <f t="shared" si="28"/>
        <v>4.8106928297007308E-2</v>
      </c>
      <c r="L35" s="3">
        <f t="shared" si="28"/>
        <v>4.8106928296985992E-2</v>
      </c>
      <c r="M35" s="3">
        <f t="shared" si="28"/>
        <v>4.8106928296772732E-2</v>
      </c>
      <c r="N35" s="3">
        <f t="shared" si="28"/>
        <v>4.8106928294640187E-2</v>
      </c>
      <c r="O35" s="3">
        <f t="shared" si="28"/>
        <v>4.8106928273314774E-2</v>
      </c>
      <c r="P35" s="3">
        <f t="shared" si="27"/>
        <v>4.8106928060060616E-2</v>
      </c>
      <c r="Q35" s="3">
        <f t="shared" si="27"/>
        <v>4.8106925927519126E-2</v>
      </c>
      <c r="R35" s="3">
        <f t="shared" si="27"/>
        <v>4.8106904602109368E-2</v>
      </c>
      <c r="S35" s="3">
        <f t="shared" si="27"/>
        <v>4.8106691348531752E-2</v>
      </c>
      <c r="T35" s="3">
        <f t="shared" si="27"/>
        <v>4.8104558864748244E-2</v>
      </c>
      <c r="U35" s="3">
        <f t="shared" si="27"/>
        <v>4.8083239225327867E-2</v>
      </c>
      <c r="V35" s="3">
        <f t="shared" si="27"/>
        <v>4.7870561820970943E-2</v>
      </c>
      <c r="W35" s="3">
        <f t="shared" si="27"/>
        <v>4.5794845524363297E-2</v>
      </c>
      <c r="X35" s="3">
        <f t="shared" si="27"/>
        <v>2.9396615859629268E-2</v>
      </c>
      <c r="Y35" s="3">
        <f t="shared" si="27"/>
        <v>3.492245176533724E-4</v>
      </c>
      <c r="Z35" s="3">
        <f t="shared" si="27"/>
        <v>1.9551433951870893E-23</v>
      </c>
      <c r="AA35" s="3">
        <f t="shared" si="27"/>
        <v>5.9144927666340336E-216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2.8841568058868394E-2</v>
      </c>
      <c r="C36" s="18">
        <f t="shared" si="3"/>
        <v>4.6100301020196389E-2</v>
      </c>
      <c r="D36" s="17"/>
      <c r="F36" s="3">
        <f t="shared" si="28"/>
        <v>4.6100301020196389E-2</v>
      </c>
      <c r="G36" s="3">
        <f t="shared" si="28"/>
        <v>4.6100301020196389E-2</v>
      </c>
      <c r="H36" s="3">
        <f t="shared" si="28"/>
        <v>4.6100301020196389E-2</v>
      </c>
      <c r="I36" s="3">
        <f t="shared" si="28"/>
        <v>4.6100301020196389E-2</v>
      </c>
      <c r="J36" s="3">
        <f t="shared" si="28"/>
        <v>4.6100301020196369E-2</v>
      </c>
      <c r="K36" s="3">
        <f t="shared" si="28"/>
        <v>4.6100301020196181E-2</v>
      </c>
      <c r="L36" s="3">
        <f t="shared" si="28"/>
        <v>4.6100301020194343E-2</v>
      </c>
      <c r="M36" s="3">
        <f t="shared" si="28"/>
        <v>4.6100301020175906E-2</v>
      </c>
      <c r="N36" s="3">
        <f t="shared" si="28"/>
        <v>4.6100301019991553E-2</v>
      </c>
      <c r="O36" s="3">
        <f t="shared" si="28"/>
        <v>4.610030101814807E-2</v>
      </c>
      <c r="P36" s="3">
        <f t="shared" si="27"/>
        <v>4.6100300999713198E-2</v>
      </c>
      <c r="Q36" s="3">
        <f t="shared" si="27"/>
        <v>4.6100300815364433E-2</v>
      </c>
      <c r="R36" s="3">
        <f t="shared" si="27"/>
        <v>4.6100298971876848E-2</v>
      </c>
      <c r="S36" s="3">
        <f t="shared" si="27"/>
        <v>4.6100280537005087E-2</v>
      </c>
      <c r="T36" s="3">
        <f t="shared" si="27"/>
        <v>4.6100096188692923E-2</v>
      </c>
      <c r="U36" s="3">
        <f t="shared" si="27"/>
        <v>4.6098252746115745E-2</v>
      </c>
      <c r="V36" s="3">
        <f t="shared" si="27"/>
        <v>4.6079822374196965E-2</v>
      </c>
      <c r="W36" s="3">
        <f t="shared" si="27"/>
        <v>4.5895923441142308E-2</v>
      </c>
      <c r="X36" s="3">
        <f t="shared" si="27"/>
        <v>4.4096820163034005E-2</v>
      </c>
      <c r="Y36" s="3">
        <f t="shared" si="27"/>
        <v>2.9562345195803225E-2</v>
      </c>
      <c r="Z36" s="3">
        <f t="shared" si="27"/>
        <v>5.4206952004426292E-4</v>
      </c>
      <c r="AA36" s="3">
        <f t="shared" si="27"/>
        <v>2.3292496021112827E-21</v>
      </c>
      <c r="AB36" s="3">
        <f t="shared" si="27"/>
        <v>4.9983475302237904E-195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3.8503912159134152E-2</v>
      </c>
      <c r="C37" s="18">
        <f t="shared" si="3"/>
        <v>6.1544571271861997E-2</v>
      </c>
      <c r="D37" s="17"/>
      <c r="F37" s="3">
        <f t="shared" si="28"/>
        <v>6.1544571271861997E-2</v>
      </c>
      <c r="G37" s="3">
        <f t="shared" si="28"/>
        <v>6.1544571271861997E-2</v>
      </c>
      <c r="H37" s="3">
        <f t="shared" si="28"/>
        <v>6.1544571271861997E-2</v>
      </c>
      <c r="I37" s="3">
        <f t="shared" si="28"/>
        <v>6.1544571271861997E-2</v>
      </c>
      <c r="J37" s="3">
        <f t="shared" si="28"/>
        <v>6.1544571271861997E-2</v>
      </c>
      <c r="K37" s="3">
        <f t="shared" si="28"/>
        <v>6.154457127186197E-2</v>
      </c>
      <c r="L37" s="3">
        <f t="shared" si="28"/>
        <v>6.1544571271861755E-2</v>
      </c>
      <c r="M37" s="3">
        <f t="shared" si="28"/>
        <v>6.1544571271859534E-2</v>
      </c>
      <c r="N37" s="3">
        <f t="shared" si="28"/>
        <v>6.154457127183733E-2</v>
      </c>
      <c r="O37" s="3">
        <f t="shared" si="28"/>
        <v>6.154457127161532E-2</v>
      </c>
      <c r="P37" s="3">
        <f t="shared" si="27"/>
        <v>6.1544571269395221E-2</v>
      </c>
      <c r="Q37" s="3">
        <f t="shared" si="27"/>
        <v>6.1544571247194202E-2</v>
      </c>
      <c r="R37" s="3">
        <f t="shared" si="27"/>
        <v>6.1544571025184069E-2</v>
      </c>
      <c r="S37" s="3">
        <f t="shared" si="27"/>
        <v>6.1544568805082731E-2</v>
      </c>
      <c r="T37" s="3">
        <f t="shared" si="27"/>
        <v>6.1544546604073797E-2</v>
      </c>
      <c r="U37" s="3">
        <f t="shared" si="27"/>
        <v>6.1544324594424882E-2</v>
      </c>
      <c r="V37" s="3">
        <f t="shared" si="27"/>
        <v>6.154210454198232E-2</v>
      </c>
      <c r="W37" s="3">
        <f t="shared" si="27"/>
        <v>6.1519908421626086E-2</v>
      </c>
      <c r="X37" s="3">
        <f t="shared" si="27"/>
        <v>6.1298387037753102E-2</v>
      </c>
      <c r="Y37" s="3">
        <f t="shared" si="27"/>
        <v>5.9126573760313217E-2</v>
      </c>
      <c r="Z37" s="3">
        <f t="shared" si="27"/>
        <v>4.122108114095252E-2</v>
      </c>
      <c r="AA37" s="3">
        <f t="shared" si="27"/>
        <v>1.1181138472272803E-3</v>
      </c>
      <c r="AB37" s="3">
        <f t="shared" si="27"/>
        <v>2.4107518236898731E-19</v>
      </c>
      <c r="AC37" s="3">
        <f t="shared" si="27"/>
        <v>5.2338019371804206E-176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1.2855597260167688E-2</v>
      </c>
      <c r="C38" s="18">
        <f t="shared" si="3"/>
        <v>2.0548359308290503E-2</v>
      </c>
      <c r="D38" s="17"/>
      <c r="F38" s="3">
        <f t="shared" si="28"/>
        <v>2.0548359308290503E-2</v>
      </c>
      <c r="G38" s="3">
        <f t="shared" si="28"/>
        <v>2.0548359308290503E-2</v>
      </c>
      <c r="H38" s="3">
        <f t="shared" si="28"/>
        <v>2.0548359308290503E-2</v>
      </c>
      <c r="I38" s="3">
        <f t="shared" si="28"/>
        <v>2.0548359308290503E-2</v>
      </c>
      <c r="J38" s="3">
        <f t="shared" si="28"/>
        <v>2.0548359308290503E-2</v>
      </c>
      <c r="K38" s="3">
        <f t="shared" si="28"/>
        <v>2.0548359308290503E-2</v>
      </c>
      <c r="L38" s="3">
        <f t="shared" si="28"/>
        <v>2.0548359308290496E-2</v>
      </c>
      <c r="M38" s="3">
        <f t="shared" si="28"/>
        <v>2.0548359308290427E-2</v>
      </c>
      <c r="N38" s="3">
        <f t="shared" si="28"/>
        <v>2.054835930828976E-2</v>
      </c>
      <c r="O38" s="3">
        <f t="shared" si="28"/>
        <v>2.0548359308283071E-2</v>
      </c>
      <c r="P38" s="3">
        <f t="shared" si="27"/>
        <v>2.0548359308216208E-2</v>
      </c>
      <c r="Q38" s="3">
        <f t="shared" si="27"/>
        <v>2.0548359307547545E-2</v>
      </c>
      <c r="R38" s="3">
        <f t="shared" si="27"/>
        <v>2.0548359300860922E-2</v>
      </c>
      <c r="S38" s="3">
        <f t="shared" si="27"/>
        <v>2.0548359233994697E-2</v>
      </c>
      <c r="T38" s="3">
        <f t="shared" si="27"/>
        <v>2.0548358565332471E-2</v>
      </c>
      <c r="U38" s="3">
        <f t="shared" si="27"/>
        <v>2.0548351878711402E-2</v>
      </c>
      <c r="V38" s="3">
        <f t="shared" si="27"/>
        <v>2.0548285012620373E-2</v>
      </c>
      <c r="W38" s="3">
        <f t="shared" si="27"/>
        <v>2.0547616363677322E-2</v>
      </c>
      <c r="X38" s="3">
        <f t="shared" si="27"/>
        <v>2.0540931070824851E-2</v>
      </c>
      <c r="Y38" s="3">
        <f t="shared" si="27"/>
        <v>2.0474197656162495E-2</v>
      </c>
      <c r="Z38" s="3">
        <f t="shared" si="27"/>
        <v>1.9818672243383371E-2</v>
      </c>
      <c r="AA38" s="3">
        <f t="shared" si="27"/>
        <v>1.4313676379946854E-2</v>
      </c>
      <c r="AB38" s="3">
        <f t="shared" si="27"/>
        <v>5.5273578057079436E-4</v>
      </c>
      <c r="AC38" s="3">
        <f t="shared" si="27"/>
        <v>4.0755049847082891E-18</v>
      </c>
      <c r="AD38" s="3">
        <f t="shared" si="27"/>
        <v>1.9356192201677551E-159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4.291705922371792E-2</v>
      </c>
      <c r="C39" s="18">
        <f t="shared" si="3"/>
        <v>6.8598536150208847E-2</v>
      </c>
      <c r="D39" s="17"/>
      <c r="F39" s="3">
        <f t="shared" si="28"/>
        <v>6.8598536150208847E-2</v>
      </c>
      <c r="G39" s="3">
        <f t="shared" si="28"/>
        <v>6.8598536150208847E-2</v>
      </c>
      <c r="H39" s="3">
        <f t="shared" si="28"/>
        <v>6.8598536150208847E-2</v>
      </c>
      <c r="I39" s="3">
        <f t="shared" si="28"/>
        <v>6.8598536150208847E-2</v>
      </c>
      <c r="J39" s="3">
        <f t="shared" si="28"/>
        <v>6.8598536150208847E-2</v>
      </c>
      <c r="K39" s="3">
        <f t="shared" si="28"/>
        <v>6.8598536150208847E-2</v>
      </c>
      <c r="L39" s="3">
        <f t="shared" si="28"/>
        <v>6.8598536150208833E-2</v>
      </c>
      <c r="M39" s="3">
        <f t="shared" si="28"/>
        <v>6.8598536150208778E-2</v>
      </c>
      <c r="N39" s="3">
        <f t="shared" si="28"/>
        <v>6.8598536150208167E-2</v>
      </c>
      <c r="O39" s="3">
        <f t="shared" si="28"/>
        <v>6.8598536150201991E-2</v>
      </c>
      <c r="P39" s="3">
        <f t="shared" si="27"/>
        <v>6.8598536150140249E-2</v>
      </c>
      <c r="Q39" s="3">
        <f t="shared" si="27"/>
        <v>6.8598536149522868E-2</v>
      </c>
      <c r="R39" s="3">
        <f t="shared" si="27"/>
        <v>6.8598536143348987E-2</v>
      </c>
      <c r="S39" s="3">
        <f t="shared" si="27"/>
        <v>6.8598536081610317E-2</v>
      </c>
      <c r="T39" s="3">
        <f t="shared" si="27"/>
        <v>6.8598535464223495E-2</v>
      </c>
      <c r="U39" s="3">
        <f t="shared" si="27"/>
        <v>6.8598529290355578E-2</v>
      </c>
      <c r="V39" s="3">
        <f t="shared" si="27"/>
        <v>6.8598467551706996E-2</v>
      </c>
      <c r="W39" s="3">
        <f t="shared" si="27"/>
        <v>6.8597850168277255E-2</v>
      </c>
      <c r="X39" s="3">
        <f t="shared" si="27"/>
        <v>6.8591676639575078E-2</v>
      </c>
      <c r="Y39" s="3">
        <f t="shared" si="27"/>
        <v>6.8529971901896483E-2</v>
      </c>
      <c r="Z39" s="3">
        <f t="shared" si="27"/>
        <v>6.7915969310950564E-2</v>
      </c>
      <c r="AA39" s="3">
        <f t="shared" si="27"/>
        <v>6.2070522331201403E-2</v>
      </c>
      <c r="AB39" s="3">
        <f t="shared" si="27"/>
        <v>2.5235991144117814E-2</v>
      </c>
      <c r="AC39" s="3">
        <f t="shared" si="27"/>
        <v>3.1143687230287597E-6</v>
      </c>
      <c r="AD39" s="3">
        <f t="shared" si="27"/>
        <v>2.551917663225888E-45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2.654562332977696E-2</v>
      </c>
      <c r="C40" s="18">
        <f t="shared" si="3"/>
        <v>4.2430467850210242E-2</v>
      </c>
      <c r="D40" s="17"/>
      <c r="F40" s="3">
        <f t="shared" si="28"/>
        <v>4.2430467850210242E-2</v>
      </c>
      <c r="G40" s="3">
        <f t="shared" si="28"/>
        <v>4.2430467850210242E-2</v>
      </c>
      <c r="H40" s="3">
        <f t="shared" si="28"/>
        <v>4.2430467850210242E-2</v>
      </c>
      <c r="I40" s="3">
        <f t="shared" si="28"/>
        <v>4.2430467850210242E-2</v>
      </c>
      <c r="J40" s="3">
        <f t="shared" si="28"/>
        <v>4.2430467850210242E-2</v>
      </c>
      <c r="K40" s="3">
        <f t="shared" si="28"/>
        <v>4.2430467850210242E-2</v>
      </c>
      <c r="L40" s="3">
        <f t="shared" si="28"/>
        <v>4.2430467850210242E-2</v>
      </c>
      <c r="M40" s="3">
        <f t="shared" si="28"/>
        <v>4.2430467850210235E-2</v>
      </c>
      <c r="N40" s="3">
        <f t="shared" si="28"/>
        <v>4.24304678502102E-2</v>
      </c>
      <c r="O40" s="3">
        <f t="shared" si="28"/>
        <v>4.2430467850209819E-2</v>
      </c>
      <c r="P40" s="3">
        <f t="shared" si="27"/>
        <v>4.2430467850205995E-2</v>
      </c>
      <c r="Q40" s="3">
        <f t="shared" si="27"/>
        <v>4.2430467850167811E-2</v>
      </c>
      <c r="R40" s="3">
        <f t="shared" si="27"/>
        <v>4.2430467849785936E-2</v>
      </c>
      <c r="S40" s="3">
        <f t="shared" si="27"/>
        <v>4.2430467845967192E-2</v>
      </c>
      <c r="T40" s="3">
        <f t="shared" si="27"/>
        <v>4.2430467807779773E-2</v>
      </c>
      <c r="U40" s="3">
        <f t="shared" si="27"/>
        <v>4.2430467425905567E-2</v>
      </c>
      <c r="V40" s="3">
        <f t="shared" si="27"/>
        <v>4.2430463607163668E-2</v>
      </c>
      <c r="W40" s="3">
        <f t="shared" si="27"/>
        <v>4.2430425419763607E-2</v>
      </c>
      <c r="X40" s="3">
        <f t="shared" si="27"/>
        <v>4.2430043547653257E-2</v>
      </c>
      <c r="Y40" s="3">
        <f t="shared" si="27"/>
        <v>4.2426225015570487E-2</v>
      </c>
      <c r="Z40" s="3">
        <f t="shared" si="27"/>
        <v>4.2388058590523983E-2</v>
      </c>
      <c r="AA40" s="3">
        <f t="shared" si="27"/>
        <v>4.2008277641000069E-2</v>
      </c>
      <c r="AB40" s="3">
        <f t="shared" si="27"/>
        <v>3.8392674975642027E-2</v>
      </c>
      <c r="AC40" s="3">
        <f t="shared" si="27"/>
        <v>1.5609296801378195E-2</v>
      </c>
      <c r="AD40" s="3">
        <f t="shared" si="27"/>
        <v>1.9263402601889167E-6</v>
      </c>
      <c r="AE40" s="3">
        <f t="shared" si="27"/>
        <v>1.5784456410089159E-45</v>
      </c>
      <c r="AF40" s="3">
        <f t="shared" si="29"/>
        <v>0</v>
      </c>
      <c r="AG40" s="3">
        <f t="shared" si="29"/>
        <v>0</v>
      </c>
      <c r="AH40" s="3">
        <f t="shared" si="29"/>
        <v>0</v>
      </c>
      <c r="AI40" s="3">
        <f t="shared" si="29"/>
        <v>0</v>
      </c>
      <c r="AJ40" s="3">
        <f t="shared" si="29"/>
        <v>0</v>
      </c>
    </row>
    <row r="41" spans="1:36" x14ac:dyDescent="0.25">
      <c r="A41" s="3">
        <f t="shared" si="30"/>
        <v>1000000000</v>
      </c>
      <c r="B41" s="17">
        <v>2.6629669928275999E-2</v>
      </c>
      <c r="C41" s="18">
        <f t="shared" si="3"/>
        <v>4.2564807754428377E-2</v>
      </c>
      <c r="D41" s="17"/>
      <c r="F41" s="3">
        <f t="shared" si="28"/>
        <v>4.2564807754428377E-2</v>
      </c>
      <c r="G41" s="3">
        <f t="shared" si="28"/>
        <v>4.2564807754428377E-2</v>
      </c>
      <c r="H41" s="3">
        <f t="shared" si="28"/>
        <v>4.2564807754428377E-2</v>
      </c>
      <c r="I41" s="3">
        <f t="shared" si="28"/>
        <v>4.2564807754428377E-2</v>
      </c>
      <c r="J41" s="3">
        <f t="shared" si="28"/>
        <v>4.2564807754428377E-2</v>
      </c>
      <c r="K41" s="3">
        <f t="shared" si="28"/>
        <v>4.2564807754428377E-2</v>
      </c>
      <c r="L41" s="3">
        <f t="shared" si="28"/>
        <v>4.2564807754428377E-2</v>
      </c>
      <c r="M41" s="3">
        <f t="shared" si="28"/>
        <v>4.2564807754428377E-2</v>
      </c>
      <c r="N41" s="3">
        <f t="shared" si="28"/>
        <v>4.256480775442837E-2</v>
      </c>
      <c r="O41" s="3">
        <f t="shared" si="28"/>
        <v>4.2564807754428335E-2</v>
      </c>
      <c r="P41" s="3">
        <f t="shared" si="27"/>
        <v>4.2564807754427954E-2</v>
      </c>
      <c r="Q41" s="3">
        <f t="shared" si="27"/>
        <v>4.2564807754424117E-2</v>
      </c>
      <c r="R41" s="3">
        <f t="shared" si="27"/>
        <v>4.2564807754385814E-2</v>
      </c>
      <c r="S41" s="3">
        <f t="shared" si="27"/>
        <v>4.2564807754002731E-2</v>
      </c>
      <c r="T41" s="3">
        <f t="shared" si="27"/>
        <v>4.2564807750171893E-2</v>
      </c>
      <c r="U41" s="3">
        <f t="shared" si="27"/>
        <v>4.2564807711863571E-2</v>
      </c>
      <c r="V41" s="3">
        <f t="shared" si="27"/>
        <v>4.2564807328780305E-2</v>
      </c>
      <c r="W41" s="3">
        <f t="shared" si="27"/>
        <v>4.2564803497947813E-2</v>
      </c>
      <c r="X41" s="3">
        <f t="shared" si="27"/>
        <v>4.2564765189641904E-2</v>
      </c>
      <c r="Y41" s="3">
        <f t="shared" si="27"/>
        <v>4.2564382108479064E-2</v>
      </c>
      <c r="Z41" s="3">
        <f t="shared" si="27"/>
        <v>4.256055148646988E-2</v>
      </c>
      <c r="AA41" s="3">
        <f t="shared" si="27"/>
        <v>4.2522264221985469E-2</v>
      </c>
      <c r="AB41" s="3">
        <f t="shared" si="27"/>
        <v>4.2141280840837118E-2</v>
      </c>
      <c r="AC41" s="3">
        <f t="shared" si="27"/>
        <v>3.8514230747713964E-2</v>
      </c>
      <c r="AD41" s="3">
        <f t="shared" si="27"/>
        <v>1.5658717690268987E-2</v>
      </c>
      <c r="AE41" s="3">
        <f t="shared" si="27"/>
        <v>1.932439282404719E-6</v>
      </c>
      <c r="AF41" s="3">
        <f t="shared" si="29"/>
        <v>1.5834431875119441E-45</v>
      </c>
      <c r="AG41" s="3">
        <f t="shared" si="29"/>
        <v>0</v>
      </c>
      <c r="AH41" s="3">
        <f t="shared" si="29"/>
        <v>0</v>
      </c>
      <c r="AI41" s="3">
        <f t="shared" si="29"/>
        <v>0</v>
      </c>
      <c r="AJ41" s="3">
        <f t="shared" si="29"/>
        <v>0</v>
      </c>
    </row>
    <row r="42" spans="1:36" x14ac:dyDescent="0.25">
      <c r="A42" s="3">
        <f t="shared" si="30"/>
        <v>10000000000</v>
      </c>
      <c r="B42" s="17">
        <v>1.113266631532535E-2</v>
      </c>
      <c r="C42" s="18">
        <f t="shared" si="3"/>
        <v>1.7794430151868639E-2</v>
      </c>
      <c r="D42" s="17"/>
      <c r="F42" s="3">
        <f t="shared" si="28"/>
        <v>1.7794430151868639E-2</v>
      </c>
      <c r="G42" s="3">
        <f t="shared" si="28"/>
        <v>1.7794430151868639E-2</v>
      </c>
      <c r="H42" s="3">
        <f t="shared" si="28"/>
        <v>1.7794430151868639E-2</v>
      </c>
      <c r="I42" s="3">
        <f t="shared" si="28"/>
        <v>1.7794430151868639E-2</v>
      </c>
      <c r="J42" s="3">
        <f t="shared" si="28"/>
        <v>1.7794430151868639E-2</v>
      </c>
      <c r="K42" s="3">
        <f t="shared" si="28"/>
        <v>1.7794430151868639E-2</v>
      </c>
      <c r="L42" s="3">
        <f t="shared" si="28"/>
        <v>1.7794430151868639E-2</v>
      </c>
      <c r="M42" s="3">
        <f t="shared" si="28"/>
        <v>1.7794430151868639E-2</v>
      </c>
      <c r="N42" s="3">
        <f t="shared" si="28"/>
        <v>1.7794430151868639E-2</v>
      </c>
      <c r="O42" s="3">
        <f t="shared" si="28"/>
        <v>1.7794430151868636E-2</v>
      </c>
      <c r="P42" s="3">
        <f t="shared" si="27"/>
        <v>1.7794430151868622E-2</v>
      </c>
      <c r="Q42" s="3">
        <f t="shared" si="27"/>
        <v>1.7794430151868462E-2</v>
      </c>
      <c r="R42" s="3">
        <f t="shared" si="27"/>
        <v>1.7794430151866859E-2</v>
      </c>
      <c r="S42" s="3">
        <f t="shared" si="27"/>
        <v>1.7794430151850844E-2</v>
      </c>
      <c r="T42" s="3">
        <f t="shared" si="27"/>
        <v>1.7794430151690695E-2</v>
      </c>
      <c r="U42" s="3">
        <f t="shared" si="27"/>
        <v>1.7794430150089195E-2</v>
      </c>
      <c r="V42" s="3">
        <f t="shared" si="27"/>
        <v>1.779443013407421E-2</v>
      </c>
      <c r="W42" s="3">
        <f t="shared" si="27"/>
        <v>1.7794429973924338E-2</v>
      </c>
      <c r="X42" s="3">
        <f t="shared" si="27"/>
        <v>1.7794428372425713E-2</v>
      </c>
      <c r="Y42" s="3">
        <f t="shared" si="27"/>
        <v>1.7794412357447383E-2</v>
      </c>
      <c r="Z42" s="3">
        <f t="shared" si="27"/>
        <v>1.7794252208456839E-2</v>
      </c>
      <c r="AA42" s="3">
        <f t="shared" si="27"/>
        <v>1.7792650797822638E-2</v>
      </c>
      <c r="AB42" s="3">
        <f t="shared" si="27"/>
        <v>1.7776644615966852E-2</v>
      </c>
      <c r="AC42" s="3">
        <f t="shared" si="27"/>
        <v>1.7617372613518732E-2</v>
      </c>
      <c r="AD42" s="3">
        <f t="shared" si="27"/>
        <v>1.6101066234038047E-2</v>
      </c>
      <c r="AE42" s="3">
        <f t="shared" si="27"/>
        <v>6.5462050202336987E-3</v>
      </c>
      <c r="AF42" s="3">
        <f t="shared" si="29"/>
        <v>8.0786587905827896E-7</v>
      </c>
      <c r="AG42" s="3">
        <f t="shared" si="29"/>
        <v>6.6196632114947319E-46</v>
      </c>
      <c r="AH42" s="3">
        <f t="shared" si="29"/>
        <v>0</v>
      </c>
      <c r="AI42" s="3">
        <f t="shared" si="29"/>
        <v>0</v>
      </c>
      <c r="AJ42" s="3">
        <f t="shared" si="29"/>
        <v>0</v>
      </c>
    </row>
    <row r="43" spans="1:36" x14ac:dyDescent="0.25">
      <c r="A43" s="3">
        <f t="shared" si="30"/>
        <v>100000000000</v>
      </c>
      <c r="B43" s="17">
        <v>7.4113260093390601E-3</v>
      </c>
      <c r="C43" s="18">
        <f t="shared" si="3"/>
        <v>1.1846247724533283E-2</v>
      </c>
      <c r="D43" s="17"/>
      <c r="F43" s="3">
        <f t="shared" si="28"/>
        <v>1.1846247724533283E-2</v>
      </c>
      <c r="G43" s="3">
        <f t="shared" si="28"/>
        <v>1.1846247724533283E-2</v>
      </c>
      <c r="H43" s="3">
        <f t="shared" si="28"/>
        <v>1.1846247724533283E-2</v>
      </c>
      <c r="I43" s="3">
        <f t="shared" si="28"/>
        <v>1.1846247724533283E-2</v>
      </c>
      <c r="J43" s="3">
        <f t="shared" si="28"/>
        <v>1.1846247724533283E-2</v>
      </c>
      <c r="K43" s="3">
        <f t="shared" si="28"/>
        <v>1.1846247724533283E-2</v>
      </c>
      <c r="L43" s="3">
        <f t="shared" si="28"/>
        <v>1.1846247724533283E-2</v>
      </c>
      <c r="M43" s="3">
        <f t="shared" si="28"/>
        <v>1.1846247724533283E-2</v>
      </c>
      <c r="N43" s="3">
        <f t="shared" si="28"/>
        <v>1.1846247724533283E-2</v>
      </c>
      <c r="O43" s="3">
        <f t="shared" si="28"/>
        <v>1.1846247724533283E-2</v>
      </c>
      <c r="P43" s="3">
        <f t="shared" si="27"/>
        <v>1.1846247724533281E-2</v>
      </c>
      <c r="Q43" s="3">
        <f t="shared" si="27"/>
        <v>1.1846247724533271E-2</v>
      </c>
      <c r="R43" s="3">
        <f t="shared" si="27"/>
        <v>1.1846247724533165E-2</v>
      </c>
      <c r="S43" s="3">
        <f t="shared" si="27"/>
        <v>1.1846247724532098E-2</v>
      </c>
      <c r="T43" s="3">
        <f t="shared" si="27"/>
        <v>1.1846247724521437E-2</v>
      </c>
      <c r="U43" s="3">
        <f t="shared" si="27"/>
        <v>1.1846247724414821E-2</v>
      </c>
      <c r="V43" s="3">
        <f t="shared" si="27"/>
        <v>1.1846247723348658E-2</v>
      </c>
      <c r="W43" s="3">
        <f t="shared" si="27"/>
        <v>1.1846247712687035E-2</v>
      </c>
      <c r="X43" s="3">
        <f t="shared" si="27"/>
        <v>1.1846247606070807E-2</v>
      </c>
      <c r="Y43" s="3">
        <f t="shared" si="27"/>
        <v>1.184624653990857E-2</v>
      </c>
      <c r="Z43" s="3">
        <f t="shared" si="27"/>
        <v>1.1846235878291481E-2</v>
      </c>
      <c r="AA43" s="3">
        <f t="shared" si="27"/>
        <v>1.1846129262648348E-2</v>
      </c>
      <c r="AB43" s="3">
        <f t="shared" si="27"/>
        <v>1.1845063158990095E-2</v>
      </c>
      <c r="AC43" s="3">
        <f t="shared" si="27"/>
        <v>1.1834407397958732E-2</v>
      </c>
      <c r="AD43" s="3">
        <f t="shared" si="27"/>
        <v>1.1728375590225638E-2</v>
      </c>
      <c r="AE43" s="3">
        <f t="shared" si="27"/>
        <v>1.0718928204481056E-2</v>
      </c>
      <c r="AF43" s="3">
        <f t="shared" si="29"/>
        <v>4.3579909928797749E-3</v>
      </c>
      <c r="AG43" s="3">
        <f t="shared" si="29"/>
        <v>5.3781881464280708E-7</v>
      </c>
      <c r="AH43" s="3">
        <f t="shared" si="29"/>
        <v>4.4068941566027761E-46</v>
      </c>
      <c r="AI43" s="3">
        <f t="shared" si="29"/>
        <v>0</v>
      </c>
      <c r="AJ43" s="3">
        <f t="shared" si="29"/>
        <v>0</v>
      </c>
    </row>
    <row r="44" spans="1:36" x14ac:dyDescent="0.25">
      <c r="A44" s="3">
        <f t="shared" si="30"/>
        <v>1000000000000</v>
      </c>
      <c r="B44" s="17">
        <v>2.6525518277428499E-3</v>
      </c>
      <c r="C44" s="18">
        <f t="shared" si="3"/>
        <v>4.239833197731321E-3</v>
      </c>
      <c r="D44" s="17"/>
      <c r="F44" s="3">
        <f t="shared" si="28"/>
        <v>4.239833197731321E-3</v>
      </c>
      <c r="G44" s="3">
        <f t="shared" si="28"/>
        <v>4.239833197731321E-3</v>
      </c>
      <c r="H44" s="3">
        <f t="shared" si="28"/>
        <v>4.239833197731321E-3</v>
      </c>
      <c r="I44" s="3">
        <f t="shared" si="28"/>
        <v>4.239833197731321E-3</v>
      </c>
      <c r="J44" s="3">
        <f t="shared" si="28"/>
        <v>4.239833197731321E-3</v>
      </c>
      <c r="K44" s="3">
        <f t="shared" si="28"/>
        <v>4.239833197731321E-3</v>
      </c>
      <c r="L44" s="3">
        <f t="shared" si="28"/>
        <v>4.239833197731321E-3</v>
      </c>
      <c r="M44" s="3">
        <f t="shared" si="28"/>
        <v>4.239833197731321E-3</v>
      </c>
      <c r="N44" s="3">
        <f t="shared" si="28"/>
        <v>4.239833197731321E-3</v>
      </c>
      <c r="O44" s="3">
        <f t="shared" si="28"/>
        <v>4.239833197731321E-3</v>
      </c>
      <c r="P44" s="3">
        <f t="shared" si="27"/>
        <v>4.239833197731321E-3</v>
      </c>
      <c r="Q44" s="3">
        <f t="shared" si="27"/>
        <v>4.2398331977313202E-3</v>
      </c>
      <c r="R44" s="3">
        <f t="shared" si="27"/>
        <v>4.2398331977313167E-3</v>
      </c>
      <c r="S44" s="3">
        <f t="shared" si="27"/>
        <v>4.2398331977312785E-3</v>
      </c>
      <c r="T44" s="3">
        <f t="shared" si="27"/>
        <v>4.2398331977308969E-3</v>
      </c>
      <c r="U44" s="3">
        <f t="shared" si="27"/>
        <v>4.2398331977270814E-3</v>
      </c>
      <c r="V44" s="3">
        <f t="shared" si="27"/>
        <v>4.2398331976889227E-3</v>
      </c>
      <c r="W44" s="3">
        <f t="shared" si="27"/>
        <v>4.2398331973073373E-3</v>
      </c>
      <c r="X44" s="3">
        <f t="shared" si="27"/>
        <v>4.2398331934914877E-3</v>
      </c>
      <c r="Y44" s="3">
        <f t="shared" si="27"/>
        <v>4.2398331553329897E-3</v>
      </c>
      <c r="Z44" s="3">
        <f t="shared" si="27"/>
        <v>4.2398327737480229E-3</v>
      </c>
      <c r="AA44" s="3">
        <f t="shared" si="27"/>
        <v>4.2398289579002437E-3</v>
      </c>
      <c r="AB44" s="3">
        <f t="shared" si="27"/>
        <v>4.2397907996113348E-3</v>
      </c>
      <c r="AC44" s="3">
        <f t="shared" si="27"/>
        <v>4.2394092356100076E-3</v>
      </c>
      <c r="AD44" s="3">
        <f t="shared" si="27"/>
        <v>4.2355954837437265E-3</v>
      </c>
      <c r="AE44" s="3">
        <f t="shared" si="27"/>
        <v>4.1976461525380978E-3</v>
      </c>
      <c r="AF44" s="3">
        <f t="shared" si="29"/>
        <v>3.8363597235383544E-3</v>
      </c>
      <c r="AG44" s="3">
        <f t="shared" si="29"/>
        <v>1.5597474674415278E-3</v>
      </c>
      <c r="AH44" s="3">
        <f t="shared" si="29"/>
        <v>1.9248812938165353E-7</v>
      </c>
      <c r="AI44" s="3">
        <f t="shared" si="29"/>
        <v>1.5772501621215886E-46</v>
      </c>
      <c r="AJ44" s="3">
        <f t="shared" si="29"/>
        <v>0</v>
      </c>
    </row>
    <row r="45" spans="1:36" x14ac:dyDescent="0.25">
      <c r="A45" s="3">
        <f t="shared" si="30"/>
        <v>10000000000000</v>
      </c>
      <c r="B45" s="17">
        <v>1.9652912236412644E-3</v>
      </c>
      <c r="C45" s="18">
        <f t="shared" si="3"/>
        <v>3.1413173103933909E-3</v>
      </c>
      <c r="D45" s="17"/>
      <c r="F45" s="3">
        <f t="shared" si="28"/>
        <v>3.1413173103933909E-3</v>
      </c>
      <c r="G45" s="3">
        <f t="shared" si="28"/>
        <v>3.1413173103933909E-3</v>
      </c>
      <c r="H45" s="3">
        <f t="shared" si="28"/>
        <v>3.1413173103933909E-3</v>
      </c>
      <c r="I45" s="3">
        <f t="shared" si="28"/>
        <v>3.1413173103933909E-3</v>
      </c>
      <c r="J45" s="3">
        <f t="shared" si="28"/>
        <v>3.1413173103933909E-3</v>
      </c>
      <c r="K45" s="3">
        <f t="shared" si="28"/>
        <v>3.1413173103933909E-3</v>
      </c>
      <c r="L45" s="3">
        <f t="shared" si="28"/>
        <v>3.1413173103933909E-3</v>
      </c>
      <c r="M45" s="3">
        <f t="shared" si="28"/>
        <v>3.1413173103933909E-3</v>
      </c>
      <c r="N45" s="3">
        <f t="shared" si="28"/>
        <v>3.1413173103933909E-3</v>
      </c>
      <c r="O45" s="3">
        <f t="shared" si="28"/>
        <v>3.1413173103933909E-3</v>
      </c>
      <c r="P45" s="3">
        <f t="shared" si="27"/>
        <v>3.1413173103933909E-3</v>
      </c>
      <c r="Q45" s="3">
        <f t="shared" si="27"/>
        <v>3.1413173103933909E-3</v>
      </c>
      <c r="R45" s="3">
        <f t="shared" si="27"/>
        <v>3.1413173103933905E-3</v>
      </c>
      <c r="S45" s="3">
        <f t="shared" si="27"/>
        <v>3.1413173103933879E-3</v>
      </c>
      <c r="T45" s="3">
        <f t="shared" si="27"/>
        <v>3.1413173103933597E-3</v>
      </c>
      <c r="U45" s="3">
        <f t="shared" si="27"/>
        <v>3.1413173103930765E-3</v>
      </c>
      <c r="V45" s="3">
        <f t="shared" si="27"/>
        <v>3.1413173103902498E-3</v>
      </c>
      <c r="W45" s="3">
        <f t="shared" si="27"/>
        <v>3.1413173103619777E-3</v>
      </c>
      <c r="X45" s="3">
        <f t="shared" si="27"/>
        <v>3.141317310079259E-3</v>
      </c>
      <c r="Y45" s="3">
        <f t="shared" si="27"/>
        <v>3.1413173072520739E-3</v>
      </c>
      <c r="Z45" s="3">
        <f t="shared" si="27"/>
        <v>3.1413172789802181E-3</v>
      </c>
      <c r="AA45" s="3">
        <f t="shared" si="27"/>
        <v>3.1413169962616759E-3</v>
      </c>
      <c r="AB45" s="3">
        <f t="shared" si="27"/>
        <v>3.1413141690776513E-3</v>
      </c>
      <c r="AC45" s="3">
        <f t="shared" si="27"/>
        <v>3.1412858973773523E-3</v>
      </c>
      <c r="AD45" s="3">
        <f t="shared" si="27"/>
        <v>3.1410031943684144E-3</v>
      </c>
      <c r="AE45" s="3">
        <f t="shared" si="27"/>
        <v>3.138177563218231E-3</v>
      </c>
      <c r="AF45" s="3">
        <f t="shared" si="29"/>
        <v>3.1100606809083605E-3</v>
      </c>
      <c r="AG45" s="3">
        <f t="shared" si="29"/>
        <v>2.8423814443680208E-3</v>
      </c>
      <c r="AH45" s="3">
        <f t="shared" si="29"/>
        <v>1.1556260566896988E-3</v>
      </c>
      <c r="AI45" s="3">
        <f t="shared" si="29"/>
        <v>1.4261558525353778E-7</v>
      </c>
      <c r="AJ45" s="3">
        <f t="shared" si="29"/>
        <v>1.1685939059452842E-46</v>
      </c>
    </row>
    <row r="46" spans="1:36" x14ac:dyDescent="0.25">
      <c r="A46" s="3">
        <f t="shared" si="30"/>
        <v>100000000000000</v>
      </c>
      <c r="B46" s="17">
        <v>1.41215754749102E-3</v>
      </c>
      <c r="C46" s="18">
        <f t="shared" si="3"/>
        <v>2.257189619316161E-3</v>
      </c>
      <c r="D46" s="17"/>
      <c r="F46" s="3">
        <f t="shared" si="28"/>
        <v>2.257189619316161E-3</v>
      </c>
      <c r="G46" s="3">
        <f t="shared" si="28"/>
        <v>2.257189619316161E-3</v>
      </c>
      <c r="H46" s="3">
        <f t="shared" si="28"/>
        <v>2.257189619316161E-3</v>
      </c>
      <c r="I46" s="3">
        <f t="shared" si="28"/>
        <v>2.257189619316161E-3</v>
      </c>
      <c r="J46" s="3">
        <f t="shared" si="28"/>
        <v>2.257189619316161E-3</v>
      </c>
      <c r="K46" s="3">
        <f t="shared" si="28"/>
        <v>2.257189619316161E-3</v>
      </c>
      <c r="L46" s="3">
        <f t="shared" si="28"/>
        <v>2.257189619316161E-3</v>
      </c>
      <c r="M46" s="3">
        <f t="shared" si="28"/>
        <v>2.257189619316161E-3</v>
      </c>
      <c r="N46" s="3">
        <f t="shared" si="28"/>
        <v>2.257189619316161E-3</v>
      </c>
      <c r="O46" s="3">
        <f t="shared" si="28"/>
        <v>2.257189619316161E-3</v>
      </c>
      <c r="P46" s="3">
        <f t="shared" si="27"/>
        <v>2.257189619316161E-3</v>
      </c>
      <c r="Q46" s="3">
        <f t="shared" si="27"/>
        <v>2.257189619316161E-3</v>
      </c>
      <c r="R46" s="3">
        <f t="shared" si="27"/>
        <v>2.257189619316161E-3</v>
      </c>
      <c r="S46" s="3">
        <f t="shared" si="27"/>
        <v>2.2571896193161606E-3</v>
      </c>
      <c r="T46" s="3">
        <f t="shared" si="27"/>
        <v>2.2571896193161588E-3</v>
      </c>
      <c r="U46" s="3">
        <f t="shared" si="27"/>
        <v>2.2571896193161385E-3</v>
      </c>
      <c r="V46" s="3">
        <f t="shared" si="27"/>
        <v>2.2571896193159351E-3</v>
      </c>
      <c r="W46" s="3">
        <f t="shared" si="27"/>
        <v>2.2571896193139037E-3</v>
      </c>
      <c r="X46" s="3">
        <f t="shared" si="27"/>
        <v>2.2571896192935892E-3</v>
      </c>
      <c r="Y46" s="3">
        <f t="shared" si="27"/>
        <v>2.2571896190904418E-3</v>
      </c>
      <c r="Z46" s="3">
        <f t="shared" si="27"/>
        <v>2.2571896170589714E-3</v>
      </c>
      <c r="AA46" s="3">
        <f t="shared" si="27"/>
        <v>2.2571895967442648E-3</v>
      </c>
      <c r="AB46" s="3">
        <f t="shared" si="27"/>
        <v>2.2571893935972105E-3</v>
      </c>
      <c r="AC46" s="3">
        <f t="shared" si="27"/>
        <v>2.2571873621276702E-3</v>
      </c>
      <c r="AD46" s="3">
        <f t="shared" si="27"/>
        <v>2.2571670475328271E-3</v>
      </c>
      <c r="AE46" s="3">
        <f t="shared" si="27"/>
        <v>2.2569639116398013E-3</v>
      </c>
      <c r="AF46" s="3">
        <f t="shared" si="29"/>
        <v>2.2549335579155503E-3</v>
      </c>
      <c r="AG46" s="3">
        <f t="shared" si="29"/>
        <v>2.2347302073443135E-3</v>
      </c>
      <c r="AH46" s="3">
        <f t="shared" si="29"/>
        <v>2.0423896271596054E-3</v>
      </c>
      <c r="AI46" s="3">
        <f t="shared" si="29"/>
        <v>8.3037365577200996E-4</v>
      </c>
      <c r="AJ46" s="3">
        <f t="shared" si="29"/>
        <v>1.0247625017756364E-7</v>
      </c>
    </row>
    <row r="47" spans="1:36" x14ac:dyDescent="0.25">
      <c r="A47" s="3">
        <f t="shared" si="30"/>
        <v>1000000000000000</v>
      </c>
      <c r="B47" s="17">
        <v>2.2662822644530379E-4</v>
      </c>
      <c r="C47" s="18">
        <f t="shared" si="3"/>
        <v>3.6224207496198294E-4</v>
      </c>
      <c r="D47" s="17"/>
      <c r="F47" s="3">
        <f t="shared" si="28"/>
        <v>3.6224207496198294E-4</v>
      </c>
      <c r="G47" s="3">
        <f t="shared" si="28"/>
        <v>3.6224207496198294E-4</v>
      </c>
      <c r="H47" s="3">
        <f t="shared" si="28"/>
        <v>3.6224207496198294E-4</v>
      </c>
      <c r="I47" s="3">
        <f t="shared" si="28"/>
        <v>3.6224207496198294E-4</v>
      </c>
      <c r="J47" s="3">
        <f t="shared" si="28"/>
        <v>3.6224207496198294E-4</v>
      </c>
      <c r="K47" s="3">
        <f t="shared" si="28"/>
        <v>3.6224207496198294E-4</v>
      </c>
      <c r="L47" s="3">
        <f t="shared" si="28"/>
        <v>3.6224207496198294E-4</v>
      </c>
      <c r="M47" s="3">
        <f t="shared" si="28"/>
        <v>3.6224207496198294E-4</v>
      </c>
      <c r="N47" s="3">
        <f t="shared" si="28"/>
        <v>3.6224207496198294E-4</v>
      </c>
      <c r="O47" s="3">
        <f t="shared" si="28"/>
        <v>3.6224207496198294E-4</v>
      </c>
      <c r="P47" s="3">
        <f t="shared" si="27"/>
        <v>3.6224207496198294E-4</v>
      </c>
      <c r="Q47" s="3">
        <f t="shared" si="27"/>
        <v>3.6224207496198294E-4</v>
      </c>
      <c r="R47" s="3">
        <f t="shared" si="27"/>
        <v>3.6224207496198294E-4</v>
      </c>
      <c r="S47" s="3">
        <f t="shared" si="27"/>
        <v>3.6224207496198294E-4</v>
      </c>
      <c r="T47" s="3">
        <f t="shared" si="27"/>
        <v>3.6224207496198289E-4</v>
      </c>
      <c r="U47" s="3">
        <f t="shared" si="27"/>
        <v>3.6224207496198256E-4</v>
      </c>
      <c r="V47" s="3">
        <f t="shared" si="27"/>
        <v>3.6224207496197931E-4</v>
      </c>
      <c r="W47" s="3">
        <f t="shared" si="27"/>
        <v>3.6224207496194673E-4</v>
      </c>
      <c r="X47" s="3">
        <f t="shared" si="27"/>
        <v>3.6224207496162071E-4</v>
      </c>
      <c r="Y47" s="3">
        <f t="shared" si="27"/>
        <v>3.6224207495836051E-4</v>
      </c>
      <c r="Z47" s="3">
        <f t="shared" si="27"/>
        <v>3.6224207492575872E-4</v>
      </c>
      <c r="AA47" s="3">
        <f t="shared" si="27"/>
        <v>3.6224207459974086E-4</v>
      </c>
      <c r="AB47" s="3">
        <f t="shared" si="27"/>
        <v>3.6224207133956222E-4</v>
      </c>
      <c r="AC47" s="3">
        <f t="shared" si="27"/>
        <v>3.6224203873777729E-4</v>
      </c>
      <c r="AD47" s="3">
        <f t="shared" si="27"/>
        <v>3.6224171272008913E-4</v>
      </c>
      <c r="AE47" s="3">
        <f t="shared" si="27"/>
        <v>3.6223845255934538E-4</v>
      </c>
      <c r="AF47" s="3">
        <f t="shared" si="29"/>
        <v>3.6220585256563673E-4</v>
      </c>
      <c r="AG47" s="3">
        <f t="shared" si="29"/>
        <v>3.6188001394769985E-4</v>
      </c>
      <c r="AH47" s="3">
        <f t="shared" si="29"/>
        <v>3.5863770609306491E-4</v>
      </c>
      <c r="AI47" s="3">
        <f t="shared" si="29"/>
        <v>3.2777018381258913E-4</v>
      </c>
      <c r="AJ47" s="3">
        <f t="shared" si="29"/>
        <v>1.33261412105798E-4</v>
      </c>
    </row>
    <row r="48" spans="1:36" x14ac:dyDescent="0.25">
      <c r="A48" s="3">
        <f t="shared" si="30"/>
        <v>1E+16</v>
      </c>
      <c r="B48" s="17">
        <v>0</v>
      </c>
      <c r="C48" s="18">
        <f t="shared" si="3"/>
        <v>0</v>
      </c>
      <c r="D48" s="17"/>
      <c r="F48" s="3">
        <f t="shared" si="28"/>
        <v>0</v>
      </c>
      <c r="G48" s="3">
        <f t="shared" si="28"/>
        <v>0</v>
      </c>
      <c r="H48" s="3">
        <f t="shared" si="28"/>
        <v>0</v>
      </c>
      <c r="I48" s="3">
        <f t="shared" si="28"/>
        <v>0</v>
      </c>
      <c r="J48" s="3">
        <f t="shared" si="28"/>
        <v>0</v>
      </c>
      <c r="K48" s="3">
        <f t="shared" si="28"/>
        <v>0</v>
      </c>
      <c r="L48" s="3">
        <f t="shared" si="28"/>
        <v>0</v>
      </c>
      <c r="M48" s="3">
        <f t="shared" si="28"/>
        <v>0</v>
      </c>
      <c r="N48" s="3">
        <f t="shared" si="28"/>
        <v>0</v>
      </c>
      <c r="O48" s="3">
        <f t="shared" si="28"/>
        <v>0</v>
      </c>
      <c r="P48" s="3">
        <f t="shared" si="27"/>
        <v>0</v>
      </c>
      <c r="Q48" s="3">
        <f t="shared" si="27"/>
        <v>0</v>
      </c>
      <c r="R48" s="3">
        <f t="shared" si="27"/>
        <v>0</v>
      </c>
      <c r="S48" s="3">
        <f t="shared" si="27"/>
        <v>0</v>
      </c>
      <c r="T48" s="3">
        <f t="shared" si="27"/>
        <v>0</v>
      </c>
      <c r="U48" s="3">
        <f t="shared" si="27"/>
        <v>0</v>
      </c>
      <c r="V48" s="3">
        <f t="shared" si="27"/>
        <v>0</v>
      </c>
      <c r="W48" s="3">
        <f t="shared" si="27"/>
        <v>0</v>
      </c>
      <c r="X48" s="3">
        <f t="shared" si="27"/>
        <v>0</v>
      </c>
      <c r="Y48" s="3">
        <f t="shared" si="27"/>
        <v>0</v>
      </c>
      <c r="Z48" s="3">
        <f t="shared" si="27"/>
        <v>0</v>
      </c>
      <c r="AA48" s="3">
        <f t="shared" si="27"/>
        <v>0</v>
      </c>
      <c r="AB48" s="3">
        <f t="shared" si="27"/>
        <v>0</v>
      </c>
      <c r="AC48" s="3">
        <f t="shared" si="27"/>
        <v>0</v>
      </c>
      <c r="AD48" s="3">
        <f t="shared" si="27"/>
        <v>0</v>
      </c>
      <c r="AE48" s="3">
        <f t="shared" si="27"/>
        <v>0</v>
      </c>
      <c r="AF48" s="3">
        <f t="shared" si="29"/>
        <v>0</v>
      </c>
      <c r="AG48" s="3">
        <f t="shared" si="29"/>
        <v>0</v>
      </c>
      <c r="AH48" s="3">
        <f t="shared" si="29"/>
        <v>0</v>
      </c>
      <c r="AI48" s="3">
        <f t="shared" si="29"/>
        <v>0</v>
      </c>
      <c r="AJ48" s="3">
        <f t="shared" si="29"/>
        <v>0</v>
      </c>
    </row>
    <row r="49" spans="1:36" x14ac:dyDescent="0.25">
      <c r="B49" s="16">
        <f>SUM(B17:B48)</f>
        <v>0.6256264584093062</v>
      </c>
      <c r="C49" s="18">
        <f>SUM(C17:C48)</f>
        <v>1</v>
      </c>
      <c r="F49" s="3">
        <f t="shared" ref="F49:AJ49" si="31">F16-F17</f>
        <v>71.88207970278927</v>
      </c>
      <c r="G49" s="3">
        <f t="shared" si="31"/>
        <v>-92.989657859343424</v>
      </c>
      <c r="H49" s="3">
        <f t="shared" si="31"/>
        <v>24.633111945928249</v>
      </c>
      <c r="I49" s="3">
        <f t="shared" si="31"/>
        <v>-4.0320364970848459</v>
      </c>
      <c r="J49" s="3">
        <f t="shared" si="31"/>
        <v>0.56444295586879889</v>
      </c>
      <c r="K49" s="3">
        <f t="shared" si="31"/>
        <v>-5.6230765723739751E-2</v>
      </c>
      <c r="L49" s="3">
        <f t="shared" si="31"/>
        <v>-5.4603389053227147E-3</v>
      </c>
      <c r="M49" s="3">
        <f t="shared" si="31"/>
        <v>6.2750184088145033E-2</v>
      </c>
      <c r="N49" s="3">
        <f t="shared" si="31"/>
        <v>-0.18610694844210229</v>
      </c>
      <c r="O49" s="3">
        <f t="shared" si="31"/>
        <v>0.3437931255557487</v>
      </c>
      <c r="P49" s="3">
        <f t="shared" si="31"/>
        <v>-0.60143696395971347</v>
      </c>
      <c r="Q49" s="3">
        <f t="shared" si="31"/>
        <v>0.8910898779231502</v>
      </c>
      <c r="R49" s="3">
        <f t="shared" si="31"/>
        <v>-1.0954145440991852</v>
      </c>
      <c r="S49" s="3">
        <f t="shared" si="31"/>
        <v>1.152606391567133</v>
      </c>
      <c r="T49" s="3">
        <f t="shared" si="31"/>
        <v>-1.0296346928707862</v>
      </c>
      <c r="U49" s="3">
        <f t="shared" si="31"/>
        <v>0.80455491087741393</v>
      </c>
      <c r="V49" s="3">
        <f t="shared" si="31"/>
        <v>-0.54502129433149094</v>
      </c>
      <c r="W49" s="3">
        <f t="shared" si="31"/>
        <v>0.31090625378510595</v>
      </c>
      <c r="X49" s="3">
        <f t="shared" si="31"/>
        <v>-0.15697908023912532</v>
      </c>
      <c r="Y49" s="3">
        <f t="shared" si="31"/>
        <v>7.7319589870512573E-2</v>
      </c>
      <c r="Z49" s="3">
        <f t="shared" si="31"/>
        <v>-5.2298321991656849E-2</v>
      </c>
      <c r="AA49" s="3">
        <f t="shared" si="31"/>
        <v>6.6549795224091213E-2</v>
      </c>
      <c r="AB49" s="3">
        <f t="shared" si="31"/>
        <v>-0.11167747671129291</v>
      </c>
      <c r="AC49" s="3">
        <f t="shared" si="31"/>
        <v>0.13292634028971406</v>
      </c>
      <c r="AD49" s="3">
        <f t="shared" si="31"/>
        <v>-0.11473553025552974</v>
      </c>
      <c r="AE49" s="3">
        <f t="shared" si="31"/>
        <v>9.6417195168328362E-2</v>
      </c>
      <c r="AF49" s="3">
        <f t="shared" si="31"/>
        <v>-8.9635277298157234E-2</v>
      </c>
      <c r="AG49" s="3">
        <f t="shared" si="31"/>
        <v>6.9892967207806578E-2</v>
      </c>
      <c r="AH49" s="3">
        <f t="shared" si="31"/>
        <v>-6.3520560951246807E-2</v>
      </c>
      <c r="AI49" s="3">
        <f t="shared" si="31"/>
        <v>9.1837496054381518E-2</v>
      </c>
      <c r="AJ49" s="3">
        <f t="shared" si="31"/>
        <v>-6.6702809575190258E-2</v>
      </c>
    </row>
    <row r="50" spans="1:36" x14ac:dyDescent="0.25">
      <c r="F50" s="57">
        <f t="shared" ref="F50:AJ50" si="32">F49/F17</f>
        <v>7.6070308821791889E-3</v>
      </c>
      <c r="G50" s="57">
        <f t="shared" si="32"/>
        <v>-9.9369724609433708E-3</v>
      </c>
      <c r="H50" s="57">
        <f t="shared" si="32"/>
        <v>2.7322501249307071E-3</v>
      </c>
      <c r="I50" s="57">
        <f t="shared" si="32"/>
        <v>-4.5820064564415844E-4</v>
      </c>
      <c r="J50" s="57">
        <f t="shared" si="32"/>
        <v>6.6155012506301542E-5</v>
      </c>
      <c r="K50" s="57">
        <f t="shared" si="32"/>
        <v>-6.8205680260549786E-6</v>
      </c>
      <c r="L50" s="57">
        <f t="shared" si="32"/>
        <v>-6.8612012737349308E-7</v>
      </c>
      <c r="M50" s="57">
        <f t="shared" si="32"/>
        <v>8.1628234618105524E-6</v>
      </c>
      <c r="N50" s="57">
        <f t="shared" si="32"/>
        <v>-2.5236355229305075E-5</v>
      </c>
      <c r="O50" s="57">
        <f t="shared" si="32"/>
        <v>4.9072563254423138E-5</v>
      </c>
      <c r="P50" s="57">
        <f t="shared" si="32"/>
        <v>-9.0721589128587562E-5</v>
      </c>
      <c r="Q50" s="57">
        <f t="shared" si="32"/>
        <v>1.4120791794255258E-4</v>
      </c>
      <c r="R50" s="57">
        <f t="shared" si="32"/>
        <v>-1.816809625272063E-4</v>
      </c>
      <c r="S50" s="57">
        <f t="shared" si="32"/>
        <v>2.0053851716516708E-4</v>
      </c>
      <c r="T50" s="57">
        <f t="shared" si="32"/>
        <v>-1.8834281938489723E-4</v>
      </c>
      <c r="U50" s="57">
        <f t="shared" si="32"/>
        <v>1.5496490089928936E-4</v>
      </c>
      <c r="V50" s="57">
        <f t="shared" si="32"/>
        <v>-1.1160576113058392E-4</v>
      </c>
      <c r="W50" s="57">
        <f t="shared" si="32"/>
        <v>6.9071415142086469E-5</v>
      </c>
      <c r="X50" s="57">
        <f t="shared" si="32"/>
        <v>-3.8600456952571657E-5</v>
      </c>
      <c r="Y50" s="57">
        <f t="shared" si="32"/>
        <v>2.149264148642764E-5</v>
      </c>
      <c r="Z50" s="57">
        <f t="shared" si="32"/>
        <v>-1.6856701655909843E-5</v>
      </c>
      <c r="AA50" s="57">
        <f t="shared" si="32"/>
        <v>2.5909439780687245E-5</v>
      </c>
      <c r="AB50" s="57">
        <f t="shared" si="32"/>
        <v>-5.5815201820686397E-5</v>
      </c>
      <c r="AC50" s="57">
        <f t="shared" si="32"/>
        <v>9.058807466986821E-5</v>
      </c>
      <c r="AD50" s="57">
        <f t="shared" si="32"/>
        <v>-1.0834968120501026E-4</v>
      </c>
      <c r="AE50" s="57">
        <f t="shared" si="32"/>
        <v>1.2183454816388548E-4</v>
      </c>
      <c r="AF50" s="57">
        <f t="shared" si="32"/>
        <v>-1.3666211399533269E-4</v>
      </c>
      <c r="AG50" s="57">
        <f t="shared" si="32"/>
        <v>1.1940122795752181E-4</v>
      </c>
      <c r="AH50" s="57">
        <f t="shared" si="32"/>
        <v>-1.1543040817299337E-4</v>
      </c>
      <c r="AI50" s="57">
        <f t="shared" si="32"/>
        <v>1.7464305208160749E-4</v>
      </c>
      <c r="AJ50" s="57">
        <f t="shared" si="32"/>
        <v>-1.294152069873227E-4</v>
      </c>
    </row>
    <row r="51" spans="1:36" x14ac:dyDescent="0.25">
      <c r="A51" s="13" t="s">
        <v>21</v>
      </c>
      <c r="B51" s="3">
        <f>STUTT!D8</f>
        <v>10187.300999999999</v>
      </c>
      <c r="E51" s="11" t="s">
        <v>24</v>
      </c>
      <c r="F51" s="20">
        <f t="shared" ref="F51:AJ51" si="33">(F16-F17)^2</f>
        <v>5167.0333823981491</v>
      </c>
      <c r="G51" s="20">
        <f t="shared" si="33"/>
        <v>8647.0764687977498</v>
      </c>
      <c r="H51" s="20">
        <f t="shared" si="33"/>
        <v>606.79020414063302</v>
      </c>
      <c r="I51" s="20">
        <f t="shared" si="33"/>
        <v>16.257318313824236</v>
      </c>
      <c r="J51" s="20">
        <f t="shared" si="33"/>
        <v>0.31859585042990685</v>
      </c>
      <c r="K51" s="20">
        <f t="shared" si="33"/>
        <v>3.1618990138781054E-3</v>
      </c>
      <c r="L51" s="20">
        <f t="shared" si="33"/>
        <v>2.9815300960980863E-5</v>
      </c>
      <c r="M51" s="20">
        <f t="shared" si="33"/>
        <v>3.93758560309609E-3</v>
      </c>
      <c r="N51" s="20">
        <f t="shared" si="33"/>
        <v>3.4635796258431321E-2</v>
      </c>
      <c r="O51" s="20">
        <f t="shared" si="33"/>
        <v>0.11819371317939079</v>
      </c>
      <c r="P51" s="20">
        <f t="shared" si="33"/>
        <v>0.36172642161707769</v>
      </c>
      <c r="Q51" s="20">
        <f t="shared" si="33"/>
        <v>0.79404117053709478</v>
      </c>
      <c r="R51" s="20">
        <f t="shared" si="33"/>
        <v>1.1999330234240257</v>
      </c>
      <c r="S51" s="20">
        <f t="shared" si="33"/>
        <v>1.328501493881407</v>
      </c>
      <c r="T51" s="20">
        <f t="shared" si="33"/>
        <v>1.0601476007631183</v>
      </c>
      <c r="U51" s="20">
        <f t="shared" si="33"/>
        <v>0.64730860461696349</v>
      </c>
      <c r="V51" s="20">
        <f t="shared" si="33"/>
        <v>0.29704821127477365</v>
      </c>
      <c r="W51" s="20">
        <f t="shared" si="33"/>
        <v>9.6662698642688699E-2</v>
      </c>
      <c r="X51" s="20">
        <f t="shared" si="33"/>
        <v>2.4642431632721746E-2</v>
      </c>
      <c r="Y51" s="20">
        <f t="shared" si="33"/>
        <v>5.9783189777442708E-3</v>
      </c>
      <c r="Z51" s="20">
        <f t="shared" si="33"/>
        <v>2.7351144831430185E-3</v>
      </c>
      <c r="AA51" s="20">
        <f t="shared" si="33"/>
        <v>4.4288752443684739E-3</v>
      </c>
      <c r="AB51" s="20">
        <f t="shared" si="33"/>
        <v>1.2471858804601371E-2</v>
      </c>
      <c r="AC51" s="20">
        <f t="shared" si="33"/>
        <v>1.7669411942816859E-2</v>
      </c>
      <c r="AD51" s="20">
        <f t="shared" si="33"/>
        <v>1.3164241903017579E-2</v>
      </c>
      <c r="AE51" s="20">
        <f t="shared" si="33"/>
        <v>9.2962755241275223E-3</v>
      </c>
      <c r="AF51" s="20">
        <f t="shared" si="33"/>
        <v>8.0344829363175416E-3</v>
      </c>
      <c r="AG51" s="20">
        <f t="shared" si="33"/>
        <v>4.8850268651115256E-3</v>
      </c>
      <c r="AH51" s="20">
        <f t="shared" si="33"/>
        <v>4.034861663561061E-3</v>
      </c>
      <c r="AI51" s="20">
        <f t="shared" si="33"/>
        <v>8.4341256815385415E-3</v>
      </c>
      <c r="AJ51" s="20">
        <f t="shared" si="33"/>
        <v>4.4492648052240928E-3</v>
      </c>
    </row>
    <row r="52" spans="1:36" x14ac:dyDescent="0.25">
      <c r="A52" s="13"/>
    </row>
    <row r="53" spans="1:36" x14ac:dyDescent="0.25">
      <c r="E53" s="109" t="s">
        <v>25</v>
      </c>
      <c r="F53" s="109"/>
      <c r="G53" s="21">
        <f>SUM(F51:AJ51)</f>
        <v>14443.541521825364</v>
      </c>
      <c r="I53" s="3">
        <f>G53+C123</f>
        <v>14443.541521825364</v>
      </c>
      <c r="K53" s="3">
        <f>SUM(Z51:AJ51)</f>
        <v>8.9603539853827574E-2</v>
      </c>
    </row>
    <row r="55" spans="1:36" x14ac:dyDescent="0.25">
      <c r="E55" s="30" t="s">
        <v>30</v>
      </c>
      <c r="F55" s="31">
        <f t="shared" ref="F55:AJ55" si="34">ABS(F17-F16)/F16</f>
        <v>7.5496008354756002E-3</v>
      </c>
      <c r="G55" s="31">
        <f t="shared" si="34"/>
        <v>1.0036706941418809E-2</v>
      </c>
      <c r="H55" s="31">
        <f t="shared" si="34"/>
        <v>2.7248052753766475E-3</v>
      </c>
      <c r="I55" s="31">
        <f t="shared" si="34"/>
        <v>4.584106897181575E-4</v>
      </c>
      <c r="J55" s="31">
        <f t="shared" si="34"/>
        <v>6.6150636310129148E-5</v>
      </c>
      <c r="K55" s="31">
        <f t="shared" si="34"/>
        <v>6.8206145465204725E-6</v>
      </c>
      <c r="L55" s="31">
        <f t="shared" si="34"/>
        <v>6.8612059813464526E-7</v>
      </c>
      <c r="M55" s="31">
        <f t="shared" si="34"/>
        <v>8.1627568306675817E-6</v>
      </c>
      <c r="N55" s="31">
        <f t="shared" si="34"/>
        <v>2.5236992119003108E-5</v>
      </c>
      <c r="O55" s="31">
        <f t="shared" si="34"/>
        <v>4.907015525612543E-5</v>
      </c>
      <c r="P55" s="31">
        <f t="shared" si="34"/>
        <v>9.0729820282064893E-5</v>
      </c>
      <c r="Q55" s="31">
        <f t="shared" si="34"/>
        <v>1.4118798108170552E-4</v>
      </c>
      <c r="R55" s="31">
        <f t="shared" si="34"/>
        <v>1.8171397649736099E-4</v>
      </c>
      <c r="S55" s="31">
        <f t="shared" si="34"/>
        <v>2.0049830953147951E-4</v>
      </c>
      <c r="T55" s="31">
        <f t="shared" si="34"/>
        <v>1.883782990848578E-4</v>
      </c>
      <c r="U55" s="31">
        <f t="shared" si="34"/>
        <v>1.5494089049954783E-4</v>
      </c>
      <c r="V55" s="31">
        <f t="shared" si="34"/>
        <v>1.1161821836680078E-4</v>
      </c>
      <c r="W55" s="31">
        <f t="shared" si="34"/>
        <v>6.9066644611204061E-5</v>
      </c>
      <c r="X55" s="31">
        <f t="shared" si="34"/>
        <v>3.8601947005365326E-5</v>
      </c>
      <c r="Y55" s="31">
        <f t="shared" si="34"/>
        <v>2.1492179562717536E-5</v>
      </c>
      <c r="Z55" s="31">
        <f t="shared" si="34"/>
        <v>1.6856985809090442E-5</v>
      </c>
      <c r="AA55" s="31">
        <f t="shared" si="34"/>
        <v>2.5908768499010027E-5</v>
      </c>
      <c r="AB55" s="31">
        <f t="shared" si="34"/>
        <v>5.5818317331333533E-5</v>
      </c>
      <c r="AC55" s="31">
        <f t="shared" si="34"/>
        <v>9.0579869213912274E-5</v>
      </c>
      <c r="AD55" s="31">
        <f t="shared" si="34"/>
        <v>1.0836142213055303E-4</v>
      </c>
      <c r="AE55" s="31">
        <f t="shared" si="34"/>
        <v>1.2181970631500915E-4</v>
      </c>
      <c r="AF55" s="31">
        <f t="shared" si="34"/>
        <v>1.3668079308145776E-4</v>
      </c>
      <c r="AG55" s="31">
        <f t="shared" si="34"/>
        <v>1.1938697300634273E-4</v>
      </c>
      <c r="AH55" s="31">
        <f t="shared" si="34"/>
        <v>1.1544373389031734E-4</v>
      </c>
      <c r="AI55" s="31">
        <f t="shared" si="34"/>
        <v>1.7461255721168425E-4</v>
      </c>
      <c r="AJ55" s="31">
        <f t="shared" si="34"/>
        <v>1.2943195745088699E-4</v>
      </c>
    </row>
    <row r="56" spans="1:36" x14ac:dyDescent="0.25">
      <c r="E56" s="13" t="s">
        <v>31</v>
      </c>
      <c r="F56" s="32">
        <f>AVERAGE(F55:AJ55)</f>
        <v>7.489929151004032E-4</v>
      </c>
    </row>
    <row r="57" spans="1:36" x14ac:dyDescent="0.25">
      <c r="A57" s="42"/>
      <c r="B57" s="15"/>
      <c r="C57" s="15"/>
      <c r="D57" s="15"/>
      <c r="F57" s="60">
        <f>AVERAGE(S55:X55)</f>
        <v>1.2718405151654254E-4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0"/>
      <c r="D63" s="110"/>
      <c r="E63" s="110"/>
      <c r="F63" s="110"/>
      <c r="G63" s="110"/>
      <c r="H63" s="110"/>
      <c r="I63" s="110"/>
    </row>
    <row r="64" spans="1:36" x14ac:dyDescent="0.25">
      <c r="A64" s="42">
        <f>10^A65</f>
        <v>1.0000000000000001E-15</v>
      </c>
      <c r="B64" s="42">
        <f>10^B65</f>
        <v>1000000000000000</v>
      </c>
      <c r="C64" s="15"/>
      <c r="D64" s="15"/>
      <c r="E64" s="15"/>
      <c r="F64" s="15"/>
      <c r="G64" s="15"/>
      <c r="H64" s="15"/>
      <c r="I64" s="15"/>
    </row>
    <row r="65" spans="1:13" x14ac:dyDescent="0.25">
      <c r="A65" s="15">
        <v>-15</v>
      </c>
      <c r="B65" s="43">
        <v>15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1"/>
    </row>
    <row r="101" spans="1:9" x14ac:dyDescent="0.25">
      <c r="A101" s="11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-8.052831202133488</v>
      </c>
    </row>
    <row r="119" spans="1:14" x14ac:dyDescent="0.25">
      <c r="L119" s="11">
        <f>L118+1</f>
        <v>2</v>
      </c>
      <c r="M119" s="11">
        <f t="shared" ref="M119:M124" si="35">INDEX($B$125:$K$126,1,L119)</f>
        <v>0</v>
      </c>
      <c r="N119" s="11">
        <f t="shared" ref="N119:N124" si="36">IF(L119=$B$3,0,INDEX($B$125:$K$126,2,L119))</f>
        <v>-4.7387399799709815</v>
      </c>
    </row>
    <row r="120" spans="1:14" x14ac:dyDescent="0.25">
      <c r="L120" s="11">
        <f t="shared" ref="L120:L124" si="37">L119+1</f>
        <v>3</v>
      </c>
      <c r="M120" s="11">
        <f t="shared" si="35"/>
        <v>25</v>
      </c>
      <c r="N120" s="11">
        <f t="shared" si="36"/>
        <v>-2.2102814822745551</v>
      </c>
    </row>
    <row r="121" spans="1:14" x14ac:dyDescent="0.25">
      <c r="A121" s="3">
        <f>(A165+A204+A243+A282+A321+A360+A399)*10^9</f>
        <v>1871736304898253.7</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2.8184077714527396</v>
      </c>
    </row>
    <row r="123" spans="1:14" x14ac:dyDescent="0.25">
      <c r="A123" s="109"/>
      <c r="B123" s="109"/>
      <c r="C123" s="3"/>
      <c r="D123" s="3"/>
      <c r="E123" s="3"/>
      <c r="F123" s="3"/>
      <c r="G123" s="3"/>
      <c r="H123" s="3"/>
      <c r="I123" s="3"/>
      <c r="J123" s="3"/>
      <c r="K123" s="3"/>
      <c r="L123" s="11">
        <f t="shared" si="37"/>
        <v>6</v>
      </c>
      <c r="M123" s="11">
        <f t="shared" si="35"/>
        <v>125</v>
      </c>
      <c r="N123" s="11">
        <f t="shared" si="36"/>
        <v>8.7901607577065022</v>
      </c>
    </row>
    <row r="124" spans="1:14" x14ac:dyDescent="0.25">
      <c r="B124" s="3"/>
      <c r="C124" s="3"/>
      <c r="D124" s="3"/>
      <c r="E124" s="3"/>
      <c r="F124" s="3"/>
      <c r="G124" s="3"/>
      <c r="H124" s="3"/>
      <c r="I124" s="3"/>
      <c r="J124" s="3"/>
      <c r="K124" s="3"/>
      <c r="L124" s="11">
        <f t="shared" si="37"/>
        <v>7</v>
      </c>
      <c r="M124" s="11">
        <f t="shared" si="35"/>
        <v>160</v>
      </c>
      <c r="N124" s="11">
        <f t="shared" si="36"/>
        <v>14.474999762898356</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-8.052831202133488</v>
      </c>
      <c r="C126" s="3">
        <v>-4.7387399799709815</v>
      </c>
      <c r="D126" s="3">
        <v>-2.2102814822745551</v>
      </c>
      <c r="E126" s="3">
        <v>8.0888851772220032E-3</v>
      </c>
      <c r="F126" s="3">
        <v>2.8184077714527396</v>
      </c>
      <c r="G126" s="3">
        <v>8.7901607577065022</v>
      </c>
      <c r="H126" s="3">
        <v>14.474999762898356</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10218.668827091791</v>
      </c>
      <c r="C130" s="26">
        <f>INDEX(Comparison!$AM$3:$AS$33,G14,$B$122)</f>
        <v>10130.735990154546</v>
      </c>
      <c r="D130" s="26">
        <f>INDEX(Comparison!$AM$3:$AS$33,H14,$B$122)</f>
        <v>9815.5100842671618</v>
      </c>
      <c r="E130" s="26">
        <f>INDEX(Comparison!$AM$3:$AS$33,I14,$B$122)</f>
        <v>9602.7895017015398</v>
      </c>
      <c r="F130" s="26">
        <f>INDEX(Comparison!$AM$3:$AS$33,J14,$B$122)</f>
        <v>9403.9958104822508</v>
      </c>
      <c r="G130" s="26">
        <f>INDEX(Comparison!$AM$3:$AS$33,K14,$B$122)</f>
        <v>9185.6343104080297</v>
      </c>
      <c r="H130" s="26">
        <f>INDEX(Comparison!$AM$3:$AS$33,L14,$B$122)</f>
        <v>8956.3853461764484</v>
      </c>
      <c r="I130" s="26">
        <f>INDEX(Comparison!$AM$3:$AS$33,M14,$B$122)</f>
        <v>8694.0472851843733</v>
      </c>
      <c r="J130" s="26">
        <f>INDEX(Comparison!$AM$3:$AS$33,N14,$B$122)</f>
        <v>8422.2902852365987</v>
      </c>
      <c r="K130" s="26">
        <f>INDEX(Comparison!$AM$3:$AS$33,O14,$B$122)</f>
        <v>8119.1133122846923</v>
      </c>
      <c r="L130" s="26">
        <f>INDEX(Comparison!$AM$3:$AS$33,P14,$B$122)</f>
        <v>7848.6797155048253</v>
      </c>
      <c r="M130" s="26">
        <f>INDEX(Comparison!$AM$3:$AS$33,Q14,$B$122)</f>
        <v>7561.5718378512247</v>
      </c>
      <c r="N130" s="26">
        <f>INDEX(Comparison!$AM$3:$AS$33,R14,$B$122)</f>
        <v>7212.0886309644511</v>
      </c>
      <c r="O130" s="26">
        <f>INDEX(Comparison!$AM$3:$AS$33,S14,$B$122)</f>
        <v>6826.065675816817</v>
      </c>
      <c r="P130" s="26">
        <f>INDEX(Comparison!$AM$3:$AS$33,T14,$B$122)</f>
        <v>6468.6777640443843</v>
      </c>
      <c r="Q130" s="26">
        <f>INDEX(Comparison!$AM$3:$AS$33,U14,$B$122)</f>
        <v>6185.0814076350389</v>
      </c>
      <c r="R130" s="26">
        <f>INDEX(Comparison!$AM$3:$AS$33,V14,$B$122)</f>
        <v>5896.0070828362468</v>
      </c>
      <c r="S130" s="26">
        <f>INDEX(Comparison!$AM$3:$AS$33,W14,$B$122)</f>
        <v>5620.2326577203476</v>
      </c>
      <c r="T130" s="26">
        <f>INDEX(Comparison!$AM$3:$AS$33,X14,$B$122)</f>
        <v>5330.7810569019748</v>
      </c>
      <c r="U130" s="26">
        <f>INDEX(Comparison!$AM$3:$AS$33,Y14,$B$122)</f>
        <v>5056.458830124393</v>
      </c>
      <c r="V130" s="26">
        <f>INDEX(Comparison!$AM$3:$AS$33,Z14,$B$122)</f>
        <v>4685.6312280238881</v>
      </c>
      <c r="W130" s="26">
        <f>INDEX(Comparison!$AM$3:$AS$33,AA14,$B$122)</f>
        <v>4271.8299665210579</v>
      </c>
      <c r="X130" s="26">
        <f>INDEX(Comparison!$AM$3:$AS$33,AB14,$B$122)</f>
        <v>3807.4701999642007</v>
      </c>
      <c r="Y130" s="26">
        <f>INDEX(Comparison!$AM$3:$AS$33,AC14,$B$122)</f>
        <v>3333.4500993282409</v>
      </c>
      <c r="Z130" s="26">
        <f>INDEX(Comparison!$AM$3:$AS$33,AD14,$B$122)</f>
        <v>2813.9339254547094</v>
      </c>
      <c r="AA130" s="26">
        <f>INDEX(Comparison!$AM$3:$AS$33,AE14,$B$122)</f>
        <v>2264.5753602217969</v>
      </c>
      <c r="AB130" s="26">
        <f>INDEX(Comparison!$AM$3:$AS$33,AF14,$B$122)</f>
        <v>1691.7003845109305</v>
      </c>
      <c r="AC130" s="26">
        <f>INDEX(Comparison!$AM$3:$AS$33,AG14,$B$122)</f>
        <v>1230.3504248927311</v>
      </c>
      <c r="AD130" s="26">
        <f>INDEX(Comparison!$AM$3:$AS$33,AH14,$B$122)</f>
        <v>888.25672531905332</v>
      </c>
      <c r="AE130" s="26">
        <f>INDEX(Comparison!$AM$3:$AS$33,AI14,$B$122)</f>
        <v>708.86645626754114</v>
      </c>
      <c r="AF130" s="26">
        <f>INDEX(Comparison!$AM$3:$AS$33,AJ14,$B$122)</f>
        <v>607.16785102157667</v>
      </c>
    </row>
    <row r="131" spans="1:33" x14ac:dyDescent="0.25">
      <c r="A131" s="69" t="s">
        <v>22</v>
      </c>
      <c r="B131" s="27">
        <f>($C$17+SUM(B132:B162))*$B$51</f>
        <v>9460.8903269887614</v>
      </c>
      <c r="C131" s="27">
        <f t="shared" ref="C131:AF131" si="40">($C$17+SUM(C132:C162))*$B$51</f>
        <v>9460.8570822995207</v>
      </c>
      <c r="D131" s="27">
        <f t="shared" si="40"/>
        <v>9460.5247642444538</v>
      </c>
      <c r="E131" s="27">
        <f t="shared" si="40"/>
        <v>9457.2144326265734</v>
      </c>
      <c r="F131" s="27">
        <f t="shared" si="40"/>
        <v>9425.3619179537855</v>
      </c>
      <c r="G131" s="27">
        <f t="shared" si="40"/>
        <v>9203.798973253226</v>
      </c>
      <c r="H131" s="27">
        <f t="shared" si="40"/>
        <v>8910.1872766059369</v>
      </c>
      <c r="I131" s="27">
        <f t="shared" si="40"/>
        <v>8682.9036598110961</v>
      </c>
      <c r="J131" s="27">
        <f t="shared" si="40"/>
        <v>8400.0626267061689</v>
      </c>
      <c r="K131" s="27">
        <f t="shared" si="40"/>
        <v>8109.4185634401001</v>
      </c>
      <c r="L131" s="27">
        <f t="shared" si="40"/>
        <v>7827.6922939413698</v>
      </c>
      <c r="M131" s="27">
        <f t="shared" si="40"/>
        <v>7543.6553482391437</v>
      </c>
      <c r="N131" s="27">
        <f t="shared" si="40"/>
        <v>7198.1930267144216</v>
      </c>
      <c r="O131" s="27">
        <f t="shared" si="40"/>
        <v>6810.2209324975993</v>
      </c>
      <c r="P131" s="27">
        <f t="shared" si="40"/>
        <v>6449.0725817161965</v>
      </c>
      <c r="Q131" s="27">
        <f t="shared" si="40"/>
        <v>6159.7333968711819</v>
      </c>
      <c r="R131" s="27">
        <f t="shared" si="40"/>
        <v>5877.9729546957833</v>
      </c>
      <c r="S131" s="27">
        <f t="shared" si="40"/>
        <v>5593.062256740136</v>
      </c>
      <c r="T131" s="27">
        <f t="shared" si="40"/>
        <v>5316.099759544024</v>
      </c>
      <c r="U131" s="27">
        <f t="shared" si="40"/>
        <v>5035.8546935303484</v>
      </c>
      <c r="V131" s="27">
        <f t="shared" si="40"/>
        <v>4683.5957254392806</v>
      </c>
      <c r="W131" s="27">
        <f t="shared" si="40"/>
        <v>4275.3231195852022</v>
      </c>
      <c r="X131" s="27">
        <f t="shared" si="40"/>
        <v>3820.4397108175781</v>
      </c>
      <c r="Y131" s="27">
        <f t="shared" si="40"/>
        <v>3353.2890542052378</v>
      </c>
      <c r="Z131" s="27">
        <f t="shared" si="40"/>
        <v>2820.909600493796</v>
      </c>
      <c r="AA131" s="27">
        <f t="shared" si="40"/>
        <v>2343.4142959667856</v>
      </c>
      <c r="AB131" s="27">
        <f t="shared" si="40"/>
        <v>1680.7705493242245</v>
      </c>
      <c r="AC131" s="27">
        <f t="shared" si="40"/>
        <v>1245.2003423775147</v>
      </c>
      <c r="AD131" s="27">
        <f t="shared" si="40"/>
        <v>882.55880865754989</v>
      </c>
      <c r="AE131" s="27">
        <f t="shared" si="40"/>
        <v>709.7895610972331</v>
      </c>
      <c r="AF131" s="27">
        <f t="shared" si="40"/>
        <v>608.09774326575302</v>
      </c>
    </row>
    <row r="132" spans="1:33" x14ac:dyDescent="0.25">
      <c r="B132" s="3">
        <f t="shared" ref="B132:Z133" si="41">$C18*EXP(-B$129/$A18/EXP(-$B$126))</f>
        <v>1.081137569310838E-15</v>
      </c>
      <c r="C132" s="3">
        <f t="shared" ref="C132:AF132" si="42">$C18*EXP(-C$129/$A18/EXP(-$B$126))</f>
        <v>4.5784846712159024E-140</v>
      </c>
      <c r="D132" s="3">
        <f t="shared" si="42"/>
        <v>0</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4.2592404801423796E-2</v>
      </c>
      <c r="C133" s="3">
        <f t="shared" si="41"/>
        <v>4.2589280445536691E-2</v>
      </c>
      <c r="D133" s="3">
        <f t="shared" si="41"/>
        <v>4.2558049489143858E-2</v>
      </c>
      <c r="E133" s="3">
        <f t="shared" si="41"/>
        <v>4.2246996759136485E-2</v>
      </c>
      <c r="F133" s="3">
        <f t="shared" si="41"/>
        <v>3.9258807425863289E-2</v>
      </c>
      <c r="G133" s="3">
        <f t="shared" si="41"/>
        <v>1.8851665138670683E-2</v>
      </c>
      <c r="H133" s="3">
        <f t="shared" si="41"/>
        <v>1.2287848744713276E-5</v>
      </c>
      <c r="I133" s="3">
        <f t="shared" si="41"/>
        <v>1.7011290351594048E-37</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1.8189947756077147E-2</v>
      </c>
      <c r="C134" s="3">
        <f t="shared" si="44"/>
        <v>1.818982738535364E-2</v>
      </c>
      <c r="D134" s="3">
        <f t="shared" si="44"/>
        <v>1.8188623721927675E-2</v>
      </c>
      <c r="E134" s="3">
        <f t="shared" si="44"/>
        <v>1.8176591467505845E-2</v>
      </c>
      <c r="F134" s="3">
        <f t="shared" si="44"/>
        <v>1.805670583657961E-2</v>
      </c>
      <c r="G134" s="3">
        <f t="shared" si="44"/>
        <v>1.6900489765020489E-2</v>
      </c>
      <c r="H134" s="3">
        <f t="shared" si="44"/>
        <v>8.719808841219253E-3</v>
      </c>
      <c r="I134" s="3">
        <f t="shared" si="44"/>
        <v>1.1656916979012052E-5</v>
      </c>
      <c r="J134" s="3">
        <f t="shared" si="44"/>
        <v>2.1249616415614253E-34</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2.8233723291960274E-2</v>
      </c>
      <c r="C135" s="3">
        <f t="shared" si="47"/>
        <v>2.8233706437863954E-2</v>
      </c>
      <c r="D135" s="3">
        <f t="shared" si="47"/>
        <v>2.8233537897454124E-2</v>
      </c>
      <c r="E135" s="3">
        <f t="shared" si="47"/>
        <v>2.823185254869021E-2</v>
      </c>
      <c r="F135" s="3">
        <f t="shared" si="47"/>
        <v>2.8215004593267867E-2</v>
      </c>
      <c r="G135" s="3">
        <f t="shared" si="47"/>
        <v>2.8047077040764094E-2</v>
      </c>
      <c r="H135" s="3">
        <f t="shared" si="47"/>
        <v>2.6421801697955574E-2</v>
      </c>
      <c r="I135" s="3">
        <f t="shared" si="47"/>
        <v>1.4544896723892505E-2</v>
      </c>
      <c r="J135" s="3">
        <f t="shared" si="47"/>
        <v>3.7170018154017777E-5</v>
      </c>
      <c r="K135" s="3">
        <f t="shared" si="47"/>
        <v>4.41584770023492E-31</v>
      </c>
      <c r="L135" s="3">
        <f t="shared" si="47"/>
        <v>2.4730176660878929E-290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2.9847581694265716E-2</v>
      </c>
      <c r="C136" s="3">
        <f t="shared" si="49"/>
        <v>2.9847580086979665E-2</v>
      </c>
      <c r="D136" s="3">
        <f t="shared" si="49"/>
        <v>2.9847564014123903E-2</v>
      </c>
      <c r="E136" s="3">
        <f t="shared" si="49"/>
        <v>2.9847403286042355E-2</v>
      </c>
      <c r="F136" s="3">
        <f t="shared" si="49"/>
        <v>2.9845796052829405E-2</v>
      </c>
      <c r="G136" s="3">
        <f t="shared" si="49"/>
        <v>2.982972848000754E-2</v>
      </c>
      <c r="H136" s="3">
        <f t="shared" si="49"/>
        <v>2.9669527735650524E-2</v>
      </c>
      <c r="I136" s="3">
        <f t="shared" si="49"/>
        <v>2.8114085777422363E-2</v>
      </c>
      <c r="J136" s="3">
        <f t="shared" si="49"/>
        <v>1.6408061914038746E-2</v>
      </c>
      <c r="K136" s="3">
        <f t="shared" si="49"/>
        <v>7.5229901271421949E-5</v>
      </c>
      <c r="L136" s="3">
        <f t="shared" si="49"/>
        <v>3.0883218158964329E-28</v>
      </c>
      <c r="M136" s="3">
        <f t="shared" si="49"/>
        <v>4.1980066636763461E-262</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2.9885282725475793E-2</v>
      </c>
      <c r="C137" s="3">
        <f t="shared" si="51"/>
        <v>2.9885282580302076E-2</v>
      </c>
      <c r="D137" s="3">
        <f t="shared" si="51"/>
        <v>2.9885281128564943E-2</v>
      </c>
      <c r="E137" s="3">
        <f t="shared" si="51"/>
        <v>2.9885266611197506E-2</v>
      </c>
      <c r="F137" s="3">
        <f t="shared" si="51"/>
        <v>2.9885121437911E-2</v>
      </c>
      <c r="G137" s="3">
        <f t="shared" si="51"/>
        <v>2.9883669743831717E-2</v>
      </c>
      <c r="H137" s="3">
        <f t="shared" si="51"/>
        <v>2.9869156680920866E-2</v>
      </c>
      <c r="I137" s="3">
        <f t="shared" si="51"/>
        <v>2.9724413143925446E-2</v>
      </c>
      <c r="J137" s="3">
        <f t="shared" si="51"/>
        <v>2.8315000193457777E-2</v>
      </c>
      <c r="K137" s="3">
        <f t="shared" si="51"/>
        <v>1.7420048838565544E-2</v>
      </c>
      <c r="L137" s="3">
        <f t="shared" si="51"/>
        <v>1.3532478990136129E-4</v>
      </c>
      <c r="M137" s="3">
        <f t="shared" si="51"/>
        <v>1.0830719140121886E-25</v>
      </c>
      <c r="N137" s="3">
        <f t="shared" si="51"/>
        <v>1.1680370491469627E-236</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2.6241418278356809E-2</v>
      </c>
      <c r="C138" s="3">
        <f t="shared" si="53"/>
        <v>2.6241418266857691E-2</v>
      </c>
      <c r="D138" s="3">
        <f t="shared" si="53"/>
        <v>2.6241418151866511E-2</v>
      </c>
      <c r="E138" s="3">
        <f t="shared" si="53"/>
        <v>2.6241417001954762E-2</v>
      </c>
      <c r="F138" s="3">
        <f t="shared" si="53"/>
        <v>2.6241405502840025E-2</v>
      </c>
      <c r="G138" s="3">
        <f t="shared" si="53"/>
        <v>2.6241290511969783E-2</v>
      </c>
      <c r="H138" s="3">
        <f t="shared" si="53"/>
        <v>2.624014063098119E-2</v>
      </c>
      <c r="I138" s="3">
        <f t="shared" si="53"/>
        <v>2.6228644592029376E-2</v>
      </c>
      <c r="J138" s="3">
        <f t="shared" si="53"/>
        <v>2.6113960847179651E-2</v>
      </c>
      <c r="K138" s="3">
        <f t="shared" si="53"/>
        <v>2.4994344534410431E-2</v>
      </c>
      <c r="L138" s="3">
        <f t="shared" si="53"/>
        <v>1.6126190515541833E-2</v>
      </c>
      <c r="M138" s="3">
        <f t="shared" si="53"/>
        <v>2.015728927525234E-4</v>
      </c>
      <c r="N138" s="3">
        <f t="shared" si="53"/>
        <v>1.8768758637094927E-23</v>
      </c>
      <c r="O138" s="3">
        <f t="shared" si="53"/>
        <v>9.1932645902948482E-214</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3.2917206001650691E-2</v>
      </c>
      <c r="C139" s="3">
        <f t="shared" si="55"/>
        <v>3.2917206000349482E-2</v>
      </c>
      <c r="D139" s="3">
        <f t="shared" si="55"/>
        <v>3.2917205987337397E-2</v>
      </c>
      <c r="E139" s="3">
        <f t="shared" si="55"/>
        <v>3.2917205857216587E-2</v>
      </c>
      <c r="F139" s="3">
        <f t="shared" si="55"/>
        <v>3.291720455600846E-2</v>
      </c>
      <c r="G139" s="3">
        <f t="shared" si="55"/>
        <v>3.2917191543930066E-2</v>
      </c>
      <c r="H139" s="3">
        <f t="shared" si="55"/>
        <v>3.2917061423428977E-2</v>
      </c>
      <c r="I139" s="3">
        <f t="shared" si="55"/>
        <v>3.2915760246707643E-2</v>
      </c>
      <c r="J139" s="3">
        <f t="shared" si="55"/>
        <v>3.2902751308036764E-2</v>
      </c>
      <c r="K139" s="3">
        <f t="shared" si="55"/>
        <v>3.2772944362307474E-2</v>
      </c>
      <c r="L139" s="3">
        <f t="shared" si="55"/>
        <v>3.1502710236390639E-2</v>
      </c>
      <c r="M139" s="3">
        <f t="shared" si="55"/>
        <v>2.1216439201496452E-2</v>
      </c>
      <c r="N139" s="3">
        <f t="shared" si="55"/>
        <v>4.0730363227994414E-4</v>
      </c>
      <c r="O139" s="3">
        <f t="shared" si="55"/>
        <v>2.7693391316391706E-21</v>
      </c>
      <c r="P139" s="3">
        <f t="shared" si="55"/>
        <v>5.8472913816397125E-193</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4.0072808202396462E-2</v>
      </c>
      <c r="C140" s="3">
        <f t="shared" si="57"/>
        <v>4.0072808202253563E-2</v>
      </c>
      <c r="D140" s="3">
        <f t="shared" si="57"/>
        <v>4.0072808200824608E-2</v>
      </c>
      <c r="E140" s="3">
        <f t="shared" si="57"/>
        <v>4.0072808186534997E-2</v>
      </c>
      <c r="F140" s="3">
        <f t="shared" si="57"/>
        <v>4.0072808043638969E-2</v>
      </c>
      <c r="G140" s="3">
        <f t="shared" si="57"/>
        <v>4.0072806614678644E-2</v>
      </c>
      <c r="H140" s="3">
        <f t="shared" si="57"/>
        <v>4.0072792325078224E-2</v>
      </c>
      <c r="I140" s="3">
        <f t="shared" si="57"/>
        <v>4.0072649429354242E-2</v>
      </c>
      <c r="J140" s="3">
        <f t="shared" si="57"/>
        <v>4.007122050013958E-2</v>
      </c>
      <c r="K140" s="3">
        <f t="shared" si="57"/>
        <v>4.0056934010131447E-2</v>
      </c>
      <c r="L140" s="3">
        <f t="shared" si="57"/>
        <v>3.991434895454745E-2</v>
      </c>
      <c r="M140" s="3">
        <f t="shared" si="57"/>
        <v>3.8516117120613411E-2</v>
      </c>
      <c r="N140" s="3">
        <f t="shared" si="57"/>
        <v>2.6963544785946127E-2</v>
      </c>
      <c r="O140" s="3">
        <f t="shared" si="57"/>
        <v>7.6229288327935821E-4</v>
      </c>
      <c r="P140" s="3">
        <f t="shared" si="57"/>
        <v>2.4863980267780499E-19</v>
      </c>
      <c r="Q140" s="3">
        <f t="shared" si="57"/>
        <v>3.3888982118363689E-174</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3.9765912840093648E-2</v>
      </c>
      <c r="C141" s="3">
        <f t="shared" si="59"/>
        <v>3.976591284008086E-2</v>
      </c>
      <c r="D141" s="3">
        <f t="shared" si="59"/>
        <v>3.9765912839952941E-2</v>
      </c>
      <c r="E141" s="3">
        <f t="shared" si="59"/>
        <v>3.976591283867377E-2</v>
      </c>
      <c r="F141" s="3">
        <f t="shared" si="59"/>
        <v>3.9765912825882078E-2</v>
      </c>
      <c r="G141" s="3">
        <f t="shared" si="59"/>
        <v>3.9765912697965172E-2</v>
      </c>
      <c r="H141" s="3">
        <f t="shared" si="59"/>
        <v>3.9765911418796131E-2</v>
      </c>
      <c r="I141" s="3">
        <f t="shared" si="59"/>
        <v>3.9765898627107971E-2</v>
      </c>
      <c r="J141" s="3">
        <f t="shared" si="59"/>
        <v>3.9765770710452654E-2</v>
      </c>
      <c r="K141" s="3">
        <f t="shared" si="59"/>
        <v>3.9764491566530419E-2</v>
      </c>
      <c r="L141" s="3">
        <f t="shared" si="59"/>
        <v>3.9751702390129026E-2</v>
      </c>
      <c r="M141" s="3">
        <f t="shared" si="59"/>
        <v>3.9624036639126059E-2</v>
      </c>
      <c r="N141" s="3">
        <f t="shared" si="59"/>
        <v>3.8369713729146028E-2</v>
      </c>
      <c r="O141" s="3">
        <f t="shared" si="59"/>
        <v>2.7815507201984876E-2</v>
      </c>
      <c r="P141" s="3">
        <f t="shared" si="59"/>
        <v>1.1149906573897314E-3</v>
      </c>
      <c r="Q141" s="3">
        <f t="shared" si="59"/>
        <v>1.1943006743546153E-17</v>
      </c>
      <c r="R141" s="3">
        <f t="shared" si="59"/>
        <v>2.3743140842835473E-157</v>
      </c>
      <c r="S141" s="3">
        <f t="shared" si="59"/>
        <v>0</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2.9424353030171223E-2</v>
      </c>
      <c r="C142" s="3">
        <f t="shared" si="61"/>
        <v>2.942435303017037E-2</v>
      </c>
      <c r="D142" s="3">
        <f t="shared" si="61"/>
        <v>2.9424353030161832E-2</v>
      </c>
      <c r="E142" s="3">
        <f t="shared" si="61"/>
        <v>2.9424353030076449E-2</v>
      </c>
      <c r="F142" s="3">
        <f t="shared" si="61"/>
        <v>2.9424353029222618E-2</v>
      </c>
      <c r="G142" s="3">
        <f t="shared" si="61"/>
        <v>2.9424353020684337E-2</v>
      </c>
      <c r="H142" s="3">
        <f t="shared" si="61"/>
        <v>2.9424352935301514E-2</v>
      </c>
      <c r="I142" s="3">
        <f t="shared" si="61"/>
        <v>2.9424352081473308E-2</v>
      </c>
      <c r="J142" s="3">
        <f t="shared" si="61"/>
        <v>2.942434354319259E-2</v>
      </c>
      <c r="K142" s="3">
        <f t="shared" si="61"/>
        <v>2.9424258160521702E-2</v>
      </c>
      <c r="L142" s="3">
        <f t="shared" si="61"/>
        <v>2.9423404347439563E-2</v>
      </c>
      <c r="M142" s="3">
        <f t="shared" si="61"/>
        <v>2.9414867579144691E-2</v>
      </c>
      <c r="N142" s="3">
        <f t="shared" si="61"/>
        <v>2.9329636002675158E-2</v>
      </c>
      <c r="O142" s="3">
        <f t="shared" si="61"/>
        <v>2.8490785881624268E-2</v>
      </c>
      <c r="P142" s="3">
        <f t="shared" si="61"/>
        <v>2.1314835520896913E-2</v>
      </c>
      <c r="Q142" s="3">
        <f t="shared" si="61"/>
        <v>1.1707321748544064E-3</v>
      </c>
      <c r="R142" s="3">
        <f t="shared" si="61"/>
        <v>2.9255884855367656E-16</v>
      </c>
      <c r="S142" s="3">
        <f t="shared" si="61"/>
        <v>2.7782420327712295E-142</v>
      </c>
      <c r="T142" s="3">
        <f t="shared" si="61"/>
        <v>0</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2.8571417110976147E-2</v>
      </c>
      <c r="C143" s="3">
        <f t="shared" si="63"/>
        <v>2.8571417110976074E-2</v>
      </c>
      <c r="D143" s="3">
        <f t="shared" si="63"/>
        <v>2.8571417110975324E-2</v>
      </c>
      <c r="E143" s="3">
        <f t="shared" si="63"/>
        <v>2.8571417110967848E-2</v>
      </c>
      <c r="F143" s="3">
        <f t="shared" si="63"/>
        <v>2.8571417110893057E-2</v>
      </c>
      <c r="G143" s="3">
        <f t="shared" si="63"/>
        <v>2.8571417110145159E-2</v>
      </c>
      <c r="H143" s="3">
        <f t="shared" si="63"/>
        <v>2.857141710266619E-2</v>
      </c>
      <c r="I143" s="3">
        <f t="shared" si="63"/>
        <v>2.857141702787646E-2</v>
      </c>
      <c r="J143" s="3">
        <f t="shared" si="63"/>
        <v>2.8571416279979188E-2</v>
      </c>
      <c r="K143" s="3">
        <f t="shared" si="63"/>
        <v>2.8571408801007545E-2</v>
      </c>
      <c r="L143" s="3">
        <f t="shared" si="63"/>
        <v>2.8571334011398802E-2</v>
      </c>
      <c r="M143" s="3">
        <f t="shared" si="63"/>
        <v>2.857058612607875E-2</v>
      </c>
      <c r="N143" s="3">
        <f t="shared" si="63"/>
        <v>2.8563108349512208E-2</v>
      </c>
      <c r="O143" s="3">
        <f t="shared" si="63"/>
        <v>2.8488438143043342E-2</v>
      </c>
      <c r="P143" s="3">
        <f t="shared" si="63"/>
        <v>2.775238854937092E-2</v>
      </c>
      <c r="Q143" s="3">
        <f t="shared" si="63"/>
        <v>2.136080618244925E-2</v>
      </c>
      <c r="R143" s="3">
        <f t="shared" si="63"/>
        <v>1.5587998724343368E-3</v>
      </c>
      <c r="S143" s="3">
        <f t="shared" si="63"/>
        <v>6.6760192883517817E-15</v>
      </c>
      <c r="T143" s="3">
        <f t="shared" si="63"/>
        <v>1.3860847798387959E-128</v>
      </c>
      <c r="U143" s="3">
        <f t="shared" si="63"/>
        <v>0</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2.9426851905512412E-2</v>
      </c>
      <c r="C144" s="3">
        <f t="shared" si="65"/>
        <v>2.9426851905512405E-2</v>
      </c>
      <c r="D144" s="3">
        <f t="shared" si="65"/>
        <v>2.9426851905512332E-2</v>
      </c>
      <c r="E144" s="3">
        <f t="shared" si="65"/>
        <v>2.9426851905511642E-2</v>
      </c>
      <c r="F144" s="3">
        <f t="shared" si="65"/>
        <v>2.9426851905504692E-2</v>
      </c>
      <c r="G144" s="3">
        <f t="shared" si="65"/>
        <v>2.9426851905435206E-2</v>
      </c>
      <c r="H144" s="3">
        <f t="shared" si="65"/>
        <v>2.9426851904740339E-2</v>
      </c>
      <c r="I144" s="3">
        <f t="shared" si="65"/>
        <v>2.9426851897791689E-2</v>
      </c>
      <c r="J144" s="3">
        <f t="shared" si="65"/>
        <v>2.9426851828305168E-2</v>
      </c>
      <c r="K144" s="3">
        <f t="shared" si="65"/>
        <v>2.9426851133439964E-2</v>
      </c>
      <c r="L144" s="3">
        <f t="shared" si="65"/>
        <v>2.9426844184788855E-2</v>
      </c>
      <c r="M144" s="3">
        <f t="shared" si="65"/>
        <v>2.9426774698368002E-2</v>
      </c>
      <c r="N144" s="3">
        <f t="shared" si="65"/>
        <v>2.9426079843183805E-2</v>
      </c>
      <c r="O144" s="3">
        <f t="shared" si="65"/>
        <v>2.941913219369776E-2</v>
      </c>
      <c r="P144" s="3">
        <f t="shared" si="65"/>
        <v>2.9349745855639431E-2</v>
      </c>
      <c r="Q144" s="3">
        <f t="shared" si="65"/>
        <v>2.8664819881024158E-2</v>
      </c>
      <c r="R144" s="3">
        <f t="shared" si="65"/>
        <v>2.2635908994051223E-2</v>
      </c>
      <c r="S144" s="3">
        <f t="shared" si="65"/>
        <v>2.1344459396515749E-3</v>
      </c>
      <c r="T144" s="3">
        <f t="shared" si="65"/>
        <v>1.1861984821459332E-13</v>
      </c>
      <c r="U144" s="3">
        <f t="shared" si="65"/>
        <v>3.3333384139663608E-116</v>
      </c>
      <c r="V144" s="3">
        <f t="shared" si="65"/>
        <v>0</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2.8440803506547933E-2</v>
      </c>
      <c r="C145" s="3">
        <f t="shared" si="68"/>
        <v>2.8440803506547933E-2</v>
      </c>
      <c r="D145" s="3">
        <f t="shared" si="68"/>
        <v>2.8440803506547926E-2</v>
      </c>
      <c r="E145" s="3">
        <f t="shared" si="68"/>
        <v>2.8440803506547867E-2</v>
      </c>
      <c r="F145" s="3">
        <f t="shared" si="68"/>
        <v>2.844080350654726E-2</v>
      </c>
      <c r="G145" s="3">
        <f t="shared" si="68"/>
        <v>2.8440803506541202E-2</v>
      </c>
      <c r="H145" s="3">
        <f t="shared" si="68"/>
        <v>2.8440803506480618E-2</v>
      </c>
      <c r="I145" s="3">
        <f t="shared" si="68"/>
        <v>2.8440803505874798E-2</v>
      </c>
      <c r="J145" s="3">
        <f t="shared" si="68"/>
        <v>2.8440803499816574E-2</v>
      </c>
      <c r="K145" s="3">
        <f t="shared" si="68"/>
        <v>2.8440803439234351E-2</v>
      </c>
      <c r="L145" s="3">
        <f t="shared" si="68"/>
        <v>2.8440802833412111E-2</v>
      </c>
      <c r="M145" s="3">
        <f t="shared" si="68"/>
        <v>2.8440796775190416E-2</v>
      </c>
      <c r="N145" s="3">
        <f t="shared" si="68"/>
        <v>2.8440736193044467E-2</v>
      </c>
      <c r="O145" s="3">
        <f t="shared" si="68"/>
        <v>2.8440130378682493E-2</v>
      </c>
      <c r="P145" s="3">
        <f t="shared" si="68"/>
        <v>2.8434072944760171E-2</v>
      </c>
      <c r="Q145" s="3">
        <f t="shared" si="68"/>
        <v>2.8373569519377594E-2</v>
      </c>
      <c r="R145" s="3">
        <f t="shared" si="68"/>
        <v>2.7775571076381324E-2</v>
      </c>
      <c r="S145" s="3">
        <f t="shared" si="68"/>
        <v>2.2446736724820483E-2</v>
      </c>
      <c r="T145" s="3">
        <f t="shared" si="68"/>
        <v>2.6671987023443905E-3</v>
      </c>
      <c r="U145" s="3">
        <f t="shared" si="68"/>
        <v>1.4965008058588165E-12</v>
      </c>
      <c r="V145" s="3">
        <f t="shared" si="68"/>
        <v>4.6269285551275631E-105</v>
      </c>
      <c r="W145" s="3">
        <f t="shared" si="68"/>
        <v>0</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2.6740342475666101E-2</v>
      </c>
      <c r="C146" s="3">
        <f t="shared" si="70"/>
        <v>2.6740342475666101E-2</v>
      </c>
      <c r="D146" s="3">
        <f t="shared" si="70"/>
        <v>2.6740342475666101E-2</v>
      </c>
      <c r="E146" s="3">
        <f t="shared" si="70"/>
        <v>2.6740342475666094E-2</v>
      </c>
      <c r="F146" s="3">
        <f t="shared" si="70"/>
        <v>2.6740342475666045E-2</v>
      </c>
      <c r="G146" s="3">
        <f t="shared" si="70"/>
        <v>2.6740342475665532E-2</v>
      </c>
      <c r="H146" s="3">
        <f t="shared" si="70"/>
        <v>2.6740342475660393E-2</v>
      </c>
      <c r="I146" s="3">
        <f t="shared" si="70"/>
        <v>2.6740342475609007E-2</v>
      </c>
      <c r="J146" s="3">
        <f t="shared" si="70"/>
        <v>2.6740342475095182E-2</v>
      </c>
      <c r="K146" s="3">
        <f t="shared" si="70"/>
        <v>2.6740342469956914E-2</v>
      </c>
      <c r="L146" s="3">
        <f t="shared" si="70"/>
        <v>2.674034241857421E-2</v>
      </c>
      <c r="M146" s="3">
        <f t="shared" si="70"/>
        <v>2.6740341904747229E-2</v>
      </c>
      <c r="N146" s="3">
        <f t="shared" si="70"/>
        <v>2.6740336766477937E-2</v>
      </c>
      <c r="O146" s="3">
        <f t="shared" si="70"/>
        <v>2.6740285383839324E-2</v>
      </c>
      <c r="P146" s="3">
        <f t="shared" si="70"/>
        <v>2.6739771562883513E-2</v>
      </c>
      <c r="Q146" s="3">
        <f t="shared" si="70"/>
        <v>2.6734633896319672E-2</v>
      </c>
      <c r="R146" s="3">
        <f t="shared" si="70"/>
        <v>2.668331149152222E-2</v>
      </c>
      <c r="S146" s="3">
        <f t="shared" si="70"/>
        <v>2.6175475147261078E-2</v>
      </c>
      <c r="T146" s="3">
        <f t="shared" si="70"/>
        <v>2.1599467900983157E-2</v>
      </c>
      <c r="U146" s="3">
        <f t="shared" si="70"/>
        <v>3.1617522672181368E-3</v>
      </c>
      <c r="V146" s="3">
        <f t="shared" si="70"/>
        <v>1.4281561684881906E-11</v>
      </c>
      <c r="W146" s="3">
        <f t="shared" si="70"/>
        <v>5.0495690312356192E-95</v>
      </c>
      <c r="X146" s="3">
        <f t="shared" si="70"/>
        <v>0</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3.6384067061729697E-2</v>
      </c>
      <c r="C147" s="3">
        <f t="shared" si="72"/>
        <v>3.6384067061729697E-2</v>
      </c>
      <c r="D147" s="3">
        <f t="shared" si="72"/>
        <v>3.6384067061729697E-2</v>
      </c>
      <c r="E147" s="3">
        <f t="shared" si="72"/>
        <v>3.6384067061729697E-2</v>
      </c>
      <c r="F147" s="3">
        <f t="shared" si="72"/>
        <v>3.638406706172969E-2</v>
      </c>
      <c r="G147" s="3">
        <f t="shared" si="72"/>
        <v>3.6384067061729627E-2</v>
      </c>
      <c r="H147" s="3">
        <f t="shared" si="72"/>
        <v>3.6384067061728996E-2</v>
      </c>
      <c r="I147" s="3">
        <f t="shared" si="72"/>
        <v>3.6384067061722689E-2</v>
      </c>
      <c r="J147" s="3">
        <f t="shared" si="72"/>
        <v>3.6384067061659621E-2</v>
      </c>
      <c r="K147" s="3">
        <f t="shared" si="72"/>
        <v>3.6384067061028945E-2</v>
      </c>
      <c r="L147" s="3">
        <f t="shared" si="72"/>
        <v>3.6384067054722163E-2</v>
      </c>
      <c r="M147" s="3">
        <f t="shared" si="72"/>
        <v>3.6384066991654349E-2</v>
      </c>
      <c r="N147" s="3">
        <f t="shared" si="72"/>
        <v>3.6384066360976207E-2</v>
      </c>
      <c r="O147" s="3">
        <f t="shared" si="72"/>
        <v>3.6384060054195422E-2</v>
      </c>
      <c r="P147" s="3">
        <f t="shared" si="72"/>
        <v>3.638399698644771E-2</v>
      </c>
      <c r="Q147" s="3">
        <f t="shared" si="72"/>
        <v>3.6383366314983179E-2</v>
      </c>
      <c r="R147" s="3">
        <f t="shared" si="72"/>
        <v>3.6377060201561555E-2</v>
      </c>
      <c r="S147" s="3">
        <f t="shared" si="72"/>
        <v>3.6314059151169156E-2</v>
      </c>
      <c r="T147" s="3">
        <f t="shared" si="72"/>
        <v>3.5690018672611984E-2</v>
      </c>
      <c r="U147" s="3">
        <f t="shared" si="72"/>
        <v>3.0010039039124987E-2</v>
      </c>
      <c r="V147" s="3">
        <f t="shared" si="72"/>
        <v>5.3023014207276052E-3</v>
      </c>
      <c r="W147" s="3">
        <f t="shared" si="72"/>
        <v>1.5719652225543715E-10</v>
      </c>
      <c r="X147" s="3">
        <f t="shared" si="72"/>
        <v>8.2457116845105869E-86</v>
      </c>
      <c r="Y147" s="3">
        <f t="shared" si="72"/>
        <v>0</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4.1964426446168525E-2</v>
      </c>
      <c r="C148" s="3">
        <f t="shared" si="74"/>
        <v>4.1964426446168525E-2</v>
      </c>
      <c r="D148" s="3">
        <f t="shared" si="74"/>
        <v>4.1964426446168525E-2</v>
      </c>
      <c r="E148" s="3">
        <f t="shared" si="74"/>
        <v>4.1964426446168525E-2</v>
      </c>
      <c r="F148" s="3">
        <f t="shared" si="74"/>
        <v>4.1964426446168525E-2</v>
      </c>
      <c r="G148" s="3">
        <f t="shared" si="74"/>
        <v>4.1964426446168518E-2</v>
      </c>
      <c r="H148" s="3">
        <f t="shared" si="74"/>
        <v>4.1964426446168449E-2</v>
      </c>
      <c r="I148" s="3">
        <f t="shared" si="74"/>
        <v>4.1964426446167796E-2</v>
      </c>
      <c r="J148" s="3">
        <f t="shared" si="74"/>
        <v>4.1964426446161232E-2</v>
      </c>
      <c r="K148" s="3">
        <f t="shared" si="74"/>
        <v>4.1964426446095618E-2</v>
      </c>
      <c r="L148" s="3">
        <f t="shared" si="74"/>
        <v>4.1964426445439434E-2</v>
      </c>
      <c r="M148" s="3">
        <f t="shared" si="74"/>
        <v>4.1964426438877614E-2</v>
      </c>
      <c r="N148" s="3">
        <f t="shared" si="74"/>
        <v>4.1964426373259395E-2</v>
      </c>
      <c r="O148" s="3">
        <f t="shared" si="74"/>
        <v>4.1964425717077238E-2</v>
      </c>
      <c r="P148" s="3">
        <f t="shared" si="74"/>
        <v>4.1964419155256234E-2</v>
      </c>
      <c r="Q148" s="3">
        <f t="shared" si="74"/>
        <v>4.1964353537102622E-2</v>
      </c>
      <c r="R148" s="3">
        <f t="shared" si="74"/>
        <v>4.1963697361209716E-2</v>
      </c>
      <c r="S148" s="3">
        <f t="shared" si="74"/>
        <v>4.1957136166570638E-2</v>
      </c>
      <c r="T148" s="3">
        <f t="shared" si="74"/>
        <v>4.189158061654201E-2</v>
      </c>
      <c r="U148" s="3">
        <f t="shared" si="74"/>
        <v>4.1241632260082879E-2</v>
      </c>
      <c r="V148" s="3">
        <f t="shared" si="74"/>
        <v>3.5271735492368977E-2</v>
      </c>
      <c r="W148" s="3">
        <f t="shared" si="74"/>
        <v>7.3847647427155872E-3</v>
      </c>
      <c r="X148" s="3">
        <f t="shared" si="74"/>
        <v>1.1951846851302889E-9</v>
      </c>
      <c r="Y148" s="3">
        <f t="shared" si="74"/>
        <v>1.4737321908056443E-77</v>
      </c>
      <c r="Z148" s="3">
        <f t="shared" si="74"/>
        <v>0</v>
      </c>
      <c r="AA148" s="3">
        <f>$C34*EXP(-AA$129/$A34/EXP(-$B$126))</f>
        <v>0</v>
      </c>
      <c r="AB148" s="3">
        <f t="shared" si="67"/>
        <v>0</v>
      </c>
      <c r="AC148" s="3">
        <f t="shared" si="67"/>
        <v>0</v>
      </c>
      <c r="AD148" s="3">
        <f t="shared" si="67"/>
        <v>0</v>
      </c>
      <c r="AE148" s="3">
        <f t="shared" si="67"/>
        <v>0</v>
      </c>
      <c r="AF148" s="3">
        <f t="shared" si="67"/>
        <v>0</v>
      </c>
    </row>
    <row r="149" spans="1:32" x14ac:dyDescent="0.25">
      <c r="B149" s="3">
        <f t="shared" ref="B149:Z149" si="75">$C35*EXP(-B$129/$A35/EXP(-$B$126))</f>
        <v>4.8106928297009681E-2</v>
      </c>
      <c r="C149" s="3">
        <f t="shared" si="75"/>
        <v>4.8106928297009681E-2</v>
      </c>
      <c r="D149" s="3">
        <f t="shared" si="75"/>
        <v>4.8106928297009681E-2</v>
      </c>
      <c r="E149" s="3">
        <f t="shared" si="75"/>
        <v>4.8106928297009681E-2</v>
      </c>
      <c r="F149" s="3">
        <f t="shared" si="75"/>
        <v>4.8106928297009681E-2</v>
      </c>
      <c r="G149" s="3">
        <f t="shared" si="75"/>
        <v>4.8106928297009681E-2</v>
      </c>
      <c r="H149" s="3">
        <f t="shared" si="75"/>
        <v>4.8106928297009674E-2</v>
      </c>
      <c r="I149" s="3">
        <f t="shared" si="75"/>
        <v>4.8106928297009605E-2</v>
      </c>
      <c r="J149" s="3">
        <f t="shared" si="75"/>
        <v>4.8106928297008925E-2</v>
      </c>
      <c r="K149" s="3">
        <f t="shared" si="75"/>
        <v>4.8106928297002138E-2</v>
      </c>
      <c r="L149" s="3">
        <f t="shared" si="75"/>
        <v>4.8106928296934283E-2</v>
      </c>
      <c r="M149" s="3">
        <f t="shared" si="75"/>
        <v>4.8106928296255708E-2</v>
      </c>
      <c r="N149" s="3">
        <f t="shared" si="75"/>
        <v>4.8106928289469969E-2</v>
      </c>
      <c r="O149" s="3">
        <f t="shared" si="75"/>
        <v>4.8106928221612548E-2</v>
      </c>
      <c r="P149" s="3">
        <f t="shared" si="75"/>
        <v>4.8106927543038344E-2</v>
      </c>
      <c r="Q149" s="3">
        <f t="shared" si="75"/>
        <v>4.8106920757296869E-2</v>
      </c>
      <c r="R149" s="3">
        <f t="shared" si="75"/>
        <v>4.8106852899934709E-2</v>
      </c>
      <c r="S149" s="3">
        <f t="shared" si="75"/>
        <v>4.8106174331577552E-2</v>
      </c>
      <c r="T149" s="3">
        <f t="shared" si="75"/>
        <v>4.8099389174416481E-2</v>
      </c>
      <c r="U149" s="3">
        <f t="shared" si="75"/>
        <v>4.8031590216396053E-2</v>
      </c>
      <c r="V149" s="3">
        <f t="shared" si="75"/>
        <v>4.7358834639227604E-2</v>
      </c>
      <c r="W149" s="3">
        <f t="shared" si="75"/>
        <v>4.112836308055174E-2</v>
      </c>
      <c r="X149" s="3">
        <f t="shared" si="75"/>
        <v>1.0035652195012646E-2</v>
      </c>
      <c r="Y149" s="3">
        <f t="shared" si="75"/>
        <v>7.5090910314164558E-9</v>
      </c>
      <c r="Z149" s="3">
        <f t="shared" si="75"/>
        <v>4.130523009120261E-70</v>
      </c>
      <c r="AA149" s="3">
        <f t="shared" ref="AA149" si="76">$C35*EXP(-AA$129/$A35/EXP(-$B$126))</f>
        <v>0</v>
      </c>
      <c r="AB149" s="3">
        <f t="shared" si="67"/>
        <v>0</v>
      </c>
      <c r="AC149" s="3">
        <f t="shared" si="67"/>
        <v>0</v>
      </c>
      <c r="AD149" s="3">
        <f t="shared" si="67"/>
        <v>0</v>
      </c>
      <c r="AE149" s="3">
        <f t="shared" si="67"/>
        <v>0</v>
      </c>
      <c r="AF149" s="3">
        <f t="shared" si="67"/>
        <v>0</v>
      </c>
    </row>
    <row r="150" spans="1:32" x14ac:dyDescent="0.25">
      <c r="B150" s="3">
        <f t="shared" ref="B150:Z150" si="77">$C36*EXP(-B$129/$A36/EXP(-$B$126))</f>
        <v>4.6100301020196389E-2</v>
      </c>
      <c r="C150" s="3">
        <f t="shared" si="77"/>
        <v>4.6100301020196389E-2</v>
      </c>
      <c r="D150" s="3">
        <f t="shared" si="77"/>
        <v>4.6100301020196389E-2</v>
      </c>
      <c r="E150" s="3">
        <f t="shared" si="77"/>
        <v>4.6100301020196389E-2</v>
      </c>
      <c r="F150" s="3">
        <f t="shared" si="77"/>
        <v>4.6100301020196389E-2</v>
      </c>
      <c r="G150" s="3">
        <f t="shared" si="77"/>
        <v>4.6100301020196389E-2</v>
      </c>
      <c r="H150" s="3">
        <f t="shared" si="77"/>
        <v>4.6100301020196389E-2</v>
      </c>
      <c r="I150" s="3">
        <f t="shared" si="77"/>
        <v>4.6100301020196383E-2</v>
      </c>
      <c r="J150" s="3">
        <f t="shared" si="77"/>
        <v>4.610030102019632E-2</v>
      </c>
      <c r="K150" s="3">
        <f t="shared" si="77"/>
        <v>4.6100301020195737E-2</v>
      </c>
      <c r="L150" s="3">
        <f t="shared" si="77"/>
        <v>4.6100301020189874E-2</v>
      </c>
      <c r="M150" s="3">
        <f t="shared" si="77"/>
        <v>4.6100301020131212E-2</v>
      </c>
      <c r="N150" s="3">
        <f t="shared" si="77"/>
        <v>4.6100301019544619E-2</v>
      </c>
      <c r="O150" s="3">
        <f t="shared" si="77"/>
        <v>4.6100301013678638E-2</v>
      </c>
      <c r="P150" s="3">
        <f t="shared" si="77"/>
        <v>4.6100300955018908E-2</v>
      </c>
      <c r="Q150" s="3">
        <f t="shared" si="77"/>
        <v>4.6100300368421596E-2</v>
      </c>
      <c r="R150" s="3">
        <f t="shared" si="77"/>
        <v>4.6100294502448881E-2</v>
      </c>
      <c r="S150" s="3">
        <f t="shared" si="77"/>
        <v>4.61002358427628E-2</v>
      </c>
      <c r="T150" s="3">
        <f t="shared" si="77"/>
        <v>4.6099649250007195E-2</v>
      </c>
      <c r="U150" s="3">
        <f t="shared" si="77"/>
        <v>4.6093783732954204E-2</v>
      </c>
      <c r="V150" s="3">
        <f t="shared" si="77"/>
        <v>4.6035169593406089E-2</v>
      </c>
      <c r="W150" s="3">
        <f t="shared" si="77"/>
        <v>4.5453112044225356E-2</v>
      </c>
      <c r="X150" s="3">
        <f t="shared" si="77"/>
        <v>4.0022331413312011E-2</v>
      </c>
      <c r="Y150" s="3">
        <f t="shared" si="77"/>
        <v>1.1212178115247939E-2</v>
      </c>
      <c r="Z150" s="3">
        <f t="shared" si="77"/>
        <v>3.3386126307008983E-8</v>
      </c>
      <c r="AA150" s="3">
        <f t="shared" ref="AA150" si="78">$C36*EXP(-AA$129/$A36/EXP(-$B$126))</f>
        <v>1.8294749612299137E-63</v>
      </c>
      <c r="AB150" s="3">
        <f t="shared" si="67"/>
        <v>0</v>
      </c>
      <c r="AC150" s="3">
        <f t="shared" si="67"/>
        <v>0</v>
      </c>
      <c r="AD150" s="3">
        <f t="shared" si="67"/>
        <v>0</v>
      </c>
      <c r="AE150" s="3">
        <f t="shared" si="67"/>
        <v>0</v>
      </c>
      <c r="AF150" s="3">
        <f t="shared" si="67"/>
        <v>0</v>
      </c>
    </row>
    <row r="151" spans="1:32" x14ac:dyDescent="0.25">
      <c r="B151" s="3">
        <f t="shared" ref="B151:Z151" si="79">$C37*EXP(-B$129/$A37/EXP(-$B$126))</f>
        <v>6.1544571271861997E-2</v>
      </c>
      <c r="C151" s="3">
        <f t="shared" si="79"/>
        <v>6.1544571271861997E-2</v>
      </c>
      <c r="D151" s="3">
        <f t="shared" si="79"/>
        <v>6.1544571271861997E-2</v>
      </c>
      <c r="E151" s="3">
        <f t="shared" si="79"/>
        <v>6.1544571271861997E-2</v>
      </c>
      <c r="F151" s="3">
        <f t="shared" si="79"/>
        <v>6.1544571271861997E-2</v>
      </c>
      <c r="G151" s="3">
        <f t="shared" si="79"/>
        <v>6.1544571271861997E-2</v>
      </c>
      <c r="H151" s="3">
        <f t="shared" si="79"/>
        <v>6.1544571271861997E-2</v>
      </c>
      <c r="I151" s="3">
        <f t="shared" si="79"/>
        <v>6.1544571271861997E-2</v>
      </c>
      <c r="J151" s="3">
        <f t="shared" si="79"/>
        <v>6.1544571271861991E-2</v>
      </c>
      <c r="K151" s="3">
        <f t="shared" si="79"/>
        <v>6.1544571271861921E-2</v>
      </c>
      <c r="L151" s="3">
        <f t="shared" si="79"/>
        <v>6.1544571271861213E-2</v>
      </c>
      <c r="M151" s="3">
        <f t="shared" si="79"/>
        <v>6.154457127185415E-2</v>
      </c>
      <c r="N151" s="3">
        <f t="shared" si="79"/>
        <v>6.1544571271783505E-2</v>
      </c>
      <c r="O151" s="3">
        <f t="shared" si="79"/>
        <v>6.154457127107707E-2</v>
      </c>
      <c r="P151" s="3">
        <f t="shared" si="79"/>
        <v>6.1544571264012714E-2</v>
      </c>
      <c r="Q151" s="3">
        <f t="shared" si="79"/>
        <v>6.1544571193369139E-2</v>
      </c>
      <c r="R151" s="3">
        <f t="shared" si="79"/>
        <v>6.1544570486933424E-2</v>
      </c>
      <c r="S151" s="3">
        <f t="shared" si="79"/>
        <v>6.1544563422576679E-2</v>
      </c>
      <c r="T151" s="3">
        <f t="shared" si="79"/>
        <v>6.1544492779053918E-2</v>
      </c>
      <c r="U151" s="3">
        <f t="shared" si="79"/>
        <v>6.1543786348286049E-2</v>
      </c>
      <c r="V151" s="3">
        <f t="shared" si="79"/>
        <v>6.153672248656928E-2</v>
      </c>
      <c r="W151" s="3">
        <f t="shared" si="79"/>
        <v>6.1466128446656637E-2</v>
      </c>
      <c r="X151" s="3">
        <f t="shared" si="79"/>
        <v>6.0764626898956259E-2</v>
      </c>
      <c r="Y151" s="3">
        <f t="shared" si="79"/>
        <v>5.4175209601020395E-2</v>
      </c>
      <c r="Z151" s="3">
        <f t="shared" si="79"/>
        <v>1.7190885451551261E-2</v>
      </c>
      <c r="AA151" s="3">
        <f t="shared" ref="AA151" si="80">$C37*EXP(-AA$129/$A37/EXP(-$B$126))</f>
        <v>1.7794045992296674E-7</v>
      </c>
      <c r="AB151" s="3">
        <f t="shared" si="67"/>
        <v>2.5121139283922552E-57</v>
      </c>
      <c r="AC151" s="3">
        <f t="shared" si="67"/>
        <v>0</v>
      </c>
      <c r="AD151" s="3">
        <f t="shared" si="67"/>
        <v>0</v>
      </c>
      <c r="AE151" s="3">
        <f t="shared" si="67"/>
        <v>0</v>
      </c>
      <c r="AF151" s="3">
        <f t="shared" si="67"/>
        <v>0</v>
      </c>
    </row>
    <row r="152" spans="1:32" x14ac:dyDescent="0.25">
      <c r="B152" s="3">
        <f t="shared" ref="B152:Z152" si="81">$C38*EXP(-B$129/$A38/EXP(-$B$126))</f>
        <v>2.0548359308290503E-2</v>
      </c>
      <c r="C152" s="3">
        <f t="shared" si="81"/>
        <v>2.0548359308290503E-2</v>
      </c>
      <c r="D152" s="3">
        <f t="shared" si="81"/>
        <v>2.0548359308290503E-2</v>
      </c>
      <c r="E152" s="3">
        <f t="shared" si="81"/>
        <v>2.0548359308290503E-2</v>
      </c>
      <c r="F152" s="3">
        <f t="shared" si="81"/>
        <v>2.0548359308290503E-2</v>
      </c>
      <c r="G152" s="3">
        <f t="shared" si="81"/>
        <v>2.0548359308290503E-2</v>
      </c>
      <c r="H152" s="3">
        <f t="shared" si="81"/>
        <v>2.0548359308290503E-2</v>
      </c>
      <c r="I152" s="3">
        <f t="shared" si="81"/>
        <v>2.0548359308290503E-2</v>
      </c>
      <c r="J152" s="3">
        <f t="shared" si="81"/>
        <v>2.0548359308290503E-2</v>
      </c>
      <c r="K152" s="3">
        <f t="shared" si="81"/>
        <v>2.0548359308290499E-2</v>
      </c>
      <c r="L152" s="3">
        <f t="shared" si="81"/>
        <v>2.0548359308290479E-2</v>
      </c>
      <c r="M152" s="3">
        <f t="shared" si="81"/>
        <v>2.0548359308290267E-2</v>
      </c>
      <c r="N152" s="3">
        <f t="shared" si="81"/>
        <v>2.054835930828814E-2</v>
      </c>
      <c r="O152" s="3">
        <f t="shared" si="81"/>
        <v>2.0548359308266862E-2</v>
      </c>
      <c r="P152" s="3">
        <f t="shared" si="81"/>
        <v>2.0548359308054095E-2</v>
      </c>
      <c r="Q152" s="3">
        <f t="shared" si="81"/>
        <v>2.0548359305926411E-2</v>
      </c>
      <c r="R152" s="3">
        <f t="shared" si="81"/>
        <v>2.0548359284649598E-2</v>
      </c>
      <c r="S152" s="3">
        <f t="shared" si="81"/>
        <v>2.0548359071881434E-2</v>
      </c>
      <c r="T152" s="3">
        <f t="shared" si="81"/>
        <v>2.0548356944199937E-2</v>
      </c>
      <c r="U152" s="3">
        <f t="shared" si="81"/>
        <v>2.0548335667397097E-2</v>
      </c>
      <c r="V152" s="3">
        <f t="shared" si="81"/>
        <v>2.0548122900580394E-2</v>
      </c>
      <c r="W152" s="3">
        <f t="shared" si="81"/>
        <v>2.054599535357924E-2</v>
      </c>
      <c r="X152" s="3">
        <f t="shared" si="81"/>
        <v>2.0524731995514873E-2</v>
      </c>
      <c r="Y152" s="3">
        <f t="shared" si="81"/>
        <v>2.0313304982122405E-2</v>
      </c>
      <c r="Z152" s="3">
        <f t="shared" si="81"/>
        <v>1.8315194268721961E-2</v>
      </c>
      <c r="AA152" s="3">
        <f t="shared" ref="AA152" si="82">$C38*EXP(-AA$129/$A38/EXP(-$B$126))</f>
        <v>6.5031075280308241E-3</v>
      </c>
      <c r="AB152" s="3">
        <f t="shared" si="67"/>
        <v>2.0711663904276598E-7</v>
      </c>
      <c r="AC152" s="3">
        <f t="shared" si="67"/>
        <v>2.2241062966161887E-52</v>
      </c>
      <c r="AD152" s="3">
        <f t="shared" si="67"/>
        <v>0</v>
      </c>
      <c r="AE152" s="3">
        <f t="shared" si="67"/>
        <v>0</v>
      </c>
      <c r="AF152" s="3">
        <f t="shared" si="67"/>
        <v>0</v>
      </c>
    </row>
    <row r="153" spans="1:32" x14ac:dyDescent="0.25">
      <c r="B153" s="3">
        <f t="shared" ref="B153:Z153" si="83">$C39*EXP(-B$129/$A39/EXP(-$B$126))</f>
        <v>6.8598536150208847E-2</v>
      </c>
      <c r="C153" s="3">
        <f t="shared" si="83"/>
        <v>6.8598536150208847E-2</v>
      </c>
      <c r="D153" s="3">
        <f t="shared" si="83"/>
        <v>6.8598536150208847E-2</v>
      </c>
      <c r="E153" s="3">
        <f t="shared" si="83"/>
        <v>6.8598536150208847E-2</v>
      </c>
      <c r="F153" s="3">
        <f t="shared" si="83"/>
        <v>6.8598536150208847E-2</v>
      </c>
      <c r="G153" s="3">
        <f t="shared" si="83"/>
        <v>6.8598536150208847E-2</v>
      </c>
      <c r="H153" s="3">
        <f t="shared" si="83"/>
        <v>6.8598536150208847E-2</v>
      </c>
      <c r="I153" s="3">
        <f t="shared" si="83"/>
        <v>6.8598536150208847E-2</v>
      </c>
      <c r="J153" s="3">
        <f t="shared" si="83"/>
        <v>6.8598536150208847E-2</v>
      </c>
      <c r="K153" s="3">
        <f t="shared" si="83"/>
        <v>6.8598536150208847E-2</v>
      </c>
      <c r="L153" s="3">
        <f t="shared" si="83"/>
        <v>6.8598536150208819E-2</v>
      </c>
      <c r="M153" s="3">
        <f t="shared" si="83"/>
        <v>6.8598536150208625E-2</v>
      </c>
      <c r="N153" s="3">
        <f t="shared" si="83"/>
        <v>6.8598536150206654E-2</v>
      </c>
      <c r="O153" s="3">
        <f t="shared" si="83"/>
        <v>6.8598536150187017E-2</v>
      </c>
      <c r="P153" s="3">
        <f t="shared" si="83"/>
        <v>6.8598536149990563E-2</v>
      </c>
      <c r="Q153" s="3">
        <f t="shared" si="83"/>
        <v>6.8598536148026037E-2</v>
      </c>
      <c r="R153" s="3">
        <f t="shared" si="83"/>
        <v>6.8598536128380808E-2</v>
      </c>
      <c r="S153" s="3">
        <f t="shared" si="83"/>
        <v>6.8598535931928467E-2</v>
      </c>
      <c r="T153" s="3">
        <f t="shared" si="83"/>
        <v>6.8598533967405118E-2</v>
      </c>
      <c r="U153" s="3">
        <f t="shared" si="83"/>
        <v>6.8598514322174717E-2</v>
      </c>
      <c r="V153" s="3">
        <f t="shared" si="83"/>
        <v>6.8598317870180003E-2</v>
      </c>
      <c r="W153" s="3">
        <f t="shared" si="83"/>
        <v>6.8596353381175645E-2</v>
      </c>
      <c r="X153" s="3">
        <f t="shared" si="83"/>
        <v>6.8576711585066577E-2</v>
      </c>
      <c r="Y153" s="3">
        <f t="shared" si="83"/>
        <v>6.838060268984314E-2</v>
      </c>
      <c r="Z153" s="3">
        <f t="shared" si="83"/>
        <v>6.6450095330047698E-2</v>
      </c>
      <c r="AA153" s="3">
        <f t="shared" ref="AA153" si="84">$C39*EXP(-AA$129/$A39/EXP(-$B$126))</f>
        <v>4.9902516754174724E-2</v>
      </c>
      <c r="AB153" s="3">
        <f t="shared" si="67"/>
        <v>2.8470222233162698E-3</v>
      </c>
      <c r="AC153" s="3">
        <f t="shared" si="67"/>
        <v>1.0400996199974768E-15</v>
      </c>
      <c r="AD153" s="3">
        <f t="shared" si="67"/>
        <v>4.404694001829211E-140</v>
      </c>
      <c r="AE153" s="3">
        <f t="shared" si="67"/>
        <v>0</v>
      </c>
      <c r="AF153" s="3">
        <f t="shared" si="67"/>
        <v>0</v>
      </c>
    </row>
    <row r="154" spans="1:32" x14ac:dyDescent="0.25">
      <c r="B154" s="3">
        <f t="shared" ref="B154:Z154" si="85">$C40*EXP(-B$129/$A40/EXP(-$B$126))</f>
        <v>4.2430467850210242E-2</v>
      </c>
      <c r="C154" s="3">
        <f t="shared" si="85"/>
        <v>4.2430467850210242E-2</v>
      </c>
      <c r="D154" s="3">
        <f t="shared" si="85"/>
        <v>4.2430467850210242E-2</v>
      </c>
      <c r="E154" s="3">
        <f t="shared" si="85"/>
        <v>4.2430467850210242E-2</v>
      </c>
      <c r="F154" s="3">
        <f t="shared" si="85"/>
        <v>4.2430467850210242E-2</v>
      </c>
      <c r="G154" s="3">
        <f t="shared" si="85"/>
        <v>4.2430467850210242E-2</v>
      </c>
      <c r="H154" s="3">
        <f t="shared" si="85"/>
        <v>4.2430467850210242E-2</v>
      </c>
      <c r="I154" s="3">
        <f t="shared" si="85"/>
        <v>4.2430467850210242E-2</v>
      </c>
      <c r="J154" s="3">
        <f t="shared" si="85"/>
        <v>4.2430467850210242E-2</v>
      </c>
      <c r="K154" s="3">
        <f t="shared" si="85"/>
        <v>4.2430467850210242E-2</v>
      </c>
      <c r="L154" s="3">
        <f t="shared" si="85"/>
        <v>4.2430467850210242E-2</v>
      </c>
      <c r="M154" s="3">
        <f t="shared" si="85"/>
        <v>4.2430467850210228E-2</v>
      </c>
      <c r="N154" s="3">
        <f t="shared" si="85"/>
        <v>4.2430467850210103E-2</v>
      </c>
      <c r="O154" s="3">
        <f t="shared" si="85"/>
        <v>4.2430467850208889E-2</v>
      </c>
      <c r="P154" s="3">
        <f t="shared" si="85"/>
        <v>4.2430467850196739E-2</v>
      </c>
      <c r="Q154" s="3">
        <f t="shared" si="85"/>
        <v>4.2430467850075225E-2</v>
      </c>
      <c r="R154" s="3">
        <f t="shared" si="85"/>
        <v>4.2430467848860107E-2</v>
      </c>
      <c r="S154" s="3">
        <f t="shared" si="85"/>
        <v>4.2430467836708875E-2</v>
      </c>
      <c r="T154" s="3">
        <f t="shared" si="85"/>
        <v>4.2430467715196596E-2</v>
      </c>
      <c r="U154" s="3">
        <f t="shared" si="85"/>
        <v>4.2430466500073802E-2</v>
      </c>
      <c r="V154" s="3">
        <f t="shared" si="85"/>
        <v>4.2430454348847783E-2</v>
      </c>
      <c r="W154" s="3">
        <f t="shared" si="85"/>
        <v>4.2430332836778967E-2</v>
      </c>
      <c r="X154" s="3">
        <f t="shared" si="85"/>
        <v>4.2429117735229879E-2</v>
      </c>
      <c r="Y154" s="3">
        <f t="shared" si="85"/>
        <v>4.2416968633439987E-2</v>
      </c>
      <c r="Z154" s="3">
        <f t="shared" si="85"/>
        <v>4.2295668783021927E-2</v>
      </c>
      <c r="AA154" s="3">
        <f t="shared" ref="AA154:AF154" si="86">$C40*EXP(-AA$129/$A40/EXP(-$B$126))</f>
        <v>4.1101586007187864E-2</v>
      </c>
      <c r="AB154" s="3">
        <f t="shared" si="86"/>
        <v>3.0866360298799789E-2</v>
      </c>
      <c r="AC154" s="3">
        <f t="shared" si="86"/>
        <v>1.7609775906987383E-3</v>
      </c>
      <c r="AD154" s="3">
        <f t="shared" si="86"/>
        <v>6.433360821386051E-16</v>
      </c>
      <c r="AE154" s="3">
        <f t="shared" si="86"/>
        <v>2.7244492043589949E-140</v>
      </c>
      <c r="AF154" s="3">
        <f t="shared" si="86"/>
        <v>0</v>
      </c>
    </row>
    <row r="155" spans="1:32" x14ac:dyDescent="0.25">
      <c r="B155" s="3">
        <f t="shared" ref="B155:Z155" si="87">$C41*EXP(-B$129/$A41/EXP(-$B$126))</f>
        <v>4.2564807754428377E-2</v>
      </c>
      <c r="C155" s="3">
        <f t="shared" si="87"/>
        <v>4.2564807754428377E-2</v>
      </c>
      <c r="D155" s="3">
        <f t="shared" si="87"/>
        <v>4.2564807754428377E-2</v>
      </c>
      <c r="E155" s="3">
        <f t="shared" si="87"/>
        <v>4.2564807754428377E-2</v>
      </c>
      <c r="F155" s="3">
        <f t="shared" si="87"/>
        <v>4.2564807754428377E-2</v>
      </c>
      <c r="G155" s="3">
        <f t="shared" si="87"/>
        <v>4.2564807754428377E-2</v>
      </c>
      <c r="H155" s="3">
        <f t="shared" si="87"/>
        <v>4.2564807754428377E-2</v>
      </c>
      <c r="I155" s="3">
        <f t="shared" si="87"/>
        <v>4.2564807754428377E-2</v>
      </c>
      <c r="J155" s="3">
        <f t="shared" si="87"/>
        <v>4.2564807754428377E-2</v>
      </c>
      <c r="K155" s="3">
        <f t="shared" si="87"/>
        <v>4.2564807754428377E-2</v>
      </c>
      <c r="L155" s="3">
        <f t="shared" si="87"/>
        <v>4.2564807754428377E-2</v>
      </c>
      <c r="M155" s="3">
        <f t="shared" si="87"/>
        <v>4.2564807754428377E-2</v>
      </c>
      <c r="N155" s="3">
        <f t="shared" si="87"/>
        <v>4.2564807754428363E-2</v>
      </c>
      <c r="O155" s="3">
        <f t="shared" si="87"/>
        <v>4.2564807754428238E-2</v>
      </c>
      <c r="P155" s="3">
        <f t="shared" si="87"/>
        <v>4.2564807754427024E-2</v>
      </c>
      <c r="Q155" s="3">
        <f t="shared" si="87"/>
        <v>4.2564807754414832E-2</v>
      </c>
      <c r="R155" s="3">
        <f t="shared" si="87"/>
        <v>4.2564807754292937E-2</v>
      </c>
      <c r="S155" s="3">
        <f t="shared" si="87"/>
        <v>4.2564807753073967E-2</v>
      </c>
      <c r="T155" s="3">
        <f t="shared" si="87"/>
        <v>4.2564807740884267E-2</v>
      </c>
      <c r="U155" s="3">
        <f t="shared" si="87"/>
        <v>4.256480761898726E-2</v>
      </c>
      <c r="V155" s="3">
        <f t="shared" si="87"/>
        <v>4.2564806400017245E-2</v>
      </c>
      <c r="W155" s="3">
        <f t="shared" si="87"/>
        <v>4.2564794210319001E-2</v>
      </c>
      <c r="X155" s="3">
        <f t="shared" si="87"/>
        <v>4.2564672313528534E-2</v>
      </c>
      <c r="Y155" s="3">
        <f t="shared" si="87"/>
        <v>4.256345336482352E-2</v>
      </c>
      <c r="Z155" s="3">
        <f t="shared" si="87"/>
        <v>4.2551265797533398E-2</v>
      </c>
      <c r="AA155" s="3">
        <f t="shared" ref="AA155:AF155" si="88">$C41*EXP(-AA$129/$A41/EXP(-$B$126))</f>
        <v>4.2429581897372018E-2</v>
      </c>
      <c r="AB155" s="3">
        <f t="shared" si="88"/>
        <v>4.1231718513548891E-2</v>
      </c>
      <c r="AC155" s="3">
        <f t="shared" si="88"/>
        <v>3.096408686407693E-2</v>
      </c>
      <c r="AD155" s="3">
        <f t="shared" si="88"/>
        <v>1.766553055049023E-3</v>
      </c>
      <c r="AE155" s="3">
        <f t="shared" si="88"/>
        <v>6.4537296063732155E-16</v>
      </c>
      <c r="AF155" s="3">
        <f t="shared" si="88"/>
        <v>2.7330751343499821E-140</v>
      </c>
    </row>
    <row r="156" spans="1:32" x14ac:dyDescent="0.25">
      <c r="B156" s="3">
        <f t="shared" ref="B156:Z156" si="89">$C42*EXP(-B$129/$A42/EXP(-$B$126))</f>
        <v>1.7794430151868639E-2</v>
      </c>
      <c r="C156" s="3">
        <f t="shared" si="89"/>
        <v>1.7794430151868639E-2</v>
      </c>
      <c r="D156" s="3">
        <f t="shared" si="89"/>
        <v>1.7794430151868639E-2</v>
      </c>
      <c r="E156" s="3">
        <f t="shared" si="89"/>
        <v>1.7794430151868639E-2</v>
      </c>
      <c r="F156" s="3">
        <f t="shared" si="89"/>
        <v>1.7794430151868639E-2</v>
      </c>
      <c r="G156" s="3">
        <f t="shared" si="89"/>
        <v>1.7794430151868639E-2</v>
      </c>
      <c r="H156" s="3">
        <f t="shared" si="89"/>
        <v>1.7794430151868639E-2</v>
      </c>
      <c r="I156" s="3">
        <f t="shared" si="89"/>
        <v>1.7794430151868639E-2</v>
      </c>
      <c r="J156" s="3">
        <f t="shared" si="89"/>
        <v>1.7794430151868639E-2</v>
      </c>
      <c r="K156" s="3">
        <f t="shared" si="89"/>
        <v>1.7794430151868639E-2</v>
      </c>
      <c r="L156" s="3">
        <f t="shared" si="89"/>
        <v>1.7794430151868639E-2</v>
      </c>
      <c r="M156" s="3">
        <f t="shared" si="89"/>
        <v>1.7794430151868639E-2</v>
      </c>
      <c r="N156" s="3">
        <f t="shared" si="89"/>
        <v>1.7794430151868639E-2</v>
      </c>
      <c r="O156" s="3">
        <f t="shared" si="89"/>
        <v>1.7794430151868632E-2</v>
      </c>
      <c r="P156" s="3">
        <f t="shared" si="89"/>
        <v>1.779443015186858E-2</v>
      </c>
      <c r="Q156" s="3">
        <f t="shared" si="89"/>
        <v>1.7794430151868074E-2</v>
      </c>
      <c r="R156" s="3">
        <f t="shared" si="89"/>
        <v>1.7794430151862977E-2</v>
      </c>
      <c r="S156" s="3">
        <f t="shared" si="89"/>
        <v>1.7794430151812018E-2</v>
      </c>
      <c r="T156" s="3">
        <f t="shared" si="89"/>
        <v>1.7794430151302422E-2</v>
      </c>
      <c r="U156" s="3">
        <f t="shared" si="89"/>
        <v>1.7794430146206457E-2</v>
      </c>
      <c r="V156" s="3">
        <f t="shared" si="89"/>
        <v>1.7794430095246807E-2</v>
      </c>
      <c r="W156" s="3">
        <f t="shared" si="89"/>
        <v>1.779442958565031E-2</v>
      </c>
      <c r="X156" s="3">
        <f t="shared" si="89"/>
        <v>1.779442448968617E-2</v>
      </c>
      <c r="Y156" s="3">
        <f t="shared" si="89"/>
        <v>1.7794373530125019E-2</v>
      </c>
      <c r="Z156" s="3">
        <f t="shared" si="89"/>
        <v>1.7793863942540004E-2</v>
      </c>
      <c r="AA156" s="3">
        <f t="shared" ref="AA156:AF156" si="90">$C42*EXP(-AA$129/$A42/EXP(-$B$126))</f>
        <v>1.7788768869255133E-2</v>
      </c>
      <c r="AB156" s="3">
        <f t="shared" si="90"/>
        <v>1.7737898307956679E-2</v>
      </c>
      <c r="AC156" s="3">
        <f t="shared" si="90"/>
        <v>1.7237125546620668E-2</v>
      </c>
      <c r="AD156" s="3">
        <f t="shared" si="90"/>
        <v>1.2944690931016509E-2</v>
      </c>
      <c r="AE156" s="3">
        <f t="shared" si="90"/>
        <v>7.3851631443982188E-4</v>
      </c>
      <c r="AF156" s="3">
        <f t="shared" si="90"/>
        <v>2.698013846607989E-16</v>
      </c>
    </row>
    <row r="157" spans="1:32" x14ac:dyDescent="0.25">
      <c r="B157" s="3">
        <f t="shared" ref="B157:Z157" si="91">$C43*EXP(-B$129/$A43/EXP(-$B$126))</f>
        <v>1.1846247724533283E-2</v>
      </c>
      <c r="C157" s="3">
        <f t="shared" si="91"/>
        <v>1.1846247724533283E-2</v>
      </c>
      <c r="D157" s="3">
        <f t="shared" si="91"/>
        <v>1.1846247724533283E-2</v>
      </c>
      <c r="E157" s="3">
        <f t="shared" si="91"/>
        <v>1.1846247724533283E-2</v>
      </c>
      <c r="F157" s="3">
        <f t="shared" si="91"/>
        <v>1.1846247724533283E-2</v>
      </c>
      <c r="G157" s="3">
        <f t="shared" si="91"/>
        <v>1.1846247724533283E-2</v>
      </c>
      <c r="H157" s="3">
        <f t="shared" si="91"/>
        <v>1.1846247724533283E-2</v>
      </c>
      <c r="I157" s="3">
        <f t="shared" si="91"/>
        <v>1.1846247724533283E-2</v>
      </c>
      <c r="J157" s="3">
        <f t="shared" si="91"/>
        <v>1.1846247724533283E-2</v>
      </c>
      <c r="K157" s="3">
        <f t="shared" si="91"/>
        <v>1.1846247724533283E-2</v>
      </c>
      <c r="L157" s="3">
        <f t="shared" si="91"/>
        <v>1.1846247724533283E-2</v>
      </c>
      <c r="M157" s="3">
        <f t="shared" si="91"/>
        <v>1.1846247724533283E-2</v>
      </c>
      <c r="N157" s="3">
        <f t="shared" si="91"/>
        <v>1.1846247724533283E-2</v>
      </c>
      <c r="O157" s="3">
        <f t="shared" si="91"/>
        <v>1.1846247724533283E-2</v>
      </c>
      <c r="P157" s="3">
        <f t="shared" si="91"/>
        <v>1.184624772453328E-2</v>
      </c>
      <c r="Q157" s="3">
        <f t="shared" si="91"/>
        <v>1.1846247724533245E-2</v>
      </c>
      <c r="R157" s="3">
        <f t="shared" si="91"/>
        <v>1.1846247724532905E-2</v>
      </c>
      <c r="S157" s="3">
        <f t="shared" si="91"/>
        <v>1.1846247724529513E-2</v>
      </c>
      <c r="T157" s="3">
        <f t="shared" si="91"/>
        <v>1.1846247724495588E-2</v>
      </c>
      <c r="U157" s="3">
        <f t="shared" si="91"/>
        <v>1.1846247724156336E-2</v>
      </c>
      <c r="V157" s="3">
        <f t="shared" si="91"/>
        <v>1.1846247720763809E-2</v>
      </c>
      <c r="W157" s="3">
        <f t="shared" si="91"/>
        <v>1.1846247686838552E-2</v>
      </c>
      <c r="X157" s="3">
        <f t="shared" si="91"/>
        <v>1.1846247347585973E-2</v>
      </c>
      <c r="Y157" s="3">
        <f t="shared" si="91"/>
        <v>1.1846243955060723E-2</v>
      </c>
      <c r="Z157" s="3">
        <f t="shared" si="91"/>
        <v>1.1846210029861646E-2</v>
      </c>
      <c r="AA157" s="3">
        <f t="shared" ref="AA157:AF157" si="92">$C43*EXP(-AA$129/$A43/EXP(-$B$126))</f>
        <v>1.1845870783214359E-2</v>
      </c>
      <c r="AB157" s="3">
        <f t="shared" si="92"/>
        <v>1.184247885103153E-2</v>
      </c>
      <c r="AC157" s="3">
        <f t="shared" si="92"/>
        <v>1.1808612901637008E-2</v>
      </c>
      <c r="AD157" s="3">
        <f t="shared" si="92"/>
        <v>1.1475234527963039E-2</v>
      </c>
      <c r="AE157" s="3">
        <f t="shared" si="92"/>
        <v>8.6176412606411949E-3</v>
      </c>
      <c r="AF157" s="3">
        <f t="shared" si="92"/>
        <v>4.9165087810045601E-4</v>
      </c>
    </row>
    <row r="158" spans="1:32" x14ac:dyDescent="0.25">
      <c r="B158" s="3">
        <f t="shared" ref="B158:Z158" si="93">$C44*EXP(-B$129/$A44/EXP(-$B$126))</f>
        <v>4.239833197731321E-3</v>
      </c>
      <c r="C158" s="3">
        <f t="shared" si="93"/>
        <v>4.239833197731321E-3</v>
      </c>
      <c r="D158" s="3">
        <f t="shared" si="93"/>
        <v>4.239833197731321E-3</v>
      </c>
      <c r="E158" s="3">
        <f t="shared" si="93"/>
        <v>4.239833197731321E-3</v>
      </c>
      <c r="F158" s="3">
        <f t="shared" si="93"/>
        <v>4.239833197731321E-3</v>
      </c>
      <c r="G158" s="3">
        <f t="shared" si="93"/>
        <v>4.239833197731321E-3</v>
      </c>
      <c r="H158" s="3">
        <f t="shared" si="93"/>
        <v>4.239833197731321E-3</v>
      </c>
      <c r="I158" s="3">
        <f t="shared" si="93"/>
        <v>4.239833197731321E-3</v>
      </c>
      <c r="J158" s="3">
        <f t="shared" si="93"/>
        <v>4.239833197731321E-3</v>
      </c>
      <c r="K158" s="3">
        <f t="shared" si="93"/>
        <v>4.239833197731321E-3</v>
      </c>
      <c r="L158" s="3">
        <f t="shared" si="93"/>
        <v>4.239833197731321E-3</v>
      </c>
      <c r="M158" s="3">
        <f t="shared" si="93"/>
        <v>4.239833197731321E-3</v>
      </c>
      <c r="N158" s="3">
        <f t="shared" si="93"/>
        <v>4.239833197731321E-3</v>
      </c>
      <c r="O158" s="3">
        <f t="shared" si="93"/>
        <v>4.239833197731321E-3</v>
      </c>
      <c r="P158" s="3">
        <f t="shared" si="93"/>
        <v>4.239833197731321E-3</v>
      </c>
      <c r="Q158" s="3">
        <f t="shared" si="93"/>
        <v>4.2398331977313193E-3</v>
      </c>
      <c r="R158" s="3">
        <f t="shared" si="93"/>
        <v>4.2398331977313072E-3</v>
      </c>
      <c r="S158" s="3">
        <f t="shared" si="93"/>
        <v>4.2398331977311857E-3</v>
      </c>
      <c r="T158" s="3">
        <f t="shared" si="93"/>
        <v>4.2398331977299723E-3</v>
      </c>
      <c r="U158" s="3">
        <f t="shared" si="93"/>
        <v>4.2398331977178301E-3</v>
      </c>
      <c r="V158" s="3">
        <f t="shared" si="93"/>
        <v>4.2398331975964099E-3</v>
      </c>
      <c r="W158" s="3">
        <f t="shared" si="93"/>
        <v>4.2398331963822066E-3</v>
      </c>
      <c r="X158" s="3">
        <f t="shared" si="93"/>
        <v>4.2398331842401823E-3</v>
      </c>
      <c r="Y158" s="3">
        <f t="shared" si="93"/>
        <v>4.2398330628199334E-3</v>
      </c>
      <c r="Z158" s="3">
        <f t="shared" si="93"/>
        <v>4.2398318486176374E-3</v>
      </c>
      <c r="AA158" s="3">
        <f t="shared" ref="AA158:AF158" si="94">$C44*EXP(-AA$129/$A44/EXP(-$B$126))</f>
        <v>4.2398197066138045E-3</v>
      </c>
      <c r="AB158" s="3">
        <f t="shared" si="94"/>
        <v>4.2396982884879272E-3</v>
      </c>
      <c r="AC158" s="3">
        <f t="shared" si="94"/>
        <v>4.2384842984543218E-3</v>
      </c>
      <c r="AD158" s="3">
        <f t="shared" si="94"/>
        <v>4.226363500387755E-3</v>
      </c>
      <c r="AE158" s="3">
        <f t="shared" si="94"/>
        <v>4.1070456599224311E-3</v>
      </c>
      <c r="AF158" s="3">
        <f t="shared" si="94"/>
        <v>3.0842982818380343E-3</v>
      </c>
    </row>
    <row r="159" spans="1:32" x14ac:dyDescent="0.25">
      <c r="A159" s="11" t="s">
        <v>75</v>
      </c>
      <c r="B159" s="3">
        <f t="shared" ref="B159:Z159" si="95">$C45*EXP(-B$129/$A45/EXP(-$B$126))</f>
        <v>3.1413173103933909E-3</v>
      </c>
      <c r="C159" s="3">
        <f t="shared" si="95"/>
        <v>3.1413173103933909E-3</v>
      </c>
      <c r="D159" s="3">
        <f t="shared" si="95"/>
        <v>3.1413173103933909E-3</v>
      </c>
      <c r="E159" s="3">
        <f t="shared" si="95"/>
        <v>3.1413173103933909E-3</v>
      </c>
      <c r="F159" s="3">
        <f t="shared" si="95"/>
        <v>3.1413173103933909E-3</v>
      </c>
      <c r="G159" s="3">
        <f t="shared" si="95"/>
        <v>3.1413173103933909E-3</v>
      </c>
      <c r="H159" s="3">
        <f t="shared" si="95"/>
        <v>3.1413173103933909E-3</v>
      </c>
      <c r="I159" s="3">
        <f t="shared" si="95"/>
        <v>3.1413173103933909E-3</v>
      </c>
      <c r="J159" s="3">
        <f t="shared" si="95"/>
        <v>3.1413173103933909E-3</v>
      </c>
      <c r="K159" s="3">
        <f t="shared" si="95"/>
        <v>3.1413173103933909E-3</v>
      </c>
      <c r="L159" s="3">
        <f t="shared" si="95"/>
        <v>3.1413173103933909E-3</v>
      </c>
      <c r="M159" s="3">
        <f t="shared" si="95"/>
        <v>3.1413173103933909E-3</v>
      </c>
      <c r="N159" s="3">
        <f t="shared" si="95"/>
        <v>3.1413173103933909E-3</v>
      </c>
      <c r="O159" s="3">
        <f t="shared" si="95"/>
        <v>3.1413173103933909E-3</v>
      </c>
      <c r="P159" s="3">
        <f t="shared" si="95"/>
        <v>3.1413173103933909E-3</v>
      </c>
      <c r="Q159" s="3">
        <f t="shared" si="95"/>
        <v>3.1413173103933909E-3</v>
      </c>
      <c r="R159" s="3">
        <f t="shared" si="95"/>
        <v>3.1413173103933901E-3</v>
      </c>
      <c r="S159" s="3">
        <f t="shared" si="95"/>
        <v>3.1413173103933809E-3</v>
      </c>
      <c r="T159" s="3">
        <f t="shared" si="95"/>
        <v>3.1413173103932907E-3</v>
      </c>
      <c r="U159" s="3">
        <f t="shared" si="95"/>
        <v>3.1413173103923913E-3</v>
      </c>
      <c r="V159" s="3">
        <f t="shared" si="95"/>
        <v>3.141317310383395E-3</v>
      </c>
      <c r="W159" s="3">
        <f t="shared" si="95"/>
        <v>3.1413173102934344E-3</v>
      </c>
      <c r="X159" s="3">
        <f t="shared" si="95"/>
        <v>3.1413173093938242E-3</v>
      </c>
      <c r="Y159" s="3">
        <f t="shared" si="95"/>
        <v>3.1413173003977269E-3</v>
      </c>
      <c r="Z159" s="3">
        <f t="shared" si="95"/>
        <v>3.1413172104367516E-3</v>
      </c>
      <c r="AA159" s="3">
        <f t="shared" ref="AA159:AF159" si="96">$C45*EXP(-AA$129/$A45/EXP(-$B$126))</f>
        <v>3.1413163108271417E-3</v>
      </c>
      <c r="AB159" s="3">
        <f t="shared" si="96"/>
        <v>3.1413073147452098E-3</v>
      </c>
      <c r="AC159" s="3">
        <f t="shared" si="96"/>
        <v>3.1412173553428406E-3</v>
      </c>
      <c r="AD159" s="3">
        <f t="shared" si="96"/>
        <v>3.1403179029989956E-3</v>
      </c>
      <c r="AE159" s="3">
        <f t="shared" si="96"/>
        <v>3.1313375325441716E-3</v>
      </c>
      <c r="AF159" s="3">
        <f t="shared" si="96"/>
        <v>3.0429342439683292E-3</v>
      </c>
    </row>
    <row r="160" spans="1:32" x14ac:dyDescent="0.25">
      <c r="B160" s="3">
        <f t="shared" ref="B160:Z160" si="97">$C46*EXP(-B$129/$A46/EXP(-$B$126))</f>
        <v>2.257189619316161E-3</v>
      </c>
      <c r="C160" s="3">
        <f t="shared" si="97"/>
        <v>2.257189619316161E-3</v>
      </c>
      <c r="D160" s="3">
        <f t="shared" si="97"/>
        <v>2.257189619316161E-3</v>
      </c>
      <c r="E160" s="3">
        <f t="shared" si="97"/>
        <v>2.257189619316161E-3</v>
      </c>
      <c r="F160" s="3">
        <f t="shared" si="97"/>
        <v>2.257189619316161E-3</v>
      </c>
      <c r="G160" s="3">
        <f t="shared" si="97"/>
        <v>2.257189619316161E-3</v>
      </c>
      <c r="H160" s="3">
        <f t="shared" si="97"/>
        <v>2.257189619316161E-3</v>
      </c>
      <c r="I160" s="3">
        <f t="shared" si="97"/>
        <v>2.257189619316161E-3</v>
      </c>
      <c r="J160" s="3">
        <f t="shared" si="97"/>
        <v>2.257189619316161E-3</v>
      </c>
      <c r="K160" s="3">
        <f t="shared" si="97"/>
        <v>2.257189619316161E-3</v>
      </c>
      <c r="L160" s="3">
        <f t="shared" si="97"/>
        <v>2.257189619316161E-3</v>
      </c>
      <c r="M160" s="3">
        <f t="shared" si="97"/>
        <v>2.257189619316161E-3</v>
      </c>
      <c r="N160" s="3">
        <f t="shared" si="97"/>
        <v>2.257189619316161E-3</v>
      </c>
      <c r="O160" s="3">
        <f t="shared" si="97"/>
        <v>2.257189619316161E-3</v>
      </c>
      <c r="P160" s="3">
        <f t="shared" si="97"/>
        <v>2.257189619316161E-3</v>
      </c>
      <c r="Q160" s="3">
        <f t="shared" si="97"/>
        <v>2.257189619316161E-3</v>
      </c>
      <c r="R160" s="3">
        <f t="shared" si="97"/>
        <v>2.257189619316161E-3</v>
      </c>
      <c r="S160" s="3">
        <f t="shared" si="97"/>
        <v>2.2571896193161601E-3</v>
      </c>
      <c r="T160" s="3">
        <f t="shared" si="97"/>
        <v>2.2571896193161536E-3</v>
      </c>
      <c r="U160" s="3">
        <f t="shared" si="97"/>
        <v>2.257189619316089E-3</v>
      </c>
      <c r="V160" s="3">
        <f t="shared" si="97"/>
        <v>2.2571896193154428E-3</v>
      </c>
      <c r="W160" s="3">
        <f t="shared" si="97"/>
        <v>2.2571896193089788E-3</v>
      </c>
      <c r="X160" s="3">
        <f t="shared" si="97"/>
        <v>2.2571896192443374E-3</v>
      </c>
      <c r="Y160" s="3">
        <f t="shared" si="97"/>
        <v>2.2571896185979239E-3</v>
      </c>
      <c r="Z160" s="3">
        <f t="shared" si="97"/>
        <v>2.2571896121337891E-3</v>
      </c>
      <c r="AA160" s="3">
        <f t="shared" ref="AA160:AF160" si="98">$C46*EXP(-AA$129/$A46/EXP(-$B$126))</f>
        <v>2.257189547492443E-3</v>
      </c>
      <c r="AB160" s="3">
        <f t="shared" si="98"/>
        <v>2.2571889010790844E-3</v>
      </c>
      <c r="AC160" s="3">
        <f t="shared" si="98"/>
        <v>2.2571824369556786E-3</v>
      </c>
      <c r="AD160" s="3">
        <f t="shared" si="98"/>
        <v>2.2571177967397682E-3</v>
      </c>
      <c r="AE160" s="3">
        <f t="shared" si="98"/>
        <v>2.2564714963845384E-3</v>
      </c>
      <c r="AF160" s="3">
        <f t="shared" si="98"/>
        <v>2.2500186624409011E-3</v>
      </c>
    </row>
    <row r="161" spans="1:34" x14ac:dyDescent="0.25">
      <c r="A161" s="11" t="s">
        <v>75</v>
      </c>
      <c r="B161" s="3">
        <f t="shared" ref="B161:Z161" si="99">$C47*EXP(-B$129/$A47/EXP(-$B$126))</f>
        <v>3.6224207496198294E-4</v>
      </c>
      <c r="C161" s="3">
        <f t="shared" si="99"/>
        <v>3.6224207496198294E-4</v>
      </c>
      <c r="D161" s="3">
        <f t="shared" si="99"/>
        <v>3.6224207496198294E-4</v>
      </c>
      <c r="E161" s="3">
        <f t="shared" si="99"/>
        <v>3.6224207496198294E-4</v>
      </c>
      <c r="F161" s="3">
        <f t="shared" si="99"/>
        <v>3.6224207496198294E-4</v>
      </c>
      <c r="G161" s="3">
        <f t="shared" si="99"/>
        <v>3.6224207496198294E-4</v>
      </c>
      <c r="H161" s="3">
        <f t="shared" si="99"/>
        <v>3.6224207496198294E-4</v>
      </c>
      <c r="I161" s="3">
        <f t="shared" si="99"/>
        <v>3.6224207496198294E-4</v>
      </c>
      <c r="J161" s="3">
        <f t="shared" si="99"/>
        <v>3.6224207496198294E-4</v>
      </c>
      <c r="K161" s="3">
        <f t="shared" si="99"/>
        <v>3.6224207496198294E-4</v>
      </c>
      <c r="L161" s="3">
        <f t="shared" si="99"/>
        <v>3.6224207496198294E-4</v>
      </c>
      <c r="M161" s="3">
        <f t="shared" si="99"/>
        <v>3.6224207496198294E-4</v>
      </c>
      <c r="N161" s="3">
        <f t="shared" si="99"/>
        <v>3.6224207496198294E-4</v>
      </c>
      <c r="O161" s="3">
        <f t="shared" si="99"/>
        <v>3.6224207496198294E-4</v>
      </c>
      <c r="P161" s="3">
        <f t="shared" si="99"/>
        <v>3.6224207496198294E-4</v>
      </c>
      <c r="Q161" s="3">
        <f t="shared" si="99"/>
        <v>3.6224207496198294E-4</v>
      </c>
      <c r="R161" s="3">
        <f t="shared" si="99"/>
        <v>3.6224207496198294E-4</v>
      </c>
      <c r="S161" s="3">
        <f t="shared" si="99"/>
        <v>3.6224207496198294E-4</v>
      </c>
      <c r="T161" s="3">
        <f t="shared" si="99"/>
        <v>3.6224207496198283E-4</v>
      </c>
      <c r="U161" s="3">
        <f t="shared" si="99"/>
        <v>3.6224207496198175E-4</v>
      </c>
      <c r="V161" s="3">
        <f t="shared" si="99"/>
        <v>3.622420749619714E-4</v>
      </c>
      <c r="W161" s="3">
        <f t="shared" si="99"/>
        <v>3.6224207496186769E-4</v>
      </c>
      <c r="X161" s="3">
        <f t="shared" si="99"/>
        <v>3.6224207496083027E-4</v>
      </c>
      <c r="Y161" s="3">
        <f t="shared" si="99"/>
        <v>3.6224207495045641E-4</v>
      </c>
      <c r="Z161" s="3">
        <f t="shared" si="99"/>
        <v>3.6224207484671756E-4</v>
      </c>
      <c r="AA161" s="3">
        <f t="shared" ref="AA161:AF161" si="100">$C47*EXP(-AA$129/$A47/EXP(-$B$126))</f>
        <v>3.6224207380932956E-4</v>
      </c>
      <c r="AB161" s="3">
        <f t="shared" si="100"/>
        <v>3.6224206343544904E-4</v>
      </c>
      <c r="AC161" s="3">
        <f t="shared" si="100"/>
        <v>3.6224195969666065E-4</v>
      </c>
      <c r="AD161" s="3">
        <f t="shared" si="100"/>
        <v>3.6224092231041039E-4</v>
      </c>
      <c r="AE161" s="3">
        <f t="shared" si="100"/>
        <v>3.6223054861130374E-4</v>
      </c>
      <c r="AF161" s="3">
        <f t="shared" si="100"/>
        <v>3.6212682795809693E-4</v>
      </c>
    </row>
    <row r="162" spans="1:34" x14ac:dyDescent="0.25">
      <c r="B162" s="3">
        <f t="shared" ref="B162:Z162" si="101">$C48*EXP(-B$129/$A48/EXP(-$B$126))</f>
        <v>0</v>
      </c>
      <c r="C162" s="3">
        <f t="shared" si="101"/>
        <v>0</v>
      </c>
      <c r="D162" s="3">
        <f t="shared" si="101"/>
        <v>0</v>
      </c>
      <c r="E162" s="3">
        <f t="shared" si="101"/>
        <v>0</v>
      </c>
      <c r="F162" s="3">
        <f t="shared" si="101"/>
        <v>0</v>
      </c>
      <c r="G162" s="3">
        <f t="shared" si="101"/>
        <v>0</v>
      </c>
      <c r="H162" s="3">
        <f t="shared" si="101"/>
        <v>0</v>
      </c>
      <c r="I162" s="3">
        <f t="shared" si="101"/>
        <v>0</v>
      </c>
      <c r="J162" s="3">
        <f t="shared" si="101"/>
        <v>0</v>
      </c>
      <c r="K162" s="3">
        <f t="shared" si="101"/>
        <v>0</v>
      </c>
      <c r="L162" s="3">
        <f t="shared" si="101"/>
        <v>0</v>
      </c>
      <c r="M162" s="3">
        <f t="shared" si="101"/>
        <v>0</v>
      </c>
      <c r="N162" s="3">
        <f t="shared" si="101"/>
        <v>0</v>
      </c>
      <c r="O162" s="3">
        <f t="shared" si="101"/>
        <v>0</v>
      </c>
      <c r="P162" s="3">
        <f t="shared" si="101"/>
        <v>0</v>
      </c>
      <c r="Q162" s="3">
        <f t="shared" si="101"/>
        <v>0</v>
      </c>
      <c r="R162" s="3">
        <f t="shared" si="101"/>
        <v>0</v>
      </c>
      <c r="S162" s="3">
        <f t="shared" si="101"/>
        <v>0</v>
      </c>
      <c r="T162" s="3">
        <f t="shared" si="101"/>
        <v>0</v>
      </c>
      <c r="U162" s="3">
        <f t="shared" si="101"/>
        <v>0</v>
      </c>
      <c r="V162" s="3">
        <f t="shared" si="101"/>
        <v>0</v>
      </c>
      <c r="W162" s="3">
        <f t="shared" si="101"/>
        <v>0</v>
      </c>
      <c r="X162" s="3">
        <f t="shared" si="101"/>
        <v>0</v>
      </c>
      <c r="Y162" s="3">
        <f t="shared" si="101"/>
        <v>0</v>
      </c>
      <c r="Z162" s="3">
        <f t="shared" si="101"/>
        <v>0</v>
      </c>
      <c r="AA162" s="3">
        <f t="shared" ref="AA162:AF162" si="102">$C48*EXP(-AA$129/$A48/EXP(-$B$126))</f>
        <v>0</v>
      </c>
      <c r="AB162" s="3">
        <f t="shared" si="102"/>
        <v>0</v>
      </c>
      <c r="AC162" s="3">
        <f t="shared" si="102"/>
        <v>0</v>
      </c>
      <c r="AD162" s="3">
        <f t="shared" si="102"/>
        <v>0</v>
      </c>
      <c r="AE162" s="3">
        <f t="shared" si="102"/>
        <v>0</v>
      </c>
      <c r="AF162" s="3">
        <f t="shared" si="102"/>
        <v>0</v>
      </c>
    </row>
    <row r="163" spans="1:34" x14ac:dyDescent="0.25">
      <c r="A163" s="80">
        <f>AVERAGE(B163:AF163)</f>
        <v>1.0095225696989323E-2</v>
      </c>
      <c r="B163" s="81">
        <f>IF($A$64&lt;=B129,IF($B$64&gt;=B129,ABS((B131-B130)/B130),0),0)</f>
        <v>7.4156283262062778E-2</v>
      </c>
      <c r="C163" s="81">
        <f t="shared" ref="C163:AF163" si="103">IF($A$64&lt;=C129,IF($B$64&gt;=C129,ABS((C131-C130)/C130),0),0)</f>
        <v>6.6123419710674564E-2</v>
      </c>
      <c r="D163" s="81">
        <f t="shared" si="103"/>
        <v>3.6165753687289061E-2</v>
      </c>
      <c r="E163" s="81">
        <f t="shared" si="103"/>
        <v>1.5159664704633136E-2</v>
      </c>
      <c r="F163" s="81">
        <f t="shared" si="103"/>
        <v>2.2720243502999762E-3</v>
      </c>
      <c r="G163" s="81">
        <f t="shared" si="103"/>
        <v>1.9775077290649736E-3</v>
      </c>
      <c r="H163" s="81">
        <f t="shared" si="103"/>
        <v>5.1581154433282426E-3</v>
      </c>
      <c r="I163" s="81">
        <f t="shared" si="103"/>
        <v>1.2817534811740933E-3</v>
      </c>
      <c r="J163" s="81">
        <f t="shared" si="103"/>
        <v>2.6391465714964272E-3</v>
      </c>
      <c r="K163" s="81">
        <f t="shared" si="103"/>
        <v>1.1940649762731382E-3</v>
      </c>
      <c r="L163" s="81">
        <f t="shared" si="103"/>
        <v>2.6740066258526796E-3</v>
      </c>
      <c r="M163" s="81">
        <f t="shared" si="103"/>
        <v>2.3694133966162727E-3</v>
      </c>
      <c r="N163" s="81">
        <f t="shared" si="103"/>
        <v>1.9267101336456047E-3</v>
      </c>
      <c r="O163" s="81">
        <f t="shared" si="103"/>
        <v>2.3212116718056243E-3</v>
      </c>
      <c r="P163" s="81">
        <f t="shared" si="103"/>
        <v>3.030786668206224E-3</v>
      </c>
      <c r="Q163" s="81">
        <f t="shared" si="103"/>
        <v>4.0982501430889369E-3</v>
      </c>
      <c r="R163" s="81">
        <f t="shared" si="103"/>
        <v>3.058701912513354E-3</v>
      </c>
      <c r="S163" s="81">
        <f t="shared" si="103"/>
        <v>4.834390786809928E-3</v>
      </c>
      <c r="T163" s="81">
        <f t="shared" si="103"/>
        <v>2.7540612156528852E-3</v>
      </c>
      <c r="U163" s="81">
        <f t="shared" si="103"/>
        <v>4.0748154560842527E-3</v>
      </c>
      <c r="V163" s="81">
        <f t="shared" si="103"/>
        <v>4.3441373969711804E-4</v>
      </c>
      <c r="W163" s="81">
        <f t="shared" si="103"/>
        <v>8.1771818904793035E-4</v>
      </c>
      <c r="X163" s="81">
        <f t="shared" si="103"/>
        <v>3.4063328594139382E-3</v>
      </c>
      <c r="Y163" s="81">
        <f t="shared" si="103"/>
        <v>5.9514779840246839E-3</v>
      </c>
      <c r="Z163" s="81">
        <f t="shared" si="103"/>
        <v>2.4789761323053697E-3</v>
      </c>
      <c r="AA163" s="81">
        <f t="shared" si="103"/>
        <v>3.4814004042359209E-2</v>
      </c>
      <c r="AB163" s="81">
        <f t="shared" si="103"/>
        <v>6.4608575411926709E-3</v>
      </c>
      <c r="AC163" s="81">
        <f t="shared" si="103"/>
        <v>1.2069665019279646E-2</v>
      </c>
      <c r="AD163" s="81">
        <f t="shared" si="103"/>
        <v>6.4147182893062706E-3</v>
      </c>
      <c r="AE163" s="81">
        <f t="shared" si="103"/>
        <v>1.3022267050869819E-3</v>
      </c>
      <c r="AF163" s="81">
        <f t="shared" si="103"/>
        <v>1.5315241783829441E-3</v>
      </c>
    </row>
    <row r="164" spans="1:34" x14ac:dyDescent="0.25">
      <c r="B164" s="21">
        <f>(B131-B130)^2</f>
        <v>574228.25521839748</v>
      </c>
      <c r="C164" s="21">
        <f t="shared" ref="C164:AF164" si="104">(C131-C130)^2</f>
        <v>448737.75118904148</v>
      </c>
      <c r="D164" s="21">
        <f t="shared" si="104"/>
        <v>126014.57743162444</v>
      </c>
      <c r="E164" s="21">
        <f t="shared" si="104"/>
        <v>21192.100736181252</v>
      </c>
      <c r="F164" s="21">
        <f t="shared" si="104"/>
        <v>456.51054848516804</v>
      </c>
      <c r="G164" s="21">
        <f t="shared" si="104"/>
        <v>329.95497627965455</v>
      </c>
      <c r="H164" s="21">
        <f t="shared" si="104"/>
        <v>2134.261632041821</v>
      </c>
      <c r="I164" s="21">
        <f t="shared" si="104"/>
        <v>124.18038645994844</v>
      </c>
      <c r="J164" s="21">
        <f t="shared" si="104"/>
        <v>494.0688037453902</v>
      </c>
      <c r="K164" s="21">
        <f t="shared" si="104"/>
        <v>93.988155159720648</v>
      </c>
      <c r="L164" s="21">
        <f t="shared" si="104"/>
        <v>440.47186388219387</v>
      </c>
      <c r="M164" s="21">
        <f t="shared" si="104"/>
        <v>321.00060001980717</v>
      </c>
      <c r="N164" s="21">
        <f t="shared" si="104"/>
        <v>193.0878174734369</v>
      </c>
      <c r="O164" s="21">
        <f t="shared" si="104"/>
        <v>251.05589085189524</v>
      </c>
      <c r="P164" s="21">
        <f t="shared" si="104"/>
        <v>384.36317412148588</v>
      </c>
      <c r="Q164" s="21">
        <f t="shared" si="104"/>
        <v>642.52164968461125</v>
      </c>
      <c r="R164" s="21">
        <f t="shared" si="104"/>
        <v>325.22977778665779</v>
      </c>
      <c r="S164" s="21">
        <f t="shared" si="104"/>
        <v>738.23068942547945</v>
      </c>
      <c r="T164" s="21">
        <f t="shared" si="104"/>
        <v>215.54049211257387</v>
      </c>
      <c r="U164" s="21">
        <f t="shared" si="104"/>
        <v>424.53044478604681</v>
      </c>
      <c r="V164" s="21">
        <f t="shared" si="104"/>
        <v>4.1432707719436372</v>
      </c>
      <c r="W164" s="21">
        <f t="shared" si="104"/>
        <v>12.202118329540577</v>
      </c>
      <c r="X164" s="21">
        <f t="shared" si="104"/>
        <v>168.20821177587456</v>
      </c>
      <c r="Y164" s="21">
        <f t="shared" si="104"/>
        <v>393.58413061151998</v>
      </c>
      <c r="Z164" s="21">
        <f t="shared" si="104"/>
        <v>48.660042250935582</v>
      </c>
      <c r="AA164" s="21">
        <f t="shared" si="104"/>
        <v>6215.5777894024577</v>
      </c>
      <c r="AB164" s="21">
        <f t="shared" si="104"/>
        <v>119.46129720855629</v>
      </c>
      <c r="AC164" s="21">
        <f t="shared" si="104"/>
        <v>220.52004930488303</v>
      </c>
      <c r="AD164" s="21">
        <f t="shared" si="104"/>
        <v>32.46625428143836</v>
      </c>
      <c r="AE164" s="21">
        <f t="shared" si="104"/>
        <v>0.85212252660063226</v>
      </c>
      <c r="AF164" s="21">
        <f t="shared" si="104"/>
        <v>0.86469958577934336</v>
      </c>
    </row>
    <row r="165" spans="1:34" x14ac:dyDescent="0.25">
      <c r="A165" s="72">
        <f>SUM(B165:AF165)</f>
        <v>1184958.2214636097</v>
      </c>
      <c r="B165" s="60">
        <f>IF($A$64&lt;=B129,IF($B$64&gt;=B129,ABS(B164),0),0)</f>
        <v>574228.25521839748</v>
      </c>
      <c r="C165" s="60">
        <f t="shared" ref="C165:AF165" si="105">IF($A$64&lt;=C129,IF($B$64&gt;=C129,ABS(C164),0),0)</f>
        <v>448737.75118904148</v>
      </c>
      <c r="D165" s="60">
        <f t="shared" si="105"/>
        <v>126014.57743162444</v>
      </c>
      <c r="E165" s="60">
        <f t="shared" si="105"/>
        <v>21192.100736181252</v>
      </c>
      <c r="F165" s="60">
        <f t="shared" si="105"/>
        <v>456.51054848516804</v>
      </c>
      <c r="G165" s="60">
        <f t="shared" si="105"/>
        <v>329.95497627965455</v>
      </c>
      <c r="H165" s="60">
        <f t="shared" si="105"/>
        <v>2134.261632041821</v>
      </c>
      <c r="I165" s="60">
        <f t="shared" si="105"/>
        <v>124.18038645994844</v>
      </c>
      <c r="J165" s="60">
        <f t="shared" si="105"/>
        <v>494.0688037453902</v>
      </c>
      <c r="K165" s="60">
        <f t="shared" si="105"/>
        <v>93.988155159720648</v>
      </c>
      <c r="L165" s="60">
        <f t="shared" si="105"/>
        <v>440.47186388219387</v>
      </c>
      <c r="M165" s="60">
        <f t="shared" si="105"/>
        <v>321.00060001980717</v>
      </c>
      <c r="N165" s="60">
        <f t="shared" si="105"/>
        <v>193.0878174734369</v>
      </c>
      <c r="O165" s="60">
        <f t="shared" si="105"/>
        <v>251.05589085189524</v>
      </c>
      <c r="P165" s="60">
        <f t="shared" si="105"/>
        <v>384.36317412148588</v>
      </c>
      <c r="Q165" s="60">
        <f t="shared" si="105"/>
        <v>642.52164968461125</v>
      </c>
      <c r="R165" s="60">
        <f t="shared" si="105"/>
        <v>325.22977778665779</v>
      </c>
      <c r="S165" s="60">
        <f t="shared" si="105"/>
        <v>738.23068942547945</v>
      </c>
      <c r="T165" s="60">
        <f t="shared" si="105"/>
        <v>215.54049211257387</v>
      </c>
      <c r="U165" s="60">
        <f t="shared" si="105"/>
        <v>424.53044478604681</v>
      </c>
      <c r="V165" s="60">
        <f t="shared" si="105"/>
        <v>4.1432707719436372</v>
      </c>
      <c r="W165" s="60">
        <f t="shared" si="105"/>
        <v>12.202118329540577</v>
      </c>
      <c r="X165" s="60">
        <f t="shared" si="105"/>
        <v>168.20821177587456</v>
      </c>
      <c r="Y165" s="60">
        <f t="shared" si="105"/>
        <v>393.58413061151998</v>
      </c>
      <c r="Z165" s="60">
        <f t="shared" si="105"/>
        <v>48.660042250935582</v>
      </c>
      <c r="AA165" s="60">
        <f t="shared" si="105"/>
        <v>6215.5777894024577</v>
      </c>
      <c r="AB165" s="60">
        <f t="shared" si="105"/>
        <v>119.46129720855629</v>
      </c>
      <c r="AC165" s="60">
        <f t="shared" si="105"/>
        <v>220.52004930488303</v>
      </c>
      <c r="AD165" s="60">
        <f t="shared" si="105"/>
        <v>32.46625428143836</v>
      </c>
      <c r="AE165" s="60">
        <f t="shared" si="105"/>
        <v>0.85212252660063226</v>
      </c>
      <c r="AF165" s="60">
        <f t="shared" si="105"/>
        <v>0.86469958577934336</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10065.543251576082</v>
      </c>
      <c r="C169" s="26">
        <f>INDEX(Comparison!$AM$3:$AS$33,G$14,$C$122)</f>
        <v>9708.7484211633309</v>
      </c>
      <c r="D169" s="26">
        <f>INDEX(Comparison!$AM$3:$AS$33,H$14,$C$122)</f>
        <v>9504.080552546171</v>
      </c>
      <c r="E169" s="26">
        <f>INDEX(Comparison!$AM$3:$AS$33,I$14,$C$122)</f>
        <v>9297.6034614201999</v>
      </c>
      <c r="F169" s="26">
        <f>INDEX(Comparison!$AM$3:$AS$33,J$14,$C$122)</f>
        <v>9077.0448832845814</v>
      </c>
      <c r="G169" s="26">
        <f>INDEX(Comparison!$AM$3:$AS$33,K$14,$C$122)</f>
        <v>8833.9901329277236</v>
      </c>
      <c r="H169" s="26">
        <f>INDEX(Comparison!$AM$3:$AS$33,L$14,$C$122)</f>
        <v>8570.1980588932365</v>
      </c>
      <c r="I169" s="26">
        <f>INDEX(Comparison!$AM$3:$AS$33,M$14,$C$122)</f>
        <v>8282.9223634397895</v>
      </c>
      <c r="J169" s="26">
        <f>INDEX(Comparison!$AM$3:$AS$33,N$14,$C$122)</f>
        <v>7993.641154385381</v>
      </c>
      <c r="K169" s="26">
        <f>INDEX(Comparison!$AM$3:$AS$33,O$14,$C$122)</f>
        <v>7722.5102431706819</v>
      </c>
      <c r="L169" s="26">
        <f>INDEX(Comparison!$AM$3:$AS$33,P$14,$C$122)</f>
        <v>7411.9254661857585</v>
      </c>
      <c r="M169" s="26">
        <f>INDEX(Comparison!$AM$3:$AS$33,Q$14,$C$122)</f>
        <v>7044.5082173262499</v>
      </c>
      <c r="N169" s="26">
        <f>INDEX(Comparison!$AM$3:$AS$33,R$14,$C$122)</f>
        <v>6664.4913259208079</v>
      </c>
      <c r="O169" s="26">
        <f>INDEX(Comparison!$AM$3:$AS$33,S$14,$C$122)</f>
        <v>6341.2106146502829</v>
      </c>
      <c r="P169" s="26">
        <f>INDEX(Comparison!$AM$3:$AS$33,T$14,$C$122)</f>
        <v>6057.8856031721252</v>
      </c>
      <c r="Q169" s="26">
        <f>INDEX(Comparison!$AM$3:$AS$33,U$14,$C$122)</f>
        <v>5776.2920069159836</v>
      </c>
      <c r="R169" s="26">
        <f>INDEX(Comparison!$AM$3:$AS$33,V$14,$C$122)</f>
        <v>5493.3830678495879</v>
      </c>
      <c r="S169" s="26">
        <f>INDEX(Comparison!$AM$3:$AS$33,W$14,$C$122)</f>
        <v>5215.5329419319251</v>
      </c>
      <c r="T169" s="26">
        <f>INDEX(Comparison!$AM$3:$AS$33,X$14,$C$122)</f>
        <v>4897.7071873573095</v>
      </c>
      <c r="U169" s="26">
        <f>INDEX(Comparison!$AM$3:$AS$33,Y$14,$C$122)</f>
        <v>4495.7217042422935</v>
      </c>
      <c r="V169" s="26">
        <f>INDEX(Comparison!$AM$3:$AS$33,Z$14,$C$122)</f>
        <v>4059.1954090175182</v>
      </c>
      <c r="W169" s="26">
        <f>INDEX(Comparison!$AM$3:$AS$33,AA$14,$C$122)</f>
        <v>3597.5805592338243</v>
      </c>
      <c r="X169" s="26">
        <f>INDEX(Comparison!$AM$3:$AS$33,AB$14,$C$122)</f>
        <v>3113.2980023229825</v>
      </c>
      <c r="Y169" s="26">
        <f>INDEX(Comparison!$AM$3:$AS$33,AC$14,$C$122)</f>
        <v>2587.1664421745386</v>
      </c>
      <c r="Z169" s="26">
        <f>INDEX(Comparison!$AM$3:$AS$33,AD$14,$C$122)</f>
        <v>2025.5491425769458</v>
      </c>
      <c r="AA169" s="26">
        <f>INDEX(Comparison!$AM$3:$AS$33,AE$14,$C$122)</f>
        <v>1488.3947775442189</v>
      </c>
      <c r="AB169" s="26">
        <f>INDEX(Comparison!$AM$3:$AS$33,AF$14,$C$122)</f>
        <v>1075.2839868020503</v>
      </c>
      <c r="AC169" s="26">
        <f>INDEX(Comparison!$AM$3:$AS$33,AG$14,$C$122)</f>
        <v>799.60727676982128</v>
      </c>
      <c r="AD169" s="26">
        <f>INDEX(Comparison!$AM$3:$AS$33,AH$14,$C$122)</f>
        <v>660.84412890819806</v>
      </c>
      <c r="AE169" s="26">
        <f>INDEX(Comparison!$AM$3:$AS$33,AI$14,$C$122)</f>
        <v>587.16779346403064</v>
      </c>
      <c r="AF169" s="26">
        <f>INDEX(Comparison!$AM$3:$AS$33,AJ$14,$C$122)</f>
        <v>551.91226878266252</v>
      </c>
      <c r="AG169" s="26"/>
      <c r="AH169" s="26"/>
    </row>
    <row r="170" spans="1:34" x14ac:dyDescent="0.25">
      <c r="A170" s="71" t="s">
        <v>22</v>
      </c>
      <c r="B170" s="27">
        <f>($C$17+SUM(B171:B201))*$B$51</f>
        <v>9460.7924561812997</v>
      </c>
      <c r="C170" s="27">
        <f t="shared" ref="C170:AF170" si="106">($C$17+SUM(C171:C201))*$B$51</f>
        <v>9459.8793563999407</v>
      </c>
      <c r="D170" s="27">
        <f t="shared" si="106"/>
        <v>9450.8450016001716</v>
      </c>
      <c r="E170" s="27">
        <f t="shared" si="106"/>
        <v>9369.4839604257158</v>
      </c>
      <c r="F170" s="27">
        <f t="shared" si="106"/>
        <v>9033.4550820842014</v>
      </c>
      <c r="G170" s="27">
        <f t="shared" si="106"/>
        <v>8812.8136674971192</v>
      </c>
      <c r="H170" s="27">
        <f t="shared" si="106"/>
        <v>8549.4647262147482</v>
      </c>
      <c r="I170" s="27">
        <f t="shared" si="106"/>
        <v>8262.6634138291174</v>
      </c>
      <c r="J170" s="27">
        <f t="shared" si="106"/>
        <v>7976.5457153937396</v>
      </c>
      <c r="K170" s="27">
        <f t="shared" si="106"/>
        <v>7705.2913066672272</v>
      </c>
      <c r="L170" s="27">
        <f t="shared" si="106"/>
        <v>7396.7046505086764</v>
      </c>
      <c r="M170" s="27">
        <f t="shared" si="106"/>
        <v>7031.1455111247615</v>
      </c>
      <c r="N170" s="27">
        <f t="shared" si="106"/>
        <v>6653.1689816387452</v>
      </c>
      <c r="O170" s="27">
        <f t="shared" si="106"/>
        <v>6328.585088455834</v>
      </c>
      <c r="P170" s="27">
        <f t="shared" si="106"/>
        <v>6046.6428068178957</v>
      </c>
      <c r="Q170" s="27">
        <f t="shared" si="106"/>
        <v>5764.6677244470047</v>
      </c>
      <c r="R170" s="27">
        <f t="shared" si="106"/>
        <v>5482.8326238211375</v>
      </c>
      <c r="S170" s="27">
        <f t="shared" si="106"/>
        <v>5207.2751834749588</v>
      </c>
      <c r="T170" s="27">
        <f t="shared" si="106"/>
        <v>4902.8984807979596</v>
      </c>
      <c r="U170" s="27">
        <f t="shared" si="106"/>
        <v>4522.8864749851737</v>
      </c>
      <c r="V170" s="27">
        <f t="shared" si="106"/>
        <v>4090.4049675322044</v>
      </c>
      <c r="W170" s="27">
        <f t="shared" si="106"/>
        <v>3620.9377575447734</v>
      </c>
      <c r="X170" s="27">
        <f t="shared" si="106"/>
        <v>3130.0476493237538</v>
      </c>
      <c r="Y170" s="27">
        <f t="shared" si="106"/>
        <v>2591.2561899356806</v>
      </c>
      <c r="Z170" s="27">
        <f t="shared" si="106"/>
        <v>2043.7846359929056</v>
      </c>
      <c r="AA170" s="27">
        <f t="shared" si="106"/>
        <v>1493.8059783547171</v>
      </c>
      <c r="AB170" s="27">
        <f t="shared" si="106"/>
        <v>1082.4512886782322</v>
      </c>
      <c r="AC170" s="27">
        <f t="shared" si="106"/>
        <v>801.74082010311633</v>
      </c>
      <c r="AD170" s="27">
        <f t="shared" si="106"/>
        <v>662.35749192959304</v>
      </c>
      <c r="AE170" s="27">
        <f t="shared" si="106"/>
        <v>587.8854145879186</v>
      </c>
      <c r="AF170" s="27">
        <f t="shared" si="106"/>
        <v>552.13233966902931</v>
      </c>
      <c r="AG170" s="27"/>
      <c r="AH170" s="27"/>
    </row>
    <row r="171" spans="1:34" x14ac:dyDescent="0.25">
      <c r="B171" s="3">
        <f t="shared" ref="B171:AF171" si="107">$C18*EXP(-B$168/$A18/EXP(-$C$126))</f>
        <v>0</v>
      </c>
      <c r="C171" s="3">
        <f t="shared" si="107"/>
        <v>0</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4.2583206869805504E-2</v>
      </c>
      <c r="C172" s="3">
        <f t="shared" si="108"/>
        <v>4.2497397202656842E-2</v>
      </c>
      <c r="D172" s="3">
        <f t="shared" si="108"/>
        <v>4.1648753624797065E-2</v>
      </c>
      <c r="E172" s="3">
        <f t="shared" si="108"/>
        <v>3.4040723485058461E-2</v>
      </c>
      <c r="F172" s="3">
        <f t="shared" si="108"/>
        <v>4.5286265334072116E-3</v>
      </c>
      <c r="G172" s="3">
        <f t="shared" si="108"/>
        <v>7.8640045594522581E-12</v>
      </c>
      <c r="H172" s="3">
        <f t="shared" si="108"/>
        <v>1.9607230530577291E-99</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1.818959336830801E-2</v>
      </c>
      <c r="C173" s="3">
        <f t="shared" si="109"/>
        <v>1.8186283841793473E-2</v>
      </c>
      <c r="D173" s="3">
        <f t="shared" si="109"/>
        <v>1.8153221677136042E-2</v>
      </c>
      <c r="E173" s="3">
        <f t="shared" si="109"/>
        <v>1.7825887902106766E-2</v>
      </c>
      <c r="F173" s="3">
        <f t="shared" si="109"/>
        <v>1.486023823788819E-2</v>
      </c>
      <c r="G173" s="3">
        <f t="shared" si="109"/>
        <v>2.4086393719817121E-3</v>
      </c>
      <c r="H173" s="3">
        <f t="shared" si="109"/>
        <v>3.0146151115202945E-11</v>
      </c>
      <c r="I173" s="3">
        <f t="shared" si="109"/>
        <v>2.8433660848634501E-90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2.8233673670919734E-2</v>
      </c>
      <c r="C174" s="3">
        <f t="shared" si="110"/>
        <v>2.8233210231679174E-2</v>
      </c>
      <c r="D174" s="3">
        <f t="shared" si="110"/>
        <v>2.8228576257642631E-2</v>
      </c>
      <c r="E174" s="3">
        <f t="shared" si="110"/>
        <v>2.8182278328781458E-2</v>
      </c>
      <c r="F174" s="3">
        <f t="shared" si="110"/>
        <v>2.77234549079769E-2</v>
      </c>
      <c r="G174" s="3">
        <f t="shared" si="110"/>
        <v>2.3526637830711367E-2</v>
      </c>
      <c r="H174" s="3">
        <f t="shared" si="110"/>
        <v>4.5570629136707343E-3</v>
      </c>
      <c r="I174" s="3">
        <f t="shared" si="110"/>
        <v>3.3879469256777374E-10</v>
      </c>
      <c r="J174" s="3">
        <f t="shared" si="110"/>
        <v>1.747641449613604E-81</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2.9847576962166944E-2</v>
      </c>
      <c r="C175" s="3">
        <f t="shared" si="111"/>
        <v>2.9847532766028279E-2</v>
      </c>
      <c r="D175" s="3">
        <f t="shared" si="111"/>
        <v>2.9847090808240939E-2</v>
      </c>
      <c r="E175" s="3">
        <f t="shared" si="111"/>
        <v>2.9842671590279736E-2</v>
      </c>
      <c r="F175" s="3">
        <f t="shared" si="111"/>
        <v>2.9798515382174744E-2</v>
      </c>
      <c r="G175" s="3">
        <f t="shared" si="111"/>
        <v>2.9360530821947485E-2</v>
      </c>
      <c r="H175" s="3">
        <f t="shared" si="111"/>
        <v>2.531958958552382E-2</v>
      </c>
      <c r="I175" s="3">
        <f t="shared" si="111"/>
        <v>5.7594929134208083E-3</v>
      </c>
      <c r="J175" s="3">
        <f t="shared" si="111"/>
        <v>2.1362895353968395E-9</v>
      </c>
      <c r="K175" s="3">
        <f t="shared" si="111"/>
        <v>1.0529767007884055E-73</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2.9885282298061894E-2</v>
      </c>
      <c r="C176" s="3">
        <f t="shared" si="112"/>
        <v>2.988527830616337E-2</v>
      </c>
      <c r="D176" s="3">
        <f t="shared" si="112"/>
        <v>2.9885238387207452E-2</v>
      </c>
      <c r="E176" s="3">
        <f t="shared" si="112"/>
        <v>2.9884839200580941E-2</v>
      </c>
      <c r="F176" s="3">
        <f t="shared" si="112"/>
        <v>2.9880847627567524E-2</v>
      </c>
      <c r="G176" s="3">
        <f t="shared" si="112"/>
        <v>2.9840961208114664E-2</v>
      </c>
      <c r="H176" s="3">
        <f t="shared" si="112"/>
        <v>2.9445013647285464E-2</v>
      </c>
      <c r="I176" s="3">
        <f t="shared" si="112"/>
        <v>2.5763287407249161E-2</v>
      </c>
      <c r="J176" s="3">
        <f t="shared" si="112"/>
        <v>6.7747997516681103E-3</v>
      </c>
      <c r="K176" s="3">
        <f t="shared" si="112"/>
        <v>1.071145107122205E-8</v>
      </c>
      <c r="L176" s="3">
        <f t="shared" si="112"/>
        <v>1.0456028592978222E-66</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2.6241418244501626E-2</v>
      </c>
      <c r="C177" s="3">
        <f t="shared" si="113"/>
        <v>2.6241417928305859E-2</v>
      </c>
      <c r="D177" s="3">
        <f t="shared" si="113"/>
        <v>2.6241414766348403E-2</v>
      </c>
      <c r="E177" s="3">
        <f t="shared" si="113"/>
        <v>2.6241383146794812E-2</v>
      </c>
      <c r="F177" s="3">
        <f t="shared" si="113"/>
        <v>2.6241066953354392E-2</v>
      </c>
      <c r="G177" s="3">
        <f t="shared" si="113"/>
        <v>2.6237905228489712E-2</v>
      </c>
      <c r="H177" s="3">
        <f t="shared" si="113"/>
        <v>2.6206308924457744E-2</v>
      </c>
      <c r="I177" s="3">
        <f t="shared" si="113"/>
        <v>2.5892431037875686E-2</v>
      </c>
      <c r="J177" s="3">
        <f t="shared" si="113"/>
        <v>2.2953163372799415E-2</v>
      </c>
      <c r="K177" s="3">
        <f t="shared" si="113"/>
        <v>6.8792286433672399E-3</v>
      </c>
      <c r="L177" s="3">
        <f t="shared" si="113"/>
        <v>4.02264500421281E-8</v>
      </c>
      <c r="M177" s="3">
        <f t="shared" si="113"/>
        <v>1.8803181851958508E-60</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3.2917205997819735E-2</v>
      </c>
      <c r="C178" s="3">
        <f t="shared" si="114"/>
        <v>3.2917205962039904E-2</v>
      </c>
      <c r="D178" s="3">
        <f t="shared" si="114"/>
        <v>3.2917205604241571E-2</v>
      </c>
      <c r="E178" s="3">
        <f t="shared" si="114"/>
        <v>3.2917202026258537E-2</v>
      </c>
      <c r="F178" s="3">
        <f t="shared" si="114"/>
        <v>3.2917166246449525E-2</v>
      </c>
      <c r="G178" s="3">
        <f t="shared" si="114"/>
        <v>3.2916808450498429E-2</v>
      </c>
      <c r="H178" s="3">
        <f t="shared" si="114"/>
        <v>3.2913230704880662E-2</v>
      </c>
      <c r="I178" s="3">
        <f t="shared" si="114"/>
        <v>3.2877474629420908E-2</v>
      </c>
      <c r="J178" s="3">
        <f t="shared" si="114"/>
        <v>3.2522043372724588E-2</v>
      </c>
      <c r="K178" s="3">
        <f t="shared" si="114"/>
        <v>2.9172359597828778E-2</v>
      </c>
      <c r="L178" s="3">
        <f t="shared" si="114"/>
        <v>9.8380470418734725E-3</v>
      </c>
      <c r="M178" s="3">
        <f t="shared" si="114"/>
        <v>1.8718983446364427E-7</v>
      </c>
      <c r="N178" s="3">
        <f t="shared" si="114"/>
        <v>1.1641686875252131E-54</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4.007280820197575E-2</v>
      </c>
      <c r="C179" s="3">
        <f t="shared" si="115"/>
        <v>4.0072808198046483E-2</v>
      </c>
      <c r="D179" s="3">
        <f t="shared" si="115"/>
        <v>4.0072808158753796E-2</v>
      </c>
      <c r="E179" s="3">
        <f t="shared" si="115"/>
        <v>4.0072807765826952E-2</v>
      </c>
      <c r="F179" s="3">
        <f t="shared" si="115"/>
        <v>4.0072803836558653E-2</v>
      </c>
      <c r="G179" s="3">
        <f t="shared" si="115"/>
        <v>4.007276454389691E-2</v>
      </c>
      <c r="H179" s="3">
        <f t="shared" si="115"/>
        <v>4.0072371619398466E-2</v>
      </c>
      <c r="I179" s="3">
        <f t="shared" si="115"/>
        <v>4.006844258630813E-2</v>
      </c>
      <c r="J179" s="3">
        <f t="shared" si="115"/>
        <v>4.0029173437127398E-2</v>
      </c>
      <c r="K179" s="3">
        <f t="shared" si="115"/>
        <v>3.9638592453032515E-2</v>
      </c>
      <c r="L179" s="3">
        <f t="shared" si="115"/>
        <v>3.5936373225939192E-2</v>
      </c>
      <c r="M179" s="3">
        <f t="shared" si="115"/>
        <v>1.3480141494504947E-2</v>
      </c>
      <c r="N179" s="3">
        <f t="shared" si="115"/>
        <v>7.4352659630969756E-7</v>
      </c>
      <c r="O179" s="3">
        <f t="shared" si="115"/>
        <v>1.9378362719345486E-49</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3.9765912840055991E-2</v>
      </c>
      <c r="C180" s="3">
        <f t="shared" si="116"/>
        <v>3.9765912839704251E-2</v>
      </c>
      <c r="D180" s="3">
        <f t="shared" si="116"/>
        <v>3.976591283618687E-2</v>
      </c>
      <c r="E180" s="3">
        <f t="shared" si="116"/>
        <v>3.9765912801013055E-2</v>
      </c>
      <c r="F180" s="3">
        <f t="shared" si="116"/>
        <v>3.9765912449274902E-2</v>
      </c>
      <c r="G180" s="3">
        <f t="shared" si="116"/>
        <v>3.9765908931893558E-2</v>
      </c>
      <c r="H180" s="3">
        <f t="shared" si="116"/>
        <v>3.9765873758097231E-2</v>
      </c>
      <c r="I180" s="3">
        <f t="shared" si="116"/>
        <v>3.97655220218451E-2</v>
      </c>
      <c r="J180" s="3">
        <f t="shared" si="116"/>
        <v>3.9762004830433559E-2</v>
      </c>
      <c r="K180" s="3">
        <f t="shared" si="116"/>
        <v>3.9726850021700184E-2</v>
      </c>
      <c r="L180" s="3">
        <f t="shared" si="116"/>
        <v>3.9377006887654394E-2</v>
      </c>
      <c r="M180" s="3">
        <f t="shared" si="116"/>
        <v>3.6043620593001077E-2</v>
      </c>
      <c r="N180" s="3">
        <f t="shared" si="116"/>
        <v>1.4882828889408456E-2</v>
      </c>
      <c r="O180" s="3">
        <f t="shared" si="116"/>
        <v>2.1441555064470249E-6</v>
      </c>
      <c r="P180" s="3">
        <f t="shared" si="116"/>
        <v>8.2596984161884753E-45</v>
      </c>
      <c r="Q180" s="3">
        <f t="shared" si="116"/>
        <v>0</v>
      </c>
      <c r="R180" s="3">
        <f t="shared" si="116"/>
        <v>0</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2.9424353030168708E-2</v>
      </c>
      <c r="C181" s="3">
        <f t="shared" si="117"/>
        <v>2.942435303014523E-2</v>
      </c>
      <c r="D181" s="3">
        <f t="shared" si="117"/>
        <v>2.9424353029910449E-2</v>
      </c>
      <c r="E181" s="3">
        <f t="shared" si="117"/>
        <v>2.9424353027562647E-2</v>
      </c>
      <c r="F181" s="3">
        <f t="shared" si="117"/>
        <v>2.9424353004084594E-2</v>
      </c>
      <c r="G181" s="3">
        <f t="shared" si="117"/>
        <v>2.9424352769304087E-2</v>
      </c>
      <c r="H181" s="3">
        <f t="shared" si="117"/>
        <v>2.9424350421499129E-2</v>
      </c>
      <c r="I181" s="3">
        <f t="shared" si="117"/>
        <v>2.9424326943459859E-2</v>
      </c>
      <c r="J181" s="3">
        <f t="shared" si="117"/>
        <v>2.9424092164097505E-2</v>
      </c>
      <c r="K181" s="3">
        <f t="shared" si="117"/>
        <v>2.9421744473504367E-2</v>
      </c>
      <c r="L181" s="3">
        <f t="shared" si="117"/>
        <v>2.9398277867576837E-2</v>
      </c>
      <c r="M181" s="3">
        <f t="shared" si="117"/>
        <v>2.9164638774320094E-2</v>
      </c>
      <c r="N181" s="3">
        <f t="shared" si="117"/>
        <v>2.692797618318641E-2</v>
      </c>
      <c r="O181" s="3">
        <f t="shared" si="117"/>
        <v>1.2124807221399839E-2</v>
      </c>
      <c r="P181" s="3">
        <f t="shared" si="117"/>
        <v>4.1532313128574696E-6</v>
      </c>
      <c r="Q181" s="3">
        <f t="shared" si="117"/>
        <v>9.2363183589439311E-41</v>
      </c>
      <c r="R181" s="3">
        <f t="shared" si="117"/>
        <v>0</v>
      </c>
      <c r="S181" s="3">
        <f t="shared" si="117"/>
        <v>0</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2.8571417110975928E-2</v>
      </c>
      <c r="C182" s="3">
        <f t="shared" si="118"/>
        <v>2.8571417110973874E-2</v>
      </c>
      <c r="D182" s="3">
        <f t="shared" si="118"/>
        <v>2.8571417110953304E-2</v>
      </c>
      <c r="E182" s="3">
        <f t="shared" si="118"/>
        <v>2.8571417110747656E-2</v>
      </c>
      <c r="F182" s="3">
        <f t="shared" si="118"/>
        <v>2.8571417108691131E-2</v>
      </c>
      <c r="G182" s="3">
        <f t="shared" si="118"/>
        <v>2.8571417088125904E-2</v>
      </c>
      <c r="H182" s="3">
        <f t="shared" si="118"/>
        <v>2.8571416882473648E-2</v>
      </c>
      <c r="I182" s="3">
        <f t="shared" si="118"/>
        <v>2.8571414825951141E-2</v>
      </c>
      <c r="J182" s="3">
        <f t="shared" si="118"/>
        <v>2.8571394260734198E-2</v>
      </c>
      <c r="K182" s="3">
        <f t="shared" si="118"/>
        <v>2.8571188609378899E-2</v>
      </c>
      <c r="L182" s="3">
        <f t="shared" si="118"/>
        <v>2.8569132177237316E-2</v>
      </c>
      <c r="M182" s="3">
        <f t="shared" si="118"/>
        <v>2.8548575994790087E-2</v>
      </c>
      <c r="N182" s="3">
        <f t="shared" si="118"/>
        <v>2.8343825903780474E-2</v>
      </c>
      <c r="O182" s="3">
        <f t="shared" si="118"/>
        <v>2.6375377525347965E-2</v>
      </c>
      <c r="P182" s="3">
        <f t="shared" si="118"/>
        <v>1.2841058173331046E-2</v>
      </c>
      <c r="Q182" s="3">
        <f t="shared" si="118"/>
        <v>9.6077590152264109E-6</v>
      </c>
      <c r="R182" s="3">
        <f t="shared" si="118"/>
        <v>5.2824449667596825E-37</v>
      </c>
      <c r="S182" s="3">
        <f t="shared" si="118"/>
        <v>0</v>
      </c>
      <c r="T182" s="3">
        <f t="shared" si="118"/>
        <v>0</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2.9426851905512391E-2</v>
      </c>
      <c r="C183" s="3">
        <f t="shared" si="119"/>
        <v>2.94268519055122E-2</v>
      </c>
      <c r="D183" s="3">
        <f t="shared" si="119"/>
        <v>2.9426851905510289E-2</v>
      </c>
      <c r="E183" s="3">
        <f t="shared" si="119"/>
        <v>2.9426851905491182E-2</v>
      </c>
      <c r="F183" s="3">
        <f t="shared" si="119"/>
        <v>2.9426851905300113E-2</v>
      </c>
      <c r="G183" s="3">
        <f t="shared" si="119"/>
        <v>2.9426851903389412E-2</v>
      </c>
      <c r="H183" s="3">
        <f t="shared" si="119"/>
        <v>2.9426851884282432E-2</v>
      </c>
      <c r="I183" s="3">
        <f t="shared" si="119"/>
        <v>2.9426851693212613E-2</v>
      </c>
      <c r="J183" s="3">
        <f t="shared" si="119"/>
        <v>2.9426849782514464E-2</v>
      </c>
      <c r="K183" s="3">
        <f t="shared" si="119"/>
        <v>2.942683067553983E-2</v>
      </c>
      <c r="L183" s="3">
        <f t="shared" si="119"/>
        <v>2.9426639606475829E-2</v>
      </c>
      <c r="M183" s="3">
        <f t="shared" si="119"/>
        <v>2.9424728984068334E-2</v>
      </c>
      <c r="N183" s="3">
        <f t="shared" si="119"/>
        <v>2.9405629581607737E-2</v>
      </c>
      <c r="O183" s="3">
        <f t="shared" si="119"/>
        <v>2.9215316082433496E-2</v>
      </c>
      <c r="P183" s="3">
        <f t="shared" si="119"/>
        <v>2.7378626729256443E-2</v>
      </c>
      <c r="Q183" s="3">
        <f t="shared" si="119"/>
        <v>1.4302843126417761E-2</v>
      </c>
      <c r="R183" s="3">
        <f t="shared" si="119"/>
        <v>2.1653570621373043E-5</v>
      </c>
      <c r="S183" s="3">
        <f t="shared" si="119"/>
        <v>1.3696227919136332E-33</v>
      </c>
      <c r="T183" s="3">
        <f t="shared" si="119"/>
        <v>0</v>
      </c>
      <c r="U183" s="3">
        <f t="shared" si="119"/>
        <v>0</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2.8440803506547929E-2</v>
      </c>
      <c r="C184" s="3">
        <f t="shared" si="120"/>
        <v>2.8440803506547915E-2</v>
      </c>
      <c r="D184" s="3">
        <f t="shared" si="120"/>
        <v>2.8440803506547745E-2</v>
      </c>
      <c r="E184" s="3">
        <f t="shared" si="120"/>
        <v>2.8440803506546083E-2</v>
      </c>
      <c r="F184" s="3">
        <f t="shared" si="120"/>
        <v>2.8440803506529423E-2</v>
      </c>
      <c r="G184" s="3">
        <f t="shared" si="120"/>
        <v>2.8440803506362838E-2</v>
      </c>
      <c r="H184" s="3">
        <f t="shared" si="120"/>
        <v>2.8440803504696986E-2</v>
      </c>
      <c r="I184" s="3">
        <f t="shared" si="120"/>
        <v>2.8440803488038451E-2</v>
      </c>
      <c r="J184" s="3">
        <f t="shared" si="120"/>
        <v>2.8440803321453125E-2</v>
      </c>
      <c r="K184" s="3">
        <f t="shared" si="120"/>
        <v>2.8440801655599902E-2</v>
      </c>
      <c r="L184" s="3">
        <f t="shared" si="120"/>
        <v>2.8440784997073056E-2</v>
      </c>
      <c r="M184" s="3">
        <f t="shared" si="120"/>
        <v>2.8440618412341225E-2</v>
      </c>
      <c r="N184" s="3">
        <f t="shared" si="120"/>
        <v>2.8438952618687015E-2</v>
      </c>
      <c r="O184" s="3">
        <f t="shared" si="120"/>
        <v>2.8422300047392324E-2</v>
      </c>
      <c r="P184" s="3">
        <f t="shared" si="120"/>
        <v>2.825630969825375E-2</v>
      </c>
      <c r="Q184" s="3">
        <f t="shared" si="120"/>
        <v>2.6648800307354222E-2</v>
      </c>
      <c r="R184" s="3">
        <f t="shared" si="120"/>
        <v>1.4835420742877447E-2</v>
      </c>
      <c r="S184" s="3">
        <f t="shared" si="120"/>
        <v>4.2415239183008272E-5</v>
      </c>
      <c r="T184" s="3">
        <f t="shared" si="120"/>
        <v>1.5478983839124809E-30</v>
      </c>
      <c r="U184" s="3">
        <f t="shared" si="120"/>
        <v>6.485563431987172E-285</v>
      </c>
      <c r="V184" s="3">
        <f t="shared" si="120"/>
        <v>0</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2.6740342475666101E-2</v>
      </c>
      <c r="C185" s="3">
        <f t="shared" si="121"/>
        <v>2.6740342475666097E-2</v>
      </c>
      <c r="D185" s="3">
        <f t="shared" si="121"/>
        <v>2.6740342475666087E-2</v>
      </c>
      <c r="E185" s="3">
        <f t="shared" si="121"/>
        <v>2.6740342475665944E-2</v>
      </c>
      <c r="F185" s="3">
        <f t="shared" si="121"/>
        <v>2.6740342475664529E-2</v>
      </c>
      <c r="G185" s="3">
        <f t="shared" si="121"/>
        <v>2.6740342475650401E-2</v>
      </c>
      <c r="H185" s="3">
        <f t="shared" si="121"/>
        <v>2.6740342475509112E-2</v>
      </c>
      <c r="I185" s="3">
        <f t="shared" si="121"/>
        <v>2.6740342474096221E-2</v>
      </c>
      <c r="J185" s="3">
        <f t="shared" si="121"/>
        <v>2.6740342459967318E-2</v>
      </c>
      <c r="K185" s="3">
        <f t="shared" si="121"/>
        <v>2.6740342318678289E-2</v>
      </c>
      <c r="L185" s="3">
        <f t="shared" si="121"/>
        <v>2.674034090578804E-2</v>
      </c>
      <c r="M185" s="3">
        <f t="shared" si="121"/>
        <v>2.6740326776889624E-2</v>
      </c>
      <c r="N185" s="3">
        <f t="shared" si="121"/>
        <v>2.6740185488316089E-2</v>
      </c>
      <c r="O185" s="3">
        <f t="shared" si="121"/>
        <v>2.6738772643639216E-2</v>
      </c>
      <c r="P185" s="3">
        <f t="shared" si="121"/>
        <v>2.6724648301918858E-2</v>
      </c>
      <c r="Q185" s="3">
        <f t="shared" si="121"/>
        <v>2.6583814588152285E-2</v>
      </c>
      <c r="R185" s="3">
        <f t="shared" si="121"/>
        <v>2.521565802481799E-2</v>
      </c>
      <c r="S185" s="3">
        <f t="shared" si="121"/>
        <v>1.486621374974152E-2</v>
      </c>
      <c r="T185" s="3">
        <f t="shared" si="121"/>
        <v>7.5422520621901883E-5</v>
      </c>
      <c r="U185" s="3">
        <f t="shared" si="121"/>
        <v>8.5213369386178582E-28</v>
      </c>
      <c r="V185" s="3">
        <f t="shared" si="121"/>
        <v>2.8878504059411528E-257</v>
      </c>
      <c r="W185" s="3">
        <f t="shared" si="121"/>
        <v>0</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3.6384067061729697E-2</v>
      </c>
      <c r="C186" s="3">
        <f t="shared" si="122"/>
        <v>3.6384067061729697E-2</v>
      </c>
      <c r="D186" s="3">
        <f t="shared" si="122"/>
        <v>3.6384067061729697E-2</v>
      </c>
      <c r="E186" s="3">
        <f t="shared" si="122"/>
        <v>3.6384067061729676E-2</v>
      </c>
      <c r="F186" s="3">
        <f t="shared" si="122"/>
        <v>3.6384067061729503E-2</v>
      </c>
      <c r="G186" s="3">
        <f t="shared" si="122"/>
        <v>3.6384067061727768E-2</v>
      </c>
      <c r="H186" s="3">
        <f t="shared" si="122"/>
        <v>3.6384067061710428E-2</v>
      </c>
      <c r="I186" s="3">
        <f t="shared" si="122"/>
        <v>3.6384067061537011E-2</v>
      </c>
      <c r="J186" s="3">
        <f t="shared" si="122"/>
        <v>3.6384067059802808E-2</v>
      </c>
      <c r="K186" s="3">
        <f t="shared" si="122"/>
        <v>3.6384067042460805E-2</v>
      </c>
      <c r="L186" s="3">
        <f t="shared" si="122"/>
        <v>3.6384066869040749E-2</v>
      </c>
      <c r="M186" s="3">
        <f t="shared" si="122"/>
        <v>3.6384065134840278E-2</v>
      </c>
      <c r="N186" s="3">
        <f t="shared" si="122"/>
        <v>3.6384047792840137E-2</v>
      </c>
      <c r="O186" s="3">
        <f t="shared" si="122"/>
        <v>3.6383874373293303E-2</v>
      </c>
      <c r="P186" s="3">
        <f t="shared" si="122"/>
        <v>3.6382140223286216E-2</v>
      </c>
      <c r="Q186" s="3">
        <f t="shared" si="122"/>
        <v>3.6364803268540677E-2</v>
      </c>
      <c r="R186" s="3">
        <f t="shared" si="122"/>
        <v>3.6191887453044302E-2</v>
      </c>
      <c r="S186" s="3">
        <f t="shared" si="122"/>
        <v>3.4507312410672827E-2</v>
      </c>
      <c r="T186" s="3">
        <f t="shared" si="122"/>
        <v>2.1424473894968394E-2</v>
      </c>
      <c r="U186" s="3">
        <f t="shared" si="122"/>
        <v>1.8234777540867316E-4</v>
      </c>
      <c r="V186" s="3">
        <f t="shared" si="122"/>
        <v>3.637504194333741E-25</v>
      </c>
      <c r="W186" s="3">
        <f t="shared" si="122"/>
        <v>3.6293916552389012E-232</v>
      </c>
      <c r="X186" s="3">
        <f t="shared" si="122"/>
        <v>0</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4.1964426446168525E-2</v>
      </c>
      <c r="C187" s="3">
        <f t="shared" si="123"/>
        <v>4.1964426446168525E-2</v>
      </c>
      <c r="D187" s="3">
        <f t="shared" si="123"/>
        <v>4.1964426446168525E-2</v>
      </c>
      <c r="E187" s="3">
        <f t="shared" si="123"/>
        <v>4.1964426446168525E-2</v>
      </c>
      <c r="F187" s="3">
        <f t="shared" si="123"/>
        <v>4.1964426446168504E-2</v>
      </c>
      <c r="G187" s="3">
        <f t="shared" si="123"/>
        <v>4.1964426446168324E-2</v>
      </c>
      <c r="H187" s="3">
        <f t="shared" si="123"/>
        <v>4.196442644616652E-2</v>
      </c>
      <c r="I187" s="3">
        <f t="shared" si="123"/>
        <v>4.1964426446148478E-2</v>
      </c>
      <c r="J187" s="3">
        <f t="shared" si="123"/>
        <v>4.1964426445968046E-2</v>
      </c>
      <c r="K187" s="3">
        <f t="shared" si="123"/>
        <v>4.1964426444163719E-2</v>
      </c>
      <c r="L187" s="3">
        <f t="shared" si="123"/>
        <v>4.1964426426120416E-2</v>
      </c>
      <c r="M187" s="3">
        <f t="shared" si="123"/>
        <v>4.1964426245687421E-2</v>
      </c>
      <c r="N187" s="3">
        <f t="shared" si="123"/>
        <v>4.1964424441357548E-2</v>
      </c>
      <c r="O187" s="3">
        <f t="shared" si="123"/>
        <v>4.1964406398063071E-2</v>
      </c>
      <c r="P187" s="3">
        <f t="shared" si="123"/>
        <v>4.1964225965545006E-2</v>
      </c>
      <c r="Q187" s="3">
        <f t="shared" si="123"/>
        <v>4.1962421683032672E-2</v>
      </c>
      <c r="R187" s="3">
        <f t="shared" si="123"/>
        <v>4.1944383124063414E-2</v>
      </c>
      <c r="S187" s="3">
        <f t="shared" si="123"/>
        <v>4.176442347186466E-2</v>
      </c>
      <c r="T187" s="3">
        <f t="shared" si="123"/>
        <v>4.0006750808079493E-2</v>
      </c>
      <c r="U187" s="3">
        <f t="shared" si="123"/>
        <v>2.6025626069693292E-2</v>
      </c>
      <c r="V187" s="3">
        <f t="shared" si="123"/>
        <v>3.5324842245389393E-4</v>
      </c>
      <c r="W187" s="3">
        <f t="shared" si="123"/>
        <v>7.4967095489589191E-23</v>
      </c>
      <c r="X187" s="3">
        <f t="shared" si="123"/>
        <v>1.3892334255022045E-209</v>
      </c>
      <c r="Y187" s="3">
        <f t="shared" si="123"/>
        <v>0</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4.8106928297009681E-2</v>
      </c>
      <c r="C188" s="3">
        <f t="shared" si="124"/>
        <v>4.8106928297009681E-2</v>
      </c>
      <c r="D188" s="3">
        <f t="shared" si="124"/>
        <v>4.8106928297009681E-2</v>
      </c>
      <c r="E188" s="3">
        <f t="shared" si="124"/>
        <v>4.8106928297009681E-2</v>
      </c>
      <c r="F188" s="3">
        <f t="shared" si="124"/>
        <v>4.8106928297009681E-2</v>
      </c>
      <c r="G188" s="3">
        <f t="shared" si="124"/>
        <v>4.810692829700966E-2</v>
      </c>
      <c r="H188" s="3">
        <f t="shared" si="124"/>
        <v>4.8106928297009473E-2</v>
      </c>
      <c r="I188" s="3">
        <f t="shared" si="124"/>
        <v>4.8106928297007606E-2</v>
      </c>
      <c r="J188" s="3">
        <f t="shared" si="124"/>
        <v>4.8106928296988948E-2</v>
      </c>
      <c r="K188" s="3">
        <f t="shared" si="124"/>
        <v>4.8106928296802354E-2</v>
      </c>
      <c r="L188" s="3">
        <f t="shared" si="124"/>
        <v>4.8106928294936457E-2</v>
      </c>
      <c r="M188" s="3">
        <f t="shared" si="124"/>
        <v>4.8106928276277439E-2</v>
      </c>
      <c r="N188" s="3">
        <f t="shared" si="124"/>
        <v>4.8106928089687216E-2</v>
      </c>
      <c r="O188" s="3">
        <f t="shared" si="124"/>
        <v>4.8106926223785054E-2</v>
      </c>
      <c r="P188" s="3">
        <f t="shared" si="124"/>
        <v>4.8106907564767432E-2</v>
      </c>
      <c r="Q188" s="3">
        <f t="shared" si="124"/>
        <v>4.8106720974989248E-2</v>
      </c>
      <c r="R188" s="3">
        <f t="shared" si="124"/>
        <v>4.8104855117011368E-2</v>
      </c>
      <c r="S188" s="3">
        <f t="shared" si="124"/>
        <v>4.8086200517053798E-2</v>
      </c>
      <c r="T188" s="3">
        <f t="shared" si="124"/>
        <v>4.7900051929052126E-2</v>
      </c>
      <c r="U188" s="3">
        <f t="shared" si="124"/>
        <v>4.6077742748718613E-2</v>
      </c>
      <c r="V188" s="3">
        <f t="shared" si="124"/>
        <v>3.1263911383499675E-2</v>
      </c>
      <c r="W188" s="3">
        <f t="shared" si="124"/>
        <v>6.4649394823939688E-4</v>
      </c>
      <c r="X188" s="3">
        <f t="shared" si="124"/>
        <v>9.2422133970145882E-21</v>
      </c>
      <c r="Y188" s="3">
        <f t="shared" si="124"/>
        <v>3.2952720312569466E-189</v>
      </c>
      <c r="Z188" s="3">
        <f t="shared" si="124"/>
        <v>0</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4.6100301020196389E-2</v>
      </c>
      <c r="C189" s="3">
        <f t="shared" si="125"/>
        <v>4.6100301020196389E-2</v>
      </c>
      <c r="D189" s="3">
        <f t="shared" si="125"/>
        <v>4.6100301020196389E-2</v>
      </c>
      <c r="E189" s="3">
        <f t="shared" si="125"/>
        <v>4.6100301020196389E-2</v>
      </c>
      <c r="F189" s="3">
        <f t="shared" si="125"/>
        <v>4.6100301020196389E-2</v>
      </c>
      <c r="G189" s="3">
        <f t="shared" si="125"/>
        <v>4.6100301020196389E-2</v>
      </c>
      <c r="H189" s="3">
        <f t="shared" si="125"/>
        <v>4.6100301020196369E-2</v>
      </c>
      <c r="I189" s="3">
        <f t="shared" si="125"/>
        <v>4.6100301020196209E-2</v>
      </c>
      <c r="J189" s="3">
        <f t="shared" si="125"/>
        <v>4.6100301020194599E-2</v>
      </c>
      <c r="K189" s="3">
        <f t="shared" si="125"/>
        <v>4.6100301020178466E-2</v>
      </c>
      <c r="L189" s="3">
        <f t="shared" si="125"/>
        <v>4.6100301020017165E-2</v>
      </c>
      <c r="M189" s="3">
        <f t="shared" si="125"/>
        <v>4.6100301018404177E-2</v>
      </c>
      <c r="N189" s="3">
        <f t="shared" si="125"/>
        <v>4.6100301002274281E-2</v>
      </c>
      <c r="O189" s="3">
        <f t="shared" si="125"/>
        <v>4.6100300840975307E-2</v>
      </c>
      <c r="P189" s="3">
        <f t="shared" si="125"/>
        <v>4.6100299227985614E-2</v>
      </c>
      <c r="Q189" s="3">
        <f t="shared" si="125"/>
        <v>4.6100283098091749E-2</v>
      </c>
      <c r="R189" s="3">
        <f t="shared" si="125"/>
        <v>4.6100121799463517E-2</v>
      </c>
      <c r="S189" s="3">
        <f t="shared" si="125"/>
        <v>4.6098508844220801E-2</v>
      </c>
      <c r="T189" s="3">
        <f t="shared" si="125"/>
        <v>4.6082382395350209E-2</v>
      </c>
      <c r="U189" s="3">
        <f t="shared" si="125"/>
        <v>4.5921427860895585E-2</v>
      </c>
      <c r="V189" s="3">
        <f t="shared" si="125"/>
        <v>4.4342480407993497E-2</v>
      </c>
      <c r="W189" s="3">
        <f t="shared" si="125"/>
        <v>3.125114811873711E-2</v>
      </c>
      <c r="X189" s="3">
        <f t="shared" si="125"/>
        <v>9.4476962501534604E-4</v>
      </c>
      <c r="Y189" s="3">
        <f t="shared" si="125"/>
        <v>6.024560483771574E-19</v>
      </c>
      <c r="Z189" s="3">
        <f t="shared" si="125"/>
        <v>6.6976097315740434E-171</v>
      </c>
      <c r="AA189" s="3">
        <f t="shared" si="125"/>
        <v>0</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6.1544571271861997E-2</v>
      </c>
      <c r="C190" s="3">
        <f t="shared" si="126"/>
        <v>6.1544571271861997E-2</v>
      </c>
      <c r="D190" s="3">
        <f t="shared" si="126"/>
        <v>6.1544571271861997E-2</v>
      </c>
      <c r="E190" s="3">
        <f t="shared" si="126"/>
        <v>6.1544571271861997E-2</v>
      </c>
      <c r="F190" s="3">
        <f t="shared" si="126"/>
        <v>6.1544571271861997E-2</v>
      </c>
      <c r="G190" s="3">
        <f t="shared" si="126"/>
        <v>6.1544571271861997E-2</v>
      </c>
      <c r="H190" s="3">
        <f t="shared" si="126"/>
        <v>6.1544571271861997E-2</v>
      </c>
      <c r="I190" s="3">
        <f t="shared" si="126"/>
        <v>6.1544571271861977E-2</v>
      </c>
      <c r="J190" s="3">
        <f t="shared" si="126"/>
        <v>6.1544571271861775E-2</v>
      </c>
      <c r="K190" s="3">
        <f t="shared" si="126"/>
        <v>6.154457127185984E-2</v>
      </c>
      <c r="L190" s="3">
        <f t="shared" si="126"/>
        <v>6.1544571271840411E-2</v>
      </c>
      <c r="M190" s="3">
        <f t="shared" si="126"/>
        <v>6.1544571271646163E-2</v>
      </c>
      <c r="N190" s="3">
        <f t="shared" si="126"/>
        <v>6.1544571269703648E-2</v>
      </c>
      <c r="O190" s="3">
        <f t="shared" si="126"/>
        <v>6.1544571250278506E-2</v>
      </c>
      <c r="P190" s="3">
        <f t="shared" si="126"/>
        <v>6.1544571056027099E-2</v>
      </c>
      <c r="Q190" s="3">
        <f t="shared" si="126"/>
        <v>6.1544569113513019E-2</v>
      </c>
      <c r="R190" s="3">
        <f t="shared" si="126"/>
        <v>6.1544549688375624E-2</v>
      </c>
      <c r="S190" s="3">
        <f t="shared" si="126"/>
        <v>6.1544355437338938E-2</v>
      </c>
      <c r="T190" s="3">
        <f t="shared" si="126"/>
        <v>6.1542412960692607E-2</v>
      </c>
      <c r="U190" s="3">
        <f t="shared" si="126"/>
        <v>6.1522991565898459E-2</v>
      </c>
      <c r="V190" s="3">
        <f t="shared" si="126"/>
        <v>6.1329114391454262E-2</v>
      </c>
      <c r="W190" s="3">
        <f t="shared" si="126"/>
        <v>5.9423630003998404E-2</v>
      </c>
      <c r="X190" s="3">
        <f t="shared" si="126"/>
        <v>4.3339512672857967E-2</v>
      </c>
      <c r="Y190" s="3">
        <f t="shared" si="126"/>
        <v>1.8455783212458115E-3</v>
      </c>
      <c r="Z190" s="3">
        <f t="shared" si="126"/>
        <v>3.6192371882829673E-17</v>
      </c>
      <c r="AA190" s="3">
        <f t="shared" si="126"/>
        <v>3.044126537332638E-154</v>
      </c>
      <c r="AB190" s="3">
        <f t="shared" si="126"/>
        <v>0</v>
      </c>
      <c r="AC190" s="3">
        <f t="shared" si="126"/>
        <v>0</v>
      </c>
      <c r="AD190" s="3">
        <f t="shared" si="126"/>
        <v>0</v>
      </c>
      <c r="AE190" s="3">
        <f t="shared" si="126"/>
        <v>0</v>
      </c>
      <c r="AF190" s="3">
        <f t="shared" si="126"/>
        <v>0</v>
      </c>
      <c r="AG190" s="3"/>
      <c r="AH190" s="3"/>
    </row>
    <row r="191" spans="2:34" x14ac:dyDescent="0.25">
      <c r="B191" s="3">
        <f t="shared" ref="B191:AF191" si="127">$C38*EXP(-B$168/$A38/EXP(-$C$126))</f>
        <v>2.0548359308290503E-2</v>
      </c>
      <c r="C191" s="3">
        <f t="shared" si="127"/>
        <v>2.0548359308290503E-2</v>
      </c>
      <c r="D191" s="3">
        <f t="shared" si="127"/>
        <v>2.0548359308290503E-2</v>
      </c>
      <c r="E191" s="3">
        <f t="shared" si="127"/>
        <v>2.0548359308290503E-2</v>
      </c>
      <c r="F191" s="3">
        <f t="shared" si="127"/>
        <v>2.0548359308290503E-2</v>
      </c>
      <c r="G191" s="3">
        <f t="shared" si="127"/>
        <v>2.0548359308290503E-2</v>
      </c>
      <c r="H191" s="3">
        <f t="shared" si="127"/>
        <v>2.0548359308290503E-2</v>
      </c>
      <c r="I191" s="3">
        <f t="shared" si="127"/>
        <v>2.0548359308290503E-2</v>
      </c>
      <c r="J191" s="3">
        <f t="shared" si="127"/>
        <v>2.0548359308290496E-2</v>
      </c>
      <c r="K191" s="3">
        <f t="shared" si="127"/>
        <v>2.054835930829044E-2</v>
      </c>
      <c r="L191" s="3">
        <f t="shared" si="127"/>
        <v>2.0548359308289854E-2</v>
      </c>
      <c r="M191" s="3">
        <f t="shared" si="127"/>
        <v>2.0548359308284005E-2</v>
      </c>
      <c r="N191" s="3">
        <f t="shared" si="127"/>
        <v>2.0548359308225496E-2</v>
      </c>
      <c r="O191" s="3">
        <f t="shared" si="127"/>
        <v>2.054835930764044E-2</v>
      </c>
      <c r="P191" s="3">
        <f t="shared" si="127"/>
        <v>2.054835930178987E-2</v>
      </c>
      <c r="Q191" s="3">
        <f t="shared" si="127"/>
        <v>2.0548359243284169E-2</v>
      </c>
      <c r="R191" s="3">
        <f t="shared" si="127"/>
        <v>2.0548358658227187E-2</v>
      </c>
      <c r="S191" s="3">
        <f t="shared" si="127"/>
        <v>2.0548352807658279E-2</v>
      </c>
      <c r="T191" s="3">
        <f t="shared" si="127"/>
        <v>2.0548294302060822E-2</v>
      </c>
      <c r="U191" s="3">
        <f t="shared" si="127"/>
        <v>2.0547709255247945E-2</v>
      </c>
      <c r="V191" s="3">
        <f t="shared" si="127"/>
        <v>2.0541859703194242E-2</v>
      </c>
      <c r="W191" s="3">
        <f t="shared" si="127"/>
        <v>2.0483455693729322E-2</v>
      </c>
      <c r="X191" s="3">
        <f t="shared" si="127"/>
        <v>1.9908471031801787E-2</v>
      </c>
      <c r="Y191" s="3">
        <f t="shared" si="127"/>
        <v>1.497561666466213E-2</v>
      </c>
      <c r="Z191" s="3">
        <f t="shared" si="127"/>
        <v>8.6866592736458261E-4</v>
      </c>
      <c r="AA191" s="3">
        <f t="shared" si="127"/>
        <v>3.7457044739594186E-16</v>
      </c>
      <c r="AB191" s="3">
        <f t="shared" si="127"/>
        <v>8.3241660812545454E-140</v>
      </c>
      <c r="AC191" s="3">
        <f t="shared" si="127"/>
        <v>0</v>
      </c>
      <c r="AD191" s="3">
        <f t="shared" si="127"/>
        <v>0</v>
      </c>
      <c r="AE191" s="3">
        <f t="shared" si="127"/>
        <v>0</v>
      </c>
      <c r="AF191" s="3">
        <f t="shared" si="127"/>
        <v>0</v>
      </c>
      <c r="AG191" s="3"/>
      <c r="AH191" s="3"/>
    </row>
    <row r="192" spans="2:34" x14ac:dyDescent="0.25">
      <c r="B192" s="3">
        <f t="shared" ref="B192:AF192" si="128">$C39*EXP(-B$168/$A39/EXP(-$C$126))</f>
        <v>6.8598536150208847E-2</v>
      </c>
      <c r="C192" s="3">
        <f t="shared" si="128"/>
        <v>6.8598536150208847E-2</v>
      </c>
      <c r="D192" s="3">
        <f t="shared" si="128"/>
        <v>6.8598536150208847E-2</v>
      </c>
      <c r="E192" s="3">
        <f t="shared" si="128"/>
        <v>6.8598536150208847E-2</v>
      </c>
      <c r="F192" s="3">
        <f t="shared" si="128"/>
        <v>6.8598536150208847E-2</v>
      </c>
      <c r="G192" s="3">
        <f t="shared" si="128"/>
        <v>6.8598536150208847E-2</v>
      </c>
      <c r="H192" s="3">
        <f t="shared" si="128"/>
        <v>6.8598536150208847E-2</v>
      </c>
      <c r="I192" s="3">
        <f t="shared" si="128"/>
        <v>6.8598536150208847E-2</v>
      </c>
      <c r="J192" s="3">
        <f t="shared" si="128"/>
        <v>6.8598536150208833E-2</v>
      </c>
      <c r="K192" s="3">
        <f t="shared" si="128"/>
        <v>6.8598536150208791E-2</v>
      </c>
      <c r="L192" s="3">
        <f t="shared" si="128"/>
        <v>6.859853615020825E-2</v>
      </c>
      <c r="M192" s="3">
        <f t="shared" si="128"/>
        <v>6.8598536150202852E-2</v>
      </c>
      <c r="N192" s="3">
        <f t="shared" si="128"/>
        <v>6.8598536150148826E-2</v>
      </c>
      <c r="O192" s="3">
        <f t="shared" si="128"/>
        <v>6.8598536149608633E-2</v>
      </c>
      <c r="P192" s="3">
        <f t="shared" si="128"/>
        <v>6.8598536144206704E-2</v>
      </c>
      <c r="Q192" s="3">
        <f t="shared" si="128"/>
        <v>6.8598536090187429E-2</v>
      </c>
      <c r="R192" s="3">
        <f t="shared" si="128"/>
        <v>6.8598535549994705E-2</v>
      </c>
      <c r="S192" s="3">
        <f t="shared" si="128"/>
        <v>6.8598530148067688E-2</v>
      </c>
      <c r="T192" s="3">
        <f t="shared" si="128"/>
        <v>6.8598476128820918E-2</v>
      </c>
      <c r="U192" s="3">
        <f t="shared" si="128"/>
        <v>6.8597935938692844E-2</v>
      </c>
      <c r="V192" s="3">
        <f t="shared" si="128"/>
        <v>6.8592534271366454E-2</v>
      </c>
      <c r="W192" s="3">
        <f t="shared" si="128"/>
        <v>6.853854098672911E-2</v>
      </c>
      <c r="X192" s="3">
        <f t="shared" si="128"/>
        <v>6.8000940202736837E-2</v>
      </c>
      <c r="Y192" s="3">
        <f t="shared" si="128"/>
        <v>6.2851484572495092E-2</v>
      </c>
      <c r="Z192" s="3">
        <f t="shared" si="128"/>
        <v>2.8597085188024784E-2</v>
      </c>
      <c r="AA192" s="3">
        <f t="shared" si="128"/>
        <v>1.0873868004343258E-5</v>
      </c>
      <c r="AB192" s="3">
        <f t="shared" si="128"/>
        <v>6.8707941112206024E-40</v>
      </c>
      <c r="AC192" s="3">
        <f t="shared" si="128"/>
        <v>0</v>
      </c>
      <c r="AD192" s="3">
        <f t="shared" si="128"/>
        <v>0</v>
      </c>
      <c r="AE192" s="3">
        <f t="shared" si="128"/>
        <v>0</v>
      </c>
      <c r="AF192" s="3">
        <f t="shared" si="128"/>
        <v>0</v>
      </c>
      <c r="AG192" s="3"/>
      <c r="AH192" s="3"/>
    </row>
    <row r="193" spans="1:34" x14ac:dyDescent="0.25">
      <c r="B193" s="3">
        <f t="shared" ref="B193:AF193" si="129">$C40*EXP(-B$168/$A40/EXP(-$C$126))</f>
        <v>4.2430467850210242E-2</v>
      </c>
      <c r="C193" s="3">
        <f t="shared" si="129"/>
        <v>4.2430467850210242E-2</v>
      </c>
      <c r="D193" s="3">
        <f t="shared" si="129"/>
        <v>4.2430467850210242E-2</v>
      </c>
      <c r="E193" s="3">
        <f t="shared" si="129"/>
        <v>4.2430467850210242E-2</v>
      </c>
      <c r="F193" s="3">
        <f t="shared" si="129"/>
        <v>4.2430467850210242E-2</v>
      </c>
      <c r="G193" s="3">
        <f t="shared" si="129"/>
        <v>4.2430467850210242E-2</v>
      </c>
      <c r="H193" s="3">
        <f t="shared" si="129"/>
        <v>4.2430467850210242E-2</v>
      </c>
      <c r="I193" s="3">
        <f t="shared" si="129"/>
        <v>4.2430467850210242E-2</v>
      </c>
      <c r="J193" s="3">
        <f t="shared" si="129"/>
        <v>4.2430467850210242E-2</v>
      </c>
      <c r="K193" s="3">
        <f t="shared" si="129"/>
        <v>4.2430467850210235E-2</v>
      </c>
      <c r="L193" s="3">
        <f t="shared" si="129"/>
        <v>4.2430467850210207E-2</v>
      </c>
      <c r="M193" s="3">
        <f t="shared" si="129"/>
        <v>4.2430467850209867E-2</v>
      </c>
      <c r="N193" s="3">
        <f t="shared" si="129"/>
        <v>4.243046785020653E-2</v>
      </c>
      <c r="O193" s="3">
        <f t="shared" si="129"/>
        <v>4.2430467850173119E-2</v>
      </c>
      <c r="P193" s="3">
        <f t="shared" si="129"/>
        <v>4.243046784983899E-2</v>
      </c>
      <c r="Q193" s="3">
        <f t="shared" si="129"/>
        <v>4.2430467846497719E-2</v>
      </c>
      <c r="R193" s="3">
        <f t="shared" si="129"/>
        <v>4.2430467813085009E-2</v>
      </c>
      <c r="S193" s="3">
        <f t="shared" si="129"/>
        <v>4.2430467478957908E-2</v>
      </c>
      <c r="T193" s="3">
        <f t="shared" si="129"/>
        <v>4.2430464137687036E-2</v>
      </c>
      <c r="U193" s="3">
        <f t="shared" si="129"/>
        <v>4.24304307249928E-2</v>
      </c>
      <c r="V193" s="3">
        <f t="shared" si="129"/>
        <v>4.2430096599497584E-2</v>
      </c>
      <c r="W193" s="3">
        <f t="shared" si="129"/>
        <v>4.2426755489253946E-2</v>
      </c>
      <c r="X193" s="3">
        <f t="shared" si="129"/>
        <v>4.2393358853458171E-2</v>
      </c>
      <c r="Y193" s="3">
        <f t="shared" si="129"/>
        <v>4.2060834953363803E-2</v>
      </c>
      <c r="Z193" s="3">
        <f t="shared" si="129"/>
        <v>3.8875726001670941E-2</v>
      </c>
      <c r="AA193" s="3">
        <f t="shared" si="129"/>
        <v>1.7688244848596744E-2</v>
      </c>
      <c r="AB193" s="3">
        <f t="shared" si="129"/>
        <v>6.725847702572466E-6</v>
      </c>
      <c r="AC193" s="3">
        <f t="shared" si="129"/>
        <v>4.2498138444703833E-40</v>
      </c>
      <c r="AD193" s="3">
        <f t="shared" si="129"/>
        <v>0</v>
      </c>
      <c r="AE193" s="3">
        <f t="shared" si="129"/>
        <v>0</v>
      </c>
      <c r="AF193" s="3">
        <f t="shared" si="129"/>
        <v>0</v>
      </c>
      <c r="AG193" s="3"/>
      <c r="AH193" s="3"/>
    </row>
    <row r="194" spans="1:34" x14ac:dyDescent="0.25">
      <c r="B194" s="3">
        <f t="shared" ref="B194:AF194" si="130">$C41*EXP(-B$168/$A41/EXP(-$C$126))</f>
        <v>4.2564807754428377E-2</v>
      </c>
      <c r="C194" s="3">
        <f t="shared" si="130"/>
        <v>4.2564807754428377E-2</v>
      </c>
      <c r="D194" s="3">
        <f t="shared" si="130"/>
        <v>4.2564807754428377E-2</v>
      </c>
      <c r="E194" s="3">
        <f t="shared" si="130"/>
        <v>4.2564807754428377E-2</v>
      </c>
      <c r="F194" s="3">
        <f t="shared" si="130"/>
        <v>4.2564807754428377E-2</v>
      </c>
      <c r="G194" s="3">
        <f t="shared" si="130"/>
        <v>4.2564807754428377E-2</v>
      </c>
      <c r="H194" s="3">
        <f t="shared" si="130"/>
        <v>4.2564807754428377E-2</v>
      </c>
      <c r="I194" s="3">
        <f t="shared" si="130"/>
        <v>4.2564807754428377E-2</v>
      </c>
      <c r="J194" s="3">
        <f t="shared" si="130"/>
        <v>4.2564807754428377E-2</v>
      </c>
      <c r="K194" s="3">
        <f t="shared" si="130"/>
        <v>4.2564807754428377E-2</v>
      </c>
      <c r="L194" s="3">
        <f t="shared" si="130"/>
        <v>4.256480775442837E-2</v>
      </c>
      <c r="M194" s="3">
        <f t="shared" si="130"/>
        <v>4.2564807754428342E-2</v>
      </c>
      <c r="N194" s="3">
        <f t="shared" si="130"/>
        <v>4.2564807754428002E-2</v>
      </c>
      <c r="O194" s="3">
        <f t="shared" si="130"/>
        <v>4.2564807754424651E-2</v>
      </c>
      <c r="P194" s="3">
        <f t="shared" si="130"/>
        <v>4.2564807754391136E-2</v>
      </c>
      <c r="Q194" s="3">
        <f t="shared" si="130"/>
        <v>4.2564807754055946E-2</v>
      </c>
      <c r="R194" s="3">
        <f t="shared" si="130"/>
        <v>4.2564807750704099E-2</v>
      </c>
      <c r="S194" s="3">
        <f t="shared" si="130"/>
        <v>4.2564807717185599E-2</v>
      </c>
      <c r="T194" s="3">
        <f t="shared" si="130"/>
        <v>4.2564807382000608E-2</v>
      </c>
      <c r="U194" s="3">
        <f t="shared" si="130"/>
        <v>4.256480403015088E-2</v>
      </c>
      <c r="V194" s="3">
        <f t="shared" si="130"/>
        <v>4.2564770511668085E-2</v>
      </c>
      <c r="W194" s="3">
        <f t="shared" si="130"/>
        <v>4.2564435328291836E-2</v>
      </c>
      <c r="X194" s="3">
        <f t="shared" si="130"/>
        <v>4.2561083639696067E-2</v>
      </c>
      <c r="Y194" s="3">
        <f t="shared" si="130"/>
        <v>4.2527581266182057E-2</v>
      </c>
      <c r="Z194" s="3">
        <f t="shared" si="130"/>
        <v>4.2194004555898404E-2</v>
      </c>
      <c r="AA194" s="3">
        <f t="shared" si="130"/>
        <v>3.8998811170703529E-2</v>
      </c>
      <c r="AB194" s="3">
        <f t="shared" si="130"/>
        <v>1.7744247934095025E-2</v>
      </c>
      <c r="AC194" s="3">
        <f t="shared" si="130"/>
        <v>6.747142535788519E-6</v>
      </c>
      <c r="AD194" s="3">
        <f t="shared" si="130"/>
        <v>4.2632692602067011E-40</v>
      </c>
      <c r="AE194" s="3">
        <f t="shared" si="130"/>
        <v>0</v>
      </c>
      <c r="AF194" s="3">
        <f t="shared" si="130"/>
        <v>0</v>
      </c>
      <c r="AG194" s="3"/>
      <c r="AH194" s="3"/>
    </row>
    <row r="195" spans="1:34" x14ac:dyDescent="0.25">
      <c r="B195" s="3">
        <f t="shared" ref="B195:AF195" si="131">$C42*EXP(-B$168/$A42/EXP(-$C$126))</f>
        <v>1.7794430151868639E-2</v>
      </c>
      <c r="C195" s="3">
        <f t="shared" si="131"/>
        <v>1.7794430151868639E-2</v>
      </c>
      <c r="D195" s="3">
        <f t="shared" si="131"/>
        <v>1.7794430151868639E-2</v>
      </c>
      <c r="E195" s="3">
        <f t="shared" si="131"/>
        <v>1.7794430151868639E-2</v>
      </c>
      <c r="F195" s="3">
        <f t="shared" si="131"/>
        <v>1.7794430151868639E-2</v>
      </c>
      <c r="G195" s="3">
        <f t="shared" si="131"/>
        <v>1.7794430151868639E-2</v>
      </c>
      <c r="H195" s="3">
        <f t="shared" si="131"/>
        <v>1.7794430151868639E-2</v>
      </c>
      <c r="I195" s="3">
        <f t="shared" si="131"/>
        <v>1.7794430151868639E-2</v>
      </c>
      <c r="J195" s="3">
        <f t="shared" si="131"/>
        <v>1.7794430151868639E-2</v>
      </c>
      <c r="K195" s="3">
        <f t="shared" si="131"/>
        <v>1.7794430151868639E-2</v>
      </c>
      <c r="L195" s="3">
        <f t="shared" si="131"/>
        <v>1.7794430151868639E-2</v>
      </c>
      <c r="M195" s="3">
        <f t="shared" si="131"/>
        <v>1.7794430151868636E-2</v>
      </c>
      <c r="N195" s="3">
        <f t="shared" si="131"/>
        <v>1.7794430151868622E-2</v>
      </c>
      <c r="O195" s="3">
        <f t="shared" si="131"/>
        <v>1.7794430151868483E-2</v>
      </c>
      <c r="P195" s="3">
        <f t="shared" si="131"/>
        <v>1.7794430151867081E-2</v>
      </c>
      <c r="Q195" s="3">
        <f t="shared" si="131"/>
        <v>1.7794430151853068E-2</v>
      </c>
      <c r="R195" s="3">
        <f t="shared" si="131"/>
        <v>1.7794430151712944E-2</v>
      </c>
      <c r="S195" s="3">
        <f t="shared" si="131"/>
        <v>1.7794430150311687E-2</v>
      </c>
      <c r="T195" s="3">
        <f t="shared" si="131"/>
        <v>1.7794430136299111E-2</v>
      </c>
      <c r="U195" s="3">
        <f t="shared" si="131"/>
        <v>1.7794429996173356E-2</v>
      </c>
      <c r="V195" s="3">
        <f t="shared" si="131"/>
        <v>1.7794428594915857E-2</v>
      </c>
      <c r="W195" s="3">
        <f t="shared" si="131"/>
        <v>1.7794414582346971E-2</v>
      </c>
      <c r="X195" s="3">
        <f t="shared" si="131"/>
        <v>1.7794274457264975E-2</v>
      </c>
      <c r="Y195" s="3">
        <f t="shared" si="131"/>
        <v>1.7792873267132688E-2</v>
      </c>
      <c r="Z195" s="3">
        <f t="shared" si="131"/>
        <v>1.7778867432809264E-2</v>
      </c>
      <c r="AA195" s="3">
        <f t="shared" si="131"/>
        <v>1.7639414025532568E-2</v>
      </c>
      <c r="AB195" s="3">
        <f t="shared" si="131"/>
        <v>1.6303647496464957E-2</v>
      </c>
      <c r="AC195" s="3">
        <f t="shared" si="131"/>
        <v>7.4180713391767484E-3</v>
      </c>
      <c r="AD195" s="3">
        <f t="shared" si="131"/>
        <v>2.8206765849964315E-6</v>
      </c>
      <c r="AE195" s="3">
        <f t="shared" si="131"/>
        <v>1.7822809750964803E-40</v>
      </c>
      <c r="AF195" s="3">
        <f t="shared" si="131"/>
        <v>0</v>
      </c>
      <c r="AG195" s="3"/>
      <c r="AH195" s="3"/>
    </row>
    <row r="196" spans="1:34" x14ac:dyDescent="0.25">
      <c r="B196" s="3">
        <f t="shared" ref="B196:AF196" si="132">$C43*EXP(-B$168/$A43/EXP(-$C$126))</f>
        <v>1.1846247724533283E-2</v>
      </c>
      <c r="C196" s="3">
        <f t="shared" si="132"/>
        <v>1.1846247724533283E-2</v>
      </c>
      <c r="D196" s="3">
        <f t="shared" si="132"/>
        <v>1.1846247724533283E-2</v>
      </c>
      <c r="E196" s="3">
        <f t="shared" si="132"/>
        <v>1.1846247724533283E-2</v>
      </c>
      <c r="F196" s="3">
        <f t="shared" si="132"/>
        <v>1.1846247724533283E-2</v>
      </c>
      <c r="G196" s="3">
        <f t="shared" si="132"/>
        <v>1.1846247724533283E-2</v>
      </c>
      <c r="H196" s="3">
        <f t="shared" si="132"/>
        <v>1.1846247724533283E-2</v>
      </c>
      <c r="I196" s="3">
        <f t="shared" si="132"/>
        <v>1.1846247724533283E-2</v>
      </c>
      <c r="J196" s="3">
        <f t="shared" si="132"/>
        <v>1.1846247724533283E-2</v>
      </c>
      <c r="K196" s="3">
        <f t="shared" si="132"/>
        <v>1.1846247724533283E-2</v>
      </c>
      <c r="L196" s="3">
        <f t="shared" si="132"/>
        <v>1.1846247724533283E-2</v>
      </c>
      <c r="M196" s="3">
        <f t="shared" si="132"/>
        <v>1.1846247724533283E-2</v>
      </c>
      <c r="N196" s="3">
        <f t="shared" si="132"/>
        <v>1.1846247724533281E-2</v>
      </c>
      <c r="O196" s="3">
        <f t="shared" si="132"/>
        <v>1.1846247724533273E-2</v>
      </c>
      <c r="P196" s="3">
        <f t="shared" si="132"/>
        <v>1.1846247724533179E-2</v>
      </c>
      <c r="Q196" s="3">
        <f t="shared" si="132"/>
        <v>1.1846247724532247E-2</v>
      </c>
      <c r="R196" s="3">
        <f t="shared" si="132"/>
        <v>1.1846247724522918E-2</v>
      </c>
      <c r="S196" s="3">
        <f t="shared" si="132"/>
        <v>1.1846247724429632E-2</v>
      </c>
      <c r="T196" s="3">
        <f t="shared" si="132"/>
        <v>1.1846247723496775E-2</v>
      </c>
      <c r="U196" s="3">
        <f t="shared" si="132"/>
        <v>1.1846247714168213E-2</v>
      </c>
      <c r="V196" s="3">
        <f t="shared" si="132"/>
        <v>1.1846247620882596E-2</v>
      </c>
      <c r="W196" s="3">
        <f t="shared" si="132"/>
        <v>1.1846246688026457E-2</v>
      </c>
      <c r="X196" s="3">
        <f t="shared" si="132"/>
        <v>1.1846237359469099E-2</v>
      </c>
      <c r="Y196" s="3">
        <f t="shared" si="132"/>
        <v>1.184614407429955E-2</v>
      </c>
      <c r="Z196" s="3">
        <f t="shared" si="132"/>
        <v>1.1845211263005534E-2</v>
      </c>
      <c r="AA196" s="3">
        <f t="shared" si="132"/>
        <v>1.183588718903587E-2</v>
      </c>
      <c r="AB196" s="3">
        <f t="shared" si="132"/>
        <v>1.1743049172053545E-2</v>
      </c>
      <c r="AC196" s="3">
        <f t="shared" si="132"/>
        <v>1.085379219273897E-2</v>
      </c>
      <c r="AD196" s="3">
        <f t="shared" si="132"/>
        <v>4.9384166827573291E-3</v>
      </c>
      <c r="AE196" s="3">
        <f t="shared" si="132"/>
        <v>1.877802958087385E-6</v>
      </c>
      <c r="AF196" s="3">
        <f t="shared" si="132"/>
        <v>1.1865140814019535E-40</v>
      </c>
      <c r="AG196" s="3"/>
      <c r="AH196" s="3"/>
    </row>
    <row r="197" spans="1:34" x14ac:dyDescent="0.25">
      <c r="B197" s="3">
        <f t="shared" ref="B197:AF197" si="133">$C44*EXP(-B$168/$A44/EXP(-$C$126))</f>
        <v>4.239833197731321E-3</v>
      </c>
      <c r="C197" s="3">
        <f t="shared" si="133"/>
        <v>4.239833197731321E-3</v>
      </c>
      <c r="D197" s="3">
        <f t="shared" si="133"/>
        <v>4.239833197731321E-3</v>
      </c>
      <c r="E197" s="3">
        <f t="shared" si="133"/>
        <v>4.239833197731321E-3</v>
      </c>
      <c r="F197" s="3">
        <f t="shared" si="133"/>
        <v>4.239833197731321E-3</v>
      </c>
      <c r="G197" s="3">
        <f t="shared" si="133"/>
        <v>4.239833197731321E-3</v>
      </c>
      <c r="H197" s="3">
        <f t="shared" si="133"/>
        <v>4.239833197731321E-3</v>
      </c>
      <c r="I197" s="3">
        <f t="shared" si="133"/>
        <v>4.239833197731321E-3</v>
      </c>
      <c r="J197" s="3">
        <f t="shared" si="133"/>
        <v>4.239833197731321E-3</v>
      </c>
      <c r="K197" s="3">
        <f t="shared" si="133"/>
        <v>4.239833197731321E-3</v>
      </c>
      <c r="L197" s="3">
        <f t="shared" si="133"/>
        <v>4.239833197731321E-3</v>
      </c>
      <c r="M197" s="3">
        <f t="shared" si="133"/>
        <v>4.239833197731321E-3</v>
      </c>
      <c r="N197" s="3">
        <f t="shared" si="133"/>
        <v>4.239833197731321E-3</v>
      </c>
      <c r="O197" s="3">
        <f t="shared" si="133"/>
        <v>4.2398331977313202E-3</v>
      </c>
      <c r="P197" s="3">
        <f t="shared" si="133"/>
        <v>4.2398331977313176E-3</v>
      </c>
      <c r="Q197" s="3">
        <f t="shared" si="133"/>
        <v>4.2398331977312837E-3</v>
      </c>
      <c r="R197" s="3">
        <f t="shared" si="133"/>
        <v>4.2398331977309498E-3</v>
      </c>
      <c r="S197" s="3">
        <f t="shared" si="133"/>
        <v>4.2398331977276113E-3</v>
      </c>
      <c r="T197" s="3">
        <f t="shared" si="133"/>
        <v>4.239833197694224E-3</v>
      </c>
      <c r="U197" s="3">
        <f t="shared" si="133"/>
        <v>4.2398331973603496E-3</v>
      </c>
      <c r="V197" s="3">
        <f t="shared" si="133"/>
        <v>4.2398331940216097E-3</v>
      </c>
      <c r="W197" s="3">
        <f t="shared" si="133"/>
        <v>4.2398331606342049E-3</v>
      </c>
      <c r="X197" s="3">
        <f t="shared" si="133"/>
        <v>4.2398328267601783E-3</v>
      </c>
      <c r="Y197" s="3">
        <f t="shared" si="133"/>
        <v>4.2398294880213565E-3</v>
      </c>
      <c r="Z197" s="3">
        <f t="shared" si="133"/>
        <v>4.2397961007777409E-3</v>
      </c>
      <c r="AA197" s="3">
        <f t="shared" si="133"/>
        <v>4.2394622428014814E-3</v>
      </c>
      <c r="AB197" s="3">
        <f t="shared" si="133"/>
        <v>4.2361251086072658E-3</v>
      </c>
      <c r="AC197" s="3">
        <f t="shared" si="133"/>
        <v>4.2028979032029731E-3</v>
      </c>
      <c r="AD197" s="3">
        <f t="shared" si="133"/>
        <v>3.8846282409533807E-3</v>
      </c>
      <c r="AE197" s="3">
        <f t="shared" si="133"/>
        <v>1.7674848173588758E-3</v>
      </c>
      <c r="AF197" s="3">
        <f t="shared" si="133"/>
        <v>6.7207536982438382E-7</v>
      </c>
      <c r="AG197" s="3"/>
      <c r="AH197" s="3"/>
    </row>
    <row r="198" spans="1:34" x14ac:dyDescent="0.25">
      <c r="B198" s="3">
        <f t="shared" ref="B198:AF198" si="134">$C45*EXP(-B$168/$A45/EXP(-$C$126))</f>
        <v>3.1413173103933909E-3</v>
      </c>
      <c r="C198" s="3">
        <f t="shared" si="134"/>
        <v>3.1413173103933909E-3</v>
      </c>
      <c r="D198" s="3">
        <f t="shared" si="134"/>
        <v>3.1413173103933909E-3</v>
      </c>
      <c r="E198" s="3">
        <f t="shared" si="134"/>
        <v>3.1413173103933909E-3</v>
      </c>
      <c r="F198" s="3">
        <f t="shared" si="134"/>
        <v>3.1413173103933909E-3</v>
      </c>
      <c r="G198" s="3">
        <f t="shared" si="134"/>
        <v>3.1413173103933909E-3</v>
      </c>
      <c r="H198" s="3">
        <f t="shared" si="134"/>
        <v>3.1413173103933909E-3</v>
      </c>
      <c r="I198" s="3">
        <f t="shared" si="134"/>
        <v>3.1413173103933909E-3</v>
      </c>
      <c r="J198" s="3">
        <f t="shared" si="134"/>
        <v>3.1413173103933909E-3</v>
      </c>
      <c r="K198" s="3">
        <f t="shared" si="134"/>
        <v>3.1413173103933909E-3</v>
      </c>
      <c r="L198" s="3">
        <f t="shared" si="134"/>
        <v>3.1413173103933909E-3</v>
      </c>
      <c r="M198" s="3">
        <f t="shared" si="134"/>
        <v>3.1413173103933909E-3</v>
      </c>
      <c r="N198" s="3">
        <f t="shared" si="134"/>
        <v>3.1413173103933909E-3</v>
      </c>
      <c r="O198" s="3">
        <f t="shared" si="134"/>
        <v>3.1413173103933909E-3</v>
      </c>
      <c r="P198" s="3">
        <f t="shared" si="134"/>
        <v>3.1413173103933905E-3</v>
      </c>
      <c r="Q198" s="3">
        <f t="shared" si="134"/>
        <v>3.1413173103933883E-3</v>
      </c>
      <c r="R198" s="3">
        <f t="shared" si="134"/>
        <v>3.1413173103933632E-3</v>
      </c>
      <c r="S198" s="3">
        <f t="shared" si="134"/>
        <v>3.141317310393116E-3</v>
      </c>
      <c r="T198" s="3">
        <f t="shared" si="134"/>
        <v>3.1413173103906422E-3</v>
      </c>
      <c r="U198" s="3">
        <f t="shared" si="134"/>
        <v>3.1413173103659055E-3</v>
      </c>
      <c r="V198" s="3">
        <f t="shared" si="134"/>
        <v>3.1413173101185361E-3</v>
      </c>
      <c r="W198" s="3">
        <f t="shared" si="134"/>
        <v>3.1413173076448439E-3</v>
      </c>
      <c r="X198" s="3">
        <f t="shared" si="134"/>
        <v>3.14131728290792E-3</v>
      </c>
      <c r="Y198" s="3">
        <f t="shared" si="134"/>
        <v>3.1413170355386933E-3</v>
      </c>
      <c r="Z198" s="3">
        <f t="shared" si="134"/>
        <v>3.141314561847497E-3</v>
      </c>
      <c r="AA198" s="3">
        <f t="shared" si="134"/>
        <v>3.1412898250426685E-3</v>
      </c>
      <c r="AB198" s="3">
        <f t="shared" si="134"/>
        <v>3.1410424677078093E-3</v>
      </c>
      <c r="AC198" s="3">
        <f t="shared" si="134"/>
        <v>3.1385699653893213E-3</v>
      </c>
      <c r="AD198" s="3">
        <f t="shared" si="134"/>
        <v>3.1139517338116371E-3</v>
      </c>
      <c r="AE198" s="3">
        <f t="shared" si="134"/>
        <v>2.8781438723295689E-3</v>
      </c>
      <c r="AF198" s="3">
        <f t="shared" si="134"/>
        <v>1.3095398789739802E-3</v>
      </c>
      <c r="AG198" s="3"/>
      <c r="AH198" s="3"/>
    </row>
    <row r="199" spans="1:34" x14ac:dyDescent="0.25">
      <c r="B199" s="3">
        <f t="shared" ref="B199:AF199" si="135">$C46*EXP(-B$168/$A46/EXP(-$C$126))</f>
        <v>2.257189619316161E-3</v>
      </c>
      <c r="C199" s="3">
        <f t="shared" si="135"/>
        <v>2.257189619316161E-3</v>
      </c>
      <c r="D199" s="3">
        <f t="shared" si="135"/>
        <v>2.257189619316161E-3</v>
      </c>
      <c r="E199" s="3">
        <f t="shared" si="135"/>
        <v>2.257189619316161E-3</v>
      </c>
      <c r="F199" s="3">
        <f t="shared" si="135"/>
        <v>2.257189619316161E-3</v>
      </c>
      <c r="G199" s="3">
        <f t="shared" si="135"/>
        <v>2.257189619316161E-3</v>
      </c>
      <c r="H199" s="3">
        <f t="shared" si="135"/>
        <v>2.257189619316161E-3</v>
      </c>
      <c r="I199" s="3">
        <f t="shared" si="135"/>
        <v>2.257189619316161E-3</v>
      </c>
      <c r="J199" s="3">
        <f t="shared" si="135"/>
        <v>2.257189619316161E-3</v>
      </c>
      <c r="K199" s="3">
        <f t="shared" si="135"/>
        <v>2.257189619316161E-3</v>
      </c>
      <c r="L199" s="3">
        <f t="shared" si="135"/>
        <v>2.257189619316161E-3</v>
      </c>
      <c r="M199" s="3">
        <f t="shared" si="135"/>
        <v>2.257189619316161E-3</v>
      </c>
      <c r="N199" s="3">
        <f t="shared" si="135"/>
        <v>2.257189619316161E-3</v>
      </c>
      <c r="O199" s="3">
        <f t="shared" si="135"/>
        <v>2.257189619316161E-3</v>
      </c>
      <c r="P199" s="3">
        <f t="shared" si="135"/>
        <v>2.257189619316161E-3</v>
      </c>
      <c r="Q199" s="3">
        <f t="shared" si="135"/>
        <v>2.2571896193161606E-3</v>
      </c>
      <c r="R199" s="3">
        <f t="shared" si="135"/>
        <v>2.2571896193161588E-3</v>
      </c>
      <c r="S199" s="3">
        <f t="shared" si="135"/>
        <v>2.2571896193161411E-3</v>
      </c>
      <c r="T199" s="3">
        <f t="shared" si="135"/>
        <v>2.2571896193159637E-3</v>
      </c>
      <c r="U199" s="3">
        <f t="shared" si="135"/>
        <v>2.257189619314186E-3</v>
      </c>
      <c r="V199" s="3">
        <f t="shared" si="135"/>
        <v>2.2571896192964112E-3</v>
      </c>
      <c r="W199" s="3">
        <f t="shared" si="135"/>
        <v>2.2571896191186645E-3</v>
      </c>
      <c r="X199" s="3">
        <f t="shared" si="135"/>
        <v>2.2571896173411957E-3</v>
      </c>
      <c r="Y199" s="3">
        <f t="shared" si="135"/>
        <v>2.2571895995665103E-3</v>
      </c>
      <c r="Z199" s="3">
        <f t="shared" si="135"/>
        <v>2.2571894218196623E-3</v>
      </c>
      <c r="AA199" s="3">
        <f t="shared" si="135"/>
        <v>2.257187644351951E-3</v>
      </c>
      <c r="AB199" s="3">
        <f t="shared" si="135"/>
        <v>2.2571698697518212E-3</v>
      </c>
      <c r="AC199" s="3">
        <f t="shared" si="135"/>
        <v>2.2569921314486391E-3</v>
      </c>
      <c r="AD199" s="3">
        <f t="shared" si="135"/>
        <v>2.2552155180041579E-3</v>
      </c>
      <c r="AE199" s="3">
        <f t="shared" si="135"/>
        <v>2.237526118534955E-3</v>
      </c>
      <c r="AF199" s="3">
        <f t="shared" si="135"/>
        <v>2.0680866749838637E-3</v>
      </c>
      <c r="AG199" s="3"/>
      <c r="AH199" s="3"/>
    </row>
    <row r="200" spans="1:34" x14ac:dyDescent="0.25">
      <c r="B200" s="3">
        <f t="shared" ref="B200:AF200" si="136">$C47*EXP(-B$168/$A47/EXP(-$C$126))</f>
        <v>3.6224207496198294E-4</v>
      </c>
      <c r="C200" s="3">
        <f t="shared" si="136"/>
        <v>3.6224207496198294E-4</v>
      </c>
      <c r="D200" s="3">
        <f t="shared" si="136"/>
        <v>3.6224207496198294E-4</v>
      </c>
      <c r="E200" s="3">
        <f t="shared" si="136"/>
        <v>3.6224207496198294E-4</v>
      </c>
      <c r="F200" s="3">
        <f t="shared" si="136"/>
        <v>3.6224207496198294E-4</v>
      </c>
      <c r="G200" s="3">
        <f t="shared" si="136"/>
        <v>3.6224207496198294E-4</v>
      </c>
      <c r="H200" s="3">
        <f t="shared" si="136"/>
        <v>3.6224207496198294E-4</v>
      </c>
      <c r="I200" s="3">
        <f t="shared" si="136"/>
        <v>3.6224207496198294E-4</v>
      </c>
      <c r="J200" s="3">
        <f t="shared" si="136"/>
        <v>3.6224207496198294E-4</v>
      </c>
      <c r="K200" s="3">
        <f t="shared" si="136"/>
        <v>3.6224207496198294E-4</v>
      </c>
      <c r="L200" s="3">
        <f t="shared" si="136"/>
        <v>3.6224207496198294E-4</v>
      </c>
      <c r="M200" s="3">
        <f t="shared" si="136"/>
        <v>3.6224207496198294E-4</v>
      </c>
      <c r="N200" s="3">
        <f t="shared" si="136"/>
        <v>3.6224207496198294E-4</v>
      </c>
      <c r="O200" s="3">
        <f t="shared" si="136"/>
        <v>3.6224207496198294E-4</v>
      </c>
      <c r="P200" s="3">
        <f t="shared" si="136"/>
        <v>3.6224207496198294E-4</v>
      </c>
      <c r="Q200" s="3">
        <f t="shared" si="136"/>
        <v>3.6224207496198294E-4</v>
      </c>
      <c r="R200" s="3">
        <f t="shared" si="136"/>
        <v>3.6224207496198289E-4</v>
      </c>
      <c r="S200" s="3">
        <f t="shared" si="136"/>
        <v>3.6224207496198262E-4</v>
      </c>
      <c r="T200" s="3">
        <f t="shared" si="136"/>
        <v>3.6224207496197974E-4</v>
      </c>
      <c r="U200" s="3">
        <f t="shared" si="136"/>
        <v>3.6224207496195123E-4</v>
      </c>
      <c r="V200" s="3">
        <f t="shared" si="136"/>
        <v>3.6224207496166598E-4</v>
      </c>
      <c r="W200" s="3">
        <f t="shared" si="136"/>
        <v>3.6224207495881344E-4</v>
      </c>
      <c r="X200" s="3">
        <f t="shared" si="136"/>
        <v>3.6224207493028797E-4</v>
      </c>
      <c r="Y200" s="3">
        <f t="shared" si="136"/>
        <v>3.622420746450333E-4</v>
      </c>
      <c r="Z200" s="3">
        <f t="shared" si="136"/>
        <v>3.6224207179248648E-4</v>
      </c>
      <c r="AA200" s="3">
        <f t="shared" si="136"/>
        <v>3.6224204326701988E-4</v>
      </c>
      <c r="AB200" s="3">
        <f t="shared" si="136"/>
        <v>3.6224175801247756E-4</v>
      </c>
      <c r="AC200" s="3">
        <f t="shared" si="136"/>
        <v>3.6223890547940827E-4</v>
      </c>
      <c r="AD200" s="3">
        <f t="shared" si="136"/>
        <v>3.6221038138413783E-4</v>
      </c>
      <c r="AE200" s="3">
        <f t="shared" si="136"/>
        <v>3.6192526393763404E-4</v>
      </c>
      <c r="AF200" s="3">
        <f t="shared" si="136"/>
        <v>3.5908640418313249E-4</v>
      </c>
      <c r="AG200" s="3"/>
      <c r="AH200" s="3"/>
    </row>
    <row r="201" spans="1:34" x14ac:dyDescent="0.25">
      <c r="B201" s="3">
        <f t="shared" ref="B201:AF201" si="137">$C48*EXP(-B$168/$A48/EXP(-$C$126))</f>
        <v>0</v>
      </c>
      <c r="C201" s="3">
        <f t="shared" si="137"/>
        <v>0</v>
      </c>
      <c r="D201" s="3">
        <f t="shared" si="137"/>
        <v>0</v>
      </c>
      <c r="E201" s="3">
        <f t="shared" si="137"/>
        <v>0</v>
      </c>
      <c r="F201" s="3">
        <f t="shared" si="137"/>
        <v>0</v>
      </c>
      <c r="G201" s="3">
        <f t="shared" si="137"/>
        <v>0</v>
      </c>
      <c r="H201" s="3">
        <f t="shared" si="137"/>
        <v>0</v>
      </c>
      <c r="I201" s="3">
        <f t="shared" si="137"/>
        <v>0</v>
      </c>
      <c r="J201" s="3">
        <f t="shared" si="137"/>
        <v>0</v>
      </c>
      <c r="K201" s="3">
        <f t="shared" si="137"/>
        <v>0</v>
      </c>
      <c r="L201" s="3">
        <f t="shared" si="137"/>
        <v>0</v>
      </c>
      <c r="M201" s="3">
        <f t="shared" si="137"/>
        <v>0</v>
      </c>
      <c r="N201" s="3">
        <f t="shared" si="137"/>
        <v>0</v>
      </c>
      <c r="O201" s="3">
        <f t="shared" si="137"/>
        <v>0</v>
      </c>
      <c r="P201" s="3">
        <f t="shared" si="137"/>
        <v>0</v>
      </c>
      <c r="Q201" s="3">
        <f t="shared" si="137"/>
        <v>0</v>
      </c>
      <c r="R201" s="3">
        <f t="shared" si="137"/>
        <v>0</v>
      </c>
      <c r="S201" s="3">
        <f t="shared" si="137"/>
        <v>0</v>
      </c>
      <c r="T201" s="3">
        <f t="shared" si="137"/>
        <v>0</v>
      </c>
      <c r="U201" s="3">
        <f t="shared" si="137"/>
        <v>0</v>
      </c>
      <c r="V201" s="3">
        <f t="shared" si="137"/>
        <v>0</v>
      </c>
      <c r="W201" s="3">
        <f t="shared" si="137"/>
        <v>0</v>
      </c>
      <c r="X201" s="3">
        <f t="shared" si="137"/>
        <v>0</v>
      </c>
      <c r="Y201" s="3">
        <f t="shared" si="137"/>
        <v>0</v>
      </c>
      <c r="Z201" s="3">
        <f t="shared" si="137"/>
        <v>0</v>
      </c>
      <c r="AA201" s="3">
        <f t="shared" si="137"/>
        <v>0</v>
      </c>
      <c r="AB201" s="3">
        <f t="shared" si="137"/>
        <v>0</v>
      </c>
      <c r="AC201" s="3">
        <f t="shared" si="137"/>
        <v>0</v>
      </c>
      <c r="AD201" s="3">
        <f t="shared" si="137"/>
        <v>0</v>
      </c>
      <c r="AE201" s="3">
        <f t="shared" si="137"/>
        <v>0</v>
      </c>
      <c r="AF201" s="3">
        <f t="shared" si="137"/>
        <v>0</v>
      </c>
      <c r="AG201" s="3"/>
      <c r="AH201" s="3"/>
    </row>
    <row r="202" spans="1:34" x14ac:dyDescent="0.25">
      <c r="A202" s="80">
        <f>AVERAGE(B202:AF202)</f>
        <v>5.955477198171159E-3</v>
      </c>
      <c r="B202" s="81">
        <f>IF($A$64&lt;=B168,IF($B$64&gt;=B168,ABS((B170-B169)/B169),0),0)</f>
        <v>6.0081287246973918E-2</v>
      </c>
      <c r="C202" s="81">
        <f t="shared" ref="C202:AF202" si="138">IF($A$64&lt;=C168,IF($B$64&gt;=C168,ABS((C170-C169)/C169),0),0)</f>
        <v>2.5633485797293947E-2</v>
      </c>
      <c r="D202" s="81">
        <f t="shared" si="138"/>
        <v>5.6013362525360183E-3</v>
      </c>
      <c r="E202" s="81">
        <f t="shared" si="138"/>
        <v>7.7310781540403835E-3</v>
      </c>
      <c r="F202" s="81">
        <f t="shared" si="138"/>
        <v>4.8022017915379887E-3</v>
      </c>
      <c r="G202" s="81">
        <f t="shared" si="138"/>
        <v>2.3971574692699085E-3</v>
      </c>
      <c r="H202" s="81">
        <f t="shared" si="138"/>
        <v>2.4192361175332999E-3</v>
      </c>
      <c r="I202" s="81">
        <f t="shared" si="138"/>
        <v>2.4458697935035075E-3</v>
      </c>
      <c r="J202" s="81">
        <f t="shared" si="138"/>
        <v>2.138629776026755E-3</v>
      </c>
      <c r="K202" s="81">
        <f t="shared" si="138"/>
        <v>2.2297071756793101E-3</v>
      </c>
      <c r="L202" s="81">
        <f t="shared" si="138"/>
        <v>2.053557573739994E-3</v>
      </c>
      <c r="M202" s="81">
        <f t="shared" si="138"/>
        <v>1.8968969570682486E-3</v>
      </c>
      <c r="N202" s="81">
        <f t="shared" si="138"/>
        <v>1.698905997225271E-3</v>
      </c>
      <c r="O202" s="81">
        <f t="shared" si="138"/>
        <v>1.9910277329820503E-3</v>
      </c>
      <c r="P202" s="81">
        <f t="shared" si="138"/>
        <v>1.8558944639599023E-3</v>
      </c>
      <c r="Q202" s="81">
        <f t="shared" si="138"/>
        <v>2.0124125399237224E-3</v>
      </c>
      <c r="R202" s="81">
        <f t="shared" si="138"/>
        <v>1.9205731510328393E-3</v>
      </c>
      <c r="S202" s="81">
        <f t="shared" si="138"/>
        <v>1.5833009874360873E-3</v>
      </c>
      <c r="T202" s="81">
        <f t="shared" si="138"/>
        <v>1.0599436107676223E-3</v>
      </c>
      <c r="U202" s="81">
        <f t="shared" si="138"/>
        <v>6.0423603883769479E-3</v>
      </c>
      <c r="V202" s="81">
        <f t="shared" si="138"/>
        <v>7.6886070686210612E-3</v>
      </c>
      <c r="W202" s="81">
        <f t="shared" si="138"/>
        <v>6.492474018684238E-3</v>
      </c>
      <c r="X202" s="81">
        <f t="shared" si="138"/>
        <v>5.3800333242348224E-3</v>
      </c>
      <c r="Y202" s="81">
        <f t="shared" si="138"/>
        <v>1.5807826255293163E-3</v>
      </c>
      <c r="Z202" s="81">
        <f t="shared" si="138"/>
        <v>9.0027405569436027E-3</v>
      </c>
      <c r="AA202" s="81">
        <f t="shared" si="138"/>
        <v>3.6355951338572176E-3</v>
      </c>
      <c r="AB202" s="81">
        <f t="shared" si="138"/>
        <v>6.6654967098485609E-3</v>
      </c>
      <c r="AC202" s="81">
        <f t="shared" si="138"/>
        <v>2.6682390159253433E-3</v>
      </c>
      <c r="AD202" s="81">
        <f t="shared" si="138"/>
        <v>2.2900453453301552E-3</v>
      </c>
      <c r="AE202" s="81">
        <f t="shared" si="138"/>
        <v>1.2221738519654123E-3</v>
      </c>
      <c r="AF202" s="81">
        <f t="shared" si="138"/>
        <v>3.9874251545845933E-4</v>
      </c>
    </row>
    <row r="203" spans="1:34" x14ac:dyDescent="0.25">
      <c r="B203" s="21">
        <f>(B170-B169)^2</f>
        <v>365723.52453062206</v>
      </c>
      <c r="C203" s="21">
        <f t="shared" ref="C203:AF203" si="139">(C170-C169)^2</f>
        <v>61935.811396204539</v>
      </c>
      <c r="D203" s="21">
        <f t="shared" si="139"/>
        <v>2834.0238845240997</v>
      </c>
      <c r="E203" s="21">
        <f t="shared" si="139"/>
        <v>5166.8061372819802</v>
      </c>
      <c r="F203" s="21">
        <f t="shared" si="139"/>
        <v>1900.0707686886456</v>
      </c>
      <c r="G203" s="21">
        <f t="shared" si="139"/>
        <v>448.44268813358178</v>
      </c>
      <c r="H203" s="21">
        <f t="shared" si="139"/>
        <v>429.87108395687062</v>
      </c>
      <c r="I203" s="21">
        <f t="shared" si="139"/>
        <v>410.42503932774969</v>
      </c>
      <c r="J203" s="21">
        <f t="shared" si="139"/>
        <v>292.25403431693513</v>
      </c>
      <c r="K203" s="21">
        <f t="shared" si="139"/>
        <v>296.49177431000277</v>
      </c>
      <c r="L203" s="21">
        <f t="shared" si="139"/>
        <v>231.67322987570824</v>
      </c>
      <c r="M203" s="21">
        <f t="shared" si="139"/>
        <v>178.56191702729751</v>
      </c>
      <c r="N203" s="21">
        <f t="shared" si="139"/>
        <v>128.19548004155698</v>
      </c>
      <c r="O203" s="21">
        <f t="shared" si="139"/>
        <v>159.40391168671448</v>
      </c>
      <c r="P203" s="21">
        <f t="shared" si="139"/>
        <v>126.40046986267704</v>
      </c>
      <c r="Q203" s="21">
        <f t="shared" si="139"/>
        <v>135.12394291860997</v>
      </c>
      <c r="R203" s="21">
        <f t="shared" si="139"/>
        <v>111.31186919746321</v>
      </c>
      <c r="S203" s="21">
        <f t="shared" si="139"/>
        <v>68.190574733597742</v>
      </c>
      <c r="T203" s="21">
        <f t="shared" si="139"/>
        <v>26.949527586936156</v>
      </c>
      <c r="U203" s="21">
        <f t="shared" si="139"/>
        <v>737.9247695132367</v>
      </c>
      <c r="V203" s="21">
        <f t="shared" si="139"/>
        <v>974.03654268162506</v>
      </c>
      <c r="W203" s="21">
        <f t="shared" si="139"/>
        <v>545.5587129370042</v>
      </c>
      <c r="X203" s="21">
        <f t="shared" si="139"/>
        <v>280.55067465044857</v>
      </c>
      <c r="Y203" s="21">
        <f t="shared" si="139"/>
        <v>16.72603674976606</v>
      </c>
      <c r="Z203" s="21">
        <f t="shared" si="139"/>
        <v>332.53322012351356</v>
      </c>
      <c r="AA203" s="21">
        <f t="shared" si="139"/>
        <v>29.281094211537003</v>
      </c>
      <c r="AB203" s="21">
        <f t="shared" si="139"/>
        <v>51.370216184320718</v>
      </c>
      <c r="AC203" s="21">
        <f t="shared" si="139"/>
        <v>4.5520071550477592</v>
      </c>
      <c r="AD203" s="21">
        <f t="shared" si="139"/>
        <v>2.2902676345257427</v>
      </c>
      <c r="AE203" s="21">
        <f t="shared" si="139"/>
        <v>0.51498007745022734</v>
      </c>
      <c r="AF203" s="21">
        <f t="shared" si="139"/>
        <v>4.8431195026262037E-2</v>
      </c>
      <c r="AG203" s="3"/>
      <c r="AH203" s="3"/>
    </row>
    <row r="204" spans="1:34" x14ac:dyDescent="0.25">
      <c r="A204" s="72">
        <f>SUM(B204:AF204)</f>
        <v>443578.91921341053</v>
      </c>
      <c r="B204" s="60">
        <f>IF($A$64&lt;=B168,IF($B$64&gt;=B168,ABS(B203),0),0)</f>
        <v>365723.52453062206</v>
      </c>
      <c r="C204" s="60">
        <f t="shared" ref="C204" si="140">IF($A$64&lt;=C168,IF($B$64&gt;=C168,ABS(C203),0),0)</f>
        <v>61935.811396204539</v>
      </c>
      <c r="D204" s="60">
        <f t="shared" ref="D204" si="141">IF($A$64&lt;=D168,IF($B$64&gt;=D168,ABS(D203),0),0)</f>
        <v>2834.0238845240997</v>
      </c>
      <c r="E204" s="60">
        <f t="shared" ref="E204" si="142">IF($A$64&lt;=E168,IF($B$64&gt;=E168,ABS(E203),0),0)</f>
        <v>5166.8061372819802</v>
      </c>
      <c r="F204" s="60">
        <f t="shared" ref="F204" si="143">IF($A$64&lt;=F168,IF($B$64&gt;=F168,ABS(F203),0),0)</f>
        <v>1900.0707686886456</v>
      </c>
      <c r="G204" s="60">
        <f t="shared" ref="G204" si="144">IF($A$64&lt;=G168,IF($B$64&gt;=G168,ABS(G203),0),0)</f>
        <v>448.44268813358178</v>
      </c>
      <c r="H204" s="60">
        <f t="shared" ref="H204" si="145">IF($A$64&lt;=H168,IF($B$64&gt;=H168,ABS(H203),0),0)</f>
        <v>429.87108395687062</v>
      </c>
      <c r="I204" s="60">
        <f t="shared" ref="I204" si="146">IF($A$64&lt;=I168,IF($B$64&gt;=I168,ABS(I203),0),0)</f>
        <v>410.42503932774969</v>
      </c>
      <c r="J204" s="60">
        <f t="shared" ref="J204" si="147">IF($A$64&lt;=J168,IF($B$64&gt;=J168,ABS(J203),0),0)</f>
        <v>292.25403431693513</v>
      </c>
      <c r="K204" s="60">
        <f t="shared" ref="K204" si="148">IF($A$64&lt;=K168,IF($B$64&gt;=K168,ABS(K203),0),0)</f>
        <v>296.49177431000277</v>
      </c>
      <c r="L204" s="60">
        <f t="shared" ref="L204" si="149">IF($A$64&lt;=L168,IF($B$64&gt;=L168,ABS(L203),0),0)</f>
        <v>231.67322987570824</v>
      </c>
      <c r="M204" s="60">
        <f t="shared" ref="M204" si="150">IF($A$64&lt;=M168,IF($B$64&gt;=M168,ABS(M203),0),0)</f>
        <v>178.56191702729751</v>
      </c>
      <c r="N204" s="60">
        <f t="shared" ref="N204" si="151">IF($A$64&lt;=N168,IF($B$64&gt;=N168,ABS(N203),0),0)</f>
        <v>128.19548004155698</v>
      </c>
      <c r="O204" s="60">
        <f t="shared" ref="O204" si="152">IF($A$64&lt;=O168,IF($B$64&gt;=O168,ABS(O203),0),0)</f>
        <v>159.40391168671448</v>
      </c>
      <c r="P204" s="60">
        <f t="shared" ref="P204" si="153">IF($A$64&lt;=P168,IF($B$64&gt;=P168,ABS(P203),0),0)</f>
        <v>126.40046986267704</v>
      </c>
      <c r="Q204" s="60">
        <f t="shared" ref="Q204" si="154">IF($A$64&lt;=Q168,IF($B$64&gt;=Q168,ABS(Q203),0),0)</f>
        <v>135.12394291860997</v>
      </c>
      <c r="R204" s="60">
        <f t="shared" ref="R204" si="155">IF($A$64&lt;=R168,IF($B$64&gt;=R168,ABS(R203),0),0)</f>
        <v>111.31186919746321</v>
      </c>
      <c r="S204" s="60">
        <f t="shared" ref="S204" si="156">IF($A$64&lt;=S168,IF($B$64&gt;=S168,ABS(S203),0),0)</f>
        <v>68.190574733597742</v>
      </c>
      <c r="T204" s="60">
        <f t="shared" ref="T204" si="157">IF($A$64&lt;=T168,IF($B$64&gt;=T168,ABS(T203),0),0)</f>
        <v>26.949527586936156</v>
      </c>
      <c r="U204" s="60">
        <f t="shared" ref="U204" si="158">IF($A$64&lt;=U168,IF($B$64&gt;=U168,ABS(U203),0),0)</f>
        <v>737.9247695132367</v>
      </c>
      <c r="V204" s="60">
        <f t="shared" ref="V204" si="159">IF($A$64&lt;=V168,IF($B$64&gt;=V168,ABS(V203),0),0)</f>
        <v>974.03654268162506</v>
      </c>
      <c r="W204" s="60">
        <f t="shared" ref="W204" si="160">IF($A$64&lt;=W168,IF($B$64&gt;=W168,ABS(W203),0),0)</f>
        <v>545.5587129370042</v>
      </c>
      <c r="X204" s="60">
        <f t="shared" ref="X204" si="161">IF($A$64&lt;=X168,IF($B$64&gt;=X168,ABS(X203),0),0)</f>
        <v>280.55067465044857</v>
      </c>
      <c r="Y204" s="60">
        <f t="shared" ref="Y204" si="162">IF($A$64&lt;=Y168,IF($B$64&gt;=Y168,ABS(Y203),0),0)</f>
        <v>16.72603674976606</v>
      </c>
      <c r="Z204" s="60">
        <f t="shared" ref="Z204" si="163">IF($A$64&lt;=Z168,IF($B$64&gt;=Z168,ABS(Z203),0),0)</f>
        <v>332.53322012351356</v>
      </c>
      <c r="AA204" s="60">
        <f t="shared" ref="AA204" si="164">IF($A$64&lt;=AA168,IF($B$64&gt;=AA168,ABS(AA203),0),0)</f>
        <v>29.281094211537003</v>
      </c>
      <c r="AB204" s="60">
        <f t="shared" ref="AB204" si="165">IF($A$64&lt;=AB168,IF($B$64&gt;=AB168,ABS(AB203),0),0)</f>
        <v>51.370216184320718</v>
      </c>
      <c r="AC204" s="60">
        <f t="shared" ref="AC204" si="166">IF($A$64&lt;=AC168,IF($B$64&gt;=AC168,ABS(AC203),0),0)</f>
        <v>4.5520071550477592</v>
      </c>
      <c r="AD204" s="60">
        <f t="shared" ref="AD204" si="167">IF($A$64&lt;=AD168,IF($B$64&gt;=AD168,ABS(AD203),0),0)</f>
        <v>2.2902676345257427</v>
      </c>
      <c r="AE204" s="60">
        <f t="shared" ref="AE204" si="168">IF($A$64&lt;=AE168,IF($B$64&gt;=AE168,ABS(AE203),0),0)</f>
        <v>0.51498007745022734</v>
      </c>
      <c r="AF204" s="60">
        <f t="shared" ref="AF204" si="169">IF($A$64&lt;=AF168,IF($B$64&gt;=AF168,ABS(AF203),0),0)</f>
        <v>4.8431195026262037E-2</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9730.0167223959397</v>
      </c>
      <c r="C208" s="26">
        <f>INDEX(Comparison!$AM$3:$AS$33,G$14,$D$122)</f>
        <v>9476.1525473419642</v>
      </c>
      <c r="D208" s="26">
        <f>INDEX(Comparison!$AM$3:$AS$33,H$14,$D$122)</f>
        <v>9264.0506360514537</v>
      </c>
      <c r="E208" s="26">
        <f>INDEX(Comparison!$AM$3:$AS$33,I$14,$D$122)</f>
        <v>9042.8661048910981</v>
      </c>
      <c r="F208" s="26">
        <f>INDEX(Comparison!$AM$3:$AS$33,J$14,$D$122)</f>
        <v>8796.5318501985184</v>
      </c>
      <c r="G208" s="26">
        <f>INDEX(Comparison!$AM$3:$AS$33,K$14,$D$122)</f>
        <v>8532.9278199977016</v>
      </c>
      <c r="H208" s="26">
        <f>INDEX(Comparison!$AM$3:$AS$33,L$14,$D$122)</f>
        <v>8242.1892422663423</v>
      </c>
      <c r="I208" s="26">
        <f>INDEX(Comparison!$AM$3:$AS$33,M$14,$D$122)</f>
        <v>7957.4855284258747</v>
      </c>
      <c r="J208" s="26">
        <f>INDEX(Comparison!$AM$3:$AS$33,N$14,$D$122)</f>
        <v>7685.4052187432317</v>
      </c>
      <c r="K208" s="26">
        <f>INDEX(Comparison!$AM$3:$AS$33,O$14,$D$122)</f>
        <v>7368.9543787655439</v>
      </c>
      <c r="L208" s="26">
        <f>INDEX(Comparison!$AM$3:$AS$33,P$14,$D$122)</f>
        <v>6998.3812744112274</v>
      </c>
      <c r="M208" s="26">
        <f>INDEX(Comparison!$AM$3:$AS$33,Q$14,$D$122)</f>
        <v>6621.5844226341051</v>
      </c>
      <c r="N208" s="26">
        <f>INDEX(Comparison!$AM$3:$AS$33,R$14,$D$122)</f>
        <v>6307.1591705971805</v>
      </c>
      <c r="O208" s="26">
        <f>INDEX(Comparison!$AM$3:$AS$33,S$14,$D$122)</f>
        <v>6022.8689849680577</v>
      </c>
      <c r="P208" s="26">
        <f>INDEX(Comparison!$AM$3:$AS$33,T$14,$D$122)</f>
        <v>5743.6712365645317</v>
      </c>
      <c r="Q208" s="26">
        <f>INDEX(Comparison!$AM$3:$AS$33,U$14,$D$122)</f>
        <v>5459.2543435964462</v>
      </c>
      <c r="R208" s="26">
        <f>INDEX(Comparison!$AM$3:$AS$33,V$14,$D$122)</f>
        <v>5186.1259100095131</v>
      </c>
      <c r="S208" s="26">
        <f>INDEX(Comparison!$AM$3:$AS$33,W$14,$D$122)</f>
        <v>4865.5108844814831</v>
      </c>
      <c r="T208" s="26">
        <f>INDEX(Comparison!$AM$3:$AS$33,X$14,$D$122)</f>
        <v>4471.3145751722259</v>
      </c>
      <c r="U208" s="26">
        <f>INDEX(Comparison!$AM$3:$AS$33,Y$14,$D$122)</f>
        <v>4031.2545236434685</v>
      </c>
      <c r="V208" s="26">
        <f>INDEX(Comparison!$AM$3:$AS$33,Z$14,$D$122)</f>
        <v>3565.3464541885878</v>
      </c>
      <c r="W208" s="26">
        <f>INDEX(Comparison!$AM$3:$AS$33,AA$14,$D$122)</f>
        <v>3072.2800042990852</v>
      </c>
      <c r="X208" s="26">
        <f>INDEX(Comparison!$AM$3:$AS$33,AB$14,$D$122)</f>
        <v>2540.7682600840731</v>
      </c>
      <c r="Y208" s="26">
        <f>INDEX(Comparison!$AM$3:$AS$33,AC$14,$D$122)</f>
        <v>1974.0579457073152</v>
      </c>
      <c r="Z208" s="26">
        <f>INDEX(Comparison!$AM$3:$AS$33,AD$14,$D$122)</f>
        <v>1447.7693345065175</v>
      </c>
      <c r="AA208" s="26">
        <f>INDEX(Comparison!$AM$3:$AS$33,AE$14,$D$122)</f>
        <v>1044.3571981147218</v>
      </c>
      <c r="AB208" s="26">
        <f>INDEX(Comparison!$AM$3:$AS$33,AF$14,$D$122)</f>
        <v>784.40987612375113</v>
      </c>
      <c r="AC208" s="26">
        <f>INDEX(Comparison!$AM$3:$AS$33,AG$14,$D$122)</f>
        <v>651.40811766035665</v>
      </c>
      <c r="AD208" s="26">
        <f>INDEX(Comparison!$AM$3:$AS$33,AH$14,$D$122)</f>
        <v>583.80121108393644</v>
      </c>
      <c r="AE208" s="26">
        <f>INDEX(Comparison!$AM$3:$AS$33,AI$14,$D$122)</f>
        <v>548.71871201984641</v>
      </c>
      <c r="AF208" s="26">
        <f>INDEX(Comparison!$AM$3:$AS$33,AJ$14,$D$122)</f>
        <v>525.29950476563715</v>
      </c>
      <c r="AG208" s="26"/>
      <c r="AH208" s="26"/>
    </row>
    <row r="209" spans="1:34" x14ac:dyDescent="0.25">
      <c r="A209" s="71" t="s">
        <v>22</v>
      </c>
      <c r="B209" s="27">
        <f>($C$17+SUM(B210:B240))*$B$51</f>
        <v>9459.6225699664519</v>
      </c>
      <c r="C209" s="27">
        <f t="shared" ref="C209:AF209" si="170">($C$17+SUM(C210:C240))*$B$51</f>
        <v>9448.3325703206137</v>
      </c>
      <c r="D209" s="27">
        <f t="shared" si="170"/>
        <v>9349.2618265168421</v>
      </c>
      <c r="E209" s="27">
        <f t="shared" si="170"/>
        <v>9004.4613101493487</v>
      </c>
      <c r="F209" s="27">
        <f t="shared" si="170"/>
        <v>8790.7816759231209</v>
      </c>
      <c r="G209" s="27">
        <f t="shared" si="170"/>
        <v>8520.5218199386072</v>
      </c>
      <c r="H209" s="27">
        <f t="shared" si="170"/>
        <v>8231.9631356989357</v>
      </c>
      <c r="I209" s="27">
        <f t="shared" si="170"/>
        <v>7945.9744496929798</v>
      </c>
      <c r="J209" s="27">
        <f t="shared" si="170"/>
        <v>7674.9481226336693</v>
      </c>
      <c r="K209" s="27">
        <f t="shared" si="170"/>
        <v>7359.238584814585</v>
      </c>
      <c r="L209" s="27">
        <f t="shared" si="170"/>
        <v>6988.2488168870941</v>
      </c>
      <c r="M209" s="27">
        <f t="shared" si="170"/>
        <v>6612.9966059358385</v>
      </c>
      <c r="N209" s="27">
        <f t="shared" si="170"/>
        <v>6297.7234820481217</v>
      </c>
      <c r="O209" s="27">
        <f t="shared" si="170"/>
        <v>6017.0328518348924</v>
      </c>
      <c r="P209" s="27">
        <f t="shared" si="170"/>
        <v>5735.3380050809137</v>
      </c>
      <c r="Q209" s="27">
        <f t="shared" si="170"/>
        <v>5455.3231747408681</v>
      </c>
      <c r="R209" s="27">
        <f t="shared" si="170"/>
        <v>5180.7304800803649</v>
      </c>
      <c r="S209" s="27">
        <f t="shared" si="170"/>
        <v>4869.4028625052715</v>
      </c>
      <c r="T209" s="27">
        <f t="shared" si="170"/>
        <v>4485.6641030420951</v>
      </c>
      <c r="U209" s="27">
        <f t="shared" si="170"/>
        <v>4049.9101342684721</v>
      </c>
      <c r="V209" s="27">
        <f t="shared" si="170"/>
        <v>3581.0029806738125</v>
      </c>
      <c r="W209" s="27">
        <f t="shared" si="170"/>
        <v>3083.2116627797704</v>
      </c>
      <c r="X209" s="27">
        <f t="shared" si="170"/>
        <v>2553.3417332778718</v>
      </c>
      <c r="Y209" s="27">
        <f t="shared" si="170"/>
        <v>1971.2889650924569</v>
      </c>
      <c r="Z209" s="27">
        <f t="shared" si="170"/>
        <v>1448.7338464092065</v>
      </c>
      <c r="AA209" s="27">
        <f t="shared" si="170"/>
        <v>1042.5238981948871</v>
      </c>
      <c r="AB209" s="27">
        <f t="shared" si="170"/>
        <v>784.12382264228586</v>
      </c>
      <c r="AC209" s="27">
        <f t="shared" si="170"/>
        <v>651.38367949937924</v>
      </c>
      <c r="AD209" s="27">
        <f t="shared" si="170"/>
        <v>583.59326824669995</v>
      </c>
      <c r="AE209" s="27">
        <f t="shared" si="170"/>
        <v>549.00307606624278</v>
      </c>
      <c r="AF209" s="27">
        <f t="shared" si="170"/>
        <v>525.04556553233078</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4.2473266609447342E-2</v>
      </c>
      <c r="C211" s="3">
        <f t="shared" si="172"/>
        <v>4.1412869753725795E-2</v>
      </c>
      <c r="D211" s="3">
        <f t="shared" si="172"/>
        <v>3.2161178448616143E-2</v>
      </c>
      <c r="E211" s="3">
        <f t="shared" si="172"/>
        <v>2.5662456517887206E-3</v>
      </c>
      <c r="F211" s="3">
        <f t="shared" si="172"/>
        <v>2.6851030259111984E-14</v>
      </c>
      <c r="G211" s="3">
        <f t="shared" si="172"/>
        <v>4.222680558773695E-124</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1.8185352072433932E-2</v>
      </c>
      <c r="C212" s="3">
        <f t="shared" si="173"/>
        <v>1.8143923066906171E-2</v>
      </c>
      <c r="D212" s="3">
        <f t="shared" si="173"/>
        <v>1.7734788682794895E-2</v>
      </c>
      <c r="E212" s="3">
        <f t="shared" si="173"/>
        <v>1.4118034573012327E-2</v>
      </c>
      <c r="F212" s="3">
        <f t="shared" si="173"/>
        <v>1.4429672405772544E-3</v>
      </c>
      <c r="G212" s="3">
        <f t="shared" si="173"/>
        <v>1.7950591987076215E-13</v>
      </c>
      <c r="H212" s="3">
        <f t="shared" si="173"/>
        <v>1.593315631200507E-112</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2.823307974041608E-2</v>
      </c>
      <c r="C213" s="3">
        <f t="shared" si="174"/>
        <v>2.8227271586325171E-2</v>
      </c>
      <c r="D213" s="3">
        <f t="shared" si="174"/>
        <v>2.8169255722322855E-2</v>
      </c>
      <c r="E213" s="3">
        <f t="shared" si="174"/>
        <v>2.7595615050509576E-2</v>
      </c>
      <c r="F213" s="3">
        <f t="shared" si="174"/>
        <v>2.2464002300489883E-2</v>
      </c>
      <c r="G213" s="3">
        <f t="shared" si="174"/>
        <v>2.870501007379509E-3</v>
      </c>
      <c r="H213" s="3">
        <f t="shared" si="174"/>
        <v>3.3316808342563274E-12</v>
      </c>
      <c r="I213" s="3">
        <f t="shared" si="174"/>
        <v>1.4781559627454943E-101</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2.9847520321537951E-2</v>
      </c>
      <c r="C214" s="3">
        <f t="shared" si="175"/>
        <v>2.9846966365413802E-2</v>
      </c>
      <c r="D214" s="3">
        <f t="shared" si="175"/>
        <v>2.9841427369605121E-2</v>
      </c>
      <c r="E214" s="3">
        <f t="shared" si="175"/>
        <v>2.9786093915987535E-2</v>
      </c>
      <c r="F214" s="3">
        <f t="shared" si="175"/>
        <v>2.9238371216477932E-2</v>
      </c>
      <c r="G214" s="3">
        <f t="shared" si="175"/>
        <v>2.428563075137034E-2</v>
      </c>
      <c r="H214" s="3">
        <f t="shared" si="175"/>
        <v>3.7958715348873221E-3</v>
      </c>
      <c r="I214" s="3">
        <f t="shared" si="175"/>
        <v>3.3031834257072832E-11</v>
      </c>
      <c r="J214" s="3">
        <f t="shared" si="175"/>
        <v>8.2251634664286575E-92</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2.9885277182146952E-2</v>
      </c>
      <c r="C215" s="3">
        <f t="shared" si="176"/>
        <v>2.9885227147060187E-2</v>
      </c>
      <c r="D215" s="3">
        <f t="shared" si="176"/>
        <v>2.9884726800799934E-2</v>
      </c>
      <c r="E215" s="3">
        <f t="shared" si="176"/>
        <v>2.9879723798905251E-2</v>
      </c>
      <c r="F215" s="3">
        <f t="shared" si="176"/>
        <v>2.9829739822218811E-2</v>
      </c>
      <c r="G215" s="3">
        <f t="shared" si="176"/>
        <v>2.9334475886931742E-2</v>
      </c>
      <c r="H215" s="3">
        <f t="shared" si="176"/>
        <v>2.4812299267871415E-2</v>
      </c>
      <c r="I215" s="3">
        <f t="shared" si="176"/>
        <v>4.6510797436477812E-3</v>
      </c>
      <c r="J215" s="3">
        <f t="shared" si="176"/>
        <v>2.4912742281164618E-10</v>
      </c>
      <c r="K215" s="3">
        <f t="shared" si="176"/>
        <v>4.8428278604495656E-83</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2.624141783927322E-2</v>
      </c>
      <c r="C216" s="3">
        <f t="shared" si="177"/>
        <v>2.6241413876022135E-2</v>
      </c>
      <c r="D216" s="3">
        <f t="shared" si="177"/>
        <v>2.6241374243544207E-2</v>
      </c>
      <c r="E216" s="3">
        <f t="shared" si="177"/>
        <v>2.6240977922057037E-2</v>
      </c>
      <c r="F216" s="3">
        <f t="shared" si="177"/>
        <v>2.6237015036379166E-2</v>
      </c>
      <c r="G216" s="3">
        <f t="shared" si="177"/>
        <v>2.6197419080594222E-2</v>
      </c>
      <c r="H216" s="3">
        <f t="shared" si="177"/>
        <v>2.580473131067924E-2</v>
      </c>
      <c r="I216" s="3">
        <f t="shared" si="177"/>
        <v>2.218746470204357E-2</v>
      </c>
      <c r="J216" s="3">
        <f t="shared" si="177"/>
        <v>4.899943366781177E-3</v>
      </c>
      <c r="K216" s="3">
        <f t="shared" si="177"/>
        <v>1.3521499947223078E-9</v>
      </c>
      <c r="L216" s="3">
        <f t="shared" si="177"/>
        <v>3.4622862711449542E-75</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3.2917205951965213E-2</v>
      </c>
      <c r="C217" s="3">
        <f t="shared" si="178"/>
        <v>3.2917205503494723E-2</v>
      </c>
      <c r="D217" s="3">
        <f t="shared" si="178"/>
        <v>3.2917201018790102E-2</v>
      </c>
      <c r="E217" s="3">
        <f t="shared" si="178"/>
        <v>3.2917156171777547E-2</v>
      </c>
      <c r="F217" s="3">
        <f t="shared" si="178"/>
        <v>3.2916707705012517E-2</v>
      </c>
      <c r="G217" s="3">
        <f t="shared" si="178"/>
        <v>3.2912223373396138E-2</v>
      </c>
      <c r="H217" s="3">
        <f t="shared" si="178"/>
        <v>3.2867413643694346E-2</v>
      </c>
      <c r="I217" s="3">
        <f t="shared" si="178"/>
        <v>3.2422658123623722E-2</v>
      </c>
      <c r="J217" s="3">
        <f t="shared" si="178"/>
        <v>2.8293031378553046E-2</v>
      </c>
      <c r="K217" s="3">
        <f t="shared" si="178"/>
        <v>7.24416150135033E-3</v>
      </c>
      <c r="L217" s="3">
        <f t="shared" si="178"/>
        <v>8.7715137949580823E-9</v>
      </c>
      <c r="M217" s="3">
        <f t="shared" si="178"/>
        <v>5.9420844377230297E-68</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4.0072808196940105E-2</v>
      </c>
      <c r="C218" s="3">
        <f t="shared" si="179"/>
        <v>4.0072808147689987E-2</v>
      </c>
      <c r="D218" s="3">
        <f t="shared" si="179"/>
        <v>4.0072807655188801E-2</v>
      </c>
      <c r="E218" s="3">
        <f t="shared" si="179"/>
        <v>4.0072802730177277E-2</v>
      </c>
      <c r="F218" s="3">
        <f t="shared" si="179"/>
        <v>4.0072753480095397E-2</v>
      </c>
      <c r="G218" s="3">
        <f t="shared" si="179"/>
        <v>4.0072260982605627E-2</v>
      </c>
      <c r="H218" s="3">
        <f t="shared" si="179"/>
        <v>4.0067336340601611E-2</v>
      </c>
      <c r="I218" s="3">
        <f t="shared" si="179"/>
        <v>4.0018123194795384E-2</v>
      </c>
      <c r="J218" s="3">
        <f t="shared" si="179"/>
        <v>3.9529304078752985E-2</v>
      </c>
      <c r="K218" s="3">
        <f t="shared" si="179"/>
        <v>3.4957767189616455E-2</v>
      </c>
      <c r="L218" s="3">
        <f t="shared" si="179"/>
        <v>1.0227956150949119E-2</v>
      </c>
      <c r="M218" s="3">
        <f t="shared" si="179"/>
        <v>4.701544755566685E-8</v>
      </c>
      <c r="N218" s="3">
        <f t="shared" si="179"/>
        <v>1.9804220203814057E-61</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3.9765912839605212E-2</v>
      </c>
      <c r="C219" s="3">
        <f t="shared" si="180"/>
        <v>3.9765912835196468E-2</v>
      </c>
      <c r="D219" s="3">
        <f t="shared" si="180"/>
        <v>3.9765912791109005E-2</v>
      </c>
      <c r="E219" s="3">
        <f t="shared" si="180"/>
        <v>3.9765912350234432E-2</v>
      </c>
      <c r="F219" s="3">
        <f t="shared" si="180"/>
        <v>3.9765907941489001E-2</v>
      </c>
      <c r="G219" s="3">
        <f t="shared" si="180"/>
        <v>3.9765863854061521E-2</v>
      </c>
      <c r="H219" s="3">
        <f t="shared" si="180"/>
        <v>3.9765422982475047E-2</v>
      </c>
      <c r="I219" s="3">
        <f t="shared" si="180"/>
        <v>3.9761014535430565E-2</v>
      </c>
      <c r="J219" s="3">
        <f t="shared" si="180"/>
        <v>3.9716956935990685E-2</v>
      </c>
      <c r="K219" s="3">
        <f t="shared" si="180"/>
        <v>3.9279057051951949E-2</v>
      </c>
      <c r="L219" s="3">
        <f t="shared" si="180"/>
        <v>3.5157009592804281E-2</v>
      </c>
      <c r="M219" s="3">
        <f t="shared" si="180"/>
        <v>1.1601674276562753E-2</v>
      </c>
      <c r="N219" s="3">
        <f t="shared" si="180"/>
        <v>1.7766753460224517E-7</v>
      </c>
      <c r="O219" s="3">
        <f t="shared" si="180"/>
        <v>1.2603238436265187E-55</v>
      </c>
      <c r="P219" s="3">
        <f t="shared" si="180"/>
        <v>0</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2.9424353030138621E-2</v>
      </c>
      <c r="C220" s="3">
        <f t="shared" si="181"/>
        <v>2.9424353029844339E-2</v>
      </c>
      <c r="D220" s="3">
        <f t="shared" si="181"/>
        <v>2.9424353026901561E-2</v>
      </c>
      <c r="E220" s="3">
        <f t="shared" si="181"/>
        <v>2.9424352997473778E-2</v>
      </c>
      <c r="F220" s="3">
        <f t="shared" si="181"/>
        <v>2.9424352703195905E-2</v>
      </c>
      <c r="G220" s="3">
        <f t="shared" si="181"/>
        <v>2.9424349760417346E-2</v>
      </c>
      <c r="H220" s="3">
        <f t="shared" si="181"/>
        <v>2.9424320332647937E-2</v>
      </c>
      <c r="I220" s="3">
        <f t="shared" si="181"/>
        <v>2.9424026056572582E-2</v>
      </c>
      <c r="J220" s="3">
        <f t="shared" si="181"/>
        <v>2.9421083457684093E-2</v>
      </c>
      <c r="K220" s="3">
        <f t="shared" si="181"/>
        <v>2.9391673649317739E-2</v>
      </c>
      <c r="L220" s="3">
        <f t="shared" si="181"/>
        <v>2.9099187646002767E-2</v>
      </c>
      <c r="M220" s="3">
        <f t="shared" si="181"/>
        <v>2.6329726498513149E-2</v>
      </c>
      <c r="N220" s="3">
        <f t="shared" si="181"/>
        <v>9.6850345831556179E-3</v>
      </c>
      <c r="O220" s="3">
        <f t="shared" si="181"/>
        <v>4.3918697871647759E-7</v>
      </c>
      <c r="P220" s="3">
        <f t="shared" si="181"/>
        <v>1.6148502354423597E-50</v>
      </c>
      <c r="Q220" s="3">
        <f t="shared" si="181"/>
        <v>0</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2.8571417110973291E-2</v>
      </c>
      <c r="C221" s="3">
        <f t="shared" si="182"/>
        <v>2.8571417110947517E-2</v>
      </c>
      <c r="D221" s="3">
        <f t="shared" si="182"/>
        <v>2.8571417110689747E-2</v>
      </c>
      <c r="E221" s="3">
        <f t="shared" si="182"/>
        <v>2.857141710811207E-2</v>
      </c>
      <c r="F221" s="3">
        <f t="shared" si="182"/>
        <v>2.8571417082335262E-2</v>
      </c>
      <c r="G221" s="3">
        <f t="shared" si="182"/>
        <v>2.8571416824567233E-2</v>
      </c>
      <c r="H221" s="3">
        <f t="shared" si="182"/>
        <v>2.8571414246887031E-2</v>
      </c>
      <c r="I221" s="3">
        <f t="shared" si="182"/>
        <v>2.8571388470097821E-2</v>
      </c>
      <c r="J221" s="3">
        <f t="shared" si="182"/>
        <v>2.8571130703484767E-2</v>
      </c>
      <c r="K221" s="3">
        <f t="shared" si="182"/>
        <v>2.8568553165254924E-2</v>
      </c>
      <c r="L221" s="3">
        <f t="shared" si="182"/>
        <v>2.8542790568758011E-2</v>
      </c>
      <c r="M221" s="3">
        <f t="shared" si="182"/>
        <v>2.8286438926196197E-2</v>
      </c>
      <c r="N221" s="3">
        <f t="shared" si="182"/>
        <v>2.5846201642113424E-2</v>
      </c>
      <c r="O221" s="3">
        <f t="shared" si="182"/>
        <v>1.0485309372235192E-2</v>
      </c>
      <c r="P221" s="3">
        <f t="shared" si="182"/>
        <v>1.265978869111439E-6</v>
      </c>
      <c r="Q221" s="3">
        <f t="shared" si="182"/>
        <v>8.3344804998352464E-46</v>
      </c>
      <c r="R221" s="3">
        <f t="shared" si="182"/>
        <v>0</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2.9426851905512148E-2</v>
      </c>
      <c r="C222" s="3">
        <f t="shared" si="183"/>
        <v>2.9426851905509751E-2</v>
      </c>
      <c r="D222" s="3">
        <f t="shared" si="183"/>
        <v>2.9426851905485801E-2</v>
      </c>
      <c r="E222" s="3">
        <f t="shared" si="183"/>
        <v>2.9426851905246312E-2</v>
      </c>
      <c r="F222" s="3">
        <f t="shared" si="183"/>
        <v>2.9426851902851412E-2</v>
      </c>
      <c r="G222" s="3">
        <f t="shared" si="183"/>
        <v>2.9426851878902392E-2</v>
      </c>
      <c r="H222" s="3">
        <f t="shared" si="183"/>
        <v>2.9426851639412239E-2</v>
      </c>
      <c r="I222" s="3">
        <f t="shared" si="183"/>
        <v>2.9426849244510764E-2</v>
      </c>
      <c r="J222" s="3">
        <f t="shared" si="183"/>
        <v>2.9426825295506758E-2</v>
      </c>
      <c r="K222" s="3">
        <f t="shared" si="183"/>
        <v>2.9426585806538681E-2</v>
      </c>
      <c r="L222" s="3">
        <f t="shared" si="183"/>
        <v>2.9424191024054198E-2</v>
      </c>
      <c r="M222" s="3">
        <f t="shared" si="183"/>
        <v>2.9400253915609811E-2</v>
      </c>
      <c r="N222" s="3">
        <f t="shared" si="183"/>
        <v>2.9161951251254092E-2</v>
      </c>
      <c r="O222" s="3">
        <f t="shared" si="183"/>
        <v>2.6882618187198049E-2</v>
      </c>
      <c r="P222" s="3">
        <f t="shared" si="183"/>
        <v>1.1913007238184406E-2</v>
      </c>
      <c r="Q222" s="3">
        <f t="shared" si="183"/>
        <v>3.4795239008814917E-6</v>
      </c>
      <c r="R222" s="3">
        <f t="shared" si="183"/>
        <v>1.5721863002900722E-41</v>
      </c>
      <c r="S222" s="3">
        <f t="shared" si="183"/>
        <v>0</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2.8440803506547912E-2</v>
      </c>
      <c r="C223" s="3">
        <f t="shared" si="184"/>
        <v>2.8440803506547704E-2</v>
      </c>
      <c r="D223" s="3">
        <f t="shared" si="184"/>
        <v>2.8440803506545612E-2</v>
      </c>
      <c r="E223" s="3">
        <f t="shared" si="184"/>
        <v>2.8440803506524732E-2</v>
      </c>
      <c r="F223" s="3">
        <f t="shared" si="184"/>
        <v>2.8440803506315931E-2</v>
      </c>
      <c r="G223" s="3">
        <f t="shared" si="184"/>
        <v>2.8440803504227924E-2</v>
      </c>
      <c r="H223" s="3">
        <f t="shared" si="184"/>
        <v>2.8440803483347835E-2</v>
      </c>
      <c r="I223" s="3">
        <f t="shared" si="184"/>
        <v>2.8440803274546955E-2</v>
      </c>
      <c r="J223" s="3">
        <f t="shared" si="184"/>
        <v>2.8440801186538262E-2</v>
      </c>
      <c r="K223" s="3">
        <f t="shared" si="184"/>
        <v>2.844078030645977E-2</v>
      </c>
      <c r="L223" s="3">
        <f t="shared" si="184"/>
        <v>2.844057150651793E-2</v>
      </c>
      <c r="M223" s="3">
        <f t="shared" si="184"/>
        <v>2.8438483591408204E-2</v>
      </c>
      <c r="N223" s="3">
        <f t="shared" si="184"/>
        <v>2.8417612868890694E-2</v>
      </c>
      <c r="O223" s="3">
        <f t="shared" si="184"/>
        <v>2.8209746216646389E-2</v>
      </c>
      <c r="P223" s="3">
        <f t="shared" si="184"/>
        <v>2.6212897810820875E-2</v>
      </c>
      <c r="Q223" s="3">
        <f t="shared" si="184"/>
        <v>1.2579795684768984E-2</v>
      </c>
      <c r="R223" s="3">
        <f t="shared" si="184"/>
        <v>8.1519051656862219E-6</v>
      </c>
      <c r="S223" s="3">
        <f t="shared" si="184"/>
        <v>1.0644234412854747E-37</v>
      </c>
      <c r="T223" s="3">
        <f t="shared" si="184"/>
        <v>0</v>
      </c>
      <c r="U223" s="3">
        <f t="shared" si="184"/>
        <v>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2.6740342475666097E-2</v>
      </c>
      <c r="C224" s="3">
        <f t="shared" si="185"/>
        <v>2.674034247566608E-2</v>
      </c>
      <c r="D224" s="3">
        <f t="shared" si="185"/>
        <v>2.6740342475665906E-2</v>
      </c>
      <c r="E224" s="3">
        <f t="shared" si="185"/>
        <v>2.6740342475664133E-2</v>
      </c>
      <c r="F224" s="3">
        <f t="shared" si="185"/>
        <v>2.6740342475646422E-2</v>
      </c>
      <c r="G224" s="3">
        <f t="shared" si="185"/>
        <v>2.6740342475469331E-2</v>
      </c>
      <c r="H224" s="3">
        <f t="shared" si="185"/>
        <v>2.6740342473698386E-2</v>
      </c>
      <c r="I224" s="3">
        <f t="shared" si="185"/>
        <v>2.6740342455988979E-2</v>
      </c>
      <c r="J224" s="3">
        <f t="shared" si="185"/>
        <v>2.6740342278894914E-2</v>
      </c>
      <c r="K224" s="3">
        <f t="shared" si="185"/>
        <v>2.6740340507954298E-2</v>
      </c>
      <c r="L224" s="3">
        <f t="shared" si="185"/>
        <v>2.6740322798554587E-2</v>
      </c>
      <c r="M224" s="3">
        <f t="shared" si="185"/>
        <v>2.6740145705202552E-2</v>
      </c>
      <c r="N224" s="3">
        <f t="shared" si="185"/>
        <v>2.673837483618698E-2</v>
      </c>
      <c r="O224" s="3">
        <f t="shared" si="185"/>
        <v>2.6720672594929423E-2</v>
      </c>
      <c r="P224" s="3">
        <f t="shared" si="185"/>
        <v>2.6544293494719786E-2</v>
      </c>
      <c r="Q224" s="3">
        <f t="shared" si="185"/>
        <v>2.4843284886576431E-2</v>
      </c>
      <c r="R224" s="3">
        <f t="shared" si="185"/>
        <v>1.2811132102311214E-2</v>
      </c>
      <c r="S224" s="3">
        <f t="shared" si="185"/>
        <v>1.7036187372715309E-5</v>
      </c>
      <c r="T224" s="3">
        <f t="shared" si="185"/>
        <v>2.9459230173584488E-34</v>
      </c>
      <c r="U224" s="3">
        <f t="shared" si="185"/>
        <v>0</v>
      </c>
      <c r="V224" s="3">
        <f t="shared" si="185"/>
        <v>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3.6384067061729697E-2</v>
      </c>
      <c r="C225" s="3">
        <f t="shared" si="186"/>
        <v>3.638406706172969E-2</v>
      </c>
      <c r="D225" s="3">
        <f t="shared" si="186"/>
        <v>3.6384067061729676E-2</v>
      </c>
      <c r="E225" s="3">
        <f t="shared" si="186"/>
        <v>3.6384067061729454E-2</v>
      </c>
      <c r="F225" s="3">
        <f t="shared" si="186"/>
        <v>3.6384067061727282E-2</v>
      </c>
      <c r="G225" s="3">
        <f t="shared" si="186"/>
        <v>3.6384067061705543E-2</v>
      </c>
      <c r="H225" s="3">
        <f t="shared" si="186"/>
        <v>3.6384067061488182E-2</v>
      </c>
      <c r="I225" s="3">
        <f t="shared" si="186"/>
        <v>3.6384067059314504E-2</v>
      </c>
      <c r="J225" s="3">
        <f t="shared" si="186"/>
        <v>3.6384067037577739E-2</v>
      </c>
      <c r="K225" s="3">
        <f t="shared" si="186"/>
        <v>3.6384066820210101E-2</v>
      </c>
      <c r="L225" s="3">
        <f t="shared" si="186"/>
        <v>3.6384064646533806E-2</v>
      </c>
      <c r="M225" s="3">
        <f t="shared" si="186"/>
        <v>3.6384042909777981E-2</v>
      </c>
      <c r="N225" s="3">
        <f t="shared" si="186"/>
        <v>3.6383825542934019E-2</v>
      </c>
      <c r="O225" s="3">
        <f t="shared" si="186"/>
        <v>3.6381651945916131E-2</v>
      </c>
      <c r="P225" s="3">
        <f t="shared" si="186"/>
        <v>3.6359923116334743E-2</v>
      </c>
      <c r="Q225" s="3">
        <f t="shared" si="186"/>
        <v>3.6143347304382428E-2</v>
      </c>
      <c r="R225" s="3">
        <f t="shared" si="186"/>
        <v>3.4047287495521585E-2</v>
      </c>
      <c r="S225" s="3">
        <f t="shared" si="186"/>
        <v>1.8733718409876074E-2</v>
      </c>
      <c r="T225" s="3">
        <f t="shared" si="186"/>
        <v>4.7647343080132703E-5</v>
      </c>
      <c r="U225" s="3">
        <f t="shared" si="186"/>
        <v>5.3974135259240343E-31</v>
      </c>
      <c r="V225" s="3">
        <f t="shared" si="186"/>
        <v>1.8778276920548745E-290</v>
      </c>
      <c r="W225" s="3">
        <f t="shared" si="186"/>
        <v>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4.1964426446168525E-2</v>
      </c>
      <c r="C226" s="3">
        <f t="shared" si="187"/>
        <v>4.1964426446168525E-2</v>
      </c>
      <c r="D226" s="3">
        <f t="shared" si="187"/>
        <v>4.1964426446168518E-2</v>
      </c>
      <c r="E226" s="3">
        <f t="shared" si="187"/>
        <v>4.1964426446168504E-2</v>
      </c>
      <c r="F226" s="3">
        <f t="shared" si="187"/>
        <v>4.1964426446168275E-2</v>
      </c>
      <c r="G226" s="3">
        <f t="shared" si="187"/>
        <v>4.1964426446166013E-2</v>
      </c>
      <c r="H226" s="3">
        <f t="shared" si="187"/>
        <v>4.1964426446143392E-2</v>
      </c>
      <c r="I226" s="3">
        <f t="shared" si="187"/>
        <v>4.196442644591724E-2</v>
      </c>
      <c r="J226" s="3">
        <f t="shared" si="187"/>
        <v>4.196442644365566E-2</v>
      </c>
      <c r="K226" s="3">
        <f t="shared" si="187"/>
        <v>4.1964426421039883E-2</v>
      </c>
      <c r="L226" s="3">
        <f t="shared" si="187"/>
        <v>4.196442619488211E-2</v>
      </c>
      <c r="M226" s="3">
        <f t="shared" si="187"/>
        <v>4.1964423933304421E-2</v>
      </c>
      <c r="N226" s="3">
        <f t="shared" si="187"/>
        <v>4.1964401317534282E-2</v>
      </c>
      <c r="O226" s="3">
        <f t="shared" si="187"/>
        <v>4.1964175160503256E-2</v>
      </c>
      <c r="P226" s="3">
        <f t="shared" si="187"/>
        <v>4.1961913657226881E-2</v>
      </c>
      <c r="Q226" s="3">
        <f t="shared" si="187"/>
        <v>4.1939305326521827E-2</v>
      </c>
      <c r="R226" s="3">
        <f t="shared" si="187"/>
        <v>4.1713890890856531E-2</v>
      </c>
      <c r="S226" s="3">
        <f t="shared" si="187"/>
        <v>3.9525318930871772E-2</v>
      </c>
      <c r="T226" s="3">
        <f t="shared" si="187"/>
        <v>2.3058030221388422E-2</v>
      </c>
      <c r="U226" s="3">
        <f t="shared" si="187"/>
        <v>1.052665561931359E-4</v>
      </c>
      <c r="V226" s="3">
        <f t="shared" si="187"/>
        <v>4.1397348580981021E-28</v>
      </c>
      <c r="W226" s="3">
        <f t="shared" si="187"/>
        <v>3.6626349693319833E-262</v>
      </c>
      <c r="X226" s="3">
        <f t="shared" si="187"/>
        <v>0</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4.8106928297009681E-2</v>
      </c>
      <c r="C227" s="3">
        <f t="shared" si="188"/>
        <v>4.8106928297009681E-2</v>
      </c>
      <c r="D227" s="3">
        <f t="shared" si="188"/>
        <v>4.8106928297009681E-2</v>
      </c>
      <c r="E227" s="3">
        <f t="shared" si="188"/>
        <v>4.8106928297009681E-2</v>
      </c>
      <c r="F227" s="3">
        <f t="shared" si="188"/>
        <v>4.8106928297009653E-2</v>
      </c>
      <c r="G227" s="3">
        <f t="shared" si="188"/>
        <v>4.8106928297009417E-2</v>
      </c>
      <c r="H227" s="3">
        <f t="shared" si="188"/>
        <v>4.8106928297007079E-2</v>
      </c>
      <c r="I227" s="3">
        <f t="shared" si="188"/>
        <v>4.8106928296983695E-2</v>
      </c>
      <c r="J227" s="3">
        <f t="shared" si="188"/>
        <v>4.8106928296749819E-2</v>
      </c>
      <c r="K227" s="3">
        <f t="shared" si="188"/>
        <v>4.8106928294411065E-2</v>
      </c>
      <c r="L227" s="3">
        <f t="shared" si="188"/>
        <v>4.810692827102353E-2</v>
      </c>
      <c r="M227" s="3">
        <f t="shared" si="188"/>
        <v>4.8106928037148181E-2</v>
      </c>
      <c r="N227" s="3">
        <f t="shared" si="188"/>
        <v>4.8106925698394747E-2</v>
      </c>
      <c r="O227" s="3">
        <f t="shared" si="188"/>
        <v>4.8106902310866659E-2</v>
      </c>
      <c r="P227" s="3">
        <f t="shared" si="188"/>
        <v>4.8106668436211149E-2</v>
      </c>
      <c r="Q227" s="3">
        <f t="shared" si="188"/>
        <v>4.8104329752189902E-2</v>
      </c>
      <c r="R227" s="3">
        <f t="shared" si="188"/>
        <v>4.808094916423937E-2</v>
      </c>
      <c r="S227" s="3">
        <f t="shared" si="188"/>
        <v>4.784776738774732E-2</v>
      </c>
      <c r="T227" s="3">
        <f t="shared" si="188"/>
        <v>4.5577251748002326E-2</v>
      </c>
      <c r="U227" s="3">
        <f t="shared" si="188"/>
        <v>2.8029328631389468E-2</v>
      </c>
      <c r="V227" s="3">
        <f t="shared" si="188"/>
        <v>2.1689937892274989E-4</v>
      </c>
      <c r="W227" s="3">
        <f t="shared" si="188"/>
        <v>1.6699921811420809E-25</v>
      </c>
      <c r="X227" s="3">
        <f t="shared" si="188"/>
        <v>1.22257562083794E-236</v>
      </c>
      <c r="Y227" s="3">
        <f t="shared" si="188"/>
        <v>0</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4.6100301020196389E-2</v>
      </c>
      <c r="C228" s="3">
        <f t="shared" si="189"/>
        <v>4.6100301020196389E-2</v>
      </c>
      <c r="D228" s="3">
        <f t="shared" si="189"/>
        <v>4.6100301020196389E-2</v>
      </c>
      <c r="E228" s="3">
        <f t="shared" si="189"/>
        <v>4.6100301020196389E-2</v>
      </c>
      <c r="F228" s="3">
        <f t="shared" si="189"/>
        <v>4.6100301020196389E-2</v>
      </c>
      <c r="G228" s="3">
        <f t="shared" si="189"/>
        <v>4.6100301020196369E-2</v>
      </c>
      <c r="H228" s="3">
        <f t="shared" si="189"/>
        <v>4.6100301020196167E-2</v>
      </c>
      <c r="I228" s="3">
        <f t="shared" si="189"/>
        <v>4.6100301020194141E-2</v>
      </c>
      <c r="J228" s="3">
        <f t="shared" si="189"/>
        <v>4.6100301020173928E-2</v>
      </c>
      <c r="K228" s="3">
        <f t="shared" si="189"/>
        <v>4.610030101997175E-2</v>
      </c>
      <c r="L228" s="3">
        <f t="shared" si="189"/>
        <v>4.6100301017950006E-2</v>
      </c>
      <c r="M228" s="3">
        <f t="shared" si="189"/>
        <v>4.6100300997732518E-2</v>
      </c>
      <c r="N228" s="3">
        <f t="shared" si="189"/>
        <v>4.6100300795557644E-2</v>
      </c>
      <c r="O228" s="3">
        <f t="shared" si="189"/>
        <v>4.610029877380898E-2</v>
      </c>
      <c r="P228" s="3">
        <f t="shared" si="189"/>
        <v>4.610027855632725E-2</v>
      </c>
      <c r="Q228" s="3">
        <f t="shared" si="189"/>
        <v>4.6100076381997555E-2</v>
      </c>
      <c r="R228" s="3">
        <f t="shared" si="189"/>
        <v>4.6098054687465355E-2</v>
      </c>
      <c r="S228" s="3">
        <f t="shared" si="189"/>
        <v>4.6077842617820941E-2</v>
      </c>
      <c r="T228" s="3">
        <f t="shared" si="189"/>
        <v>4.5876208698912846E-2</v>
      </c>
      <c r="U228" s="3">
        <f t="shared" si="189"/>
        <v>4.3907766573470924E-2</v>
      </c>
      <c r="V228" s="3">
        <f t="shared" si="189"/>
        <v>2.8319111029606193E-2</v>
      </c>
      <c r="W228" s="3">
        <f t="shared" si="189"/>
        <v>3.5274617348414705E-4</v>
      </c>
      <c r="X228" s="3">
        <f t="shared" si="189"/>
        <v>3.1716792603685328E-23</v>
      </c>
      <c r="Y228" s="3">
        <f t="shared" si="189"/>
        <v>1.0953647800077912E-213</v>
      </c>
      <c r="Z228" s="3">
        <f t="shared" si="189"/>
        <v>0</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6.1544571271861997E-2</v>
      </c>
      <c r="C229" s="3">
        <f t="shared" si="190"/>
        <v>6.1544571271861997E-2</v>
      </c>
      <c r="D229" s="3">
        <f t="shared" si="190"/>
        <v>6.1544571271861997E-2</v>
      </c>
      <c r="E229" s="3">
        <f t="shared" si="190"/>
        <v>6.1544571271861997E-2</v>
      </c>
      <c r="F229" s="3">
        <f t="shared" si="190"/>
        <v>6.1544571271861997E-2</v>
      </c>
      <c r="G229" s="3">
        <f t="shared" si="190"/>
        <v>6.1544571271861997E-2</v>
      </c>
      <c r="H229" s="3">
        <f t="shared" si="190"/>
        <v>6.154457127186197E-2</v>
      </c>
      <c r="I229" s="3">
        <f t="shared" si="190"/>
        <v>6.1544571271861727E-2</v>
      </c>
      <c r="J229" s="3">
        <f t="shared" si="190"/>
        <v>6.1544571271859291E-2</v>
      </c>
      <c r="K229" s="3">
        <f t="shared" si="190"/>
        <v>6.154457127183495E-2</v>
      </c>
      <c r="L229" s="3">
        <f t="shared" si="190"/>
        <v>6.1544571271591464E-2</v>
      </c>
      <c r="M229" s="3">
        <f t="shared" si="190"/>
        <v>6.1544571269156689E-2</v>
      </c>
      <c r="N229" s="3">
        <f t="shared" si="190"/>
        <v>6.1544571244808881E-2</v>
      </c>
      <c r="O229" s="3">
        <f t="shared" si="190"/>
        <v>6.1544571001330865E-2</v>
      </c>
      <c r="P229" s="3">
        <f t="shared" si="190"/>
        <v>6.1544568566550752E-2</v>
      </c>
      <c r="Q229" s="3">
        <f t="shared" si="190"/>
        <v>6.154454421875493E-2</v>
      </c>
      <c r="R229" s="3">
        <f t="shared" si="190"/>
        <v>6.1544300741326448E-2</v>
      </c>
      <c r="S229" s="3">
        <f t="shared" si="190"/>
        <v>6.154186602001839E-2</v>
      </c>
      <c r="T229" s="3">
        <f t="shared" si="190"/>
        <v>6.1517524103838352E-2</v>
      </c>
      <c r="U229" s="3">
        <f t="shared" si="190"/>
        <v>6.1274633857570725E-2</v>
      </c>
      <c r="V229" s="3">
        <f t="shared" si="190"/>
        <v>5.8897856863902122E-2</v>
      </c>
      <c r="W229" s="3">
        <f t="shared" si="190"/>
        <v>3.965401499348082E-2</v>
      </c>
      <c r="X229" s="3">
        <f t="shared" si="190"/>
        <v>7.5886392639310538E-4</v>
      </c>
      <c r="Y229" s="3">
        <f t="shared" si="190"/>
        <v>4.9995547583735995E-21</v>
      </c>
      <c r="Z229" s="3">
        <f t="shared" si="190"/>
        <v>7.70203589119153E-193</v>
      </c>
      <c r="AA229" s="3">
        <f t="shared" si="190"/>
        <v>0</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2.0548359308290503E-2</v>
      </c>
      <c r="C230" s="3">
        <f t="shared" si="191"/>
        <v>2.0548359308290503E-2</v>
      </c>
      <c r="D230" s="3">
        <f t="shared" si="191"/>
        <v>2.0548359308290503E-2</v>
      </c>
      <c r="E230" s="3">
        <f t="shared" si="191"/>
        <v>2.0548359308290503E-2</v>
      </c>
      <c r="F230" s="3">
        <f t="shared" si="191"/>
        <v>2.0548359308290503E-2</v>
      </c>
      <c r="G230" s="3">
        <f t="shared" si="191"/>
        <v>2.0548359308290503E-2</v>
      </c>
      <c r="H230" s="3">
        <f t="shared" si="191"/>
        <v>2.0548359308290503E-2</v>
      </c>
      <c r="I230" s="3">
        <f t="shared" si="191"/>
        <v>2.0548359308290493E-2</v>
      </c>
      <c r="J230" s="3">
        <f t="shared" si="191"/>
        <v>2.054835930829042E-2</v>
      </c>
      <c r="K230" s="3">
        <f t="shared" si="191"/>
        <v>2.0548359308289688E-2</v>
      </c>
      <c r="L230" s="3">
        <f t="shared" si="191"/>
        <v>2.0548359308282353E-2</v>
      </c>
      <c r="M230" s="3">
        <f t="shared" si="191"/>
        <v>2.0548359308209023E-2</v>
      </c>
      <c r="N230" s="3">
        <f t="shared" si="191"/>
        <v>2.0548359307475703E-2</v>
      </c>
      <c r="O230" s="3">
        <f t="shared" si="191"/>
        <v>2.0548359300142496E-2</v>
      </c>
      <c r="P230" s="3">
        <f t="shared" si="191"/>
        <v>2.0548359226810461E-2</v>
      </c>
      <c r="Q230" s="3">
        <f t="shared" si="191"/>
        <v>2.0548358493490109E-2</v>
      </c>
      <c r="R230" s="3">
        <f t="shared" si="191"/>
        <v>2.0548351160288029E-2</v>
      </c>
      <c r="S230" s="3">
        <f t="shared" si="191"/>
        <v>2.054827782841117E-2</v>
      </c>
      <c r="T230" s="3">
        <f t="shared" si="191"/>
        <v>2.0547544524036079E-2</v>
      </c>
      <c r="U230" s="3">
        <f t="shared" si="191"/>
        <v>2.0540212919445952E-2</v>
      </c>
      <c r="V230" s="3">
        <f t="shared" si="191"/>
        <v>2.0467040599772387E-2</v>
      </c>
      <c r="W230" s="3">
        <f t="shared" si="191"/>
        <v>1.9749502042116833E-2</v>
      </c>
      <c r="X230" s="3">
        <f t="shared" si="191"/>
        <v>1.3821880652645495E-2</v>
      </c>
      <c r="Y230" s="3">
        <f t="shared" si="191"/>
        <v>3.8965210426909552E-4</v>
      </c>
      <c r="Z230" s="3">
        <f t="shared" si="191"/>
        <v>1.2353098338607537E-19</v>
      </c>
      <c r="AA230" s="3">
        <f t="shared" si="191"/>
        <v>1.2669650252889668E-174</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6.8598536150208847E-2</v>
      </c>
      <c r="C231" s="3">
        <f t="shared" si="192"/>
        <v>6.8598536150208847E-2</v>
      </c>
      <c r="D231" s="3">
        <f t="shared" si="192"/>
        <v>6.8598536150208847E-2</v>
      </c>
      <c r="E231" s="3">
        <f t="shared" si="192"/>
        <v>6.8598536150208847E-2</v>
      </c>
      <c r="F231" s="3">
        <f t="shared" si="192"/>
        <v>6.8598536150208847E-2</v>
      </c>
      <c r="G231" s="3">
        <f t="shared" si="192"/>
        <v>6.8598536150208847E-2</v>
      </c>
      <c r="H231" s="3">
        <f t="shared" si="192"/>
        <v>6.8598536150208847E-2</v>
      </c>
      <c r="I231" s="3">
        <f t="shared" si="192"/>
        <v>6.8598536150208833E-2</v>
      </c>
      <c r="J231" s="3">
        <f t="shared" si="192"/>
        <v>6.8598536150208778E-2</v>
      </c>
      <c r="K231" s="3">
        <f t="shared" si="192"/>
        <v>6.8598536150208098E-2</v>
      </c>
      <c r="L231" s="3">
        <f t="shared" si="192"/>
        <v>6.8598536150201325E-2</v>
      </c>
      <c r="M231" s="3">
        <f t="shared" si="192"/>
        <v>6.8598536150133615E-2</v>
      </c>
      <c r="N231" s="3">
        <f t="shared" si="192"/>
        <v>6.8598536149456532E-2</v>
      </c>
      <c r="O231" s="3">
        <f t="shared" si="192"/>
        <v>6.8598536142685657E-2</v>
      </c>
      <c r="P231" s="3">
        <f t="shared" si="192"/>
        <v>6.8598536074976985E-2</v>
      </c>
      <c r="Q231" s="3">
        <f t="shared" si="192"/>
        <v>6.8598535397890251E-2</v>
      </c>
      <c r="R231" s="3">
        <f t="shared" si="192"/>
        <v>6.85985286270233E-2</v>
      </c>
      <c r="S231" s="3">
        <f t="shared" si="192"/>
        <v>6.8598460918390489E-2</v>
      </c>
      <c r="T231" s="3">
        <f t="shared" si="192"/>
        <v>6.859778383573803E-2</v>
      </c>
      <c r="U231" s="3">
        <f t="shared" si="192"/>
        <v>6.8591013376765486E-2</v>
      </c>
      <c r="V231" s="3">
        <f t="shared" si="192"/>
        <v>6.8523345528824123E-2</v>
      </c>
      <c r="W231" s="3">
        <f t="shared" si="192"/>
        <v>6.7850327845054362E-2</v>
      </c>
      <c r="X231" s="3">
        <f t="shared" si="192"/>
        <v>6.1473207010071335E-2</v>
      </c>
      <c r="Y231" s="3">
        <f t="shared" si="192"/>
        <v>2.2909999046737094E-2</v>
      </c>
      <c r="Z231" s="3">
        <f t="shared" si="192"/>
        <v>1.1841782418950243E-6</v>
      </c>
      <c r="AA231" s="3">
        <f t="shared" si="192"/>
        <v>1.6118964424377368E-49</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4.2430467850210242E-2</v>
      </c>
      <c r="C232" s="3">
        <f t="shared" si="193"/>
        <v>4.2430467850210242E-2</v>
      </c>
      <c r="D232" s="3">
        <f t="shared" si="193"/>
        <v>4.2430467850210242E-2</v>
      </c>
      <c r="E232" s="3">
        <f t="shared" si="193"/>
        <v>4.2430467850210242E-2</v>
      </c>
      <c r="F232" s="3">
        <f t="shared" si="193"/>
        <v>4.2430467850210242E-2</v>
      </c>
      <c r="G232" s="3">
        <f t="shared" si="193"/>
        <v>4.2430467850210242E-2</v>
      </c>
      <c r="H232" s="3">
        <f t="shared" si="193"/>
        <v>4.2430467850210242E-2</v>
      </c>
      <c r="I232" s="3">
        <f t="shared" si="193"/>
        <v>4.2430467850210242E-2</v>
      </c>
      <c r="J232" s="3">
        <f t="shared" si="193"/>
        <v>4.2430467850210235E-2</v>
      </c>
      <c r="K232" s="3">
        <f t="shared" si="193"/>
        <v>4.2430467850210193E-2</v>
      </c>
      <c r="L232" s="3">
        <f t="shared" si="193"/>
        <v>4.2430467850209777E-2</v>
      </c>
      <c r="M232" s="3">
        <f t="shared" si="193"/>
        <v>4.2430467850205586E-2</v>
      </c>
      <c r="N232" s="3">
        <f t="shared" si="193"/>
        <v>4.243046785016371E-2</v>
      </c>
      <c r="O232" s="3">
        <f t="shared" si="193"/>
        <v>4.2430467849744906E-2</v>
      </c>
      <c r="P232" s="3">
        <f t="shared" si="193"/>
        <v>4.2430467845556902E-2</v>
      </c>
      <c r="Q232" s="3">
        <f t="shared" si="193"/>
        <v>4.2430467803676847E-2</v>
      </c>
      <c r="R232" s="3">
        <f t="shared" si="193"/>
        <v>4.2430467384876262E-2</v>
      </c>
      <c r="S232" s="3">
        <f t="shared" si="193"/>
        <v>4.2430463196870674E-2</v>
      </c>
      <c r="T232" s="3">
        <f t="shared" si="193"/>
        <v>4.2430421316837531E-2</v>
      </c>
      <c r="U232" s="3">
        <f t="shared" si="193"/>
        <v>4.243000251877959E-2</v>
      </c>
      <c r="V232" s="3">
        <f t="shared" si="193"/>
        <v>4.2425814765543336E-2</v>
      </c>
      <c r="W232" s="3">
        <f t="shared" si="193"/>
        <v>4.2383959959191753E-2</v>
      </c>
      <c r="X232" s="3">
        <f t="shared" si="193"/>
        <v>4.1967676219094349E-2</v>
      </c>
      <c r="Y232" s="3">
        <f t="shared" si="193"/>
        <v>3.8023215655487566E-2</v>
      </c>
      <c r="Z232" s="3">
        <f t="shared" si="193"/>
        <v>1.4170593609641714E-2</v>
      </c>
      <c r="AA232" s="3">
        <f t="shared" si="193"/>
        <v>7.3245348430794974E-7</v>
      </c>
      <c r="AB232" s="3">
        <f t="shared" si="193"/>
        <v>9.9701136521284839E-50</v>
      </c>
      <c r="AC232" s="3">
        <f t="shared" si="193"/>
        <v>0</v>
      </c>
      <c r="AD232" s="3">
        <f t="shared" si="193"/>
        <v>0</v>
      </c>
      <c r="AE232" s="3">
        <f t="shared" si="193"/>
        <v>0</v>
      </c>
      <c r="AF232" s="3">
        <f t="shared" si="193"/>
        <v>0</v>
      </c>
      <c r="AG232" s="3"/>
      <c r="AH232" s="3"/>
    </row>
    <row r="233" spans="2:34" x14ac:dyDescent="0.25">
      <c r="B233" s="3">
        <f t="shared" ref="B233:AF233" si="194">$C41*EXP(-B$207/$A41/EXP(-$D$126))</f>
        <v>4.2564807754428377E-2</v>
      </c>
      <c r="C233" s="3">
        <f t="shared" si="194"/>
        <v>4.2564807754428377E-2</v>
      </c>
      <c r="D233" s="3">
        <f t="shared" si="194"/>
        <v>4.2564807754428377E-2</v>
      </c>
      <c r="E233" s="3">
        <f t="shared" si="194"/>
        <v>4.2564807754428377E-2</v>
      </c>
      <c r="F233" s="3">
        <f t="shared" si="194"/>
        <v>4.2564807754428377E-2</v>
      </c>
      <c r="G233" s="3">
        <f t="shared" si="194"/>
        <v>4.2564807754428377E-2</v>
      </c>
      <c r="H233" s="3">
        <f t="shared" si="194"/>
        <v>4.2564807754428377E-2</v>
      </c>
      <c r="I233" s="3">
        <f t="shared" si="194"/>
        <v>4.2564807754428377E-2</v>
      </c>
      <c r="J233" s="3">
        <f t="shared" si="194"/>
        <v>4.2564807754428377E-2</v>
      </c>
      <c r="K233" s="3">
        <f t="shared" si="194"/>
        <v>4.256480775442837E-2</v>
      </c>
      <c r="L233" s="3">
        <f t="shared" si="194"/>
        <v>4.2564807754428328E-2</v>
      </c>
      <c r="M233" s="3">
        <f t="shared" si="194"/>
        <v>4.2564807754427912E-2</v>
      </c>
      <c r="N233" s="3">
        <f t="shared" si="194"/>
        <v>4.2564807754423707E-2</v>
      </c>
      <c r="O233" s="3">
        <f t="shared" si="194"/>
        <v>4.2564807754381699E-2</v>
      </c>
      <c r="P233" s="3">
        <f t="shared" si="194"/>
        <v>4.256480775396157E-2</v>
      </c>
      <c r="Q233" s="3">
        <f t="shared" si="194"/>
        <v>4.2564807749760299E-2</v>
      </c>
      <c r="R233" s="3">
        <f t="shared" si="194"/>
        <v>4.2564807707747648E-2</v>
      </c>
      <c r="S233" s="3">
        <f t="shared" si="194"/>
        <v>4.2564807287621097E-2</v>
      </c>
      <c r="T233" s="3">
        <f t="shared" si="194"/>
        <v>4.2564803086355782E-2</v>
      </c>
      <c r="U233" s="3">
        <f t="shared" si="194"/>
        <v>4.2564761073725477E-2</v>
      </c>
      <c r="V233" s="3">
        <f t="shared" si="194"/>
        <v>4.2564340949703114E-2</v>
      </c>
      <c r="W233" s="3">
        <f t="shared" si="194"/>
        <v>4.2560139937542381E-2</v>
      </c>
      <c r="X233" s="3">
        <f t="shared" si="194"/>
        <v>4.2518152613899303E-2</v>
      </c>
      <c r="Y233" s="3">
        <f t="shared" si="194"/>
        <v>4.2100550870004021E-2</v>
      </c>
      <c r="Z233" s="3">
        <f t="shared" si="194"/>
        <v>3.8143601675440404E-2</v>
      </c>
      <c r="AA233" s="3">
        <f t="shared" si="194"/>
        <v>1.4215459393232738E-2</v>
      </c>
      <c r="AB233" s="3">
        <f t="shared" si="194"/>
        <v>7.3477251909383843E-7</v>
      </c>
      <c r="AC233" s="3">
        <f t="shared" si="194"/>
        <v>1.0001680216932793E-49</v>
      </c>
      <c r="AD233" s="3">
        <f t="shared" si="194"/>
        <v>0</v>
      </c>
      <c r="AE233" s="3">
        <f t="shared" si="194"/>
        <v>0</v>
      </c>
      <c r="AF233" s="3">
        <f t="shared" si="194"/>
        <v>0</v>
      </c>
      <c r="AG233" s="3"/>
      <c r="AH233" s="3"/>
    </row>
    <row r="234" spans="2:34" x14ac:dyDescent="0.25">
      <c r="B234" s="3">
        <f t="shared" ref="B234:AF234" si="195">$C42*EXP(-B$207/$A42/EXP(-$D$126))</f>
        <v>1.7794430151868639E-2</v>
      </c>
      <c r="C234" s="3">
        <f t="shared" si="195"/>
        <v>1.7794430151868639E-2</v>
      </c>
      <c r="D234" s="3">
        <f t="shared" si="195"/>
        <v>1.7794430151868639E-2</v>
      </c>
      <c r="E234" s="3">
        <f t="shared" si="195"/>
        <v>1.7794430151868639E-2</v>
      </c>
      <c r="F234" s="3">
        <f t="shared" si="195"/>
        <v>1.7794430151868639E-2</v>
      </c>
      <c r="G234" s="3">
        <f t="shared" si="195"/>
        <v>1.7794430151868639E-2</v>
      </c>
      <c r="H234" s="3">
        <f t="shared" si="195"/>
        <v>1.7794430151868639E-2</v>
      </c>
      <c r="I234" s="3">
        <f t="shared" si="195"/>
        <v>1.7794430151868639E-2</v>
      </c>
      <c r="J234" s="3">
        <f t="shared" si="195"/>
        <v>1.7794430151868639E-2</v>
      </c>
      <c r="K234" s="3">
        <f t="shared" si="195"/>
        <v>1.7794430151868639E-2</v>
      </c>
      <c r="L234" s="3">
        <f t="shared" si="195"/>
        <v>1.7794430151868636E-2</v>
      </c>
      <c r="M234" s="3">
        <f t="shared" si="195"/>
        <v>1.7794430151868618E-2</v>
      </c>
      <c r="N234" s="3">
        <f t="shared" si="195"/>
        <v>1.7794430151868445E-2</v>
      </c>
      <c r="O234" s="3">
        <f t="shared" si="195"/>
        <v>1.7794430151866686E-2</v>
      </c>
      <c r="P234" s="3">
        <f t="shared" si="195"/>
        <v>1.7794430151849124E-2</v>
      </c>
      <c r="Q234" s="3">
        <f t="shared" si="195"/>
        <v>1.7794430151673486E-2</v>
      </c>
      <c r="R234" s="3">
        <f t="shared" si="195"/>
        <v>1.7794430149917127E-2</v>
      </c>
      <c r="S234" s="3">
        <f t="shared" si="195"/>
        <v>1.7794430132353527E-2</v>
      </c>
      <c r="T234" s="3">
        <f t="shared" si="195"/>
        <v>1.7794429956717529E-2</v>
      </c>
      <c r="U234" s="3">
        <f t="shared" si="195"/>
        <v>1.7794428200357613E-2</v>
      </c>
      <c r="V234" s="3">
        <f t="shared" si="195"/>
        <v>1.7794410636767996E-2</v>
      </c>
      <c r="W234" s="3">
        <f t="shared" si="195"/>
        <v>1.7794235001825292E-2</v>
      </c>
      <c r="X234" s="3">
        <f t="shared" si="195"/>
        <v>1.7792478747741109E-2</v>
      </c>
      <c r="Y234" s="3">
        <f t="shared" si="195"/>
        <v>1.7774925737701893E-2</v>
      </c>
      <c r="Z234" s="3">
        <f t="shared" si="195"/>
        <v>1.7600345246092133E-2</v>
      </c>
      <c r="AA234" s="3">
        <f t="shared" si="195"/>
        <v>1.5946122902051833E-2</v>
      </c>
      <c r="AB234" s="3">
        <f t="shared" si="195"/>
        <v>5.9428436916477726E-3</v>
      </c>
      <c r="AC234" s="3">
        <f t="shared" si="195"/>
        <v>3.0717531590795418E-7</v>
      </c>
      <c r="AD234" s="3">
        <f t="shared" si="195"/>
        <v>4.1812522929349028E-50</v>
      </c>
      <c r="AE234" s="3">
        <f t="shared" si="195"/>
        <v>0</v>
      </c>
      <c r="AF234" s="3">
        <f t="shared" si="195"/>
        <v>0</v>
      </c>
      <c r="AG234" s="3"/>
      <c r="AH234" s="3"/>
    </row>
    <row r="235" spans="2:34" x14ac:dyDescent="0.25">
      <c r="B235" s="3">
        <f t="shared" ref="B235:AF235" si="196">$C43*EXP(-B$207/$A43/EXP(-$D$126))</f>
        <v>1.1846247724533283E-2</v>
      </c>
      <c r="C235" s="3">
        <f t="shared" si="196"/>
        <v>1.1846247724533283E-2</v>
      </c>
      <c r="D235" s="3">
        <f t="shared" si="196"/>
        <v>1.1846247724533283E-2</v>
      </c>
      <c r="E235" s="3">
        <f t="shared" si="196"/>
        <v>1.1846247724533283E-2</v>
      </c>
      <c r="F235" s="3">
        <f t="shared" si="196"/>
        <v>1.1846247724533283E-2</v>
      </c>
      <c r="G235" s="3">
        <f t="shared" si="196"/>
        <v>1.1846247724533283E-2</v>
      </c>
      <c r="H235" s="3">
        <f t="shared" si="196"/>
        <v>1.1846247724533283E-2</v>
      </c>
      <c r="I235" s="3">
        <f t="shared" si="196"/>
        <v>1.1846247724533283E-2</v>
      </c>
      <c r="J235" s="3">
        <f t="shared" si="196"/>
        <v>1.1846247724533283E-2</v>
      </c>
      <c r="K235" s="3">
        <f t="shared" si="196"/>
        <v>1.1846247724533283E-2</v>
      </c>
      <c r="L235" s="3">
        <f t="shared" si="196"/>
        <v>1.1846247724533283E-2</v>
      </c>
      <c r="M235" s="3">
        <f t="shared" si="196"/>
        <v>1.1846247724533281E-2</v>
      </c>
      <c r="N235" s="3">
        <f t="shared" si="196"/>
        <v>1.1846247724533269E-2</v>
      </c>
      <c r="O235" s="3">
        <f t="shared" si="196"/>
        <v>1.1846247724533153E-2</v>
      </c>
      <c r="P235" s="3">
        <f t="shared" si="196"/>
        <v>1.1846247724531984E-2</v>
      </c>
      <c r="Q235" s="3">
        <f t="shared" si="196"/>
        <v>1.1846247724520292E-2</v>
      </c>
      <c r="R235" s="3">
        <f t="shared" si="196"/>
        <v>1.1846247724403364E-2</v>
      </c>
      <c r="S235" s="3">
        <f t="shared" si="196"/>
        <v>1.1846247723234107E-2</v>
      </c>
      <c r="T235" s="3">
        <f t="shared" si="196"/>
        <v>1.184624771154153E-2</v>
      </c>
      <c r="U235" s="3">
        <f t="shared" si="196"/>
        <v>1.1846247594615753E-2</v>
      </c>
      <c r="V235" s="3">
        <f t="shared" si="196"/>
        <v>1.1846246425358043E-2</v>
      </c>
      <c r="W235" s="3">
        <f t="shared" si="196"/>
        <v>1.1846234732787292E-2</v>
      </c>
      <c r="X235" s="3">
        <f t="shared" si="196"/>
        <v>1.1846117807714525E-2</v>
      </c>
      <c r="Y235" s="3">
        <f t="shared" si="196"/>
        <v>1.1844948620459249E-2</v>
      </c>
      <c r="Z235" s="3">
        <f t="shared" si="196"/>
        <v>1.1833263092827227E-2</v>
      </c>
      <c r="AA235" s="3">
        <f t="shared" si="196"/>
        <v>1.1717039997519909E-2</v>
      </c>
      <c r="AB235" s="3">
        <f t="shared" si="196"/>
        <v>1.0615778113227333E-2</v>
      </c>
      <c r="AC235" s="3">
        <f t="shared" si="196"/>
        <v>3.9563165529100395E-3</v>
      </c>
      <c r="AD235" s="3">
        <f t="shared" si="196"/>
        <v>2.0449516259025958E-7</v>
      </c>
      <c r="AE235" s="3">
        <f t="shared" si="196"/>
        <v>2.7835760987085144E-50</v>
      </c>
      <c r="AF235" s="3">
        <f t="shared" si="196"/>
        <v>0</v>
      </c>
      <c r="AG235" s="3"/>
      <c r="AH235" s="3"/>
    </row>
    <row r="236" spans="2:34" x14ac:dyDescent="0.25">
      <c r="B236" s="3">
        <f t="shared" ref="B236:AF236" si="197">$C44*EXP(-B$207/$A44/EXP(-$D$126))</f>
        <v>4.239833197731321E-3</v>
      </c>
      <c r="C236" s="3">
        <f t="shared" si="197"/>
        <v>4.239833197731321E-3</v>
      </c>
      <c r="D236" s="3">
        <f t="shared" si="197"/>
        <v>4.239833197731321E-3</v>
      </c>
      <c r="E236" s="3">
        <f t="shared" si="197"/>
        <v>4.239833197731321E-3</v>
      </c>
      <c r="F236" s="3">
        <f t="shared" si="197"/>
        <v>4.239833197731321E-3</v>
      </c>
      <c r="G236" s="3">
        <f t="shared" si="197"/>
        <v>4.239833197731321E-3</v>
      </c>
      <c r="H236" s="3">
        <f t="shared" si="197"/>
        <v>4.239833197731321E-3</v>
      </c>
      <c r="I236" s="3">
        <f t="shared" si="197"/>
        <v>4.239833197731321E-3</v>
      </c>
      <c r="J236" s="3">
        <f t="shared" si="197"/>
        <v>4.239833197731321E-3</v>
      </c>
      <c r="K236" s="3">
        <f t="shared" si="197"/>
        <v>4.239833197731321E-3</v>
      </c>
      <c r="L236" s="3">
        <f t="shared" si="197"/>
        <v>4.239833197731321E-3</v>
      </c>
      <c r="M236" s="3">
        <f t="shared" si="197"/>
        <v>4.239833197731321E-3</v>
      </c>
      <c r="N236" s="3">
        <f t="shared" si="197"/>
        <v>4.2398331977313202E-3</v>
      </c>
      <c r="O236" s="3">
        <f t="shared" si="197"/>
        <v>4.2398331977313167E-3</v>
      </c>
      <c r="P236" s="3">
        <f t="shared" si="197"/>
        <v>4.2398331977312742E-3</v>
      </c>
      <c r="Q236" s="3">
        <f t="shared" si="197"/>
        <v>4.2398331977308561E-3</v>
      </c>
      <c r="R236" s="3">
        <f t="shared" si="197"/>
        <v>4.2398331977266711E-3</v>
      </c>
      <c r="S236" s="3">
        <f t="shared" si="197"/>
        <v>4.2398331976848226E-3</v>
      </c>
      <c r="T236" s="3">
        <f t="shared" si="197"/>
        <v>4.2398331972663397E-3</v>
      </c>
      <c r="U236" s="3">
        <f t="shared" si="197"/>
        <v>4.2398331930815058E-3</v>
      </c>
      <c r="V236" s="3">
        <f t="shared" si="197"/>
        <v>4.2398331512331668E-3</v>
      </c>
      <c r="W236" s="3">
        <f t="shared" si="197"/>
        <v>4.2398327327497973E-3</v>
      </c>
      <c r="X236" s="3">
        <f t="shared" si="197"/>
        <v>4.2398285479183818E-3</v>
      </c>
      <c r="Y236" s="3">
        <f t="shared" si="197"/>
        <v>4.2397866998314018E-3</v>
      </c>
      <c r="Z236" s="3">
        <f t="shared" si="197"/>
        <v>4.2393682416786973E-3</v>
      </c>
      <c r="AA236" s="3">
        <f t="shared" si="197"/>
        <v>4.2351859310315338E-3</v>
      </c>
      <c r="AB236" s="3">
        <f t="shared" si="197"/>
        <v>4.1935890854070288E-3</v>
      </c>
      <c r="AC236" s="3">
        <f t="shared" si="197"/>
        <v>3.7994417735328994E-3</v>
      </c>
      <c r="AD236" s="3">
        <f t="shared" si="197"/>
        <v>1.4159861123808125E-3</v>
      </c>
      <c r="AE236" s="3">
        <f t="shared" si="197"/>
        <v>7.3189874067048152E-8</v>
      </c>
      <c r="AF236" s="3">
        <f t="shared" si="197"/>
        <v>9.9625625144359929E-51</v>
      </c>
      <c r="AG236" s="3"/>
      <c r="AH236" s="3"/>
    </row>
    <row r="237" spans="2:34" x14ac:dyDescent="0.25">
      <c r="B237" s="3">
        <f t="shared" ref="B237:AF237" si="198">$C45*EXP(-B$207/$A45/EXP(-$D$126))</f>
        <v>3.1413173103933909E-3</v>
      </c>
      <c r="C237" s="3">
        <f t="shared" si="198"/>
        <v>3.1413173103933909E-3</v>
      </c>
      <c r="D237" s="3">
        <f t="shared" si="198"/>
        <v>3.1413173103933909E-3</v>
      </c>
      <c r="E237" s="3">
        <f t="shared" si="198"/>
        <v>3.1413173103933909E-3</v>
      </c>
      <c r="F237" s="3">
        <f t="shared" si="198"/>
        <v>3.1413173103933909E-3</v>
      </c>
      <c r="G237" s="3">
        <f t="shared" si="198"/>
        <v>3.1413173103933909E-3</v>
      </c>
      <c r="H237" s="3">
        <f t="shared" si="198"/>
        <v>3.1413173103933909E-3</v>
      </c>
      <c r="I237" s="3">
        <f t="shared" si="198"/>
        <v>3.1413173103933909E-3</v>
      </c>
      <c r="J237" s="3">
        <f t="shared" si="198"/>
        <v>3.1413173103933909E-3</v>
      </c>
      <c r="K237" s="3">
        <f t="shared" si="198"/>
        <v>3.1413173103933909E-3</v>
      </c>
      <c r="L237" s="3">
        <f t="shared" si="198"/>
        <v>3.1413173103933909E-3</v>
      </c>
      <c r="M237" s="3">
        <f t="shared" si="198"/>
        <v>3.1413173103933909E-3</v>
      </c>
      <c r="N237" s="3">
        <f t="shared" si="198"/>
        <v>3.1413173103933909E-3</v>
      </c>
      <c r="O237" s="3">
        <f t="shared" si="198"/>
        <v>3.1413173103933905E-3</v>
      </c>
      <c r="P237" s="3">
        <f t="shared" si="198"/>
        <v>3.1413173103933874E-3</v>
      </c>
      <c r="Q237" s="3">
        <f t="shared" si="198"/>
        <v>3.1413173103933562E-3</v>
      </c>
      <c r="R237" s="3">
        <f t="shared" si="198"/>
        <v>3.1413173103930461E-3</v>
      </c>
      <c r="S237" s="3">
        <f t="shared" si="198"/>
        <v>3.1413173103899458E-3</v>
      </c>
      <c r="T237" s="3">
        <f t="shared" si="198"/>
        <v>3.1413173103589402E-3</v>
      </c>
      <c r="U237" s="3">
        <f t="shared" si="198"/>
        <v>3.1413173100488831E-3</v>
      </c>
      <c r="V237" s="3">
        <f t="shared" si="198"/>
        <v>3.1413173069483155E-3</v>
      </c>
      <c r="W237" s="3">
        <f t="shared" si="198"/>
        <v>3.1413172759426353E-3</v>
      </c>
      <c r="X237" s="3">
        <f t="shared" si="198"/>
        <v>3.1413169658858499E-3</v>
      </c>
      <c r="Y237" s="3">
        <f t="shared" si="198"/>
        <v>3.1413138653196828E-3</v>
      </c>
      <c r="Z237" s="3">
        <f t="shared" si="198"/>
        <v>3.1412828598263282E-3</v>
      </c>
      <c r="AA237" s="3">
        <f t="shared" si="198"/>
        <v>3.1409728217240114E-3</v>
      </c>
      <c r="AB237" s="3">
        <f t="shared" si="198"/>
        <v>3.1378741232090772E-3</v>
      </c>
      <c r="AC237" s="3">
        <f t="shared" si="198"/>
        <v>3.1070547760498686E-3</v>
      </c>
      <c r="AD237" s="3">
        <f t="shared" si="198"/>
        <v>2.815028718445117E-3</v>
      </c>
      <c r="AE237" s="3">
        <f t="shared" si="198"/>
        <v>1.0491124246299565E-3</v>
      </c>
      <c r="AF237" s="3">
        <f t="shared" si="198"/>
        <v>5.4226807430856922E-8</v>
      </c>
      <c r="AG237" s="3"/>
      <c r="AH237" s="3"/>
    </row>
    <row r="238" spans="2:34" x14ac:dyDescent="0.25">
      <c r="B238" s="3">
        <f t="shared" ref="B238:AF238" si="199">$C46*EXP(-B$207/$A46/EXP(-$D$126))</f>
        <v>2.257189619316161E-3</v>
      </c>
      <c r="C238" s="3">
        <f t="shared" si="199"/>
        <v>2.257189619316161E-3</v>
      </c>
      <c r="D238" s="3">
        <f t="shared" si="199"/>
        <v>2.257189619316161E-3</v>
      </c>
      <c r="E238" s="3">
        <f t="shared" si="199"/>
        <v>2.257189619316161E-3</v>
      </c>
      <c r="F238" s="3">
        <f t="shared" si="199"/>
        <v>2.257189619316161E-3</v>
      </c>
      <c r="G238" s="3">
        <f t="shared" si="199"/>
        <v>2.257189619316161E-3</v>
      </c>
      <c r="H238" s="3">
        <f t="shared" si="199"/>
        <v>2.257189619316161E-3</v>
      </c>
      <c r="I238" s="3">
        <f t="shared" si="199"/>
        <v>2.257189619316161E-3</v>
      </c>
      <c r="J238" s="3">
        <f t="shared" si="199"/>
        <v>2.257189619316161E-3</v>
      </c>
      <c r="K238" s="3">
        <f t="shared" si="199"/>
        <v>2.257189619316161E-3</v>
      </c>
      <c r="L238" s="3">
        <f t="shared" si="199"/>
        <v>2.257189619316161E-3</v>
      </c>
      <c r="M238" s="3">
        <f t="shared" si="199"/>
        <v>2.257189619316161E-3</v>
      </c>
      <c r="N238" s="3">
        <f t="shared" si="199"/>
        <v>2.257189619316161E-3</v>
      </c>
      <c r="O238" s="3">
        <f t="shared" si="199"/>
        <v>2.257189619316161E-3</v>
      </c>
      <c r="P238" s="3">
        <f t="shared" si="199"/>
        <v>2.2571896193161606E-3</v>
      </c>
      <c r="Q238" s="3">
        <f t="shared" si="199"/>
        <v>2.2571896193161584E-3</v>
      </c>
      <c r="R238" s="3">
        <f t="shared" si="199"/>
        <v>2.2571896193161363E-3</v>
      </c>
      <c r="S238" s="3">
        <f t="shared" si="199"/>
        <v>2.2571896193159134E-3</v>
      </c>
      <c r="T238" s="3">
        <f t="shared" si="199"/>
        <v>2.2571896193136856E-3</v>
      </c>
      <c r="U238" s="3">
        <f t="shared" si="199"/>
        <v>2.2571896192914065E-3</v>
      </c>
      <c r="V238" s="3">
        <f t="shared" si="199"/>
        <v>2.2571896190686155E-3</v>
      </c>
      <c r="W238" s="3">
        <f t="shared" si="199"/>
        <v>2.2571896168407063E-3</v>
      </c>
      <c r="X238" s="3">
        <f t="shared" si="199"/>
        <v>2.2571895945616136E-3</v>
      </c>
      <c r="Y238" s="3">
        <f t="shared" si="199"/>
        <v>2.257189371770699E-3</v>
      </c>
      <c r="Z238" s="3">
        <f t="shared" si="199"/>
        <v>2.2571871438627628E-3</v>
      </c>
      <c r="AA238" s="3">
        <f t="shared" si="199"/>
        <v>2.2571648649043429E-3</v>
      </c>
      <c r="AB238" s="3">
        <f t="shared" si="199"/>
        <v>2.2569420874142027E-3</v>
      </c>
      <c r="AC238" s="3">
        <f t="shared" si="199"/>
        <v>2.2547155214769901E-3</v>
      </c>
      <c r="AD238" s="3">
        <f t="shared" si="199"/>
        <v>2.2325703181727253E-3</v>
      </c>
      <c r="AE238" s="3">
        <f t="shared" si="199"/>
        <v>2.0227353602032226E-3</v>
      </c>
      <c r="AF238" s="3">
        <f t="shared" si="199"/>
        <v>7.5383841884912699E-4</v>
      </c>
      <c r="AG238" s="3"/>
      <c r="AH238" s="3"/>
    </row>
    <row r="239" spans="2:34" x14ac:dyDescent="0.25">
      <c r="B239" s="3">
        <f t="shared" ref="B239:AF239" si="200">$C47*EXP(-B$207/$A47/EXP(-$D$126))</f>
        <v>3.6224207496198294E-4</v>
      </c>
      <c r="C239" s="3">
        <f t="shared" si="200"/>
        <v>3.6224207496198294E-4</v>
      </c>
      <c r="D239" s="3">
        <f t="shared" si="200"/>
        <v>3.6224207496198294E-4</v>
      </c>
      <c r="E239" s="3">
        <f t="shared" si="200"/>
        <v>3.6224207496198294E-4</v>
      </c>
      <c r="F239" s="3">
        <f t="shared" si="200"/>
        <v>3.6224207496198294E-4</v>
      </c>
      <c r="G239" s="3">
        <f t="shared" si="200"/>
        <v>3.6224207496198294E-4</v>
      </c>
      <c r="H239" s="3">
        <f t="shared" si="200"/>
        <v>3.6224207496198294E-4</v>
      </c>
      <c r="I239" s="3">
        <f t="shared" si="200"/>
        <v>3.6224207496198294E-4</v>
      </c>
      <c r="J239" s="3">
        <f t="shared" si="200"/>
        <v>3.6224207496198294E-4</v>
      </c>
      <c r="K239" s="3">
        <f t="shared" si="200"/>
        <v>3.6224207496198294E-4</v>
      </c>
      <c r="L239" s="3">
        <f t="shared" si="200"/>
        <v>3.6224207496198294E-4</v>
      </c>
      <c r="M239" s="3">
        <f t="shared" si="200"/>
        <v>3.6224207496198294E-4</v>
      </c>
      <c r="N239" s="3">
        <f t="shared" si="200"/>
        <v>3.6224207496198294E-4</v>
      </c>
      <c r="O239" s="3">
        <f t="shared" si="200"/>
        <v>3.6224207496198294E-4</v>
      </c>
      <c r="P239" s="3">
        <f t="shared" si="200"/>
        <v>3.6224207496198294E-4</v>
      </c>
      <c r="Q239" s="3">
        <f t="shared" si="200"/>
        <v>3.6224207496198289E-4</v>
      </c>
      <c r="R239" s="3">
        <f t="shared" si="200"/>
        <v>3.6224207496198256E-4</v>
      </c>
      <c r="S239" s="3">
        <f t="shared" si="200"/>
        <v>3.6224207496197899E-4</v>
      </c>
      <c r="T239" s="3">
        <f t="shared" si="200"/>
        <v>3.6224207496194321E-4</v>
      </c>
      <c r="U239" s="3">
        <f t="shared" si="200"/>
        <v>3.6224207496158569E-4</v>
      </c>
      <c r="V239" s="3">
        <f t="shared" si="200"/>
        <v>3.6224207495801021E-4</v>
      </c>
      <c r="W239" s="3">
        <f t="shared" si="200"/>
        <v>3.6224207492225593E-4</v>
      </c>
      <c r="X239" s="3">
        <f t="shared" si="200"/>
        <v>3.6224207456471289E-4</v>
      </c>
      <c r="Y239" s="3">
        <f t="shared" si="200"/>
        <v>3.622420709892823E-4</v>
      </c>
      <c r="Z239" s="3">
        <f t="shared" si="200"/>
        <v>3.622420352349786E-4</v>
      </c>
      <c r="AA239" s="3">
        <f t="shared" si="200"/>
        <v>3.6224167769213561E-4</v>
      </c>
      <c r="AB239" s="3">
        <f t="shared" si="200"/>
        <v>3.6223810228311505E-4</v>
      </c>
      <c r="AC239" s="3">
        <f t="shared" si="200"/>
        <v>3.6220235013380845E-4</v>
      </c>
      <c r="AD239" s="3">
        <f t="shared" si="200"/>
        <v>3.6184502265975245E-4</v>
      </c>
      <c r="AE239" s="3">
        <f t="shared" si="200"/>
        <v>3.5829107915108873E-4</v>
      </c>
      <c r="AF239" s="3">
        <f t="shared" si="200"/>
        <v>3.246159949118384E-4</v>
      </c>
      <c r="AG239" s="3"/>
      <c r="AH239" s="3"/>
    </row>
    <row r="240" spans="2:34" x14ac:dyDescent="0.25">
      <c r="B240" s="3">
        <f t="shared" ref="B240:AF240" si="201">$C48*EXP(-B$207/$A48/EXP(-$D$126))</f>
        <v>0</v>
      </c>
      <c r="C240" s="3">
        <f t="shared" si="201"/>
        <v>0</v>
      </c>
      <c r="D240" s="3">
        <f t="shared" si="201"/>
        <v>0</v>
      </c>
      <c r="E240" s="3">
        <f t="shared" si="201"/>
        <v>0</v>
      </c>
      <c r="F240" s="3">
        <f t="shared" si="201"/>
        <v>0</v>
      </c>
      <c r="G240" s="3">
        <f t="shared" si="201"/>
        <v>0</v>
      </c>
      <c r="H240" s="3">
        <f t="shared" si="201"/>
        <v>0</v>
      </c>
      <c r="I240" s="3">
        <f t="shared" si="201"/>
        <v>0</v>
      </c>
      <c r="J240" s="3">
        <f t="shared" si="201"/>
        <v>0</v>
      </c>
      <c r="K240" s="3">
        <f t="shared" si="201"/>
        <v>0</v>
      </c>
      <c r="L240" s="3">
        <f t="shared" si="201"/>
        <v>0</v>
      </c>
      <c r="M240" s="3">
        <f t="shared" si="201"/>
        <v>0</v>
      </c>
      <c r="N240" s="3">
        <f t="shared" si="201"/>
        <v>0</v>
      </c>
      <c r="O240" s="3">
        <f t="shared" si="201"/>
        <v>0</v>
      </c>
      <c r="P240" s="3">
        <f t="shared" si="201"/>
        <v>0</v>
      </c>
      <c r="Q240" s="3">
        <f t="shared" si="201"/>
        <v>0</v>
      </c>
      <c r="R240" s="3">
        <f t="shared" si="201"/>
        <v>0</v>
      </c>
      <c r="S240" s="3">
        <f t="shared" si="201"/>
        <v>0</v>
      </c>
      <c r="T240" s="3">
        <f t="shared" si="201"/>
        <v>0</v>
      </c>
      <c r="U240" s="3">
        <f t="shared" si="201"/>
        <v>0</v>
      </c>
      <c r="V240" s="3">
        <f t="shared" si="201"/>
        <v>0</v>
      </c>
      <c r="W240" s="3">
        <f t="shared" si="201"/>
        <v>0</v>
      </c>
      <c r="X240" s="3">
        <f t="shared" si="201"/>
        <v>0</v>
      </c>
      <c r="Y240" s="3">
        <f t="shared" si="201"/>
        <v>0</v>
      </c>
      <c r="Z240" s="3">
        <f t="shared" si="201"/>
        <v>0</v>
      </c>
      <c r="AA240" s="3">
        <f t="shared" si="201"/>
        <v>0</v>
      </c>
      <c r="AB240" s="3">
        <f t="shared" si="201"/>
        <v>0</v>
      </c>
      <c r="AC240" s="3">
        <f t="shared" si="201"/>
        <v>0</v>
      </c>
      <c r="AD240" s="3">
        <f t="shared" si="201"/>
        <v>0</v>
      </c>
      <c r="AE240" s="3">
        <f t="shared" si="201"/>
        <v>0</v>
      </c>
      <c r="AF240" s="3">
        <f t="shared" si="201"/>
        <v>0</v>
      </c>
      <c r="AG240" s="3"/>
      <c r="AH240" s="3"/>
    </row>
    <row r="241" spans="1:34" x14ac:dyDescent="0.25">
      <c r="A241" s="80">
        <f>AVERAGE(B241:AF241)</f>
        <v>2.8124187208497828E-3</v>
      </c>
      <c r="B241" s="81">
        <f>IF($A$64&lt;=B207,IF($B$64&gt;=B207,ABS((B209-B208)/B208),0),0)</f>
        <v>2.7789690413081363E-2</v>
      </c>
      <c r="C241" s="81">
        <f t="shared" ref="C241:AF241" si="202">IF($A$64&lt;=C207,IF($B$64&gt;=C207,ABS((C209-C208)/C208),0),0)</f>
        <v>2.9357882202048261E-3</v>
      </c>
      <c r="D241" s="81">
        <f t="shared" si="202"/>
        <v>9.1980488679309878E-3</v>
      </c>
      <c r="E241" s="81">
        <f t="shared" si="202"/>
        <v>4.2469715128234621E-3</v>
      </c>
      <c r="F241" s="81">
        <f t="shared" si="202"/>
        <v>6.5368651797330141E-4</v>
      </c>
      <c r="G241" s="81">
        <f t="shared" si="202"/>
        <v>1.4538972227117362E-3</v>
      </c>
      <c r="H241" s="81">
        <f t="shared" si="202"/>
        <v>1.2407027146339429E-3</v>
      </c>
      <c r="I241" s="81">
        <f t="shared" si="202"/>
        <v>1.4465723741218057E-3</v>
      </c>
      <c r="J241" s="81">
        <f t="shared" si="202"/>
        <v>1.3606434289319602E-3</v>
      </c>
      <c r="K241" s="81">
        <f t="shared" si="202"/>
        <v>1.3184766048974332E-3</v>
      </c>
      <c r="L241" s="81">
        <f t="shared" si="202"/>
        <v>1.4478287373655213E-3</v>
      </c>
      <c r="M241" s="81">
        <f t="shared" si="202"/>
        <v>1.2969428689773158E-3</v>
      </c>
      <c r="N241" s="81">
        <f t="shared" si="202"/>
        <v>1.4960282900495434E-3</v>
      </c>
      <c r="O241" s="81">
        <f t="shared" si="202"/>
        <v>9.6899553148693113E-4</v>
      </c>
      <c r="P241" s="81">
        <f t="shared" si="202"/>
        <v>1.4508545389172256E-3</v>
      </c>
      <c r="Q241" s="81">
        <f t="shared" si="202"/>
        <v>7.200926368615266E-4</v>
      </c>
      <c r="R241" s="81">
        <f t="shared" si="202"/>
        <v>1.0403584530669879E-3</v>
      </c>
      <c r="S241" s="81">
        <f t="shared" si="202"/>
        <v>7.9991148230740511E-4</v>
      </c>
      <c r="T241" s="81">
        <f t="shared" si="202"/>
        <v>3.2092414050998684E-3</v>
      </c>
      <c r="U241" s="81">
        <f t="shared" si="202"/>
        <v>4.627743179099148E-3</v>
      </c>
      <c r="V241" s="81">
        <f t="shared" si="202"/>
        <v>4.3913057781050594E-3</v>
      </c>
      <c r="W241" s="81">
        <f t="shared" si="202"/>
        <v>3.5581582620686837E-3</v>
      </c>
      <c r="X241" s="81">
        <f t="shared" si="202"/>
        <v>4.9486894933828554E-3</v>
      </c>
      <c r="Y241" s="81">
        <f t="shared" si="202"/>
        <v>1.4026845670257794E-3</v>
      </c>
      <c r="Z241" s="81">
        <f t="shared" si="202"/>
        <v>6.662055064302376E-4</v>
      </c>
      <c r="AA241" s="81">
        <f t="shared" si="202"/>
        <v>1.7554337952035237E-3</v>
      </c>
      <c r="AB241" s="81">
        <f t="shared" si="202"/>
        <v>3.6467348279554934E-4</v>
      </c>
      <c r="AC241" s="81">
        <f t="shared" si="202"/>
        <v>3.7515898735165813E-5</v>
      </c>
      <c r="AD241" s="81">
        <f t="shared" si="202"/>
        <v>3.5618774556908238E-4</v>
      </c>
      <c r="AE241" s="81">
        <f t="shared" si="202"/>
        <v>5.1823282160294094E-4</v>
      </c>
      <c r="AF241" s="81">
        <f t="shared" si="202"/>
        <v>4.8341799488210832E-4</v>
      </c>
    </row>
    <row r="242" spans="1:34" x14ac:dyDescent="0.25">
      <c r="B242" s="21">
        <f>(B209-B208)^2</f>
        <v>73112.997668061085</v>
      </c>
      <c r="C242" s="21">
        <f t="shared" ref="C242:AF242" si="203">(C209-C208)^2</f>
        <v>773.95112146846964</v>
      </c>
      <c r="D242" s="21">
        <f t="shared" si="203"/>
        <v>7260.9469805287035</v>
      </c>
      <c r="E242" s="21">
        <f t="shared" si="203"/>
        <v>1474.928259155899</v>
      </c>
      <c r="F242" s="21">
        <f t="shared" si="203"/>
        <v>33.064504197443306</v>
      </c>
      <c r="G242" s="21">
        <f t="shared" si="203"/>
        <v>153.90883746624945</v>
      </c>
      <c r="H242" s="21">
        <f t="shared" si="203"/>
        <v>104.57325552795501</v>
      </c>
      <c r="I242" s="21">
        <f t="shared" si="203"/>
        <v>132.50493359490594</v>
      </c>
      <c r="J242" s="21">
        <f t="shared" si="203"/>
        <v>109.35085904462449</v>
      </c>
      <c r="K242" s="21">
        <f t="shared" si="203"/>
        <v>94.396652097488939</v>
      </c>
      <c r="L242" s="21">
        <f t="shared" si="203"/>
        <v>102.66669547836582</v>
      </c>
      <c r="M242" s="21">
        <f t="shared" si="203"/>
        <v>73.750595643026287</v>
      </c>
      <c r="N242" s="21">
        <f t="shared" si="203"/>
        <v>89.032218394839276</v>
      </c>
      <c r="O242" s="21">
        <f t="shared" si="203"/>
        <v>34.060449948029543</v>
      </c>
      <c r="P242" s="21">
        <f t="shared" si="203"/>
        <v>69.442746959561674</v>
      </c>
      <c r="Q242" s="21">
        <f t="shared" si="203"/>
        <v>15.454088571067286</v>
      </c>
      <c r="R242" s="21">
        <f t="shared" si="203"/>
        <v>29.110664120347309</v>
      </c>
      <c r="S242" s="21">
        <f t="shared" si="203"/>
        <v>15.147492937651835</v>
      </c>
      <c r="T242" s="21">
        <f t="shared" si="203"/>
        <v>205.90895008815389</v>
      </c>
      <c r="U242" s="21">
        <f t="shared" si="203"/>
        <v>348.03180779174892</v>
      </c>
      <c r="V242" s="21">
        <f t="shared" si="203"/>
        <v>245.12682158254347</v>
      </c>
      <c r="W242" s="21">
        <f t="shared" si="203"/>
        <v>119.50115713833667</v>
      </c>
      <c r="X242" s="21">
        <f t="shared" si="203"/>
        <v>158.09222815517424</v>
      </c>
      <c r="Y242" s="21">
        <f t="shared" si="203"/>
        <v>7.6672536454608542</v>
      </c>
      <c r="Z242" s="21">
        <f t="shared" si="203"/>
        <v>0.93028321042891415</v>
      </c>
      <c r="AA242" s="21">
        <f t="shared" si="203"/>
        <v>3.3609885960657131</v>
      </c>
      <c r="AB242" s="21">
        <f t="shared" si="203"/>
        <v>8.1826594258403718E-2</v>
      </c>
      <c r="AC242" s="21">
        <f t="shared" si="203"/>
        <v>5.9722371195784969E-4</v>
      </c>
      <c r="AD242" s="21">
        <f t="shared" si="203"/>
        <v>4.3240223557960256E-2</v>
      </c>
      <c r="AE242" s="21">
        <f t="shared" si="203"/>
        <v>8.0862910882920608E-2</v>
      </c>
      <c r="AF242" s="21">
        <f t="shared" si="203"/>
        <v>6.4485134212226403E-2</v>
      </c>
      <c r="AG242" s="3"/>
      <c r="AH242" s="3"/>
    </row>
    <row r="243" spans="1:34" x14ac:dyDescent="0.25">
      <c r="A243" s="72">
        <f>SUM(B243:AF243)</f>
        <v>84768.178525490293</v>
      </c>
      <c r="B243" s="60">
        <f>IF($A$64&lt;=B207,IF($B$64&gt;=B207,ABS(B242),0),0)</f>
        <v>73112.997668061085</v>
      </c>
      <c r="C243" s="60">
        <f t="shared" ref="C243" si="204">IF($A$64&lt;=C207,IF($B$64&gt;=C207,ABS(C242),0),0)</f>
        <v>773.95112146846964</v>
      </c>
      <c r="D243" s="60">
        <f t="shared" ref="D243" si="205">IF($A$64&lt;=D207,IF($B$64&gt;=D207,ABS(D242),0),0)</f>
        <v>7260.9469805287035</v>
      </c>
      <c r="E243" s="60">
        <f t="shared" ref="E243" si="206">IF($A$64&lt;=E207,IF($B$64&gt;=E207,ABS(E242),0),0)</f>
        <v>1474.928259155899</v>
      </c>
      <c r="F243" s="60">
        <f t="shared" ref="F243" si="207">IF($A$64&lt;=F207,IF($B$64&gt;=F207,ABS(F242),0),0)</f>
        <v>33.064504197443306</v>
      </c>
      <c r="G243" s="60">
        <f t="shared" ref="G243" si="208">IF($A$64&lt;=G207,IF($B$64&gt;=G207,ABS(G242),0),0)</f>
        <v>153.90883746624945</v>
      </c>
      <c r="H243" s="60">
        <f t="shared" ref="H243" si="209">IF($A$64&lt;=H207,IF($B$64&gt;=H207,ABS(H242),0),0)</f>
        <v>104.57325552795501</v>
      </c>
      <c r="I243" s="60">
        <f t="shared" ref="I243" si="210">IF($A$64&lt;=I207,IF($B$64&gt;=I207,ABS(I242),0),0)</f>
        <v>132.50493359490594</v>
      </c>
      <c r="J243" s="60">
        <f t="shared" ref="J243" si="211">IF($A$64&lt;=J207,IF($B$64&gt;=J207,ABS(J242),0),0)</f>
        <v>109.35085904462449</v>
      </c>
      <c r="K243" s="60">
        <f t="shared" ref="K243" si="212">IF($A$64&lt;=K207,IF($B$64&gt;=K207,ABS(K242),0),0)</f>
        <v>94.396652097488939</v>
      </c>
      <c r="L243" s="60">
        <f t="shared" ref="L243" si="213">IF($A$64&lt;=L207,IF($B$64&gt;=L207,ABS(L242),0),0)</f>
        <v>102.66669547836582</v>
      </c>
      <c r="M243" s="60">
        <f t="shared" ref="M243" si="214">IF($A$64&lt;=M207,IF($B$64&gt;=M207,ABS(M242),0),0)</f>
        <v>73.750595643026287</v>
      </c>
      <c r="N243" s="60">
        <f t="shared" ref="N243" si="215">IF($A$64&lt;=N207,IF($B$64&gt;=N207,ABS(N242),0),0)</f>
        <v>89.032218394839276</v>
      </c>
      <c r="O243" s="60">
        <f t="shared" ref="O243" si="216">IF($A$64&lt;=O207,IF($B$64&gt;=O207,ABS(O242),0),0)</f>
        <v>34.060449948029543</v>
      </c>
      <c r="P243" s="60">
        <f t="shared" ref="P243" si="217">IF($A$64&lt;=P207,IF($B$64&gt;=P207,ABS(P242),0),0)</f>
        <v>69.442746959561674</v>
      </c>
      <c r="Q243" s="60">
        <f t="shared" ref="Q243" si="218">IF($A$64&lt;=Q207,IF($B$64&gt;=Q207,ABS(Q242),0),0)</f>
        <v>15.454088571067286</v>
      </c>
      <c r="R243" s="60">
        <f t="shared" ref="R243" si="219">IF($A$64&lt;=R207,IF($B$64&gt;=R207,ABS(R242),0),0)</f>
        <v>29.110664120347309</v>
      </c>
      <c r="S243" s="60">
        <f t="shared" ref="S243" si="220">IF($A$64&lt;=S207,IF($B$64&gt;=S207,ABS(S242),0),0)</f>
        <v>15.147492937651835</v>
      </c>
      <c r="T243" s="60">
        <f t="shared" ref="T243" si="221">IF($A$64&lt;=T207,IF($B$64&gt;=T207,ABS(T242),0),0)</f>
        <v>205.90895008815389</v>
      </c>
      <c r="U243" s="60">
        <f t="shared" ref="U243" si="222">IF($A$64&lt;=U207,IF($B$64&gt;=U207,ABS(U242),0),0)</f>
        <v>348.03180779174892</v>
      </c>
      <c r="V243" s="60">
        <f t="shared" ref="V243" si="223">IF($A$64&lt;=V207,IF($B$64&gt;=V207,ABS(V242),0),0)</f>
        <v>245.12682158254347</v>
      </c>
      <c r="W243" s="60">
        <f t="shared" ref="W243" si="224">IF($A$64&lt;=W207,IF($B$64&gt;=W207,ABS(W242),0),0)</f>
        <v>119.50115713833667</v>
      </c>
      <c r="X243" s="60">
        <f t="shared" ref="X243" si="225">IF($A$64&lt;=X207,IF($B$64&gt;=X207,ABS(X242),0),0)</f>
        <v>158.09222815517424</v>
      </c>
      <c r="Y243" s="60">
        <f t="shared" ref="Y243" si="226">IF($A$64&lt;=Y207,IF($B$64&gt;=Y207,ABS(Y242),0),0)</f>
        <v>7.6672536454608542</v>
      </c>
      <c r="Z243" s="60">
        <f t="shared" ref="Z243" si="227">IF($A$64&lt;=Z207,IF($B$64&gt;=Z207,ABS(Z242),0),0)</f>
        <v>0.93028321042891415</v>
      </c>
      <c r="AA243" s="60">
        <f t="shared" ref="AA243" si="228">IF($A$64&lt;=AA207,IF($B$64&gt;=AA207,ABS(AA242),0),0)</f>
        <v>3.3609885960657131</v>
      </c>
      <c r="AB243" s="60">
        <f t="shared" ref="AB243" si="229">IF($A$64&lt;=AB207,IF($B$64&gt;=AB207,ABS(AB242),0),0)</f>
        <v>8.1826594258403718E-2</v>
      </c>
      <c r="AC243" s="60">
        <f t="shared" ref="AC243" si="230">IF($A$64&lt;=AC207,IF($B$64&gt;=AC207,ABS(AC242),0),0)</f>
        <v>5.9722371195784969E-4</v>
      </c>
      <c r="AD243" s="60">
        <f t="shared" ref="AD243" si="231">IF($A$64&lt;=AD207,IF($B$64&gt;=AD207,ABS(AD242),0),0)</f>
        <v>4.3240223557960256E-2</v>
      </c>
      <c r="AE243" s="60">
        <f t="shared" ref="AE243" si="232">IF($A$64&lt;=AE207,IF($B$64&gt;=AE207,ABS(AE242),0),0)</f>
        <v>8.0862910882920608E-2</v>
      </c>
      <c r="AF243" s="60">
        <f t="shared" ref="AF243" si="233">IF($A$64&lt;=AF207,IF($B$64&gt;=AF207,ABS(AF242),0),0)</f>
        <v>6.4485134212226403E-2</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9521.3086452220268</v>
      </c>
      <c r="C247" s="26">
        <f>INDEX(Comparison!$AM$3:$AS$33,G$14,$E$122)</f>
        <v>9264.9569626866305</v>
      </c>
      <c r="D247" s="26">
        <f>INDEX(Comparison!$AM$3:$AS$33,H$14,$E$122)</f>
        <v>9040.3201170121174</v>
      </c>
      <c r="E247" s="26">
        <f>INDEX(Comparison!$AM$3:$AS$33,I$14,$E$122)</f>
        <v>8795.6860246078559</v>
      </c>
      <c r="F247" s="26">
        <f>INDEX(Comparison!$AM$3:$AS$33,J$14,$E$122)</f>
        <v>8532.6912536798991</v>
      </c>
      <c r="G247" s="26">
        <f>INDEX(Comparison!$AM$3:$AS$33,K$14,$E$122)</f>
        <v>8244.2374276121209</v>
      </c>
      <c r="H247" s="26">
        <f>INDEX(Comparison!$AM$3:$AS$33,L$14,$E$122)</f>
        <v>7958.2786468847135</v>
      </c>
      <c r="I247" s="26">
        <f>INDEX(Comparison!$AM$3:$AS$33,M$14,$E$122)</f>
        <v>7687.376383967704</v>
      </c>
      <c r="J247" s="26">
        <f>INDEX(Comparison!$AM$3:$AS$33,N$14,$E$122)</f>
        <v>7374.3712231841728</v>
      </c>
      <c r="K247" s="26">
        <f>INDEX(Comparison!$AM$3:$AS$33,O$14,$E$122)</f>
        <v>7006.1552436770207</v>
      </c>
      <c r="L247" s="26">
        <f>INDEX(Comparison!$AM$3:$AS$33,P$14,$E$122)</f>
        <v>6628.8785990090082</v>
      </c>
      <c r="M247" s="26">
        <f>INDEX(Comparison!$AM$3:$AS$33,Q$14,$E$122)</f>
        <v>6311.3720523241727</v>
      </c>
      <c r="N247" s="26">
        <f>INDEX(Comparison!$AM$3:$AS$33,R$14,$E$122)</f>
        <v>6028.2349504089671</v>
      </c>
      <c r="O247" s="26">
        <f>INDEX(Comparison!$AM$3:$AS$33,S$14,$E$122)</f>
        <v>5748.7087759518809</v>
      </c>
      <c r="P247" s="26">
        <f>INDEX(Comparison!$AM$3:$AS$33,T$14,$E$122)</f>
        <v>5465.7818754747968</v>
      </c>
      <c r="Q247" s="26">
        <f>INDEX(Comparison!$AM$3:$AS$33,U$14,$E$122)</f>
        <v>5192.657072535425</v>
      </c>
      <c r="R247" s="26">
        <f>INDEX(Comparison!$AM$3:$AS$33,V$14,$E$122)</f>
        <v>4882.9062343607484</v>
      </c>
      <c r="S247" s="26">
        <f>INDEX(Comparison!$AM$3:$AS$33,W$14,$E$122)</f>
        <v>4501.5398610325774</v>
      </c>
      <c r="T247" s="26">
        <f>INDEX(Comparison!$AM$3:$AS$33,X$14,$E$122)</f>
        <v>4066.6104281555185</v>
      </c>
      <c r="U247" s="26">
        <f>INDEX(Comparison!$AM$3:$AS$33,Y$14,$E$122)</f>
        <v>3597.5685781370817</v>
      </c>
      <c r="V247" s="26">
        <f>INDEX(Comparison!$AM$3:$AS$33,Z$14,$E$122)</f>
        <v>3102.4717339118838</v>
      </c>
      <c r="W247" s="26">
        <f>INDEX(Comparison!$AM$3:$AS$33,AA$14,$E$122)</f>
        <v>2568.6205512482802</v>
      </c>
      <c r="X247" s="26">
        <f>INDEX(Comparison!$AM$3:$AS$33,AB$14,$E$122)</f>
        <v>2000.7316961631682</v>
      </c>
      <c r="Y247" s="26">
        <f>INDEX(Comparison!$AM$3:$AS$33,AC$14,$E$122)</f>
        <v>1467.5042196825975</v>
      </c>
      <c r="Z247" s="26">
        <f>INDEX(Comparison!$AM$3:$AS$33,AD$14,$E$122)</f>
        <v>1058.8226695409851</v>
      </c>
      <c r="AA247" s="26">
        <f>INDEX(Comparison!$AM$3:$AS$33,AE$14,$E$122)</f>
        <v>791.47453302018846</v>
      </c>
      <c r="AB247" s="26">
        <f>INDEX(Comparison!$AM$3:$AS$33,AF$14,$E$122)</f>
        <v>655.80009654126911</v>
      </c>
      <c r="AC247" s="26">
        <f>INDEX(Comparison!$AM$3:$AS$33,AG$14,$E$122)</f>
        <v>585.43210743850034</v>
      </c>
      <c r="AD247" s="26">
        <f>INDEX(Comparison!$AM$3:$AS$33,AH$14,$E$122)</f>
        <v>550.22961238933465</v>
      </c>
      <c r="AE247" s="26">
        <f>INDEX(Comparison!$AM$3:$AS$33,AI$14,$E$122)</f>
        <v>525.95012363885235</v>
      </c>
      <c r="AF247" s="26">
        <f>INDEX(Comparison!$AM$3:$AS$33,AJ$14,$E$122)</f>
        <v>515.3503886433972</v>
      </c>
      <c r="AG247" s="26"/>
      <c r="AH247" s="26"/>
    </row>
    <row r="248" spans="1:34" x14ac:dyDescent="0.25">
      <c r="A248" s="71" t="s">
        <v>22</v>
      </c>
      <c r="B248" s="27">
        <f>($C$17+SUM(B249:B279))*$B$51</f>
        <v>9449.3345802616077</v>
      </c>
      <c r="C248" s="27">
        <f t="shared" ref="C248:AF248" si="234">($C$17+SUM(C249:C279))*$B$51</f>
        <v>9357.2092893620957</v>
      </c>
      <c r="D248" s="27">
        <f t="shared" si="234"/>
        <v>9014.6689181750462</v>
      </c>
      <c r="E248" s="27">
        <f t="shared" si="234"/>
        <v>8798.9312246073132</v>
      </c>
      <c r="F248" s="27">
        <f t="shared" si="234"/>
        <v>8531.0968526041579</v>
      </c>
      <c r="G248" s="27">
        <f t="shared" si="234"/>
        <v>8243.2000638111258</v>
      </c>
      <c r="H248" s="27">
        <f t="shared" si="234"/>
        <v>7957.1937788741607</v>
      </c>
      <c r="I248" s="27">
        <f t="shared" si="234"/>
        <v>7686.2268018059685</v>
      </c>
      <c r="J248" s="27">
        <f t="shared" si="234"/>
        <v>7373.2135773860837</v>
      </c>
      <c r="K248" s="27">
        <f t="shared" si="234"/>
        <v>7004.2719179049609</v>
      </c>
      <c r="L248" s="27">
        <f t="shared" si="234"/>
        <v>6628.0370129360945</v>
      </c>
      <c r="M248" s="27">
        <f t="shared" si="234"/>
        <v>6309.3696846002458</v>
      </c>
      <c r="N248" s="27">
        <f t="shared" si="234"/>
        <v>6028.2625246490534</v>
      </c>
      <c r="O248" s="27">
        <f t="shared" si="234"/>
        <v>5746.4974930684602</v>
      </c>
      <c r="P248" s="27">
        <f t="shared" si="234"/>
        <v>5465.8180126172838</v>
      </c>
      <c r="Q248" s="27">
        <f t="shared" si="234"/>
        <v>5190.8932278801803</v>
      </c>
      <c r="R248" s="27">
        <f t="shared" si="234"/>
        <v>4882.2404792912403</v>
      </c>
      <c r="S248" s="27">
        <f t="shared" si="234"/>
        <v>4499.8858152053062</v>
      </c>
      <c r="T248" s="27">
        <f t="shared" si="234"/>
        <v>4065.3093223450637</v>
      </c>
      <c r="U248" s="27">
        <f t="shared" si="234"/>
        <v>3596.0587084317604</v>
      </c>
      <c r="V248" s="27">
        <f t="shared" si="234"/>
        <v>3100.8441971341795</v>
      </c>
      <c r="W248" s="27">
        <f t="shared" si="234"/>
        <v>2567.2098269695375</v>
      </c>
      <c r="X248" s="27">
        <f t="shared" si="234"/>
        <v>1998.2469412517814</v>
      </c>
      <c r="Y248" s="27">
        <f t="shared" si="234"/>
        <v>1465.748442722648</v>
      </c>
      <c r="Z248" s="27">
        <f t="shared" si="234"/>
        <v>1057.5023039993698</v>
      </c>
      <c r="AA248" s="27">
        <f t="shared" si="234"/>
        <v>790.74475129769507</v>
      </c>
      <c r="AB248" s="27">
        <f t="shared" si="234"/>
        <v>655.49548717861944</v>
      </c>
      <c r="AC248" s="27">
        <f t="shared" si="234"/>
        <v>585.20787258662733</v>
      </c>
      <c r="AD248" s="27">
        <f t="shared" si="234"/>
        <v>550.1805647237137</v>
      </c>
      <c r="AE248" s="27">
        <f t="shared" si="234"/>
        <v>525.78703671644951</v>
      </c>
      <c r="AF248" s="27">
        <f t="shared" si="234"/>
        <v>515.40602887663988</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4.150693871285499E-2</v>
      </c>
      <c r="C250" s="3">
        <f t="shared" si="236"/>
        <v>3.2899229470656079E-2</v>
      </c>
      <c r="D250" s="3">
        <f t="shared" si="236"/>
        <v>3.2198523261717489E-3</v>
      </c>
      <c r="E250" s="3">
        <f t="shared" si="236"/>
        <v>2.5962004898546625E-13</v>
      </c>
      <c r="F250" s="3">
        <f t="shared" si="236"/>
        <v>3.0155113266966914E-114</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1.814763705461676E-2</v>
      </c>
      <c r="C251" s="3">
        <f t="shared" si="237"/>
        <v>1.7771124535905437E-2</v>
      </c>
      <c r="D251" s="3">
        <f t="shared" si="237"/>
        <v>1.4409972892860383E-2</v>
      </c>
      <c r="E251" s="3">
        <f t="shared" si="237"/>
        <v>1.7707029022703293E-3</v>
      </c>
      <c r="F251" s="3">
        <f t="shared" si="237"/>
        <v>1.3898599861525507E-12</v>
      </c>
      <c r="G251" s="3">
        <f t="shared" si="237"/>
        <v>1.2337426517113415E-103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2.8227792762223015E-2</v>
      </c>
      <c r="C252" s="3">
        <f t="shared" si="238"/>
        <v>2.8174457201663516E-2</v>
      </c>
      <c r="D252" s="3">
        <f t="shared" si="238"/>
        <v>2.7646612972384042E-2</v>
      </c>
      <c r="E252" s="3">
        <f t="shared" si="238"/>
        <v>2.2882616532839416E-2</v>
      </c>
      <c r="F252" s="3">
        <f t="shared" si="238"/>
        <v>3.4525754794240845E-3</v>
      </c>
      <c r="G252" s="3">
        <f t="shared" si="238"/>
        <v>2.1111455316185807E-11</v>
      </c>
      <c r="H252" s="3">
        <f t="shared" si="238"/>
        <v>1.5426523967798225E-93</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2.9847016077107612E-2</v>
      </c>
      <c r="C253" s="3">
        <f t="shared" si="239"/>
        <v>2.9841924398013513E-2</v>
      </c>
      <c r="D253" s="3">
        <f t="shared" si="239"/>
        <v>2.9791055355775076E-2</v>
      </c>
      <c r="E253" s="3">
        <f t="shared" si="239"/>
        <v>2.9287109799507289E-2</v>
      </c>
      <c r="F253" s="3">
        <f t="shared" si="239"/>
        <v>2.4693507650615301E-2</v>
      </c>
      <c r="G253" s="3">
        <f t="shared" si="239"/>
        <v>4.4837922101478534E-3</v>
      </c>
      <c r="H253" s="3">
        <f t="shared" si="239"/>
        <v>1.7469175659653391E-10</v>
      </c>
      <c r="I253" s="3">
        <f t="shared" si="239"/>
        <v>1.4078025553644232E-84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2.9885231637213686E-2</v>
      </c>
      <c r="C254" s="3">
        <f t="shared" si="240"/>
        <v>2.9884771701613511E-2</v>
      </c>
      <c r="D254" s="3">
        <f t="shared" si="240"/>
        <v>2.9880172734907867E-2</v>
      </c>
      <c r="E254" s="3">
        <f t="shared" si="240"/>
        <v>2.9834221975303648E-2</v>
      </c>
      <c r="F254" s="3">
        <f t="shared" si="240"/>
        <v>2.9378583060062916E-2</v>
      </c>
      <c r="G254" s="3">
        <f t="shared" si="240"/>
        <v>2.5187910224842229E-2</v>
      </c>
      <c r="H254" s="3">
        <f t="shared" si="240"/>
        <v>5.4051163390459404E-3</v>
      </c>
      <c r="I254" s="3">
        <f t="shared" si="240"/>
        <v>1.1192681351641276E-9</v>
      </c>
      <c r="J254" s="3">
        <f t="shared" si="240"/>
        <v>1.6226508346826601E-76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2.6241414231684915E-2</v>
      </c>
      <c r="C255" s="3">
        <f t="shared" si="241"/>
        <v>2.6241377800166849E-2</v>
      </c>
      <c r="D255" s="3">
        <f t="shared" si="241"/>
        <v>2.6241013487768031E-2</v>
      </c>
      <c r="E255" s="3">
        <f t="shared" si="241"/>
        <v>2.6237370641946995E-2</v>
      </c>
      <c r="F255" s="3">
        <f t="shared" si="241"/>
        <v>2.620096998617006E-2</v>
      </c>
      <c r="G255" s="3">
        <f t="shared" si="241"/>
        <v>2.5839729443088631E-2</v>
      </c>
      <c r="H255" s="3">
        <f t="shared" si="241"/>
        <v>2.2490229439247836E-2</v>
      </c>
      <c r="I255" s="3">
        <f t="shared" si="241"/>
        <v>5.6111661139143267E-3</v>
      </c>
      <c r="J255" s="3">
        <f t="shared" si="241"/>
        <v>5.2437928119518415E-9</v>
      </c>
      <c r="K255" s="3">
        <f t="shared" si="241"/>
        <v>2.6642164452086037E-69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3.2917205543740537E-2</v>
      </c>
      <c r="C256" s="3">
        <f t="shared" si="242"/>
        <v>3.291720142124821E-2</v>
      </c>
      <c r="D256" s="3">
        <f t="shared" si="242"/>
        <v>3.2917160196353337E-2</v>
      </c>
      <c r="E256" s="3">
        <f t="shared" si="242"/>
        <v>3.2916747950244248E-2</v>
      </c>
      <c r="F256" s="3">
        <f t="shared" si="242"/>
        <v>3.2912625773100238E-2</v>
      </c>
      <c r="G256" s="3">
        <f t="shared" si="242"/>
        <v>3.2871432383197667E-2</v>
      </c>
      <c r="H256" s="3">
        <f t="shared" si="242"/>
        <v>3.2462323530388117E-2</v>
      </c>
      <c r="I256" s="3">
        <f t="shared" si="242"/>
        <v>2.8641075967445081E-2</v>
      </c>
      <c r="J256" s="3">
        <f t="shared" si="242"/>
        <v>8.1862801637879127E-3</v>
      </c>
      <c r="K256" s="3">
        <f t="shared" si="242"/>
        <v>2.9789234852890016E-8</v>
      </c>
      <c r="L256" s="3">
        <f t="shared" si="242"/>
        <v>1.2127933168790012E-62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4.0072808152109701E-2</v>
      </c>
      <c r="C257" s="3">
        <f t="shared" si="243"/>
        <v>4.007280769938594E-2</v>
      </c>
      <c r="D257" s="3">
        <f t="shared" si="243"/>
        <v>4.0072803172148598E-2</v>
      </c>
      <c r="E257" s="3">
        <f t="shared" si="243"/>
        <v>4.0072757899803371E-2</v>
      </c>
      <c r="F257" s="3">
        <f t="shared" si="243"/>
        <v>4.0072305179164179E-2</v>
      </c>
      <c r="G257" s="3">
        <f t="shared" si="243"/>
        <v>4.0067778254065427E-2</v>
      </c>
      <c r="H257" s="3">
        <f t="shared" si="243"/>
        <v>4.0022537120649161E-2</v>
      </c>
      <c r="I257" s="3">
        <f t="shared" si="243"/>
        <v>3.9572925825656483E-2</v>
      </c>
      <c r="J257" s="3">
        <f t="shared" si="243"/>
        <v>3.5345457740420708E-2</v>
      </c>
      <c r="K257" s="3">
        <f t="shared" si="243"/>
        <v>1.1420578507320731E-2</v>
      </c>
      <c r="L257" s="3">
        <f t="shared" si="243"/>
        <v>1.4165536771536661E-7</v>
      </c>
      <c r="M257" s="3">
        <f t="shared" si="243"/>
        <v>1.2209063652947628E-56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3.976591283559211E-2</v>
      </c>
      <c r="C258" s="3">
        <f t="shared" si="244"/>
        <v>3.9765912795065424E-2</v>
      </c>
      <c r="D258" s="3">
        <f t="shared" si="244"/>
        <v>3.9765912389798597E-2</v>
      </c>
      <c r="E258" s="3">
        <f t="shared" si="244"/>
        <v>3.9765908337130521E-2</v>
      </c>
      <c r="F258" s="3">
        <f t="shared" si="244"/>
        <v>3.9765867810472519E-2</v>
      </c>
      <c r="G258" s="3">
        <f t="shared" si="244"/>
        <v>3.9765462546164115E-2</v>
      </c>
      <c r="H258" s="3">
        <f t="shared" si="244"/>
        <v>3.9761410130231635E-2</v>
      </c>
      <c r="I258" s="3">
        <f t="shared" si="244"/>
        <v>3.9720908677496489E-2</v>
      </c>
      <c r="J258" s="3">
        <f t="shared" si="244"/>
        <v>3.9318156270235605E-2</v>
      </c>
      <c r="K258" s="3">
        <f t="shared" si="244"/>
        <v>3.5508541808648472E-2</v>
      </c>
      <c r="L258" s="3">
        <f t="shared" si="244"/>
        <v>1.281532938466173E-2</v>
      </c>
      <c r="M258" s="3">
        <f t="shared" si="244"/>
        <v>4.8050634208779711E-7</v>
      </c>
      <c r="N258" s="3">
        <f t="shared" si="244"/>
        <v>2.6387159084680149E-51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2.9424353029870749E-2</v>
      </c>
      <c r="C259" s="3">
        <f t="shared" si="245"/>
        <v>2.9424353027165649E-2</v>
      </c>
      <c r="D259" s="3">
        <f t="shared" si="245"/>
        <v>2.9424353000114631E-2</v>
      </c>
      <c r="E259" s="3">
        <f t="shared" si="245"/>
        <v>2.9424352729604447E-2</v>
      </c>
      <c r="F259" s="3">
        <f t="shared" si="245"/>
        <v>2.9424350024502766E-2</v>
      </c>
      <c r="G259" s="3">
        <f t="shared" si="245"/>
        <v>2.9424322973499607E-2</v>
      </c>
      <c r="H259" s="3">
        <f t="shared" si="245"/>
        <v>2.9424052464835797E-2</v>
      </c>
      <c r="I259" s="3">
        <f t="shared" si="245"/>
        <v>2.9421347514972693E-2</v>
      </c>
      <c r="J259" s="3">
        <f t="shared" si="245"/>
        <v>2.9394311689186155E-2</v>
      </c>
      <c r="K259" s="3">
        <f t="shared" si="245"/>
        <v>2.9125316076281913E-2</v>
      </c>
      <c r="L259" s="3">
        <f t="shared" si="245"/>
        <v>2.6567101108684269E-2</v>
      </c>
      <c r="M259" s="3">
        <f t="shared" si="245"/>
        <v>1.0594473598297374E-2</v>
      </c>
      <c r="N259" s="3">
        <f t="shared" si="245"/>
        <v>1.0775353519393154E-6</v>
      </c>
      <c r="O259" s="3">
        <f t="shared" si="245"/>
        <v>1.2763005951569162E-46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2.8571417110949827E-2</v>
      </c>
      <c r="C260" s="3">
        <f t="shared" si="246"/>
        <v>2.8571417110712878E-2</v>
      </c>
      <c r="D260" s="3">
        <f t="shared" si="246"/>
        <v>2.8571417108343388E-2</v>
      </c>
      <c r="E260" s="3">
        <f t="shared" si="246"/>
        <v>2.8571417084648477E-2</v>
      </c>
      <c r="F260" s="3">
        <f t="shared" si="246"/>
        <v>2.8571416847699378E-2</v>
      </c>
      <c r="G260" s="3">
        <f t="shared" si="246"/>
        <v>2.8571414478208466E-2</v>
      </c>
      <c r="H260" s="3">
        <f t="shared" si="246"/>
        <v>2.8571390783310176E-2</v>
      </c>
      <c r="I260" s="3">
        <f t="shared" si="246"/>
        <v>2.857115383540805E-2</v>
      </c>
      <c r="J260" s="3">
        <f t="shared" si="246"/>
        <v>2.8568784464462055E-2</v>
      </c>
      <c r="K260" s="3">
        <f t="shared" si="246"/>
        <v>2.8545101559211326E-2</v>
      </c>
      <c r="L260" s="3">
        <f t="shared" si="246"/>
        <v>2.8309349619703883E-2</v>
      </c>
      <c r="M260" s="3">
        <f t="shared" si="246"/>
        <v>2.605630845414459E-2</v>
      </c>
      <c r="N260" s="3">
        <f t="shared" si="246"/>
        <v>1.1369538445575944E-2</v>
      </c>
      <c r="O260" s="3">
        <f t="shared" si="246"/>
        <v>2.8447382516456081E-6</v>
      </c>
      <c r="P260" s="3">
        <f t="shared" si="246"/>
        <v>2.7355023501397474E-42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2.9426851905509966E-2</v>
      </c>
      <c r="C261" s="3">
        <f t="shared" si="247"/>
        <v>2.9426851905487952E-2</v>
      </c>
      <c r="D261" s="3">
        <f t="shared" si="247"/>
        <v>2.9426851905267802E-2</v>
      </c>
      <c r="E261" s="3">
        <f t="shared" si="247"/>
        <v>2.942685190306633E-2</v>
      </c>
      <c r="F261" s="3">
        <f t="shared" si="247"/>
        <v>2.9426851881051583E-2</v>
      </c>
      <c r="G261" s="3">
        <f t="shared" si="247"/>
        <v>2.9426851660904123E-2</v>
      </c>
      <c r="H261" s="3">
        <f t="shared" si="247"/>
        <v>2.9426849459429607E-2</v>
      </c>
      <c r="I261" s="3">
        <f t="shared" si="247"/>
        <v>2.9426827444693521E-2</v>
      </c>
      <c r="J261" s="3">
        <f t="shared" si="247"/>
        <v>2.9426607298238473E-2</v>
      </c>
      <c r="K261" s="3">
        <f t="shared" si="247"/>
        <v>2.9424405924268131E-2</v>
      </c>
      <c r="L261" s="3">
        <f t="shared" si="247"/>
        <v>2.9402401240069938E-2</v>
      </c>
      <c r="M261" s="3">
        <f t="shared" si="247"/>
        <v>2.9183257447024297E-2</v>
      </c>
      <c r="N261" s="3">
        <f t="shared" si="247"/>
        <v>2.7079673974147643E-2</v>
      </c>
      <c r="O261" s="3">
        <f t="shared" si="247"/>
        <v>1.2815633558743237E-2</v>
      </c>
      <c r="P261" s="3">
        <f t="shared" si="247"/>
        <v>7.2228164339227352E-6</v>
      </c>
      <c r="Q261" s="3">
        <f t="shared" si="247"/>
        <v>2.3354552095911168E-38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2.8440803506547718E-2</v>
      </c>
      <c r="C262" s="3">
        <f t="shared" si="248"/>
        <v>2.8440803506545802E-2</v>
      </c>
      <c r="D262" s="3">
        <f t="shared" si="248"/>
        <v>2.8440803506526606E-2</v>
      </c>
      <c r="E262" s="3">
        <f t="shared" si="248"/>
        <v>2.8440803506334669E-2</v>
      </c>
      <c r="F262" s="3">
        <f t="shared" si="248"/>
        <v>2.8440803504415302E-2</v>
      </c>
      <c r="G262" s="3">
        <f t="shared" si="248"/>
        <v>2.8440803485221617E-2</v>
      </c>
      <c r="H262" s="3">
        <f t="shared" si="248"/>
        <v>2.8440803293284782E-2</v>
      </c>
      <c r="I262" s="3">
        <f t="shared" si="248"/>
        <v>2.8440801373916504E-2</v>
      </c>
      <c r="J262" s="3">
        <f t="shared" si="248"/>
        <v>2.8440782180240824E-2</v>
      </c>
      <c r="K262" s="3">
        <f t="shared" si="248"/>
        <v>2.8440590244196453E-2</v>
      </c>
      <c r="L262" s="3">
        <f t="shared" si="248"/>
        <v>2.8438670954993018E-2</v>
      </c>
      <c r="M262" s="3">
        <f t="shared" si="248"/>
        <v>2.841948518520522E-2</v>
      </c>
      <c r="N262" s="3">
        <f t="shared" si="248"/>
        <v>2.8228337936764873E-2</v>
      </c>
      <c r="O262" s="3">
        <f t="shared" si="248"/>
        <v>2.6386167974459123E-2</v>
      </c>
      <c r="P262" s="3">
        <f t="shared" si="248"/>
        <v>1.3436509745498136E-2</v>
      </c>
      <c r="Q262" s="3">
        <f t="shared" si="248"/>
        <v>1.5753895406306222E-5</v>
      </c>
      <c r="R262" s="3">
        <f t="shared" si="248"/>
        <v>7.733976013139687E-35</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2.6740342475666083E-2</v>
      </c>
      <c r="C263" s="3">
        <f t="shared" si="249"/>
        <v>2.674034247566592E-2</v>
      </c>
      <c r="D263" s="3">
        <f t="shared" si="249"/>
        <v>2.6740342475664293E-2</v>
      </c>
      <c r="E263" s="3">
        <f t="shared" si="249"/>
        <v>2.6740342475648011E-2</v>
      </c>
      <c r="F263" s="3">
        <f t="shared" si="249"/>
        <v>2.6740342475485221E-2</v>
      </c>
      <c r="G263" s="3">
        <f t="shared" si="249"/>
        <v>2.6740342473857311E-2</v>
      </c>
      <c r="H263" s="3">
        <f t="shared" si="249"/>
        <v>2.6740342457578229E-2</v>
      </c>
      <c r="I263" s="3">
        <f t="shared" si="249"/>
        <v>2.6740342294787365E-2</v>
      </c>
      <c r="J263" s="3">
        <f t="shared" si="249"/>
        <v>2.6740340666878797E-2</v>
      </c>
      <c r="K263" s="3">
        <f t="shared" si="249"/>
        <v>2.6740324387798553E-2</v>
      </c>
      <c r="L263" s="3">
        <f t="shared" si="249"/>
        <v>2.6740161597541199E-2</v>
      </c>
      <c r="M263" s="3">
        <f t="shared" si="249"/>
        <v>2.6738533749473745E-2</v>
      </c>
      <c r="N263" s="3">
        <f t="shared" si="249"/>
        <v>2.6722260718179125E-2</v>
      </c>
      <c r="O263" s="3">
        <f t="shared" si="249"/>
        <v>2.6560074117747006E-2</v>
      </c>
      <c r="P263" s="3">
        <f t="shared" si="249"/>
        <v>2.4991374340347729E-2</v>
      </c>
      <c r="Q263" s="3">
        <f t="shared" si="249"/>
        <v>1.3595610408931098E-2</v>
      </c>
      <c r="R263" s="3">
        <f t="shared" si="249"/>
        <v>3.0866289449174446E-5</v>
      </c>
      <c r="S263" s="3">
        <f t="shared" si="249"/>
        <v>1.1229012317584489E-31</v>
      </c>
      <c r="T263" s="3">
        <f t="shared" si="249"/>
        <v>4.5594546015312944E-296</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3.638406706172969E-2</v>
      </c>
      <c r="C264" s="3">
        <f t="shared" si="250"/>
        <v>3.6384067061729676E-2</v>
      </c>
      <c r="D264" s="3">
        <f t="shared" si="250"/>
        <v>3.6384067061729475E-2</v>
      </c>
      <c r="E264" s="3">
        <f t="shared" si="250"/>
        <v>3.6384067061727476E-2</v>
      </c>
      <c r="F264" s="3">
        <f t="shared" si="250"/>
        <v>3.6384067061707499E-2</v>
      </c>
      <c r="G264" s="3">
        <f t="shared" si="250"/>
        <v>3.6384067061507687E-2</v>
      </c>
      <c r="H264" s="3">
        <f t="shared" si="250"/>
        <v>3.638406705950957E-2</v>
      </c>
      <c r="I264" s="3">
        <f t="shared" si="250"/>
        <v>3.63840670395284E-2</v>
      </c>
      <c r="J264" s="3">
        <f t="shared" si="250"/>
        <v>3.6384066839716706E-2</v>
      </c>
      <c r="K264" s="3">
        <f t="shared" si="250"/>
        <v>3.6384064841599867E-2</v>
      </c>
      <c r="L264" s="3">
        <f t="shared" si="250"/>
        <v>3.6384044860437496E-2</v>
      </c>
      <c r="M264" s="3">
        <f t="shared" si="250"/>
        <v>3.6383845049417322E-2</v>
      </c>
      <c r="N264" s="3">
        <f t="shared" si="250"/>
        <v>3.6381846999566425E-2</v>
      </c>
      <c r="O264" s="3">
        <f t="shared" si="250"/>
        <v>3.6361872534916892E-2</v>
      </c>
      <c r="P264" s="3">
        <f t="shared" si="250"/>
        <v>3.6162730050118032E-2</v>
      </c>
      <c r="Q264" s="3">
        <f t="shared" si="250"/>
        <v>3.4230315579745839E-2</v>
      </c>
      <c r="R264" s="3">
        <f t="shared" si="250"/>
        <v>1.9765501554476098E-2</v>
      </c>
      <c r="S264" s="3">
        <f t="shared" si="250"/>
        <v>8.1447395312981495E-5</v>
      </c>
      <c r="T264" s="3">
        <f t="shared" si="250"/>
        <v>1.1496636761975765E-28</v>
      </c>
      <c r="U264" s="3">
        <f t="shared" si="250"/>
        <v>3.6099975603589556E-267</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4.1964426446168525E-2</v>
      </c>
      <c r="C265" s="3">
        <f t="shared" si="251"/>
        <v>4.1964426446168525E-2</v>
      </c>
      <c r="D265" s="3">
        <f t="shared" si="251"/>
        <v>4.1964426446168504E-2</v>
      </c>
      <c r="E265" s="3">
        <f t="shared" si="251"/>
        <v>4.1964426446168289E-2</v>
      </c>
      <c r="F265" s="3">
        <f t="shared" si="251"/>
        <v>4.1964426446166214E-2</v>
      </c>
      <c r="G265" s="3">
        <f t="shared" si="251"/>
        <v>4.1964426446145425E-2</v>
      </c>
      <c r="H265" s="3">
        <f t="shared" si="251"/>
        <v>4.1964426445937529E-2</v>
      </c>
      <c r="I265" s="3">
        <f t="shared" si="251"/>
        <v>4.1964426443858616E-2</v>
      </c>
      <c r="J265" s="3">
        <f t="shared" si="251"/>
        <v>4.1964426423069426E-2</v>
      </c>
      <c r="K265" s="3">
        <f t="shared" si="251"/>
        <v>4.1964426215177542E-2</v>
      </c>
      <c r="L265" s="3">
        <f t="shared" si="251"/>
        <v>4.1964424136258775E-2</v>
      </c>
      <c r="M265" s="3">
        <f t="shared" si="251"/>
        <v>4.1964403347076719E-2</v>
      </c>
      <c r="N265" s="3">
        <f t="shared" si="251"/>
        <v>4.1964195455822646E-2</v>
      </c>
      <c r="O265" s="3">
        <f t="shared" si="251"/>
        <v>4.1962116599925096E-2</v>
      </c>
      <c r="P265" s="3">
        <f t="shared" si="251"/>
        <v>4.1941333704229408E-2</v>
      </c>
      <c r="Q265" s="3">
        <f t="shared" si="251"/>
        <v>4.1734070038557586E-2</v>
      </c>
      <c r="R265" s="3">
        <f t="shared" si="251"/>
        <v>3.9716939929425418E-2</v>
      </c>
      <c r="S265" s="3">
        <f t="shared" si="251"/>
        <v>2.4200602305259281E-2</v>
      </c>
      <c r="T265" s="3">
        <f t="shared" si="251"/>
        <v>1.7073797372530998E-4</v>
      </c>
      <c r="U265" s="3">
        <f t="shared" si="251"/>
        <v>5.2163846077051267E-26</v>
      </c>
      <c r="V265" s="3">
        <f t="shared" si="251"/>
        <v>3.6962762514194082E-241</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4.8106928297009681E-2</v>
      </c>
      <c r="C266" s="3">
        <f t="shared" si="252"/>
        <v>4.8106928297009681E-2</v>
      </c>
      <c r="D266" s="3">
        <f t="shared" si="252"/>
        <v>4.8106928297009681E-2</v>
      </c>
      <c r="E266" s="3">
        <f t="shared" si="252"/>
        <v>4.810692829700966E-2</v>
      </c>
      <c r="F266" s="3">
        <f t="shared" si="252"/>
        <v>4.8106928297009438E-2</v>
      </c>
      <c r="G266" s="3">
        <f t="shared" si="252"/>
        <v>4.8106928297007294E-2</v>
      </c>
      <c r="H266" s="3">
        <f t="shared" si="252"/>
        <v>4.8106928296985797E-2</v>
      </c>
      <c r="I266" s="3">
        <f t="shared" si="252"/>
        <v>4.810692829677081E-2</v>
      </c>
      <c r="J266" s="3">
        <f t="shared" si="252"/>
        <v>4.8106928294620946E-2</v>
      </c>
      <c r="K266" s="3">
        <f t="shared" si="252"/>
        <v>4.8106928273122337E-2</v>
      </c>
      <c r="L266" s="3">
        <f t="shared" si="252"/>
        <v>4.810692805813619E-2</v>
      </c>
      <c r="M266" s="3">
        <f t="shared" si="252"/>
        <v>4.810692590827486E-2</v>
      </c>
      <c r="N266" s="3">
        <f t="shared" si="252"/>
        <v>4.810690440966682E-2</v>
      </c>
      <c r="O266" s="3">
        <f t="shared" si="252"/>
        <v>4.8106689424114779E-2</v>
      </c>
      <c r="P266" s="3">
        <f t="shared" si="252"/>
        <v>4.810453962143503E-2</v>
      </c>
      <c r="Q266" s="3">
        <f t="shared" si="252"/>
        <v>4.8083046877827176E-2</v>
      </c>
      <c r="R266" s="3">
        <f t="shared" si="252"/>
        <v>4.7868646888175111E-2</v>
      </c>
      <c r="S266" s="3">
        <f t="shared" si="252"/>
        <v>4.5776529828017838E-2</v>
      </c>
      <c r="T266" s="3">
        <f t="shared" si="252"/>
        <v>2.9279255165465052E-2</v>
      </c>
      <c r="U266" s="3">
        <f t="shared" si="252"/>
        <v>3.355301867241888E-4</v>
      </c>
      <c r="V266" s="3">
        <f t="shared" si="252"/>
        <v>1.3105311216623839E-23</v>
      </c>
      <c r="W266" s="3">
        <f t="shared" si="252"/>
        <v>1.0829408617907824E-217</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4.6100301020196389E-2</v>
      </c>
      <c r="C267" s="3">
        <f t="shared" si="253"/>
        <v>4.6100301020196389E-2</v>
      </c>
      <c r="D267" s="3">
        <f t="shared" si="253"/>
        <v>4.6100301020196389E-2</v>
      </c>
      <c r="E267" s="3">
        <f t="shared" si="253"/>
        <v>4.6100301020196389E-2</v>
      </c>
      <c r="F267" s="3">
        <f t="shared" si="253"/>
        <v>4.6100301020196369E-2</v>
      </c>
      <c r="G267" s="3">
        <f t="shared" si="253"/>
        <v>4.6100301020196181E-2</v>
      </c>
      <c r="H267" s="3">
        <f t="shared" si="253"/>
        <v>4.6100301020194329E-2</v>
      </c>
      <c r="I267" s="3">
        <f t="shared" si="253"/>
        <v>4.6100301020175739E-2</v>
      </c>
      <c r="J267" s="3">
        <f t="shared" si="253"/>
        <v>4.6100301019989895E-2</v>
      </c>
      <c r="K267" s="3">
        <f t="shared" si="253"/>
        <v>4.6100301018131437E-2</v>
      </c>
      <c r="L267" s="3">
        <f t="shared" si="253"/>
        <v>4.6100300999546831E-2</v>
      </c>
      <c r="M267" s="3">
        <f t="shared" si="253"/>
        <v>4.6100300813700847E-2</v>
      </c>
      <c r="N267" s="3">
        <f t="shared" si="253"/>
        <v>4.6100298955241037E-2</v>
      </c>
      <c r="O267" s="3">
        <f t="shared" si="253"/>
        <v>4.610028037064702E-2</v>
      </c>
      <c r="P267" s="3">
        <f t="shared" si="253"/>
        <v>4.6100094525118956E-2</v>
      </c>
      <c r="Q267" s="3">
        <f t="shared" si="253"/>
        <v>4.6098236111044077E-2</v>
      </c>
      <c r="R267" s="3">
        <f t="shared" si="253"/>
        <v>4.6079656090258318E-2</v>
      </c>
      <c r="S267" s="3">
        <f t="shared" si="253"/>
        <v>4.5894267264838702E-2</v>
      </c>
      <c r="T267" s="3">
        <f t="shared" si="253"/>
        <v>4.4080910198707926E-2</v>
      </c>
      <c r="U267" s="3">
        <f t="shared" si="253"/>
        <v>2.9455858387740893E-2</v>
      </c>
      <c r="V267" s="3">
        <f t="shared" si="253"/>
        <v>5.2285706612250607E-4</v>
      </c>
      <c r="W267" s="3">
        <f t="shared" si="253"/>
        <v>1.6236632673320736E-21</v>
      </c>
      <c r="X267" s="3">
        <f t="shared" si="253"/>
        <v>1.3540222633025E-196</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6.1544571271861997E-2</v>
      </c>
      <c r="C268" s="3">
        <f t="shared" si="254"/>
        <v>6.1544571271861997E-2</v>
      </c>
      <c r="D268" s="3">
        <f t="shared" si="254"/>
        <v>6.1544571271861997E-2</v>
      </c>
      <c r="E268" s="3">
        <f t="shared" si="254"/>
        <v>6.1544571271861997E-2</v>
      </c>
      <c r="F268" s="3">
        <f t="shared" si="254"/>
        <v>6.1544571271861997E-2</v>
      </c>
      <c r="G268" s="3">
        <f t="shared" si="254"/>
        <v>6.154457127186197E-2</v>
      </c>
      <c r="H268" s="3">
        <f t="shared" si="254"/>
        <v>6.1544571271861755E-2</v>
      </c>
      <c r="I268" s="3">
        <f t="shared" si="254"/>
        <v>6.1544571271859513E-2</v>
      </c>
      <c r="J268" s="3">
        <f t="shared" si="254"/>
        <v>6.1544571271837129E-2</v>
      </c>
      <c r="K268" s="3">
        <f t="shared" si="254"/>
        <v>6.1544571271613314E-2</v>
      </c>
      <c r="L268" s="3">
        <f t="shared" si="254"/>
        <v>6.1544571269375188E-2</v>
      </c>
      <c r="M268" s="3">
        <f t="shared" si="254"/>
        <v>6.1544571246993862E-2</v>
      </c>
      <c r="N268" s="3">
        <f t="shared" si="254"/>
        <v>6.1544571023180623E-2</v>
      </c>
      <c r="O268" s="3">
        <f t="shared" si="254"/>
        <v>6.1544568785048319E-2</v>
      </c>
      <c r="P268" s="3">
        <f t="shared" si="254"/>
        <v>6.1544546403729736E-2</v>
      </c>
      <c r="Q268" s="3">
        <f t="shared" si="254"/>
        <v>6.1544322590991601E-2</v>
      </c>
      <c r="R268" s="3">
        <f t="shared" si="254"/>
        <v>6.1542084508375137E-2</v>
      </c>
      <c r="S268" s="3">
        <f t="shared" si="254"/>
        <v>6.1519708158101941E-2</v>
      </c>
      <c r="T268" s="3">
        <f t="shared" si="254"/>
        <v>6.1296391642846865E-2</v>
      </c>
      <c r="U268" s="3">
        <f t="shared" si="254"/>
        <v>5.9107329602528479E-2</v>
      </c>
      <c r="V268" s="3">
        <f t="shared" si="254"/>
        <v>4.1087113602300579E-2</v>
      </c>
      <c r="W268" s="3">
        <f t="shared" si="254"/>
        <v>1.082302277690343E-3</v>
      </c>
      <c r="X268" s="3">
        <f t="shared" si="254"/>
        <v>1.7409166066707664E-19</v>
      </c>
      <c r="Y268" s="3">
        <f t="shared" si="254"/>
        <v>2.0187006574703173E-177</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2.0548359308290503E-2</v>
      </c>
      <c r="C269" s="3">
        <f t="shared" si="255"/>
        <v>2.0548359308290503E-2</v>
      </c>
      <c r="D269" s="3">
        <f t="shared" si="255"/>
        <v>2.0548359308290503E-2</v>
      </c>
      <c r="E269" s="3">
        <f t="shared" si="255"/>
        <v>2.0548359308290503E-2</v>
      </c>
      <c r="F269" s="3">
        <f t="shared" si="255"/>
        <v>2.0548359308290503E-2</v>
      </c>
      <c r="G269" s="3">
        <f t="shared" si="255"/>
        <v>2.0548359308290503E-2</v>
      </c>
      <c r="H269" s="3">
        <f t="shared" si="255"/>
        <v>2.0548359308290496E-2</v>
      </c>
      <c r="I269" s="3">
        <f t="shared" si="255"/>
        <v>2.0548359308290427E-2</v>
      </c>
      <c r="J269" s="3">
        <f t="shared" si="255"/>
        <v>2.0548359308289754E-2</v>
      </c>
      <c r="K269" s="3">
        <f t="shared" si="255"/>
        <v>2.0548359308283012E-2</v>
      </c>
      <c r="L269" s="3">
        <f t="shared" si="255"/>
        <v>2.0548359308215604E-2</v>
      </c>
      <c r="M269" s="3">
        <f t="shared" si="255"/>
        <v>2.0548359307541512E-2</v>
      </c>
      <c r="N269" s="3">
        <f t="shared" si="255"/>
        <v>2.0548359300800581E-2</v>
      </c>
      <c r="O269" s="3">
        <f t="shared" si="255"/>
        <v>2.0548359233391291E-2</v>
      </c>
      <c r="P269" s="3">
        <f t="shared" si="255"/>
        <v>2.0548358559298398E-2</v>
      </c>
      <c r="Q269" s="3">
        <f t="shared" si="255"/>
        <v>2.0548351818370687E-2</v>
      </c>
      <c r="R269" s="3">
        <f t="shared" si="255"/>
        <v>2.0548284409215179E-2</v>
      </c>
      <c r="S269" s="3">
        <f t="shared" si="255"/>
        <v>2.0547610329822497E-2</v>
      </c>
      <c r="T269" s="3">
        <f t="shared" si="255"/>
        <v>2.0540870751987832E-2</v>
      </c>
      <c r="U269" s="3">
        <f t="shared" si="255"/>
        <v>2.0473596435376586E-2</v>
      </c>
      <c r="V269" s="3">
        <f t="shared" si="255"/>
        <v>1.9812853298238235E-2</v>
      </c>
      <c r="W269" s="3">
        <f t="shared" si="255"/>
        <v>1.4271705588003477E-2</v>
      </c>
      <c r="X269" s="3">
        <f t="shared" si="255"/>
        <v>5.3674056582069072E-4</v>
      </c>
      <c r="Y269" s="3">
        <f t="shared" si="255"/>
        <v>3.0384342019678678E-18</v>
      </c>
      <c r="Z269" s="3">
        <f t="shared" si="255"/>
        <v>1.026842888387173E-160</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6.8598536150208847E-2</v>
      </c>
      <c r="C270" s="3">
        <f t="shared" si="256"/>
        <v>6.8598536150208847E-2</v>
      </c>
      <c r="D270" s="3">
        <f t="shared" si="256"/>
        <v>6.8598536150208847E-2</v>
      </c>
      <c r="E270" s="3">
        <f t="shared" si="256"/>
        <v>6.8598536150208847E-2</v>
      </c>
      <c r="F270" s="3">
        <f t="shared" si="256"/>
        <v>6.8598536150208847E-2</v>
      </c>
      <c r="G270" s="3">
        <f t="shared" si="256"/>
        <v>6.8598536150208847E-2</v>
      </c>
      <c r="H270" s="3">
        <f t="shared" si="256"/>
        <v>6.8598536150208833E-2</v>
      </c>
      <c r="I270" s="3">
        <f t="shared" si="256"/>
        <v>6.8598536150208778E-2</v>
      </c>
      <c r="J270" s="3">
        <f t="shared" si="256"/>
        <v>6.8598536150208153E-2</v>
      </c>
      <c r="K270" s="3">
        <f t="shared" si="256"/>
        <v>6.8598536150201936E-2</v>
      </c>
      <c r="L270" s="3">
        <f t="shared" si="256"/>
        <v>6.8598536150139694E-2</v>
      </c>
      <c r="M270" s="3">
        <f t="shared" si="256"/>
        <v>6.8598536149517289E-2</v>
      </c>
      <c r="N270" s="3">
        <f t="shared" si="256"/>
        <v>6.8598536143293282E-2</v>
      </c>
      <c r="O270" s="3">
        <f t="shared" si="256"/>
        <v>6.859853608105318E-2</v>
      </c>
      <c r="P270" s="3">
        <f t="shared" si="256"/>
        <v>6.8598535458652132E-2</v>
      </c>
      <c r="Q270" s="3">
        <f t="shared" si="256"/>
        <v>6.8598529234641992E-2</v>
      </c>
      <c r="R270" s="3">
        <f t="shared" si="256"/>
        <v>6.8598466994571602E-2</v>
      </c>
      <c r="S270" s="3">
        <f t="shared" si="256"/>
        <v>6.8597844596973712E-2</v>
      </c>
      <c r="T270" s="3">
        <f t="shared" si="256"/>
        <v>6.8591620931573893E-2</v>
      </c>
      <c r="U270" s="3">
        <f t="shared" si="256"/>
        <v>6.8529415325065318E-2</v>
      </c>
      <c r="V270" s="3">
        <f t="shared" si="256"/>
        <v>6.7910453611402508E-2</v>
      </c>
      <c r="W270" s="3">
        <f t="shared" si="256"/>
        <v>6.2020131051742762E-2</v>
      </c>
      <c r="X270" s="3">
        <f t="shared" si="256"/>
        <v>2.5031862339957654E-2</v>
      </c>
      <c r="Y270" s="3">
        <f t="shared" si="256"/>
        <v>2.8714283491473007E-6</v>
      </c>
      <c r="Z270" s="3">
        <f t="shared" si="256"/>
        <v>1.132781646161936E-45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4.2430467850210242E-2</v>
      </c>
      <c r="C271" s="3">
        <f t="shared" si="257"/>
        <v>4.2430467850210242E-2</v>
      </c>
      <c r="D271" s="3">
        <f t="shared" si="257"/>
        <v>4.2430467850210242E-2</v>
      </c>
      <c r="E271" s="3">
        <f t="shared" si="257"/>
        <v>4.2430467850210242E-2</v>
      </c>
      <c r="F271" s="3">
        <f t="shared" si="257"/>
        <v>4.2430467850210242E-2</v>
      </c>
      <c r="G271" s="3">
        <f t="shared" si="257"/>
        <v>4.2430467850210242E-2</v>
      </c>
      <c r="H271" s="3">
        <f t="shared" si="257"/>
        <v>4.2430467850210242E-2</v>
      </c>
      <c r="I271" s="3">
        <f t="shared" si="257"/>
        <v>4.2430467850210235E-2</v>
      </c>
      <c r="J271" s="3">
        <f t="shared" si="257"/>
        <v>4.24304678502102E-2</v>
      </c>
      <c r="K271" s="3">
        <f t="shared" si="257"/>
        <v>4.2430467850209812E-2</v>
      </c>
      <c r="L271" s="3">
        <f t="shared" si="257"/>
        <v>4.2430467850205968E-2</v>
      </c>
      <c r="M271" s="3">
        <f t="shared" si="257"/>
        <v>4.2430467850167471E-2</v>
      </c>
      <c r="N271" s="3">
        <f t="shared" si="257"/>
        <v>4.2430467849782487E-2</v>
      </c>
      <c r="O271" s="3">
        <f t="shared" si="257"/>
        <v>4.2430467845932733E-2</v>
      </c>
      <c r="P271" s="3">
        <f t="shared" si="257"/>
        <v>4.2430467807435167E-2</v>
      </c>
      <c r="Q271" s="3">
        <f t="shared" si="257"/>
        <v>4.2430467422459497E-2</v>
      </c>
      <c r="R271" s="3">
        <f t="shared" si="257"/>
        <v>4.243046357270297E-2</v>
      </c>
      <c r="S271" s="3">
        <f t="shared" si="257"/>
        <v>4.2430425075156909E-2</v>
      </c>
      <c r="T271" s="3">
        <f t="shared" si="257"/>
        <v>4.2430040101617383E-2</v>
      </c>
      <c r="U271" s="3">
        <f t="shared" si="257"/>
        <v>4.2426190558325694E-2</v>
      </c>
      <c r="V271" s="3">
        <f t="shared" si="257"/>
        <v>4.2387714329309871E-2</v>
      </c>
      <c r="W271" s="3">
        <f t="shared" si="257"/>
        <v>4.20048659980485E-2</v>
      </c>
      <c r="X271" s="3">
        <f t="shared" si="257"/>
        <v>3.8361506299413727E-2</v>
      </c>
      <c r="Y271" s="3">
        <f t="shared" si="257"/>
        <v>1.5483036371516337E-2</v>
      </c>
      <c r="Z271" s="3">
        <f t="shared" si="257"/>
        <v>1.7760735883036168E-6</v>
      </c>
      <c r="AA271" s="3">
        <f t="shared" si="257"/>
        <v>7.0066298664940134E-46</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4.2564807754428377E-2</v>
      </c>
      <c r="C272" s="3">
        <f t="shared" si="258"/>
        <v>4.2564807754428377E-2</v>
      </c>
      <c r="D272" s="3">
        <f t="shared" si="258"/>
        <v>4.2564807754428377E-2</v>
      </c>
      <c r="E272" s="3">
        <f t="shared" si="258"/>
        <v>4.2564807754428377E-2</v>
      </c>
      <c r="F272" s="3">
        <f t="shared" si="258"/>
        <v>4.2564807754428377E-2</v>
      </c>
      <c r="G272" s="3">
        <f t="shared" si="258"/>
        <v>4.2564807754428377E-2</v>
      </c>
      <c r="H272" s="3">
        <f t="shared" si="258"/>
        <v>4.2564807754428377E-2</v>
      </c>
      <c r="I272" s="3">
        <f t="shared" si="258"/>
        <v>4.2564807754428377E-2</v>
      </c>
      <c r="J272" s="3">
        <f t="shared" si="258"/>
        <v>4.256480775442837E-2</v>
      </c>
      <c r="K272" s="3">
        <f t="shared" si="258"/>
        <v>4.2564807754428335E-2</v>
      </c>
      <c r="L272" s="3">
        <f t="shared" si="258"/>
        <v>4.2564807754427947E-2</v>
      </c>
      <c r="M272" s="3">
        <f t="shared" si="258"/>
        <v>4.2564807754424089E-2</v>
      </c>
      <c r="N272" s="3">
        <f t="shared" si="258"/>
        <v>4.2564807754385467E-2</v>
      </c>
      <c r="O272" s="3">
        <f t="shared" si="258"/>
        <v>4.2564807753999269E-2</v>
      </c>
      <c r="P272" s="3">
        <f t="shared" si="258"/>
        <v>4.256480775013733E-2</v>
      </c>
      <c r="Q272" s="3">
        <f t="shared" si="258"/>
        <v>4.2564807711517869E-2</v>
      </c>
      <c r="R272" s="3">
        <f t="shared" si="258"/>
        <v>4.256480732532332E-2</v>
      </c>
      <c r="S272" s="3">
        <f t="shared" si="258"/>
        <v>4.2564803463378008E-2</v>
      </c>
      <c r="T272" s="3">
        <f t="shared" si="258"/>
        <v>4.2564764843944142E-2</v>
      </c>
      <c r="U272" s="3">
        <f t="shared" si="258"/>
        <v>4.256437865153264E-2</v>
      </c>
      <c r="V272" s="3">
        <f t="shared" si="258"/>
        <v>4.2560516920129347E-2</v>
      </c>
      <c r="W272" s="3">
        <f t="shared" si="258"/>
        <v>4.2521918870799438E-2</v>
      </c>
      <c r="X272" s="3">
        <f t="shared" si="258"/>
        <v>4.2137858396218475E-2</v>
      </c>
      <c r="Y272" s="3">
        <f t="shared" si="258"/>
        <v>3.8482963387752221E-2</v>
      </c>
      <c r="Z272" s="3">
        <f t="shared" si="258"/>
        <v>1.5532057504879708E-2</v>
      </c>
      <c r="AA272" s="3">
        <f t="shared" si="258"/>
        <v>1.781696848376529E-6</v>
      </c>
      <c r="AB272" s="3">
        <f t="shared" si="258"/>
        <v>7.0288136894129508E-46</v>
      </c>
      <c r="AC272" s="3">
        <f t="shared" si="258"/>
        <v>0</v>
      </c>
      <c r="AD272" s="3">
        <f t="shared" si="258"/>
        <v>0</v>
      </c>
      <c r="AE272" s="3">
        <f t="shared" si="258"/>
        <v>0</v>
      </c>
      <c r="AF272" s="3">
        <f t="shared" si="258"/>
        <v>0</v>
      </c>
      <c r="AG272" s="3"/>
      <c r="AH272" s="3"/>
    </row>
    <row r="273" spans="1:34" x14ac:dyDescent="0.25">
      <c r="B273" s="3">
        <f t="shared" ref="B273:AF273" si="259">$C42*EXP(-B$246/$A42/EXP(-$E$126))</f>
        <v>1.7794430151868639E-2</v>
      </c>
      <c r="C273" s="3">
        <f t="shared" si="259"/>
        <v>1.7794430151868639E-2</v>
      </c>
      <c r="D273" s="3">
        <f t="shared" si="259"/>
        <v>1.7794430151868639E-2</v>
      </c>
      <c r="E273" s="3">
        <f t="shared" si="259"/>
        <v>1.7794430151868639E-2</v>
      </c>
      <c r="F273" s="3">
        <f t="shared" si="259"/>
        <v>1.7794430151868639E-2</v>
      </c>
      <c r="G273" s="3">
        <f t="shared" si="259"/>
        <v>1.7794430151868639E-2</v>
      </c>
      <c r="H273" s="3">
        <f t="shared" si="259"/>
        <v>1.7794430151868639E-2</v>
      </c>
      <c r="I273" s="3">
        <f t="shared" si="259"/>
        <v>1.7794430151868639E-2</v>
      </c>
      <c r="J273" s="3">
        <f t="shared" si="259"/>
        <v>1.7794430151868639E-2</v>
      </c>
      <c r="K273" s="3">
        <f t="shared" si="259"/>
        <v>1.7794430151868636E-2</v>
      </c>
      <c r="L273" s="3">
        <f t="shared" si="259"/>
        <v>1.7794430151868622E-2</v>
      </c>
      <c r="M273" s="3">
        <f t="shared" si="259"/>
        <v>1.7794430151868459E-2</v>
      </c>
      <c r="N273" s="3">
        <f t="shared" si="259"/>
        <v>1.7794430151866845E-2</v>
      </c>
      <c r="O273" s="3">
        <f t="shared" si="259"/>
        <v>1.7794430151850702E-2</v>
      </c>
      <c r="P273" s="3">
        <f t="shared" si="259"/>
        <v>1.7794430151689248E-2</v>
      </c>
      <c r="Q273" s="3">
        <f t="shared" si="259"/>
        <v>1.7794430150074744E-2</v>
      </c>
      <c r="R273" s="3">
        <f t="shared" si="259"/>
        <v>1.7794430133929687E-2</v>
      </c>
      <c r="S273" s="3">
        <f t="shared" si="259"/>
        <v>1.7794429972479129E-2</v>
      </c>
      <c r="T273" s="3">
        <f t="shared" si="259"/>
        <v>1.7794428357973634E-2</v>
      </c>
      <c r="U273" s="3">
        <f t="shared" si="259"/>
        <v>1.779441221292671E-2</v>
      </c>
      <c r="V273" s="3">
        <f t="shared" si="259"/>
        <v>1.7794250763263145E-2</v>
      </c>
      <c r="W273" s="3">
        <f t="shared" si="259"/>
        <v>1.7792636347191595E-2</v>
      </c>
      <c r="X273" s="3">
        <f t="shared" si="259"/>
        <v>1.7776500240181268E-2</v>
      </c>
      <c r="Y273" s="3">
        <f t="shared" si="259"/>
        <v>1.7615941843478221E-2</v>
      </c>
      <c r="Z273" s="3">
        <f t="shared" si="259"/>
        <v>1.6087994758276134E-2</v>
      </c>
      <c r="AA273" s="3">
        <f t="shared" si="259"/>
        <v>6.4932540980790522E-3</v>
      </c>
      <c r="AB273" s="3">
        <f t="shared" si="259"/>
        <v>7.4484725276228152E-7</v>
      </c>
      <c r="AC273" s="3">
        <f t="shared" si="259"/>
        <v>2.9384306154594199E-46</v>
      </c>
      <c r="AD273" s="3">
        <f t="shared" si="259"/>
        <v>0</v>
      </c>
      <c r="AE273" s="3">
        <f t="shared" si="259"/>
        <v>0</v>
      </c>
      <c r="AF273" s="3">
        <f t="shared" si="259"/>
        <v>0</v>
      </c>
      <c r="AG273" s="3"/>
      <c r="AH273" s="3"/>
    </row>
    <row r="274" spans="1:34" x14ac:dyDescent="0.25">
      <c r="B274" s="3">
        <f t="shared" ref="B274:AF274" si="260">$C43*EXP(-B$246/$A43/EXP(-$E$126))</f>
        <v>1.1846247724533283E-2</v>
      </c>
      <c r="C274" s="3">
        <f t="shared" si="260"/>
        <v>1.1846247724533283E-2</v>
      </c>
      <c r="D274" s="3">
        <f t="shared" si="260"/>
        <v>1.1846247724533283E-2</v>
      </c>
      <c r="E274" s="3">
        <f t="shared" si="260"/>
        <v>1.1846247724533283E-2</v>
      </c>
      <c r="F274" s="3">
        <f t="shared" si="260"/>
        <v>1.1846247724533283E-2</v>
      </c>
      <c r="G274" s="3">
        <f t="shared" si="260"/>
        <v>1.1846247724533283E-2</v>
      </c>
      <c r="H274" s="3">
        <f t="shared" si="260"/>
        <v>1.1846247724533283E-2</v>
      </c>
      <c r="I274" s="3">
        <f t="shared" si="260"/>
        <v>1.1846247724533283E-2</v>
      </c>
      <c r="J274" s="3">
        <f t="shared" si="260"/>
        <v>1.1846247724533283E-2</v>
      </c>
      <c r="K274" s="3">
        <f t="shared" si="260"/>
        <v>1.1846247724533283E-2</v>
      </c>
      <c r="L274" s="3">
        <f t="shared" si="260"/>
        <v>1.1846247724533281E-2</v>
      </c>
      <c r="M274" s="3">
        <f t="shared" si="260"/>
        <v>1.1846247724533271E-2</v>
      </c>
      <c r="N274" s="3">
        <f t="shared" si="260"/>
        <v>1.1846247724533163E-2</v>
      </c>
      <c r="O274" s="3">
        <f t="shared" si="260"/>
        <v>1.184624772453209E-2</v>
      </c>
      <c r="P274" s="3">
        <f t="shared" si="260"/>
        <v>1.1846247724521341E-2</v>
      </c>
      <c r="Q274" s="3">
        <f t="shared" si="260"/>
        <v>1.1846247724413858E-2</v>
      </c>
      <c r="R274" s="3">
        <f t="shared" si="260"/>
        <v>1.1846247723339037E-2</v>
      </c>
      <c r="S274" s="3">
        <f t="shared" si="260"/>
        <v>1.1846247712590824E-2</v>
      </c>
      <c r="T274" s="3">
        <f t="shared" si="260"/>
        <v>1.1846247605108691E-2</v>
      </c>
      <c r="U274" s="3">
        <f t="shared" si="260"/>
        <v>1.1846246530287418E-2</v>
      </c>
      <c r="V274" s="3">
        <f t="shared" si="260"/>
        <v>1.1846235782080043E-2</v>
      </c>
      <c r="W274" s="3">
        <f t="shared" si="260"/>
        <v>1.1846128300542658E-2</v>
      </c>
      <c r="X274" s="3">
        <f t="shared" si="260"/>
        <v>1.1845053538802563E-2</v>
      </c>
      <c r="Y274" s="3">
        <f t="shared" si="260"/>
        <v>1.1834311282977425E-2</v>
      </c>
      <c r="Z274" s="3">
        <f t="shared" si="260"/>
        <v>1.1727423086762922E-2</v>
      </c>
      <c r="AA274" s="3">
        <f t="shared" si="260"/>
        <v>1.0710226159027548E-2</v>
      </c>
      <c r="AB274" s="3">
        <f t="shared" si="260"/>
        <v>4.3227400893255212E-3</v>
      </c>
      <c r="AC274" s="3">
        <f t="shared" si="260"/>
        <v>4.9586556005747965E-7</v>
      </c>
      <c r="AD274" s="3">
        <f t="shared" si="260"/>
        <v>1.9561950956001626E-46</v>
      </c>
      <c r="AE274" s="3">
        <f t="shared" si="260"/>
        <v>0</v>
      </c>
      <c r="AF274" s="3">
        <f t="shared" si="260"/>
        <v>0</v>
      </c>
      <c r="AG274" s="3"/>
      <c r="AH274" s="3"/>
    </row>
    <row r="275" spans="1:34" x14ac:dyDescent="0.25">
      <c r="B275" s="3">
        <f t="shared" ref="B275:AF275" si="261">$C44*EXP(-B$246/$A44/EXP(-$E$126))</f>
        <v>4.239833197731321E-3</v>
      </c>
      <c r="C275" s="3">
        <f t="shared" si="261"/>
        <v>4.239833197731321E-3</v>
      </c>
      <c r="D275" s="3">
        <f t="shared" si="261"/>
        <v>4.239833197731321E-3</v>
      </c>
      <c r="E275" s="3">
        <f t="shared" si="261"/>
        <v>4.239833197731321E-3</v>
      </c>
      <c r="F275" s="3">
        <f t="shared" si="261"/>
        <v>4.239833197731321E-3</v>
      </c>
      <c r="G275" s="3">
        <f t="shared" si="261"/>
        <v>4.239833197731321E-3</v>
      </c>
      <c r="H275" s="3">
        <f t="shared" si="261"/>
        <v>4.239833197731321E-3</v>
      </c>
      <c r="I275" s="3">
        <f t="shared" si="261"/>
        <v>4.239833197731321E-3</v>
      </c>
      <c r="J275" s="3">
        <f t="shared" si="261"/>
        <v>4.239833197731321E-3</v>
      </c>
      <c r="K275" s="3">
        <f t="shared" si="261"/>
        <v>4.239833197731321E-3</v>
      </c>
      <c r="L275" s="3">
        <f t="shared" si="261"/>
        <v>4.239833197731321E-3</v>
      </c>
      <c r="M275" s="3">
        <f t="shared" si="261"/>
        <v>4.2398331977313202E-3</v>
      </c>
      <c r="N275" s="3">
        <f t="shared" si="261"/>
        <v>4.2398331977313167E-3</v>
      </c>
      <c r="O275" s="3">
        <f t="shared" si="261"/>
        <v>4.2398331977312785E-3</v>
      </c>
      <c r="P275" s="3">
        <f t="shared" si="261"/>
        <v>4.2398331977308934E-3</v>
      </c>
      <c r="Q275" s="3">
        <f t="shared" si="261"/>
        <v>4.2398331977270467E-3</v>
      </c>
      <c r="R275" s="3">
        <f t="shared" si="261"/>
        <v>4.2398331976885783E-3</v>
      </c>
      <c r="S275" s="3">
        <f t="shared" si="261"/>
        <v>4.2398331973038947E-3</v>
      </c>
      <c r="T275" s="3">
        <f t="shared" si="261"/>
        <v>4.2398331934570535E-3</v>
      </c>
      <c r="U275" s="3">
        <f t="shared" si="261"/>
        <v>4.2398331549886427E-3</v>
      </c>
      <c r="V275" s="3">
        <f t="shared" si="261"/>
        <v>4.2398327703045621E-3</v>
      </c>
      <c r="W275" s="3">
        <f t="shared" si="261"/>
        <v>4.239828923465673E-3</v>
      </c>
      <c r="X275" s="3">
        <f t="shared" si="261"/>
        <v>4.2397904552687422E-3</v>
      </c>
      <c r="Y275" s="3">
        <f t="shared" si="261"/>
        <v>4.2394057924952412E-3</v>
      </c>
      <c r="Z275" s="3">
        <f t="shared" si="261"/>
        <v>4.235561083695878E-3</v>
      </c>
      <c r="AA275" s="3">
        <f t="shared" si="261"/>
        <v>4.197305246633031E-3</v>
      </c>
      <c r="AB275" s="3">
        <f t="shared" si="261"/>
        <v>3.8332452165602887E-3</v>
      </c>
      <c r="AC275" s="3">
        <f t="shared" si="261"/>
        <v>1.547130987133605E-3</v>
      </c>
      <c r="AD275" s="3">
        <f t="shared" si="261"/>
        <v>1.7747284304964725E-7</v>
      </c>
      <c r="AE275" s="3">
        <f t="shared" si="261"/>
        <v>7.001323204130047E-47</v>
      </c>
      <c r="AF275" s="3">
        <f t="shared" si="261"/>
        <v>0</v>
      </c>
      <c r="AG275" s="3"/>
      <c r="AH275" s="3"/>
    </row>
    <row r="276" spans="1:34" x14ac:dyDescent="0.25">
      <c r="B276" s="3">
        <f t="shared" ref="B276:AF276" si="262">$C45*EXP(-B$246/$A45/EXP(-$E$126))</f>
        <v>3.1413173103933909E-3</v>
      </c>
      <c r="C276" s="3">
        <f t="shared" si="262"/>
        <v>3.1413173103933909E-3</v>
      </c>
      <c r="D276" s="3">
        <f t="shared" si="262"/>
        <v>3.1413173103933909E-3</v>
      </c>
      <c r="E276" s="3">
        <f t="shared" si="262"/>
        <v>3.1413173103933909E-3</v>
      </c>
      <c r="F276" s="3">
        <f t="shared" si="262"/>
        <v>3.1413173103933909E-3</v>
      </c>
      <c r="G276" s="3">
        <f t="shared" si="262"/>
        <v>3.1413173103933909E-3</v>
      </c>
      <c r="H276" s="3">
        <f t="shared" si="262"/>
        <v>3.1413173103933909E-3</v>
      </c>
      <c r="I276" s="3">
        <f t="shared" si="262"/>
        <v>3.1413173103933909E-3</v>
      </c>
      <c r="J276" s="3">
        <f t="shared" si="262"/>
        <v>3.1413173103933909E-3</v>
      </c>
      <c r="K276" s="3">
        <f t="shared" si="262"/>
        <v>3.1413173103933909E-3</v>
      </c>
      <c r="L276" s="3">
        <f t="shared" si="262"/>
        <v>3.1413173103933909E-3</v>
      </c>
      <c r="M276" s="3">
        <f t="shared" si="262"/>
        <v>3.1413173103933909E-3</v>
      </c>
      <c r="N276" s="3">
        <f t="shared" si="262"/>
        <v>3.1413173103933905E-3</v>
      </c>
      <c r="O276" s="3">
        <f t="shared" si="262"/>
        <v>3.1413173103933879E-3</v>
      </c>
      <c r="P276" s="3">
        <f t="shared" si="262"/>
        <v>3.1413173103933593E-3</v>
      </c>
      <c r="Q276" s="3">
        <f t="shared" si="262"/>
        <v>3.1413173103930743E-3</v>
      </c>
      <c r="R276" s="3">
        <f t="shared" si="262"/>
        <v>3.1413173103902242E-3</v>
      </c>
      <c r="S276" s="3">
        <f t="shared" si="262"/>
        <v>3.1413173103617222E-3</v>
      </c>
      <c r="T276" s="3">
        <f t="shared" si="262"/>
        <v>3.141317310076708E-3</v>
      </c>
      <c r="U276" s="3">
        <f t="shared" si="262"/>
        <v>3.1413173072265608E-3</v>
      </c>
      <c r="V276" s="3">
        <f t="shared" si="262"/>
        <v>3.1413172787250897E-3</v>
      </c>
      <c r="W276" s="3">
        <f t="shared" si="262"/>
        <v>3.141316993710396E-3</v>
      </c>
      <c r="X276" s="3">
        <f t="shared" si="262"/>
        <v>3.1413141435648758E-3</v>
      </c>
      <c r="Y276" s="3">
        <f t="shared" si="262"/>
        <v>3.1412856422519042E-3</v>
      </c>
      <c r="Z276" s="3">
        <f t="shared" si="262"/>
        <v>3.1410006433444681E-3</v>
      </c>
      <c r="AA276" s="3">
        <f t="shared" si="262"/>
        <v>3.1381520760207999E-3</v>
      </c>
      <c r="AB276" s="3">
        <f t="shared" si="262"/>
        <v>3.1098081017216666E-3</v>
      </c>
      <c r="AC276" s="3">
        <f t="shared" si="262"/>
        <v>2.8400738878611343E-3</v>
      </c>
      <c r="AD276" s="3">
        <f t="shared" si="262"/>
        <v>1.1462784323518541E-3</v>
      </c>
      <c r="AE276" s="3">
        <f t="shared" si="262"/>
        <v>1.3149067144785233E-7</v>
      </c>
      <c r="AF276" s="3">
        <f t="shared" si="262"/>
        <v>5.1873214702316604E-47</v>
      </c>
      <c r="AG276" s="3"/>
      <c r="AH276" s="3"/>
    </row>
    <row r="277" spans="1:34" x14ac:dyDescent="0.25">
      <c r="B277" s="3">
        <f t="shared" ref="B277:AF277" si="263">$C46*EXP(-B$246/$A46/EXP(-$E$126))</f>
        <v>2.257189619316161E-3</v>
      </c>
      <c r="C277" s="3">
        <f t="shared" si="263"/>
        <v>2.257189619316161E-3</v>
      </c>
      <c r="D277" s="3">
        <f t="shared" si="263"/>
        <v>2.257189619316161E-3</v>
      </c>
      <c r="E277" s="3">
        <f t="shared" si="263"/>
        <v>2.257189619316161E-3</v>
      </c>
      <c r="F277" s="3">
        <f t="shared" si="263"/>
        <v>2.257189619316161E-3</v>
      </c>
      <c r="G277" s="3">
        <f t="shared" si="263"/>
        <v>2.257189619316161E-3</v>
      </c>
      <c r="H277" s="3">
        <f t="shared" si="263"/>
        <v>2.257189619316161E-3</v>
      </c>
      <c r="I277" s="3">
        <f t="shared" si="263"/>
        <v>2.257189619316161E-3</v>
      </c>
      <c r="J277" s="3">
        <f t="shared" si="263"/>
        <v>2.257189619316161E-3</v>
      </c>
      <c r="K277" s="3">
        <f t="shared" si="263"/>
        <v>2.257189619316161E-3</v>
      </c>
      <c r="L277" s="3">
        <f t="shared" si="263"/>
        <v>2.257189619316161E-3</v>
      </c>
      <c r="M277" s="3">
        <f t="shared" si="263"/>
        <v>2.257189619316161E-3</v>
      </c>
      <c r="N277" s="3">
        <f t="shared" si="263"/>
        <v>2.257189619316161E-3</v>
      </c>
      <c r="O277" s="3">
        <f t="shared" si="263"/>
        <v>2.2571896193161606E-3</v>
      </c>
      <c r="P277" s="3">
        <f t="shared" si="263"/>
        <v>2.2571896193161588E-3</v>
      </c>
      <c r="Q277" s="3">
        <f t="shared" si="263"/>
        <v>2.257189619316138E-3</v>
      </c>
      <c r="R277" s="3">
        <f t="shared" si="263"/>
        <v>2.2571896193159333E-3</v>
      </c>
      <c r="S277" s="3">
        <f t="shared" si="263"/>
        <v>2.2571896193138855E-3</v>
      </c>
      <c r="T277" s="3">
        <f t="shared" si="263"/>
        <v>2.2571896192934058E-3</v>
      </c>
      <c r="U277" s="3">
        <f t="shared" si="263"/>
        <v>2.2571896190886091E-3</v>
      </c>
      <c r="V277" s="3">
        <f t="shared" si="263"/>
        <v>2.2571896170406392E-3</v>
      </c>
      <c r="W277" s="3">
        <f t="shared" si="263"/>
        <v>2.2571895965609432E-3</v>
      </c>
      <c r="X277" s="3">
        <f t="shared" si="263"/>
        <v>2.2571893917639916E-3</v>
      </c>
      <c r="Y277" s="3">
        <f t="shared" si="263"/>
        <v>2.2571873437954976E-3</v>
      </c>
      <c r="Z277" s="3">
        <f t="shared" si="263"/>
        <v>2.2571668642127557E-3</v>
      </c>
      <c r="AA277" s="3">
        <f t="shared" si="263"/>
        <v>2.2569620786047394E-3</v>
      </c>
      <c r="AB277" s="3">
        <f t="shared" si="263"/>
        <v>2.2549152441217555E-3</v>
      </c>
      <c r="AC277" s="3">
        <f t="shared" si="263"/>
        <v>2.2345487168860347E-3</v>
      </c>
      <c r="AD277" s="3">
        <f t="shared" si="263"/>
        <v>2.0407315353214786E-3</v>
      </c>
      <c r="AE277" s="3">
        <f t="shared" si="263"/>
        <v>8.2365693201066285E-4</v>
      </c>
      <c r="AF277" s="3">
        <f t="shared" si="263"/>
        <v>9.4482457294909716E-8</v>
      </c>
      <c r="AG277" s="3"/>
      <c r="AH277" s="3"/>
    </row>
    <row r="278" spans="1:34" x14ac:dyDescent="0.25">
      <c r="B278" s="3">
        <f t="shared" ref="B278:AF278" si="264">$C47*EXP(-B$246/$A47/EXP(-$E$126))</f>
        <v>3.6224207496198294E-4</v>
      </c>
      <c r="C278" s="3">
        <f t="shared" si="264"/>
        <v>3.6224207496198294E-4</v>
      </c>
      <c r="D278" s="3">
        <f t="shared" si="264"/>
        <v>3.6224207496198294E-4</v>
      </c>
      <c r="E278" s="3">
        <f t="shared" si="264"/>
        <v>3.6224207496198294E-4</v>
      </c>
      <c r="F278" s="3">
        <f t="shared" si="264"/>
        <v>3.6224207496198294E-4</v>
      </c>
      <c r="G278" s="3">
        <f t="shared" si="264"/>
        <v>3.6224207496198294E-4</v>
      </c>
      <c r="H278" s="3">
        <f t="shared" si="264"/>
        <v>3.6224207496198294E-4</v>
      </c>
      <c r="I278" s="3">
        <f t="shared" si="264"/>
        <v>3.6224207496198294E-4</v>
      </c>
      <c r="J278" s="3">
        <f t="shared" si="264"/>
        <v>3.6224207496198294E-4</v>
      </c>
      <c r="K278" s="3">
        <f t="shared" si="264"/>
        <v>3.6224207496198294E-4</v>
      </c>
      <c r="L278" s="3">
        <f t="shared" si="264"/>
        <v>3.6224207496198294E-4</v>
      </c>
      <c r="M278" s="3">
        <f t="shared" si="264"/>
        <v>3.6224207496198294E-4</v>
      </c>
      <c r="N278" s="3">
        <f t="shared" si="264"/>
        <v>3.6224207496198294E-4</v>
      </c>
      <c r="O278" s="3">
        <f t="shared" si="264"/>
        <v>3.6224207496198294E-4</v>
      </c>
      <c r="P278" s="3">
        <f t="shared" si="264"/>
        <v>3.6224207496198289E-4</v>
      </c>
      <c r="Q278" s="3">
        <f t="shared" si="264"/>
        <v>3.6224207496198256E-4</v>
      </c>
      <c r="R278" s="3">
        <f t="shared" si="264"/>
        <v>3.6224207496197926E-4</v>
      </c>
      <c r="S278" s="3">
        <f t="shared" si="264"/>
        <v>3.6224207496194641E-4</v>
      </c>
      <c r="T278" s="3">
        <f t="shared" si="264"/>
        <v>3.6224207496161778E-4</v>
      </c>
      <c r="U278" s="3">
        <f t="shared" si="264"/>
        <v>3.6224207495833108E-4</v>
      </c>
      <c r="V278" s="3">
        <f t="shared" si="264"/>
        <v>3.6224207492546452E-4</v>
      </c>
      <c r="W278" s="3">
        <f t="shared" si="264"/>
        <v>3.6224207459679882E-4</v>
      </c>
      <c r="X278" s="3">
        <f t="shared" si="264"/>
        <v>3.6224207131014201E-4</v>
      </c>
      <c r="Y278" s="3">
        <f t="shared" si="264"/>
        <v>3.6224203844357556E-4</v>
      </c>
      <c r="Z278" s="3">
        <f t="shared" si="264"/>
        <v>3.6224170977807471E-4</v>
      </c>
      <c r="AA278" s="3">
        <f t="shared" si="264"/>
        <v>3.6223842313946744E-4</v>
      </c>
      <c r="AB278" s="3">
        <f t="shared" si="264"/>
        <v>3.6220555839344199E-4</v>
      </c>
      <c r="AC278" s="3">
        <f t="shared" si="264"/>
        <v>3.6187707488285223E-4</v>
      </c>
      <c r="AD278" s="3">
        <f t="shared" si="264"/>
        <v>3.5860857983817255E-4</v>
      </c>
      <c r="AE278" s="3">
        <f t="shared" si="264"/>
        <v>3.2750408714849827E-4</v>
      </c>
      <c r="AF278" s="3">
        <f t="shared" si="264"/>
        <v>1.3218348762331967E-4</v>
      </c>
      <c r="AG278" s="3"/>
      <c r="AH278" s="3"/>
    </row>
    <row r="279" spans="1:34" x14ac:dyDescent="0.25">
      <c r="B279" s="3">
        <f t="shared" ref="B279:AF279" si="265">$C48*EXP(-B$246/$A48/EXP(-$E$126))</f>
        <v>0</v>
      </c>
      <c r="C279" s="3">
        <f t="shared" si="265"/>
        <v>0</v>
      </c>
      <c r="D279" s="3">
        <f t="shared" si="265"/>
        <v>0</v>
      </c>
      <c r="E279" s="3">
        <f t="shared" si="265"/>
        <v>0</v>
      </c>
      <c r="F279" s="3">
        <f t="shared" si="265"/>
        <v>0</v>
      </c>
      <c r="G279" s="3">
        <f t="shared" si="265"/>
        <v>0</v>
      </c>
      <c r="H279" s="3">
        <f t="shared" si="265"/>
        <v>0</v>
      </c>
      <c r="I279" s="3">
        <f t="shared" si="265"/>
        <v>0</v>
      </c>
      <c r="J279" s="3">
        <f t="shared" si="265"/>
        <v>0</v>
      </c>
      <c r="K279" s="3">
        <f t="shared" si="265"/>
        <v>0</v>
      </c>
      <c r="L279" s="3">
        <f t="shared" si="265"/>
        <v>0</v>
      </c>
      <c r="M279" s="3">
        <f t="shared" si="265"/>
        <v>0</v>
      </c>
      <c r="N279" s="3">
        <f t="shared" si="265"/>
        <v>0</v>
      </c>
      <c r="O279" s="3">
        <f t="shared" si="265"/>
        <v>0</v>
      </c>
      <c r="P279" s="3">
        <f t="shared" si="265"/>
        <v>0</v>
      </c>
      <c r="Q279" s="3">
        <f t="shared" si="265"/>
        <v>0</v>
      </c>
      <c r="R279" s="3">
        <f t="shared" si="265"/>
        <v>0</v>
      </c>
      <c r="S279" s="3">
        <f t="shared" si="265"/>
        <v>0</v>
      </c>
      <c r="T279" s="3">
        <f t="shared" si="265"/>
        <v>0</v>
      </c>
      <c r="U279" s="3">
        <f t="shared" si="265"/>
        <v>0</v>
      </c>
      <c r="V279" s="3">
        <f t="shared" si="265"/>
        <v>0</v>
      </c>
      <c r="W279" s="3">
        <f t="shared" si="265"/>
        <v>0</v>
      </c>
      <c r="X279" s="3">
        <f t="shared" si="265"/>
        <v>0</v>
      </c>
      <c r="Y279" s="3">
        <f t="shared" si="265"/>
        <v>0</v>
      </c>
      <c r="Z279" s="3">
        <f t="shared" si="265"/>
        <v>0</v>
      </c>
      <c r="AA279" s="3">
        <f t="shared" si="265"/>
        <v>0</v>
      </c>
      <c r="AB279" s="3">
        <f t="shared" si="265"/>
        <v>0</v>
      </c>
      <c r="AC279" s="3">
        <f t="shared" si="265"/>
        <v>0</v>
      </c>
      <c r="AD279" s="3">
        <f t="shared" si="265"/>
        <v>0</v>
      </c>
      <c r="AE279" s="3">
        <f t="shared" si="265"/>
        <v>0</v>
      </c>
      <c r="AF279" s="3">
        <f t="shared" si="265"/>
        <v>0</v>
      </c>
      <c r="AG279" s="3"/>
      <c r="AH279" s="3"/>
    </row>
    <row r="280" spans="1:34" x14ac:dyDescent="0.25">
      <c r="A280" s="80">
        <f>AVERAGE(B280:AF280)</f>
        <v>8.9298190523111397E-4</v>
      </c>
      <c r="B280" s="81">
        <f>IF($D$61&lt;=B246,IF($E$61&gt;=B246,ABS((B248-B247)/B247),0),0)</f>
        <v>7.5592618244275777E-3</v>
      </c>
      <c r="C280" s="81">
        <f t="shared" ref="C280:AF280" si="266">IF($D$61&lt;=C246,IF($E$61&gt;=C246,ABS((C248-C247)/C247),0),0)</f>
        <v>9.9571241449905278E-3</v>
      </c>
      <c r="D280" s="81">
        <f t="shared" si="266"/>
        <v>2.8374215188243898E-3</v>
      </c>
      <c r="E280" s="81">
        <f t="shared" si="266"/>
        <v>3.6895359729510242E-4</v>
      </c>
      <c r="F280" s="81">
        <f t="shared" si="266"/>
        <v>1.8685793594764964E-4</v>
      </c>
      <c r="G280" s="81">
        <f t="shared" si="266"/>
        <v>1.2582895751166463E-4</v>
      </c>
      <c r="H280" s="81">
        <f t="shared" si="266"/>
        <v>1.3631943020460285E-4</v>
      </c>
      <c r="I280" s="81">
        <f t="shared" si="266"/>
        <v>1.4954154763814436E-4</v>
      </c>
      <c r="J280" s="81">
        <f t="shared" si="266"/>
        <v>1.5698230575233337E-4</v>
      </c>
      <c r="K280" s="81">
        <f t="shared" si="266"/>
        <v>2.6881016856706322E-4</v>
      </c>
      <c r="L280" s="81">
        <f t="shared" si="266"/>
        <v>1.2695753291356942E-4</v>
      </c>
      <c r="M280" s="81">
        <f t="shared" si="266"/>
        <v>3.1726345829818952E-4</v>
      </c>
      <c r="N280" s="81">
        <f t="shared" si="266"/>
        <v>4.5741813836325355E-6</v>
      </c>
      <c r="O280" s="81">
        <f t="shared" si="266"/>
        <v>3.8465731516456242E-4</v>
      </c>
      <c r="P280" s="81">
        <f t="shared" si="266"/>
        <v>6.6115229824847695E-6</v>
      </c>
      <c r="Q280" s="81">
        <f t="shared" si="266"/>
        <v>3.3968055864381906E-4</v>
      </c>
      <c r="R280" s="81">
        <f t="shared" si="266"/>
        <v>1.3634402086676171E-4</v>
      </c>
      <c r="S280" s="81">
        <f t="shared" si="266"/>
        <v>3.6744000460583223E-4</v>
      </c>
      <c r="T280" s="81">
        <f t="shared" si="266"/>
        <v>3.1994847636412698E-4</v>
      </c>
      <c r="U280" s="81">
        <f t="shared" si="266"/>
        <v>4.1969170914405715E-4</v>
      </c>
      <c r="V280" s="81">
        <f t="shared" si="266"/>
        <v>5.2459358772374257E-4</v>
      </c>
      <c r="W280" s="81">
        <f t="shared" si="266"/>
        <v>5.4921474409955857E-4</v>
      </c>
      <c r="X280" s="81">
        <f t="shared" si="266"/>
        <v>1.2419231005095757E-3</v>
      </c>
      <c r="Y280" s="81">
        <f t="shared" si="266"/>
        <v>1.1964374183055662E-3</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5180.2660269266325</v>
      </c>
      <c r="C281" s="21">
        <f t="shared" ref="C281:AF281" si="267">(C248-C247)^2</f>
        <v>8510.4917770367392</v>
      </c>
      <c r="D281" s="21">
        <f t="shared" si="267"/>
        <v>657.98400177896315</v>
      </c>
      <c r="E281" s="21">
        <f t="shared" si="267"/>
        <v>10.531323036477836</v>
      </c>
      <c r="F281" s="21">
        <f t="shared" si="267"/>
        <v>2.5421147903246601</v>
      </c>
      <c r="G281" s="21">
        <f t="shared" si="267"/>
        <v>1.076123655614962</v>
      </c>
      <c r="H281" s="21">
        <f t="shared" si="267"/>
        <v>1.1769386003207509</v>
      </c>
      <c r="I281" s="21">
        <f t="shared" si="267"/>
        <v>1.3215391465803554</v>
      </c>
      <c r="J281" s="21">
        <f t="shared" si="267"/>
        <v>1.340143793833364</v>
      </c>
      <c r="K281" s="21">
        <f t="shared" si="267"/>
        <v>3.5469159637047696</v>
      </c>
      <c r="L281" s="21">
        <f t="shared" si="267"/>
        <v>0.70826711812237442</v>
      </c>
      <c r="M281" s="21">
        <f t="shared" si="267"/>
        <v>4.0094765018242304</v>
      </c>
      <c r="N281" s="21">
        <f t="shared" si="267"/>
        <v>7.6033871633822078E-4</v>
      </c>
      <c r="O281" s="21">
        <f t="shared" si="267"/>
        <v>4.8897719905089598</v>
      </c>
      <c r="P281" s="21">
        <f t="shared" si="267"/>
        <v>1.3058930671221503E-3</v>
      </c>
      <c r="Q281" s="21">
        <f t="shared" si="267"/>
        <v>3.1111479678349814</v>
      </c>
      <c r="R281" s="21">
        <f t="shared" si="267"/>
        <v>0.44322981257576527</v>
      </c>
      <c r="S281" s="21">
        <f t="shared" si="267"/>
        <v>2.7358675987130949</v>
      </c>
      <c r="T281" s="21">
        <f t="shared" si="267"/>
        <v>1.6928763299993157</v>
      </c>
      <c r="U281" s="21">
        <f t="shared" si="267"/>
        <v>2.2797065270470513</v>
      </c>
      <c r="V281" s="21">
        <f t="shared" si="267"/>
        <v>2.6488759627802123</v>
      </c>
      <c r="W281" s="21">
        <f t="shared" si="267"/>
        <v>1.9901429906340864</v>
      </c>
      <c r="X281" s="21">
        <f t="shared" si="267"/>
        <v>6.1740069696605477</v>
      </c>
      <c r="Y281" s="21">
        <f t="shared" si="267"/>
        <v>3.0827527330897588</v>
      </c>
      <c r="Z281" s="21">
        <f t="shared" si="267"/>
        <v>1.7433651634849965</v>
      </c>
      <c r="AA281" s="21">
        <f t="shared" si="267"/>
        <v>0.53258136248541221</v>
      </c>
      <c r="AB281" s="21">
        <f t="shared" si="267"/>
        <v>9.2786863813838966E-2</v>
      </c>
      <c r="AC281" s="21">
        <f t="shared" si="267"/>
        <v>5.0281268794509323E-2</v>
      </c>
      <c r="AD281" s="21">
        <f t="shared" si="267"/>
        <v>2.4056735028641914E-3</v>
      </c>
      <c r="AE281" s="21">
        <f t="shared" si="267"/>
        <v>2.6597344258830011E-2</v>
      </c>
      <c r="AF281" s="21">
        <f t="shared" si="267"/>
        <v>3.0958355553002987E-3</v>
      </c>
      <c r="AG281" s="3"/>
      <c r="AH281" s="3"/>
    </row>
    <row r="282" spans="1:34" s="3" customFormat="1" x14ac:dyDescent="0.25">
      <c r="A282" s="72">
        <f>SUM(B282:AF282)</f>
        <v>14404.045093463768</v>
      </c>
      <c r="B282" s="21">
        <f>IF($D$61&lt;=B246,IF($E$61&gt;=B246,ABS(B281),0),0)</f>
        <v>5180.2660269266325</v>
      </c>
      <c r="C282" s="21">
        <f t="shared" ref="C282:AF282" si="268">IF($D$61&lt;=C246,IF($E$61&gt;=C246,ABS(C281),0),0)</f>
        <v>8510.4917770367392</v>
      </c>
      <c r="D282" s="21">
        <f t="shared" si="268"/>
        <v>657.98400177896315</v>
      </c>
      <c r="E282" s="21">
        <f t="shared" si="268"/>
        <v>10.531323036477836</v>
      </c>
      <c r="F282" s="21">
        <f t="shared" si="268"/>
        <v>2.5421147903246601</v>
      </c>
      <c r="G282" s="21">
        <f t="shared" si="268"/>
        <v>1.076123655614962</v>
      </c>
      <c r="H282" s="21">
        <f t="shared" si="268"/>
        <v>1.1769386003207509</v>
      </c>
      <c r="I282" s="21">
        <f t="shared" si="268"/>
        <v>1.3215391465803554</v>
      </c>
      <c r="J282" s="21">
        <f t="shared" si="268"/>
        <v>1.340143793833364</v>
      </c>
      <c r="K282" s="21">
        <f t="shared" si="268"/>
        <v>3.5469159637047696</v>
      </c>
      <c r="L282" s="21">
        <f t="shared" si="268"/>
        <v>0.70826711812237442</v>
      </c>
      <c r="M282" s="21">
        <f t="shared" si="268"/>
        <v>4.0094765018242304</v>
      </c>
      <c r="N282" s="21">
        <f t="shared" si="268"/>
        <v>7.6033871633822078E-4</v>
      </c>
      <c r="O282" s="21">
        <f t="shared" si="268"/>
        <v>4.8897719905089598</v>
      </c>
      <c r="P282" s="21">
        <f t="shared" si="268"/>
        <v>1.3058930671221503E-3</v>
      </c>
      <c r="Q282" s="21">
        <f t="shared" si="268"/>
        <v>3.1111479678349814</v>
      </c>
      <c r="R282" s="21">
        <f t="shared" si="268"/>
        <v>0.44322981257576527</v>
      </c>
      <c r="S282" s="21">
        <f t="shared" si="268"/>
        <v>2.7358675987130949</v>
      </c>
      <c r="T282" s="21">
        <f t="shared" si="268"/>
        <v>1.6928763299993157</v>
      </c>
      <c r="U282" s="21">
        <f t="shared" si="268"/>
        <v>2.2797065270470513</v>
      </c>
      <c r="V282" s="21">
        <f t="shared" si="268"/>
        <v>2.6488759627802123</v>
      </c>
      <c r="W282" s="21">
        <f t="shared" si="268"/>
        <v>1.9901429906340864</v>
      </c>
      <c r="X282" s="21">
        <f t="shared" si="268"/>
        <v>6.1740069696605477</v>
      </c>
      <c r="Y282" s="21">
        <f t="shared" si="268"/>
        <v>3.0827527330897588</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9259.9030429946288</v>
      </c>
      <c r="C286" s="26">
        <f>INDEX(Comparison!$AM$3:$AS$33,G$14,$F$122)</f>
        <v>8975.4373156175916</v>
      </c>
      <c r="D286" s="26">
        <f>INDEX(Comparison!$AM$3:$AS$33,H$14,$F$122)</f>
        <v>8718.1797337443004</v>
      </c>
      <c r="E286" s="26">
        <f>INDEX(Comparison!$AM$3:$AS$33,I$14,$F$122)</f>
        <v>8453.8665906134283</v>
      </c>
      <c r="F286" s="26">
        <f>INDEX(Comparison!$AM$3:$AS$33,J$14,$F$122)</f>
        <v>8157.4497816903277</v>
      </c>
      <c r="G286" s="26">
        <f>INDEX(Comparison!$AM$3:$AS$33,K$14,$F$122)</f>
        <v>7881.4803699008435</v>
      </c>
      <c r="H286" s="26">
        <f>INDEX(Comparison!$AM$3:$AS$33,L$14,$F$122)</f>
        <v>7606.797789198542</v>
      </c>
      <c r="I286" s="26">
        <f>INDEX(Comparison!$AM$3:$AS$33,M$14,$F$122)</f>
        <v>7278.8872759198184</v>
      </c>
      <c r="J286" s="26">
        <f>INDEX(Comparison!$AM$3:$AS$33,N$14,$F$122)</f>
        <v>6902.9128773701668</v>
      </c>
      <c r="K286" s="26">
        <f>INDEX(Comparison!$AM$3:$AS$33,O$14,$F$122)</f>
        <v>6533.8294095397778</v>
      </c>
      <c r="L286" s="26">
        <f>INDEX(Comparison!$AM$3:$AS$33,P$14,$F$122)</f>
        <v>6236.0805337275306</v>
      </c>
      <c r="M286" s="26">
        <f>INDEX(Comparison!$AM$3:$AS$33,Q$14,$F$122)</f>
        <v>5950.4123980915811</v>
      </c>
      <c r="N286" s="26">
        <f>INDEX(Comparison!$AM$3:$AS$33,R$14,$F$122)</f>
        <v>5675.5372968728034</v>
      </c>
      <c r="O286" s="26">
        <f>INDEX(Comparison!$AM$3:$AS$33,S$14,$F$122)</f>
        <v>5389.077424650558</v>
      </c>
      <c r="P286" s="26">
        <f>INDEX(Comparison!$AM$3:$AS$33,T$14,$F$122)</f>
        <v>5123.5437168709832</v>
      </c>
      <c r="Q286" s="26">
        <f>INDEX(Comparison!$AM$3:$AS$33,U$14,$F$122)</f>
        <v>4799.280908658001</v>
      </c>
      <c r="R286" s="26">
        <f>INDEX(Comparison!$AM$3:$AS$33,V$14,$F$122)</f>
        <v>4430.6662258617935</v>
      </c>
      <c r="S286" s="26">
        <f>INDEX(Comparison!$AM$3:$AS$33,W$14,$F$122)</f>
        <v>3990.4031488339651</v>
      </c>
      <c r="T286" s="26">
        <f>INDEX(Comparison!$AM$3:$AS$33,X$14,$F$122)</f>
        <v>3512.6173919241392</v>
      </c>
      <c r="U286" s="26">
        <f>INDEX(Comparison!$AM$3:$AS$33,Y$14,$F$122)</f>
        <v>2997.1269883218743</v>
      </c>
      <c r="V286" s="26">
        <f>INDEX(Comparison!$AM$3:$AS$33,Z$14,$F$122)</f>
        <v>2450.4999019800034</v>
      </c>
      <c r="W286" s="26">
        <f>INDEX(Comparison!$AM$3:$AS$33,AA$14,$F$122)</f>
        <v>1872.1545257089074</v>
      </c>
      <c r="X286" s="26">
        <f>INDEX(Comparison!$AM$3:$AS$33,AB$14,$F$122)</f>
        <v>1367.4511296212941</v>
      </c>
      <c r="Y286" s="26">
        <f>INDEX(Comparison!$AM$3:$AS$33,AC$14,$F$122)</f>
        <v>983.81195335121254</v>
      </c>
      <c r="Z286" s="26">
        <f>INDEX(Comparison!$AM$3:$AS$33,AD$14,$F$122)</f>
        <v>755.24433140254177</v>
      </c>
      <c r="AA286" s="26">
        <f>INDEX(Comparison!$AM$3:$AS$33,AE$14,$F$122)</f>
        <v>633.28610309701617</v>
      </c>
      <c r="AB286" s="26">
        <f>INDEX(Comparison!$AM$3:$AS$33,AF$14,$F$122)</f>
        <v>577.24905136540178</v>
      </c>
      <c r="AC286" s="26">
        <f>INDEX(Comparison!$AM$3:$AS$33,AG$14,$F$122)</f>
        <v>542.56491517927657</v>
      </c>
      <c r="AD286" s="26">
        <f>INDEX(Comparison!$AM$3:$AS$33,AH$14,$F$122)</f>
        <v>523.04517618896307</v>
      </c>
      <c r="AE286" s="26">
        <f>INDEX(Comparison!$AM$3:$AS$33,AI$14,$F$122)</f>
        <v>513.02385818918287</v>
      </c>
      <c r="AF286" s="26">
        <f>INDEX(Comparison!$AM$3:$AS$33,AJ$14,$F$122)</f>
        <v>488.70376604058401</v>
      </c>
      <c r="AG286" s="26"/>
      <c r="AH286" s="26"/>
    </row>
    <row r="287" spans="1:34" x14ac:dyDescent="0.25">
      <c r="A287" s="71" t="s">
        <v>22</v>
      </c>
      <c r="B287" s="27">
        <f>($C$17+SUM(B288:B318))*$B$51</f>
        <v>9301.3698204796256</v>
      </c>
      <c r="C287" s="27">
        <f t="shared" ref="C287:AF287" si="269">($C$17+SUM(C288:C318))*$B$51</f>
        <v>8962.5392713242873</v>
      </c>
      <c r="D287" s="27">
        <f t="shared" si="269"/>
        <v>8750.4095643498003</v>
      </c>
      <c r="E287" s="27">
        <f t="shared" si="269"/>
        <v>8471.3626733788751</v>
      </c>
      <c r="F287" s="27">
        <f t="shared" si="269"/>
        <v>8180.0940669267757</v>
      </c>
      <c r="G287" s="27">
        <f t="shared" si="269"/>
        <v>7894.2680587727955</v>
      </c>
      <c r="H287" s="27">
        <f t="shared" si="269"/>
        <v>7620.3487397440831</v>
      </c>
      <c r="I287" s="27">
        <f t="shared" si="269"/>
        <v>7291.1310100186465</v>
      </c>
      <c r="J287" s="27">
        <f t="shared" si="269"/>
        <v>6910.3381824356638</v>
      </c>
      <c r="K287" s="27">
        <f t="shared" si="269"/>
        <v>6539.5900487892131</v>
      </c>
      <c r="L287" s="27">
        <f t="shared" si="269"/>
        <v>6238.8628280168514</v>
      </c>
      <c r="M287" s="27">
        <f t="shared" si="269"/>
        <v>5959.065700168544</v>
      </c>
      <c r="N287" s="27">
        <f t="shared" si="269"/>
        <v>5676.8618950673772</v>
      </c>
      <c r="O287" s="27">
        <f t="shared" si="269"/>
        <v>5399.4167262434667</v>
      </c>
      <c r="P287" s="27">
        <f t="shared" si="269"/>
        <v>5125.2504527418905</v>
      </c>
      <c r="Q287" s="27">
        <f t="shared" si="269"/>
        <v>4798.8296117964355</v>
      </c>
      <c r="R287" s="27">
        <f t="shared" si="269"/>
        <v>4407.1969645173631</v>
      </c>
      <c r="S287" s="27">
        <f t="shared" si="269"/>
        <v>3965.2257049861546</v>
      </c>
      <c r="T287" s="27">
        <f t="shared" si="269"/>
        <v>3498.9338900380544</v>
      </c>
      <c r="U287" s="27">
        <f t="shared" si="269"/>
        <v>2987.8903870028871</v>
      </c>
      <c r="V287" s="27">
        <f t="shared" si="269"/>
        <v>2481.8871933407786</v>
      </c>
      <c r="W287" s="27">
        <f t="shared" si="269"/>
        <v>1840.9630477360811</v>
      </c>
      <c r="X287" s="27">
        <f t="shared" si="269"/>
        <v>1362.383580150643</v>
      </c>
      <c r="Y287" s="27">
        <f t="shared" si="269"/>
        <v>969.07525480879883</v>
      </c>
      <c r="Z287" s="27">
        <f t="shared" si="269"/>
        <v>751.18592706195204</v>
      </c>
      <c r="AA287" s="27">
        <f t="shared" si="269"/>
        <v>631.30964291825546</v>
      </c>
      <c r="AB287" s="27">
        <f t="shared" si="269"/>
        <v>575.51157318438743</v>
      </c>
      <c r="AC287" s="27">
        <f t="shared" si="269"/>
        <v>543.12982583053667</v>
      </c>
      <c r="AD287" s="27">
        <f t="shared" si="269"/>
        <v>521.48663453971949</v>
      </c>
      <c r="AE287" s="27">
        <f t="shared" si="269"/>
        <v>514.74968116570915</v>
      </c>
      <c r="AF287" s="27">
        <f t="shared" si="269"/>
        <v>514.05847357589516</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2.7732951918886022E-2</v>
      </c>
      <c r="C289" s="3">
        <f t="shared" si="271"/>
        <v>5.8336406861969538E-4</v>
      </c>
      <c r="D289" s="3">
        <f t="shared" si="271"/>
        <v>9.8940806962703784E-21</v>
      </c>
      <c r="E289" s="3">
        <f t="shared" si="271"/>
        <v>1.9486469872428322E-188</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1.7499368988272791E-2</v>
      </c>
      <c r="C290" s="3">
        <f t="shared" si="272"/>
        <v>1.235201890234355E-2</v>
      </c>
      <c r="D290" s="3">
        <f t="shared" si="272"/>
        <v>3.7922201069627755E-4</v>
      </c>
      <c r="E290" s="3">
        <f t="shared" si="272"/>
        <v>2.8213010246630187E-19</v>
      </c>
      <c r="F290" s="3">
        <f t="shared" si="272"/>
        <v>1.4655759396746919E-170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2.8135318555854882E-2</v>
      </c>
      <c r="C291" s="3">
        <f t="shared" si="273"/>
        <v>2.7264951003071598E-2</v>
      </c>
      <c r="D291" s="3">
        <f t="shared" si="273"/>
        <v>1.9912856774484511E-2</v>
      </c>
      <c r="E291" s="3">
        <f t="shared" si="273"/>
        <v>8.5984873127474537E-4</v>
      </c>
      <c r="F291" s="3">
        <f t="shared" si="273"/>
        <v>1.9377908560861792E-17</v>
      </c>
      <c r="G291" s="3">
        <f t="shared" si="273"/>
        <v>6.5487042423293372E-154</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2.9838182445693019E-2</v>
      </c>
      <c r="C292" s="3">
        <f t="shared" si="274"/>
        <v>2.9753720690042132E-2</v>
      </c>
      <c r="D292" s="3">
        <f t="shared" si="274"/>
        <v>2.8922141636761146E-2</v>
      </c>
      <c r="E292" s="3">
        <f t="shared" si="274"/>
        <v>2.1783221953941077E-2</v>
      </c>
      <c r="F292" s="3">
        <f t="shared" si="274"/>
        <v>1.2794956001462205E-3</v>
      </c>
      <c r="G292" s="3">
        <f t="shared" si="274"/>
        <v>6.2546872476780305E-16</v>
      </c>
      <c r="H292" s="3">
        <f t="shared" si="274"/>
        <v>4.8738663581387248E-139</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2.9884433642435815E-2</v>
      </c>
      <c r="C293" s="3">
        <f t="shared" si="275"/>
        <v>2.9876792835425398E-2</v>
      </c>
      <c r="D293" s="3">
        <f t="shared" si="275"/>
        <v>2.9800492130399307E-2</v>
      </c>
      <c r="E293" s="3">
        <f t="shared" si="275"/>
        <v>2.9048120697541618E-2</v>
      </c>
      <c r="F293" s="3">
        <f t="shared" si="275"/>
        <v>2.2493864949822851E-2</v>
      </c>
      <c r="G293" s="3">
        <f t="shared" si="275"/>
        <v>1.7439117852541704E-3</v>
      </c>
      <c r="H293" s="3">
        <f t="shared" si="275"/>
        <v>1.3681345334682291E-14</v>
      </c>
      <c r="I293" s="3">
        <f t="shared" si="275"/>
        <v>1.2082915290534814E-125</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2.6241351022160027E-2</v>
      </c>
      <c r="C294" s="3">
        <f t="shared" si="276"/>
        <v>2.6240745712647059E-2</v>
      </c>
      <c r="D294" s="3">
        <f t="shared" si="276"/>
        <v>2.6234693385411664E-2</v>
      </c>
      <c r="E294" s="3">
        <f t="shared" si="276"/>
        <v>2.6174246836989226E-2</v>
      </c>
      <c r="F294" s="3">
        <f t="shared" si="276"/>
        <v>2.5577388664947489E-2</v>
      </c>
      <c r="G294" s="3">
        <f t="shared" si="276"/>
        <v>2.0308427403858433E-2</v>
      </c>
      <c r="H294" s="3">
        <f t="shared" si="276"/>
        <v>2.0224473011385686E-3</v>
      </c>
      <c r="I294" s="3">
        <f t="shared" si="276"/>
        <v>1.9403782861386784E-13</v>
      </c>
      <c r="J294" s="3">
        <f t="shared" si="276"/>
        <v>1.2822665869260346E-113</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3.2917198391117862E-2</v>
      </c>
      <c r="C295" s="3">
        <f t="shared" si="277"/>
        <v>3.291712989510033E-2</v>
      </c>
      <c r="D295" s="3">
        <f t="shared" si="277"/>
        <v>3.291644494276421E-2</v>
      </c>
      <c r="E295" s="3">
        <f t="shared" si="277"/>
        <v>3.2909596203255405E-2</v>
      </c>
      <c r="F295" s="3">
        <f t="shared" si="277"/>
        <v>3.2841187133095723E-2</v>
      </c>
      <c r="G295" s="3">
        <f t="shared" si="277"/>
        <v>3.2164868954721641E-2</v>
      </c>
      <c r="H295" s="3">
        <f t="shared" si="277"/>
        <v>2.6122285703716181E-2</v>
      </c>
      <c r="I295" s="3">
        <f t="shared" si="277"/>
        <v>3.2606565969212106E-3</v>
      </c>
      <c r="J295" s="3">
        <f t="shared" si="277"/>
        <v>2.993945822040812E-12</v>
      </c>
      <c r="K295" s="3">
        <f t="shared" si="277"/>
        <v>1.2753596810152727E-102</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4.0072807366623123E-2</v>
      </c>
      <c r="C296" s="3">
        <f t="shared" si="278"/>
        <v>4.0072799844520966E-2</v>
      </c>
      <c r="D296" s="3">
        <f t="shared" si="278"/>
        <v>4.0072724623577027E-2</v>
      </c>
      <c r="E296" s="3">
        <f t="shared" si="278"/>
        <v>4.0071972421903509E-2</v>
      </c>
      <c r="F296" s="3">
        <f t="shared" si="278"/>
        <v>4.0064451181697852E-2</v>
      </c>
      <c r="G296" s="3">
        <f t="shared" si="278"/>
        <v>3.9989316378684733E-2</v>
      </c>
      <c r="H296" s="3">
        <f t="shared" si="278"/>
        <v>3.9245674627552476E-2</v>
      </c>
      <c r="I296" s="3">
        <f t="shared" si="278"/>
        <v>3.2528945845939322E-2</v>
      </c>
      <c r="J296" s="3">
        <f t="shared" si="278"/>
        <v>4.9779656430237922E-3</v>
      </c>
      <c r="K296" s="3">
        <f t="shared" si="278"/>
        <v>3.506476629490663E-11</v>
      </c>
      <c r="L296" s="3">
        <f t="shared" si="278"/>
        <v>1.0545361859493414E-92</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3.9765912765277342E-2</v>
      </c>
      <c r="C297" s="3">
        <f t="shared" si="279"/>
        <v>3.9765912091917759E-2</v>
      </c>
      <c r="D297" s="3">
        <f t="shared" si="279"/>
        <v>3.9765905358322605E-2</v>
      </c>
      <c r="E297" s="3">
        <f t="shared" si="279"/>
        <v>3.9765838022433761E-2</v>
      </c>
      <c r="F297" s="3">
        <f t="shared" si="279"/>
        <v>3.9765164669816451E-2</v>
      </c>
      <c r="G297" s="3">
        <f t="shared" si="279"/>
        <v>3.9758431770712636E-2</v>
      </c>
      <c r="H297" s="3">
        <f t="shared" si="279"/>
        <v>3.9691165447342837E-2</v>
      </c>
      <c r="I297" s="3">
        <f t="shared" si="279"/>
        <v>3.9024729894870623E-2</v>
      </c>
      <c r="J297" s="3">
        <f t="shared" si="279"/>
        <v>3.2945829892638216E-2</v>
      </c>
      <c r="K297" s="3">
        <f t="shared" si="279"/>
        <v>6.0590691751126139E-3</v>
      </c>
      <c r="L297" s="3">
        <f t="shared" si="279"/>
        <v>2.6820106694002262E-10</v>
      </c>
      <c r="M297" s="3">
        <f t="shared" si="279"/>
        <v>7.7447322054947974E-84</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2.9424353025177333E-2</v>
      </c>
      <c r="C298" s="3">
        <f t="shared" si="280"/>
        <v>2.9424352980231484E-2</v>
      </c>
      <c r="D298" s="3">
        <f t="shared" si="280"/>
        <v>2.9424352530772982E-2</v>
      </c>
      <c r="E298" s="3">
        <f t="shared" si="280"/>
        <v>2.9424348036188343E-2</v>
      </c>
      <c r="F298" s="3">
        <f t="shared" si="280"/>
        <v>2.9424303090379699E-2</v>
      </c>
      <c r="G298" s="3">
        <f t="shared" si="280"/>
        <v>2.9423853636069301E-2</v>
      </c>
      <c r="H298" s="3">
        <f t="shared" si="280"/>
        <v>2.941935947054419E-2</v>
      </c>
      <c r="I298" s="3">
        <f t="shared" si="280"/>
        <v>2.9374455551850625E-2</v>
      </c>
      <c r="J298" s="3">
        <f t="shared" si="280"/>
        <v>2.8929168779704251E-2</v>
      </c>
      <c r="K298" s="3">
        <f t="shared" si="280"/>
        <v>2.4831173806122837E-2</v>
      </c>
      <c r="L298" s="3">
        <f t="shared" si="280"/>
        <v>5.3902659693509433E-3</v>
      </c>
      <c r="M298" s="3">
        <f t="shared" si="280"/>
        <v>1.2523901583513349E-9</v>
      </c>
      <c r="N298" s="3">
        <f t="shared" si="280"/>
        <v>5.7416161996504311E-76</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2.8571417110538715E-2</v>
      </c>
      <c r="C299" s="3">
        <f t="shared" si="281"/>
        <v>2.8571417106601757E-2</v>
      </c>
      <c r="D299" s="3">
        <f t="shared" si="281"/>
        <v>2.8571417067232152E-2</v>
      </c>
      <c r="E299" s="3">
        <f t="shared" si="281"/>
        <v>2.8571416673536108E-2</v>
      </c>
      <c r="F299" s="3">
        <f t="shared" si="281"/>
        <v>2.8571412736575975E-2</v>
      </c>
      <c r="G299" s="3">
        <f t="shared" si="281"/>
        <v>2.8571373367004473E-2</v>
      </c>
      <c r="H299" s="3">
        <f t="shared" si="281"/>
        <v>2.857097967427313E-2</v>
      </c>
      <c r="I299" s="3">
        <f t="shared" si="281"/>
        <v>2.8567043045311335E-2</v>
      </c>
      <c r="J299" s="3">
        <f t="shared" si="281"/>
        <v>2.8527706575650836E-2</v>
      </c>
      <c r="K299" s="3">
        <f t="shared" si="281"/>
        <v>2.8137308727360231E-2</v>
      </c>
      <c r="L299" s="3">
        <f t="shared" si="281"/>
        <v>2.4515430530465607E-2</v>
      </c>
      <c r="M299" s="3">
        <f t="shared" si="281"/>
        <v>6.1802951009806385E-3</v>
      </c>
      <c r="N299" s="3">
        <f t="shared" si="281"/>
        <v>6.4077578704764151E-9</v>
      </c>
      <c r="O299" s="3">
        <f t="shared" si="281"/>
        <v>9.1976079612209462E-69</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2.9426851905471771E-2</v>
      </c>
      <c r="C300" s="3">
        <f t="shared" si="282"/>
        <v>2.9426851905105991E-2</v>
      </c>
      <c r="D300" s="3">
        <f t="shared" si="282"/>
        <v>2.9426851901448191E-2</v>
      </c>
      <c r="E300" s="3">
        <f t="shared" si="282"/>
        <v>2.9426851864870214E-2</v>
      </c>
      <c r="F300" s="3">
        <f t="shared" si="282"/>
        <v>2.9426851499090464E-2</v>
      </c>
      <c r="G300" s="3">
        <f t="shared" si="282"/>
        <v>2.9426847841293173E-2</v>
      </c>
      <c r="H300" s="3">
        <f t="shared" si="282"/>
        <v>2.9426811263345284E-2</v>
      </c>
      <c r="I300" s="3">
        <f t="shared" si="282"/>
        <v>2.9426445486367064E-2</v>
      </c>
      <c r="J300" s="3">
        <f t="shared" si="282"/>
        <v>2.9422787966640142E-2</v>
      </c>
      <c r="K300" s="3">
        <f t="shared" si="282"/>
        <v>2.9386237763402174E-2</v>
      </c>
      <c r="L300" s="3">
        <f t="shared" si="282"/>
        <v>2.902322367713726E-2</v>
      </c>
      <c r="M300" s="3">
        <f t="shared" si="282"/>
        <v>2.5630805576562766E-2</v>
      </c>
      <c r="N300" s="3">
        <f t="shared" si="282"/>
        <v>7.3948323127552007E-3</v>
      </c>
      <c r="O300" s="3">
        <f t="shared" si="282"/>
        <v>2.9552149157510584E-8</v>
      </c>
      <c r="P300" s="3">
        <f t="shared" si="282"/>
        <v>3.070410683129969E-62</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2.844080350654439E-2</v>
      </c>
      <c r="C301" s="3">
        <f t="shared" si="283"/>
        <v>2.8440803506512499E-2</v>
      </c>
      <c r="D301" s="3">
        <f t="shared" si="283"/>
        <v>2.8440803506193591E-2</v>
      </c>
      <c r="E301" s="3">
        <f t="shared" si="283"/>
        <v>2.8440803503004517E-2</v>
      </c>
      <c r="F301" s="3">
        <f t="shared" si="283"/>
        <v>2.8440803471113798E-2</v>
      </c>
      <c r="G301" s="3">
        <f t="shared" si="283"/>
        <v>2.8440803152206609E-2</v>
      </c>
      <c r="H301" s="3">
        <f t="shared" si="283"/>
        <v>2.8440799963134891E-2</v>
      </c>
      <c r="I301" s="3">
        <f t="shared" si="283"/>
        <v>2.844076807243737E-2</v>
      </c>
      <c r="J301" s="3">
        <f t="shared" si="283"/>
        <v>2.84404491674289E-2</v>
      </c>
      <c r="K301" s="3">
        <f t="shared" si="283"/>
        <v>2.8437260314010275E-2</v>
      </c>
      <c r="L301" s="3">
        <f t="shared" si="283"/>
        <v>2.8405391438274183E-2</v>
      </c>
      <c r="M301" s="3">
        <f t="shared" si="283"/>
        <v>2.8088660394403553E-2</v>
      </c>
      <c r="N301" s="3">
        <f t="shared" si="283"/>
        <v>2.5109237016316274E-2</v>
      </c>
      <c r="O301" s="3">
        <f t="shared" si="283"/>
        <v>8.1819798397309521E-3</v>
      </c>
      <c r="P301" s="3">
        <f t="shared" si="283"/>
        <v>1.1043514197441899E-7</v>
      </c>
      <c r="Q301" s="3">
        <f t="shared" si="283"/>
        <v>2.2161348407910684E-56</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2.6740342475665802E-2</v>
      </c>
      <c r="C302" s="3">
        <f t="shared" si="284"/>
        <v>2.6740342475663096E-2</v>
      </c>
      <c r="D302" s="3">
        <f t="shared" si="284"/>
        <v>2.6740342475636048E-2</v>
      </c>
      <c r="E302" s="3">
        <f t="shared" si="284"/>
        <v>2.6740342475365567E-2</v>
      </c>
      <c r="F302" s="3">
        <f t="shared" si="284"/>
        <v>2.6740342472660762E-2</v>
      </c>
      <c r="G302" s="3">
        <f t="shared" si="284"/>
        <v>2.6740342445612707E-2</v>
      </c>
      <c r="H302" s="3">
        <f t="shared" si="284"/>
        <v>2.674034217513218E-2</v>
      </c>
      <c r="I302" s="3">
        <f t="shared" si="284"/>
        <v>2.674033947032704E-2</v>
      </c>
      <c r="J302" s="3">
        <f t="shared" si="284"/>
        <v>2.674031242229067E-2</v>
      </c>
      <c r="K302" s="3">
        <f t="shared" si="284"/>
        <v>2.6740041943431738E-2</v>
      </c>
      <c r="L302" s="3">
        <f t="shared" si="284"/>
        <v>2.6737337305312366E-2</v>
      </c>
      <c r="M302" s="3">
        <f t="shared" si="284"/>
        <v>2.6710305965480519E-2</v>
      </c>
      <c r="N302" s="3">
        <f t="shared" si="284"/>
        <v>2.6441491089204645E-2</v>
      </c>
      <c r="O302" s="3">
        <f t="shared" si="284"/>
        <v>2.3897734725907619E-2</v>
      </c>
      <c r="P302" s="3">
        <f t="shared" si="284"/>
        <v>8.6908984088559758E-3</v>
      </c>
      <c r="Q302" s="3">
        <f t="shared" si="284"/>
        <v>3.5167706538021951E-7</v>
      </c>
      <c r="R302" s="3">
        <f t="shared" si="284"/>
        <v>4.1394036735665948E-51</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3.6384067061729662E-2</v>
      </c>
      <c r="C303" s="3">
        <f t="shared" si="285"/>
        <v>3.6384067061729329E-2</v>
      </c>
      <c r="D303" s="3">
        <f t="shared" si="285"/>
        <v>3.6384067061726012E-2</v>
      </c>
      <c r="E303" s="3">
        <f t="shared" si="285"/>
        <v>3.638406706169281E-2</v>
      </c>
      <c r="F303" s="3">
        <f t="shared" si="285"/>
        <v>3.6384067061360818E-2</v>
      </c>
      <c r="G303" s="3">
        <f t="shared" si="285"/>
        <v>3.6384067058040905E-2</v>
      </c>
      <c r="H303" s="3">
        <f t="shared" si="285"/>
        <v>3.638406702484176E-2</v>
      </c>
      <c r="I303" s="3">
        <f t="shared" si="285"/>
        <v>3.6384066692850325E-2</v>
      </c>
      <c r="J303" s="3">
        <f t="shared" si="285"/>
        <v>3.6384063372936162E-2</v>
      </c>
      <c r="K303" s="3">
        <f t="shared" si="285"/>
        <v>3.6384030173811185E-2</v>
      </c>
      <c r="L303" s="3">
        <f t="shared" si="285"/>
        <v>3.6383698184227528E-2</v>
      </c>
      <c r="M303" s="3">
        <f t="shared" si="285"/>
        <v>3.6380378454996275E-2</v>
      </c>
      <c r="N303" s="3">
        <f t="shared" si="285"/>
        <v>3.6347197817594233E-2</v>
      </c>
      <c r="O303" s="3">
        <f t="shared" si="285"/>
        <v>3.60170513254248E-2</v>
      </c>
      <c r="P303" s="3">
        <f t="shared" si="285"/>
        <v>3.2876104796210753E-2</v>
      </c>
      <c r="Q303" s="3">
        <f t="shared" si="285"/>
        <v>1.3200864401760028E-2</v>
      </c>
      <c r="R303" s="3">
        <f t="shared" si="285"/>
        <v>1.4382106786896994E-6</v>
      </c>
      <c r="S303" s="3">
        <f t="shared" si="285"/>
        <v>3.3886280325181322E-46</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4.1964426446168518E-2</v>
      </c>
      <c r="C304" s="3">
        <f t="shared" si="286"/>
        <v>4.196442644616849E-2</v>
      </c>
      <c r="D304" s="3">
        <f t="shared" si="286"/>
        <v>4.1964426446168143E-2</v>
      </c>
      <c r="E304" s="3">
        <f t="shared" si="286"/>
        <v>4.1964426446164688E-2</v>
      </c>
      <c r="F304" s="3">
        <f t="shared" si="286"/>
        <v>4.1964426446130146E-2</v>
      </c>
      <c r="G304" s="3">
        <f t="shared" si="286"/>
        <v>4.1964426445784728E-2</v>
      </c>
      <c r="H304" s="3">
        <f t="shared" si="286"/>
        <v>4.196442644233056E-2</v>
      </c>
      <c r="I304" s="3">
        <f t="shared" si="286"/>
        <v>4.1964426407788871E-2</v>
      </c>
      <c r="J304" s="3">
        <f t="shared" si="286"/>
        <v>4.1964426062372023E-2</v>
      </c>
      <c r="K304" s="3">
        <f t="shared" si="286"/>
        <v>4.1964422608203711E-2</v>
      </c>
      <c r="L304" s="3">
        <f t="shared" si="286"/>
        <v>4.1964388066536143E-2</v>
      </c>
      <c r="M304" s="3">
        <f t="shared" si="286"/>
        <v>4.1964042651424262E-2</v>
      </c>
      <c r="N304" s="3">
        <f t="shared" si="286"/>
        <v>4.1960588656675533E-2</v>
      </c>
      <c r="O304" s="3">
        <f t="shared" si="286"/>
        <v>4.1926064341437912E-2</v>
      </c>
      <c r="P304" s="3">
        <f t="shared" si="286"/>
        <v>4.1582379663629113E-2</v>
      </c>
      <c r="Q304" s="3">
        <f t="shared" si="286"/>
        <v>3.8296736647225889E-2</v>
      </c>
      <c r="R304" s="3">
        <f t="shared" si="286"/>
        <v>1.6814581311128295E-2</v>
      </c>
      <c r="S304" s="3">
        <f t="shared" si="286"/>
        <v>4.4764006648388759E-6</v>
      </c>
      <c r="T304" s="3">
        <f t="shared" si="286"/>
        <v>8.0049364825739822E-42</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4.8106928297009681E-2</v>
      </c>
      <c r="C305" s="3">
        <f t="shared" si="287"/>
        <v>4.8106928297009674E-2</v>
      </c>
      <c r="D305" s="3">
        <f t="shared" si="287"/>
        <v>4.8106928297009646E-2</v>
      </c>
      <c r="E305" s="3">
        <f t="shared" si="287"/>
        <v>4.8106928297009285E-2</v>
      </c>
      <c r="F305" s="3">
        <f t="shared" si="287"/>
        <v>4.8106928297005712E-2</v>
      </c>
      <c r="G305" s="3">
        <f t="shared" si="287"/>
        <v>4.810692829696999E-2</v>
      </c>
      <c r="H305" s="3">
        <f t="shared" si="287"/>
        <v>4.8106928296612783E-2</v>
      </c>
      <c r="I305" s="3">
        <f t="shared" si="287"/>
        <v>4.8106928293040745E-2</v>
      </c>
      <c r="J305" s="3">
        <f t="shared" si="287"/>
        <v>4.8106928257320332E-2</v>
      </c>
      <c r="K305" s="3">
        <f t="shared" si="287"/>
        <v>4.8106927900116232E-2</v>
      </c>
      <c r="L305" s="3">
        <f t="shared" si="287"/>
        <v>4.8106924328075312E-2</v>
      </c>
      <c r="M305" s="3">
        <f t="shared" si="287"/>
        <v>4.8106888607680691E-2</v>
      </c>
      <c r="N305" s="3">
        <f t="shared" si="287"/>
        <v>4.8106531405193241E-2</v>
      </c>
      <c r="O305" s="3">
        <f t="shared" si="287"/>
        <v>4.810295952619173E-2</v>
      </c>
      <c r="P305" s="3">
        <f t="shared" si="287"/>
        <v>4.8067255319462411E-2</v>
      </c>
      <c r="Q305" s="3">
        <f t="shared" si="287"/>
        <v>4.7711667582189268E-2</v>
      </c>
      <c r="R305" s="3">
        <f t="shared" si="287"/>
        <v>4.4297305808528954E-2</v>
      </c>
      <c r="S305" s="3">
        <f t="shared" si="287"/>
        <v>2.1081644369692246E-2</v>
      </c>
      <c r="T305" s="3">
        <f t="shared" si="287"/>
        <v>1.2565396057777226E-5</v>
      </c>
      <c r="U305" s="3">
        <f t="shared" si="287"/>
        <v>7.1103859248242615E-38</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4.6100301020196389E-2</v>
      </c>
      <c r="C306" s="3">
        <f t="shared" si="288"/>
        <v>4.6100301020196389E-2</v>
      </c>
      <c r="D306" s="3">
        <f t="shared" si="288"/>
        <v>4.6100301020196383E-2</v>
      </c>
      <c r="E306" s="3">
        <f t="shared" si="288"/>
        <v>4.6100301020196355E-2</v>
      </c>
      <c r="F306" s="3">
        <f t="shared" si="288"/>
        <v>4.6100301020196049E-2</v>
      </c>
      <c r="G306" s="3">
        <f t="shared" si="288"/>
        <v>4.6100301020192962E-2</v>
      </c>
      <c r="H306" s="3">
        <f t="shared" si="288"/>
        <v>4.6100301020162077E-2</v>
      </c>
      <c r="I306" s="3">
        <f t="shared" si="288"/>
        <v>4.6100301019853296E-2</v>
      </c>
      <c r="J306" s="3">
        <f t="shared" si="288"/>
        <v>4.6100301016765419E-2</v>
      </c>
      <c r="K306" s="3">
        <f t="shared" si="288"/>
        <v>4.6100300985886709E-2</v>
      </c>
      <c r="L306" s="3">
        <f t="shared" si="288"/>
        <v>4.6100300677099595E-2</v>
      </c>
      <c r="M306" s="3">
        <f t="shared" si="288"/>
        <v>4.6100297589228574E-2</v>
      </c>
      <c r="N306" s="3">
        <f t="shared" si="288"/>
        <v>4.6100266710529712E-2</v>
      </c>
      <c r="O306" s="3">
        <f t="shared" si="288"/>
        <v>4.6099957924678664E-2</v>
      </c>
      <c r="P306" s="3">
        <f t="shared" si="288"/>
        <v>4.6096870179921832E-2</v>
      </c>
      <c r="Q306" s="3">
        <f t="shared" si="288"/>
        <v>4.6066004104899028E-2</v>
      </c>
      <c r="R306" s="3">
        <f t="shared" si="288"/>
        <v>4.5758477795784534E-2</v>
      </c>
      <c r="S306" s="3">
        <f t="shared" si="288"/>
        <v>4.2793896972850458E-2</v>
      </c>
      <c r="T306" s="3">
        <f t="shared" si="288"/>
        <v>2.1902037432612605E-2</v>
      </c>
      <c r="U306" s="3">
        <f t="shared" si="288"/>
        <v>2.700917494685821E-5</v>
      </c>
      <c r="V306" s="3">
        <f t="shared" si="288"/>
        <v>2.1967433911852838E-34</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6.1544571271861997E-2</v>
      </c>
      <c r="C307" s="3">
        <f t="shared" si="289"/>
        <v>6.1544571271861997E-2</v>
      </c>
      <c r="D307" s="3">
        <f t="shared" si="289"/>
        <v>6.1544571271861997E-2</v>
      </c>
      <c r="E307" s="3">
        <f t="shared" si="289"/>
        <v>6.1544571271861991E-2</v>
      </c>
      <c r="F307" s="3">
        <f t="shared" si="289"/>
        <v>6.1544571271861956E-2</v>
      </c>
      <c r="G307" s="3">
        <f t="shared" si="289"/>
        <v>6.1544571271861588E-2</v>
      </c>
      <c r="H307" s="3">
        <f t="shared" si="289"/>
        <v>6.1544571271857862E-2</v>
      </c>
      <c r="I307" s="3">
        <f t="shared" si="289"/>
        <v>6.1544571271820676E-2</v>
      </c>
      <c r="J307" s="3">
        <f t="shared" si="289"/>
        <v>6.1544571271448807E-2</v>
      </c>
      <c r="K307" s="3">
        <f t="shared" si="289"/>
        <v>6.1544571267730101E-2</v>
      </c>
      <c r="L307" s="3">
        <f t="shared" si="289"/>
        <v>6.1544571230543056E-2</v>
      </c>
      <c r="M307" s="3">
        <f t="shared" si="289"/>
        <v>6.1544570858672529E-2</v>
      </c>
      <c r="N307" s="3">
        <f t="shared" si="289"/>
        <v>6.1544567139967477E-2</v>
      </c>
      <c r="O307" s="3">
        <f t="shared" si="289"/>
        <v>6.1544529952929271E-2</v>
      </c>
      <c r="P307" s="3">
        <f t="shared" si="289"/>
        <v>6.1544158083783058E-2</v>
      </c>
      <c r="Q307" s="3">
        <f t="shared" si="289"/>
        <v>6.1540439515900158E-2</v>
      </c>
      <c r="R307" s="3">
        <f t="shared" si="289"/>
        <v>6.1503266192236623E-2</v>
      </c>
      <c r="S307" s="3">
        <f t="shared" si="289"/>
        <v>6.1132765714416518E-2</v>
      </c>
      <c r="T307" s="3">
        <f t="shared" si="289"/>
        <v>5.7548324778321142E-2</v>
      </c>
      <c r="U307" s="3">
        <f t="shared" si="289"/>
        <v>3.144988799113433E-2</v>
      </c>
      <c r="V307" s="3">
        <f t="shared" si="289"/>
        <v>7.472798542041289E-5</v>
      </c>
      <c r="W307" s="3">
        <f t="shared" si="289"/>
        <v>4.2867187180130249E-31</v>
      </c>
      <c r="X307" s="3">
        <f t="shared" si="289"/>
        <v>1.6540251809526332E-293</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2.0548359308290503E-2</v>
      </c>
      <c r="C308" s="3">
        <f t="shared" si="290"/>
        <v>2.0548359308290503E-2</v>
      </c>
      <c r="D308" s="3">
        <f t="shared" si="290"/>
        <v>2.0548359308290503E-2</v>
      </c>
      <c r="E308" s="3">
        <f t="shared" si="290"/>
        <v>2.0548359308290503E-2</v>
      </c>
      <c r="F308" s="3">
        <f t="shared" si="290"/>
        <v>2.0548359308290499E-2</v>
      </c>
      <c r="G308" s="3">
        <f t="shared" si="290"/>
        <v>2.0548359308290493E-2</v>
      </c>
      <c r="H308" s="3">
        <f t="shared" si="290"/>
        <v>2.0548359308290378E-2</v>
      </c>
      <c r="I308" s="3">
        <f t="shared" si="290"/>
        <v>2.0548359308289257E-2</v>
      </c>
      <c r="J308" s="3">
        <f t="shared" si="290"/>
        <v>2.0548359308278058E-2</v>
      </c>
      <c r="K308" s="3">
        <f t="shared" si="290"/>
        <v>2.0548359308166057E-2</v>
      </c>
      <c r="L308" s="3">
        <f t="shared" si="290"/>
        <v>2.0548359307046037E-2</v>
      </c>
      <c r="M308" s="3">
        <f t="shared" si="290"/>
        <v>2.0548359295845836E-2</v>
      </c>
      <c r="N308" s="3">
        <f t="shared" si="290"/>
        <v>2.0548359183843845E-2</v>
      </c>
      <c r="O308" s="3">
        <f t="shared" si="290"/>
        <v>2.0548358063823977E-2</v>
      </c>
      <c r="P308" s="3">
        <f t="shared" si="290"/>
        <v>2.0548346863628639E-2</v>
      </c>
      <c r="Q308" s="3">
        <f t="shared" si="290"/>
        <v>2.0548234862011027E-2</v>
      </c>
      <c r="R308" s="3">
        <f t="shared" si="290"/>
        <v>2.0547114879410751E-2</v>
      </c>
      <c r="S308" s="3">
        <f t="shared" si="290"/>
        <v>2.0535918410318099E-2</v>
      </c>
      <c r="T308" s="3">
        <f t="shared" si="290"/>
        <v>2.042428873438331E-2</v>
      </c>
      <c r="U308" s="3">
        <f t="shared" si="290"/>
        <v>1.9340827573040932E-2</v>
      </c>
      <c r="V308" s="3">
        <f t="shared" si="290"/>
        <v>1.1213886875769276E-2</v>
      </c>
      <c r="W308" s="3">
        <f t="shared" si="290"/>
        <v>4.8146790951950423E-5</v>
      </c>
      <c r="X308" s="3">
        <f t="shared" si="290"/>
        <v>1.0248943535989652E-28</v>
      </c>
      <c r="Y308" s="3">
        <f t="shared" si="290"/>
        <v>1.957927671498665E-265</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6.8598536150208847E-2</v>
      </c>
      <c r="C309" s="3">
        <f t="shared" si="291"/>
        <v>6.8598536150208847E-2</v>
      </c>
      <c r="D309" s="3">
        <f t="shared" si="291"/>
        <v>6.8598536150208847E-2</v>
      </c>
      <c r="E309" s="3">
        <f t="shared" si="291"/>
        <v>6.8598536150208847E-2</v>
      </c>
      <c r="F309" s="3">
        <f t="shared" si="291"/>
        <v>6.8598536150208847E-2</v>
      </c>
      <c r="G309" s="3">
        <f t="shared" si="291"/>
        <v>6.8598536150208833E-2</v>
      </c>
      <c r="H309" s="3">
        <f t="shared" si="291"/>
        <v>6.8598536150208736E-2</v>
      </c>
      <c r="I309" s="3">
        <f t="shared" si="291"/>
        <v>6.8598536150207695E-2</v>
      </c>
      <c r="J309" s="3">
        <f t="shared" si="291"/>
        <v>6.8598536150197356E-2</v>
      </c>
      <c r="K309" s="3">
        <f t="shared" si="291"/>
        <v>6.8598536150093939E-2</v>
      </c>
      <c r="L309" s="3">
        <f t="shared" si="291"/>
        <v>6.8598536149059808E-2</v>
      </c>
      <c r="M309" s="3">
        <f t="shared" si="291"/>
        <v>6.8598536138718483E-2</v>
      </c>
      <c r="N309" s="3">
        <f t="shared" si="291"/>
        <v>6.8598536035305205E-2</v>
      </c>
      <c r="O309" s="3">
        <f t="shared" si="291"/>
        <v>6.8598535001172439E-2</v>
      </c>
      <c r="P309" s="3">
        <f t="shared" si="291"/>
        <v>6.85985246598457E-2</v>
      </c>
      <c r="Q309" s="3">
        <f t="shared" si="291"/>
        <v>6.8598421246663932E-2</v>
      </c>
      <c r="R309" s="3">
        <f t="shared" si="291"/>
        <v>6.8597387123420603E-2</v>
      </c>
      <c r="S309" s="3">
        <f t="shared" si="291"/>
        <v>6.8587046748367714E-2</v>
      </c>
      <c r="T309" s="3">
        <f t="shared" si="291"/>
        <v>6.848372868807022E-2</v>
      </c>
      <c r="U309" s="3">
        <f t="shared" si="291"/>
        <v>6.7459069504049229E-2</v>
      </c>
      <c r="V309" s="3">
        <f t="shared" si="291"/>
        <v>5.8018945404828139E-2</v>
      </c>
      <c r="W309" s="3">
        <f t="shared" si="291"/>
        <v>1.2848862177604583E-2</v>
      </c>
      <c r="X309" s="3">
        <f t="shared" si="291"/>
        <v>3.6459698504132929E-9</v>
      </c>
      <c r="Y309" s="3">
        <f t="shared" si="291"/>
        <v>1.2339486755173458E-74</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4.2430467850210242E-2</v>
      </c>
      <c r="C310" s="3">
        <f t="shared" si="292"/>
        <v>4.2430467850210242E-2</v>
      </c>
      <c r="D310" s="3">
        <f t="shared" si="292"/>
        <v>4.2430467850210242E-2</v>
      </c>
      <c r="E310" s="3">
        <f t="shared" si="292"/>
        <v>4.2430467850210242E-2</v>
      </c>
      <c r="F310" s="3">
        <f t="shared" si="292"/>
        <v>4.2430467850210242E-2</v>
      </c>
      <c r="G310" s="3">
        <f t="shared" si="292"/>
        <v>4.2430467850210242E-2</v>
      </c>
      <c r="H310" s="3">
        <f t="shared" si="292"/>
        <v>4.2430467850210235E-2</v>
      </c>
      <c r="I310" s="3">
        <f t="shared" si="292"/>
        <v>4.2430467850210173E-2</v>
      </c>
      <c r="J310" s="3">
        <f t="shared" si="292"/>
        <v>4.2430467850209527E-2</v>
      </c>
      <c r="K310" s="3">
        <f t="shared" si="292"/>
        <v>4.2430467850203137E-2</v>
      </c>
      <c r="L310" s="3">
        <f t="shared" si="292"/>
        <v>4.2430467850139174E-2</v>
      </c>
      <c r="M310" s="3">
        <f t="shared" si="292"/>
        <v>4.2430467849499526E-2</v>
      </c>
      <c r="N310" s="3">
        <f t="shared" si="292"/>
        <v>4.2430467843103073E-2</v>
      </c>
      <c r="O310" s="3">
        <f t="shared" si="292"/>
        <v>4.2430467779138531E-2</v>
      </c>
      <c r="P310" s="3">
        <f t="shared" si="292"/>
        <v>4.2430467139493146E-2</v>
      </c>
      <c r="Q310" s="3">
        <f t="shared" si="292"/>
        <v>4.2430460743039862E-2</v>
      </c>
      <c r="R310" s="3">
        <f t="shared" si="292"/>
        <v>4.2430396778559996E-2</v>
      </c>
      <c r="S310" s="3">
        <f t="shared" si="292"/>
        <v>4.2429757139064883E-2</v>
      </c>
      <c r="T310" s="3">
        <f t="shared" si="292"/>
        <v>4.2423361274431845E-2</v>
      </c>
      <c r="U310" s="3">
        <f t="shared" si="292"/>
        <v>4.2359455630349305E-2</v>
      </c>
      <c r="V310" s="3">
        <f t="shared" si="292"/>
        <v>4.1725669969532503E-2</v>
      </c>
      <c r="W310" s="3">
        <f t="shared" si="292"/>
        <v>3.5886640384164656E-2</v>
      </c>
      <c r="X310" s="3">
        <f t="shared" si="292"/>
        <v>7.9474470467541282E-3</v>
      </c>
      <c r="Y310" s="3">
        <f t="shared" si="292"/>
        <v>2.2551531738527644E-9</v>
      </c>
      <c r="Z310" s="3">
        <f t="shared" si="292"/>
        <v>7.6323814681268313E-75</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4.2564807754428377E-2</v>
      </c>
      <c r="C311" s="3">
        <f t="shared" si="293"/>
        <v>4.2564807754428377E-2</v>
      </c>
      <c r="D311" s="3">
        <f t="shared" si="293"/>
        <v>4.2564807754428377E-2</v>
      </c>
      <c r="E311" s="3">
        <f t="shared" si="293"/>
        <v>4.2564807754428377E-2</v>
      </c>
      <c r="F311" s="3">
        <f t="shared" si="293"/>
        <v>4.2564807754428377E-2</v>
      </c>
      <c r="G311" s="3">
        <f t="shared" si="293"/>
        <v>4.2564807754428377E-2</v>
      </c>
      <c r="H311" s="3">
        <f t="shared" si="293"/>
        <v>4.2564807754428377E-2</v>
      </c>
      <c r="I311" s="3">
        <f t="shared" si="293"/>
        <v>4.256480775442837E-2</v>
      </c>
      <c r="J311" s="3">
        <f t="shared" si="293"/>
        <v>4.2564807754428308E-2</v>
      </c>
      <c r="K311" s="3">
        <f t="shared" si="293"/>
        <v>4.2564807754427662E-2</v>
      </c>
      <c r="L311" s="3">
        <f t="shared" si="293"/>
        <v>4.2564807754421244E-2</v>
      </c>
      <c r="M311" s="3">
        <f t="shared" si="293"/>
        <v>4.256480775435708E-2</v>
      </c>
      <c r="N311" s="3">
        <f t="shared" si="293"/>
        <v>4.2564807753715413E-2</v>
      </c>
      <c r="O311" s="3">
        <f t="shared" si="293"/>
        <v>4.2564807747298705E-2</v>
      </c>
      <c r="P311" s="3">
        <f t="shared" si="293"/>
        <v>4.2564807683131645E-2</v>
      </c>
      <c r="Q311" s="3">
        <f t="shared" si="293"/>
        <v>4.2564807041461067E-2</v>
      </c>
      <c r="R311" s="3">
        <f t="shared" si="293"/>
        <v>4.2564800624755851E-2</v>
      </c>
      <c r="S311" s="3">
        <f t="shared" si="293"/>
        <v>4.2564736457756845E-2</v>
      </c>
      <c r="T311" s="3">
        <f t="shared" si="293"/>
        <v>4.2564094793087058E-2</v>
      </c>
      <c r="U311" s="3">
        <f t="shared" si="293"/>
        <v>4.2557678678386425E-2</v>
      </c>
      <c r="V311" s="3">
        <f t="shared" si="293"/>
        <v>4.2493570701439318E-2</v>
      </c>
      <c r="W311" s="3">
        <f t="shared" si="293"/>
        <v>4.1857778399892805E-2</v>
      </c>
      <c r="X311" s="3">
        <f t="shared" si="293"/>
        <v>3.60002617528693E-2</v>
      </c>
      <c r="Y311" s="3">
        <f t="shared" si="293"/>
        <v>7.9726096086850679E-3</v>
      </c>
      <c r="Z311" s="3">
        <f t="shared" si="293"/>
        <v>2.2622932568337512E-9</v>
      </c>
      <c r="AA311" s="3">
        <f t="shared" si="293"/>
        <v>7.6565464949892283E-75</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1.7794430151868639E-2</v>
      </c>
      <c r="C312" s="3">
        <f t="shared" si="294"/>
        <v>1.7794430151868639E-2</v>
      </c>
      <c r="D312" s="3">
        <f t="shared" si="294"/>
        <v>1.7794430151868639E-2</v>
      </c>
      <c r="E312" s="3">
        <f t="shared" si="294"/>
        <v>1.7794430151868639E-2</v>
      </c>
      <c r="F312" s="3">
        <f t="shared" si="294"/>
        <v>1.7794430151868639E-2</v>
      </c>
      <c r="G312" s="3">
        <f t="shared" si="294"/>
        <v>1.7794430151868639E-2</v>
      </c>
      <c r="H312" s="3">
        <f t="shared" si="294"/>
        <v>1.7794430151868639E-2</v>
      </c>
      <c r="I312" s="3">
        <f t="shared" si="294"/>
        <v>1.7794430151868639E-2</v>
      </c>
      <c r="J312" s="3">
        <f t="shared" si="294"/>
        <v>1.7794430151868636E-2</v>
      </c>
      <c r="K312" s="3">
        <f t="shared" si="294"/>
        <v>1.7794430151868608E-2</v>
      </c>
      <c r="L312" s="3">
        <f t="shared" si="294"/>
        <v>1.7794430151868341E-2</v>
      </c>
      <c r="M312" s="3">
        <f t="shared" si="294"/>
        <v>1.7794430151865659E-2</v>
      </c>
      <c r="N312" s="3">
        <f t="shared" si="294"/>
        <v>1.7794430151838833E-2</v>
      </c>
      <c r="O312" s="3">
        <f t="shared" si="294"/>
        <v>1.7794430151570579E-2</v>
      </c>
      <c r="P312" s="3">
        <f t="shared" si="294"/>
        <v>1.7794430148888044E-2</v>
      </c>
      <c r="Q312" s="3">
        <f t="shared" si="294"/>
        <v>1.7794430122062686E-2</v>
      </c>
      <c r="R312" s="3">
        <f t="shared" si="294"/>
        <v>1.77944298538091E-2</v>
      </c>
      <c r="S312" s="3">
        <f t="shared" si="294"/>
        <v>1.7794427171273483E-2</v>
      </c>
      <c r="T312" s="3">
        <f t="shared" si="294"/>
        <v>1.779440034593955E-2</v>
      </c>
      <c r="U312" s="3">
        <f t="shared" si="294"/>
        <v>1.7794132094824371E-2</v>
      </c>
      <c r="V312" s="3">
        <f t="shared" si="294"/>
        <v>1.7791449806076692E-2</v>
      </c>
      <c r="W312" s="3">
        <f t="shared" si="294"/>
        <v>1.7764649146608327E-2</v>
      </c>
      <c r="X312" s="3">
        <f t="shared" si="294"/>
        <v>1.749885300425906E-2</v>
      </c>
      <c r="Y312" s="3">
        <f t="shared" si="294"/>
        <v>1.5050088958613312E-2</v>
      </c>
      <c r="Z312" s="3">
        <f t="shared" si="294"/>
        <v>3.3329892062088189E-3</v>
      </c>
      <c r="AA312" s="3">
        <f t="shared" si="294"/>
        <v>9.4576297804571703E-10</v>
      </c>
      <c r="AB312" s="3">
        <f t="shared" si="294"/>
        <v>3.2008574453257308E-75</v>
      </c>
      <c r="AC312" s="3">
        <f t="shared" si="294"/>
        <v>0</v>
      </c>
      <c r="AD312" s="3">
        <f t="shared" si="294"/>
        <v>0</v>
      </c>
      <c r="AE312" s="3">
        <f t="shared" si="294"/>
        <v>0</v>
      </c>
      <c r="AF312" s="3">
        <f t="shared" si="294"/>
        <v>0</v>
      </c>
      <c r="AG312" s="3"/>
      <c r="AH312" s="3"/>
    </row>
    <row r="313" spans="1:34" x14ac:dyDescent="0.25">
      <c r="B313" s="3">
        <f t="shared" ref="B313:AF313" si="295">$C43*EXP(-B$285/$A43/EXP(-$F$126))</f>
        <v>1.1846247724533283E-2</v>
      </c>
      <c r="C313" s="3">
        <f t="shared" si="295"/>
        <v>1.1846247724533283E-2</v>
      </c>
      <c r="D313" s="3">
        <f t="shared" si="295"/>
        <v>1.1846247724533283E-2</v>
      </c>
      <c r="E313" s="3">
        <f t="shared" si="295"/>
        <v>1.1846247724533283E-2</v>
      </c>
      <c r="F313" s="3">
        <f t="shared" si="295"/>
        <v>1.1846247724533283E-2</v>
      </c>
      <c r="G313" s="3">
        <f t="shared" si="295"/>
        <v>1.1846247724533283E-2</v>
      </c>
      <c r="H313" s="3">
        <f t="shared" si="295"/>
        <v>1.1846247724533283E-2</v>
      </c>
      <c r="I313" s="3">
        <f t="shared" si="295"/>
        <v>1.1846247724533283E-2</v>
      </c>
      <c r="J313" s="3">
        <f t="shared" si="295"/>
        <v>1.1846247724533283E-2</v>
      </c>
      <c r="K313" s="3">
        <f t="shared" si="295"/>
        <v>1.184624772453328E-2</v>
      </c>
      <c r="L313" s="3">
        <f t="shared" si="295"/>
        <v>1.1846247724533264E-2</v>
      </c>
      <c r="M313" s="3">
        <f t="shared" si="295"/>
        <v>1.1846247724533085E-2</v>
      </c>
      <c r="N313" s="3">
        <f t="shared" si="295"/>
        <v>1.1846247724531299E-2</v>
      </c>
      <c r="O313" s="3">
        <f t="shared" si="295"/>
        <v>1.1846247724513441E-2</v>
      </c>
      <c r="P313" s="3">
        <f t="shared" si="295"/>
        <v>1.1846247724334857E-2</v>
      </c>
      <c r="Q313" s="3">
        <f t="shared" si="295"/>
        <v>1.1846247722549018E-2</v>
      </c>
      <c r="R313" s="3">
        <f t="shared" si="295"/>
        <v>1.1846247704690629E-2</v>
      </c>
      <c r="S313" s="3">
        <f t="shared" si="295"/>
        <v>1.1846247526106747E-2</v>
      </c>
      <c r="T313" s="3">
        <f t="shared" si="295"/>
        <v>1.184624574026808E-2</v>
      </c>
      <c r="U313" s="3">
        <f t="shared" si="295"/>
        <v>1.1846227881896196E-2</v>
      </c>
      <c r="V313" s="3">
        <f t="shared" si="295"/>
        <v>1.1846049299658067E-2</v>
      </c>
      <c r="W313" s="3">
        <f t="shared" si="295"/>
        <v>1.1844263625337364E-2</v>
      </c>
      <c r="X313" s="3">
        <f t="shared" si="295"/>
        <v>1.182642167993459E-2</v>
      </c>
      <c r="Y313" s="3">
        <f t="shared" si="295"/>
        <v>1.1649473785586647E-2</v>
      </c>
      <c r="Z313" s="3">
        <f t="shared" si="295"/>
        <v>1.0019263362658121E-2</v>
      </c>
      <c r="AA313" s="3">
        <f t="shared" si="295"/>
        <v>2.2188637378645674E-3</v>
      </c>
      <c r="AB313" s="3">
        <f t="shared" si="295"/>
        <v>6.2962075385400081E-10</v>
      </c>
      <c r="AC313" s="3">
        <f t="shared" si="295"/>
        <v>2.1308999447933136E-75</v>
      </c>
      <c r="AD313" s="3">
        <f t="shared" si="295"/>
        <v>0</v>
      </c>
      <c r="AE313" s="3">
        <f t="shared" si="295"/>
        <v>0</v>
      </c>
      <c r="AF313" s="3">
        <f t="shared" si="295"/>
        <v>0</v>
      </c>
      <c r="AG313" s="3"/>
      <c r="AH313" s="3"/>
    </row>
    <row r="314" spans="1:34" x14ac:dyDescent="0.25">
      <c r="B314" s="3">
        <f t="shared" ref="B314:AF314" si="296">$C44*EXP(-B$285/$A44/EXP(-$F$126))</f>
        <v>4.239833197731321E-3</v>
      </c>
      <c r="C314" s="3">
        <f t="shared" si="296"/>
        <v>4.239833197731321E-3</v>
      </c>
      <c r="D314" s="3">
        <f t="shared" si="296"/>
        <v>4.239833197731321E-3</v>
      </c>
      <c r="E314" s="3">
        <f t="shared" si="296"/>
        <v>4.239833197731321E-3</v>
      </c>
      <c r="F314" s="3">
        <f t="shared" si="296"/>
        <v>4.239833197731321E-3</v>
      </c>
      <c r="G314" s="3">
        <f t="shared" si="296"/>
        <v>4.239833197731321E-3</v>
      </c>
      <c r="H314" s="3">
        <f t="shared" si="296"/>
        <v>4.239833197731321E-3</v>
      </c>
      <c r="I314" s="3">
        <f t="shared" si="296"/>
        <v>4.239833197731321E-3</v>
      </c>
      <c r="J314" s="3">
        <f t="shared" si="296"/>
        <v>4.239833197731321E-3</v>
      </c>
      <c r="K314" s="3">
        <f t="shared" si="296"/>
        <v>4.239833197731321E-3</v>
      </c>
      <c r="L314" s="3">
        <f t="shared" si="296"/>
        <v>4.2398331977313202E-3</v>
      </c>
      <c r="M314" s="3">
        <f t="shared" si="296"/>
        <v>4.2398331977313141E-3</v>
      </c>
      <c r="N314" s="3">
        <f t="shared" si="296"/>
        <v>4.2398331977312499E-3</v>
      </c>
      <c r="O314" s="3">
        <f t="shared" si="296"/>
        <v>4.2398331977306107E-3</v>
      </c>
      <c r="P314" s="3">
        <f t="shared" si="296"/>
        <v>4.2398331977242191E-3</v>
      </c>
      <c r="Q314" s="3">
        <f t="shared" si="296"/>
        <v>4.2398331976603032E-3</v>
      </c>
      <c r="R314" s="3">
        <f t="shared" si="296"/>
        <v>4.2398331970211426E-3</v>
      </c>
      <c r="S314" s="3">
        <f t="shared" si="296"/>
        <v>4.2398331906295331E-3</v>
      </c>
      <c r="T314" s="3">
        <f t="shared" si="296"/>
        <v>4.2398331267134394E-3</v>
      </c>
      <c r="U314" s="3">
        <f t="shared" si="296"/>
        <v>4.2398324875525641E-3</v>
      </c>
      <c r="V314" s="3">
        <f t="shared" si="296"/>
        <v>4.2398260959491023E-3</v>
      </c>
      <c r="W314" s="3">
        <f t="shared" si="296"/>
        <v>4.2397621804444331E-3</v>
      </c>
      <c r="X314" s="3">
        <f t="shared" si="296"/>
        <v>4.239123078389394E-3</v>
      </c>
      <c r="Y314" s="3">
        <f t="shared" si="296"/>
        <v>4.2327373540495148E-3</v>
      </c>
      <c r="Z314" s="3">
        <f t="shared" si="296"/>
        <v>4.1694067894546714E-3</v>
      </c>
      <c r="AA314" s="3">
        <f t="shared" si="296"/>
        <v>3.5859460657602172E-3</v>
      </c>
      <c r="AB314" s="3">
        <f t="shared" si="296"/>
        <v>7.9414278308206161E-4</v>
      </c>
      <c r="AC314" s="3">
        <f t="shared" si="296"/>
        <v>2.2534451720458054E-10</v>
      </c>
      <c r="AD314" s="3">
        <f t="shared" si="296"/>
        <v>7.6266008757084947E-76</v>
      </c>
      <c r="AE314" s="3">
        <f t="shared" si="296"/>
        <v>0</v>
      </c>
      <c r="AF314" s="3">
        <f t="shared" si="296"/>
        <v>0</v>
      </c>
      <c r="AG314" s="3"/>
      <c r="AH314" s="3"/>
    </row>
    <row r="315" spans="1:34" x14ac:dyDescent="0.25">
      <c r="B315" s="3">
        <f t="shared" ref="B315:AF315" si="297">$C45*EXP(-B$285/$A45/EXP(-$F$126))</f>
        <v>3.1413173103933909E-3</v>
      </c>
      <c r="C315" s="3">
        <f t="shared" si="297"/>
        <v>3.1413173103933909E-3</v>
      </c>
      <c r="D315" s="3">
        <f t="shared" si="297"/>
        <v>3.1413173103933909E-3</v>
      </c>
      <c r="E315" s="3">
        <f t="shared" si="297"/>
        <v>3.1413173103933909E-3</v>
      </c>
      <c r="F315" s="3">
        <f t="shared" si="297"/>
        <v>3.1413173103933909E-3</v>
      </c>
      <c r="G315" s="3">
        <f t="shared" si="297"/>
        <v>3.1413173103933909E-3</v>
      </c>
      <c r="H315" s="3">
        <f t="shared" si="297"/>
        <v>3.1413173103933909E-3</v>
      </c>
      <c r="I315" s="3">
        <f t="shared" si="297"/>
        <v>3.1413173103933909E-3</v>
      </c>
      <c r="J315" s="3">
        <f t="shared" si="297"/>
        <v>3.1413173103933909E-3</v>
      </c>
      <c r="K315" s="3">
        <f t="shared" si="297"/>
        <v>3.1413173103933909E-3</v>
      </c>
      <c r="L315" s="3">
        <f t="shared" si="297"/>
        <v>3.1413173103933909E-3</v>
      </c>
      <c r="M315" s="3">
        <f t="shared" si="297"/>
        <v>3.1413173103933901E-3</v>
      </c>
      <c r="N315" s="3">
        <f t="shared" si="297"/>
        <v>3.1413173103933857E-3</v>
      </c>
      <c r="O315" s="3">
        <f t="shared" si="297"/>
        <v>3.1413173103933384E-3</v>
      </c>
      <c r="P315" s="3">
        <f t="shared" si="297"/>
        <v>3.1413173103928644E-3</v>
      </c>
      <c r="Q315" s="3">
        <f t="shared" si="297"/>
        <v>3.1413173103881291E-3</v>
      </c>
      <c r="R315" s="3">
        <f t="shared" si="297"/>
        <v>3.1413173103407733E-3</v>
      </c>
      <c r="S315" s="3">
        <f t="shared" si="297"/>
        <v>3.1413173098672155E-3</v>
      </c>
      <c r="T315" s="3">
        <f t="shared" si="297"/>
        <v>3.1413173051316346E-3</v>
      </c>
      <c r="U315" s="3">
        <f t="shared" si="297"/>
        <v>3.1413172577758257E-3</v>
      </c>
      <c r="V315" s="3">
        <f t="shared" si="297"/>
        <v>3.14131678421778E-3</v>
      </c>
      <c r="W315" s="3">
        <f t="shared" si="297"/>
        <v>3.1413120486412467E-3</v>
      </c>
      <c r="X315" s="3">
        <f t="shared" si="297"/>
        <v>3.1412646932685575E-3</v>
      </c>
      <c r="Y315" s="3">
        <f t="shared" si="297"/>
        <v>3.1407911788034894E-3</v>
      </c>
      <c r="Z315" s="3">
        <f t="shared" si="297"/>
        <v>3.1360599581462716E-3</v>
      </c>
      <c r="AA315" s="3">
        <f t="shared" si="297"/>
        <v>3.0891379709923387E-3</v>
      </c>
      <c r="AB315" s="3">
        <f t="shared" si="297"/>
        <v>2.6568484950156017E-3</v>
      </c>
      <c r="AC315" s="3">
        <f t="shared" si="297"/>
        <v>5.8838505079740412E-4</v>
      </c>
      <c r="AD315" s="3">
        <f t="shared" si="297"/>
        <v>1.6695907590793117E-10</v>
      </c>
      <c r="AE315" s="3">
        <f t="shared" si="297"/>
        <v>5.6505933684239913E-76</v>
      </c>
      <c r="AF315" s="3">
        <f t="shared" si="297"/>
        <v>0</v>
      </c>
      <c r="AG315" s="3"/>
      <c r="AH315" s="3"/>
    </row>
    <row r="316" spans="1:34" x14ac:dyDescent="0.25">
      <c r="B316" s="3">
        <f t="shared" ref="B316:AF316" si="298">$C46*EXP(-B$285/$A46/EXP(-$F$126))</f>
        <v>2.257189619316161E-3</v>
      </c>
      <c r="C316" s="3">
        <f t="shared" si="298"/>
        <v>2.257189619316161E-3</v>
      </c>
      <c r="D316" s="3">
        <f t="shared" si="298"/>
        <v>2.257189619316161E-3</v>
      </c>
      <c r="E316" s="3">
        <f t="shared" si="298"/>
        <v>2.257189619316161E-3</v>
      </c>
      <c r="F316" s="3">
        <f t="shared" si="298"/>
        <v>2.257189619316161E-3</v>
      </c>
      <c r="G316" s="3">
        <f t="shared" si="298"/>
        <v>2.257189619316161E-3</v>
      </c>
      <c r="H316" s="3">
        <f t="shared" si="298"/>
        <v>2.257189619316161E-3</v>
      </c>
      <c r="I316" s="3">
        <f t="shared" si="298"/>
        <v>2.257189619316161E-3</v>
      </c>
      <c r="J316" s="3">
        <f t="shared" si="298"/>
        <v>2.257189619316161E-3</v>
      </c>
      <c r="K316" s="3">
        <f t="shared" si="298"/>
        <v>2.257189619316161E-3</v>
      </c>
      <c r="L316" s="3">
        <f t="shared" si="298"/>
        <v>2.257189619316161E-3</v>
      </c>
      <c r="M316" s="3">
        <f t="shared" si="298"/>
        <v>2.257189619316161E-3</v>
      </c>
      <c r="N316" s="3">
        <f t="shared" si="298"/>
        <v>2.2571896193161606E-3</v>
      </c>
      <c r="O316" s="3">
        <f t="shared" si="298"/>
        <v>2.2571896193161571E-3</v>
      </c>
      <c r="P316" s="3">
        <f t="shared" si="298"/>
        <v>2.2571896193161233E-3</v>
      </c>
      <c r="Q316" s="3">
        <f t="shared" si="298"/>
        <v>2.2571896193157828E-3</v>
      </c>
      <c r="R316" s="3">
        <f t="shared" si="298"/>
        <v>2.2571896193123802E-3</v>
      </c>
      <c r="S316" s="3">
        <f t="shared" si="298"/>
        <v>2.2571896192783527E-3</v>
      </c>
      <c r="T316" s="3">
        <f t="shared" si="298"/>
        <v>2.257189618938078E-3</v>
      </c>
      <c r="U316" s="3">
        <f t="shared" si="298"/>
        <v>2.2571896155353325E-3</v>
      </c>
      <c r="V316" s="3">
        <f t="shared" si="298"/>
        <v>2.2571895815078754E-3</v>
      </c>
      <c r="W316" s="3">
        <f t="shared" si="298"/>
        <v>2.2571892412333347E-3</v>
      </c>
      <c r="X316" s="3">
        <f t="shared" si="298"/>
        <v>2.2571858384907474E-3</v>
      </c>
      <c r="Y316" s="3">
        <f t="shared" si="298"/>
        <v>2.2571518113470076E-3</v>
      </c>
      <c r="Z316" s="3">
        <f t="shared" si="298"/>
        <v>2.2568115681211444E-3</v>
      </c>
      <c r="AA316" s="3">
        <f t="shared" si="298"/>
        <v>2.2534119554431025E-3</v>
      </c>
      <c r="AB316" s="3">
        <f t="shared" si="298"/>
        <v>2.2196962203369667E-3</v>
      </c>
      <c r="AC316" s="3">
        <f t="shared" si="298"/>
        <v>1.9090751587568747E-3</v>
      </c>
      <c r="AD316" s="3">
        <f t="shared" si="298"/>
        <v>4.2278334137928702E-4</v>
      </c>
      <c r="AE316" s="3">
        <f t="shared" si="298"/>
        <v>1.1996823490041086E-10</v>
      </c>
      <c r="AF316" s="3">
        <f t="shared" si="298"/>
        <v>4.0602267882916029E-76</v>
      </c>
      <c r="AG316" s="3"/>
      <c r="AH316" s="3"/>
    </row>
    <row r="317" spans="1:34" x14ac:dyDescent="0.25">
      <c r="B317" s="3">
        <f t="shared" ref="B317:AF317" si="299">$C47*EXP(-B$285/$A47/EXP(-$F$126))</f>
        <v>3.6224207496198294E-4</v>
      </c>
      <c r="C317" s="3">
        <f t="shared" si="299"/>
        <v>3.6224207496198294E-4</v>
      </c>
      <c r="D317" s="3">
        <f t="shared" si="299"/>
        <v>3.6224207496198294E-4</v>
      </c>
      <c r="E317" s="3">
        <f t="shared" si="299"/>
        <v>3.6224207496198294E-4</v>
      </c>
      <c r="F317" s="3">
        <f t="shared" si="299"/>
        <v>3.6224207496198294E-4</v>
      </c>
      <c r="G317" s="3">
        <f t="shared" si="299"/>
        <v>3.6224207496198294E-4</v>
      </c>
      <c r="H317" s="3">
        <f t="shared" si="299"/>
        <v>3.6224207496198294E-4</v>
      </c>
      <c r="I317" s="3">
        <f t="shared" si="299"/>
        <v>3.6224207496198294E-4</v>
      </c>
      <c r="J317" s="3">
        <f t="shared" si="299"/>
        <v>3.6224207496198294E-4</v>
      </c>
      <c r="K317" s="3">
        <f t="shared" si="299"/>
        <v>3.6224207496198294E-4</v>
      </c>
      <c r="L317" s="3">
        <f t="shared" si="299"/>
        <v>3.6224207496198294E-4</v>
      </c>
      <c r="M317" s="3">
        <f t="shared" si="299"/>
        <v>3.6224207496198294E-4</v>
      </c>
      <c r="N317" s="3">
        <f t="shared" si="299"/>
        <v>3.6224207496198294E-4</v>
      </c>
      <c r="O317" s="3">
        <f t="shared" si="299"/>
        <v>3.6224207496198289E-4</v>
      </c>
      <c r="P317" s="3">
        <f t="shared" si="299"/>
        <v>3.6224207496198235E-4</v>
      </c>
      <c r="Q317" s="3">
        <f t="shared" si="299"/>
        <v>3.6224207496197687E-4</v>
      </c>
      <c r="R317" s="3">
        <f t="shared" si="299"/>
        <v>3.6224207496192228E-4</v>
      </c>
      <c r="S317" s="3">
        <f t="shared" si="299"/>
        <v>3.6224207496137617E-4</v>
      </c>
      <c r="T317" s="3">
        <f t="shared" si="299"/>
        <v>3.6224207495591531E-4</v>
      </c>
      <c r="U317" s="3">
        <f t="shared" si="299"/>
        <v>3.6224207490130682E-4</v>
      </c>
      <c r="V317" s="3">
        <f t="shared" si="299"/>
        <v>3.6224207435522172E-4</v>
      </c>
      <c r="W317" s="3">
        <f t="shared" si="299"/>
        <v>3.6224206889437049E-4</v>
      </c>
      <c r="X317" s="3">
        <f t="shared" si="299"/>
        <v>3.6224201428586327E-4</v>
      </c>
      <c r="Y317" s="3">
        <f t="shared" si="299"/>
        <v>3.6224146820124331E-4</v>
      </c>
      <c r="Z317" s="3">
        <f t="shared" si="299"/>
        <v>3.6223600740032178E-4</v>
      </c>
      <c r="AA317" s="3">
        <f t="shared" si="299"/>
        <v>3.6218140391859664E-4</v>
      </c>
      <c r="AB317" s="3">
        <f t="shared" si="299"/>
        <v>3.6163582159798769E-4</v>
      </c>
      <c r="AC317" s="3">
        <f t="shared" si="299"/>
        <v>3.5622499667694473E-4</v>
      </c>
      <c r="AD317" s="3">
        <f t="shared" si="299"/>
        <v>3.0637538860203456E-4</v>
      </c>
      <c r="AE317" s="3">
        <f t="shared" si="299"/>
        <v>6.7849822420763958E-5</v>
      </c>
      <c r="AF317" s="3">
        <f t="shared" si="299"/>
        <v>1.9252942671700449E-11</v>
      </c>
      <c r="AG317" s="3"/>
      <c r="AH317" s="3"/>
    </row>
    <row r="318" spans="1:34" x14ac:dyDescent="0.25">
      <c r="B318" s="3">
        <f t="shared" ref="B318:AF318" si="300">$C48*EXP(-B$285/$A48/EXP(-$F$126))</f>
        <v>0</v>
      </c>
      <c r="C318" s="3">
        <f t="shared" si="300"/>
        <v>0</v>
      </c>
      <c r="D318" s="3">
        <f t="shared" si="300"/>
        <v>0</v>
      </c>
      <c r="E318" s="3">
        <f t="shared" si="300"/>
        <v>0</v>
      </c>
      <c r="F318" s="3">
        <f t="shared" si="300"/>
        <v>0</v>
      </c>
      <c r="G318" s="3">
        <f t="shared" si="300"/>
        <v>0</v>
      </c>
      <c r="H318" s="3">
        <f t="shared" si="300"/>
        <v>0</v>
      </c>
      <c r="I318" s="3">
        <f t="shared" si="300"/>
        <v>0</v>
      </c>
      <c r="J318" s="3">
        <f t="shared" si="300"/>
        <v>0</v>
      </c>
      <c r="K318" s="3">
        <f t="shared" si="300"/>
        <v>0</v>
      </c>
      <c r="L318" s="3">
        <f t="shared" si="300"/>
        <v>0</v>
      </c>
      <c r="M318" s="3">
        <f t="shared" si="300"/>
        <v>0</v>
      </c>
      <c r="N318" s="3">
        <f t="shared" si="300"/>
        <v>0</v>
      </c>
      <c r="O318" s="3">
        <f t="shared" si="300"/>
        <v>0</v>
      </c>
      <c r="P318" s="3">
        <f t="shared" si="300"/>
        <v>0</v>
      </c>
      <c r="Q318" s="3">
        <f t="shared" si="300"/>
        <v>0</v>
      </c>
      <c r="R318" s="3">
        <f t="shared" si="300"/>
        <v>0</v>
      </c>
      <c r="S318" s="3">
        <f t="shared" si="300"/>
        <v>0</v>
      </c>
      <c r="T318" s="3">
        <f t="shared" si="300"/>
        <v>0</v>
      </c>
      <c r="U318" s="3">
        <f t="shared" si="300"/>
        <v>0</v>
      </c>
      <c r="V318" s="3">
        <f t="shared" si="300"/>
        <v>0</v>
      </c>
      <c r="W318" s="3">
        <f t="shared" si="300"/>
        <v>0</v>
      </c>
      <c r="X318" s="3">
        <f t="shared" si="300"/>
        <v>0</v>
      </c>
      <c r="Y318" s="3">
        <f t="shared" si="300"/>
        <v>0</v>
      </c>
      <c r="Z318" s="3">
        <f t="shared" si="300"/>
        <v>0</v>
      </c>
      <c r="AA318" s="3">
        <f t="shared" si="300"/>
        <v>0</v>
      </c>
      <c r="AB318" s="3">
        <f t="shared" si="300"/>
        <v>0</v>
      </c>
      <c r="AC318" s="3">
        <f t="shared" si="300"/>
        <v>0</v>
      </c>
      <c r="AD318" s="3">
        <f t="shared" si="300"/>
        <v>0</v>
      </c>
      <c r="AE318" s="3">
        <f t="shared" si="300"/>
        <v>0</v>
      </c>
      <c r="AF318" s="3">
        <f t="shared" si="300"/>
        <v>0</v>
      </c>
      <c r="AG318" s="3"/>
      <c r="AH318" s="3"/>
    </row>
    <row r="319" spans="1:34" x14ac:dyDescent="0.25">
      <c r="A319" s="80">
        <f>AVERAGE(B319:AF319)</f>
        <v>5.2738547077802065E-3</v>
      </c>
      <c r="B319" s="81">
        <f>IF($A$64&lt;=B285,IF($B$64&gt;=B285,ABS((B287-B286)/B286),0),0)</f>
        <v>4.478100612118994E-3</v>
      </c>
      <c r="C319" s="81">
        <f t="shared" ref="C319:AF319" si="301">IF($A$64&lt;=C285,IF($B$64&gt;=C285,ABS((C287-C286)/C286),0),0)</f>
        <v>1.4370379781786526E-3</v>
      </c>
      <c r="D319" s="81">
        <f t="shared" si="301"/>
        <v>3.6968531952549948E-3</v>
      </c>
      <c r="E319" s="81">
        <f t="shared" si="301"/>
        <v>2.0695953239755613E-3</v>
      </c>
      <c r="F319" s="81">
        <f t="shared" si="301"/>
        <v>2.7759024992435599E-3</v>
      </c>
      <c r="G319" s="81">
        <f t="shared" si="301"/>
        <v>1.6224983469841333E-3</v>
      </c>
      <c r="H319" s="81">
        <f t="shared" si="301"/>
        <v>1.7814264189831798E-3</v>
      </c>
      <c r="I319" s="81">
        <f t="shared" si="301"/>
        <v>1.6820887087141878E-3</v>
      </c>
      <c r="J319" s="81">
        <f t="shared" si="301"/>
        <v>1.0756770652342153E-3</v>
      </c>
      <c r="K319" s="81">
        <f t="shared" si="301"/>
        <v>8.8166355262114695E-4</v>
      </c>
      <c r="L319" s="81">
        <f t="shared" si="301"/>
        <v>4.4616073738511176E-4</v>
      </c>
      <c r="M319" s="81">
        <f t="shared" si="301"/>
        <v>1.4542356895697287E-3</v>
      </c>
      <c r="N319" s="81">
        <f t="shared" si="301"/>
        <v>2.3338727688454401E-4</v>
      </c>
      <c r="O319" s="81">
        <f t="shared" si="301"/>
        <v>1.918566162292444E-3</v>
      </c>
      <c r="P319" s="81">
        <f t="shared" si="301"/>
        <v>3.331162892759798E-4</v>
      </c>
      <c r="Q319" s="81">
        <f t="shared" si="301"/>
        <v>9.4034266831782176E-5</v>
      </c>
      <c r="R319" s="81">
        <f t="shared" si="301"/>
        <v>5.2970050434944359E-3</v>
      </c>
      <c r="S319" s="81">
        <f t="shared" si="301"/>
        <v>6.3094987921628E-3</v>
      </c>
      <c r="T319" s="81">
        <f t="shared" si="301"/>
        <v>3.8955287067542537E-3</v>
      </c>
      <c r="U319" s="81">
        <f t="shared" si="301"/>
        <v>3.0818184731501216E-3</v>
      </c>
      <c r="V319" s="81">
        <f t="shared" si="301"/>
        <v>1.2808525858505138E-2</v>
      </c>
      <c r="W319" s="81">
        <f t="shared" si="301"/>
        <v>1.6660739027947163E-2</v>
      </c>
      <c r="X319" s="81">
        <f t="shared" si="301"/>
        <v>3.7058358875717364E-3</v>
      </c>
      <c r="Y319" s="81">
        <f t="shared" si="301"/>
        <v>1.4979182243329411E-2</v>
      </c>
      <c r="Z319" s="81">
        <f t="shared" si="301"/>
        <v>5.3736309851581277E-3</v>
      </c>
      <c r="AA319" s="81">
        <f t="shared" si="301"/>
        <v>3.1209593406440498E-3</v>
      </c>
      <c r="AB319" s="81">
        <f t="shared" si="301"/>
        <v>3.0099281703531463E-3</v>
      </c>
      <c r="AC319" s="81">
        <f t="shared" si="301"/>
        <v>1.0411853687101135E-3</v>
      </c>
      <c r="AD319" s="81">
        <f t="shared" si="301"/>
        <v>2.9797457661296122E-3</v>
      </c>
      <c r="AE319" s="81">
        <f t="shared" si="301"/>
        <v>3.3640208909930633E-3</v>
      </c>
      <c r="AF319" s="81">
        <f t="shared" si="301"/>
        <v>5.1881547262735007E-2</v>
      </c>
    </row>
    <row r="320" spans="1:34" x14ac:dyDescent="0.25">
      <c r="B320" s="21">
        <f>(B287-B286)^2</f>
        <v>1719.4936349902362</v>
      </c>
      <c r="C320" s="21">
        <f t="shared" ref="C320:AF320" si="302">(C287-C286)^2</f>
        <v>166.3595465920406</v>
      </c>
      <c r="D320" s="21">
        <f t="shared" si="302"/>
        <v>1038.7619808592217</v>
      </c>
      <c r="E320" s="21">
        <f t="shared" si="302"/>
        <v>306.11291213536356</v>
      </c>
      <c r="F320" s="21">
        <f t="shared" si="302"/>
        <v>512.76365386961743</v>
      </c>
      <c r="G320" s="21">
        <f t="shared" si="302"/>
        <v>163.52498668584536</v>
      </c>
      <c r="H320" s="21">
        <f t="shared" si="302"/>
        <v>183.62826068770138</v>
      </c>
      <c r="I320" s="21">
        <f t="shared" si="302"/>
        <v>149.90902468280592</v>
      </c>
      <c r="J320" s="21">
        <f t="shared" si="302"/>
        <v>55.135155315695613</v>
      </c>
      <c r="K320" s="21">
        <f t="shared" si="302"/>
        <v>33.18496456213532</v>
      </c>
      <c r="L320" s="21">
        <f t="shared" si="302"/>
        <v>7.7411615123872268</v>
      </c>
      <c r="M320" s="21">
        <f t="shared" si="302"/>
        <v>74.879636835171695</v>
      </c>
      <c r="N320" s="21">
        <f t="shared" si="302"/>
        <v>1.7545603770681955</v>
      </c>
      <c r="O320" s="21">
        <f t="shared" si="302"/>
        <v>106.90115742912373</v>
      </c>
      <c r="P320" s="21">
        <f t="shared" si="302"/>
        <v>2.912947333041779</v>
      </c>
      <c r="Q320" s="21">
        <f t="shared" si="302"/>
        <v>0.20366885725880191</v>
      </c>
      <c r="R320" s="21">
        <f t="shared" si="302"/>
        <v>550.80622805317398</v>
      </c>
      <c r="S320" s="21">
        <f t="shared" si="302"/>
        <v>633.9036787096527</v>
      </c>
      <c r="T320" s="21">
        <f t="shared" si="302"/>
        <v>187.23822386648467</v>
      </c>
      <c r="U320" s="21">
        <f t="shared" si="302"/>
        <v>85.314803925914987</v>
      </c>
      <c r="V320" s="21">
        <f t="shared" si="302"/>
        <v>985.16205896619226</v>
      </c>
      <c r="W320" s="21">
        <f t="shared" si="302"/>
        <v>972.9082981293086</v>
      </c>
      <c r="X320" s="21">
        <f t="shared" si="302"/>
        <v>25.680057637496262</v>
      </c>
      <c r="Y320" s="21">
        <f t="shared" si="302"/>
        <v>217.17028392997824</v>
      </c>
      <c r="Z320" s="21">
        <f t="shared" si="302"/>
        <v>16.470645791717576</v>
      </c>
      <c r="AA320" s="21">
        <f t="shared" si="302"/>
        <v>3.9063948382267917</v>
      </c>
      <c r="AB320" s="21">
        <f t="shared" si="302"/>
        <v>3.0188304295009454</v>
      </c>
      <c r="AC320" s="21">
        <f t="shared" si="302"/>
        <v>0.31912404390711768</v>
      </c>
      <c r="AD320" s="21">
        <f t="shared" si="302"/>
        <v>2.4290520724268974</v>
      </c>
      <c r="AE320" s="21">
        <f t="shared" si="302"/>
        <v>2.978464946306008</v>
      </c>
      <c r="AF320" s="21">
        <f t="shared" si="302"/>
        <v>642.86119420116404</v>
      </c>
      <c r="AG320" s="3"/>
      <c r="AH320" s="3"/>
    </row>
    <row r="321" spans="1:34" x14ac:dyDescent="0.25">
      <c r="A321" s="72">
        <f>SUM(B321:AF321)</f>
        <v>8853.4345922661651</v>
      </c>
      <c r="B321" s="60">
        <f>IF($A$64&lt;=B285,IF($B$64&gt;=B285,ABS(B320),0),0)</f>
        <v>1719.4936349902362</v>
      </c>
      <c r="C321" s="60">
        <f t="shared" ref="C321" si="303">IF($A$64&lt;=C285,IF($B$64&gt;=C285,ABS(C320),0),0)</f>
        <v>166.3595465920406</v>
      </c>
      <c r="D321" s="60">
        <f t="shared" ref="D321" si="304">IF($A$64&lt;=D285,IF($B$64&gt;=D285,ABS(D320),0),0)</f>
        <v>1038.7619808592217</v>
      </c>
      <c r="E321" s="60">
        <f t="shared" ref="E321" si="305">IF($A$64&lt;=E285,IF($B$64&gt;=E285,ABS(E320),0),0)</f>
        <v>306.11291213536356</v>
      </c>
      <c r="F321" s="60">
        <f t="shared" ref="F321" si="306">IF($A$64&lt;=F285,IF($B$64&gt;=F285,ABS(F320),0),0)</f>
        <v>512.76365386961743</v>
      </c>
      <c r="G321" s="60">
        <f t="shared" ref="G321" si="307">IF($A$64&lt;=G285,IF($B$64&gt;=G285,ABS(G320),0),0)</f>
        <v>163.52498668584536</v>
      </c>
      <c r="H321" s="60">
        <f t="shared" ref="H321" si="308">IF($A$64&lt;=H285,IF($B$64&gt;=H285,ABS(H320),0),0)</f>
        <v>183.62826068770138</v>
      </c>
      <c r="I321" s="60">
        <f t="shared" ref="I321" si="309">IF($A$64&lt;=I285,IF($B$64&gt;=I285,ABS(I320),0),0)</f>
        <v>149.90902468280592</v>
      </c>
      <c r="J321" s="60">
        <f t="shared" ref="J321" si="310">IF($A$64&lt;=J285,IF($B$64&gt;=J285,ABS(J320),0),0)</f>
        <v>55.135155315695613</v>
      </c>
      <c r="K321" s="60">
        <f t="shared" ref="K321" si="311">IF($A$64&lt;=K285,IF($B$64&gt;=K285,ABS(K320),0),0)</f>
        <v>33.18496456213532</v>
      </c>
      <c r="L321" s="60">
        <f t="shared" ref="L321" si="312">IF($A$64&lt;=L285,IF($B$64&gt;=L285,ABS(L320),0),0)</f>
        <v>7.7411615123872268</v>
      </c>
      <c r="M321" s="60">
        <f t="shared" ref="M321" si="313">IF($A$64&lt;=M285,IF($B$64&gt;=M285,ABS(M320),0),0)</f>
        <v>74.879636835171695</v>
      </c>
      <c r="N321" s="60">
        <f t="shared" ref="N321" si="314">IF($A$64&lt;=N285,IF($B$64&gt;=N285,ABS(N320),0),0)</f>
        <v>1.7545603770681955</v>
      </c>
      <c r="O321" s="60">
        <f t="shared" ref="O321" si="315">IF($A$64&lt;=O285,IF($B$64&gt;=O285,ABS(O320),0),0)</f>
        <v>106.90115742912373</v>
      </c>
      <c r="P321" s="60">
        <f t="shared" ref="P321" si="316">IF($A$64&lt;=P285,IF($B$64&gt;=P285,ABS(P320),0),0)</f>
        <v>2.912947333041779</v>
      </c>
      <c r="Q321" s="60">
        <f t="shared" ref="Q321" si="317">IF($A$64&lt;=Q285,IF($B$64&gt;=Q285,ABS(Q320),0),0)</f>
        <v>0.20366885725880191</v>
      </c>
      <c r="R321" s="60">
        <f t="shared" ref="R321" si="318">IF($A$64&lt;=R285,IF($B$64&gt;=R285,ABS(R320),0),0)</f>
        <v>550.80622805317398</v>
      </c>
      <c r="S321" s="60">
        <f t="shared" ref="S321" si="319">IF($A$64&lt;=S285,IF($B$64&gt;=S285,ABS(S320),0),0)</f>
        <v>633.9036787096527</v>
      </c>
      <c r="T321" s="60">
        <f t="shared" ref="T321" si="320">IF($A$64&lt;=T285,IF($B$64&gt;=T285,ABS(T320),0),0)</f>
        <v>187.23822386648467</v>
      </c>
      <c r="U321" s="60">
        <f t="shared" ref="U321" si="321">IF($A$64&lt;=U285,IF($B$64&gt;=U285,ABS(U320),0),0)</f>
        <v>85.314803925914987</v>
      </c>
      <c r="V321" s="60">
        <f t="shared" ref="V321" si="322">IF($A$64&lt;=V285,IF($B$64&gt;=V285,ABS(V320),0),0)</f>
        <v>985.16205896619226</v>
      </c>
      <c r="W321" s="60">
        <f t="shared" ref="W321" si="323">IF($A$64&lt;=W285,IF($B$64&gt;=W285,ABS(W320),0),0)</f>
        <v>972.9082981293086</v>
      </c>
      <c r="X321" s="60">
        <f t="shared" ref="X321" si="324">IF($A$64&lt;=X285,IF($B$64&gt;=X285,ABS(X320),0),0)</f>
        <v>25.680057637496262</v>
      </c>
      <c r="Y321" s="60">
        <f t="shared" ref="Y321" si="325">IF($A$64&lt;=Y285,IF($B$64&gt;=Y285,ABS(Y320),0),0)</f>
        <v>217.17028392997824</v>
      </c>
      <c r="Z321" s="60">
        <f t="shared" ref="Z321" si="326">IF($A$64&lt;=Z285,IF($B$64&gt;=Z285,ABS(Z320),0),0)</f>
        <v>16.470645791717576</v>
      </c>
      <c r="AA321" s="60">
        <f t="shared" ref="AA321" si="327">IF($A$64&lt;=AA285,IF($B$64&gt;=AA285,ABS(AA320),0),0)</f>
        <v>3.9063948382267917</v>
      </c>
      <c r="AB321" s="60">
        <f t="shared" ref="AB321" si="328">IF($A$64&lt;=AB285,IF($B$64&gt;=AB285,ABS(AB320),0),0)</f>
        <v>3.0188304295009454</v>
      </c>
      <c r="AC321" s="60">
        <f t="shared" ref="AC321" si="329">IF($A$64&lt;=AC285,IF($B$64&gt;=AC285,ABS(AC320),0),0)</f>
        <v>0.31912404390711768</v>
      </c>
      <c r="AD321" s="60">
        <f t="shared" ref="AD321" si="330">IF($A$64&lt;=AD285,IF($B$64&gt;=AD285,ABS(AD320),0),0)</f>
        <v>2.4290520724268974</v>
      </c>
      <c r="AE321" s="60">
        <f t="shared" ref="AE321" si="331">IF($A$64&lt;=AE285,IF($B$64&gt;=AE285,ABS(AE320),0),0)</f>
        <v>2.978464946306008</v>
      </c>
      <c r="AF321" s="60">
        <f t="shared" ref="AF321" si="332">IF($A$64&lt;=AF285,IF($B$64&gt;=AF285,ABS(AF320),0),0)</f>
        <v>642.86119420116404</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8600.88026028485</v>
      </c>
      <c r="C325" s="26">
        <f>INDEX(Comparison!$AM$3:$AS$33,G$14,$G$122)</f>
        <v>8258.5143784911779</v>
      </c>
      <c r="D325" s="26">
        <f>INDEX(Comparison!$AM$3:$AS$33,H$14,$G$122)</f>
        <v>7962.1526037178537</v>
      </c>
      <c r="E325" s="26">
        <f>INDEX(Comparison!$AM$3:$AS$33,I$14,$G$122)</f>
        <v>7694.1164691736458</v>
      </c>
      <c r="F325" s="26">
        <f>INDEX(Comparison!$AM$3:$AS$33,J$14,$G$122)</f>
        <v>7392.1118529421537</v>
      </c>
      <c r="G325" s="26">
        <f>INDEX(Comparison!$AM$3:$AS$33,K$14,$G$122)</f>
        <v>7031.7099177768096</v>
      </c>
      <c r="H325" s="26">
        <f>INDEX(Comparison!$AM$3:$AS$33,L$14,$G$122)</f>
        <v>6653.2341038317008</v>
      </c>
      <c r="I325" s="26">
        <f>INDEX(Comparison!$AM$3:$AS$33,M$14,$G$122)</f>
        <v>6325.3637954371716</v>
      </c>
      <c r="J325" s="26">
        <f>INDEX(Comparison!$AM$3:$AS$33,N$14,$G$122)</f>
        <v>6045.8980186697399</v>
      </c>
      <c r="K325" s="26">
        <f>INDEX(Comparison!$AM$3:$AS$33,O$14,$G$122)</f>
        <v>5765.1058423358591</v>
      </c>
      <c r="L325" s="26">
        <f>INDEX(Comparison!$AM$3:$AS$33,P$14,$G$122)</f>
        <v>5486.9816625574504</v>
      </c>
      <c r="M325" s="26">
        <f>INDEX(Comparison!$AM$3:$AS$33,Q$14,$G$122)</f>
        <v>5211.1575946368548</v>
      </c>
      <c r="N325" s="26">
        <f>INDEX(Comparison!$AM$3:$AS$33,R$14,$G$122)</f>
        <v>4923.9623445747775</v>
      </c>
      <c r="O325" s="26">
        <f>INDEX(Comparison!$AM$3:$AS$33,S$14,$G$122)</f>
        <v>4584.0172032140918</v>
      </c>
      <c r="P325" s="26">
        <f>INDEX(Comparison!$AM$3:$AS$33,T$14,$G$122)</f>
        <v>4221.1859974432145</v>
      </c>
      <c r="Q325" s="26">
        <f>INDEX(Comparison!$AM$3:$AS$33,U$14,$G$122)</f>
        <v>3789.937412973562</v>
      </c>
      <c r="R325" s="26">
        <f>INDEX(Comparison!$AM$3:$AS$33,V$14,$G$122)</f>
        <v>3283.8683924627298</v>
      </c>
      <c r="S325" s="26">
        <f>INDEX(Comparison!$AM$3:$AS$33,W$14,$G$122)</f>
        <v>2714.7098539050189</v>
      </c>
      <c r="T325" s="26">
        <f>INDEX(Comparison!$AM$3:$AS$33,X$14,$G$122)</f>
        <v>2120.3389527808267</v>
      </c>
      <c r="U325" s="26">
        <f>INDEX(Comparison!$AM$3:$AS$33,Y$14,$G$122)</f>
        <v>1549.2251736201158</v>
      </c>
      <c r="V325" s="26">
        <f>INDEX(Comparison!$AM$3:$AS$33,Z$14,$G$122)</f>
        <v>1115.0562509241029</v>
      </c>
      <c r="W325" s="26">
        <f>INDEX(Comparison!$AM$3:$AS$33,AA$14,$G$122)</f>
        <v>819.57257707159806</v>
      </c>
      <c r="X325" s="26">
        <f>INDEX(Comparison!$AM$3:$AS$33,AB$14,$G$122)</f>
        <v>672.71182943032534</v>
      </c>
      <c r="Y325" s="26">
        <f>INDEX(Comparison!$AM$3:$AS$33,AC$14,$G$122)</f>
        <v>592.26686963031818</v>
      </c>
      <c r="Z325" s="26">
        <f>INDEX(Comparison!$AM$3:$AS$33,AD$14,$G$122)</f>
        <v>556.12366677692739</v>
      </c>
      <c r="AA325" s="26">
        <f>INDEX(Comparison!$AM$3:$AS$33,AE$14,$G$122)</f>
        <v>528.75323853804991</v>
      </c>
      <c r="AB325" s="26">
        <f>INDEX(Comparison!$AM$3:$AS$33,AF$14,$G$122)</f>
        <v>517.55067575260887</v>
      </c>
      <c r="AC325" s="26">
        <f>INDEX(Comparison!$AM$3:$AS$33,AG$14,$G$122)</f>
        <v>499.76142817308812</v>
      </c>
      <c r="AD325" s="26">
        <f>INDEX(Comparison!$AM$3:$AS$33,AH$14,$G$122)</f>
        <v>478.96737917397832</v>
      </c>
      <c r="AE325" s="26">
        <f>INDEX(Comparison!$AM$3:$AS$33,AI$14,$G$122)</f>
        <v>475.66972462501121</v>
      </c>
      <c r="AF325" s="26">
        <f>INDEX(Comparison!$AM$3:$AS$33,AJ$14,$G$122)</f>
        <v>475.44842733478526</v>
      </c>
      <c r="AG325" s="26"/>
      <c r="AH325" s="26"/>
    </row>
    <row r="326" spans="1:34" x14ac:dyDescent="0.25">
      <c r="A326" s="78" t="s">
        <v>22</v>
      </c>
      <c r="B326" s="27">
        <f>($C$17+SUM(B327:B357))*$B$51</f>
        <v>8588.182836064685</v>
      </c>
      <c r="C326" s="27">
        <f t="shared" ref="C326:AF326" si="333">($C$17+SUM(C327:C357))*$B$51</f>
        <v>8303.2827914825975</v>
      </c>
      <c r="D326" s="27">
        <f t="shared" si="333"/>
        <v>8016.4856921818382</v>
      </c>
      <c r="E326" s="27">
        <f t="shared" si="333"/>
        <v>7743.3339285141819</v>
      </c>
      <c r="F326" s="27">
        <f t="shared" si="333"/>
        <v>7443.0416242569663</v>
      </c>
      <c r="G326" s="27">
        <f t="shared" si="333"/>
        <v>7083.8421964257313</v>
      </c>
      <c r="H326" s="27">
        <f t="shared" si="333"/>
        <v>6702.1132039136101</v>
      </c>
      <c r="I326" s="27">
        <f t="shared" si="333"/>
        <v>6365.3500888736917</v>
      </c>
      <c r="J326" s="27">
        <f t="shared" si="333"/>
        <v>6081.4086988971676</v>
      </c>
      <c r="K326" s="27">
        <f t="shared" si="333"/>
        <v>5798.87571164574</v>
      </c>
      <c r="L326" s="27">
        <f t="shared" si="333"/>
        <v>5514.8828332858429</v>
      </c>
      <c r="M326" s="27">
        <f t="shared" si="333"/>
        <v>5238.1241475556708</v>
      </c>
      <c r="N326" s="27">
        <f t="shared" si="333"/>
        <v>4941.6964304083731</v>
      </c>
      <c r="O326" s="27">
        <f t="shared" si="333"/>
        <v>4567.0803920366152</v>
      </c>
      <c r="P326" s="27">
        <f t="shared" si="333"/>
        <v>4139.7264875121518</v>
      </c>
      <c r="Q326" s="27">
        <f t="shared" si="333"/>
        <v>3671.6550637453638</v>
      </c>
      <c r="R326" s="27">
        <f t="shared" si="333"/>
        <v>3189.3235909929249</v>
      </c>
      <c r="S326" s="27">
        <f t="shared" si="333"/>
        <v>2645.1703051258874</v>
      </c>
      <c r="T326" s="27">
        <f t="shared" si="333"/>
        <v>2135.0893227083579</v>
      </c>
      <c r="U326" s="27">
        <f t="shared" si="333"/>
        <v>1547.7543796914113</v>
      </c>
      <c r="V326" s="27">
        <f t="shared" si="333"/>
        <v>1130.962279320662</v>
      </c>
      <c r="W326" s="27">
        <f t="shared" si="333"/>
        <v>823.23007714511164</v>
      </c>
      <c r="X326" s="27">
        <f t="shared" si="333"/>
        <v>675.78672649916291</v>
      </c>
      <c r="Y326" s="27">
        <f t="shared" si="333"/>
        <v>593.11929841240988</v>
      </c>
      <c r="Z326" s="27">
        <f t="shared" si="333"/>
        <v>555.90871888265258</v>
      </c>
      <c r="AA326" s="27">
        <f t="shared" si="333"/>
        <v>529.48038340253595</v>
      </c>
      <c r="AB326" s="27">
        <f t="shared" si="333"/>
        <v>516.00391742443139</v>
      </c>
      <c r="AC326" s="27">
        <f t="shared" si="333"/>
        <v>514.06365007306329</v>
      </c>
      <c r="AD326" s="27">
        <f t="shared" si="333"/>
        <v>514.05847337975968</v>
      </c>
      <c r="AE326" s="27">
        <f t="shared" si="333"/>
        <v>514.05847337975968</v>
      </c>
      <c r="AF326" s="27">
        <f t="shared" si="333"/>
        <v>514.05847337975968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3.5344906988966905E-75</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4.6485424004096543E-9</v>
      </c>
      <c r="C329" s="3">
        <f t="shared" si="336"/>
        <v>2.1611356463183389E-68</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7.1790749548679917E-3</v>
      </c>
      <c r="C330" s="3">
        <f t="shared" si="337"/>
        <v>3.1898571267210584E-8</v>
      </c>
      <c r="D330" s="3">
        <f t="shared" si="337"/>
        <v>9.5675043723871228E-62</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2.6379240795362243E-2</v>
      </c>
      <c r="C331" s="3">
        <f t="shared" si="338"/>
        <v>8.6784177722748265E-3</v>
      </c>
      <c r="D331" s="3">
        <f t="shared" si="338"/>
        <v>1.2889116809128944E-7</v>
      </c>
      <c r="E331" s="3">
        <f t="shared" si="338"/>
        <v>6.7305294071959879E-56</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2.955411615952273E-2</v>
      </c>
      <c r="C332" s="3">
        <f t="shared" si="339"/>
        <v>2.6733968891844033E-2</v>
      </c>
      <c r="D332" s="3">
        <f t="shared" si="339"/>
        <v>9.8065909970968985E-3</v>
      </c>
      <c r="E332" s="3">
        <f t="shared" si="339"/>
        <v>4.3257787691475524E-7</v>
      </c>
      <c r="F332" s="3">
        <f t="shared" si="339"/>
        <v>1.2064983349812178E-50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2.6215053616740723E-2</v>
      </c>
      <c r="C333" s="3">
        <f t="shared" si="340"/>
        <v>2.5978960444643148E-2</v>
      </c>
      <c r="D333" s="3">
        <f t="shared" si="340"/>
        <v>2.3731869547594819E-2</v>
      </c>
      <c r="E333" s="3">
        <f t="shared" si="340"/>
        <v>9.6035939544326342E-3</v>
      </c>
      <c r="F333" s="3">
        <f t="shared" si="340"/>
        <v>1.1309728024619208E-6</v>
      </c>
      <c r="G333" s="3">
        <f t="shared" si="340"/>
        <v>5.8027769522725185E-46</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3.2914221285590926E-2</v>
      </c>
      <c r="C334" s="3">
        <f t="shared" si="341"/>
        <v>3.2887371015359053E-2</v>
      </c>
      <c r="D334" s="3">
        <f t="shared" si="341"/>
        <v>3.2620070062716375E-2</v>
      </c>
      <c r="E334" s="3">
        <f t="shared" si="341"/>
        <v>3.0063684603125793E-2</v>
      </c>
      <c r="F334" s="3">
        <f t="shared" si="341"/>
        <v>1.3292766552998499E-2</v>
      </c>
      <c r="G334" s="3">
        <f t="shared" si="341"/>
        <v>3.7961825557907951E-6</v>
      </c>
      <c r="H334" s="3">
        <f t="shared" si="341"/>
        <v>1.3698222096997357E-41</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4.0072480413423366E-2</v>
      </c>
      <c r="C335" s="3">
        <f t="shared" si="342"/>
        <v>4.006953043317666E-2</v>
      </c>
      <c r="D335" s="3">
        <f t="shared" si="342"/>
        <v>4.0040042572206523E-2</v>
      </c>
      <c r="E335" s="3">
        <f t="shared" si="342"/>
        <v>3.9746354865850958E-2</v>
      </c>
      <c r="F335" s="3">
        <f t="shared" si="342"/>
        <v>3.6925387130414149E-2</v>
      </c>
      <c r="G335" s="3">
        <f t="shared" si="342"/>
        <v>1.7684898521127441E-2</v>
      </c>
      <c r="H335" s="3">
        <f t="shared" si="342"/>
        <v>1.1229947374554475E-5</v>
      </c>
      <c r="I335" s="3">
        <f t="shared" si="342"/>
        <v>1.1970966375128333E-37</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3.9765883497146923E-2</v>
      </c>
      <c r="C336" s="3">
        <f t="shared" si="343"/>
        <v>3.9765619411587926E-2</v>
      </c>
      <c r="D336" s="3">
        <f t="shared" si="343"/>
        <v>3.9762978652454727E-2</v>
      </c>
      <c r="E336" s="3">
        <f t="shared" si="343"/>
        <v>3.973658070442989E-2</v>
      </c>
      <c r="F336" s="3">
        <f t="shared" si="343"/>
        <v>3.9473563189564596E-2</v>
      </c>
      <c r="G336" s="3">
        <f t="shared" si="343"/>
        <v>3.6937262258409785E-2</v>
      </c>
      <c r="H336" s="3">
        <f t="shared" si="343"/>
        <v>1.901290258523609E-2</v>
      </c>
      <c r="I336" s="3">
        <f t="shared" si="343"/>
        <v>2.4824792319844467E-5</v>
      </c>
      <c r="J336" s="3">
        <f t="shared" si="343"/>
        <v>3.5748484304388499E-34</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2.9424351071568162E-2</v>
      </c>
      <c r="C337" s="3">
        <f t="shared" si="344"/>
        <v>2.9424333444145662E-2</v>
      </c>
      <c r="D337" s="3">
        <f t="shared" si="344"/>
        <v>2.9424157170501432E-2</v>
      </c>
      <c r="E337" s="3">
        <f t="shared" si="344"/>
        <v>2.9422394492138643E-2</v>
      </c>
      <c r="F337" s="3">
        <f t="shared" si="344"/>
        <v>2.9404773515175592E-2</v>
      </c>
      <c r="G337" s="3">
        <f t="shared" si="344"/>
        <v>2.9229143126990889E-2</v>
      </c>
      <c r="H337" s="3">
        <f t="shared" si="344"/>
        <v>2.7529513463243744E-2</v>
      </c>
      <c r="I337" s="3">
        <f t="shared" si="344"/>
        <v>1.5122481352487409E-2</v>
      </c>
      <c r="J337" s="3">
        <f t="shared" si="344"/>
        <v>3.7832781625837892E-5</v>
      </c>
      <c r="K337" s="3">
        <f t="shared" si="344"/>
        <v>3.6334604176520435E-31</v>
      </c>
      <c r="L337" s="3">
        <f t="shared" si="344"/>
        <v>2.4257276092532692E-291</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2.8571416939415416E-2</v>
      </c>
      <c r="C338" s="3">
        <f t="shared" si="345"/>
        <v>2.85714153953688E-2</v>
      </c>
      <c r="D338" s="3">
        <f t="shared" si="345"/>
        <v>2.8571399954907206E-2</v>
      </c>
      <c r="E338" s="3">
        <f t="shared" si="345"/>
        <v>2.8571245550750204E-2</v>
      </c>
      <c r="F338" s="3">
        <f t="shared" si="345"/>
        <v>2.8569701555072758E-2</v>
      </c>
      <c r="G338" s="3">
        <f t="shared" si="345"/>
        <v>2.8554266186634886E-2</v>
      </c>
      <c r="H338" s="3">
        <f t="shared" si="345"/>
        <v>2.8400370419783813E-2</v>
      </c>
      <c r="I338" s="3">
        <f t="shared" si="345"/>
        <v>2.6906301964173703E-2</v>
      </c>
      <c r="J338" s="3">
        <f t="shared" si="345"/>
        <v>1.5673070454174709E-2</v>
      </c>
      <c r="K338" s="3">
        <f t="shared" si="345"/>
        <v>7.0494433608033966E-5</v>
      </c>
      <c r="L338" s="3">
        <f t="shared" si="345"/>
        <v>2.3887033695050121E-28</v>
      </c>
      <c r="M338" s="3">
        <f t="shared" si="345"/>
        <v>4.7669016166866278E-263</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2.9426851889572846E-2</v>
      </c>
      <c r="C339" s="3">
        <f t="shared" si="346"/>
        <v>2.9426851746116738E-2</v>
      </c>
      <c r="D339" s="3">
        <f t="shared" si="346"/>
        <v>2.942685031155573E-2</v>
      </c>
      <c r="E339" s="3">
        <f t="shared" si="346"/>
        <v>2.9426835965949472E-2</v>
      </c>
      <c r="F339" s="3">
        <f t="shared" si="346"/>
        <v>2.9426692510271552E-2</v>
      </c>
      <c r="G339" s="3">
        <f t="shared" si="346"/>
        <v>2.9425257991955785E-2</v>
      </c>
      <c r="H339" s="3">
        <f t="shared" si="346"/>
        <v>2.9410916654449563E-2</v>
      </c>
      <c r="I339" s="3">
        <f t="shared" si="346"/>
        <v>2.9267887151777007E-2</v>
      </c>
      <c r="J339" s="3">
        <f t="shared" si="346"/>
        <v>2.7875295889511632E-2</v>
      </c>
      <c r="K339" s="3">
        <f t="shared" si="346"/>
        <v>1.7119876506047123E-2</v>
      </c>
      <c r="L339" s="3">
        <f t="shared" si="346"/>
        <v>1.307109717089109E-4</v>
      </c>
      <c r="M339" s="3">
        <f t="shared" si="346"/>
        <v>8.7988557874472224E-26</v>
      </c>
      <c r="N339" s="3">
        <f t="shared" si="346"/>
        <v>1.6810001977324969E-237</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2.8440803505158232E-2</v>
      </c>
      <c r="C340" s="3">
        <f t="shared" si="347"/>
        <v>2.8440803492650928E-2</v>
      </c>
      <c r="D340" s="3">
        <f t="shared" si="347"/>
        <v>2.8440803367577896E-2</v>
      </c>
      <c r="E340" s="3">
        <f t="shared" si="347"/>
        <v>2.8440802116847588E-2</v>
      </c>
      <c r="F340" s="3">
        <f t="shared" si="347"/>
        <v>2.8440789609547545E-2</v>
      </c>
      <c r="G340" s="3">
        <f t="shared" si="347"/>
        <v>2.8440664536849635E-2</v>
      </c>
      <c r="H340" s="3">
        <f t="shared" si="347"/>
        <v>2.8439413840121542E-2</v>
      </c>
      <c r="I340" s="3">
        <f t="shared" si="347"/>
        <v>2.8426909897452744E-2</v>
      </c>
      <c r="J340" s="3">
        <f t="shared" si="347"/>
        <v>2.8302172440406587E-2</v>
      </c>
      <c r="K340" s="3">
        <f t="shared" si="347"/>
        <v>2.7084509215004472E-2</v>
      </c>
      <c r="L340" s="3">
        <f t="shared" si="347"/>
        <v>1.7447489544234369E-2</v>
      </c>
      <c r="M340" s="3">
        <f t="shared" si="347"/>
        <v>2.1471021683672808E-4</v>
      </c>
      <c r="N340" s="3">
        <f t="shared" si="347"/>
        <v>1.7102135713537734E-23</v>
      </c>
      <c r="O340" s="3">
        <f t="shared" si="347"/>
        <v>1.7580318043834802E-214</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2.6740342475548233E-2</v>
      </c>
      <c r="C341" s="3">
        <f t="shared" si="348"/>
        <v>2.6740342474487429E-2</v>
      </c>
      <c r="D341" s="3">
        <f t="shared" si="348"/>
        <v>2.6740342463879383E-2</v>
      </c>
      <c r="E341" s="3">
        <f t="shared" si="348"/>
        <v>2.6740342357798926E-2</v>
      </c>
      <c r="F341" s="3">
        <f t="shared" si="348"/>
        <v>2.6740341296994388E-2</v>
      </c>
      <c r="G341" s="3">
        <f t="shared" si="348"/>
        <v>2.6740330688951326E-2</v>
      </c>
      <c r="H341" s="3">
        <f t="shared" si="348"/>
        <v>2.6740224608752142E-2</v>
      </c>
      <c r="I341" s="3">
        <f t="shared" si="348"/>
        <v>2.6739163829905443E-2</v>
      </c>
      <c r="J341" s="3">
        <f t="shared" si="348"/>
        <v>2.6728558355610561E-2</v>
      </c>
      <c r="K341" s="3">
        <f t="shared" si="348"/>
        <v>2.66227346905566E-2</v>
      </c>
      <c r="L341" s="3">
        <f t="shared" si="348"/>
        <v>2.558727021987281E-2</v>
      </c>
      <c r="M341" s="3">
        <f t="shared" si="348"/>
        <v>1.7208256451357123E-2</v>
      </c>
      <c r="N341" s="3">
        <f t="shared" si="348"/>
        <v>3.2573618815272818E-4</v>
      </c>
      <c r="O341" s="3">
        <f t="shared" si="348"/>
        <v>1.923788888297013E-21</v>
      </c>
      <c r="P341" s="3">
        <f t="shared" si="348"/>
        <v>9.9327940998375848E-194</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3.6384067061715229E-2</v>
      </c>
      <c r="C342" s="3">
        <f t="shared" si="349"/>
        <v>3.6384067061585021E-2</v>
      </c>
      <c r="D342" s="3">
        <f t="shared" si="349"/>
        <v>3.6384067060282979E-2</v>
      </c>
      <c r="E342" s="3">
        <f t="shared" si="349"/>
        <v>3.6384067047262519E-2</v>
      </c>
      <c r="F342" s="3">
        <f t="shared" si="349"/>
        <v>3.6384066917057943E-2</v>
      </c>
      <c r="G342" s="3">
        <f t="shared" si="349"/>
        <v>3.6384065615012208E-2</v>
      </c>
      <c r="H342" s="3">
        <f t="shared" si="349"/>
        <v>3.6384052594557431E-2</v>
      </c>
      <c r="I342" s="3">
        <f t="shared" si="349"/>
        <v>3.6383922390265888E-2</v>
      </c>
      <c r="J342" s="3">
        <f t="shared" si="349"/>
        <v>3.6382620372977424E-2</v>
      </c>
      <c r="K342" s="3">
        <f t="shared" si="349"/>
        <v>3.6369602762452227E-2</v>
      </c>
      <c r="L342" s="3">
        <f t="shared" si="349"/>
        <v>3.6239682554189953E-2</v>
      </c>
      <c r="M342" s="3">
        <f t="shared" si="349"/>
        <v>3.4965734559419065E-2</v>
      </c>
      <c r="N342" s="3">
        <f t="shared" si="349"/>
        <v>2.444698870458208E-2</v>
      </c>
      <c r="O342" s="3">
        <f t="shared" si="349"/>
        <v>6.8242122700270733E-4</v>
      </c>
      <c r="P342" s="3">
        <f t="shared" si="349"/>
        <v>1.9603069583153921E-19</v>
      </c>
      <c r="Q342" s="3">
        <f t="shared" si="349"/>
        <v>7.4996263027254363E-175</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4.1964426446167019E-2</v>
      </c>
      <c r="C343" s="3">
        <f t="shared" si="350"/>
        <v>4.1964426446153474E-2</v>
      </c>
      <c r="D343" s="3">
        <f t="shared" si="350"/>
        <v>4.1964426446017999E-2</v>
      </c>
      <c r="E343" s="3">
        <f t="shared" si="350"/>
        <v>4.1964426444663305E-2</v>
      </c>
      <c r="F343" s="3">
        <f t="shared" si="350"/>
        <v>4.1964426431116308E-2</v>
      </c>
      <c r="G343" s="3">
        <f t="shared" si="350"/>
        <v>4.1964426295646388E-2</v>
      </c>
      <c r="H343" s="3">
        <f t="shared" si="350"/>
        <v>4.1964424940947168E-2</v>
      </c>
      <c r="I343" s="3">
        <f t="shared" si="350"/>
        <v>4.1964411393957429E-2</v>
      </c>
      <c r="J343" s="3">
        <f t="shared" si="350"/>
        <v>4.1964275924300486E-2</v>
      </c>
      <c r="K343" s="3">
        <f t="shared" si="350"/>
        <v>4.1962921251783636E-2</v>
      </c>
      <c r="L343" s="3">
        <f t="shared" si="350"/>
        <v>4.1949376931584445E-2</v>
      </c>
      <c r="M343" s="3">
        <f t="shared" si="350"/>
        <v>4.1814173939512179E-2</v>
      </c>
      <c r="N343" s="3">
        <f t="shared" si="350"/>
        <v>4.048588055575409E-2</v>
      </c>
      <c r="O343" s="3">
        <f t="shared" si="350"/>
        <v>2.9315970056875525E-2</v>
      </c>
      <c r="P343" s="3">
        <f t="shared" si="350"/>
        <v>1.1617456871908774E-3</v>
      </c>
      <c r="Q343" s="3">
        <f t="shared" si="350"/>
        <v>1.1096322323514908E-17</v>
      </c>
      <c r="R343" s="3">
        <f t="shared" si="350"/>
        <v>7.0122761377721405E-158</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4.8106928297009528E-2</v>
      </c>
      <c r="C344" s="3">
        <f t="shared" si="351"/>
        <v>4.8106928297008127E-2</v>
      </c>
      <c r="D344" s="3">
        <f t="shared" si="351"/>
        <v>4.8106928296994117E-2</v>
      </c>
      <c r="E344" s="3">
        <f t="shared" si="351"/>
        <v>4.8106928296854028E-2</v>
      </c>
      <c r="F344" s="3">
        <f t="shared" si="351"/>
        <v>4.8106928295453093E-2</v>
      </c>
      <c r="G344" s="3">
        <f t="shared" si="351"/>
        <v>4.8106928281443813E-2</v>
      </c>
      <c r="H344" s="3">
        <f t="shared" si="351"/>
        <v>4.8106928141351014E-2</v>
      </c>
      <c r="I344" s="3">
        <f t="shared" si="351"/>
        <v>4.8106926740423044E-2</v>
      </c>
      <c r="J344" s="3">
        <f t="shared" si="351"/>
        <v>4.8106912731145569E-2</v>
      </c>
      <c r="K344" s="3">
        <f t="shared" si="351"/>
        <v>4.8106772638595238E-2</v>
      </c>
      <c r="L344" s="3">
        <f t="shared" si="351"/>
        <v>4.8105371735529805E-2</v>
      </c>
      <c r="M344" s="3">
        <f t="shared" si="351"/>
        <v>4.809136494842E-2</v>
      </c>
      <c r="N344" s="3">
        <f t="shared" si="351"/>
        <v>4.7951521190227497E-2</v>
      </c>
      <c r="O344" s="3">
        <f t="shared" si="351"/>
        <v>4.6575255290754555E-2</v>
      </c>
      <c r="P344" s="3">
        <f t="shared" si="351"/>
        <v>3.4808378592543078E-2</v>
      </c>
      <c r="Q344" s="3">
        <f t="shared" si="351"/>
        <v>1.8922098217922499E-3</v>
      </c>
      <c r="R344" s="3">
        <f t="shared" si="351"/>
        <v>4.2640695290929468E-16</v>
      </c>
      <c r="S344" s="3">
        <f t="shared" si="351"/>
        <v>1.440038586451625E-142</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4.6100301020196376E-2</v>
      </c>
      <c r="C345" s="3">
        <f t="shared" si="352"/>
        <v>4.6100301020196258E-2</v>
      </c>
      <c r="D345" s="3">
        <f t="shared" si="352"/>
        <v>4.6100301020195043E-2</v>
      </c>
      <c r="E345" s="3">
        <f t="shared" si="352"/>
        <v>4.6100301020182935E-2</v>
      </c>
      <c r="F345" s="3">
        <f t="shared" si="352"/>
        <v>4.610030102006183E-2</v>
      </c>
      <c r="G345" s="3">
        <f t="shared" si="352"/>
        <v>4.6100301018850792E-2</v>
      </c>
      <c r="H345" s="3">
        <f t="shared" si="352"/>
        <v>4.6100301006740389E-2</v>
      </c>
      <c r="I345" s="3">
        <f t="shared" si="352"/>
        <v>4.6100300885636374E-2</v>
      </c>
      <c r="J345" s="3">
        <f t="shared" si="352"/>
        <v>4.6100299674596251E-2</v>
      </c>
      <c r="K345" s="3">
        <f t="shared" si="352"/>
        <v>4.6100287564196769E-2</v>
      </c>
      <c r="L345" s="3">
        <f t="shared" si="352"/>
        <v>4.6100166460376894E-2</v>
      </c>
      <c r="M345" s="3">
        <f t="shared" si="352"/>
        <v>4.6098955439675494E-2</v>
      </c>
      <c r="N345" s="3">
        <f t="shared" si="352"/>
        <v>4.6086846982222596E-2</v>
      </c>
      <c r="O345" s="3">
        <f t="shared" si="352"/>
        <v>4.5965937193865741E-2</v>
      </c>
      <c r="P345" s="3">
        <f t="shared" si="352"/>
        <v>4.47741492263398E-2</v>
      </c>
      <c r="Q345" s="3">
        <f t="shared" si="352"/>
        <v>3.4430202177424832E-2</v>
      </c>
      <c r="R345" s="3">
        <f t="shared" si="352"/>
        <v>2.4892119571096037E-3</v>
      </c>
      <c r="S345" s="3">
        <f t="shared" si="352"/>
        <v>9.7114691298532365E-15</v>
      </c>
      <c r="T345" s="3">
        <f t="shared" si="352"/>
        <v>7.9344255450155943E-129</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6.1544571271861997E-2</v>
      </c>
      <c r="C346" s="3">
        <f t="shared" si="353"/>
        <v>6.1544571271861984E-2</v>
      </c>
      <c r="D346" s="3">
        <f t="shared" si="353"/>
        <v>6.1544571271861831E-2</v>
      </c>
      <c r="E346" s="3">
        <f t="shared" si="353"/>
        <v>6.1544571271860381E-2</v>
      </c>
      <c r="F346" s="3">
        <f t="shared" si="353"/>
        <v>6.1544571271845788E-2</v>
      </c>
      <c r="G346" s="3">
        <f t="shared" si="353"/>
        <v>6.1544571271699954E-2</v>
      </c>
      <c r="H346" s="3">
        <f t="shared" si="353"/>
        <v>6.1544571270241495E-2</v>
      </c>
      <c r="I346" s="3">
        <f t="shared" si="353"/>
        <v>6.1544571255657016E-2</v>
      </c>
      <c r="J346" s="3">
        <f t="shared" si="353"/>
        <v>6.1544571109812159E-2</v>
      </c>
      <c r="K346" s="3">
        <f t="shared" si="353"/>
        <v>6.1544569651363609E-2</v>
      </c>
      <c r="L346" s="3">
        <f t="shared" si="353"/>
        <v>6.1544555066880002E-2</v>
      </c>
      <c r="M346" s="3">
        <f t="shared" si="353"/>
        <v>6.1544409222234024E-2</v>
      </c>
      <c r="N346" s="3">
        <f t="shared" si="353"/>
        <v>6.1542950794782912E-2</v>
      </c>
      <c r="O346" s="3">
        <f t="shared" si="353"/>
        <v>6.1528368420968718E-2</v>
      </c>
      <c r="P346" s="3">
        <f t="shared" si="353"/>
        <v>6.1382734585969108E-2</v>
      </c>
      <c r="Q346" s="3">
        <f t="shared" si="353"/>
        <v>5.9945221092346658E-2</v>
      </c>
      <c r="R346" s="3">
        <f t="shared" si="353"/>
        <v>4.7297469638327608E-2</v>
      </c>
      <c r="S346" s="3">
        <f t="shared" si="353"/>
        <v>4.4225353687309217E-3</v>
      </c>
      <c r="T346" s="3">
        <f t="shared" si="353"/>
        <v>2.2594638229270836E-13</v>
      </c>
      <c r="U346" s="3">
        <f t="shared" si="353"/>
        <v>2.7374498062360746E-116</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2.0548359308290503E-2</v>
      </c>
      <c r="C347" s="3">
        <f t="shared" si="354"/>
        <v>2.0548359308290503E-2</v>
      </c>
      <c r="D347" s="3">
        <f t="shared" si="354"/>
        <v>2.0548359308290499E-2</v>
      </c>
      <c r="E347" s="3">
        <f t="shared" si="354"/>
        <v>2.0548359308290454E-2</v>
      </c>
      <c r="F347" s="3">
        <f t="shared" si="354"/>
        <v>2.0548359308290014E-2</v>
      </c>
      <c r="G347" s="3">
        <f t="shared" si="354"/>
        <v>2.0548359308285625E-2</v>
      </c>
      <c r="H347" s="3">
        <f t="shared" si="354"/>
        <v>2.0548359308241695E-2</v>
      </c>
      <c r="I347" s="3">
        <f t="shared" si="354"/>
        <v>2.0548359307802432E-2</v>
      </c>
      <c r="J347" s="3">
        <f t="shared" si="354"/>
        <v>2.0548359303409796E-2</v>
      </c>
      <c r="K347" s="3">
        <f t="shared" si="354"/>
        <v>2.0548359259483447E-2</v>
      </c>
      <c r="L347" s="3">
        <f t="shared" si="354"/>
        <v>2.0548358820219961E-2</v>
      </c>
      <c r="M347" s="3">
        <f t="shared" si="354"/>
        <v>2.05483544275856E-2</v>
      </c>
      <c r="N347" s="3">
        <f t="shared" si="354"/>
        <v>2.0548310501293663E-2</v>
      </c>
      <c r="O347" s="3">
        <f t="shared" si="354"/>
        <v>2.0547871243538816E-2</v>
      </c>
      <c r="P347" s="3">
        <f t="shared" si="354"/>
        <v>2.0543479182403856E-2</v>
      </c>
      <c r="Q347" s="3">
        <f t="shared" si="354"/>
        <v>2.0499610171582569E-2</v>
      </c>
      <c r="R347" s="3">
        <f t="shared" si="354"/>
        <v>2.0066039535029279E-2</v>
      </c>
      <c r="S347" s="3">
        <f t="shared" si="354"/>
        <v>1.6204001514911168E-2</v>
      </c>
      <c r="T347" s="3">
        <f t="shared" si="354"/>
        <v>1.9108578925554618E-3</v>
      </c>
      <c r="U347" s="3">
        <f t="shared" si="354"/>
        <v>9.9377837943094654E-13</v>
      </c>
      <c r="V347" s="3">
        <f t="shared" si="354"/>
        <v>1.4384708968558592E-105</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6.8598536150208847E-2</v>
      </c>
      <c r="C348" s="3">
        <f t="shared" si="355"/>
        <v>6.8598536150208847E-2</v>
      </c>
      <c r="D348" s="3">
        <f t="shared" si="355"/>
        <v>6.8598536150208833E-2</v>
      </c>
      <c r="E348" s="3">
        <f t="shared" si="355"/>
        <v>6.8598536150208805E-2</v>
      </c>
      <c r="F348" s="3">
        <f t="shared" si="355"/>
        <v>6.8598536150208403E-2</v>
      </c>
      <c r="G348" s="3">
        <f t="shared" si="355"/>
        <v>6.8598536150204337E-2</v>
      </c>
      <c r="H348" s="3">
        <f t="shared" si="355"/>
        <v>6.8598536150163786E-2</v>
      </c>
      <c r="I348" s="3">
        <f t="shared" si="355"/>
        <v>6.8598536149758207E-2</v>
      </c>
      <c r="J348" s="3">
        <f t="shared" si="355"/>
        <v>6.859853614570241E-2</v>
      </c>
      <c r="K348" s="3">
        <f t="shared" si="355"/>
        <v>6.8598536105144492E-2</v>
      </c>
      <c r="L348" s="3">
        <f t="shared" si="355"/>
        <v>6.8598535699565297E-2</v>
      </c>
      <c r="M348" s="3">
        <f t="shared" si="355"/>
        <v>6.8598531643773483E-2</v>
      </c>
      <c r="N348" s="3">
        <f t="shared" si="355"/>
        <v>6.859849108586856E-2</v>
      </c>
      <c r="O348" s="3">
        <f t="shared" si="355"/>
        <v>6.8598085508138118E-2</v>
      </c>
      <c r="P348" s="3">
        <f t="shared" si="355"/>
        <v>6.8594029862716649E-2</v>
      </c>
      <c r="Q348" s="3">
        <f t="shared" si="355"/>
        <v>6.8553486593911514E-2</v>
      </c>
      <c r="R348" s="3">
        <f t="shared" si="355"/>
        <v>6.8149369566968029E-2</v>
      </c>
      <c r="S348" s="3">
        <f t="shared" si="355"/>
        <v>6.4236932253802129E-2</v>
      </c>
      <c r="T348" s="3">
        <f t="shared" si="355"/>
        <v>3.5564301936039343E-2</v>
      </c>
      <c r="U348" s="3">
        <f t="shared" si="355"/>
        <v>9.6229726795384702E-5</v>
      </c>
      <c r="V348" s="3">
        <f t="shared" si="355"/>
        <v>2.0242255107893956E-30</v>
      </c>
      <c r="W348" s="3">
        <f t="shared" si="355"/>
        <v>3.4336443078646771E-287</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4.2430467850210242E-2</v>
      </c>
      <c r="C349" s="3">
        <f t="shared" si="356"/>
        <v>4.2430467850210242E-2</v>
      </c>
      <c r="D349" s="3">
        <f t="shared" si="356"/>
        <v>4.2430467850210242E-2</v>
      </c>
      <c r="E349" s="3">
        <f t="shared" si="356"/>
        <v>4.2430467850210235E-2</v>
      </c>
      <c r="F349" s="3">
        <f t="shared" si="356"/>
        <v>4.2430467850210214E-2</v>
      </c>
      <c r="G349" s="3">
        <f t="shared" si="356"/>
        <v>4.2430467850209964E-2</v>
      </c>
      <c r="H349" s="3">
        <f t="shared" si="356"/>
        <v>4.2430467850207453E-2</v>
      </c>
      <c r="I349" s="3">
        <f t="shared" si="356"/>
        <v>4.2430467850182368E-2</v>
      </c>
      <c r="J349" s="3">
        <f t="shared" si="356"/>
        <v>4.2430467849931507E-2</v>
      </c>
      <c r="K349" s="3">
        <f t="shared" si="356"/>
        <v>4.2430467847422861E-2</v>
      </c>
      <c r="L349" s="3">
        <f t="shared" si="356"/>
        <v>4.2430467822336441E-2</v>
      </c>
      <c r="M349" s="3">
        <f t="shared" si="356"/>
        <v>4.2430467571472272E-2</v>
      </c>
      <c r="N349" s="3">
        <f t="shared" si="356"/>
        <v>4.2430465062830637E-2</v>
      </c>
      <c r="O349" s="3">
        <f t="shared" si="356"/>
        <v>4.2430439976422415E-2</v>
      </c>
      <c r="P349" s="3">
        <f t="shared" si="356"/>
        <v>4.2430189113155964E-2</v>
      </c>
      <c r="Q349" s="3">
        <f t="shared" si="356"/>
        <v>4.2427680562065452E-2</v>
      </c>
      <c r="R349" s="3">
        <f t="shared" si="356"/>
        <v>4.2402603206773033E-2</v>
      </c>
      <c r="S349" s="3">
        <f t="shared" si="356"/>
        <v>4.2152643433842868E-2</v>
      </c>
      <c r="T349" s="3">
        <f t="shared" si="356"/>
        <v>3.9732671303989428E-2</v>
      </c>
      <c r="U349" s="3">
        <f t="shared" si="356"/>
        <v>2.1997699289209874E-2</v>
      </c>
      <c r="V349" s="3">
        <f t="shared" si="356"/>
        <v>5.95212749159175E-5</v>
      </c>
      <c r="W349" s="3">
        <f t="shared" si="356"/>
        <v>1.2520505578873546E-30</v>
      </c>
      <c r="X349" s="3">
        <f t="shared" si="356"/>
        <v>2.1238227896713803E-287</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4.2564807754428377E-2</v>
      </c>
      <c r="C350" s="3">
        <f t="shared" si="357"/>
        <v>4.2564807754428377E-2</v>
      </c>
      <c r="D350" s="3">
        <f t="shared" si="357"/>
        <v>4.2564807754428377E-2</v>
      </c>
      <c r="E350" s="3">
        <f t="shared" si="357"/>
        <v>4.2564807754428377E-2</v>
      </c>
      <c r="F350" s="3">
        <f t="shared" si="357"/>
        <v>4.256480775442837E-2</v>
      </c>
      <c r="G350" s="3">
        <f t="shared" si="357"/>
        <v>4.2564807754428349E-2</v>
      </c>
      <c r="H350" s="3">
        <f t="shared" si="357"/>
        <v>4.2564807754428099E-2</v>
      </c>
      <c r="I350" s="3">
        <f t="shared" si="357"/>
        <v>4.2564807754425581E-2</v>
      </c>
      <c r="J350" s="3">
        <f t="shared" si="357"/>
        <v>4.2564807754400413E-2</v>
      </c>
      <c r="K350" s="3">
        <f t="shared" si="357"/>
        <v>4.2564807754148754E-2</v>
      </c>
      <c r="L350" s="3">
        <f t="shared" si="357"/>
        <v>4.2564807751632169E-2</v>
      </c>
      <c r="M350" s="3">
        <f t="shared" si="357"/>
        <v>4.2564807726466328E-2</v>
      </c>
      <c r="N350" s="3">
        <f t="shared" si="357"/>
        <v>4.2564807474807891E-2</v>
      </c>
      <c r="O350" s="3">
        <f t="shared" si="357"/>
        <v>4.2564804958223595E-2</v>
      </c>
      <c r="P350" s="3">
        <f t="shared" si="357"/>
        <v>4.2564779792388825E-2</v>
      </c>
      <c r="Q350" s="3">
        <f t="shared" si="357"/>
        <v>4.2564528134859454E-2</v>
      </c>
      <c r="R350" s="3">
        <f t="shared" si="357"/>
        <v>4.2562011641398043E-2</v>
      </c>
      <c r="S350" s="3">
        <f t="shared" si="357"/>
        <v>4.2536854888218234E-2</v>
      </c>
      <c r="T350" s="3">
        <f t="shared" si="357"/>
        <v>4.2286103712938408E-2</v>
      </c>
      <c r="U350" s="3">
        <f t="shared" si="357"/>
        <v>3.9858469663699998E-2</v>
      </c>
      <c r="V350" s="3">
        <f t="shared" si="357"/>
        <v>2.2067346619660349E-2</v>
      </c>
      <c r="W350" s="3">
        <f t="shared" si="357"/>
        <v>5.9709726346605794E-5</v>
      </c>
      <c r="X350" s="3">
        <f t="shared" si="357"/>
        <v>1.2560146987640624E-30</v>
      </c>
      <c r="Y350" s="3">
        <f t="shared" si="357"/>
        <v>2.1305470650469895E-287</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1.7794430151868639E-2</v>
      </c>
      <c r="C351" s="3">
        <f t="shared" si="358"/>
        <v>1.7794430151868639E-2</v>
      </c>
      <c r="D351" s="3">
        <f t="shared" si="358"/>
        <v>1.7794430151868639E-2</v>
      </c>
      <c r="E351" s="3">
        <f t="shared" si="358"/>
        <v>1.7794430151868639E-2</v>
      </c>
      <c r="F351" s="3">
        <f t="shared" si="358"/>
        <v>1.7794430151868639E-2</v>
      </c>
      <c r="G351" s="3">
        <f t="shared" si="358"/>
        <v>1.7794430151868636E-2</v>
      </c>
      <c r="H351" s="3">
        <f t="shared" si="358"/>
        <v>1.7794430151868629E-2</v>
      </c>
      <c r="I351" s="3">
        <f t="shared" si="358"/>
        <v>1.7794430151868521E-2</v>
      </c>
      <c r="J351" s="3">
        <f t="shared" si="358"/>
        <v>1.779443015186747E-2</v>
      </c>
      <c r="K351" s="3">
        <f t="shared" si="358"/>
        <v>1.7794430151856951E-2</v>
      </c>
      <c r="L351" s="3">
        <f t="shared" si="358"/>
        <v>1.7794430151751743E-2</v>
      </c>
      <c r="M351" s="3">
        <f t="shared" si="358"/>
        <v>1.7794430150699671E-2</v>
      </c>
      <c r="N351" s="3">
        <f t="shared" si="358"/>
        <v>1.7794430140178966E-2</v>
      </c>
      <c r="O351" s="3">
        <f t="shared" si="358"/>
        <v>1.77944300349719E-2</v>
      </c>
      <c r="P351" s="3">
        <f t="shared" si="358"/>
        <v>1.7794428982901286E-2</v>
      </c>
      <c r="Q351" s="3">
        <f t="shared" si="358"/>
        <v>1.779441846219856E-2</v>
      </c>
      <c r="R351" s="3">
        <f t="shared" si="358"/>
        <v>1.7794313255513394E-2</v>
      </c>
      <c r="S351" s="3">
        <f t="shared" si="358"/>
        <v>1.7793261222872128E-2</v>
      </c>
      <c r="T351" s="3">
        <f t="shared" si="358"/>
        <v>1.7782744316748918E-2</v>
      </c>
      <c r="U351" s="3">
        <f t="shared" si="358"/>
        <v>1.7677916537430411E-2</v>
      </c>
      <c r="V351" s="3">
        <f t="shared" si="358"/>
        <v>1.6663032016567596E-2</v>
      </c>
      <c r="W351" s="3">
        <f t="shared" si="358"/>
        <v>9.2253643039129484E-3</v>
      </c>
      <c r="X351" s="3">
        <f t="shared" si="358"/>
        <v>2.4961948870809278E-5</v>
      </c>
      <c r="Y351" s="3">
        <f t="shared" si="358"/>
        <v>5.2508320854690508E-31</v>
      </c>
      <c r="Z351" s="3">
        <f t="shared" si="358"/>
        <v>8.9068582555275583E-288</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1.1846247724533283E-2</v>
      </c>
      <c r="C352" s="3">
        <f t="shared" si="359"/>
        <v>1.1846247724533283E-2</v>
      </c>
      <c r="D352" s="3">
        <f t="shared" si="359"/>
        <v>1.1846247724533283E-2</v>
      </c>
      <c r="E352" s="3">
        <f t="shared" si="359"/>
        <v>1.1846247724533283E-2</v>
      </c>
      <c r="F352" s="3">
        <f t="shared" si="359"/>
        <v>1.1846247724533283E-2</v>
      </c>
      <c r="G352" s="3">
        <f t="shared" si="359"/>
        <v>1.1846247724533283E-2</v>
      </c>
      <c r="H352" s="3">
        <f t="shared" si="359"/>
        <v>1.1846247724533281E-2</v>
      </c>
      <c r="I352" s="3">
        <f t="shared" si="359"/>
        <v>1.1846247724533274E-2</v>
      </c>
      <c r="J352" s="3">
        <f t="shared" si="359"/>
        <v>1.1846247724533205E-2</v>
      </c>
      <c r="K352" s="3">
        <f t="shared" si="359"/>
        <v>1.1846247724532504E-2</v>
      </c>
      <c r="L352" s="3">
        <f t="shared" si="359"/>
        <v>1.1846247724525501E-2</v>
      </c>
      <c r="M352" s="3">
        <f t="shared" si="359"/>
        <v>1.1846247724455462E-2</v>
      </c>
      <c r="N352" s="3">
        <f t="shared" si="359"/>
        <v>1.1846247723755069E-2</v>
      </c>
      <c r="O352" s="3">
        <f t="shared" si="359"/>
        <v>1.1846247716751142E-2</v>
      </c>
      <c r="P352" s="3">
        <f t="shared" si="359"/>
        <v>1.1846247646711869E-2</v>
      </c>
      <c r="Q352" s="3">
        <f t="shared" si="359"/>
        <v>1.184624694631916E-2</v>
      </c>
      <c r="R352" s="3">
        <f t="shared" si="359"/>
        <v>1.1846239942394355E-2</v>
      </c>
      <c r="S352" s="3">
        <f t="shared" si="359"/>
        <v>1.1846169903374048E-2</v>
      </c>
      <c r="T352" s="3">
        <f t="shared" si="359"/>
        <v>1.1845469535945794E-2</v>
      </c>
      <c r="U352" s="3">
        <f t="shared" si="359"/>
        <v>1.1838468138645182E-2</v>
      </c>
      <c r="V352" s="3">
        <f t="shared" si="359"/>
        <v>1.1768681366513606E-2</v>
      </c>
      <c r="W352" s="3">
        <f t="shared" si="359"/>
        <v>1.1093044476580794E-2</v>
      </c>
      <c r="X352" s="3">
        <f t="shared" si="359"/>
        <v>6.1415819422429175E-3</v>
      </c>
      <c r="Y352" s="3">
        <f t="shared" si="359"/>
        <v>1.661786455014339E-5</v>
      </c>
      <c r="Z352" s="3">
        <f t="shared" si="359"/>
        <v>3.4956251542487317E-31</v>
      </c>
      <c r="AA352" s="3">
        <f t="shared" si="359"/>
        <v>5.9295435954830871E-288</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4.239833197731321E-3</v>
      </c>
      <c r="C353" s="3">
        <f t="shared" si="360"/>
        <v>4.239833197731321E-3</v>
      </c>
      <c r="D353" s="3">
        <f t="shared" si="360"/>
        <v>4.239833197731321E-3</v>
      </c>
      <c r="E353" s="3">
        <f t="shared" si="360"/>
        <v>4.239833197731321E-3</v>
      </c>
      <c r="F353" s="3">
        <f t="shared" si="360"/>
        <v>4.239833197731321E-3</v>
      </c>
      <c r="G353" s="3">
        <f t="shared" si="360"/>
        <v>4.239833197731321E-3</v>
      </c>
      <c r="H353" s="3">
        <f t="shared" si="360"/>
        <v>4.239833197731321E-3</v>
      </c>
      <c r="I353" s="3">
        <f t="shared" si="360"/>
        <v>4.2398331977313202E-3</v>
      </c>
      <c r="J353" s="3">
        <f t="shared" si="360"/>
        <v>4.2398331977313184E-3</v>
      </c>
      <c r="K353" s="3">
        <f t="shared" si="360"/>
        <v>4.2398331977312933E-3</v>
      </c>
      <c r="L353" s="3">
        <f t="shared" si="360"/>
        <v>4.2398331977310426E-3</v>
      </c>
      <c r="M353" s="3">
        <f t="shared" si="360"/>
        <v>4.2398331977285359E-3</v>
      </c>
      <c r="N353" s="3">
        <f t="shared" si="360"/>
        <v>4.2398331977034683E-3</v>
      </c>
      <c r="O353" s="3">
        <f t="shared" si="360"/>
        <v>4.2398331974527938E-3</v>
      </c>
      <c r="P353" s="3">
        <f t="shared" si="360"/>
        <v>4.2398331949460525E-3</v>
      </c>
      <c r="Q353" s="3">
        <f t="shared" si="360"/>
        <v>4.2398331698786356E-3</v>
      </c>
      <c r="R353" s="3">
        <f t="shared" si="360"/>
        <v>4.2398329192044702E-3</v>
      </c>
      <c r="S353" s="3">
        <f t="shared" si="360"/>
        <v>4.2398304124636362E-3</v>
      </c>
      <c r="T353" s="3">
        <f t="shared" si="360"/>
        <v>4.2398053451368047E-3</v>
      </c>
      <c r="U353" s="3">
        <f t="shared" si="360"/>
        <v>4.2395546800197172E-3</v>
      </c>
      <c r="V353" s="3">
        <f t="shared" si="360"/>
        <v>4.2370488437924224E-3</v>
      </c>
      <c r="W353" s="3">
        <f t="shared" si="360"/>
        <v>4.2120717978850336E-3</v>
      </c>
      <c r="X353" s="3">
        <f t="shared" si="360"/>
        <v>3.9702578680938646E-3</v>
      </c>
      <c r="Y353" s="3">
        <f t="shared" si="360"/>
        <v>2.1981038731261732E-3</v>
      </c>
      <c r="Z353" s="3">
        <f t="shared" si="360"/>
        <v>5.9476194853823446E-6</v>
      </c>
      <c r="AA353" s="3">
        <f t="shared" si="360"/>
        <v>1.2511022832246532E-31</v>
      </c>
      <c r="AB353" s="3">
        <f t="shared" si="360"/>
        <v>2.1222142545153305E-288</v>
      </c>
      <c r="AC353" s="3">
        <f t="shared" si="360"/>
        <v>0</v>
      </c>
      <c r="AD353" s="3">
        <f t="shared" si="360"/>
        <v>0</v>
      </c>
      <c r="AE353" s="3">
        <f t="shared" si="360"/>
        <v>0</v>
      </c>
      <c r="AF353" s="3">
        <f t="shared" si="360"/>
        <v>0</v>
      </c>
      <c r="AG353" s="3"/>
      <c r="AH353" s="3"/>
    </row>
    <row r="354" spans="1:34" x14ac:dyDescent="0.25">
      <c r="B354" s="3">
        <f t="shared" ref="B354:AF354" si="361">$C45*EXP(-B$363/$A45/EXP(-$G$126))</f>
        <v>3.1413173103933909E-3</v>
      </c>
      <c r="C354" s="3">
        <f t="shared" si="361"/>
        <v>3.1413173103933909E-3</v>
      </c>
      <c r="D354" s="3">
        <f t="shared" si="361"/>
        <v>3.1413173103933909E-3</v>
      </c>
      <c r="E354" s="3">
        <f t="shared" si="361"/>
        <v>3.1413173103933909E-3</v>
      </c>
      <c r="F354" s="3">
        <f t="shared" si="361"/>
        <v>3.1413173103933909E-3</v>
      </c>
      <c r="G354" s="3">
        <f t="shared" si="361"/>
        <v>3.1413173103933909E-3</v>
      </c>
      <c r="H354" s="3">
        <f t="shared" si="361"/>
        <v>3.1413173103933909E-3</v>
      </c>
      <c r="I354" s="3">
        <f t="shared" si="361"/>
        <v>3.1413173103933909E-3</v>
      </c>
      <c r="J354" s="3">
        <f t="shared" si="361"/>
        <v>3.1413173103933905E-3</v>
      </c>
      <c r="K354" s="3">
        <f t="shared" si="361"/>
        <v>3.1413173103933888E-3</v>
      </c>
      <c r="L354" s="3">
        <f t="shared" si="361"/>
        <v>3.1413173103933705E-3</v>
      </c>
      <c r="M354" s="3">
        <f t="shared" si="361"/>
        <v>3.1413173103931845E-3</v>
      </c>
      <c r="N354" s="3">
        <f t="shared" si="361"/>
        <v>3.1413173103913275E-3</v>
      </c>
      <c r="O354" s="3">
        <f t="shared" si="361"/>
        <v>3.1413173103727546E-3</v>
      </c>
      <c r="P354" s="3">
        <f t="shared" si="361"/>
        <v>3.1413173101870286E-3</v>
      </c>
      <c r="Q354" s="3">
        <f t="shared" si="361"/>
        <v>3.1413173083297691E-3</v>
      </c>
      <c r="R354" s="3">
        <f t="shared" si="361"/>
        <v>3.1413172897571725E-3</v>
      </c>
      <c r="S354" s="3">
        <f t="shared" si="361"/>
        <v>3.1413171040312118E-3</v>
      </c>
      <c r="T354" s="3">
        <f t="shared" si="361"/>
        <v>3.141315246772209E-3</v>
      </c>
      <c r="U354" s="3">
        <f t="shared" si="361"/>
        <v>3.1412966742425772E-3</v>
      </c>
      <c r="V354" s="3">
        <f t="shared" si="361"/>
        <v>3.1411109549855458E-3</v>
      </c>
      <c r="W354" s="3">
        <f t="shared" si="361"/>
        <v>3.1392543662117178E-3</v>
      </c>
      <c r="X354" s="3">
        <f t="shared" si="361"/>
        <v>3.1207487262461279E-3</v>
      </c>
      <c r="Y354" s="3">
        <f t="shared" si="361"/>
        <v>2.9415873658525851E-3</v>
      </c>
      <c r="Z354" s="3">
        <f t="shared" si="361"/>
        <v>1.6285880657731417E-3</v>
      </c>
      <c r="AA354" s="3">
        <f t="shared" si="361"/>
        <v>4.4066261981867138E-6</v>
      </c>
      <c r="AB354" s="3">
        <f t="shared" si="361"/>
        <v>9.2694902749222482E-32</v>
      </c>
      <c r="AC354" s="3">
        <f t="shared" si="361"/>
        <v>1.5723610017582285E-288</v>
      </c>
      <c r="AD354" s="3">
        <f t="shared" si="361"/>
        <v>0</v>
      </c>
      <c r="AE354" s="3">
        <f t="shared" si="361"/>
        <v>0</v>
      </c>
      <c r="AF354" s="3">
        <f t="shared" si="361"/>
        <v>0</v>
      </c>
      <c r="AG354" s="3"/>
      <c r="AH354" s="3"/>
    </row>
    <row r="355" spans="1:34" x14ac:dyDescent="0.25">
      <c r="B355" s="3">
        <f t="shared" ref="B355:AF355" si="362">$C46*EXP(-B$363/$A46/EXP(-$G$126))</f>
        <v>2.257189619316161E-3</v>
      </c>
      <c r="C355" s="3">
        <f t="shared" si="362"/>
        <v>2.257189619316161E-3</v>
      </c>
      <c r="D355" s="3">
        <f t="shared" si="362"/>
        <v>2.257189619316161E-3</v>
      </c>
      <c r="E355" s="3">
        <f t="shared" si="362"/>
        <v>2.257189619316161E-3</v>
      </c>
      <c r="F355" s="3">
        <f t="shared" si="362"/>
        <v>2.257189619316161E-3</v>
      </c>
      <c r="G355" s="3">
        <f t="shared" si="362"/>
        <v>2.257189619316161E-3</v>
      </c>
      <c r="H355" s="3">
        <f t="shared" si="362"/>
        <v>2.257189619316161E-3</v>
      </c>
      <c r="I355" s="3">
        <f t="shared" si="362"/>
        <v>2.257189619316161E-3</v>
      </c>
      <c r="J355" s="3">
        <f t="shared" si="362"/>
        <v>2.257189619316161E-3</v>
      </c>
      <c r="K355" s="3">
        <f t="shared" si="362"/>
        <v>2.2571896193161606E-3</v>
      </c>
      <c r="L355" s="3">
        <f t="shared" si="362"/>
        <v>2.2571896193161597E-3</v>
      </c>
      <c r="M355" s="3">
        <f t="shared" si="362"/>
        <v>2.2571896193161463E-3</v>
      </c>
      <c r="N355" s="3">
        <f t="shared" si="362"/>
        <v>2.2571896193160127E-3</v>
      </c>
      <c r="O355" s="3">
        <f t="shared" si="362"/>
        <v>2.2571896193146783E-3</v>
      </c>
      <c r="P355" s="3">
        <f t="shared" si="362"/>
        <v>2.257189619301333E-3</v>
      </c>
      <c r="Q355" s="3">
        <f t="shared" si="362"/>
        <v>2.2571896191678799E-3</v>
      </c>
      <c r="R355" s="3">
        <f t="shared" si="362"/>
        <v>2.257189617833348E-3</v>
      </c>
      <c r="S355" s="3">
        <f t="shared" si="362"/>
        <v>2.2571896044880323E-3</v>
      </c>
      <c r="T355" s="3">
        <f t="shared" si="362"/>
        <v>2.2571894710348758E-3</v>
      </c>
      <c r="U355" s="3">
        <f t="shared" si="362"/>
        <v>2.2571881365037452E-3</v>
      </c>
      <c r="V355" s="3">
        <f t="shared" si="362"/>
        <v>2.2571747912358379E-3</v>
      </c>
      <c r="W355" s="3">
        <f t="shared" si="362"/>
        <v>2.2570413428962856E-3</v>
      </c>
      <c r="X355" s="3">
        <f t="shared" si="362"/>
        <v>2.2557072933579734E-3</v>
      </c>
      <c r="Y355" s="3">
        <f t="shared" si="362"/>
        <v>2.2424100889364622E-3</v>
      </c>
      <c r="Z355" s="3">
        <f t="shared" si="362"/>
        <v>2.1136739178005946E-3</v>
      </c>
      <c r="AA355" s="3">
        <f t="shared" si="362"/>
        <v>1.1702199150791827E-3</v>
      </c>
      <c r="AB355" s="3">
        <f t="shared" si="362"/>
        <v>3.1663757360150505E-6</v>
      </c>
      <c r="AC355" s="3">
        <f t="shared" si="362"/>
        <v>6.6605806282862891E-32</v>
      </c>
      <c r="AD355" s="3">
        <f t="shared" si="362"/>
        <v>1.1298180286479156E-288</v>
      </c>
      <c r="AE355" s="3">
        <f t="shared" si="362"/>
        <v>0</v>
      </c>
      <c r="AF355" s="3">
        <f t="shared" si="362"/>
        <v>0</v>
      </c>
      <c r="AG355" s="3"/>
      <c r="AH355" s="3"/>
    </row>
    <row r="356" spans="1:34" x14ac:dyDescent="0.25">
      <c r="B356" s="3">
        <f t="shared" ref="B356:AF356" si="363">$C47*EXP(-B$363/$A47/EXP(-$G$126))</f>
        <v>3.6224207496198294E-4</v>
      </c>
      <c r="C356" s="3">
        <f t="shared" si="363"/>
        <v>3.6224207496198294E-4</v>
      </c>
      <c r="D356" s="3">
        <f t="shared" si="363"/>
        <v>3.6224207496198294E-4</v>
      </c>
      <c r="E356" s="3">
        <f t="shared" si="363"/>
        <v>3.6224207496198294E-4</v>
      </c>
      <c r="F356" s="3">
        <f t="shared" si="363"/>
        <v>3.6224207496198294E-4</v>
      </c>
      <c r="G356" s="3">
        <f t="shared" si="363"/>
        <v>3.6224207496198294E-4</v>
      </c>
      <c r="H356" s="3">
        <f t="shared" si="363"/>
        <v>3.6224207496198294E-4</v>
      </c>
      <c r="I356" s="3">
        <f t="shared" si="363"/>
        <v>3.6224207496198294E-4</v>
      </c>
      <c r="J356" s="3">
        <f t="shared" si="363"/>
        <v>3.6224207496198294E-4</v>
      </c>
      <c r="K356" s="3">
        <f t="shared" si="363"/>
        <v>3.6224207496198294E-4</v>
      </c>
      <c r="L356" s="3">
        <f t="shared" si="363"/>
        <v>3.6224207496198289E-4</v>
      </c>
      <c r="M356" s="3">
        <f t="shared" si="363"/>
        <v>3.6224207496198273E-4</v>
      </c>
      <c r="N356" s="3">
        <f t="shared" si="363"/>
        <v>3.6224207496198056E-4</v>
      </c>
      <c r="O356" s="3">
        <f t="shared" si="363"/>
        <v>3.6224207496195914E-4</v>
      </c>
      <c r="P356" s="3">
        <f t="shared" si="363"/>
        <v>3.6224207496174496E-4</v>
      </c>
      <c r="Q356" s="3">
        <f t="shared" si="363"/>
        <v>3.6224207495960328E-4</v>
      </c>
      <c r="R356" s="3">
        <f t="shared" si="363"/>
        <v>3.6224207493818622E-4</v>
      </c>
      <c r="S356" s="3">
        <f t="shared" si="363"/>
        <v>3.6224207472401569E-4</v>
      </c>
      <c r="T356" s="3">
        <f t="shared" si="363"/>
        <v>3.6224207258231037E-4</v>
      </c>
      <c r="U356" s="3">
        <f t="shared" si="363"/>
        <v>3.6224205116525799E-4</v>
      </c>
      <c r="V356" s="3">
        <f t="shared" si="363"/>
        <v>3.6224183699480389E-4</v>
      </c>
      <c r="W356" s="3">
        <f t="shared" si="363"/>
        <v>3.6223969529722728E-4</v>
      </c>
      <c r="X356" s="3">
        <f t="shared" si="363"/>
        <v>3.6221827901788327E-4</v>
      </c>
      <c r="Y356" s="3">
        <f t="shared" si="363"/>
        <v>3.6200418585144087E-4</v>
      </c>
      <c r="Z356" s="3">
        <f t="shared" si="363"/>
        <v>3.5987020167943268E-4</v>
      </c>
      <c r="AA356" s="3">
        <f t="shared" si="363"/>
        <v>3.3921014841857913E-4</v>
      </c>
      <c r="AB356" s="3">
        <f t="shared" si="363"/>
        <v>1.8780118718096197E-4</v>
      </c>
      <c r="AC356" s="3">
        <f t="shared" si="363"/>
        <v>5.0815160007286478E-7</v>
      </c>
      <c r="AD356" s="3">
        <f t="shared" si="363"/>
        <v>1.0689144264153487E-32</v>
      </c>
      <c r="AE356" s="3">
        <f t="shared" si="363"/>
        <v>1.8131734415421859E-289</v>
      </c>
      <c r="AF356" s="3">
        <f t="shared" si="363"/>
        <v>0</v>
      </c>
      <c r="AG356" s="3"/>
      <c r="AH356" s="3"/>
    </row>
    <row r="357" spans="1:34" x14ac:dyDescent="0.25">
      <c r="B357" s="3">
        <f t="shared" ref="B357:AF357" si="364">$C48*EXP(-B$363/$A48/EXP(-$G$126))</f>
        <v>0</v>
      </c>
      <c r="C357" s="3">
        <f t="shared" si="364"/>
        <v>0</v>
      </c>
      <c r="D357" s="3">
        <f t="shared" si="364"/>
        <v>0</v>
      </c>
      <c r="E357" s="3">
        <f t="shared" si="364"/>
        <v>0</v>
      </c>
      <c r="F357" s="3">
        <f t="shared" si="364"/>
        <v>0</v>
      </c>
      <c r="G357" s="3">
        <f t="shared" si="364"/>
        <v>0</v>
      </c>
      <c r="H357" s="3">
        <f t="shared" si="364"/>
        <v>0</v>
      </c>
      <c r="I357" s="3">
        <f t="shared" si="364"/>
        <v>0</v>
      </c>
      <c r="J357" s="3">
        <f t="shared" si="364"/>
        <v>0</v>
      </c>
      <c r="K357" s="3">
        <f t="shared" si="364"/>
        <v>0</v>
      </c>
      <c r="L357" s="3">
        <f t="shared" si="364"/>
        <v>0</v>
      </c>
      <c r="M357" s="3">
        <f t="shared" si="364"/>
        <v>0</v>
      </c>
      <c r="N357" s="3">
        <f t="shared" si="364"/>
        <v>0</v>
      </c>
      <c r="O357" s="3">
        <f t="shared" si="364"/>
        <v>0</v>
      </c>
      <c r="P357" s="3">
        <f t="shared" si="364"/>
        <v>0</v>
      </c>
      <c r="Q357" s="3">
        <f t="shared" si="364"/>
        <v>0</v>
      </c>
      <c r="R357" s="3">
        <f t="shared" si="364"/>
        <v>0</v>
      </c>
      <c r="S357" s="3">
        <f t="shared" si="364"/>
        <v>0</v>
      </c>
      <c r="T357" s="3">
        <f t="shared" si="364"/>
        <v>0</v>
      </c>
      <c r="U357" s="3">
        <f t="shared" si="364"/>
        <v>0</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80">
        <f>AVERAGE(B358:AF358)</f>
        <v>1.5596103674341765E-2</v>
      </c>
      <c r="B358" s="81">
        <f>IF($A$64&lt;=B324,IF($B$64&gt;=B324,ABS((B326-B325)/B325),0),0)</f>
        <v>1.4762935694845325E-3</v>
      </c>
      <c r="C358" s="81">
        <f t="shared" ref="C358:AF358" si="365">IF($A$64&lt;=C324,IF($B$64&gt;=C324,ABS((C326-C325)/C325),0),0)</f>
        <v>5.4208797054366518E-3</v>
      </c>
      <c r="D358" s="81">
        <f t="shared" si="365"/>
        <v>6.8239195062167182E-3</v>
      </c>
      <c r="E358" s="81">
        <f t="shared" si="365"/>
        <v>6.3967655724637279E-3</v>
      </c>
      <c r="F358" s="81">
        <f t="shared" si="365"/>
        <v>6.8897457625105981E-3</v>
      </c>
      <c r="G358" s="81">
        <f t="shared" si="365"/>
        <v>7.4138835729168221E-3</v>
      </c>
      <c r="H358" s="81">
        <f t="shared" si="365"/>
        <v>7.3466676986097589E-3</v>
      </c>
      <c r="I358" s="81">
        <f t="shared" si="365"/>
        <v>6.3215800275968929E-3</v>
      </c>
      <c r="J358" s="81">
        <f t="shared" si="365"/>
        <v>5.8735162448606704E-3</v>
      </c>
      <c r="K358" s="81">
        <f t="shared" si="365"/>
        <v>5.8576321464721554E-3</v>
      </c>
      <c r="L358" s="81">
        <f t="shared" si="365"/>
        <v>5.0849761206214778E-3</v>
      </c>
      <c r="M358" s="81">
        <f t="shared" si="365"/>
        <v>5.1747720979632306E-3</v>
      </c>
      <c r="N358" s="81">
        <f t="shared" si="365"/>
        <v>3.6015884347968294E-3</v>
      </c>
      <c r="O358" s="81">
        <f t="shared" si="365"/>
        <v>3.6947529702989076E-3</v>
      </c>
      <c r="P358" s="81">
        <f t="shared" si="365"/>
        <v>1.929777791843406E-2</v>
      </c>
      <c r="Q358" s="81">
        <f t="shared" si="365"/>
        <v>3.1209578507365002E-2</v>
      </c>
      <c r="R358" s="81">
        <f t="shared" si="365"/>
        <v>2.8790679214431396E-2</v>
      </c>
      <c r="S358" s="81">
        <f t="shared" si="365"/>
        <v>2.561583098064836E-2</v>
      </c>
      <c r="T358" s="81">
        <f t="shared" si="365"/>
        <v>6.9566094176528167E-3</v>
      </c>
      <c r="U358" s="81">
        <f t="shared" si="365"/>
        <v>9.4937388944417195E-4</v>
      </c>
      <c r="V358" s="81">
        <f t="shared" si="365"/>
        <v>1.4264776672366978E-2</v>
      </c>
      <c r="W358" s="81">
        <f t="shared" si="365"/>
        <v>4.4626921102974559E-3</v>
      </c>
      <c r="X358" s="81">
        <f t="shared" si="365"/>
        <v>4.5708978708483491E-3</v>
      </c>
      <c r="Y358" s="81">
        <f t="shared" si="365"/>
        <v>1.4392646723997283E-3</v>
      </c>
      <c r="Z358" s="81">
        <f t="shared" si="365"/>
        <v>3.8651096350667387E-4</v>
      </c>
      <c r="AA358" s="81">
        <f t="shared" si="365"/>
        <v>1.3752064507378127E-3</v>
      </c>
      <c r="AB358" s="81">
        <f t="shared" si="365"/>
        <v>2.9886123246351073E-3</v>
      </c>
      <c r="AC358" s="81">
        <f t="shared" si="365"/>
        <v>2.8618098744150604E-2</v>
      </c>
      <c r="AD358" s="81">
        <f t="shared" si="365"/>
        <v>7.3264058747172012E-2</v>
      </c>
      <c r="AE358" s="81">
        <f t="shared" si="365"/>
        <v>8.0704629215180332E-2</v>
      </c>
      <c r="AF358" s="81">
        <f t="shared" si="365"/>
        <v>8.1207642775074931E-2</v>
      </c>
    </row>
    <row r="359" spans="1:34" x14ac:dyDescent="0.25">
      <c r="B359" s="21">
        <f>(B326-B325)^2</f>
        <v>161.22458182683215</v>
      </c>
      <c r="C359" s="21">
        <f t="shared" ref="C359:AF359" si="366">(C326-C325)^2</f>
        <v>2004.2108017703081</v>
      </c>
      <c r="D359" s="21">
        <f t="shared" si="366"/>
        <v>2952.0845020351649</v>
      </c>
      <c r="E359" s="21">
        <f t="shared" si="366"/>
        <v>2422.3583039373293</v>
      </c>
      <c r="F359" s="21">
        <f t="shared" si="366"/>
        <v>2593.8416061791054</v>
      </c>
      <c r="G359" s="21">
        <f t="shared" si="366"/>
        <v>2717.7744771288262</v>
      </c>
      <c r="H359" s="21">
        <f t="shared" si="366"/>
        <v>2389.166424817296</v>
      </c>
      <c r="I359" s="21">
        <f t="shared" si="366"/>
        <v>1598.9036627914904</v>
      </c>
      <c r="J359" s="21">
        <f t="shared" si="366"/>
        <v>1261.0084102146216</v>
      </c>
      <c r="K359" s="21">
        <f t="shared" si="366"/>
        <v>1140.40407320644</v>
      </c>
      <c r="L359" s="21">
        <f t="shared" si="366"/>
        <v>778.47532801491047</v>
      </c>
      <c r="M359" s="21">
        <f t="shared" si="366"/>
        <v>727.19497632330251</v>
      </c>
      <c r="N359" s="21">
        <f t="shared" si="366"/>
        <v>314.49780035333617</v>
      </c>
      <c r="O359" s="21">
        <f t="shared" si="366"/>
        <v>286.85557286149481</v>
      </c>
      <c r="P359" s="21">
        <f t="shared" si="366"/>
        <v>6635.6517582089045</v>
      </c>
      <c r="Q359" s="21">
        <f t="shared" si="366"/>
        <v>13990.714138941439</v>
      </c>
      <c r="R359" s="21">
        <f t="shared" si="366"/>
        <v>8938.7194849648331</v>
      </c>
      <c r="S359" s="21">
        <f t="shared" si="366"/>
        <v>4835.7488444052178</v>
      </c>
      <c r="T359" s="21">
        <f t="shared" si="366"/>
        <v>217.57341299901708</v>
      </c>
      <c r="U359" s="21">
        <f t="shared" si="366"/>
        <v>2.1632347807141707</v>
      </c>
      <c r="V359" s="21">
        <f t="shared" si="366"/>
        <v>253.00173935214517</v>
      </c>
      <c r="W359" s="21">
        <f t="shared" si="366"/>
        <v>13.377306787751802</v>
      </c>
      <c r="X359" s="21">
        <f t="shared" si="366"/>
        <v>9.4549919839458934</v>
      </c>
      <c r="Y359" s="21">
        <f t="shared" si="366"/>
        <v>0.72663482853832617</v>
      </c>
      <c r="Z359" s="21">
        <f t="shared" si="366"/>
        <v>4.6202597253176894E-2</v>
      </c>
      <c r="AA359" s="21">
        <f t="shared" si="366"/>
        <v>0.52873965394841516</v>
      </c>
      <c r="AB359" s="21">
        <f t="shared" si="366"/>
        <v>2.3924613257863778</v>
      </c>
      <c r="AC359" s="21">
        <f t="shared" si="366"/>
        <v>204.55355127612924</v>
      </c>
      <c r="AD359" s="21">
        <f t="shared" si="366"/>
        <v>1231.3848925590221</v>
      </c>
      <c r="AE359" s="21">
        <f t="shared" si="366"/>
        <v>1473.6960309552016</v>
      </c>
      <c r="AF359" s="21">
        <f t="shared" si="366"/>
        <v>1490.7356555950441</v>
      </c>
      <c r="AG359" s="3"/>
      <c r="AH359" s="3"/>
    </row>
    <row r="360" spans="1:34" x14ac:dyDescent="0.25">
      <c r="A360" s="72">
        <f>SUM(B360:AF360)</f>
        <v>60648.469602675345</v>
      </c>
      <c r="B360" s="60">
        <f>IF($A$64&lt;=B324,IF($B$64&gt;=B324,ABS(B359),0),0)</f>
        <v>161.22458182683215</v>
      </c>
      <c r="C360" s="60">
        <f t="shared" ref="C360:AF360" si="367">IF($A$64&lt;=C324,IF($B$64&gt;=C324,ABS(C359),0),0)</f>
        <v>2004.2108017703081</v>
      </c>
      <c r="D360" s="60">
        <f t="shared" si="367"/>
        <v>2952.0845020351649</v>
      </c>
      <c r="E360" s="60">
        <f t="shared" si="367"/>
        <v>2422.3583039373293</v>
      </c>
      <c r="F360" s="60">
        <f t="shared" si="367"/>
        <v>2593.8416061791054</v>
      </c>
      <c r="G360" s="60">
        <f t="shared" si="367"/>
        <v>2717.7744771288262</v>
      </c>
      <c r="H360" s="60">
        <f t="shared" si="367"/>
        <v>2389.166424817296</v>
      </c>
      <c r="I360" s="60">
        <f t="shared" si="367"/>
        <v>1598.9036627914904</v>
      </c>
      <c r="J360" s="60">
        <f t="shared" si="367"/>
        <v>1261.0084102146216</v>
      </c>
      <c r="K360" s="60">
        <f t="shared" si="367"/>
        <v>1140.40407320644</v>
      </c>
      <c r="L360" s="60">
        <f t="shared" si="367"/>
        <v>778.47532801491047</v>
      </c>
      <c r="M360" s="60">
        <f t="shared" si="367"/>
        <v>727.19497632330251</v>
      </c>
      <c r="N360" s="60">
        <f t="shared" si="367"/>
        <v>314.49780035333617</v>
      </c>
      <c r="O360" s="60">
        <f t="shared" si="367"/>
        <v>286.85557286149481</v>
      </c>
      <c r="P360" s="60">
        <f t="shared" si="367"/>
        <v>6635.6517582089045</v>
      </c>
      <c r="Q360" s="60">
        <f t="shared" si="367"/>
        <v>13990.714138941439</v>
      </c>
      <c r="R360" s="60">
        <f t="shared" si="367"/>
        <v>8938.7194849648331</v>
      </c>
      <c r="S360" s="60">
        <f t="shared" si="367"/>
        <v>4835.7488444052178</v>
      </c>
      <c r="T360" s="60">
        <f t="shared" si="367"/>
        <v>217.57341299901708</v>
      </c>
      <c r="U360" s="60">
        <f t="shared" si="367"/>
        <v>2.1632347807141707</v>
      </c>
      <c r="V360" s="60">
        <f t="shared" si="367"/>
        <v>253.00173935214517</v>
      </c>
      <c r="W360" s="60">
        <f t="shared" si="367"/>
        <v>13.377306787751802</v>
      </c>
      <c r="X360" s="60">
        <f t="shared" si="367"/>
        <v>9.4549919839458934</v>
      </c>
      <c r="Y360" s="60">
        <f t="shared" si="367"/>
        <v>0.72663482853832617</v>
      </c>
      <c r="Z360" s="60">
        <f t="shared" si="367"/>
        <v>4.6202597253176894E-2</v>
      </c>
      <c r="AA360" s="60">
        <f t="shared" si="367"/>
        <v>0.52873965394841516</v>
      </c>
      <c r="AB360" s="60">
        <f t="shared" si="367"/>
        <v>2.3924613257863778</v>
      </c>
      <c r="AC360" s="60">
        <f t="shared" si="367"/>
        <v>204.55355127612924</v>
      </c>
      <c r="AD360" s="60">
        <f t="shared" si="367"/>
        <v>1231.3848925590221</v>
      </c>
      <c r="AE360" s="60">
        <f t="shared" si="367"/>
        <v>1473.6960309552016</v>
      </c>
      <c r="AF360" s="60">
        <f t="shared" si="367"/>
        <v>1490.7356555950441</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7885.0238799750496</v>
      </c>
      <c r="C364" s="26">
        <f>INDEX(Comparison!$AM$3:$AS$33,G$14,$H$122)</f>
        <v>7533.2051738552464</v>
      </c>
      <c r="D364" s="26">
        <f>INDEX(Comparison!$AM$3:$AS$33,H$14,$H$122)</f>
        <v>7191.2405725815324</v>
      </c>
      <c r="E364" s="26">
        <f>INDEX(Comparison!$AM$3:$AS$33,I$14,$H$122)</f>
        <v>6812.4631092957497</v>
      </c>
      <c r="F364" s="26">
        <f>INDEX(Comparison!$AM$3:$AS$33,J$14,$H$122)</f>
        <v>6451.9725248759578</v>
      </c>
      <c r="G364" s="26">
        <f>INDEX(Comparison!$AM$3:$AS$33,K$14,$H$122)</f>
        <v>6166.1047060884439</v>
      </c>
      <c r="H364" s="26">
        <f>INDEX(Comparison!$AM$3:$AS$33,L$14,$H$122)</f>
        <v>5881.0552739751101</v>
      </c>
      <c r="I364" s="26">
        <f>INDEX(Comparison!$AM$3:$AS$33,M$14,$H$122)</f>
        <v>5609.3504910949478</v>
      </c>
      <c r="J364" s="26">
        <f>INDEX(Comparison!$AM$3:$AS$33,N$14,$H$122)</f>
        <v>5323.5276590267758</v>
      </c>
      <c r="K364" s="26">
        <f>INDEX(Comparison!$AM$3:$AS$33,O$14,$H$122)</f>
        <v>5061.2818561056738</v>
      </c>
      <c r="L364" s="26">
        <f>INDEX(Comparison!$AM$3:$AS$33,P$14,$H$122)</f>
        <v>4733.4087396901623</v>
      </c>
      <c r="M364" s="26">
        <f>INDEX(Comparison!$AM$3:$AS$33,Q$14,$H$122)</f>
        <v>4393.7824312927287</v>
      </c>
      <c r="N364" s="26">
        <f>INDEX(Comparison!$AM$3:$AS$33,R$14,$H$122)</f>
        <v>4006.1265808261332</v>
      </c>
      <c r="O364" s="26">
        <f>INDEX(Comparison!$AM$3:$AS$33,S$14,$H$122)</f>
        <v>3576.233277328839</v>
      </c>
      <c r="P364" s="26">
        <f>INDEX(Comparison!$AM$3:$AS$33,T$14,$H$122)</f>
        <v>3059.5283871610445</v>
      </c>
      <c r="Q364" s="26">
        <f>INDEX(Comparison!$AM$3:$AS$33,U$14,$H$122)</f>
        <v>2469.5512794279489</v>
      </c>
      <c r="R364" s="26">
        <f>INDEX(Comparison!$AM$3:$AS$33,V$14,$H$122)</f>
        <v>1842.799668868907</v>
      </c>
      <c r="S364" s="26">
        <f>INDEX(Comparison!$AM$3:$AS$33,W$14,$H$122)</f>
        <v>1328.7737512423464</v>
      </c>
      <c r="T364" s="26">
        <f>INDEX(Comparison!$AM$3:$AS$33,X$14,$H$122)</f>
        <v>948.83583319405307</v>
      </c>
      <c r="U364" s="26">
        <f>INDEX(Comparison!$AM$3:$AS$33,Y$14,$H$122)</f>
        <v>739.39486681916139</v>
      </c>
      <c r="V364" s="26">
        <f>INDEX(Comparison!$AM$3:$AS$33,Z$14,$H$122)</f>
        <v>624.14790659062351</v>
      </c>
      <c r="W364" s="26">
        <f>INDEX(Comparison!$AM$3:$AS$33,AA$14,$H$122)</f>
        <v>574.84813415628378</v>
      </c>
      <c r="X364" s="26">
        <f>INDEX(Comparison!$AM$3:$AS$33,AB$14,$H$122)</f>
        <v>540.01941971549797</v>
      </c>
      <c r="Y364" s="26">
        <f>INDEX(Comparison!$AM$3:$AS$33,AC$14,$H$122)</f>
        <v>522.91431442377564</v>
      </c>
      <c r="Z364" s="26">
        <f>INDEX(Comparison!$AM$3:$AS$33,AD$14,$H$122)</f>
        <v>512.28225991416207</v>
      </c>
      <c r="AA364" s="26">
        <f>INDEX(Comparison!$AM$3:$AS$33,AE$14,$H$122)</f>
        <v>486.30628203230003</v>
      </c>
      <c r="AB364" s="26">
        <f>INDEX(Comparison!$AM$3:$AS$33,AF$14,$H$122)</f>
        <v>477.16338311456207</v>
      </c>
      <c r="AC364" s="26">
        <f>INDEX(Comparison!$AM$3:$AS$33,AG$14,$H$122)</f>
        <v>476.22593072507385</v>
      </c>
      <c r="AD364" s="26">
        <f>INDEX(Comparison!$AM$3:$AS$33,AH$14,$H$122)</f>
        <v>475.98047490013522</v>
      </c>
      <c r="AE364" s="26">
        <f>INDEX(Comparison!$AM$3:$AS$33,AI$14,$H$122)</f>
        <v>475.76724400704541</v>
      </c>
      <c r="AF364" s="26">
        <f>INDEX(Comparison!$AM$3:$AS$33,AJ$14,$H$122)</f>
        <v>475.55412653805064</v>
      </c>
      <c r="AG364" s="26"/>
      <c r="AH364" s="26"/>
    </row>
    <row r="365" spans="1:34" x14ac:dyDescent="0.25">
      <c r="A365" s="71" t="s">
        <v>22</v>
      </c>
      <c r="B365" s="27">
        <f>($C$17+SUM(B366:B396))*$B$51</f>
        <v>7878.6112332703087</v>
      </c>
      <c r="C365" s="27">
        <f t="shared" ref="C365:AF365" si="368">($C$17+SUM(C366:C396))*$B$51</f>
        <v>7602.8612259115644</v>
      </c>
      <c r="D365" s="27">
        <f t="shared" si="368"/>
        <v>7269.4052590172205</v>
      </c>
      <c r="E365" s="27">
        <f t="shared" si="368"/>
        <v>6885.9051807801952</v>
      </c>
      <c r="F365" s="27">
        <f t="shared" si="368"/>
        <v>6516.7257478968668</v>
      </c>
      <c r="G365" s="27">
        <f t="shared" si="368"/>
        <v>6219.6672697701269</v>
      </c>
      <c r="H365" s="27">
        <f t="shared" si="368"/>
        <v>5939.6865288759745</v>
      </c>
      <c r="I365" s="27">
        <f t="shared" si="368"/>
        <v>5656.9775561215092</v>
      </c>
      <c r="J365" s="27">
        <f t="shared" si="368"/>
        <v>5379.9894168599712</v>
      </c>
      <c r="K365" s="27">
        <f t="shared" si="368"/>
        <v>5105.2647052744078</v>
      </c>
      <c r="L365" s="27">
        <f t="shared" si="368"/>
        <v>4773.1746664760967</v>
      </c>
      <c r="M365" s="27">
        <f t="shared" si="368"/>
        <v>4378.2932376401031</v>
      </c>
      <c r="N365" s="27">
        <f t="shared" si="368"/>
        <v>3933.8203448651097</v>
      </c>
      <c r="O365" s="27">
        <f t="shared" si="368"/>
        <v>3468.1690268659663</v>
      </c>
      <c r="P365" s="27">
        <f t="shared" si="368"/>
        <v>2952.4007431619416</v>
      </c>
      <c r="Q365" s="27">
        <f t="shared" si="368"/>
        <v>2454.8760620223288</v>
      </c>
      <c r="R365" s="27">
        <f t="shared" si="368"/>
        <v>1800.3273067013413</v>
      </c>
      <c r="S365" s="27">
        <f t="shared" si="368"/>
        <v>1334.0605623680574</v>
      </c>
      <c r="T365" s="27">
        <f t="shared" si="368"/>
        <v>946.32050221506347</v>
      </c>
      <c r="U365" s="27">
        <f t="shared" si="368"/>
        <v>740.7176965673832</v>
      </c>
      <c r="V365" s="27">
        <f t="shared" si="368"/>
        <v>625.13493540309105</v>
      </c>
      <c r="W365" s="27">
        <f t="shared" si="368"/>
        <v>572.91604727932452</v>
      </c>
      <c r="X365" s="27">
        <f t="shared" si="368"/>
        <v>541.25687478784516</v>
      </c>
      <c r="Y365" s="27">
        <f t="shared" si="368"/>
        <v>520.42483823606904</v>
      </c>
      <c r="Z365" s="27">
        <f t="shared" si="368"/>
        <v>514.5920755256551</v>
      </c>
      <c r="AA365" s="27">
        <f t="shared" si="368"/>
        <v>514.05847339450497</v>
      </c>
      <c r="AB365" s="27">
        <f t="shared" si="368"/>
        <v>514.05847337975968</v>
      </c>
      <c r="AC365" s="27">
        <f t="shared" si="368"/>
        <v>514.05847337975968</v>
      </c>
      <c r="AD365" s="27">
        <f t="shared" si="368"/>
        <v>514.05847337975968</v>
      </c>
      <c r="AE365" s="27">
        <f t="shared" si="368"/>
        <v>514.05847337975968</v>
      </c>
      <c r="AF365" s="27">
        <f t="shared" si="368"/>
        <v>514.05847337975968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2.4476641869734212E-177</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4.8179124270126304E-18</v>
      </c>
      <c r="C370" s="3">
        <f t="shared" si="373"/>
        <v>3.5843189491619266E-160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1.1243021967329825E-3</v>
      </c>
      <c r="C371" s="3">
        <f t="shared" si="374"/>
        <v>1.697126719875274E-16</v>
      </c>
      <c r="D371" s="3">
        <f t="shared" si="374"/>
        <v>1.0423807684881592E-144</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1.9519956690636695E-2</v>
      </c>
      <c r="C372" s="3">
        <f t="shared" si="375"/>
        <v>1.3611398946156441E-3</v>
      </c>
      <c r="D372" s="3">
        <f t="shared" si="375"/>
        <v>3.6994903418917804E-15</v>
      </c>
      <c r="E372" s="3">
        <f t="shared" si="375"/>
        <v>8.1382915530993992E-131</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3.2050177106368094E-2</v>
      </c>
      <c r="C373" s="3">
        <f t="shared" si="376"/>
        <v>2.5205635345016329E-2</v>
      </c>
      <c r="D373" s="3">
        <f t="shared" si="376"/>
        <v>2.2812338174458134E-3</v>
      </c>
      <c r="E373" s="3">
        <f t="shared" si="376"/>
        <v>8.4118461670679916E-14</v>
      </c>
      <c r="F373" s="3">
        <f t="shared" si="376"/>
        <v>3.9093677881558556E-118</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3.9976432494533108E-2</v>
      </c>
      <c r="C374" s="3">
        <f t="shared" si="377"/>
        <v>3.9119414837140182E-2</v>
      </c>
      <c r="D374" s="3">
        <f t="shared" si="377"/>
        <v>3.1497457477155169E-2</v>
      </c>
      <c r="E374" s="3">
        <f t="shared" si="377"/>
        <v>3.6066747795246989E-3</v>
      </c>
      <c r="F374" s="3">
        <f t="shared" si="377"/>
        <v>1.3977253104788462E-12</v>
      </c>
      <c r="G374" s="3">
        <f t="shared" si="377"/>
        <v>1.0679976471879099E-106</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3.975727607812872E-2</v>
      </c>
      <c r="C375" s="3">
        <f t="shared" si="378"/>
        <v>3.9679629583418745E-2</v>
      </c>
      <c r="D375" s="3">
        <f t="shared" si="378"/>
        <v>3.8911456415254252E-2</v>
      </c>
      <c r="E375" s="3">
        <f t="shared" si="378"/>
        <v>3.2001936302507444E-2</v>
      </c>
      <c r="F375" s="3">
        <f t="shared" si="378"/>
        <v>4.5306859329128585E-3</v>
      </c>
      <c r="G375" s="3">
        <f t="shared" si="378"/>
        <v>1.4656861122493692E-11</v>
      </c>
      <c r="H375" s="3">
        <f t="shared" si="378"/>
        <v>1.8399716082493459E-96</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2.9423776480911146E-2</v>
      </c>
      <c r="C376" s="3">
        <f t="shared" si="379"/>
        <v>2.9418588045911319E-2</v>
      </c>
      <c r="D376" s="3">
        <f t="shared" si="379"/>
        <v>2.9366753988886576E-2</v>
      </c>
      <c r="E376" s="3">
        <f t="shared" si="379"/>
        <v>2.8853410054245191E-2</v>
      </c>
      <c r="F376" s="3">
        <f t="shared" si="379"/>
        <v>2.4188513260230877E-2</v>
      </c>
      <c r="G376" s="3">
        <f t="shared" si="379"/>
        <v>4.1469562261502333E-3</v>
      </c>
      <c r="H376" s="3">
        <f t="shared" si="379"/>
        <v>9.0977124987082741E-11</v>
      </c>
      <c r="I376" s="3">
        <f t="shared" si="379"/>
        <v>2.3494152351915239E-87</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2.8571366608608404E-2</v>
      </c>
      <c r="C377" s="3">
        <f t="shared" si="380"/>
        <v>2.8570912091315612E-2</v>
      </c>
      <c r="D377" s="3">
        <f t="shared" si="380"/>
        <v>2.856636731604759E-2</v>
      </c>
      <c r="E377" s="3">
        <f t="shared" si="380"/>
        <v>2.8520959305958344E-2</v>
      </c>
      <c r="F377" s="3">
        <f t="shared" si="380"/>
        <v>2.8070830170652674E-2</v>
      </c>
      <c r="G377" s="3">
        <f t="shared" si="380"/>
        <v>2.394233670559907E-2</v>
      </c>
      <c r="H377" s="3">
        <f t="shared" si="380"/>
        <v>4.8784213504840983E-3</v>
      </c>
      <c r="I377" s="3">
        <f t="shared" si="380"/>
        <v>6.0173745403804516E-10</v>
      </c>
      <c r="J377" s="3">
        <f t="shared" si="380"/>
        <v>4.9055127507000251E-79</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2.9426847213375212E-2</v>
      </c>
      <c r="C378" s="3">
        <f t="shared" si="381"/>
        <v>2.9426804984174101E-2</v>
      </c>
      <c r="D378" s="3">
        <f t="shared" si="381"/>
        <v>2.9426382695496033E-2</v>
      </c>
      <c r="E378" s="3">
        <f t="shared" si="381"/>
        <v>2.9422160142003405E-2</v>
      </c>
      <c r="F378" s="3">
        <f t="shared" si="381"/>
        <v>2.9379967918193379E-2</v>
      </c>
      <c r="G378" s="3">
        <f t="shared" si="381"/>
        <v>2.8961359172158686E-2</v>
      </c>
      <c r="H378" s="3">
        <f t="shared" si="381"/>
        <v>2.5089682425314598E-2</v>
      </c>
      <c r="I378" s="3">
        <f t="shared" si="381"/>
        <v>5.9738925902012999E-3</v>
      </c>
      <c r="J378" s="3">
        <f t="shared" si="381"/>
        <v>3.4984837843190561E-9</v>
      </c>
      <c r="K378" s="3">
        <f t="shared" si="381"/>
        <v>1.6599859804391953E-71</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2.8440803097461213E-2</v>
      </c>
      <c r="C379" s="3">
        <f t="shared" si="382"/>
        <v>2.8440799415680982E-2</v>
      </c>
      <c r="D379" s="3">
        <f t="shared" si="382"/>
        <v>2.8440762597904908E-2</v>
      </c>
      <c r="E379" s="3">
        <f t="shared" si="382"/>
        <v>2.8440394422765542E-2</v>
      </c>
      <c r="F379" s="3">
        <f t="shared" si="382"/>
        <v>2.8436712933499971E-2</v>
      </c>
      <c r="G379" s="3">
        <f t="shared" si="382"/>
        <v>2.8399924241098738E-2</v>
      </c>
      <c r="H379" s="3">
        <f t="shared" si="382"/>
        <v>2.8034644836462983E-2</v>
      </c>
      <c r="I379" s="3">
        <f t="shared" si="382"/>
        <v>2.4630534033715169E-2</v>
      </c>
      <c r="J379" s="3">
        <f t="shared" si="382"/>
        <v>6.7493434020647978E-3</v>
      </c>
      <c r="K379" s="3">
        <f t="shared" si="382"/>
        <v>1.6111593512082971E-8</v>
      </c>
      <c r="L379" s="3">
        <f t="shared" si="382"/>
        <v>9.680732196811999E-65</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2.6740342440969487E-2</v>
      </c>
      <c r="C380" s="3">
        <f t="shared" si="383"/>
        <v>2.6740342128699975E-2</v>
      </c>
      <c r="D380" s="3">
        <f t="shared" si="383"/>
        <v>2.6740339006005039E-2</v>
      </c>
      <c r="E380" s="3">
        <f t="shared" si="383"/>
        <v>2.6740307779075743E-2</v>
      </c>
      <c r="F380" s="3">
        <f t="shared" si="383"/>
        <v>2.6739995511788437E-2</v>
      </c>
      <c r="G380" s="3">
        <f t="shared" si="383"/>
        <v>2.6736873039470602E-2</v>
      </c>
      <c r="H380" s="3">
        <f t="shared" si="383"/>
        <v>2.6705668363155251E-2</v>
      </c>
      <c r="I380" s="3">
        <f t="shared" si="383"/>
        <v>2.6395617651439392E-2</v>
      </c>
      <c r="J380" s="3">
        <f t="shared" si="383"/>
        <v>2.3486353969511365E-2</v>
      </c>
      <c r="K380" s="3">
        <f t="shared" si="383"/>
        <v>7.3055569933503043E-3</v>
      </c>
      <c r="L380" s="3">
        <f t="shared" si="383"/>
        <v>6.1948478670077051E-8</v>
      </c>
      <c r="M380" s="3">
        <f t="shared" si="383"/>
        <v>1.1907038776145063E-58</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3.6384067057470992E-2</v>
      </c>
      <c r="C381" s="3">
        <f t="shared" si="384"/>
        <v>3.638406701914261E-2</v>
      </c>
      <c r="D381" s="3">
        <f t="shared" si="384"/>
        <v>3.6384066635858817E-2</v>
      </c>
      <c r="E381" s="3">
        <f t="shared" si="384"/>
        <v>3.6384062803021103E-2</v>
      </c>
      <c r="F381" s="3">
        <f t="shared" si="384"/>
        <v>3.6384024474666175E-2</v>
      </c>
      <c r="G381" s="3">
        <f t="shared" si="384"/>
        <v>3.6383641193337611E-2</v>
      </c>
      <c r="H381" s="3">
        <f t="shared" si="384"/>
        <v>3.6379808602113636E-2</v>
      </c>
      <c r="I381" s="3">
        <f t="shared" si="384"/>
        <v>3.6341504887385606E-2</v>
      </c>
      <c r="J381" s="3">
        <f t="shared" si="384"/>
        <v>3.5960678863632405E-2</v>
      </c>
      <c r="K381" s="3">
        <f t="shared" si="384"/>
        <v>3.2365150130530755E-2</v>
      </c>
      <c r="L381" s="3">
        <f t="shared" si="384"/>
        <v>1.1286910144549769E-2</v>
      </c>
      <c r="M381" s="3">
        <f t="shared" si="384"/>
        <v>3.0029595682486372E-7</v>
      </c>
      <c r="N381" s="3">
        <f t="shared" si="384"/>
        <v>5.33695643553381E-53</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4.1964426445725435E-2</v>
      </c>
      <c r="C382" s="3">
        <f t="shared" si="385"/>
        <v>4.1964426441737597E-2</v>
      </c>
      <c r="D382" s="3">
        <f t="shared" si="385"/>
        <v>4.1964426401859253E-2</v>
      </c>
      <c r="E382" s="3">
        <f t="shared" si="385"/>
        <v>4.196442600307583E-2</v>
      </c>
      <c r="F382" s="3">
        <f t="shared" si="385"/>
        <v>4.1964422015241823E-2</v>
      </c>
      <c r="G382" s="3">
        <f t="shared" si="385"/>
        <v>4.1964382136922551E-2</v>
      </c>
      <c r="H382" s="3">
        <f t="shared" si="385"/>
        <v>4.1963983355814131E-2</v>
      </c>
      <c r="I382" s="3">
        <f t="shared" si="385"/>
        <v>4.1959995753149536E-2</v>
      </c>
      <c r="J382" s="3">
        <f t="shared" si="385"/>
        <v>4.1920140561140594E-2</v>
      </c>
      <c r="K382" s="3">
        <f t="shared" si="385"/>
        <v>4.1523664797732875E-2</v>
      </c>
      <c r="L382" s="3">
        <f t="shared" si="385"/>
        <v>3.7759404781963213E-2</v>
      </c>
      <c r="M382" s="3">
        <f t="shared" si="385"/>
        <v>1.4598887826724003E-2</v>
      </c>
      <c r="N382" s="3">
        <f t="shared" si="385"/>
        <v>1.0895974809612897E-6</v>
      </c>
      <c r="O382" s="3">
        <f t="shared" si="385"/>
        <v>5.8442566514490676E-48</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4.8106928296963863E-2</v>
      </c>
      <c r="C383" s="3">
        <f t="shared" si="386"/>
        <v>4.8106928296551464E-2</v>
      </c>
      <c r="D383" s="3">
        <f t="shared" si="386"/>
        <v>4.8106928292427548E-2</v>
      </c>
      <c r="E383" s="3">
        <f t="shared" si="386"/>
        <v>4.8106928251188369E-2</v>
      </c>
      <c r="F383" s="3">
        <f t="shared" si="386"/>
        <v>4.8106927838796568E-2</v>
      </c>
      <c r="G383" s="3">
        <f t="shared" si="386"/>
        <v>4.8106923714878749E-2</v>
      </c>
      <c r="H383" s="3">
        <f t="shared" si="386"/>
        <v>4.8106882475720002E-2</v>
      </c>
      <c r="I383" s="3">
        <f t="shared" si="386"/>
        <v>4.8106470086076901E-2</v>
      </c>
      <c r="J383" s="3">
        <f t="shared" si="386"/>
        <v>4.8102346384074256E-2</v>
      </c>
      <c r="K383" s="3">
        <f t="shared" si="386"/>
        <v>4.8061128800727076E-2</v>
      </c>
      <c r="L383" s="3">
        <f t="shared" si="386"/>
        <v>4.7650890484386241E-2</v>
      </c>
      <c r="M383" s="3">
        <f t="shared" si="386"/>
        <v>4.3736252021162283E-2</v>
      </c>
      <c r="N383" s="3">
        <f t="shared" si="386"/>
        <v>1.855867590404741E-2</v>
      </c>
      <c r="O383" s="3">
        <f t="shared" si="386"/>
        <v>3.5123778482099868E-6</v>
      </c>
      <c r="P383" s="3">
        <f t="shared" si="386"/>
        <v>2.0708261869681926E-43</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4.6100301020192427E-2</v>
      </c>
      <c r="C384" s="3">
        <f t="shared" si="387"/>
        <v>4.6100301020156782E-2</v>
      </c>
      <c r="D384" s="3">
        <f t="shared" si="387"/>
        <v>4.6100301019800283E-2</v>
      </c>
      <c r="E384" s="3">
        <f t="shared" si="387"/>
        <v>4.6100301016235343E-2</v>
      </c>
      <c r="F384" s="3">
        <f t="shared" si="387"/>
        <v>4.6100300980585901E-2</v>
      </c>
      <c r="G384" s="3">
        <f t="shared" si="387"/>
        <v>4.6100300624091463E-2</v>
      </c>
      <c r="H384" s="3">
        <f t="shared" si="387"/>
        <v>4.6100297059147331E-2</v>
      </c>
      <c r="I384" s="3">
        <f t="shared" si="387"/>
        <v>4.6100261409721101E-2</v>
      </c>
      <c r="J384" s="3">
        <f t="shared" si="387"/>
        <v>4.6099904916975028E-2</v>
      </c>
      <c r="K384" s="3">
        <f t="shared" si="387"/>
        <v>4.6096340141132293E-2</v>
      </c>
      <c r="L384" s="3">
        <f t="shared" si="387"/>
        <v>4.6060707540162664E-2</v>
      </c>
      <c r="M384" s="3">
        <f t="shared" si="387"/>
        <v>4.5705892948325569E-2</v>
      </c>
      <c r="N384" s="3">
        <f t="shared" si="387"/>
        <v>4.2304652320836883E-2</v>
      </c>
      <c r="O384" s="3">
        <f t="shared" si="387"/>
        <v>1.9523040304360591E-2</v>
      </c>
      <c r="P384" s="3">
        <f t="shared" si="387"/>
        <v>8.5534369376566773E-6</v>
      </c>
      <c r="Q384" s="3">
        <f t="shared" si="387"/>
        <v>2.2288083546126295E-39</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6.1544571271861519E-2</v>
      </c>
      <c r="C385" s="3">
        <f t="shared" si="388"/>
        <v>6.154457127185723E-2</v>
      </c>
      <c r="D385" s="3">
        <f t="shared" si="388"/>
        <v>6.15445712718143E-2</v>
      </c>
      <c r="E385" s="3">
        <f t="shared" si="388"/>
        <v>6.1544571271384969E-2</v>
      </c>
      <c r="F385" s="3">
        <f t="shared" si="388"/>
        <v>6.1544571267091723E-2</v>
      </c>
      <c r="G385" s="3">
        <f t="shared" si="388"/>
        <v>6.1544571224159315E-2</v>
      </c>
      <c r="H385" s="3">
        <f t="shared" si="388"/>
        <v>6.1544570794835156E-2</v>
      </c>
      <c r="I385" s="3">
        <f t="shared" si="388"/>
        <v>6.1544566501593727E-2</v>
      </c>
      <c r="J385" s="3">
        <f t="shared" si="388"/>
        <v>6.1544523569195916E-2</v>
      </c>
      <c r="K385" s="3">
        <f t="shared" si="388"/>
        <v>6.1544094246865008E-2</v>
      </c>
      <c r="L385" s="3">
        <f t="shared" si="388"/>
        <v>6.1539801188270189E-2</v>
      </c>
      <c r="M385" s="3">
        <f t="shared" si="388"/>
        <v>6.1496887069495271E-2</v>
      </c>
      <c r="N385" s="3">
        <f t="shared" si="388"/>
        <v>6.1069388356729391E-2</v>
      </c>
      <c r="O385" s="3">
        <f t="shared" si="388"/>
        <v>5.6954487351868602E-2</v>
      </c>
      <c r="P385" s="3">
        <f t="shared" si="388"/>
        <v>2.8351217590553351E-2</v>
      </c>
      <c r="Q385" s="3">
        <f t="shared" si="388"/>
        <v>2.6485574351768129E-5</v>
      </c>
      <c r="R385" s="3">
        <f t="shared" si="388"/>
        <v>1.3408685248228066E-35</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2.0548359308290489E-2</v>
      </c>
      <c r="C386" s="3">
        <f t="shared" si="389"/>
        <v>2.0548359308290361E-2</v>
      </c>
      <c r="D386" s="3">
        <f t="shared" si="389"/>
        <v>2.0548359308289067E-2</v>
      </c>
      <c r="E386" s="3">
        <f t="shared" si="389"/>
        <v>2.0548359308276136E-2</v>
      </c>
      <c r="F386" s="3">
        <f t="shared" si="389"/>
        <v>2.054835930814683E-2</v>
      </c>
      <c r="G386" s="3">
        <f t="shared" si="389"/>
        <v>2.0548359306853767E-2</v>
      </c>
      <c r="H386" s="3">
        <f t="shared" si="389"/>
        <v>2.0548359293923148E-2</v>
      </c>
      <c r="I386" s="3">
        <f t="shared" si="389"/>
        <v>2.0548359164616958E-2</v>
      </c>
      <c r="J386" s="3">
        <f t="shared" si="389"/>
        <v>2.0548357871555088E-2</v>
      </c>
      <c r="K386" s="3">
        <f t="shared" si="389"/>
        <v>2.0548344940940884E-2</v>
      </c>
      <c r="L386" s="3">
        <f t="shared" si="389"/>
        <v>2.0548215635246354E-2</v>
      </c>
      <c r="M386" s="3">
        <f t="shared" si="389"/>
        <v>2.0546922623053115E-2</v>
      </c>
      <c r="N386" s="3">
        <f t="shared" si="389"/>
        <v>2.0533996975284036E-2</v>
      </c>
      <c r="O386" s="3">
        <f t="shared" si="389"/>
        <v>2.0405186873945266E-2</v>
      </c>
      <c r="P386" s="3">
        <f t="shared" si="389"/>
        <v>1.9160701448239684E-2</v>
      </c>
      <c r="Q386" s="3">
        <f t="shared" si="389"/>
        <v>1.0212208643499822E-2</v>
      </c>
      <c r="R386" s="3">
        <f t="shared" si="389"/>
        <v>1.8888715761232035E-5</v>
      </c>
      <c r="S386" s="3">
        <f t="shared" si="389"/>
        <v>8.8517665761248125E-33</v>
      </c>
      <c r="T386" s="3">
        <f t="shared" si="389"/>
        <v>4.5217356455384653E-306</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6.8598536150208833E-2</v>
      </c>
      <c r="C387" s="3">
        <f t="shared" si="390"/>
        <v>6.8598536150208722E-2</v>
      </c>
      <c r="D387" s="3">
        <f t="shared" si="390"/>
        <v>6.8598536150207529E-2</v>
      </c>
      <c r="E387" s="3">
        <f t="shared" si="390"/>
        <v>6.859853615019558E-2</v>
      </c>
      <c r="F387" s="3">
        <f t="shared" si="390"/>
        <v>6.8598536150076189E-2</v>
      </c>
      <c r="G387" s="3">
        <f t="shared" si="390"/>
        <v>6.8598536148882283E-2</v>
      </c>
      <c r="H387" s="3">
        <f t="shared" si="390"/>
        <v>6.8598536136943236E-2</v>
      </c>
      <c r="I387" s="3">
        <f t="shared" si="390"/>
        <v>6.8598536017552697E-2</v>
      </c>
      <c r="J387" s="3">
        <f t="shared" si="390"/>
        <v>6.8598534823647417E-2</v>
      </c>
      <c r="K387" s="3">
        <f t="shared" si="390"/>
        <v>6.8598522884595683E-2</v>
      </c>
      <c r="L387" s="3">
        <f t="shared" si="390"/>
        <v>6.8598403494192634E-2</v>
      </c>
      <c r="M387" s="3">
        <f t="shared" si="390"/>
        <v>6.8597209601590492E-2</v>
      </c>
      <c r="N387" s="3">
        <f t="shared" si="390"/>
        <v>6.8585271818333099E-2</v>
      </c>
      <c r="O387" s="3">
        <f t="shared" si="390"/>
        <v>6.8466008188598423E-2</v>
      </c>
      <c r="P387" s="3">
        <f t="shared" si="390"/>
        <v>6.7284718974594662E-2</v>
      </c>
      <c r="Q387" s="3">
        <f t="shared" si="390"/>
        <v>5.6536744118091016E-2</v>
      </c>
      <c r="R387" s="3">
        <f t="shared" si="390"/>
        <v>9.9191466181484025E-3</v>
      </c>
      <c r="S387" s="3">
        <f t="shared" si="390"/>
        <v>2.7410027008841767E-10</v>
      </c>
      <c r="T387" s="3">
        <f t="shared" si="390"/>
        <v>7.1164106455570346E-86</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4.2430467850210242E-2</v>
      </c>
      <c r="C388" s="3">
        <f t="shared" si="391"/>
        <v>4.2430467850210235E-2</v>
      </c>
      <c r="D388" s="3">
        <f t="shared" si="391"/>
        <v>4.2430467850210159E-2</v>
      </c>
      <c r="E388" s="3">
        <f t="shared" si="391"/>
        <v>4.2430467850209423E-2</v>
      </c>
      <c r="F388" s="3">
        <f t="shared" si="391"/>
        <v>4.2430467850202033E-2</v>
      </c>
      <c r="G388" s="3">
        <f t="shared" si="391"/>
        <v>4.243046785012819E-2</v>
      </c>
      <c r="H388" s="3">
        <f t="shared" si="391"/>
        <v>4.2430467849389718E-2</v>
      </c>
      <c r="I388" s="3">
        <f t="shared" si="391"/>
        <v>4.2430467842005021E-2</v>
      </c>
      <c r="J388" s="3">
        <f t="shared" si="391"/>
        <v>4.2430467768158016E-2</v>
      </c>
      <c r="K388" s="3">
        <f t="shared" si="391"/>
        <v>4.2430467029688036E-2</v>
      </c>
      <c r="L388" s="3">
        <f t="shared" si="391"/>
        <v>4.2430459644988899E-2</v>
      </c>
      <c r="M388" s="3">
        <f t="shared" si="391"/>
        <v>4.243038579806821E-2</v>
      </c>
      <c r="N388" s="3">
        <f t="shared" si="391"/>
        <v>4.242964733593018E-2</v>
      </c>
      <c r="O388" s="3">
        <f t="shared" si="391"/>
        <v>4.2422263421387212E-2</v>
      </c>
      <c r="P388" s="3">
        <f t="shared" si="391"/>
        <v>4.2348494914198141E-2</v>
      </c>
      <c r="Q388" s="3">
        <f t="shared" si="391"/>
        <v>4.1617828389378511E-2</v>
      </c>
      <c r="R388" s="3">
        <f t="shared" si="391"/>
        <v>3.496984977063422E-2</v>
      </c>
      <c r="S388" s="3">
        <f t="shared" si="391"/>
        <v>6.1353208873333384E-3</v>
      </c>
      <c r="T388" s="3">
        <f t="shared" si="391"/>
        <v>1.6954010027639844E-10</v>
      </c>
      <c r="U388" s="3">
        <f t="shared" si="391"/>
        <v>4.4017358102805874E-86</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4.2564807754428377E-2</v>
      </c>
      <c r="C389" s="3">
        <f t="shared" si="392"/>
        <v>4.2564807754428377E-2</v>
      </c>
      <c r="D389" s="3">
        <f t="shared" si="392"/>
        <v>4.256480775442837E-2</v>
      </c>
      <c r="E389" s="3">
        <f t="shared" si="392"/>
        <v>4.2564807754428294E-2</v>
      </c>
      <c r="F389" s="3">
        <f t="shared" si="392"/>
        <v>4.2564807754427551E-2</v>
      </c>
      <c r="G389" s="3">
        <f t="shared" si="392"/>
        <v>4.2564807754420148E-2</v>
      </c>
      <c r="H389" s="3">
        <f t="shared" si="392"/>
        <v>4.2564807754346068E-2</v>
      </c>
      <c r="I389" s="3">
        <f t="shared" si="392"/>
        <v>4.2564807753605258E-2</v>
      </c>
      <c r="J389" s="3">
        <f t="shared" si="392"/>
        <v>4.2564807746197177E-2</v>
      </c>
      <c r="K389" s="3">
        <f t="shared" si="392"/>
        <v>4.2564807672116366E-2</v>
      </c>
      <c r="L389" s="3">
        <f t="shared" si="392"/>
        <v>4.2564806931308305E-2</v>
      </c>
      <c r="M389" s="3">
        <f t="shared" si="392"/>
        <v>4.2564799523228322E-2</v>
      </c>
      <c r="N389" s="3">
        <f t="shared" si="392"/>
        <v>4.2564725442499514E-2</v>
      </c>
      <c r="O389" s="3">
        <f t="shared" si="392"/>
        <v>4.2563984642302585E-2</v>
      </c>
      <c r="P389" s="3">
        <f t="shared" si="392"/>
        <v>4.255657734940857E-2</v>
      </c>
      <c r="Q389" s="3">
        <f t="shared" si="392"/>
        <v>4.2482575282358104E-2</v>
      </c>
      <c r="R389" s="3">
        <f t="shared" si="392"/>
        <v>4.1749595380478711E-2</v>
      </c>
      <c r="S389" s="3">
        <f t="shared" si="392"/>
        <v>3.5080568471292768E-2</v>
      </c>
      <c r="T389" s="3">
        <f t="shared" si="392"/>
        <v>6.1547460424662389E-3</v>
      </c>
      <c r="U389" s="3">
        <f t="shared" si="392"/>
        <v>1.7007688438428687E-10</v>
      </c>
      <c r="V389" s="3">
        <f t="shared" si="392"/>
        <v>4.4156722290170988E-86</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1.7794430151868639E-2</v>
      </c>
      <c r="C390" s="3">
        <f t="shared" si="393"/>
        <v>1.7794430151868639E-2</v>
      </c>
      <c r="D390" s="3">
        <f t="shared" si="393"/>
        <v>1.7794430151868639E-2</v>
      </c>
      <c r="E390" s="3">
        <f t="shared" si="393"/>
        <v>1.7794430151868636E-2</v>
      </c>
      <c r="F390" s="3">
        <f t="shared" si="393"/>
        <v>1.7794430151868604E-2</v>
      </c>
      <c r="G390" s="3">
        <f t="shared" si="393"/>
        <v>1.7794430151868296E-2</v>
      </c>
      <c r="H390" s="3">
        <f t="shared" si="393"/>
        <v>1.7794430151865197E-2</v>
      </c>
      <c r="I390" s="3">
        <f t="shared" si="393"/>
        <v>1.7794430151834229E-2</v>
      </c>
      <c r="J390" s="3">
        <f t="shared" si="393"/>
        <v>1.7794430151524529E-2</v>
      </c>
      <c r="K390" s="3">
        <f t="shared" si="393"/>
        <v>1.7794430148427545E-2</v>
      </c>
      <c r="L390" s="3">
        <f t="shared" si="393"/>
        <v>1.7794430117457693E-2</v>
      </c>
      <c r="M390" s="3">
        <f t="shared" si="393"/>
        <v>1.7794429807759186E-2</v>
      </c>
      <c r="N390" s="3">
        <f t="shared" si="393"/>
        <v>1.779442671077441E-2</v>
      </c>
      <c r="O390" s="3">
        <f t="shared" si="393"/>
        <v>1.7794395740956287E-2</v>
      </c>
      <c r="P390" s="3">
        <f t="shared" si="393"/>
        <v>1.77940860457396E-2</v>
      </c>
      <c r="Q390" s="3">
        <f t="shared" si="393"/>
        <v>1.7790989390005188E-2</v>
      </c>
      <c r="R390" s="3">
        <f t="shared" si="393"/>
        <v>1.7760052456827415E-2</v>
      </c>
      <c r="S390" s="3">
        <f t="shared" si="393"/>
        <v>1.7453626553485719E-2</v>
      </c>
      <c r="T390" s="3">
        <f t="shared" si="393"/>
        <v>1.4665606595752086E-2</v>
      </c>
      <c r="U390" s="3">
        <f t="shared" si="393"/>
        <v>2.5730222766896229E-3</v>
      </c>
      <c r="V390" s="3">
        <f t="shared" si="393"/>
        <v>7.1101489688010323E-11</v>
      </c>
      <c r="W390" s="3">
        <f t="shared" si="393"/>
        <v>1.8459937962392445E-86</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1.1846247724533283E-2</v>
      </c>
      <c r="C391" s="3">
        <f t="shared" si="394"/>
        <v>1.1846247724533283E-2</v>
      </c>
      <c r="D391" s="3">
        <f t="shared" si="394"/>
        <v>1.1846247724533283E-2</v>
      </c>
      <c r="E391" s="3">
        <f t="shared" si="394"/>
        <v>1.1846247724533283E-2</v>
      </c>
      <c r="F391" s="3">
        <f t="shared" si="394"/>
        <v>1.184624772453328E-2</v>
      </c>
      <c r="G391" s="3">
        <f t="shared" si="394"/>
        <v>1.184624772453326E-2</v>
      </c>
      <c r="H391" s="3">
        <f t="shared" si="394"/>
        <v>1.1846247724533054E-2</v>
      </c>
      <c r="I391" s="3">
        <f t="shared" si="394"/>
        <v>1.1846247724530991E-2</v>
      </c>
      <c r="J391" s="3">
        <f t="shared" si="394"/>
        <v>1.1846247724510374E-2</v>
      </c>
      <c r="K391" s="3">
        <f t="shared" si="394"/>
        <v>1.1846247724304199E-2</v>
      </c>
      <c r="L391" s="3">
        <f t="shared" si="394"/>
        <v>1.1846247722242451E-2</v>
      </c>
      <c r="M391" s="3">
        <f t="shared" si="394"/>
        <v>1.1846247701624959E-2</v>
      </c>
      <c r="N391" s="3">
        <f t="shared" si="394"/>
        <v>1.1846247495450038E-2</v>
      </c>
      <c r="O391" s="3">
        <f t="shared" si="394"/>
        <v>1.184624543370102E-2</v>
      </c>
      <c r="P391" s="3">
        <f t="shared" si="394"/>
        <v>1.1846224816230592E-2</v>
      </c>
      <c r="Q391" s="3">
        <f t="shared" si="394"/>
        <v>1.1846018643499875E-2</v>
      </c>
      <c r="R391" s="3">
        <f t="shared" si="394"/>
        <v>1.1843957113536039E-2</v>
      </c>
      <c r="S391" s="3">
        <f t="shared" si="394"/>
        <v>1.1823361535530258E-2</v>
      </c>
      <c r="T391" s="3">
        <f t="shared" si="394"/>
        <v>1.1619365277756394E-2</v>
      </c>
      <c r="U391" s="3">
        <f t="shared" si="394"/>
        <v>9.7633027459204345E-3</v>
      </c>
      <c r="V391" s="3">
        <f t="shared" si="394"/>
        <v>1.7129325879090902E-3</v>
      </c>
      <c r="W391" s="3">
        <f t="shared" si="394"/>
        <v>4.7334241852025155E-11</v>
      </c>
      <c r="X391" s="3">
        <f t="shared" si="394"/>
        <v>1.2289294808300045E-86</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4.239833197731321E-3</v>
      </c>
      <c r="C392" s="3">
        <f t="shared" si="395"/>
        <v>4.239833197731321E-3</v>
      </c>
      <c r="D392" s="3">
        <f t="shared" si="395"/>
        <v>4.239833197731321E-3</v>
      </c>
      <c r="E392" s="3">
        <f t="shared" si="395"/>
        <v>4.239833197731321E-3</v>
      </c>
      <c r="F392" s="3">
        <f t="shared" si="395"/>
        <v>4.239833197731321E-3</v>
      </c>
      <c r="G392" s="3">
        <f t="shared" si="395"/>
        <v>4.2398331977313202E-3</v>
      </c>
      <c r="H392" s="3">
        <f t="shared" si="395"/>
        <v>4.2398331977313132E-3</v>
      </c>
      <c r="I392" s="3">
        <f t="shared" si="395"/>
        <v>4.2398331977312395E-3</v>
      </c>
      <c r="J392" s="3">
        <f t="shared" si="395"/>
        <v>4.2398331977305014E-3</v>
      </c>
      <c r="K392" s="3">
        <f t="shared" si="395"/>
        <v>4.2398331977231219E-3</v>
      </c>
      <c r="L392" s="3">
        <f t="shared" si="395"/>
        <v>4.2398331976493311E-3</v>
      </c>
      <c r="M392" s="3">
        <f t="shared" si="395"/>
        <v>4.2398331969114205E-3</v>
      </c>
      <c r="N392" s="3">
        <f t="shared" si="395"/>
        <v>4.2398331895323136E-3</v>
      </c>
      <c r="O392" s="3">
        <f t="shared" si="395"/>
        <v>4.2398331157412449E-3</v>
      </c>
      <c r="P392" s="3">
        <f t="shared" si="395"/>
        <v>4.2398323778306312E-3</v>
      </c>
      <c r="Q392" s="3">
        <f t="shared" si="395"/>
        <v>4.2398249987315607E-3</v>
      </c>
      <c r="R392" s="3">
        <f t="shared" si="395"/>
        <v>4.239751208447203E-3</v>
      </c>
      <c r="S392" s="3">
        <f t="shared" si="395"/>
        <v>4.2390133762338278E-3</v>
      </c>
      <c r="T392" s="3">
        <f t="shared" si="395"/>
        <v>4.2316421125741513E-3</v>
      </c>
      <c r="U392" s="3">
        <f t="shared" si="395"/>
        <v>4.1586307991156816E-3</v>
      </c>
      <c r="V392" s="3">
        <f t="shared" si="395"/>
        <v>3.4943364400465203E-3</v>
      </c>
      <c r="W392" s="3">
        <f t="shared" si="395"/>
        <v>6.1306741346057027E-4</v>
      </c>
      <c r="X392" s="3">
        <f t="shared" si="395"/>
        <v>1.6941169445413254E-11</v>
      </c>
      <c r="Y392" s="3">
        <f t="shared" si="395"/>
        <v>4.3984020355264446E-87</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3.1413173103933909E-3</v>
      </c>
      <c r="C393" s="3">
        <f t="shared" si="396"/>
        <v>3.1413173103933909E-3</v>
      </c>
      <c r="D393" s="3">
        <f t="shared" si="396"/>
        <v>3.1413173103933909E-3</v>
      </c>
      <c r="E393" s="3">
        <f t="shared" si="396"/>
        <v>3.1413173103933909E-3</v>
      </c>
      <c r="F393" s="3">
        <f t="shared" si="396"/>
        <v>3.1413173103933909E-3</v>
      </c>
      <c r="G393" s="3">
        <f t="shared" si="396"/>
        <v>3.1413173103933909E-3</v>
      </c>
      <c r="H393" s="3">
        <f t="shared" si="396"/>
        <v>3.1413173103933901E-3</v>
      </c>
      <c r="I393" s="3">
        <f t="shared" si="396"/>
        <v>3.1413173103933848E-3</v>
      </c>
      <c r="J393" s="3">
        <f t="shared" si="396"/>
        <v>3.1413173103933302E-3</v>
      </c>
      <c r="K393" s="3">
        <f t="shared" si="396"/>
        <v>3.1413173103927833E-3</v>
      </c>
      <c r="L393" s="3">
        <f t="shared" si="396"/>
        <v>3.1413173103873164E-3</v>
      </c>
      <c r="M393" s="3">
        <f t="shared" si="396"/>
        <v>3.1413173103326439E-3</v>
      </c>
      <c r="N393" s="3">
        <f t="shared" si="396"/>
        <v>3.1413173097859215E-3</v>
      </c>
      <c r="O393" s="3">
        <f t="shared" si="396"/>
        <v>3.1413173043186981E-3</v>
      </c>
      <c r="P393" s="3">
        <f t="shared" si="396"/>
        <v>3.1413172496464622E-3</v>
      </c>
      <c r="Q393" s="3">
        <f t="shared" si="396"/>
        <v>3.1413167029241558E-3</v>
      </c>
      <c r="R393" s="3">
        <f t="shared" si="396"/>
        <v>3.1413112357063281E-3</v>
      </c>
      <c r="S393" s="3">
        <f t="shared" si="396"/>
        <v>3.1412565640513879E-3</v>
      </c>
      <c r="T393" s="3">
        <f t="shared" si="396"/>
        <v>3.1407098998323135E-3</v>
      </c>
      <c r="U393" s="3">
        <f t="shared" si="396"/>
        <v>3.135248487306461E-3</v>
      </c>
      <c r="V393" s="3">
        <f t="shared" si="396"/>
        <v>3.0811539764789191E-3</v>
      </c>
      <c r="W393" s="3">
        <f t="shared" si="396"/>
        <v>2.5889743854381119E-3</v>
      </c>
      <c r="X393" s="3">
        <f t="shared" si="396"/>
        <v>4.5422524626022613E-4</v>
      </c>
      <c r="Y393" s="3">
        <f t="shared" si="396"/>
        <v>1.2551811912237559E-11</v>
      </c>
      <c r="Z393" s="3">
        <f t="shared" si="396"/>
        <v>3.2588018933532388E-87</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2.257189619316161E-3</v>
      </c>
      <c r="C394" s="3">
        <f t="shared" si="397"/>
        <v>2.257189619316161E-3</v>
      </c>
      <c r="D394" s="3">
        <f t="shared" si="397"/>
        <v>2.257189619316161E-3</v>
      </c>
      <c r="E394" s="3">
        <f t="shared" si="397"/>
        <v>2.257189619316161E-3</v>
      </c>
      <c r="F394" s="3">
        <f t="shared" si="397"/>
        <v>2.257189619316161E-3</v>
      </c>
      <c r="G394" s="3">
        <f t="shared" si="397"/>
        <v>2.257189619316161E-3</v>
      </c>
      <c r="H394" s="3">
        <f t="shared" si="397"/>
        <v>2.257189619316161E-3</v>
      </c>
      <c r="I394" s="3">
        <f t="shared" si="397"/>
        <v>2.2571896193161606E-3</v>
      </c>
      <c r="J394" s="3">
        <f t="shared" si="397"/>
        <v>2.2571896193161567E-3</v>
      </c>
      <c r="K394" s="3">
        <f t="shared" si="397"/>
        <v>2.2571896193161172E-3</v>
      </c>
      <c r="L394" s="3">
        <f t="shared" si="397"/>
        <v>2.2571896193157243E-3</v>
      </c>
      <c r="M394" s="3">
        <f t="shared" si="397"/>
        <v>2.257189619311796E-3</v>
      </c>
      <c r="N394" s="3">
        <f t="shared" si="397"/>
        <v>2.2571896192725115E-3</v>
      </c>
      <c r="O394" s="3">
        <f t="shared" si="397"/>
        <v>2.2571896188796647E-3</v>
      </c>
      <c r="P394" s="3">
        <f t="shared" si="397"/>
        <v>2.2571896149511978E-3</v>
      </c>
      <c r="Q394" s="3">
        <f t="shared" si="397"/>
        <v>2.2571895756665315E-3</v>
      </c>
      <c r="R394" s="3">
        <f t="shared" si="397"/>
        <v>2.257189182819903E-3</v>
      </c>
      <c r="S394" s="3">
        <f t="shared" si="397"/>
        <v>2.2571852543573799E-3</v>
      </c>
      <c r="T394" s="3">
        <f t="shared" si="397"/>
        <v>2.2571459701081912E-3</v>
      </c>
      <c r="U394" s="3">
        <f t="shared" si="397"/>
        <v>2.256753165218197E-3</v>
      </c>
      <c r="V394" s="3">
        <f t="shared" si="397"/>
        <v>2.2528288740874124E-3</v>
      </c>
      <c r="W394" s="3">
        <f t="shared" si="397"/>
        <v>2.2139593310782015E-3</v>
      </c>
      <c r="X394" s="3">
        <f t="shared" si="397"/>
        <v>1.8603043023229374E-3</v>
      </c>
      <c r="Y394" s="3">
        <f t="shared" si="397"/>
        <v>3.2638298184576372E-4</v>
      </c>
      <c r="Z394" s="3">
        <f t="shared" si="397"/>
        <v>9.0190887301237083E-12</v>
      </c>
      <c r="AA394" s="3">
        <f t="shared" si="397"/>
        <v>2.3416080192687106E-87</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3.6224207496198294E-4</v>
      </c>
      <c r="C395" s="3">
        <f t="shared" si="398"/>
        <v>3.6224207496198294E-4</v>
      </c>
      <c r="D395" s="3">
        <f t="shared" si="398"/>
        <v>3.6224207496198294E-4</v>
      </c>
      <c r="E395" s="3">
        <f t="shared" si="398"/>
        <v>3.6224207496198294E-4</v>
      </c>
      <c r="F395" s="3">
        <f t="shared" si="398"/>
        <v>3.6224207496198294E-4</v>
      </c>
      <c r="G395" s="3">
        <f t="shared" si="398"/>
        <v>3.6224207496198294E-4</v>
      </c>
      <c r="H395" s="3">
        <f t="shared" si="398"/>
        <v>3.6224207496198294E-4</v>
      </c>
      <c r="I395" s="3">
        <f t="shared" si="398"/>
        <v>3.6224207496198294E-4</v>
      </c>
      <c r="J395" s="3">
        <f t="shared" si="398"/>
        <v>3.6224207496198289E-4</v>
      </c>
      <c r="K395" s="3">
        <f t="shared" si="398"/>
        <v>3.6224207496198224E-4</v>
      </c>
      <c r="L395" s="3">
        <f t="shared" si="398"/>
        <v>3.6224207496197595E-4</v>
      </c>
      <c r="M395" s="3">
        <f t="shared" si="398"/>
        <v>3.622420749619129E-4</v>
      </c>
      <c r="N395" s="3">
        <f t="shared" si="398"/>
        <v>3.6224207496128244E-4</v>
      </c>
      <c r="O395" s="3">
        <f t="shared" si="398"/>
        <v>3.6224207495497786E-4</v>
      </c>
      <c r="P395" s="3">
        <f t="shared" si="398"/>
        <v>3.6224207489193242E-4</v>
      </c>
      <c r="Q395" s="3">
        <f t="shared" si="398"/>
        <v>3.6224207426147764E-4</v>
      </c>
      <c r="R395" s="3">
        <f t="shared" si="398"/>
        <v>3.6224206795693015E-4</v>
      </c>
      <c r="S395" s="3">
        <f t="shared" si="398"/>
        <v>3.622420049114613E-4</v>
      </c>
      <c r="T395" s="3">
        <f t="shared" si="398"/>
        <v>3.6224137445737647E-4</v>
      </c>
      <c r="U395" s="3">
        <f t="shared" si="398"/>
        <v>3.6223506997687659E-4</v>
      </c>
      <c r="V395" s="3">
        <f t="shared" si="398"/>
        <v>3.6217203120636791E-4</v>
      </c>
      <c r="W395" s="3">
        <f t="shared" si="398"/>
        <v>3.6154224656186778E-4</v>
      </c>
      <c r="X395" s="3">
        <f t="shared" si="398"/>
        <v>3.5530431963185373E-4</v>
      </c>
      <c r="Y395" s="3">
        <f t="shared" si="398"/>
        <v>2.9854846255155293E-4</v>
      </c>
      <c r="Z395" s="3">
        <f t="shared" si="398"/>
        <v>5.2379138892153666E-5</v>
      </c>
      <c r="AA395" s="3">
        <f t="shared" si="398"/>
        <v>1.4474164633346346E-12</v>
      </c>
      <c r="AB395" s="3">
        <f t="shared" si="398"/>
        <v>3.7578984963810727E-88</v>
      </c>
      <c r="AC395" s="3">
        <f t="shared" si="398"/>
        <v>0</v>
      </c>
      <c r="AD395" s="3">
        <f t="shared" si="398"/>
        <v>0</v>
      </c>
      <c r="AE395" s="3">
        <f t="shared" si="398"/>
        <v>0</v>
      </c>
      <c r="AF395" s="3">
        <f t="shared" si="398"/>
        <v>0</v>
      </c>
      <c r="AG395" s="3"/>
      <c r="AH395" s="3"/>
    </row>
    <row r="396" spans="1:34" x14ac:dyDescent="0.25">
      <c r="B396" s="3">
        <f t="shared" ref="B396:AF396" si="399">$C48*EXP(-B$363/$A48/EXP(-$H$126))</f>
        <v>0</v>
      </c>
      <c r="C396" s="3">
        <f t="shared" si="399"/>
        <v>0</v>
      </c>
      <c r="D396" s="3">
        <f t="shared" si="399"/>
        <v>0</v>
      </c>
      <c r="E396" s="3">
        <f t="shared" si="399"/>
        <v>0</v>
      </c>
      <c r="F396" s="3">
        <f t="shared" si="399"/>
        <v>0</v>
      </c>
      <c r="G396" s="3">
        <f t="shared" si="399"/>
        <v>0</v>
      </c>
      <c r="H396" s="3">
        <f t="shared" si="399"/>
        <v>0</v>
      </c>
      <c r="I396" s="3">
        <f t="shared" si="399"/>
        <v>0</v>
      </c>
      <c r="J396" s="3">
        <f t="shared" si="399"/>
        <v>0</v>
      </c>
      <c r="K396" s="3">
        <f t="shared" si="399"/>
        <v>0</v>
      </c>
      <c r="L396" s="3">
        <f t="shared" si="399"/>
        <v>0</v>
      </c>
      <c r="M396" s="3">
        <f t="shared" si="399"/>
        <v>0</v>
      </c>
      <c r="N396" s="3">
        <f t="shared" si="399"/>
        <v>0</v>
      </c>
      <c r="O396" s="3">
        <f t="shared" si="399"/>
        <v>0</v>
      </c>
      <c r="P396" s="3">
        <f t="shared" si="399"/>
        <v>0</v>
      </c>
      <c r="Q396" s="3">
        <f t="shared" si="399"/>
        <v>0</v>
      </c>
      <c r="R396" s="3">
        <f t="shared" si="399"/>
        <v>0</v>
      </c>
      <c r="S396" s="3">
        <f t="shared" si="399"/>
        <v>0</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2.2341595229541922E-2</v>
      </c>
      <c r="B397" s="81">
        <f>IF($A$64&lt;=B363,IF($B$64&gt;=B363,ABS((B365-B364)/B364),0),0)</f>
        <v>8.1326915458385758E-4</v>
      </c>
      <c r="C397" s="81">
        <f t="shared" ref="C397:AF397" si="400">IF($A$64&lt;=C363,IF($B$64&gt;=C363,ABS((C365-C364)/C364),0),0)</f>
        <v>9.2465358965751268E-3</v>
      </c>
      <c r="D397" s="81">
        <f t="shared" si="400"/>
        <v>1.0869430058244912E-2</v>
      </c>
      <c r="E397" s="81">
        <f t="shared" si="400"/>
        <v>1.0780545935615008E-2</v>
      </c>
      <c r="F397" s="81">
        <f t="shared" si="400"/>
        <v>1.0036190137395835E-2</v>
      </c>
      <c r="G397" s="81">
        <f t="shared" si="400"/>
        <v>8.6866127376648509E-3</v>
      </c>
      <c r="H397" s="81">
        <f t="shared" si="400"/>
        <v>9.969512641773641E-3</v>
      </c>
      <c r="I397" s="81">
        <f t="shared" si="400"/>
        <v>8.4906559328341499E-3</v>
      </c>
      <c r="J397" s="81">
        <f t="shared" si="400"/>
        <v>1.0606079549048027E-2</v>
      </c>
      <c r="K397" s="81">
        <f t="shared" si="400"/>
        <v>8.6900612175303607E-3</v>
      </c>
      <c r="L397" s="81">
        <f t="shared" si="400"/>
        <v>8.4011183003260791E-3</v>
      </c>
      <c r="M397" s="81">
        <f t="shared" si="400"/>
        <v>3.5252527622466616E-3</v>
      </c>
      <c r="N397" s="81">
        <f t="shared" si="400"/>
        <v>1.8048914456944766E-2</v>
      </c>
      <c r="O397" s="81">
        <f t="shared" si="400"/>
        <v>3.0217338211110226E-2</v>
      </c>
      <c r="P397" s="81">
        <f t="shared" si="400"/>
        <v>3.5014430475184231E-2</v>
      </c>
      <c r="Q397" s="81">
        <f t="shared" si="400"/>
        <v>5.9424631218912985E-3</v>
      </c>
      <c r="R397" s="81">
        <f t="shared" si="400"/>
        <v>2.3047737030273543E-2</v>
      </c>
      <c r="S397" s="81">
        <f t="shared" si="400"/>
        <v>3.978714300134272E-3</v>
      </c>
      <c r="T397" s="81">
        <f t="shared" si="400"/>
        <v>2.6509654157160904E-3</v>
      </c>
      <c r="U397" s="81">
        <f t="shared" si="400"/>
        <v>1.7890707760963396E-3</v>
      </c>
      <c r="V397" s="81">
        <f t="shared" si="400"/>
        <v>1.581402103644211E-3</v>
      </c>
      <c r="W397" s="81">
        <f t="shared" si="400"/>
        <v>3.3610387894796312E-3</v>
      </c>
      <c r="X397" s="81">
        <f t="shared" si="400"/>
        <v>2.2915010593491715E-3</v>
      </c>
      <c r="Y397" s="81">
        <f t="shared" si="400"/>
        <v>4.7607726907416435E-3</v>
      </c>
      <c r="Z397" s="81">
        <f t="shared" si="400"/>
        <v>4.5088729246257099E-3</v>
      </c>
      <c r="AA397" s="81">
        <f t="shared" si="400"/>
        <v>5.7067310021632955E-2</v>
      </c>
      <c r="AB397" s="81">
        <f t="shared" si="400"/>
        <v>7.7321713213562904E-2</v>
      </c>
      <c r="AC397" s="81">
        <f t="shared" si="400"/>
        <v>7.9442424727028615E-2</v>
      </c>
      <c r="AD397" s="81">
        <f t="shared" si="400"/>
        <v>7.9999076616774134E-2</v>
      </c>
      <c r="AE397" s="81">
        <f t="shared" si="400"/>
        <v>8.0483114075308712E-2</v>
      </c>
      <c r="AF397" s="81">
        <f t="shared" si="400"/>
        <v>8.0967327782462586E-2</v>
      </c>
    </row>
    <row r="398" spans="1:34" x14ac:dyDescent="0.25">
      <c r="B398" s="21">
        <f>(B365-B364)^2</f>
        <v>41.122037759823513</v>
      </c>
      <c r="C398" s="21">
        <f t="shared" ref="C398:AF398" si="401">(C365-C364)^2</f>
        <v>4851.9655880724831</v>
      </c>
      <c r="D398" s="21">
        <f t="shared" si="401"/>
        <v>6109.7182055894364</v>
      </c>
      <c r="E398" s="21">
        <f t="shared" si="401"/>
        <v>5393.7378639263998</v>
      </c>
      <c r="F398" s="21">
        <f t="shared" si="401"/>
        <v>4192.979891595578</v>
      </c>
      <c r="G398" s="21">
        <f t="shared" si="401"/>
        <v>2868.9482281543533</v>
      </c>
      <c r="H398" s="21">
        <f t="shared" si="401"/>
        <v>3437.6240512501363</v>
      </c>
      <c r="I398" s="21">
        <f t="shared" si="401"/>
        <v>2268.3373230443144</v>
      </c>
      <c r="J398" s="21">
        <f t="shared" si="401"/>
        <v>3187.9300976144027</v>
      </c>
      <c r="K398" s="21">
        <f t="shared" si="401"/>
        <v>1934.4910209996044</v>
      </c>
      <c r="L398" s="21">
        <f t="shared" si="401"/>
        <v>1581.328933144297</v>
      </c>
      <c r="M398" s="21">
        <f t="shared" si="401"/>
        <v>239.91512000853547</v>
      </c>
      <c r="N398" s="21">
        <f t="shared" si="401"/>
        <v>5228.1917588512088</v>
      </c>
      <c r="O398" s="21">
        <f t="shared" si="401"/>
        <v>11677.882228102479</v>
      </c>
      <c r="P398" s="21">
        <f t="shared" si="401"/>
        <v>11476.332108798533</v>
      </c>
      <c r="Q398" s="21">
        <f t="shared" si="401"/>
        <v>215.36200590221398</v>
      </c>
      <c r="R398" s="21">
        <f t="shared" si="401"/>
        <v>1803.901548092869</v>
      </c>
      <c r="S398" s="21">
        <f t="shared" si="401"/>
        <v>27.950371878941432</v>
      </c>
      <c r="T398" s="21">
        <f t="shared" si="401"/>
        <v>6.3268899338647575</v>
      </c>
      <c r="U398" s="21">
        <f t="shared" si="401"/>
        <v>1.7498785427805688</v>
      </c>
      <c r="V398" s="21">
        <f t="shared" si="401"/>
        <v>0.9742258766410874</v>
      </c>
      <c r="W398" s="21">
        <f t="shared" si="401"/>
        <v>3.7329597001181893</v>
      </c>
      <c r="X398" s="21">
        <f t="shared" si="401"/>
        <v>1.5312950560777854</v>
      </c>
      <c r="Y398" s="21">
        <f t="shared" si="401"/>
        <v>6.1974916891581877</v>
      </c>
      <c r="Z398" s="21">
        <f t="shared" si="401"/>
        <v>5.3352481590969489</v>
      </c>
      <c r="AA398" s="21">
        <f t="shared" si="401"/>
        <v>770.18412540444251</v>
      </c>
      <c r="AB398" s="21">
        <f t="shared" si="401"/>
        <v>1361.2476856770793</v>
      </c>
      <c r="AC398" s="21">
        <f t="shared" si="401"/>
        <v>1431.3012837186222</v>
      </c>
      <c r="AD398" s="21">
        <f t="shared" si="401"/>
        <v>1449.9339682142822</v>
      </c>
      <c r="AE398" s="21">
        <f t="shared" si="401"/>
        <v>1466.218246873816</v>
      </c>
      <c r="AF398" s="21">
        <f t="shared" si="401"/>
        <v>1482.5847257066287</v>
      </c>
      <c r="AG398" s="3"/>
      <c r="AH398" s="3"/>
    </row>
    <row r="399" spans="1:34" x14ac:dyDescent="0.25">
      <c r="A399" s="72">
        <f>SUM(B399:AF399)</f>
        <v>74525.036407338208</v>
      </c>
      <c r="B399" s="60">
        <f>IF($A$64&lt;=B363,IF($B$64&gt;=B363,ABS(B398),0),0)</f>
        <v>41.122037759823513</v>
      </c>
      <c r="C399" s="60">
        <f t="shared" ref="C399" si="402">IF($A$64&lt;=C363,IF($B$64&gt;=C363,ABS(C398),0),0)</f>
        <v>4851.9655880724831</v>
      </c>
      <c r="D399" s="60">
        <f t="shared" ref="D399" si="403">IF($A$64&lt;=D363,IF($B$64&gt;=D363,ABS(D398),0),0)</f>
        <v>6109.7182055894364</v>
      </c>
      <c r="E399" s="60">
        <f t="shared" ref="E399" si="404">IF($A$64&lt;=E363,IF($B$64&gt;=E363,ABS(E398),0),0)</f>
        <v>5393.7378639263998</v>
      </c>
      <c r="F399" s="60">
        <f t="shared" ref="F399" si="405">IF($A$64&lt;=F363,IF($B$64&gt;=F363,ABS(F398),0),0)</f>
        <v>4192.979891595578</v>
      </c>
      <c r="G399" s="60">
        <f t="shared" ref="G399" si="406">IF($A$64&lt;=G363,IF($B$64&gt;=G363,ABS(G398),0),0)</f>
        <v>2868.9482281543533</v>
      </c>
      <c r="H399" s="60">
        <f t="shared" ref="H399" si="407">IF($A$64&lt;=H363,IF($B$64&gt;=H363,ABS(H398),0),0)</f>
        <v>3437.6240512501363</v>
      </c>
      <c r="I399" s="60">
        <f t="shared" ref="I399" si="408">IF($A$64&lt;=I363,IF($B$64&gt;=I363,ABS(I398),0),0)</f>
        <v>2268.3373230443144</v>
      </c>
      <c r="J399" s="60">
        <f t="shared" ref="J399" si="409">IF($A$64&lt;=J363,IF($B$64&gt;=J363,ABS(J398),0),0)</f>
        <v>3187.9300976144027</v>
      </c>
      <c r="K399" s="60">
        <f t="shared" ref="K399" si="410">IF($A$64&lt;=K363,IF($B$64&gt;=K363,ABS(K398),0),0)</f>
        <v>1934.4910209996044</v>
      </c>
      <c r="L399" s="60">
        <f t="shared" ref="L399" si="411">IF($A$64&lt;=L363,IF($B$64&gt;=L363,ABS(L398),0),0)</f>
        <v>1581.328933144297</v>
      </c>
      <c r="M399" s="60">
        <f t="shared" ref="M399" si="412">IF($A$64&lt;=M363,IF($B$64&gt;=M363,ABS(M398),0),0)</f>
        <v>239.91512000853547</v>
      </c>
      <c r="N399" s="60">
        <f t="shared" ref="N399" si="413">IF($A$64&lt;=N363,IF($B$64&gt;=N363,ABS(N398),0),0)</f>
        <v>5228.1917588512088</v>
      </c>
      <c r="O399" s="60">
        <f t="shared" ref="O399" si="414">IF($A$64&lt;=O363,IF($B$64&gt;=O363,ABS(O398),0),0)</f>
        <v>11677.882228102479</v>
      </c>
      <c r="P399" s="60">
        <f t="shared" ref="P399" si="415">IF($A$64&lt;=P363,IF($B$64&gt;=P363,ABS(P398),0),0)</f>
        <v>11476.332108798533</v>
      </c>
      <c r="Q399" s="60">
        <f t="shared" ref="Q399" si="416">IF($A$64&lt;=Q363,IF($B$64&gt;=Q363,ABS(Q398),0),0)</f>
        <v>215.36200590221398</v>
      </c>
      <c r="R399" s="60">
        <f t="shared" ref="R399" si="417">IF($A$64&lt;=R363,IF($B$64&gt;=R363,ABS(R398),0),0)</f>
        <v>1803.901548092869</v>
      </c>
      <c r="S399" s="60">
        <f t="shared" ref="S399" si="418">IF($A$64&lt;=S363,IF($B$64&gt;=S363,ABS(S398),0),0)</f>
        <v>27.950371878941432</v>
      </c>
      <c r="T399" s="60">
        <f t="shared" ref="T399" si="419">IF($A$64&lt;=T363,IF($B$64&gt;=T363,ABS(T398),0),0)</f>
        <v>6.3268899338647575</v>
      </c>
      <c r="U399" s="60">
        <f t="shared" ref="U399" si="420">IF($A$64&lt;=U363,IF($B$64&gt;=U363,ABS(U398),0),0)</f>
        <v>1.7498785427805688</v>
      </c>
      <c r="V399" s="60">
        <f t="shared" ref="V399" si="421">IF($A$64&lt;=V363,IF($B$64&gt;=V363,ABS(V398),0),0)</f>
        <v>0.9742258766410874</v>
      </c>
      <c r="W399" s="60">
        <f t="shared" ref="W399" si="422">IF($A$64&lt;=W363,IF($B$64&gt;=W363,ABS(W398),0),0)</f>
        <v>3.7329597001181893</v>
      </c>
      <c r="X399" s="60">
        <f t="shared" ref="X399" si="423">IF($A$64&lt;=X363,IF($B$64&gt;=X363,ABS(X398),0),0)</f>
        <v>1.5312950560777854</v>
      </c>
      <c r="Y399" s="60">
        <f t="shared" ref="Y399" si="424">IF($A$64&lt;=Y363,IF($B$64&gt;=Y363,ABS(Y398),0),0)</f>
        <v>6.1974916891581877</v>
      </c>
      <c r="Z399" s="60">
        <f t="shared" ref="Z399" si="425">IF($A$64&lt;=Z363,IF($B$64&gt;=Z363,ABS(Z398),0),0)</f>
        <v>5.3352481590969489</v>
      </c>
      <c r="AA399" s="60">
        <f t="shared" ref="AA399" si="426">IF($A$64&lt;=AA363,IF($B$64&gt;=AA363,ABS(AA398),0),0)</f>
        <v>770.18412540444251</v>
      </c>
      <c r="AB399" s="60">
        <f t="shared" ref="AB399" si="427">IF($A$64&lt;=AB363,IF($B$64&gt;=AB363,ABS(AB398),0),0)</f>
        <v>1361.2476856770793</v>
      </c>
      <c r="AC399" s="60">
        <f t="shared" ref="AC399" si="428">IF($A$64&lt;=AC363,IF($B$64&gt;=AC363,ABS(AC398),0),0)</f>
        <v>1431.3012837186222</v>
      </c>
      <c r="AD399" s="60">
        <f t="shared" ref="AD399" si="429">IF($A$64&lt;=AD363,IF($B$64&gt;=AD363,ABS(AD398),0),0)</f>
        <v>1449.9339682142822</v>
      </c>
      <c r="AE399" s="60">
        <f t="shared" ref="AE399" si="430">IF($A$64&lt;=AE363,IF($B$64&gt;=AE363,ABS(AE398),0),0)</f>
        <v>1466.218246873816</v>
      </c>
      <c r="AF399" s="60">
        <f t="shared" ref="AF399" si="431">IF($A$64&lt;=AF363,IF($B$64&gt;=AF363,ABS(AF398),0),0)</f>
        <v>1482.5847257066287</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06"/>
      <c r="B532" s="106"/>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7"/>
      <c r="B534" s="107"/>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06"/>
      <c r="B581" s="106"/>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06"/>
      <c r="B596" s="106"/>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7"/>
      <c r="B597" s="107"/>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7"/>
      <c r="B626" s="107"/>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7"/>
      <c r="B627" s="107"/>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06"/>
      <c r="B650" s="106"/>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7"/>
      <c r="B651" s="107"/>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7"/>
      <c r="B652" s="107"/>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7"/>
      <c r="B653" s="107"/>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7"/>
      <c r="B654" s="107"/>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-8.052831202133488</v>
      </c>
      <c r="M1" s="54">
        <v>1</v>
      </c>
      <c r="N1" s="56">
        <f>INDEX($H$217:$P$217,1,Q1)</f>
        <v>8.515936736385632E-2</v>
      </c>
      <c r="O1" s="11"/>
      <c r="P1" s="55">
        <v>1</v>
      </c>
      <c r="Q1" s="11">
        <v>2</v>
      </c>
    </row>
    <row r="2" spans="1:17" x14ac:dyDescent="0.25">
      <c r="A2" s="11">
        <f>'Mastercurve bestimmen'!M119</f>
        <v>0</v>
      </c>
      <c r="B2" s="11">
        <f>'Mastercurve bestimmen'!N119</f>
        <v>-4.7387399799709815</v>
      </c>
      <c r="M2" s="54">
        <v>2</v>
      </c>
      <c r="N2" s="56">
        <f t="shared" ref="N2:N9" si="0">INDEX($H$217:$P$217,1,Q2)</f>
        <v>4.9536107672626757E-5</v>
      </c>
      <c r="O2" s="11"/>
      <c r="P2" s="55">
        <v>2</v>
      </c>
      <c r="Q2" s="11">
        <f>Q1+1</f>
        <v>3</v>
      </c>
    </row>
    <row r="3" spans="1:17" x14ac:dyDescent="0.25">
      <c r="A3" s="11">
        <f>'Mastercurve bestimmen'!M120</f>
        <v>25</v>
      </c>
      <c r="B3" s="11">
        <f>'Mastercurve bestimmen'!N120</f>
        <v>-2.2102814822745551</v>
      </c>
      <c r="M3" s="54">
        <v>3</v>
      </c>
      <c r="N3" s="56">
        <f t="shared" si="0"/>
        <v>9.0218352304496702E-6</v>
      </c>
      <c r="O3" s="11"/>
      <c r="P3" s="55">
        <v>3</v>
      </c>
      <c r="Q3" s="11">
        <f t="shared" ref="Q3:Q8" si="1">Q2+1</f>
        <v>4</v>
      </c>
    </row>
    <row r="4" spans="1:17" x14ac:dyDescent="0.25">
      <c r="A4" s="11">
        <f>'Mastercurve bestimmen'!M121</f>
        <v>50</v>
      </c>
      <c r="B4" s="11">
        <f>'Mastercurve bestimmen'!N121</f>
        <v>0</v>
      </c>
      <c r="M4" s="54">
        <v>4</v>
      </c>
      <c r="N4" s="56">
        <f t="shared" si="0"/>
        <v>-1.6602123496329666E-9</v>
      </c>
      <c r="O4" s="11"/>
      <c r="P4" s="55">
        <v>4</v>
      </c>
      <c r="Q4" s="11">
        <f t="shared" si="1"/>
        <v>5</v>
      </c>
    </row>
    <row r="5" spans="1:17" x14ac:dyDescent="0.25">
      <c r="A5" s="11">
        <f>'Mastercurve bestimmen'!M122</f>
        <v>80</v>
      </c>
      <c r="B5" s="11">
        <f>'Mastercurve bestimmen'!N122</f>
        <v>2.8184077714527396</v>
      </c>
      <c r="M5" s="54">
        <v>5</v>
      </c>
      <c r="N5" s="56">
        <f t="shared" si="0"/>
        <v>-1.2850895963299752E-9</v>
      </c>
      <c r="O5" s="11"/>
      <c r="P5" s="55">
        <v>5</v>
      </c>
      <c r="Q5" s="11">
        <f t="shared" si="1"/>
        <v>6</v>
      </c>
    </row>
    <row r="6" spans="1:17" x14ac:dyDescent="0.25">
      <c r="A6" s="11">
        <f>'Mastercurve bestimmen'!M123</f>
        <v>125</v>
      </c>
      <c r="B6" s="11">
        <f>'Mastercurve bestimmen'!N123</f>
        <v>8.7901607577065022</v>
      </c>
      <c r="M6" s="54">
        <v>6</v>
      </c>
      <c r="N6" s="56">
        <f t="shared" si="0"/>
        <v>5.5916920187982993E-12</v>
      </c>
      <c r="O6" s="11"/>
      <c r="P6" s="55">
        <v>6</v>
      </c>
      <c r="Q6" s="11">
        <f t="shared" si="1"/>
        <v>7</v>
      </c>
    </row>
    <row r="7" spans="1:17" x14ac:dyDescent="0.25">
      <c r="A7" s="11">
        <f>'Mastercurve bestimmen'!M124</f>
        <v>160</v>
      </c>
      <c r="B7" s="11">
        <f>'Mastercurve bestimmen'!N124</f>
        <v>14.474999762898356</v>
      </c>
      <c r="M7" s="54">
        <v>7</v>
      </c>
      <c r="N7" s="56">
        <f t="shared" si="0"/>
        <v>6.1805499518956488E-14</v>
      </c>
      <c r="O7" s="11"/>
      <c r="P7" s="55">
        <v>7</v>
      </c>
      <c r="Q7" s="11">
        <f t="shared" si="1"/>
        <v>8</v>
      </c>
    </row>
    <row r="8" spans="1:17" x14ac:dyDescent="0.25">
      <c r="A8" s="11"/>
      <c r="B8" s="11"/>
      <c r="M8" s="54">
        <v>8</v>
      </c>
      <c r="N8" s="56">
        <f t="shared" si="0"/>
        <v>-3.9748648078367303E-16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-8.052831202133488</v>
      </c>
      <c r="E15" s="11">
        <f>A15-'Mastercurve bestimmen'!$B$2</f>
        <v>-90</v>
      </c>
      <c r="F15" s="11">
        <f>B15</f>
        <v>-8.052831202133488</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-7.9954565392803687</v>
      </c>
      <c r="E16" s="11">
        <f>A16-'Mastercurve bestimmen'!$B$2</f>
        <v>-89</v>
      </c>
      <c r="F16" s="11">
        <f t="shared" ref="F16:F79" si="4">B16</f>
        <v>-7.9954565392803687</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-7.9379862756103599</v>
      </c>
      <c r="E17" s="11">
        <f>A17-'Mastercurve bestimmen'!$B$2</f>
        <v>-88</v>
      </c>
      <c r="F17" s="11">
        <f t="shared" si="4"/>
        <v>-7.9379862756103599</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-7.8803248103065737</v>
      </c>
      <c r="E18" s="11">
        <f>A18-'Mastercurve bestimmen'!$B$2</f>
        <v>-87</v>
      </c>
      <c r="F18" s="11">
        <f t="shared" si="4"/>
        <v>-7.8803248103065737</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-7.8223765425521199</v>
      </c>
      <c r="E19" s="11">
        <f>A19-'Mastercurve bestimmen'!$B$2</f>
        <v>-86</v>
      </c>
      <c r="F19" s="11">
        <f t="shared" si="4"/>
        <v>-7.8223765425521199</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-7.7640458715301097</v>
      </c>
      <c r="E20" s="11">
        <f>A20-'Mastercurve bestimmen'!$B$2</f>
        <v>-85</v>
      </c>
      <c r="F20" s="11">
        <f t="shared" si="4"/>
        <v>-7.7640458715301097</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-7.7052371964236546</v>
      </c>
      <c r="E21" s="11">
        <f>A21-'Mastercurve bestimmen'!$B$2</f>
        <v>-84</v>
      </c>
      <c r="F21" s="11">
        <f t="shared" si="4"/>
        <v>-7.7052371964236546</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-7.645854916415864</v>
      </c>
      <c r="E22" s="11">
        <f>A22-'Mastercurve bestimmen'!$B$2</f>
        <v>-83</v>
      </c>
      <c r="F22" s="11">
        <f t="shared" si="4"/>
        <v>-7.645854916415864</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-7.5858034306898503</v>
      </c>
      <c r="E23" s="11">
        <f>A23-'Mastercurve bestimmen'!$B$2</f>
        <v>-82</v>
      </c>
      <c r="F23" s="11">
        <f t="shared" si="4"/>
        <v>-7.5858034306898503</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-7.5249871384287239</v>
      </c>
      <c r="E24" s="11">
        <f>A24-'Mastercurve bestimmen'!$B$2</f>
        <v>-81</v>
      </c>
      <c r="F24" s="11">
        <f t="shared" si="4"/>
        <v>-7.5249871384287239</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-7.4633104388155953</v>
      </c>
      <c r="E25" s="11">
        <f>A25-'Mastercurve bestimmen'!$B$2</f>
        <v>-80</v>
      </c>
      <c r="F25" s="11">
        <f t="shared" si="4"/>
        <v>-7.4633104388155953</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-7.4006777310335758</v>
      </c>
      <c r="E26" s="11">
        <f>A26-'Mastercurve bestimmen'!$B$2</f>
        <v>-79</v>
      </c>
      <c r="F26" s="11">
        <f t="shared" si="4"/>
        <v>-7.4006777310335758</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-7.336993414265776</v>
      </c>
      <c r="E27" s="11">
        <f>A27-'Mastercurve bestimmen'!$B$2</f>
        <v>-78</v>
      </c>
      <c r="F27" s="11">
        <f t="shared" si="4"/>
        <v>-7.336993414265776</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-7.272161887695308</v>
      </c>
      <c r="E28" s="11">
        <f>A28-'Mastercurve bestimmen'!$B$2</f>
        <v>-77</v>
      </c>
      <c r="F28" s="11">
        <f t="shared" si="4"/>
        <v>-7.272161887695308</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-7.2060875505052806</v>
      </c>
      <c r="E29" s="11">
        <f>A29-'Mastercurve bestimmen'!$B$2</f>
        <v>-76</v>
      </c>
      <c r="F29" s="11">
        <f t="shared" si="4"/>
        <v>-7.2060875505052806</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-7.1386748018788069</v>
      </c>
      <c r="E30" s="11">
        <f>A30-'Mastercurve bestimmen'!$B$2</f>
        <v>-75</v>
      </c>
      <c r="F30" s="11">
        <f t="shared" si="4"/>
        <v>-7.1386748018788069</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-7.0698280409989964</v>
      </c>
      <c r="E31" s="11">
        <f>A31-'Mastercurve bestimmen'!$B$2</f>
        <v>-74</v>
      </c>
      <c r="F31" s="11">
        <f t="shared" si="4"/>
        <v>-7.0698280409989964</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-6.9994516670489606</v>
      </c>
      <c r="E32" s="11">
        <f>A32-'Mastercurve bestimmen'!$B$2</f>
        <v>-73</v>
      </c>
      <c r="F32" s="11">
        <f t="shared" si="4"/>
        <v>-6.9994516670489606</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-6.927450079211809</v>
      </c>
      <c r="E33" s="11">
        <f>A33-'Mastercurve bestimmen'!$B$2</f>
        <v>-72</v>
      </c>
      <c r="F33" s="11">
        <f t="shared" si="4"/>
        <v>-6.927450079211809</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-6.8537276766706556</v>
      </c>
      <c r="E34" s="11">
        <f>A34-'Mastercurve bestimmen'!$B$2</f>
        <v>-71</v>
      </c>
      <c r="F34" s="11">
        <f t="shared" si="4"/>
        <v>-6.8537276766706556</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-6.7781888586086083</v>
      </c>
      <c r="E35" s="11">
        <f>A35-'Mastercurve bestimmen'!$B$2</f>
        <v>-70</v>
      </c>
      <c r="F35" s="11">
        <f t="shared" si="4"/>
        <v>-6.7781888586086083</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-6.7007380242087802</v>
      </c>
      <c r="E36" s="11">
        <f>A36-'Mastercurve bestimmen'!$B$2</f>
        <v>-69</v>
      </c>
      <c r="F36" s="11">
        <f t="shared" si="4"/>
        <v>-6.7007380242087802</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-6.6212795726542799</v>
      </c>
      <c r="E37" s="11">
        <f>A37-'Mastercurve bestimmen'!$B$2</f>
        <v>-68</v>
      </c>
      <c r="F37" s="11">
        <f t="shared" si="4"/>
        <v>-6.6212795726542799</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-6.5397179031282207</v>
      </c>
      <c r="E38" s="11">
        <f>A38-'Mastercurve bestimmen'!$B$2</f>
        <v>-67</v>
      </c>
      <c r="F38" s="11">
        <f t="shared" si="4"/>
        <v>-6.5397179031282207</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-6.4559574148137111</v>
      </c>
      <c r="E39" s="11">
        <f>A39-'Mastercurve bestimmen'!$B$2</f>
        <v>-66</v>
      </c>
      <c r="F39" s="11">
        <f t="shared" si="4"/>
        <v>-6.4559574148137111</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-6.3699025068938635</v>
      </c>
      <c r="E40" s="11">
        <f>A40-'Mastercurve bestimmen'!$B$2</f>
        <v>-65</v>
      </c>
      <c r="F40" s="11">
        <f t="shared" si="4"/>
        <v>-6.3699025068938635</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-6.2814575785517892</v>
      </c>
      <c r="E41" s="11">
        <f>A41-'Mastercurve bestimmen'!$B$2</f>
        <v>-64</v>
      </c>
      <c r="F41" s="11">
        <f t="shared" si="4"/>
        <v>-6.2814575785517892</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-6.1905270289705978</v>
      </c>
      <c r="E42" s="11">
        <f>A42-'Mastercurve bestimmen'!$B$2</f>
        <v>-63</v>
      </c>
      <c r="F42" s="11">
        <f t="shared" si="4"/>
        <v>-6.1905270289705978</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-6.0970152573334015</v>
      </c>
      <c r="E43" s="11">
        <f>A43-'Mastercurve bestimmen'!$B$2</f>
        <v>-62</v>
      </c>
      <c r="F43" s="11">
        <f t="shared" si="4"/>
        <v>-6.0970152573334015</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-6.00082666282331</v>
      </c>
      <c r="E44" s="11">
        <f>A44-'Mastercurve bestimmen'!$B$2</f>
        <v>-61</v>
      </c>
      <c r="F44" s="11">
        <f t="shared" si="4"/>
        <v>-6.00082666282331</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-5.9018656446234345</v>
      </c>
      <c r="E45" s="11">
        <f>A45-'Mastercurve bestimmen'!$B$2</f>
        <v>-60</v>
      </c>
      <c r="F45" s="11">
        <f t="shared" si="4"/>
        <v>-5.9018656446234345</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-5.8000366019168874</v>
      </c>
      <c r="E46" s="11">
        <f>A46-'Mastercurve bestimmen'!$B$2</f>
        <v>-59</v>
      </c>
      <c r="F46" s="11">
        <f t="shared" si="4"/>
        <v>-5.8000366019168874</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-5.6952439338867773</v>
      </c>
      <c r="E47" s="11">
        <f>A47-'Mastercurve bestimmen'!$B$2</f>
        <v>-58</v>
      </c>
      <c r="F47" s="11">
        <f t="shared" si="4"/>
        <v>-5.6952439338867773</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-5.5873920397162173</v>
      </c>
      <c r="E48" s="11">
        <f>A48-'Mastercurve bestimmen'!$B$2</f>
        <v>-57</v>
      </c>
      <c r="F48" s="11">
        <f t="shared" si="4"/>
        <v>-5.5873920397162173</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-5.4763853185883171</v>
      </c>
      <c r="E49" s="11">
        <f>A49-'Mastercurve bestimmen'!$B$2</f>
        <v>-56</v>
      </c>
      <c r="F49" s="11">
        <f t="shared" si="4"/>
        <v>-5.4763853185883171</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-5.3621281696861862</v>
      </c>
      <c r="E50" s="11">
        <f>A50-'Mastercurve bestimmen'!$B$2</f>
        <v>-55</v>
      </c>
      <c r="F50" s="11">
        <f t="shared" si="4"/>
        <v>-5.3621281696861862</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-5.2445249921929387</v>
      </c>
      <c r="E51" s="11">
        <f>A51-'Mastercurve bestimmen'!$B$2</f>
        <v>-54</v>
      </c>
      <c r="F51" s="11">
        <f t="shared" si="4"/>
        <v>-5.2445249921929387</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-5.1234801852916831</v>
      </c>
      <c r="E52" s="11">
        <f>A52-'Mastercurve bestimmen'!$B$2</f>
        <v>-53</v>
      </c>
      <c r="F52" s="11">
        <f t="shared" si="4"/>
        <v>-5.1234801852916831</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-4.9988981481655301</v>
      </c>
      <c r="E53" s="11">
        <f>A53-'Mastercurve bestimmen'!$B$2</f>
        <v>-52</v>
      </c>
      <c r="F53" s="11">
        <f t="shared" si="4"/>
        <v>-4.9988981481655301</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-4.8706832799975928</v>
      </c>
      <c r="E54" s="11">
        <f>A54-'Mastercurve bestimmen'!$B$2</f>
        <v>-51</v>
      </c>
      <c r="F54" s="11">
        <f t="shared" si="4"/>
        <v>-4.8706832799975928</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-4.7387399799709815</v>
      </c>
      <c r="E55" s="11">
        <f>A55-'Mastercurve bestimmen'!$B$2</f>
        <v>-50</v>
      </c>
      <c r="F55" s="11">
        <f t="shared" si="4"/>
        <v>-4.7387399799709815</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-4.6600393059567402</v>
      </c>
      <c r="E56" s="11">
        <f>A56-'Mastercurve bestimmen'!$B$2</f>
        <v>-49</v>
      </c>
      <c r="F56" s="11">
        <f t="shared" si="4"/>
        <v>-4.6600393059567402</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-4.5777400870189844</v>
      </c>
      <c r="E57" s="11">
        <f>A57-'Mastercurve bestimmen'!$B$2</f>
        <v>-48</v>
      </c>
      <c r="F57" s="11">
        <f t="shared" si="4"/>
        <v>-4.5777400870189844</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-4.492067810909762</v>
      </c>
      <c r="E58" s="11">
        <f>A58-'Mastercurve bestimmen'!$B$2</f>
        <v>-47</v>
      </c>
      <c r="F58" s="11">
        <f t="shared" si="4"/>
        <v>-4.492067810909762</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-4.4032479653811265</v>
      </c>
      <c r="E59" s="11">
        <f>A59-'Mastercurve bestimmen'!$B$2</f>
        <v>-46</v>
      </c>
      <c r="F59" s="11">
        <f t="shared" si="4"/>
        <v>-4.4032479653811265</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-4.3115060381851249</v>
      </c>
      <c r="E60" s="11">
        <f>A60-'Mastercurve bestimmen'!$B$2</f>
        <v>-45</v>
      </c>
      <c r="F60" s="11">
        <f t="shared" si="4"/>
        <v>-4.3115060381851249</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-4.217067517073807</v>
      </c>
      <c r="E61" s="11">
        <f>A61-'Mastercurve bestimmen'!$B$2</f>
        <v>-44</v>
      </c>
      <c r="F61" s="11">
        <f t="shared" si="4"/>
        <v>-4.217067517073807</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-4.1201578897992217</v>
      </c>
      <c r="E62" s="11">
        <f>A62-'Mastercurve bestimmen'!$B$2</f>
        <v>-43</v>
      </c>
      <c r="F62" s="11">
        <f t="shared" si="4"/>
        <v>-4.1201578897992217</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-4.0210026441134206</v>
      </c>
      <c r="E63" s="11">
        <f>A63-'Mastercurve bestimmen'!$B$2</f>
        <v>-42</v>
      </c>
      <c r="F63" s="11">
        <f t="shared" si="4"/>
        <v>-4.0210026441134206</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-3.9198272677684511</v>
      </c>
      <c r="E64" s="11">
        <f>A64-'Mastercurve bestimmen'!$B$2</f>
        <v>-41</v>
      </c>
      <c r="F64" s="11">
        <f t="shared" si="4"/>
        <v>-3.9198272677684511</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-3.8168572485163637</v>
      </c>
      <c r="E65" s="11">
        <f>A65-'Mastercurve bestimmen'!$B$2</f>
        <v>-40</v>
      </c>
      <c r="F65" s="11">
        <f t="shared" si="4"/>
        <v>-3.8168572485163637</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-3.7123180741092079</v>
      </c>
      <c r="E66" s="11">
        <f>A66-'Mastercurve bestimmen'!$B$2</f>
        <v>-39</v>
      </c>
      <c r="F66" s="11">
        <f t="shared" si="4"/>
        <v>-3.7123180741092079</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-3.6064352322990332</v>
      </c>
      <c r="E67" s="11">
        <f>A67-'Mastercurve bestimmen'!$B$2</f>
        <v>-38</v>
      </c>
      <c r="F67" s="11">
        <f t="shared" si="4"/>
        <v>-3.6064352322990332</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-3.4994342108378884</v>
      </c>
      <c r="E68" s="11">
        <f>A68-'Mastercurve bestimmen'!$B$2</f>
        <v>-37</v>
      </c>
      <c r="F68" s="11">
        <f t="shared" si="4"/>
        <v>-3.4994342108378884</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-3.3915404974778243</v>
      </c>
      <c r="E69" s="11">
        <f>A69-'Mastercurve bestimmen'!$B$2</f>
        <v>-36</v>
      </c>
      <c r="F69" s="11">
        <f t="shared" si="4"/>
        <v>-3.3915404974778243</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-3.2829795799708892</v>
      </c>
      <c r="E70" s="11">
        <f>A70-'Mastercurve bestimmen'!$B$2</f>
        <v>-35</v>
      </c>
      <c r="F70" s="11">
        <f t="shared" si="4"/>
        <v>-3.2829795799708892</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-3.1739769460691329</v>
      </c>
      <c r="E71" s="11">
        <f>A71-'Mastercurve bestimmen'!$B$2</f>
        <v>-34</v>
      </c>
      <c r="F71" s="11">
        <f t="shared" si="4"/>
        <v>-3.1739769460691329</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-3.0647580835246053</v>
      </c>
      <c r="E72" s="11">
        <f>A72-'Mastercurve bestimmen'!$B$2</f>
        <v>-33</v>
      </c>
      <c r="F72" s="11">
        <f t="shared" si="4"/>
        <v>-3.0647580835246053</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-2.9555484800893561</v>
      </c>
      <c r="E73" s="11">
        <f>A73-'Mastercurve bestimmen'!$B$2</f>
        <v>-32</v>
      </c>
      <c r="F73" s="11">
        <f t="shared" si="4"/>
        <v>-2.9555484800893561</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-2.8465736235154342</v>
      </c>
      <c r="E74" s="11">
        <f>A74-'Mastercurve bestimmen'!$B$2</f>
        <v>-31</v>
      </c>
      <c r="F74" s="11">
        <f t="shared" si="4"/>
        <v>-2.8465736235154342</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-2.7380590015548893</v>
      </c>
      <c r="E75" s="11">
        <f>A75-'Mastercurve bestimmen'!$B$2</f>
        <v>-30</v>
      </c>
      <c r="F75" s="11">
        <f t="shared" si="4"/>
        <v>-2.7380590015548893</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-2.6302301019597714</v>
      </c>
      <c r="E76" s="11">
        <f>A76-'Mastercurve bestimmen'!$B$2</f>
        <v>-29</v>
      </c>
      <c r="F76" s="11">
        <f t="shared" si="4"/>
        <v>-2.6302301019597714</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-2.5233124124821296</v>
      </c>
      <c r="E77" s="11">
        <f>A77-'Mastercurve bestimmen'!$B$2</f>
        <v>-28</v>
      </c>
      <c r="F77" s="11">
        <f t="shared" si="4"/>
        <v>-2.5233124124821296</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-2.4175314208740128</v>
      </c>
      <c r="E78" s="11">
        <f>A78-'Mastercurve bestimmen'!$B$2</f>
        <v>-27</v>
      </c>
      <c r="F78" s="11">
        <f t="shared" si="4"/>
        <v>-2.4175314208740128</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-2.3131126148874719</v>
      </c>
      <c r="E79" s="11">
        <f>A79-'Mastercurve bestimmen'!$B$2</f>
        <v>-26</v>
      </c>
      <c r="F79" s="11">
        <f t="shared" si="4"/>
        <v>-2.3131126148874719</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-2.2102814822745551</v>
      </c>
      <c r="E80" s="11">
        <f>A80-'Mastercurve bestimmen'!$B$2</f>
        <v>-25</v>
      </c>
      <c r="F80" s="11">
        <f t="shared" ref="F80:F143" si="10">B80</f>
        <v>-2.2102814822745551</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-2.1092113476712728</v>
      </c>
      <c r="E81" s="11">
        <f>A81-'Mastercurve bestimmen'!$B$2</f>
        <v>-24</v>
      </c>
      <c r="F81" s="11">
        <f t="shared" si="10"/>
        <v>-2.1092113476712728</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-2.0098668832494746</v>
      </c>
      <c r="E82" s="11">
        <f>A82-'Mastercurve bestimmen'!$B$2</f>
        <v>-23</v>
      </c>
      <c r="F82" s="11">
        <f t="shared" si="10"/>
        <v>-2.0098668832494746</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-1.9121605980649696</v>
      </c>
      <c r="E83" s="11">
        <f>A83-'Mastercurve bestimmen'!$B$2</f>
        <v>-22</v>
      </c>
      <c r="F83" s="11">
        <f t="shared" si="10"/>
        <v>-1.9121605980649696</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-1.8160050011735682</v>
      </c>
      <c r="E84" s="11">
        <f>A84-'Mastercurve bestimmen'!$B$2</f>
        <v>-21</v>
      </c>
      <c r="F84" s="11">
        <f t="shared" si="10"/>
        <v>-1.8160050011735682</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-1.7213126016310796</v>
      </c>
      <c r="E85" s="11">
        <f>A85-'Mastercurve bestimmen'!$B$2</f>
        <v>-20</v>
      </c>
      <c r="F85" s="11">
        <f t="shared" si="10"/>
        <v>-1.7213126016310796</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-1.6279959084933138</v>
      </c>
      <c r="E86" s="11">
        <f>A86-'Mastercurve bestimmen'!$B$2</f>
        <v>-19</v>
      </c>
      <c r="F86" s="11">
        <f t="shared" si="10"/>
        <v>-1.6279959084933138</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-1.5359674308160804</v>
      </c>
      <c r="E87" s="11">
        <f>A87-'Mastercurve bestimmen'!$B$2</f>
        <v>-18</v>
      </c>
      <c r="F87" s="11">
        <f t="shared" si="10"/>
        <v>-1.5359674308160804</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-1.4451396776551895</v>
      </c>
      <c r="E88" s="11">
        <f>A88-'Mastercurve bestimmen'!$B$2</f>
        <v>-17</v>
      </c>
      <c r="F88" s="11">
        <f t="shared" si="10"/>
        <v>-1.4451396776551895</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-1.3554251580664503</v>
      </c>
      <c r="E89" s="11">
        <f>A89-'Mastercurve bestimmen'!$B$2</f>
        <v>-16</v>
      </c>
      <c r="F89" s="11">
        <f t="shared" si="10"/>
        <v>-1.3554251580664503</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-1.2667363811056727</v>
      </c>
      <c r="E90" s="11">
        <f>A90-'Mastercurve bestimmen'!$B$2</f>
        <v>-15</v>
      </c>
      <c r="F90" s="11">
        <f t="shared" si="10"/>
        <v>-1.2667363811056727</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-1.1789858558286663</v>
      </c>
      <c r="E91" s="11">
        <f>A91-'Mastercurve bestimmen'!$B$2</f>
        <v>-14</v>
      </c>
      <c r="F91" s="11">
        <f t="shared" si="10"/>
        <v>-1.1789858558286663</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-1.0920860912912409</v>
      </c>
      <c r="E92" s="11">
        <f>A92-'Mastercurve bestimmen'!$B$2</f>
        <v>-13</v>
      </c>
      <c r="F92" s="11">
        <f t="shared" si="10"/>
        <v>-1.0920860912912409</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-1.005949596549206</v>
      </c>
      <c r="E93" s="11">
        <f>A93-'Mastercurve bestimmen'!$B$2</f>
        <v>-12</v>
      </c>
      <c r="F93" s="11">
        <f t="shared" si="10"/>
        <v>-1.005949596549206</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-0.92048888065837187</v>
      </c>
      <c r="E94" s="11">
        <f>A94-'Mastercurve bestimmen'!$B$2</f>
        <v>-11</v>
      </c>
      <c r="F94" s="11">
        <f t="shared" si="10"/>
        <v>-0.92048888065837187</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-0.83561645267454765</v>
      </c>
      <c r="E95" s="11">
        <f>A95-'Mastercurve bestimmen'!$B$2</f>
        <v>-10</v>
      </c>
      <c r="F95" s="11">
        <f t="shared" si="10"/>
        <v>-0.83561645267454765</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-0.75124482165354345</v>
      </c>
      <c r="E96" s="11">
        <f>A96-'Mastercurve bestimmen'!$B$2</f>
        <v>-9</v>
      </c>
      <c r="F96" s="11">
        <f t="shared" si="10"/>
        <v>-0.75124482165354345</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-0.66728649665116868</v>
      </c>
      <c r="E97" s="11">
        <f>A97-'Mastercurve bestimmen'!$B$2</f>
        <v>-8</v>
      </c>
      <c r="F97" s="11">
        <f t="shared" si="10"/>
        <v>-0.66728649665116868</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-0.58365398672323332</v>
      </c>
      <c r="E98" s="11">
        <f>A98-'Mastercurve bestimmen'!$B$2</f>
        <v>-7</v>
      </c>
      <c r="F98" s="11">
        <f t="shared" si="10"/>
        <v>-0.58365398672323332</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-0.50025980092554678</v>
      </c>
      <c r="E99" s="11">
        <f>A99-'Mastercurve bestimmen'!$B$2</f>
        <v>-6</v>
      </c>
      <c r="F99" s="11">
        <f t="shared" si="10"/>
        <v>-0.50025980092554678</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-0.41701644831391893</v>
      </c>
      <c r="E100" s="11">
        <f>A100-'Mastercurve bestimmen'!$B$2</f>
        <v>-5</v>
      </c>
      <c r="F100" s="11">
        <f t="shared" si="10"/>
        <v>-0.41701644831391893</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-0.33383643794415951</v>
      </c>
      <c r="E101" s="11">
        <f>A101-'Mastercurve bestimmen'!$B$2</f>
        <v>-4</v>
      </c>
      <c r="F101" s="11">
        <f t="shared" si="10"/>
        <v>-0.33383643794415951</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-0.25063227887207823</v>
      </c>
      <c r="E102" s="11">
        <f>A102-'Mastercurve bestimmen'!$B$2</f>
        <v>-3</v>
      </c>
      <c r="F102" s="11">
        <f t="shared" si="10"/>
        <v>-0.25063227887207823</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-0.16731648015348471</v>
      </c>
      <c r="E103" s="11">
        <f>A103-'Mastercurve bestimmen'!$B$2</f>
        <v>-2</v>
      </c>
      <c r="F103" s="11">
        <f t="shared" si="10"/>
        <v>-0.16731648015348471</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-8.3801550844188749E-2</v>
      </c>
      <c r="E104" s="11">
        <f>A104-'Mastercurve bestimmen'!$B$2</f>
        <v>-1</v>
      </c>
      <c r="F104" s="11">
        <f t="shared" si="10"/>
        <v>-8.3801550844188749E-2</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8.4165927291761367E-2</v>
      </c>
      <c r="E106" s="11">
        <f>A106-'Mastercurve bestimmen'!$B$2</f>
        <v>1</v>
      </c>
      <c r="F106" s="11">
        <f t="shared" si="10"/>
        <v>8.4165927291761367E-2</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0.16873504181773344</v>
      </c>
      <c r="E107" s="11">
        <f>A107-'Mastercurve bestimmen'!$B$2</f>
        <v>2</v>
      </c>
      <c r="F107" s="11">
        <f t="shared" si="10"/>
        <v>0.16873504181773344</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0.25373641833304383</v>
      </c>
      <c r="E108" s="11">
        <f>A108-'Mastercurve bestimmen'!$B$2</f>
        <v>3</v>
      </c>
      <c r="F108" s="11">
        <f t="shared" si="10"/>
        <v>0.25373641833304383</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0.33919913159282028</v>
      </c>
      <c r="E109" s="11">
        <f>A109-'Mastercurve bestimmen'!$B$2</f>
        <v>4</v>
      </c>
      <c r="F109" s="11">
        <f t="shared" si="10"/>
        <v>0.33919913159282028</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0.42515225635219034</v>
      </c>
      <c r="E110" s="11">
        <f>A110-'Mastercurve bestimmen'!$B$2</f>
        <v>5</v>
      </c>
      <c r="F110" s="11">
        <f t="shared" si="10"/>
        <v>0.42515225635219034</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0.51162486736628165</v>
      </c>
      <c r="E111" s="11">
        <f>A111-'Mastercurve bestimmen'!$B$2</f>
        <v>6</v>
      </c>
      <c r="F111" s="11">
        <f t="shared" si="10"/>
        <v>0.51162486736628165</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0.59864603939022198</v>
      </c>
      <c r="E112" s="11">
        <f>A112-'Mastercurve bestimmen'!$B$2</f>
        <v>7</v>
      </c>
      <c r="F112" s="11">
        <f t="shared" si="10"/>
        <v>0.59864603939022198</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0.68624484717913881</v>
      </c>
      <c r="E113" s="11">
        <f>A113-'Mastercurve bestimmen'!$B$2</f>
        <v>8</v>
      </c>
      <c r="F113" s="11">
        <f t="shared" si="10"/>
        <v>0.68624484717913881</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0.77445036548815982</v>
      </c>
      <c r="E114" s="11">
        <f>A114-'Mastercurve bestimmen'!$B$2</f>
        <v>9</v>
      </c>
      <c r="F114" s="11">
        <f t="shared" si="10"/>
        <v>0.77445036548815982</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0.86329166907241284</v>
      </c>
      <c r="E115" s="11">
        <f>A115-'Mastercurve bestimmen'!$B$2</f>
        <v>10</v>
      </c>
      <c r="F115" s="11">
        <f t="shared" si="10"/>
        <v>0.86329166907241284</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0.95279783268702534</v>
      </c>
      <c r="E116" s="11">
        <f>A116-'Mastercurve bestimmen'!$B$2</f>
        <v>11</v>
      </c>
      <c r="F116" s="11">
        <f t="shared" si="10"/>
        <v>0.95279783268702534</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1.0429979310871249</v>
      </c>
      <c r="E117" s="11">
        <f>A117-'Mastercurve bestimmen'!$B$2</f>
        <v>12</v>
      </c>
      <c r="F117" s="11">
        <f t="shared" si="10"/>
        <v>1.0429979310871249</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1.1339210390278394</v>
      </c>
      <c r="E118" s="11">
        <f>A118-'Mastercurve bestimmen'!$B$2</f>
        <v>13</v>
      </c>
      <c r="F118" s="11">
        <f t="shared" si="10"/>
        <v>1.1339210390278394</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1.2255962312642963</v>
      </c>
      <c r="E119" s="11">
        <f>A119-'Mastercurve bestimmen'!$B$2</f>
        <v>14</v>
      </c>
      <c r="F119" s="11">
        <f t="shared" si="10"/>
        <v>1.2255962312642963</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1.3180525825516234</v>
      </c>
      <c r="E120" s="11">
        <f>A120-'Mastercurve bestimmen'!$B$2</f>
        <v>15</v>
      </c>
      <c r="F120" s="11">
        <f t="shared" si="10"/>
        <v>1.3180525825516234</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1.4113191676449481</v>
      </c>
      <c r="E121" s="11">
        <f>A121-'Mastercurve bestimmen'!$B$2</f>
        <v>16</v>
      </c>
      <c r="F121" s="11">
        <f t="shared" si="10"/>
        <v>1.4113191676449481</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1.5054250612993982</v>
      </c>
      <c r="E122" s="11">
        <f>A122-'Mastercurve bestimmen'!$B$2</f>
        <v>17</v>
      </c>
      <c r="F122" s="11">
        <f t="shared" si="10"/>
        <v>1.5054250612993982</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1.6003993382701012</v>
      </c>
      <c r="E123" s="11">
        <f>A123-'Mastercurve bestimmen'!$B$2</f>
        <v>18</v>
      </c>
      <c r="F123" s="11">
        <f t="shared" si="10"/>
        <v>1.6003993382701012</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1.6962710733121853</v>
      </c>
      <c r="E124" s="11">
        <f>A124-'Mastercurve bestimmen'!$B$2</f>
        <v>19</v>
      </c>
      <c r="F124" s="11">
        <f t="shared" si="10"/>
        <v>1.6962710733121853</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1.7930693411807774</v>
      </c>
      <c r="E125" s="11">
        <f>A125-'Mastercurve bestimmen'!$B$2</f>
        <v>20</v>
      </c>
      <c r="F125" s="11">
        <f t="shared" si="10"/>
        <v>1.7930693411807774</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1.8908232166310055</v>
      </c>
      <c r="E126" s="11">
        <f>A126-'Mastercurve bestimmen'!$B$2</f>
        <v>21</v>
      </c>
      <c r="F126" s="11">
        <f t="shared" si="10"/>
        <v>1.8908232166310055</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1.9895617744179974</v>
      </c>
      <c r="E127" s="11">
        <f>A127-'Mastercurve bestimmen'!$B$2</f>
        <v>22</v>
      </c>
      <c r="F127" s="11">
        <f t="shared" si="10"/>
        <v>1.9895617744179974</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2.0893140892968805</v>
      </c>
      <c r="E128" s="11">
        <f>A128-'Mastercurve bestimmen'!$B$2</f>
        <v>23</v>
      </c>
      <c r="F128" s="11">
        <f t="shared" si="10"/>
        <v>2.0893140892968805</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2.1901092360227823</v>
      </c>
      <c r="E129" s="11">
        <f>A129-'Mastercurve bestimmen'!$B$2</f>
        <v>24</v>
      </c>
      <c r="F129" s="11">
        <f t="shared" si="10"/>
        <v>2.1901092360227823</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2.2919762893508309</v>
      </c>
      <c r="E130" s="11">
        <f>A130-'Mastercurve bestimmen'!$B$2</f>
        <v>25</v>
      </c>
      <c r="F130" s="11">
        <f t="shared" si="10"/>
        <v>2.2919762893508309</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2.3949443240361536</v>
      </c>
      <c r="E131" s="11">
        <f>A131-'Mastercurve bestimmen'!$B$2</f>
        <v>26</v>
      </c>
      <c r="F131" s="11">
        <f t="shared" si="10"/>
        <v>2.3949443240361536</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2.4990424148338786</v>
      </c>
      <c r="E132" s="11">
        <f>A132-'Mastercurve bestimmen'!$B$2</f>
        <v>27</v>
      </c>
      <c r="F132" s="11">
        <f t="shared" si="10"/>
        <v>2.4990424148338786</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2.6042996364991327</v>
      </c>
      <c r="E133" s="11">
        <f>A133-'Mastercurve bestimmen'!$B$2</f>
        <v>28</v>
      </c>
      <c r="F133" s="11">
        <f t="shared" si="10"/>
        <v>2.6042996364991327</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2.7107450637870438</v>
      </c>
      <c r="E134" s="11">
        <f>A134-'Mastercurve bestimmen'!$B$2</f>
        <v>29</v>
      </c>
      <c r="F134" s="11">
        <f t="shared" si="10"/>
        <v>2.7107450637870438</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2.8184077714527396</v>
      </c>
      <c r="E135" s="11">
        <f>A135-'Mastercurve bestimmen'!$B$2</f>
        <v>30</v>
      </c>
      <c r="F135" s="11">
        <f t="shared" si="10"/>
        <v>2.8184077714527396</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2.927310201590672</v>
      </c>
      <c r="E136" s="11">
        <f>A136-'Mastercurve bestimmen'!$B$2</f>
        <v>31</v>
      </c>
      <c r="F136" s="11">
        <f t="shared" si="10"/>
        <v>2.927310201590672</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3.0374482656525879</v>
      </c>
      <c r="E137" s="11">
        <f>A137-'Mastercurve bestimmen'!$B$2</f>
        <v>32</v>
      </c>
      <c r="F137" s="11">
        <f t="shared" si="10"/>
        <v>3.0374482656525879</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3.1488112424295593</v>
      </c>
      <c r="E138" s="11">
        <f>A138-'Mastercurve bestimmen'!$B$2</f>
        <v>33</v>
      </c>
      <c r="F138" s="11">
        <f t="shared" si="10"/>
        <v>3.1488112424295593</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3.2613884107126569</v>
      </c>
      <c r="E139" s="11">
        <f>A139-'Mastercurve bestimmen'!$B$2</f>
        <v>34</v>
      </c>
      <c r="F139" s="11">
        <f t="shared" si="10"/>
        <v>3.2613884107126569</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3.3751690492929534</v>
      </c>
      <c r="E140" s="11">
        <f>A140-'Mastercurve bestimmen'!$B$2</f>
        <v>35</v>
      </c>
      <c r="F140" s="11">
        <f t="shared" si="10"/>
        <v>3.3751690492929534</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3.4901424369615186</v>
      </c>
      <c r="E141" s="11">
        <f>A141-'Mastercurve bestimmen'!$B$2</f>
        <v>36</v>
      </c>
      <c r="F141" s="11">
        <f t="shared" si="10"/>
        <v>3.4901424369615186</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3.6062978525094245</v>
      </c>
      <c r="E142" s="11">
        <f>A142-'Mastercurve bestimmen'!$B$2</f>
        <v>37</v>
      </c>
      <c r="F142" s="11">
        <f t="shared" si="10"/>
        <v>3.6062978525094245</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3.7236245747277428</v>
      </c>
      <c r="E143" s="11">
        <f>A143-'Mastercurve bestimmen'!$B$2</f>
        <v>38</v>
      </c>
      <c r="F143" s="11">
        <f t="shared" si="10"/>
        <v>3.7236245747277428</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3.842111882407544</v>
      </c>
      <c r="E144" s="11">
        <f>A144-'Mastercurve bestimmen'!$B$2</f>
        <v>39</v>
      </c>
      <c r="F144" s="11">
        <f t="shared" ref="F144:F207" si="15">B144</f>
        <v>3.842111882407544</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3.9617490543399003</v>
      </c>
      <c r="E145" s="11">
        <f>A145-'Mastercurve bestimmen'!$B$2</f>
        <v>40</v>
      </c>
      <c r="F145" s="11">
        <f t="shared" si="15"/>
        <v>3.9617490543399003</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4.0825253693158832</v>
      </c>
      <c r="E146" s="11">
        <f>A146-'Mastercurve bestimmen'!$B$2</f>
        <v>41</v>
      </c>
      <c r="F146" s="11">
        <f t="shared" si="15"/>
        <v>4.0825253693158832</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4.204430106126563</v>
      </c>
      <c r="E147" s="11">
        <f>A147-'Mastercurve bestimmen'!$B$2</f>
        <v>42</v>
      </c>
      <c r="F147" s="11">
        <f t="shared" si="15"/>
        <v>4.204430106126563</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4.3274525435630125</v>
      </c>
      <c r="E148" s="11">
        <f>A148-'Mastercurve bestimmen'!$B$2</f>
        <v>43</v>
      </c>
      <c r="F148" s="11">
        <f t="shared" si="15"/>
        <v>4.3274525435630125</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4.4515819604163012</v>
      </c>
      <c r="E149" s="11">
        <f>A149-'Mastercurve bestimmen'!$B$2</f>
        <v>44</v>
      </c>
      <c r="F149" s="11">
        <f t="shared" si="15"/>
        <v>4.4515819604163012</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4.5768076354775022</v>
      </c>
      <c r="E150" s="11">
        <f>A150-'Mastercurve bestimmen'!$B$2</f>
        <v>45</v>
      </c>
      <c r="F150" s="11">
        <f t="shared" si="15"/>
        <v>4.5768076354775022</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4.7031188475376862</v>
      </c>
      <c r="E151" s="11">
        <f>A151-'Mastercurve bestimmen'!$B$2</f>
        <v>46</v>
      </c>
      <c r="F151" s="11">
        <f t="shared" si="15"/>
        <v>4.7031188475376862</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4.8305048753879252</v>
      </c>
      <c r="E152" s="11">
        <f>A152-'Mastercurve bestimmen'!$B$2</f>
        <v>47</v>
      </c>
      <c r="F152" s="11">
        <f t="shared" si="15"/>
        <v>4.8305048753879252</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4.9589549978192888</v>
      </c>
      <c r="E153" s="11">
        <f>A153-'Mastercurve bestimmen'!$B$2</f>
        <v>48</v>
      </c>
      <c r="F153" s="11">
        <f t="shared" si="15"/>
        <v>4.9589549978192888</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5.0884584936228512</v>
      </c>
      <c r="E154" s="11">
        <f>A154-'Mastercurve bestimmen'!$B$2</f>
        <v>49</v>
      </c>
      <c r="F154" s="11">
        <f t="shared" si="15"/>
        <v>5.0884584936228512</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5.2190046415896809</v>
      </c>
      <c r="E155" s="11">
        <f>A155-'Mastercurve bestimmen'!$B$2</f>
        <v>50</v>
      </c>
      <c r="F155" s="11">
        <f t="shared" si="15"/>
        <v>5.2190046415896809</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5.350582720510852</v>
      </c>
      <c r="E156" s="11">
        <f>A156-'Mastercurve bestimmen'!$B$2</f>
        <v>51</v>
      </c>
      <c r="F156" s="11">
        <f t="shared" si="15"/>
        <v>5.350582720510852</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5.4831820091774324</v>
      </c>
      <c r="E157" s="11">
        <f>A157-'Mastercurve bestimmen'!$B$2</f>
        <v>52</v>
      </c>
      <c r="F157" s="11">
        <f t="shared" si="15"/>
        <v>5.4831820091774324</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5.6167917863804977</v>
      </c>
      <c r="E158" s="11">
        <f>A158-'Mastercurve bestimmen'!$B$2</f>
        <v>53</v>
      </c>
      <c r="F158" s="11">
        <f t="shared" si="15"/>
        <v>5.6167917863804977</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5.7514013309111158</v>
      </c>
      <c r="E159" s="11">
        <f>A159-'Mastercurve bestimmen'!$B$2</f>
        <v>54</v>
      </c>
      <c r="F159" s="11">
        <f t="shared" si="15"/>
        <v>5.7514013309111158</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5.886999921560359</v>
      </c>
      <c r="E160" s="11">
        <f>A160-'Mastercurve bestimmen'!$B$2</f>
        <v>55</v>
      </c>
      <c r="F160" s="11">
        <f t="shared" si="15"/>
        <v>5.886999921560359</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6.0235768371193004</v>
      </c>
      <c r="E161" s="11">
        <f>A161-'Mastercurve bestimmen'!$B$2</f>
        <v>56</v>
      </c>
      <c r="F161" s="11">
        <f t="shared" si="15"/>
        <v>6.0235768371193004</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6.1611213563790086</v>
      </c>
      <c r="E162" s="11">
        <f>A162-'Mastercurve bestimmen'!$B$2</f>
        <v>57</v>
      </c>
      <c r="F162" s="11">
        <f t="shared" si="15"/>
        <v>6.1611213563790086</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6.2996227581305577</v>
      </c>
      <c r="E163" s="11">
        <f>A163-'Mastercurve bestimmen'!$B$2</f>
        <v>58</v>
      </c>
      <c r="F163" s="11">
        <f t="shared" si="15"/>
        <v>6.2996227581305577</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6.4390703211650164</v>
      </c>
      <c r="E164" s="11">
        <f>A164-'Mastercurve bestimmen'!$B$2</f>
        <v>59</v>
      </c>
      <c r="F164" s="11">
        <f t="shared" si="15"/>
        <v>6.4390703211650164</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6.5794533242734587</v>
      </c>
      <c r="E165" s="11">
        <f>A165-'Mastercurve bestimmen'!$B$2</f>
        <v>60</v>
      </c>
      <c r="F165" s="11">
        <f t="shared" si="15"/>
        <v>6.5794533242734587</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6.7207610462469534</v>
      </c>
      <c r="E166" s="11">
        <f>A166-'Mastercurve bestimmen'!$B$2</f>
        <v>61</v>
      </c>
      <c r="F166" s="11">
        <f t="shared" si="15"/>
        <v>6.7207610462469534</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6.8629827658765743</v>
      </c>
      <c r="E167" s="11">
        <f>A167-'Mastercurve bestimmen'!$B$2</f>
        <v>62</v>
      </c>
      <c r="F167" s="11">
        <f t="shared" si="15"/>
        <v>6.8629827658765743</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7.006107761953392</v>
      </c>
      <c r="E168" s="11">
        <f>A168-'Mastercurve bestimmen'!$B$2</f>
        <v>63</v>
      </c>
      <c r="F168" s="11">
        <f t="shared" si="15"/>
        <v>7.006107761953392</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7.1501253132684761</v>
      </c>
      <c r="E169" s="11">
        <f>A169-'Mastercurve bestimmen'!$B$2</f>
        <v>64</v>
      </c>
      <c r="F169" s="11">
        <f t="shared" si="15"/>
        <v>7.1501253132684761</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7.2950246986129006</v>
      </c>
      <c r="E170" s="11">
        <f>A170-'Mastercurve bestimmen'!$B$2</f>
        <v>65</v>
      </c>
      <c r="F170" s="11">
        <f t="shared" si="15"/>
        <v>7.2950246986129006</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7.440795196777735</v>
      </c>
      <c r="E171" s="11">
        <f>A171-'Mastercurve bestimmen'!$B$2</f>
        <v>66</v>
      </c>
      <c r="F171" s="11">
        <f t="shared" si="15"/>
        <v>7.440795196777735</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7.5874260865540526</v>
      </c>
      <c r="E172" s="11">
        <f>A172-'Mastercurve bestimmen'!$B$2</f>
        <v>67</v>
      </c>
      <c r="F172" s="11">
        <f t="shared" si="15"/>
        <v>7.5874260865540526</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7.7349066467329219</v>
      </c>
      <c r="E173" s="11">
        <f>A173-'Mastercurve bestimmen'!$B$2</f>
        <v>68</v>
      </c>
      <c r="F173" s="11">
        <f t="shared" si="15"/>
        <v>7.7349066467329219</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7.8832261561054171</v>
      </c>
      <c r="E174" s="11">
        <f>A174-'Mastercurve bestimmen'!$B$2</f>
        <v>69</v>
      </c>
      <c r="F174" s="11">
        <f t="shared" si="15"/>
        <v>7.8832261561054171</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8.0323738934626085</v>
      </c>
      <c r="E175" s="11">
        <f>A175-'Mastercurve bestimmen'!$B$2</f>
        <v>70</v>
      </c>
      <c r="F175" s="11">
        <f t="shared" si="15"/>
        <v>8.0323738934626085</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8.1823391375955659</v>
      </c>
      <c r="E176" s="11">
        <f>A176-'Mastercurve bestimmen'!$B$2</f>
        <v>71</v>
      </c>
      <c r="F176" s="11">
        <f t="shared" si="15"/>
        <v>8.1823391375955659</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8.3331111672953639</v>
      </c>
      <c r="E177" s="11">
        <f>A177-'Mastercurve bestimmen'!$B$2</f>
        <v>72</v>
      </c>
      <c r="F177" s="11">
        <f t="shared" si="15"/>
        <v>8.3331111672953639</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8.4846792613530706</v>
      </c>
      <c r="E178" s="11">
        <f>A178-'Mastercurve bestimmen'!$B$2</f>
        <v>73</v>
      </c>
      <c r="F178" s="11">
        <f t="shared" si="15"/>
        <v>8.4846792613530706</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8.6370326985597607</v>
      </c>
      <c r="E179" s="11">
        <f>A179-'Mastercurve bestimmen'!$B$2</f>
        <v>74</v>
      </c>
      <c r="F179" s="11">
        <f t="shared" si="15"/>
        <v>8.6370326985597607</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8.790160757706504</v>
      </c>
      <c r="E180" s="11">
        <f>A180-'Mastercurve bestimmen'!$B$2</f>
        <v>75</v>
      </c>
      <c r="F180" s="11">
        <f t="shared" si="15"/>
        <v>8.790160757706504</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8.9440508668299952</v>
      </c>
      <c r="E181" s="11">
        <f>A181-'Mastercurve bestimmen'!$B$2</f>
        <v>76</v>
      </c>
      <c r="F181" s="11">
        <f t="shared" si="15"/>
        <v>8.9440508668299952</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9.0986830509494361</v>
      </c>
      <c r="E182" s="11">
        <f>A182-'Mastercurve bestimmen'!$B$2</f>
        <v>77</v>
      </c>
      <c r="F182" s="11">
        <f t="shared" si="15"/>
        <v>9.0986830509494361</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9.254035484329652</v>
      </c>
      <c r="E183" s="11">
        <f>A183-'Mastercurve bestimmen'!$B$2</f>
        <v>78</v>
      </c>
      <c r="F183" s="11">
        <f t="shared" si="15"/>
        <v>9.254035484329652</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9.4100863412354663</v>
      </c>
      <c r="E184" s="11">
        <f>A184-'Mastercurve bestimmen'!$B$2</f>
        <v>79</v>
      </c>
      <c r="F184" s="11">
        <f t="shared" si="15"/>
        <v>9.4100863412354663</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9.5668137959317061</v>
      </c>
      <c r="E185" s="11">
        <f>A185-'Mastercurve bestimmen'!$B$2</f>
        <v>80</v>
      </c>
      <c r="F185" s="11">
        <f t="shared" si="15"/>
        <v>9.5668137959317061</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9.7241960226831949</v>
      </c>
      <c r="E186" s="11">
        <f>A186-'Mastercurve bestimmen'!$B$2</f>
        <v>81</v>
      </c>
      <c r="F186" s="11">
        <f t="shared" si="15"/>
        <v>9.7241960226831949</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9.8822111957547598</v>
      </c>
      <c r="E187" s="11">
        <f>A187-'Mastercurve bestimmen'!$B$2</f>
        <v>82</v>
      </c>
      <c r="F187" s="11">
        <f t="shared" si="15"/>
        <v>9.8822111957547598</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10.040837489411222</v>
      </c>
      <c r="E188" s="11">
        <f>A188-'Mastercurve bestimmen'!$B$2</f>
        <v>83</v>
      </c>
      <c r="F188" s="11">
        <f t="shared" si="15"/>
        <v>10.040837489411222</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10.20005307791741</v>
      </c>
      <c r="E189" s="11">
        <f>A189-'Mastercurve bestimmen'!$B$2</f>
        <v>84</v>
      </c>
      <c r="F189" s="11">
        <f t="shared" si="15"/>
        <v>10.20005307791741</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10.359836135538147</v>
      </c>
      <c r="E190" s="11">
        <f>A190-'Mastercurve bestimmen'!$B$2</f>
        <v>85</v>
      </c>
      <c r="F190" s="11">
        <f t="shared" si="15"/>
        <v>10.359836135538147</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10.52016483653826</v>
      </c>
      <c r="E191" s="11">
        <f>A191-'Mastercurve bestimmen'!$B$2</f>
        <v>86</v>
      </c>
      <c r="F191" s="11">
        <f t="shared" si="15"/>
        <v>10.52016483653826</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10.681017355182572</v>
      </c>
      <c r="E192" s="11">
        <f>A192-'Mastercurve bestimmen'!$B$2</f>
        <v>87</v>
      </c>
      <c r="F192" s="11">
        <f t="shared" si="15"/>
        <v>10.681017355182572</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10.842371865735908</v>
      </c>
      <c r="E193" s="11">
        <f>A193-'Mastercurve bestimmen'!$B$2</f>
        <v>88</v>
      </c>
      <c r="F193" s="11">
        <f t="shared" si="15"/>
        <v>10.842371865735908</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11.004206542463091</v>
      </c>
      <c r="E194" s="11">
        <f>A194-'Mastercurve bestimmen'!$B$2</f>
        <v>89</v>
      </c>
      <c r="F194" s="11">
        <f t="shared" si="15"/>
        <v>11.004206542463091</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11.166499559628953</v>
      </c>
      <c r="E195" s="11">
        <f>A195-'Mastercurve bestimmen'!$B$2</f>
        <v>90</v>
      </c>
      <c r="F195" s="11">
        <f t="shared" si="15"/>
        <v>11.166499559628953</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11.329229091498313</v>
      </c>
      <c r="E196" s="11">
        <f>A196-'Mastercurve bestimmen'!$B$2</f>
        <v>91</v>
      </c>
      <c r="F196" s="11">
        <f t="shared" si="15"/>
        <v>11.329229091498313</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11.492373312335998</v>
      </c>
      <c r="E197" s="11">
        <f>A197-'Mastercurve bestimmen'!$B$2</f>
        <v>92</v>
      </c>
      <c r="F197" s="11">
        <f t="shared" si="15"/>
        <v>11.492373312335998</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11.655910396406831</v>
      </c>
      <c r="E198" s="11">
        <f>A198-'Mastercurve bestimmen'!$B$2</f>
        <v>93</v>
      </c>
      <c r="F198" s="11">
        <f t="shared" si="15"/>
        <v>11.655910396406831</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11.819818517975641</v>
      </c>
      <c r="E199" s="11">
        <f>A199-'Mastercurve bestimmen'!$B$2</f>
        <v>94</v>
      </c>
      <c r="F199" s="11">
        <f t="shared" si="15"/>
        <v>11.819818517975641</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11.984075851307249</v>
      </c>
      <c r="E200" s="11">
        <f>A200-'Mastercurve bestimmen'!$B$2</f>
        <v>95</v>
      </c>
      <c r="F200" s="11">
        <f t="shared" si="15"/>
        <v>11.984075851307249</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12.148660570666483</v>
      </c>
      <c r="E201" s="11">
        <f>A201-'Mastercurve bestimmen'!$B$2</f>
        <v>96</v>
      </c>
      <c r="F201" s="11">
        <f t="shared" si="15"/>
        <v>12.148660570666483</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12.313550850318165</v>
      </c>
      <c r="E202" s="11">
        <f>A202-'Mastercurve bestimmen'!$B$2</f>
        <v>97</v>
      </c>
      <c r="F202" s="11">
        <f t="shared" si="15"/>
        <v>12.313550850318165</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12.478724864527123</v>
      </c>
      <c r="E203" s="11">
        <f>A203-'Mastercurve bestimmen'!$B$2</f>
        <v>98</v>
      </c>
      <c r="F203" s="11">
        <f t="shared" si="15"/>
        <v>12.478724864527123</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12.644160787558182</v>
      </c>
      <c r="E204" s="11">
        <f>A204-'Mastercurve bestimmen'!$B$2</f>
        <v>99</v>
      </c>
      <c r="F204" s="11">
        <f t="shared" si="15"/>
        <v>12.644160787558182</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12.809836793676164</v>
      </c>
      <c r="E205" s="11">
        <f>A205-'Mastercurve bestimmen'!$B$2</f>
        <v>100</v>
      </c>
      <c r="F205" s="11">
        <f t="shared" si="15"/>
        <v>12.809836793676164</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12.975731057145897</v>
      </c>
      <c r="E206" s="11">
        <f>A206-'Mastercurve bestimmen'!$B$2</f>
        <v>101</v>
      </c>
      <c r="F206" s="11">
        <f t="shared" si="15"/>
        <v>12.975731057145897</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13.141821752232202</v>
      </c>
      <c r="E207" s="11">
        <f>A207-'Mastercurve bestimmen'!$B$2</f>
        <v>102</v>
      </c>
      <c r="F207" s="11">
        <f t="shared" si="15"/>
        <v>13.141821752232202</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13.308087053199909</v>
      </c>
      <c r="E208" s="11">
        <f>A208-'Mastercurve bestimmen'!$B$2</f>
        <v>103</v>
      </c>
      <c r="F208" s="11">
        <f t="shared" ref="F208:F215" si="21">B208</f>
        <v>13.308087053199909</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13.474505134313841</v>
      </c>
      <c r="E209" s="11">
        <f>A209-'Mastercurve bestimmen'!$B$2</f>
        <v>104</v>
      </c>
      <c r="F209" s="11">
        <f t="shared" si="21"/>
        <v>13.474505134313841</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13.641054169838823</v>
      </c>
      <c r="E210" s="11">
        <f>A210-'Mastercurve bestimmen'!$B$2</f>
        <v>105</v>
      </c>
      <c r="F210" s="11">
        <f t="shared" si="21"/>
        <v>13.641054169838823</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13.80771233403968</v>
      </c>
      <c r="E211" s="11">
        <f>A211-'Mastercurve bestimmen'!$B$2</f>
        <v>106</v>
      </c>
      <c r="F211" s="11">
        <f t="shared" si="21"/>
        <v>13.80771233403968</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13.974457801181236</v>
      </c>
      <c r="E212" s="11">
        <f>A212-'Mastercurve bestimmen'!$B$2</f>
        <v>107</v>
      </c>
      <c r="F212" s="11">
        <f t="shared" si="21"/>
        <v>13.974457801181236</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14.141268745528318</v>
      </c>
      <c r="E213" s="11">
        <f>A213-'Mastercurve bestimmen'!$B$2</f>
        <v>108</v>
      </c>
      <c r="F213" s="11">
        <f t="shared" si="21"/>
        <v>14.141268745528318</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14.30812334134575</v>
      </c>
      <c r="E214" s="11">
        <f>A214-'Mastercurve bestimmen'!$B$2</f>
        <v>109</v>
      </c>
      <c r="F214" s="11">
        <f t="shared" si="21"/>
        <v>14.30812334134575</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14.474999762898356</v>
      </c>
      <c r="E215" s="11">
        <f>A215-'Mastercurve bestimmen'!$B$2</f>
        <v>110</v>
      </c>
      <c r="F215" s="11">
        <f t="shared" si="21"/>
        <v>14.474999762898356</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8.515936736385632E-2</v>
      </c>
      <c r="J217" s="99">
        <v>4.9536107672626757E-5</v>
      </c>
      <c r="K217" s="99">
        <v>9.0218352304496702E-6</v>
      </c>
      <c r="L217" s="99">
        <v>-1.6602123496329666E-9</v>
      </c>
      <c r="M217" s="99">
        <v>-1.2850895963299752E-9</v>
      </c>
      <c r="N217" s="99">
        <v>5.5916920187982993E-12</v>
      </c>
      <c r="O217" s="99">
        <v>6.1805499518956488E-14</v>
      </c>
      <c r="P217" s="99">
        <v>-3.9748648078367303E-16</v>
      </c>
    </row>
    <row r="218" spans="1:16" x14ac:dyDescent="0.25">
      <c r="G218" s="11"/>
      <c r="H218" s="11">
        <v>0</v>
      </c>
      <c r="I218" s="11">
        <v>1.8096904827276107E-4</v>
      </c>
      <c r="J218" s="11">
        <v>4.0645800678022095E-6</v>
      </c>
      <c r="K218" s="3">
        <v>1.5200419954918752E-7</v>
      </c>
      <c r="L218" s="3">
        <v>2.2819958093798539E-9</v>
      </c>
      <c r="M218" s="3">
        <v>3.7113246776510037E-11</v>
      </c>
      <c r="N218" s="3">
        <v>4.2908975129209943E-13</v>
      </c>
      <c r="O218" s="11">
        <v>2.6876757394965635E-15</v>
      </c>
      <c r="P218" s="11">
        <v>2.7128657267097453E-17</v>
      </c>
    </row>
    <row r="219" spans="1:16" x14ac:dyDescent="0.25">
      <c r="G219" s="11"/>
      <c r="H219" s="11">
        <v>0.99999096620974504</v>
      </c>
      <c r="I219" s="11">
        <v>2.0281156292412072E-2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-8.0561518965684638</v>
      </c>
      <c r="G222">
        <f>F15</f>
        <v>-8.052831202133488</v>
      </c>
    </row>
    <row r="223" spans="1:16" x14ac:dyDescent="0.25">
      <c r="E223" s="11">
        <f t="shared" ref="E223:E286" si="25">E16</f>
        <v>-89</v>
      </c>
      <c r="F223" s="11">
        <f t="shared" ref="F223:F286" si="26">$H$217*0+E223*$I$217+E223^2*$J$217+E223^3*$K$217+E223^4*$L$217+E223^5*$M$217+E223^6*$N$217+E223^7*$O$217+E223^8*$P$217</f>
        <v>-7.9945853473577095</v>
      </c>
      <c r="G223" s="11">
        <f t="shared" ref="G223:G286" si="27">F16</f>
        <v>-7.9954565392803687</v>
      </c>
    </row>
    <row r="224" spans="1:16" x14ac:dyDescent="0.25">
      <c r="E224" s="11">
        <f t="shared" si="25"/>
        <v>-88</v>
      </c>
      <c r="F224" s="11">
        <f t="shared" si="26"/>
        <v>-7.9348129415771442</v>
      </c>
      <c r="G224" s="11">
        <f t="shared" si="27"/>
        <v>-7.9379862756103599</v>
      </c>
    </row>
    <row r="225" spans="5:7" x14ac:dyDescent="0.25">
      <c r="E225" s="11">
        <f t="shared" si="25"/>
        <v>-87</v>
      </c>
      <c r="F225" s="11">
        <f t="shared" si="26"/>
        <v>-7.876324457061223</v>
      </c>
      <c r="G225" s="11">
        <f t="shared" si="27"/>
        <v>-7.8803248103065737</v>
      </c>
    </row>
    <row r="226" spans="5:7" x14ac:dyDescent="0.25">
      <c r="E226" s="11">
        <f t="shared" si="25"/>
        <v>-86</v>
      </c>
      <c r="F226" s="11">
        <f t="shared" si="26"/>
        <v>-7.8186559924577583</v>
      </c>
      <c r="G226" s="11">
        <f t="shared" si="27"/>
        <v>-7.8223765425521199</v>
      </c>
    </row>
    <row r="227" spans="5:7" x14ac:dyDescent="0.25">
      <c r="E227" s="11">
        <f t="shared" si="25"/>
        <v>-85</v>
      </c>
      <c r="F227" s="11">
        <f t="shared" si="26"/>
        <v>-7.7613874914639105</v>
      </c>
      <c r="G227" s="11">
        <f t="shared" si="27"/>
        <v>-7.7640458715301097</v>
      </c>
    </row>
    <row r="228" spans="5:7" x14ac:dyDescent="0.25">
      <c r="E228" s="11">
        <f t="shared" si="25"/>
        <v>-84</v>
      </c>
      <c r="F228" s="11">
        <f t="shared" si="26"/>
        <v>-7.7041403507935327</v>
      </c>
      <c r="G228" s="11">
        <f t="shared" si="27"/>
        <v>-7.7052371964236546</v>
      </c>
    </row>
    <row r="229" spans="5:7" x14ac:dyDescent="0.25">
      <c r="E229" s="11">
        <f t="shared" si="25"/>
        <v>-83</v>
      </c>
      <c r="F229" s="11">
        <f t="shared" si="26"/>
        <v>-7.6465751101780324</v>
      </c>
      <c r="G229" s="11">
        <f t="shared" si="27"/>
        <v>-7.645854916415864</v>
      </c>
    </row>
    <row r="230" spans="5:7" x14ac:dyDescent="0.25">
      <c r="E230" s="11">
        <f t="shared" si="25"/>
        <v>-82</v>
      </c>
      <c r="F230" s="11">
        <f t="shared" si="26"/>
        <v>-7.5883892227189875</v>
      </c>
      <c r="G230" s="11">
        <f t="shared" si="27"/>
        <v>-7.5858034306898503</v>
      </c>
    </row>
    <row r="231" spans="5:7" x14ac:dyDescent="0.25">
      <c r="E231" s="11">
        <f t="shared" si="25"/>
        <v>-81</v>
      </c>
      <c r="F231" s="11">
        <f t="shared" si="26"/>
        <v>-7.5293149039267853</v>
      </c>
      <c r="G231" s="11">
        <f t="shared" si="27"/>
        <v>-7.5249871384287239</v>
      </c>
    </row>
    <row r="232" spans="5:7" x14ac:dyDescent="0.25">
      <c r="E232" s="11">
        <f t="shared" si="25"/>
        <v>-80</v>
      </c>
      <c r="F232" s="11">
        <f t="shared" si="26"/>
        <v>-7.4691170577955068</v>
      </c>
      <c r="G232" s="11">
        <f t="shared" si="27"/>
        <v>-7.4633104388155953</v>
      </c>
    </row>
    <row r="233" spans="5:7" x14ac:dyDescent="0.25">
      <c r="E233" s="11">
        <f t="shared" si="25"/>
        <v>-79</v>
      </c>
      <c r="F233" s="11">
        <f t="shared" si="26"/>
        <v>-7.4075912782804272</v>
      </c>
      <c r="G233" s="11">
        <f t="shared" si="27"/>
        <v>-7.4006777310335758</v>
      </c>
    </row>
    <row r="234" spans="5:7" x14ac:dyDescent="0.25">
      <c r="E234" s="11">
        <f t="shared" si="25"/>
        <v>-78</v>
      </c>
      <c r="F234" s="11">
        <f t="shared" si="26"/>
        <v>-7.3445619245603853</v>
      </c>
      <c r="G234" s="11">
        <f t="shared" si="27"/>
        <v>-7.336993414265776</v>
      </c>
    </row>
    <row r="235" spans="5:7" x14ac:dyDescent="0.25">
      <c r="E235" s="11">
        <f t="shared" si="25"/>
        <v>-77</v>
      </c>
      <c r="F235" s="11">
        <f t="shared" si="26"/>
        <v>-7.2798802684834563</v>
      </c>
      <c r="G235" s="11">
        <f t="shared" si="27"/>
        <v>-7.272161887695308</v>
      </c>
    </row>
    <row r="236" spans="5:7" x14ac:dyDescent="0.25">
      <c r="E236" s="11">
        <f t="shared" si="25"/>
        <v>-76</v>
      </c>
      <c r="F236" s="11">
        <f t="shared" si="26"/>
        <v>-7.213422712610229</v>
      </c>
      <c r="G236" s="11">
        <f t="shared" si="27"/>
        <v>-7.2060875505052806</v>
      </c>
    </row>
    <row r="237" spans="5:7" x14ac:dyDescent="0.25">
      <c r="E237" s="11">
        <f t="shared" si="25"/>
        <v>-75</v>
      </c>
      <c r="F237" s="11">
        <f t="shared" si="26"/>
        <v>-7.1450890772851521</v>
      </c>
      <c r="G237" s="11">
        <f t="shared" si="27"/>
        <v>-7.1386748018788069</v>
      </c>
    </row>
    <row r="238" spans="5:7" x14ac:dyDescent="0.25">
      <c r="E238" s="11">
        <f t="shared" si="25"/>
        <v>-74</v>
      </c>
      <c r="F238" s="11">
        <f t="shared" si="26"/>
        <v>-7.0748009551823641</v>
      </c>
      <c r="G238" s="11">
        <f t="shared" si="27"/>
        <v>-7.0698280409989964</v>
      </c>
    </row>
    <row r="239" spans="5:7" x14ac:dyDescent="0.25">
      <c r="E239" s="11">
        <f t="shared" si="25"/>
        <v>-73</v>
      </c>
      <c r="F239" s="11">
        <f t="shared" si="26"/>
        <v>-7.0025001317884765</v>
      </c>
      <c r="G239" s="11">
        <f t="shared" si="27"/>
        <v>-6.9994516670489606</v>
      </c>
    </row>
    <row r="240" spans="5:7" x14ac:dyDescent="0.25">
      <c r="E240" s="11">
        <f t="shared" si="25"/>
        <v>-72</v>
      </c>
      <c r="F240" s="11">
        <f t="shared" si="26"/>
        <v>-6.9281470703007662</v>
      </c>
      <c r="G240" s="11">
        <f t="shared" si="27"/>
        <v>-6.927450079211809</v>
      </c>
    </row>
    <row r="241" spans="5:7" x14ac:dyDescent="0.25">
      <c r="E241" s="11">
        <f t="shared" si="25"/>
        <v>-71</v>
      </c>
      <c r="F241" s="11">
        <f t="shared" si="26"/>
        <v>-6.8517194594353494</v>
      </c>
      <c r="G241" s="11">
        <f t="shared" si="27"/>
        <v>-6.8537276766706556</v>
      </c>
    </row>
    <row r="242" spans="5:7" x14ac:dyDescent="0.25">
      <c r="E242" s="11">
        <f t="shared" si="25"/>
        <v>-70</v>
      </c>
      <c r="F242" s="11">
        <f t="shared" si="26"/>
        <v>-6.7732108226558259</v>
      </c>
      <c r="G242" s="11">
        <f t="shared" si="27"/>
        <v>-6.7781888586086083</v>
      </c>
    </row>
    <row r="243" spans="5:7" x14ac:dyDescent="0.25">
      <c r="E243" s="11">
        <f t="shared" si="25"/>
        <v>-69</v>
      </c>
      <c r="F243" s="11">
        <f t="shared" si="26"/>
        <v>-6.6926291873489694</v>
      </c>
      <c r="G243" s="11">
        <f t="shared" si="27"/>
        <v>-6.7007380242087802</v>
      </c>
    </row>
    <row r="244" spans="5:7" x14ac:dyDescent="0.25">
      <c r="E244" s="11">
        <f t="shared" si="25"/>
        <v>-68</v>
      </c>
      <c r="F244" s="11">
        <f t="shared" si="26"/>
        <v>-6.6099958124901113</v>
      </c>
      <c r="G244" s="11">
        <f t="shared" si="27"/>
        <v>-6.6212795726542799</v>
      </c>
    </row>
    <row r="245" spans="5:7" x14ac:dyDescent="0.25">
      <c r="E245" s="11">
        <f t="shared" si="25"/>
        <v>-67</v>
      </c>
      <c r="F245" s="11">
        <f t="shared" si="26"/>
        <v>-6.5253439733567493</v>
      </c>
      <c r="G245" s="11">
        <f t="shared" si="27"/>
        <v>-6.5397179031282207</v>
      </c>
    </row>
    <row r="246" spans="5:7" x14ac:dyDescent="0.25">
      <c r="E246" s="11">
        <f t="shared" si="25"/>
        <v>-66</v>
      </c>
      <c r="F246" s="11">
        <f t="shared" si="26"/>
        <v>-6.4387178018651081</v>
      </c>
      <c r="G246" s="11">
        <f t="shared" si="27"/>
        <v>-6.4559574148137111</v>
      </c>
    </row>
    <row r="247" spans="5:7" x14ac:dyDescent="0.25">
      <c r="E247" s="11">
        <f t="shared" si="25"/>
        <v>-65</v>
      </c>
      <c r="F247" s="11">
        <f t="shared" si="26"/>
        <v>-6.3501711811202863</v>
      </c>
      <c r="G247" s="11">
        <f t="shared" si="27"/>
        <v>-6.3699025068938635</v>
      </c>
    </row>
    <row r="248" spans="5:7" x14ac:dyDescent="0.25">
      <c r="E248" s="11">
        <f t="shared" si="25"/>
        <v>-64</v>
      </c>
      <c r="F248" s="11">
        <f t="shared" si="26"/>
        <v>-6.2597666927866973</v>
      </c>
      <c r="G248" s="11">
        <f t="shared" si="27"/>
        <v>-6.2814575785517892</v>
      </c>
    </row>
    <row r="249" spans="5:7" x14ac:dyDescent="0.25">
      <c r="E249" s="11">
        <f t="shared" si="25"/>
        <v>-63</v>
      </c>
      <c r="F249" s="11">
        <f t="shared" si="26"/>
        <v>-6.167574615901537</v>
      </c>
      <c r="G249" s="11">
        <f t="shared" si="27"/>
        <v>-6.1905270289705978</v>
      </c>
    </row>
    <row r="250" spans="5:7" x14ac:dyDescent="0.25">
      <c r="E250" s="11">
        <f t="shared" si="25"/>
        <v>-62</v>
      </c>
      <c r="F250" s="11">
        <f t="shared" si="26"/>
        <v>-6.073671975770031</v>
      </c>
      <c r="G250" s="11">
        <f t="shared" si="27"/>
        <v>-6.0970152573334015</v>
      </c>
    </row>
    <row r="251" spans="5:7" x14ac:dyDescent="0.25">
      <c r="E251" s="11">
        <f t="shared" si="25"/>
        <v>-61</v>
      </c>
      <c r="F251" s="11">
        <f t="shared" si="26"/>
        <v>-5.978141641597241</v>
      </c>
      <c r="G251" s="11">
        <f t="shared" si="27"/>
        <v>-6.00082666282331</v>
      </c>
    </row>
    <row r="252" spans="5:7" x14ac:dyDescent="0.25">
      <c r="E252" s="11">
        <f t="shared" si="25"/>
        <v>-60</v>
      </c>
      <c r="F252" s="11">
        <f t="shared" si="26"/>
        <v>-5.8810714715272336</v>
      </c>
      <c r="G252" s="11">
        <f t="shared" si="27"/>
        <v>-5.9018656446234345</v>
      </c>
    </row>
    <row r="253" spans="5:7" x14ac:dyDescent="0.25">
      <c r="E253" s="11">
        <f t="shared" si="25"/>
        <v>-59</v>
      </c>
      <c r="F253" s="11">
        <f t="shared" si="26"/>
        <v>-5.7825535037764588</v>
      </c>
      <c r="G253" s="11">
        <f t="shared" si="27"/>
        <v>-5.8000366019168874</v>
      </c>
    </row>
    <row r="254" spans="5:7" x14ac:dyDescent="0.25">
      <c r="E254" s="11">
        <f t="shared" si="25"/>
        <v>-58</v>
      </c>
      <c r="F254" s="11">
        <f t="shared" si="26"/>
        <v>-5.682683192564185</v>
      </c>
      <c r="G254" s="11">
        <f t="shared" si="27"/>
        <v>-5.6952439338867773</v>
      </c>
    </row>
    <row r="255" spans="5:7" x14ac:dyDescent="0.25">
      <c r="E255" s="11">
        <f t="shared" si="25"/>
        <v>-57</v>
      </c>
      <c r="F255" s="11">
        <f t="shared" si="26"/>
        <v>-5.5815586875588865</v>
      </c>
      <c r="G255" s="11">
        <f t="shared" si="27"/>
        <v>-5.5873920397162173</v>
      </c>
    </row>
    <row r="256" spans="5:7" x14ac:dyDescent="0.25">
      <c r="E256" s="11">
        <f t="shared" si="25"/>
        <v>-56</v>
      </c>
      <c r="F256" s="11">
        <f t="shared" si="26"/>
        <v>-5.4792801555754957</v>
      </c>
      <c r="G256" s="11">
        <f t="shared" si="27"/>
        <v>-5.4763853185883171</v>
      </c>
    </row>
    <row r="257" spans="5:7" x14ac:dyDescent="0.25">
      <c r="E257" s="11">
        <f t="shared" si="25"/>
        <v>-55</v>
      </c>
      <c r="F257" s="11">
        <f t="shared" si="26"/>
        <v>-5.3759491432744637</v>
      </c>
      <c r="G257" s="11">
        <f t="shared" si="27"/>
        <v>-5.3621281696861862</v>
      </c>
    </row>
    <row r="258" spans="5:7" x14ac:dyDescent="0.25">
      <c r="E258" s="11">
        <f t="shared" si="25"/>
        <v>-54</v>
      </c>
      <c r="F258" s="11">
        <f t="shared" si="26"/>
        <v>-5.2716679796295862</v>
      </c>
      <c r="G258" s="11">
        <f t="shared" si="27"/>
        <v>-5.2445249921929387</v>
      </c>
    </row>
    <row r="259" spans="5:7" x14ac:dyDescent="0.25">
      <c r="E259" s="11">
        <f t="shared" si="25"/>
        <v>-53</v>
      </c>
      <c r="F259" s="11">
        <f t="shared" si="26"/>
        <v>-5.1665392169476005</v>
      </c>
      <c r="G259" s="11">
        <f t="shared" si="27"/>
        <v>-5.1234801852916831</v>
      </c>
    </row>
    <row r="260" spans="5:7" x14ac:dyDescent="0.25">
      <c r="E260" s="11">
        <f t="shared" si="25"/>
        <v>-52</v>
      </c>
      <c r="F260" s="11">
        <f t="shared" si="26"/>
        <v>-5.0606651092385793</v>
      </c>
      <c r="G260" s="11">
        <f t="shared" si="27"/>
        <v>-4.9988981481655301</v>
      </c>
    </row>
    <row r="261" spans="5:7" x14ac:dyDescent="0.25">
      <c r="E261" s="11">
        <f t="shared" si="25"/>
        <v>-51</v>
      </c>
      <c r="F261" s="11">
        <f t="shared" si="26"/>
        <v>-4.9541471267521482</v>
      </c>
      <c r="G261" s="11">
        <f t="shared" si="27"/>
        <v>-4.8706832799975928</v>
      </c>
    </row>
    <row r="262" spans="5:7" x14ac:dyDescent="0.25">
      <c r="E262" s="11">
        <f t="shared" si="25"/>
        <v>-50</v>
      </c>
      <c r="F262" s="11">
        <f t="shared" si="26"/>
        <v>-4.8470855055106181</v>
      </c>
      <c r="G262" s="11">
        <f t="shared" si="27"/>
        <v>-4.7387399799709815</v>
      </c>
    </row>
    <row r="263" spans="5:7" x14ac:dyDescent="0.25">
      <c r="E263" s="11">
        <f t="shared" si="25"/>
        <v>-49</v>
      </c>
      <c r="F263" s="11">
        <f t="shared" si="26"/>
        <v>-4.7395788306861411</v>
      </c>
      <c r="G263" s="11">
        <f t="shared" si="27"/>
        <v>-4.6600393059567402</v>
      </c>
    </row>
    <row r="264" spans="5:7" x14ac:dyDescent="0.25">
      <c r="E264" s="11">
        <f t="shared" si="25"/>
        <v>-48</v>
      </c>
      <c r="F264" s="11">
        <f t="shared" si="26"/>
        <v>-4.6317236526849639</v>
      </c>
      <c r="G264" s="11">
        <f t="shared" si="27"/>
        <v>-4.5777400870189844</v>
      </c>
    </row>
    <row r="265" spans="5:7" x14ac:dyDescent="0.25">
      <c r="E265" s="11">
        <f t="shared" si="25"/>
        <v>-47</v>
      </c>
      <c r="F265" s="11">
        <f t="shared" si="26"/>
        <v>-4.5236141348180396</v>
      </c>
      <c r="G265" s="11">
        <f t="shared" si="27"/>
        <v>-4.492067810909762</v>
      </c>
    </row>
    <row r="266" spans="5:7" x14ac:dyDescent="0.25">
      <c r="E266" s="11">
        <f t="shared" si="25"/>
        <v>-46</v>
      </c>
      <c r="F266" s="11">
        <f t="shared" si="26"/>
        <v>-4.4153417314530552</v>
      </c>
      <c r="G266" s="11">
        <f t="shared" si="27"/>
        <v>-4.4032479653811265</v>
      </c>
    </row>
    <row r="267" spans="5:7" x14ac:dyDescent="0.25">
      <c r="E267" s="11">
        <f t="shared" si="25"/>
        <v>-45</v>
      </c>
      <c r="F267" s="11">
        <f t="shared" si="26"/>
        <v>-4.3069948955591659</v>
      </c>
      <c r="G267" s="11">
        <f t="shared" si="27"/>
        <v>-4.3115060381851249</v>
      </c>
    </row>
    <row r="268" spans="5:7" x14ac:dyDescent="0.25">
      <c r="E268" s="11">
        <f t="shared" si="25"/>
        <v>-44</v>
      </c>
      <c r="F268" s="11">
        <f t="shared" si="26"/>
        <v>-4.1986588145716439</v>
      </c>
      <c r="G268" s="11">
        <f t="shared" si="27"/>
        <v>-4.217067517073807</v>
      </c>
    </row>
    <row r="269" spans="5:7" x14ac:dyDescent="0.25">
      <c r="E269" s="11">
        <f t="shared" si="25"/>
        <v>-43</v>
      </c>
      <c r="F269" s="11">
        <f t="shared" si="26"/>
        <v>-4.090415173519701</v>
      </c>
      <c r="G269" s="11">
        <f t="shared" si="27"/>
        <v>-4.1201578897992217</v>
      </c>
    </row>
    <row r="270" spans="5:7" x14ac:dyDescent="0.25">
      <c r="E270" s="11">
        <f t="shared" si="25"/>
        <v>-42</v>
      </c>
      <c r="F270" s="11">
        <f t="shared" si="26"/>
        <v>-3.9823419443767762</v>
      </c>
      <c r="G270" s="11">
        <f t="shared" si="27"/>
        <v>-4.0210026441134206</v>
      </c>
    </row>
    <row r="271" spans="5:7" x14ac:dyDescent="0.25">
      <c r="E271" s="11">
        <f t="shared" si="25"/>
        <v>-41</v>
      </c>
      <c r="F271" s="11">
        <f t="shared" si="26"/>
        <v>-3.8745132006085923</v>
      </c>
      <c r="G271" s="11">
        <f t="shared" si="27"/>
        <v>-3.9198272677684511</v>
      </c>
    </row>
    <row r="272" spans="5:7" x14ac:dyDescent="0.25">
      <c r="E272" s="11">
        <f t="shared" si="25"/>
        <v>-40</v>
      </c>
      <c r="F272" s="11">
        <f t="shared" si="26"/>
        <v>-3.7669989559103523</v>
      </c>
      <c r="G272" s="11">
        <f t="shared" si="27"/>
        <v>-3.8168572485163637</v>
      </c>
    </row>
    <row r="273" spans="5:7" x14ac:dyDescent="0.25">
      <c r="E273" s="11">
        <f t="shared" si="25"/>
        <v>-39</v>
      </c>
      <c r="F273" s="11">
        <f t="shared" si="26"/>
        <v>-3.6598650261403924</v>
      </c>
      <c r="G273" s="11">
        <f t="shared" si="27"/>
        <v>-3.7123180741092079</v>
      </c>
    </row>
    <row r="274" spans="5:7" x14ac:dyDescent="0.25">
      <c r="E274" s="11">
        <f t="shared" si="25"/>
        <v>-38</v>
      </c>
      <c r="F274" s="11">
        <f t="shared" si="26"/>
        <v>-3.553172913473746</v>
      </c>
      <c r="G274" s="11">
        <f t="shared" si="27"/>
        <v>-3.6064352322990332</v>
      </c>
    </row>
    <row r="275" spans="5:7" x14ac:dyDescent="0.25">
      <c r="E275" s="11">
        <f t="shared" si="25"/>
        <v>-37</v>
      </c>
      <c r="F275" s="11">
        <f t="shared" si="26"/>
        <v>-3.4469797118149881</v>
      </c>
      <c r="G275" s="11">
        <f t="shared" si="27"/>
        <v>-3.4994342108378884</v>
      </c>
    </row>
    <row r="276" spans="5:7" x14ac:dyDescent="0.25">
      <c r="E276" s="11">
        <f t="shared" si="25"/>
        <v>-36</v>
      </c>
      <c r="F276" s="11">
        <f t="shared" si="26"/>
        <v>-3.3413380325258322</v>
      </c>
      <c r="G276" s="11">
        <f t="shared" si="27"/>
        <v>-3.3915404974778243</v>
      </c>
    </row>
    <row r="277" spans="5:7" x14ac:dyDescent="0.25">
      <c r="E277" s="11">
        <f t="shared" si="25"/>
        <v>-35</v>
      </c>
      <c r="F277" s="11">
        <f t="shared" si="26"/>
        <v>-3.2362959495389547</v>
      </c>
      <c r="G277" s="11">
        <f t="shared" si="27"/>
        <v>-3.2829795799708892</v>
      </c>
    </row>
    <row r="278" spans="5:7" x14ac:dyDescent="0.25">
      <c r="E278" s="11">
        <f t="shared" si="25"/>
        <v>-34</v>
      </c>
      <c r="F278" s="11">
        <f t="shared" si="26"/>
        <v>-3.1318969629455395</v>
      </c>
      <c r="G278" s="11">
        <f t="shared" si="27"/>
        <v>-3.1739769460691329</v>
      </c>
    </row>
    <row r="279" spans="5:7" x14ac:dyDescent="0.25">
      <c r="E279" s="11">
        <f t="shared" si="25"/>
        <v>-33</v>
      </c>
      <c r="F279" s="11">
        <f t="shared" si="26"/>
        <v>-3.0281799801600728</v>
      </c>
      <c r="G279" s="11">
        <f t="shared" si="27"/>
        <v>-3.0647580835246053</v>
      </c>
    </row>
    <row r="280" spans="5:7" x14ac:dyDescent="0.25">
      <c r="E280" s="11">
        <f t="shared" si="25"/>
        <v>-32</v>
      </c>
      <c r="F280" s="11">
        <f t="shared" si="26"/>
        <v>-2.9251793137819431</v>
      </c>
      <c r="G280" s="11">
        <f t="shared" si="27"/>
        <v>-2.9555484800893561</v>
      </c>
    </row>
    <row r="281" spans="5:7" x14ac:dyDescent="0.25">
      <c r="E281" s="11">
        <f t="shared" si="25"/>
        <v>-31</v>
      </c>
      <c r="F281" s="11">
        <f t="shared" si="26"/>
        <v>-2.8229246952894282</v>
      </c>
      <c r="G281" s="11">
        <f t="shared" si="27"/>
        <v>-2.8465736235154342</v>
      </c>
    </row>
    <row r="282" spans="5:7" x14ac:dyDescent="0.25">
      <c r="E282" s="11">
        <f t="shared" si="25"/>
        <v>-30</v>
      </c>
      <c r="F282" s="11">
        <f t="shared" si="26"/>
        <v>-2.7214413037176688</v>
      </c>
      <c r="G282" s="11">
        <f t="shared" si="27"/>
        <v>-2.7380590015548893</v>
      </c>
    </row>
    <row r="283" spans="5:7" x14ac:dyDescent="0.25">
      <c r="E283" s="11">
        <f t="shared" si="25"/>
        <v>-29</v>
      </c>
      <c r="F283" s="11">
        <f t="shared" si="26"/>
        <v>-2.6207498084882777</v>
      </c>
      <c r="G283" s="11">
        <f t="shared" si="27"/>
        <v>-2.6302301019597714</v>
      </c>
    </row>
    <row r="284" spans="5:7" x14ac:dyDescent="0.25">
      <c r="E284" s="11">
        <f t="shared" si="25"/>
        <v>-28</v>
      </c>
      <c r="F284" s="11">
        <f t="shared" si="26"/>
        <v>-2.5208664255742308</v>
      </c>
      <c r="G284" s="11">
        <f t="shared" si="27"/>
        <v>-2.5233124124821296</v>
      </c>
    </row>
    <row r="285" spans="5:7" x14ac:dyDescent="0.25">
      <c r="E285" s="11">
        <f t="shared" si="25"/>
        <v>-27</v>
      </c>
      <c r="F285" s="11">
        <f t="shared" si="26"/>
        <v>-2.4218029861997326</v>
      </c>
      <c r="G285" s="11">
        <f t="shared" si="27"/>
        <v>-2.4175314208740128</v>
      </c>
    </row>
    <row r="286" spans="5:7" x14ac:dyDescent="0.25">
      <c r="E286" s="11">
        <f t="shared" si="25"/>
        <v>-26</v>
      </c>
      <c r="F286" s="11">
        <f t="shared" si="26"/>
        <v>-2.3235670172907725</v>
      </c>
      <c r="G286" s="11">
        <f t="shared" si="27"/>
        <v>-2.3131126148874719</v>
      </c>
    </row>
    <row r="287" spans="5:7" x14ac:dyDescent="0.25">
      <c r="E287" s="11">
        <f t="shared" ref="E287:E350" si="28">E80</f>
        <v>-25</v>
      </c>
      <c r="F287" s="11">
        <f t="shared" ref="F287:F350" si="29">$H$217*0+E287*$I$217+E287^2*$J$217+E287^3*$K$217+E287^4*$L$217+E287^5*$M$217+E287^6*$N$217+E287^7*$O$217+E287^8*$P$217</f>
        <v>-2.2261618329081108</v>
      </c>
      <c r="G287" s="11">
        <f t="shared" ref="G287:G350" si="30">F80</f>
        <v>-2.2102814822745551</v>
      </c>
    </row>
    <row r="288" spans="5:7" x14ac:dyDescent="0.25">
      <c r="E288" s="11">
        <f t="shared" si="28"/>
        <v>-24</v>
      </c>
      <c r="F288" s="11">
        <f t="shared" si="29"/>
        <v>-2.1295866359104543</v>
      </c>
      <c r="G288" s="11">
        <f t="shared" si="30"/>
        <v>-2.1092113476712728</v>
      </c>
    </row>
    <row r="289" spans="5:7" x14ac:dyDescent="0.25">
      <c r="E289" s="11">
        <f t="shared" si="28"/>
        <v>-23</v>
      </c>
      <c r="F289" s="11">
        <f t="shared" si="29"/>
        <v>-2.0338366291116348</v>
      </c>
      <c r="G289" s="11">
        <f t="shared" si="30"/>
        <v>-2.0098668832494746</v>
      </c>
    </row>
    <row r="290" spans="5:7" x14ac:dyDescent="0.25">
      <c r="E290" s="11">
        <f t="shared" si="28"/>
        <v>-22</v>
      </c>
      <c r="F290" s="11">
        <f t="shared" si="29"/>
        <v>-1.9389031352115877</v>
      </c>
      <c r="G290" s="11">
        <f t="shared" si="30"/>
        <v>-1.9121605980649696</v>
      </c>
    </row>
    <row r="291" spans="5:7" x14ac:dyDescent="0.25">
      <c r="E291" s="11">
        <f t="shared" si="28"/>
        <v>-21</v>
      </c>
      <c r="F291" s="11">
        <f t="shared" si="29"/>
        <v>-1.8447737247969929</v>
      </c>
      <c r="G291" s="11">
        <f t="shared" si="30"/>
        <v>-1.8160050011735682</v>
      </c>
    </row>
    <row r="292" spans="5:7" x14ac:dyDescent="0.25">
      <c r="E292" s="11">
        <f t="shared" si="28"/>
        <v>-20</v>
      </c>
      <c r="F292" s="11">
        <f t="shared" si="29"/>
        <v>-1.7514323517234476</v>
      </c>
      <c r="G292" s="11">
        <f t="shared" si="30"/>
        <v>-1.7213126016310796</v>
      </c>
    </row>
    <row r="293" spans="5:7" x14ac:dyDescent="0.25">
      <c r="E293" s="11">
        <f t="shared" si="28"/>
        <v>-19</v>
      </c>
      <c r="F293" s="11">
        <f t="shared" si="29"/>
        <v>-1.6588594952070739</v>
      </c>
      <c r="G293" s="11">
        <f t="shared" si="30"/>
        <v>-1.6279959084933138</v>
      </c>
    </row>
    <row r="294" spans="5:7" x14ac:dyDescent="0.25">
      <c r="E294" s="11">
        <f t="shared" si="28"/>
        <v>-18</v>
      </c>
      <c r="F294" s="11">
        <f t="shared" si="29"/>
        <v>-1.567032307969481</v>
      </c>
      <c r="G294" s="11">
        <f t="shared" si="30"/>
        <v>-1.5359674308160804</v>
      </c>
    </row>
    <row r="295" spans="5:7" x14ac:dyDescent="0.25">
      <c r="E295" s="11">
        <f t="shared" si="28"/>
        <v>-17</v>
      </c>
      <c r="F295" s="11">
        <f t="shared" si="29"/>
        <v>-1.4759247697960469</v>
      </c>
      <c r="G295" s="11">
        <f t="shared" si="30"/>
        <v>-1.4451396776551895</v>
      </c>
    </row>
    <row r="296" spans="5:7" x14ac:dyDescent="0.25">
      <c r="E296" s="11">
        <f t="shared" si="28"/>
        <v>-16</v>
      </c>
      <c r="F296" s="11">
        <f t="shared" si="29"/>
        <v>-1.3855078458834922</v>
      </c>
      <c r="G296" s="11">
        <f t="shared" si="30"/>
        <v>-1.3554251580664503</v>
      </c>
    </row>
    <row r="297" spans="5:7" x14ac:dyDescent="0.25">
      <c r="E297" s="11">
        <f t="shared" si="28"/>
        <v>-15</v>
      </c>
      <c r="F297" s="11">
        <f t="shared" si="29"/>
        <v>-1.2957496493687517</v>
      </c>
      <c r="G297" s="11">
        <f t="shared" si="30"/>
        <v>-1.2667363811056727</v>
      </c>
    </row>
    <row r="298" spans="5:7" x14ac:dyDescent="0.25">
      <c r="E298" s="11">
        <f t="shared" si="28"/>
        <v>-14</v>
      </c>
      <c r="F298" s="11">
        <f t="shared" si="29"/>
        <v>-1.206615607447187</v>
      </c>
      <c r="G298" s="11">
        <f t="shared" si="30"/>
        <v>-1.1789858558286663</v>
      </c>
    </row>
    <row r="299" spans="5:7" x14ac:dyDescent="0.25">
      <c r="E299" s="11">
        <f t="shared" si="28"/>
        <v>-13</v>
      </c>
      <c r="F299" s="11">
        <f t="shared" si="29"/>
        <v>-1.1180686305041929</v>
      </c>
      <c r="G299" s="11">
        <f t="shared" si="30"/>
        <v>-1.0920860912912409</v>
      </c>
    </row>
    <row r="300" spans="5:7" x14ac:dyDescent="0.25">
      <c r="E300" s="11">
        <f t="shared" si="28"/>
        <v>-12</v>
      </c>
      <c r="F300" s="11">
        <f t="shared" si="29"/>
        <v>-1.0300692837002845</v>
      </c>
      <c r="G300" s="11">
        <f t="shared" si="30"/>
        <v>-1.005949596549206</v>
      </c>
    </row>
    <row r="301" spans="5:7" x14ac:dyDescent="0.25">
      <c r="E301" s="11">
        <f t="shared" si="28"/>
        <v>-11</v>
      </c>
      <c r="F301" s="11">
        <f t="shared" si="29"/>
        <v>-0.94257596046578329</v>
      </c>
      <c r="G301" s="11">
        <f t="shared" si="30"/>
        <v>-0.92048888065837187</v>
      </c>
    </row>
    <row r="302" spans="5:7" x14ac:dyDescent="0.25">
      <c r="E302" s="11">
        <f t="shared" si="28"/>
        <v>-10</v>
      </c>
      <c r="F302" s="11">
        <f t="shared" si="29"/>
        <v>-0.85554505737723796</v>
      </c>
      <c r="G302" s="11">
        <f t="shared" si="30"/>
        <v>-0.83561645267454765</v>
      </c>
    </row>
    <row r="303" spans="5:7" x14ac:dyDescent="0.25">
      <c r="E303" s="11">
        <f t="shared" si="28"/>
        <v>-9</v>
      </c>
      <c r="F303" s="11">
        <f t="shared" si="29"/>
        <v>-0.768931149903754</v>
      </c>
      <c r="G303" s="11">
        <f t="shared" si="30"/>
        <v>-0.75124482165354345</v>
      </c>
    </row>
    <row r="304" spans="5:7" x14ac:dyDescent="0.25">
      <c r="E304" s="11">
        <f t="shared" si="28"/>
        <v>-8</v>
      </c>
      <c r="F304" s="11">
        <f t="shared" si="29"/>
        <v>-0.68268716852741507</v>
      </c>
      <c r="G304" s="11">
        <f t="shared" si="30"/>
        <v>-0.66728649665116868</v>
      </c>
    </row>
    <row r="305" spans="5:7" x14ac:dyDescent="0.25">
      <c r="E305" s="11">
        <f t="shared" si="28"/>
        <v>-7</v>
      </c>
      <c r="F305" s="11">
        <f t="shared" si="29"/>
        <v>-0.59676457475802835</v>
      </c>
      <c r="G305" s="11">
        <f t="shared" si="30"/>
        <v>-0.58365398672323332</v>
      </c>
    </row>
    <row r="306" spans="5:7" x14ac:dyDescent="0.25">
      <c r="E306" s="11">
        <f t="shared" si="28"/>
        <v>-6</v>
      </c>
      <c r="F306" s="11">
        <f t="shared" si="29"/>
        <v>-0.51111353657843051</v>
      </c>
      <c r="G306" s="11">
        <f t="shared" si="30"/>
        <v>-0.50025980092554678</v>
      </c>
    </row>
    <row r="307" spans="5:7" x14ac:dyDescent="0.25">
      <c r="E307" s="11">
        <f t="shared" si="28"/>
        <v>-5</v>
      </c>
      <c r="F307" s="11">
        <f t="shared" si="29"/>
        <v>-0.42568310287263711</v>
      </c>
      <c r="G307" s="11">
        <f t="shared" si="30"/>
        <v>-0.41701644831391893</v>
      </c>
    </row>
    <row r="308" spans="5:7" x14ac:dyDescent="0.25">
      <c r="E308" s="11">
        <f t="shared" si="28"/>
        <v>-4</v>
      </c>
      <c r="F308" s="11">
        <f t="shared" si="29"/>
        <v>-0.34042137640512737</v>
      </c>
      <c r="G308" s="11">
        <f t="shared" si="30"/>
        <v>-0.33383643794415951</v>
      </c>
    </row>
    <row r="309" spans="5:7" x14ac:dyDescent="0.25">
      <c r="E309" s="11">
        <f t="shared" si="28"/>
        <v>-3</v>
      </c>
      <c r="F309" s="11">
        <f t="shared" si="29"/>
        <v>-0.25527568493559899</v>
      </c>
      <c r="G309" s="11">
        <f t="shared" si="30"/>
        <v>-0.25063227887207823</v>
      </c>
    </row>
    <row r="310" spans="5:7" x14ac:dyDescent="0.25">
      <c r="E310" s="11">
        <f t="shared" si="28"/>
        <v>-2</v>
      </c>
      <c r="F310" s="11">
        <f t="shared" si="29"/>
        <v>-0.17019275006954082</v>
      </c>
      <c r="G310" s="11">
        <f t="shared" si="30"/>
        <v>-0.16731648015348471</v>
      </c>
    </row>
    <row r="311" spans="5:7" x14ac:dyDescent="0.25">
      <c r="E311" s="11">
        <f t="shared" si="28"/>
        <v>-1</v>
      </c>
      <c r="F311" s="11">
        <f t="shared" si="29"/>
        <v>-8.5118853461007435E-2</v>
      </c>
      <c r="G311" s="11">
        <f t="shared" si="30"/>
        <v>-8.3801550844188749E-2</v>
      </c>
    </row>
    <row r="312" spans="5:7" x14ac:dyDescent="0.25">
      <c r="E312" s="11">
        <f t="shared" si="28"/>
        <v>0</v>
      </c>
      <c r="F312" s="11">
        <f t="shared" si="29"/>
        <v>0</v>
      </c>
      <c r="G312" s="11">
        <f t="shared" si="30"/>
        <v>0</v>
      </c>
    </row>
    <row r="313" spans="5:7" x14ac:dyDescent="0.25">
      <c r="E313" s="11">
        <f t="shared" si="28"/>
        <v>1</v>
      </c>
      <c r="F313" s="11">
        <f t="shared" si="29"/>
        <v>8.5217922367110552E-2</v>
      </c>
      <c r="G313" s="11">
        <f t="shared" si="30"/>
        <v>8.4165927291761367E-2</v>
      </c>
    </row>
    <row r="314" spans="5:7" x14ac:dyDescent="0.25">
      <c r="E314" s="11">
        <f t="shared" si="28"/>
        <v>2</v>
      </c>
      <c r="F314" s="11">
        <f t="shared" si="29"/>
        <v>0.1705889865196597</v>
      </c>
      <c r="G314" s="11">
        <f t="shared" si="30"/>
        <v>0.16873504181773344</v>
      </c>
    </row>
    <row r="315" spans="5:7" x14ac:dyDescent="0.25">
      <c r="E315" s="11">
        <f t="shared" si="28"/>
        <v>3</v>
      </c>
      <c r="F315" s="11">
        <f t="shared" si="29"/>
        <v>0.2561670740667768</v>
      </c>
      <c r="G315" s="11">
        <f t="shared" si="30"/>
        <v>0.25373641833304383</v>
      </c>
    </row>
    <row r="316" spans="5:7" x14ac:dyDescent="0.25">
      <c r="E316" s="11">
        <f t="shared" si="28"/>
        <v>4</v>
      </c>
      <c r="F316" s="11">
        <f t="shared" si="29"/>
        <v>0.34200572757697012</v>
      </c>
      <c r="G316" s="11">
        <f t="shared" si="30"/>
        <v>0.33919913159282028</v>
      </c>
    </row>
    <row r="317" spans="5:7" x14ac:dyDescent="0.25">
      <c r="E317" s="11">
        <f t="shared" si="28"/>
        <v>5</v>
      </c>
      <c r="F317" s="11">
        <f t="shared" si="29"/>
        <v>0.42815800742067078</v>
      </c>
      <c r="G317" s="11">
        <f t="shared" si="30"/>
        <v>0.42515225635219034</v>
      </c>
    </row>
    <row r="318" spans="5:7" x14ac:dyDescent="0.25">
      <c r="E318" s="11">
        <f t="shared" si="28"/>
        <v>6</v>
      </c>
      <c r="F318" s="11">
        <f t="shared" si="29"/>
        <v>0.51467635349716589</v>
      </c>
      <c r="G318" s="11">
        <f t="shared" si="30"/>
        <v>0.51162486736628165</v>
      </c>
    </row>
    <row r="319" spans="5:7" x14ac:dyDescent="0.25">
      <c r="E319" s="11">
        <f t="shared" si="28"/>
        <v>7</v>
      </c>
      <c r="F319" s="11">
        <f t="shared" si="29"/>
        <v>0.60161245210133063</v>
      </c>
      <c r="G319" s="11">
        <f t="shared" si="30"/>
        <v>0.59864603939022198</v>
      </c>
    </row>
    <row r="320" spans="5:7" x14ac:dyDescent="0.25">
      <c r="E320" s="11">
        <f t="shared" si="28"/>
        <v>8</v>
      </c>
      <c r="F320" s="11">
        <f t="shared" si="29"/>
        <v>0.68901710816953521</v>
      </c>
      <c r="G320" s="11">
        <f t="shared" si="30"/>
        <v>0.68624484717913881</v>
      </c>
    </row>
    <row r="321" spans="5:7" x14ac:dyDescent="0.25">
      <c r="E321" s="11">
        <f t="shared" si="28"/>
        <v>9</v>
      </c>
      <c r="F321" s="11">
        <f t="shared" si="29"/>
        <v>0.77694012312808447</v>
      </c>
      <c r="G321" s="11">
        <f t="shared" si="30"/>
        <v>0.77445036548815982</v>
      </c>
    </row>
    <row r="322" spans="5:7" x14ac:dyDescent="0.25">
      <c r="E322" s="11">
        <f t="shared" si="28"/>
        <v>10</v>
      </c>
      <c r="F322" s="11">
        <f t="shared" si="29"/>
        <v>0.86543017855151205</v>
      </c>
      <c r="G322" s="11">
        <f t="shared" si="30"/>
        <v>0.86329166907241284</v>
      </c>
    </row>
    <row r="323" spans="5:7" x14ac:dyDescent="0.25">
      <c r="E323" s="11">
        <f t="shared" si="28"/>
        <v>11</v>
      </c>
      <c r="F323" s="11">
        <f t="shared" si="29"/>
        <v>0.95453472582203136</v>
      </c>
      <c r="G323" s="11">
        <f t="shared" si="30"/>
        <v>0.95279783268702534</v>
      </c>
    </row>
    <row r="324" spans="5:7" x14ac:dyDescent="0.25">
      <c r="E324" s="11">
        <f t="shared" si="28"/>
        <v>12</v>
      </c>
      <c r="F324" s="11">
        <f t="shared" si="29"/>
        <v>1.044299881965417</v>
      </c>
      <c r="G324" s="11">
        <f t="shared" si="30"/>
        <v>1.0429979310871249</v>
      </c>
    </row>
    <row r="325" spans="5:7" x14ac:dyDescent="0.25">
      <c r="E325" s="11">
        <f t="shared" si="28"/>
        <v>13</v>
      </c>
      <c r="F325" s="11">
        <f t="shared" si="29"/>
        <v>1.134770331822561</v>
      </c>
      <c r="G325" s="11">
        <f t="shared" si="30"/>
        <v>1.1339210390278394</v>
      </c>
    </row>
    <row r="326" spans="5:7" x14ac:dyDescent="0.25">
      <c r="E326" s="11">
        <f t="shared" si="28"/>
        <v>14</v>
      </c>
      <c r="F326" s="11">
        <f t="shared" si="29"/>
        <v>1.2259892366999261</v>
      </c>
      <c r="G326" s="11">
        <f t="shared" si="30"/>
        <v>1.2255962312642963</v>
      </c>
    </row>
    <row r="327" spans="5:7" x14ac:dyDescent="0.25">
      <c r="E327" s="11">
        <f t="shared" si="28"/>
        <v>15</v>
      </c>
      <c r="F327" s="11">
        <f t="shared" si="29"/>
        <v>1.3179981496260862</v>
      </c>
      <c r="G327" s="11">
        <f t="shared" si="30"/>
        <v>1.3180525825516234</v>
      </c>
    </row>
    <row r="328" spans="5:7" x14ac:dyDescent="0.25">
      <c r="E328" s="11">
        <f t="shared" si="28"/>
        <v>16</v>
      </c>
      <c r="F328" s="11">
        <f t="shared" si="29"/>
        <v>1.410836937325525</v>
      </c>
      <c r="G328" s="11">
        <f t="shared" si="30"/>
        <v>1.4113191676449481</v>
      </c>
    </row>
    <row r="329" spans="5:7" x14ac:dyDescent="0.25">
      <c r="E329" s="11">
        <f t="shared" si="28"/>
        <v>17</v>
      </c>
      <c r="F329" s="11">
        <f t="shared" si="29"/>
        <v>1.5045437090048268</v>
      </c>
      <c r="G329" s="11">
        <f t="shared" si="30"/>
        <v>1.5054250612993982</v>
      </c>
    </row>
    <row r="330" spans="5:7" x14ac:dyDescent="0.25">
      <c r="E330" s="11">
        <f t="shared" si="28"/>
        <v>18</v>
      </c>
      <c r="F330" s="11">
        <f t="shared" si="29"/>
        <v>1.5991547520303822</v>
      </c>
      <c r="G330" s="11">
        <f t="shared" si="30"/>
        <v>1.6003993382701012</v>
      </c>
    </row>
    <row r="331" spans="5:7" x14ac:dyDescent="0.25">
      <c r="E331" s="11">
        <f t="shared" si="28"/>
        <v>19</v>
      </c>
      <c r="F331" s="11">
        <f t="shared" si="29"/>
        <v>1.6947044745606787</v>
      </c>
      <c r="G331" s="11">
        <f t="shared" si="30"/>
        <v>1.6962710733121853</v>
      </c>
    </row>
    <row r="332" spans="5:7" x14ac:dyDescent="0.25">
      <c r="E332" s="11">
        <f t="shared" si="28"/>
        <v>20</v>
      </c>
      <c r="F332" s="11">
        <f t="shared" si="29"/>
        <v>1.7912253551802566</v>
      </c>
      <c r="G332" s="11">
        <f t="shared" si="30"/>
        <v>1.7930693411807774</v>
      </c>
    </row>
    <row r="333" spans="5:7" x14ac:dyDescent="0.25">
      <c r="E333" s="11">
        <f t="shared" si="28"/>
        <v>21</v>
      </c>
      <c r="F333" s="11">
        <f t="shared" si="29"/>
        <v>1.8887478995663487</v>
      </c>
      <c r="G333" s="11">
        <f t="shared" si="30"/>
        <v>1.8908232166310055</v>
      </c>
    </row>
    <row r="334" spans="5:7" x14ac:dyDescent="0.25">
      <c r="E334" s="11">
        <f t="shared" si="28"/>
        <v>22</v>
      </c>
      <c r="F334" s="11">
        <f t="shared" si="29"/>
        <v>1.9873006042032137</v>
      </c>
      <c r="G334" s="11">
        <f t="shared" si="30"/>
        <v>1.9895617744179974</v>
      </c>
    </row>
    <row r="335" spans="5:7" x14ac:dyDescent="0.25">
      <c r="E335" s="11">
        <f t="shared" si="28"/>
        <v>23</v>
      </c>
      <c r="F335" s="11">
        <f t="shared" si="29"/>
        <v>2.0869099271431493</v>
      </c>
      <c r="G335" s="11">
        <f t="shared" si="30"/>
        <v>2.0893140892968805</v>
      </c>
    </row>
    <row r="336" spans="5:7" x14ac:dyDescent="0.25">
      <c r="E336" s="11">
        <f t="shared" si="28"/>
        <v>24</v>
      </c>
      <c r="F336" s="11">
        <f t="shared" si="29"/>
        <v>2.1876002657971267</v>
      </c>
      <c r="G336" s="11">
        <f t="shared" si="30"/>
        <v>2.1901092360227823</v>
      </c>
    </row>
    <row r="337" spans="5:7" x14ac:dyDescent="0.25">
      <c r="E337" s="11">
        <f t="shared" si="28"/>
        <v>25</v>
      </c>
      <c r="F337" s="11">
        <f t="shared" si="29"/>
        <v>2.289393941721988</v>
      </c>
      <c r="G337" s="11">
        <f t="shared" si="30"/>
        <v>2.2919762893508309</v>
      </c>
    </row>
    <row r="338" spans="5:7" x14ac:dyDescent="0.25">
      <c r="E338" s="11">
        <f t="shared" si="28"/>
        <v>26</v>
      </c>
      <c r="F338" s="11">
        <f t="shared" si="29"/>
        <v>2.3923111923550908</v>
      </c>
      <c r="G338" s="11">
        <f t="shared" si="30"/>
        <v>2.3949443240361536</v>
      </c>
    </row>
    <row r="339" spans="5:7" x14ac:dyDescent="0.25">
      <c r="E339" s="11">
        <f t="shared" si="28"/>
        <v>27</v>
      </c>
      <c r="F339" s="11">
        <f t="shared" si="29"/>
        <v>2.4963701696312897</v>
      </c>
      <c r="G339" s="11">
        <f t="shared" si="30"/>
        <v>2.4990424148338786</v>
      </c>
    </row>
    <row r="340" spans="5:7" x14ac:dyDescent="0.25">
      <c r="E340" s="11">
        <f t="shared" si="28"/>
        <v>28</v>
      </c>
      <c r="F340" s="11">
        <f t="shared" si="29"/>
        <v>2.6015869454010803</v>
      </c>
      <c r="G340" s="11">
        <f t="shared" si="30"/>
        <v>2.6042996364991327</v>
      </c>
    </row>
    <row r="341" spans="5:7" x14ac:dyDescent="0.25">
      <c r="E341" s="11">
        <f t="shared" si="28"/>
        <v>29</v>
      </c>
      <c r="F341" s="11">
        <f t="shared" si="29"/>
        <v>2.7079755235527512</v>
      </c>
      <c r="G341" s="11">
        <f t="shared" si="30"/>
        <v>2.7107450637870438</v>
      </c>
    </row>
    <row r="342" spans="5:7" x14ac:dyDescent="0.25">
      <c r="E342" s="11">
        <f t="shared" si="28"/>
        <v>30</v>
      </c>
      <c r="F342" s="11">
        <f t="shared" si="29"/>
        <v>2.8155478587253149</v>
      </c>
      <c r="G342" s="11">
        <f t="shared" si="30"/>
        <v>2.8184077714527396</v>
      </c>
    </row>
    <row r="343" spans="5:7" x14ac:dyDescent="0.25">
      <c r="E343" s="11">
        <f t="shared" si="28"/>
        <v>31</v>
      </c>
      <c r="F343" s="11">
        <f t="shared" si="29"/>
        <v>2.924313881483001</v>
      </c>
      <c r="G343" s="11">
        <f t="shared" si="30"/>
        <v>2.927310201590672</v>
      </c>
    </row>
    <row r="344" spans="5:7" x14ac:dyDescent="0.25">
      <c r="E344" s="11">
        <f t="shared" si="28"/>
        <v>32</v>
      </c>
      <c r="F344" s="11">
        <f t="shared" si="29"/>
        <v>3.0342815298060368</v>
      </c>
      <c r="G344" s="11">
        <f t="shared" si="30"/>
        <v>3.0374482656525879</v>
      </c>
    </row>
    <row r="345" spans="5:7" x14ac:dyDescent="0.25">
      <c r="E345" s="11">
        <f t="shared" si="28"/>
        <v>33</v>
      </c>
      <c r="F345" s="11">
        <f t="shared" si="29"/>
        <v>3.1454567867364407</v>
      </c>
      <c r="G345" s="11">
        <f t="shared" si="30"/>
        <v>3.1488112424295593</v>
      </c>
    </row>
    <row r="346" spans="5:7" x14ac:dyDescent="0.25">
      <c r="E346" s="11">
        <f t="shared" si="28"/>
        <v>34</v>
      </c>
      <c r="F346" s="11">
        <f t="shared" si="29"/>
        <v>3.2578437240015132</v>
      </c>
      <c r="G346" s="11">
        <f t="shared" si="30"/>
        <v>3.2613884107126569</v>
      </c>
    </row>
    <row r="347" spans="5:7" x14ac:dyDescent="0.25">
      <c r="E347" s="11">
        <f t="shared" si="28"/>
        <v>35</v>
      </c>
      <c r="F347" s="11">
        <f t="shared" si="29"/>
        <v>3.3714445514216762</v>
      </c>
      <c r="G347" s="11">
        <f t="shared" si="30"/>
        <v>3.3751690492929534</v>
      </c>
    </row>
    <row r="348" spans="5:7" x14ac:dyDescent="0.25">
      <c r="E348" s="11">
        <f t="shared" si="28"/>
        <v>36</v>
      </c>
      <c r="F348" s="11">
        <f t="shared" si="29"/>
        <v>3.4862596718933059</v>
      </c>
      <c r="G348" s="11">
        <f t="shared" si="30"/>
        <v>3.4901424369615186</v>
      </c>
    </row>
    <row r="349" spans="5:7" x14ac:dyDescent="0.25">
      <c r="E349" s="11">
        <f t="shared" si="28"/>
        <v>37</v>
      </c>
      <c r="F349" s="11">
        <f t="shared" si="29"/>
        <v>3.6022877417211614</v>
      </c>
      <c r="G349" s="11">
        <f t="shared" si="30"/>
        <v>3.6062978525094245</v>
      </c>
    </row>
    <row r="350" spans="5:7" x14ac:dyDescent="0.25">
      <c r="E350" s="11">
        <f t="shared" si="28"/>
        <v>38</v>
      </c>
      <c r="F350" s="11">
        <f t="shared" si="29"/>
        <v>3.7195257360589893</v>
      </c>
      <c r="G350" s="11">
        <f t="shared" si="30"/>
        <v>3.7236245747277428</v>
      </c>
    </row>
    <row r="351" spans="5:7" x14ac:dyDescent="0.25">
      <c r="E351" s="11">
        <f t="shared" ref="E351:E414" si="31">E144</f>
        <v>39</v>
      </c>
      <c r="F351" s="11">
        <f t="shared" ref="F351:F414" si="32">$H$217*0+E351*$I$217+E351^2*$J$217+E351^3*$K$217+E351^4*$L$217+E351^5*$M$217+E351^6*$N$217+E351^7*$O$217+E351^8*$P$217</f>
        <v>3.8379690192008478</v>
      </c>
      <c r="G351" s="11">
        <f t="shared" ref="G351:G414" si="33">F144</f>
        <v>3.842111882407544</v>
      </c>
    </row>
    <row r="352" spans="5:7" x14ac:dyDescent="0.25">
      <c r="E352" s="11">
        <f t="shared" si="31"/>
        <v>40</v>
      </c>
      <c r="F352" s="11">
        <f t="shared" si="32"/>
        <v>3.9576114194497043</v>
      </c>
      <c r="G352" s="11">
        <f t="shared" si="33"/>
        <v>3.9617490543399003</v>
      </c>
    </row>
    <row r="353" spans="5:7" x14ac:dyDescent="0.25">
      <c r="E353" s="11">
        <f t="shared" si="31"/>
        <v>41</v>
      </c>
      <c r="F353" s="11">
        <f t="shared" si="32"/>
        <v>4.0784453082737731</v>
      </c>
      <c r="G353" s="11">
        <f t="shared" si="33"/>
        <v>4.0825253693158832</v>
      </c>
    </row>
    <row r="354" spans="5:7" x14ac:dyDescent="0.25">
      <c r="E354" s="11">
        <f t="shared" si="31"/>
        <v>42</v>
      </c>
      <c r="F354" s="11">
        <f t="shared" si="32"/>
        <v>4.2004616834450905</v>
      </c>
      <c r="G354" s="11">
        <f t="shared" si="33"/>
        <v>4.204430106126563</v>
      </c>
    </row>
    <row r="355" spans="5:7" x14ac:dyDescent="0.25">
      <c r="E355" s="11">
        <f t="shared" si="31"/>
        <v>43</v>
      </c>
      <c r="F355" s="11">
        <f t="shared" si="32"/>
        <v>4.3236502558387633</v>
      </c>
      <c r="G355" s="11">
        <f t="shared" si="33"/>
        <v>4.3274525435630125</v>
      </c>
    </row>
    <row r="356" spans="5:7" x14ac:dyDescent="0.25">
      <c r="E356" s="11">
        <f t="shared" si="31"/>
        <v>44</v>
      </c>
      <c r="F356" s="11">
        <f t="shared" si="32"/>
        <v>4.4479995395553171</v>
      </c>
      <c r="G356" s="11">
        <f t="shared" si="33"/>
        <v>4.4515819604163012</v>
      </c>
    </row>
    <row r="357" spans="5:7" x14ac:dyDescent="0.25">
      <c r="E357" s="11">
        <f t="shared" si="31"/>
        <v>45</v>
      </c>
      <c r="F357" s="11">
        <f t="shared" si="32"/>
        <v>4.5734969450125327</v>
      </c>
      <c r="G357" s="11">
        <f t="shared" si="33"/>
        <v>4.5768076354775022</v>
      </c>
    </row>
    <row r="358" spans="5:7" x14ac:dyDescent="0.25">
      <c r="E358" s="11">
        <f t="shared" si="31"/>
        <v>46</v>
      </c>
      <c r="F358" s="11">
        <f t="shared" si="32"/>
        <v>4.7001288746371372</v>
      </c>
      <c r="G358" s="11">
        <f t="shared" si="33"/>
        <v>4.7031188475376862</v>
      </c>
    </row>
    <row r="359" spans="5:7" x14ac:dyDescent="0.25">
      <c r="E359" s="11">
        <f t="shared" si="31"/>
        <v>47</v>
      </c>
      <c r="F359" s="11">
        <f t="shared" si="32"/>
        <v>4.8278808207706909</v>
      </c>
      <c r="G359" s="11">
        <f t="shared" si="33"/>
        <v>4.8305048753879252</v>
      </c>
    </row>
    <row r="360" spans="5:7" x14ac:dyDescent="0.25">
      <c r="E360" s="11">
        <f t="shared" si="31"/>
        <v>48</v>
      </c>
      <c r="F360" s="11">
        <f t="shared" si="32"/>
        <v>4.956737465388005</v>
      </c>
      <c r="G360" s="11">
        <f t="shared" si="33"/>
        <v>4.9589549978192888</v>
      </c>
    </row>
    <row r="361" spans="5:7" x14ac:dyDescent="0.25">
      <c r="E361" s="11">
        <f t="shared" si="31"/>
        <v>49</v>
      </c>
      <c r="F361" s="11">
        <f t="shared" si="32"/>
        <v>5.0866827812103166</v>
      </c>
      <c r="G361" s="11">
        <f t="shared" si="33"/>
        <v>5.0884584936228512</v>
      </c>
    </row>
    <row r="362" spans="5:7" x14ac:dyDescent="0.25">
      <c r="E362" s="11">
        <f t="shared" si="31"/>
        <v>50</v>
      </c>
      <c r="F362" s="11">
        <f t="shared" si="32"/>
        <v>5.2177001337795641</v>
      </c>
      <c r="G362" s="11">
        <f t="shared" si="33"/>
        <v>5.2190046415896809</v>
      </c>
    </row>
    <row r="363" spans="5:7" x14ac:dyDescent="0.25">
      <c r="E363" s="11">
        <f t="shared" si="31"/>
        <v>51</v>
      </c>
      <c r="F363" s="11">
        <f t="shared" si="32"/>
        <v>5.3497723840439315</v>
      </c>
      <c r="G363" s="11">
        <f t="shared" si="33"/>
        <v>5.350582720510852</v>
      </c>
    </row>
    <row r="364" spans="5:7" x14ac:dyDescent="0.25">
      <c r="E364" s="11">
        <f t="shared" si="31"/>
        <v>52</v>
      </c>
      <c r="F364" s="11">
        <f t="shared" si="32"/>
        <v>5.4828819909888882</v>
      </c>
      <c r="G364" s="11">
        <f t="shared" si="33"/>
        <v>5.4831820091774324</v>
      </c>
    </row>
    <row r="365" spans="5:7" x14ac:dyDescent="0.25">
      <c r="E365" s="11">
        <f t="shared" si="31"/>
        <v>53</v>
      </c>
      <c r="F365" s="11">
        <f t="shared" si="32"/>
        <v>5.6170111138319276</v>
      </c>
      <c r="G365" s="11">
        <f t="shared" si="33"/>
        <v>5.6167917863804977</v>
      </c>
    </row>
    <row r="366" spans="5:7" x14ac:dyDescent="0.25">
      <c r="E366" s="11">
        <f t="shared" si="31"/>
        <v>54</v>
      </c>
      <c r="F366" s="11">
        <f t="shared" si="32"/>
        <v>5.7521417132831134</v>
      </c>
      <c r="G366" s="11">
        <f t="shared" si="33"/>
        <v>5.7514013309111158</v>
      </c>
    </row>
    <row r="367" spans="5:7" x14ac:dyDescent="0.25">
      <c r="E367" s="11">
        <f t="shared" si="31"/>
        <v>55</v>
      </c>
      <c r="F367" s="11">
        <f t="shared" si="32"/>
        <v>5.8882556513576025</v>
      </c>
      <c r="G367" s="11">
        <f t="shared" si="33"/>
        <v>5.886999921560359</v>
      </c>
    </row>
    <row r="368" spans="5:7" x14ac:dyDescent="0.25">
      <c r="E368" s="11">
        <f t="shared" si="31"/>
        <v>56</v>
      </c>
      <c r="F368" s="11">
        <f t="shared" si="32"/>
        <v>6.0253347892102278</v>
      </c>
      <c r="G368" s="11">
        <f t="shared" si="33"/>
        <v>6.0235768371193004</v>
      </c>
    </row>
    <row r="369" spans="5:7" x14ac:dyDescent="0.25">
      <c r="E369" s="11">
        <f t="shared" si="31"/>
        <v>57</v>
      </c>
      <c r="F369" s="11">
        <f t="shared" si="32"/>
        <v>6.1633610824461984</v>
      </c>
      <c r="G369" s="11">
        <f t="shared" si="33"/>
        <v>6.1611213563790086</v>
      </c>
    </row>
    <row r="370" spans="5:7" x14ac:dyDescent="0.25">
      <c r="E370" s="11">
        <f t="shared" si="31"/>
        <v>58</v>
      </c>
      <c r="F370" s="11">
        <f t="shared" si="32"/>
        <v>6.3023166733460032</v>
      </c>
      <c r="G370" s="11">
        <f t="shared" si="33"/>
        <v>6.2996227581305577</v>
      </c>
    </row>
    <row r="371" spans="5:7" x14ac:dyDescent="0.25">
      <c r="E371" s="11">
        <f t="shared" si="31"/>
        <v>59</v>
      </c>
      <c r="F371" s="11">
        <f t="shared" si="32"/>
        <v>6.4421839794264937</v>
      </c>
      <c r="G371" s="11">
        <f t="shared" si="33"/>
        <v>6.4390703211650164</v>
      </c>
    </row>
    <row r="372" spans="5:7" x14ac:dyDescent="0.25">
      <c r="E372" s="11">
        <f t="shared" si="31"/>
        <v>60</v>
      </c>
      <c r="F372" s="11">
        <f t="shared" si="32"/>
        <v>6.5829457777441771</v>
      </c>
      <c r="G372" s="11">
        <f t="shared" si="33"/>
        <v>6.5794533242734587</v>
      </c>
    </row>
    <row r="373" spans="5:7" x14ac:dyDescent="0.25">
      <c r="E373" s="11">
        <f t="shared" si="31"/>
        <v>61</v>
      </c>
      <c r="F373" s="11">
        <f t="shared" si="32"/>
        <v>6.7245852843306624</v>
      </c>
      <c r="G373" s="11">
        <f t="shared" si="33"/>
        <v>6.7207610462469534</v>
      </c>
    </row>
    <row r="374" spans="5:7" x14ac:dyDescent="0.25">
      <c r="E374" s="11">
        <f t="shared" si="31"/>
        <v>62</v>
      </c>
      <c r="F374" s="11">
        <f t="shared" si="32"/>
        <v>6.8670862281342142</v>
      </c>
      <c r="G374" s="11">
        <f t="shared" si="33"/>
        <v>6.8629827658765743</v>
      </c>
    </row>
    <row r="375" spans="5:7" x14ac:dyDescent="0.25">
      <c r="E375" s="11">
        <f t="shared" si="31"/>
        <v>63</v>
      </c>
      <c r="F375" s="11">
        <f t="shared" si="32"/>
        <v>7.0104329188253152</v>
      </c>
      <c r="G375" s="11">
        <f t="shared" si="33"/>
        <v>7.006107761953392</v>
      </c>
    </row>
    <row r="376" spans="5:7" x14ac:dyDescent="0.25">
      <c r="E376" s="11">
        <f t="shared" si="31"/>
        <v>64</v>
      </c>
      <c r="F376" s="11">
        <f t="shared" si="32"/>
        <v>7.1546103078081389</v>
      </c>
      <c r="G376" s="11">
        <f t="shared" si="33"/>
        <v>7.1501253132684761</v>
      </c>
    </row>
    <row r="377" spans="5:7" x14ac:dyDescent="0.25">
      <c r="E377" s="11">
        <f t="shared" si="31"/>
        <v>65</v>
      </c>
      <c r="F377" s="11">
        <f t="shared" si="32"/>
        <v>7.2996040417637849</v>
      </c>
      <c r="G377" s="11">
        <f t="shared" si="33"/>
        <v>7.2950246986129006</v>
      </c>
    </row>
    <row r="378" spans="5:7" x14ac:dyDescent="0.25">
      <c r="E378" s="11">
        <f t="shared" si="31"/>
        <v>66</v>
      </c>
      <c r="F378" s="11">
        <f t="shared" si="32"/>
        <v>7.4454005080350996</v>
      </c>
      <c r="G378" s="11">
        <f t="shared" si="33"/>
        <v>7.440795196777735</v>
      </c>
    </row>
    <row r="379" spans="5:7" x14ac:dyDescent="0.25">
      <c r="E379" s="11">
        <f t="shared" si="31"/>
        <v>67</v>
      </c>
      <c r="F379" s="11">
        <f t="shared" si="32"/>
        <v>7.5919868711469256</v>
      </c>
      <c r="G379" s="11">
        <f t="shared" si="33"/>
        <v>7.5874260865540526</v>
      </c>
    </row>
    <row r="380" spans="5:7" x14ac:dyDescent="0.25">
      <c r="E380" s="11">
        <f t="shared" si="31"/>
        <v>68</v>
      </c>
      <c r="F380" s="11">
        <f t="shared" si="32"/>
        <v>7.7393510997395039</v>
      </c>
      <c r="G380" s="11">
        <f t="shared" si="33"/>
        <v>7.7349066467329219</v>
      </c>
    </row>
    <row r="381" spans="5:7" x14ac:dyDescent="0.25">
      <c r="E381" s="11">
        <f t="shared" si="31"/>
        <v>69</v>
      </c>
      <c r="F381" s="11">
        <f t="shared" si="32"/>
        <v>7.8874819831768477</v>
      </c>
      <c r="G381" s="11">
        <f t="shared" si="33"/>
        <v>7.8832261561054171</v>
      </c>
    </row>
    <row r="382" spans="5:7" x14ac:dyDescent="0.25">
      <c r="E382" s="11">
        <f t="shared" si="31"/>
        <v>70</v>
      </c>
      <c r="F382" s="11">
        <f t="shared" si="32"/>
        <v>8.036369137075754</v>
      </c>
      <c r="G382" s="11">
        <f t="shared" si="33"/>
        <v>8.0323738934626085</v>
      </c>
    </row>
    <row r="383" spans="5:7" x14ac:dyDescent="0.25">
      <c r="E383" s="11">
        <f t="shared" si="31"/>
        <v>71</v>
      </c>
      <c r="F383" s="11">
        <f t="shared" si="32"/>
        <v>8.1860029969851951</v>
      </c>
      <c r="G383" s="11">
        <f t="shared" si="33"/>
        <v>8.1823391375955659</v>
      </c>
    </row>
    <row r="384" spans="5:7" x14ac:dyDescent="0.25">
      <c r="E384" s="11">
        <f t="shared" si="31"/>
        <v>72</v>
      </c>
      <c r="F384" s="11">
        <f t="shared" si="32"/>
        <v>8.3363747994297572</v>
      </c>
      <c r="G384" s="11">
        <f t="shared" si="33"/>
        <v>8.3331111672953639</v>
      </c>
    </row>
    <row r="385" spans="5:7" x14ac:dyDescent="0.25">
      <c r="E385" s="11">
        <f t="shared" si="31"/>
        <v>73</v>
      </c>
      <c r="F385" s="11">
        <f t="shared" si="32"/>
        <v>8.4874765495147493</v>
      </c>
      <c r="G385" s="11">
        <f t="shared" si="33"/>
        <v>8.4846792613530706</v>
      </c>
    </row>
    <row r="386" spans="5:7" x14ac:dyDescent="0.25">
      <c r="E386" s="11">
        <f t="shared" si="31"/>
        <v>74</v>
      </c>
      <c r="F386" s="11">
        <f t="shared" si="32"/>
        <v>8.6393009742746223</v>
      </c>
      <c r="G386" s="11">
        <f t="shared" si="33"/>
        <v>8.6370326985597607</v>
      </c>
    </row>
    <row r="387" spans="5:7" x14ac:dyDescent="0.25">
      <c r="E387" s="11">
        <f t="shared" si="31"/>
        <v>75</v>
      </c>
      <c r="F387" s="11">
        <f t="shared" si="32"/>
        <v>8.7918414609303177</v>
      </c>
      <c r="G387" s="11">
        <f t="shared" si="33"/>
        <v>8.790160757706504</v>
      </c>
    </row>
    <row r="388" spans="5:7" x14ac:dyDescent="0.25">
      <c r="E388" s="11">
        <f t="shared" si="31"/>
        <v>76</v>
      </c>
      <c r="F388" s="11">
        <f t="shared" si="32"/>
        <v>8.9450919792050367</v>
      </c>
      <c r="G388" s="11">
        <f t="shared" si="33"/>
        <v>8.9440508668299952</v>
      </c>
    </row>
    <row r="389" spans="5:7" x14ac:dyDescent="0.25">
      <c r="E389" s="11">
        <f t="shared" si="31"/>
        <v>77</v>
      </c>
      <c r="F389" s="11">
        <f t="shared" si="32"/>
        <v>9.0990469868320591</v>
      </c>
      <c r="G389" s="11">
        <f t="shared" si="33"/>
        <v>9.0986830509494361</v>
      </c>
    </row>
    <row r="390" spans="5:7" x14ac:dyDescent="0.25">
      <c r="E390" s="11">
        <f t="shared" si="31"/>
        <v>78</v>
      </c>
      <c r="F390" s="11">
        <f t="shared" si="32"/>
        <v>9.2537013173720837</v>
      </c>
      <c r="G390" s="11">
        <f t="shared" si="33"/>
        <v>9.254035484329652</v>
      </c>
    </row>
    <row r="391" spans="5:7" x14ac:dyDescent="0.25">
      <c r="E391" s="11">
        <f t="shared" si="31"/>
        <v>79</v>
      </c>
      <c r="F391" s="11">
        <f t="shared" si="32"/>
        <v>9.4090500494415377</v>
      </c>
      <c r="G391" s="11">
        <f t="shared" si="33"/>
        <v>9.4100863412354663</v>
      </c>
    </row>
    <row r="392" spans="5:7" x14ac:dyDescent="0.25">
      <c r="E392" s="11">
        <f t="shared" si="31"/>
        <v>80</v>
      </c>
      <c r="F392" s="11">
        <f t="shared" si="32"/>
        <v>9.5650883564374141</v>
      </c>
      <c r="G392" s="11">
        <f t="shared" si="33"/>
        <v>9.5668137959317061</v>
      </c>
    </row>
    <row r="393" spans="5:7" x14ac:dyDescent="0.25">
      <c r="E393" s="11">
        <f t="shared" si="31"/>
        <v>81</v>
      </c>
      <c r="F393" s="11">
        <f t="shared" si="32"/>
        <v>9.7218113358279741</v>
      </c>
      <c r="G393" s="11">
        <f t="shared" si="33"/>
        <v>9.7241960226831949</v>
      </c>
    </row>
    <row r="394" spans="5:7" x14ac:dyDescent="0.25">
      <c r="E394" s="11">
        <f t="shared" si="31"/>
        <v>82</v>
      </c>
      <c r="F394" s="11">
        <f t="shared" si="32"/>
        <v>9.8792138170627872</v>
      </c>
      <c r="G394" s="11">
        <f t="shared" si="33"/>
        <v>9.8822111957547598</v>
      </c>
    </row>
    <row r="395" spans="5:7" x14ac:dyDescent="0.25">
      <c r="E395" s="11">
        <f t="shared" si="31"/>
        <v>83</v>
      </c>
      <c r="F395" s="11">
        <f t="shared" si="32"/>
        <v>10.037290147139437</v>
      </c>
      <c r="G395" s="11">
        <f t="shared" si="33"/>
        <v>10.040837489411222</v>
      </c>
    </row>
    <row r="396" spans="5:7" x14ac:dyDescent="0.25">
      <c r="E396" s="11">
        <f t="shared" si="31"/>
        <v>84</v>
      </c>
      <c r="F396" s="11">
        <f t="shared" si="32"/>
        <v>10.196033952848305</v>
      </c>
      <c r="G396" s="11">
        <f t="shared" si="33"/>
        <v>10.20005307791741</v>
      </c>
    </row>
    <row r="397" spans="5:7" x14ac:dyDescent="0.25">
      <c r="E397" s="11">
        <f t="shared" si="31"/>
        <v>85</v>
      </c>
      <c r="F397" s="11">
        <f t="shared" si="32"/>
        <v>10.355437878700716</v>
      </c>
      <c r="G397" s="11">
        <f t="shared" si="33"/>
        <v>10.359836135538147</v>
      </c>
    </row>
    <row r="398" spans="5:7" x14ac:dyDescent="0.25">
      <c r="E398" s="11">
        <f t="shared" si="31"/>
        <v>86</v>
      </c>
      <c r="F398" s="11">
        <f t="shared" si="32"/>
        <v>10.515493299529737</v>
      </c>
      <c r="G398" s="11">
        <f t="shared" si="33"/>
        <v>10.52016483653826</v>
      </c>
    </row>
    <row r="399" spans="5:7" x14ac:dyDescent="0.25">
      <c r="E399" s="11">
        <f t="shared" si="31"/>
        <v>87</v>
      </c>
      <c r="F399" s="11">
        <f t="shared" si="32"/>
        <v>10.676190006736972</v>
      </c>
      <c r="G399" s="11">
        <f t="shared" si="33"/>
        <v>10.681017355182572</v>
      </c>
    </row>
    <row r="400" spans="5:7" x14ac:dyDescent="0.25">
      <c r="E400" s="11">
        <f t="shared" si="31"/>
        <v>88</v>
      </c>
      <c r="F400" s="11">
        <f t="shared" si="32"/>
        <v>10.83751586714251</v>
      </c>
      <c r="G400" s="11">
        <f t="shared" si="33"/>
        <v>10.842371865735908</v>
      </c>
    </row>
    <row r="401" spans="5:7" x14ac:dyDescent="0.25">
      <c r="E401" s="11">
        <f t="shared" si="31"/>
        <v>89</v>
      </c>
      <c r="F401" s="11">
        <f t="shared" si="32"/>
        <v>10.999456453379318</v>
      </c>
      <c r="G401" s="11">
        <f t="shared" si="33"/>
        <v>11.004206542463091</v>
      </c>
    </row>
    <row r="402" spans="5:7" x14ac:dyDescent="0.25">
      <c r="E402" s="11">
        <f t="shared" si="31"/>
        <v>90</v>
      </c>
      <c r="F402" s="11">
        <f t="shared" si="32"/>
        <v>11.161994644757225</v>
      </c>
      <c r="G402" s="11">
        <f t="shared" si="33"/>
        <v>11.166499559628953</v>
      </c>
    </row>
    <row r="403" spans="5:7" x14ac:dyDescent="0.25">
      <c r="E403" s="11">
        <f t="shared" si="31"/>
        <v>91</v>
      </c>
      <c r="F403" s="11">
        <f t="shared" si="32"/>
        <v>11.32511019750571</v>
      </c>
      <c r="G403" s="11">
        <f t="shared" si="33"/>
        <v>11.329229091498313</v>
      </c>
    </row>
    <row r="404" spans="5:7" x14ac:dyDescent="0.25">
      <c r="E404" s="11">
        <f t="shared" si="31"/>
        <v>92</v>
      </c>
      <c r="F404" s="11">
        <f t="shared" si="32"/>
        <v>11.488779283288579</v>
      </c>
      <c r="G404" s="11">
        <f t="shared" si="33"/>
        <v>11.492373312335998</v>
      </c>
    </row>
    <row r="405" spans="5:7" x14ac:dyDescent="0.25">
      <c r="E405" s="11">
        <f t="shared" si="31"/>
        <v>93</v>
      </c>
      <c r="F405" s="11">
        <f t="shared" si="32"/>
        <v>11.652973994867706</v>
      </c>
      <c r="G405" s="11">
        <f t="shared" si="33"/>
        <v>11.655910396406831</v>
      </c>
    </row>
    <row r="406" spans="5:7" x14ac:dyDescent="0.25">
      <c r="E406" s="11">
        <f t="shared" si="31"/>
        <v>94</v>
      </c>
      <c r="F406" s="11">
        <f t="shared" si="32"/>
        <v>11.817661817776871</v>
      </c>
      <c r="G406" s="11">
        <f t="shared" si="33"/>
        <v>11.819818517975641</v>
      </c>
    </row>
    <row r="407" spans="5:7" x14ac:dyDescent="0.25">
      <c r="E407" s="11">
        <f t="shared" si="31"/>
        <v>95</v>
      </c>
      <c r="F407" s="11">
        <f t="shared" si="32"/>
        <v>11.982805066850789</v>
      </c>
      <c r="G407" s="11">
        <f t="shared" si="33"/>
        <v>11.984075851307249</v>
      </c>
    </row>
    <row r="408" spans="5:7" x14ac:dyDescent="0.25">
      <c r="E408" s="11">
        <f t="shared" si="31"/>
        <v>96</v>
      </c>
      <c r="F408" s="11">
        <f t="shared" si="32"/>
        <v>12.148360286438374</v>
      </c>
      <c r="G408" s="11">
        <f t="shared" si="33"/>
        <v>12.148660570666483</v>
      </c>
    </row>
    <row r="409" spans="5:7" x14ac:dyDescent="0.25">
      <c r="E409" s="11">
        <f t="shared" si="31"/>
        <v>97</v>
      </c>
      <c r="F409" s="11">
        <f t="shared" si="32"/>
        <v>12.314277613113196</v>
      </c>
      <c r="G409" s="11">
        <f t="shared" si="33"/>
        <v>12.313550850318165</v>
      </c>
    </row>
    <row r="410" spans="5:7" x14ac:dyDescent="0.25">
      <c r="E410" s="11">
        <f t="shared" si="31"/>
        <v>98</v>
      </c>
      <c r="F410" s="11">
        <f t="shared" si="32"/>
        <v>12.480500099678142</v>
      </c>
      <c r="G410" s="11">
        <f t="shared" si="33"/>
        <v>12.478724864527123</v>
      </c>
    </row>
    <row r="411" spans="5:7" x14ac:dyDescent="0.25">
      <c r="E411" s="11">
        <f t="shared" si="31"/>
        <v>99</v>
      </c>
      <c r="F411" s="11">
        <f t="shared" si="32"/>
        <v>12.646962999245272</v>
      </c>
      <c r="G411" s="11">
        <f t="shared" si="33"/>
        <v>12.644160787558182</v>
      </c>
    </row>
    <row r="412" spans="5:7" x14ac:dyDescent="0.25">
      <c r="E412" s="11">
        <f t="shared" si="31"/>
        <v>100</v>
      </c>
      <c r="F412" s="11">
        <f t="shared" si="32"/>
        <v>12.813593008155738</v>
      </c>
      <c r="G412" s="11">
        <f t="shared" si="33"/>
        <v>12.809836793676164</v>
      </c>
    </row>
    <row r="413" spans="5:7" x14ac:dyDescent="0.25">
      <c r="E413" s="11">
        <f t="shared" si="31"/>
        <v>101</v>
      </c>
      <c r="F413" s="11">
        <f t="shared" si="32"/>
        <v>12.980307466488673</v>
      </c>
      <c r="G413" s="11">
        <f t="shared" si="33"/>
        <v>12.975731057145897</v>
      </c>
    </row>
    <row r="414" spans="5:7" x14ac:dyDescent="0.25">
      <c r="E414" s="11">
        <f t="shared" si="31"/>
        <v>102</v>
      </c>
      <c r="F414" s="11">
        <f t="shared" si="32"/>
        <v>13.14701351489197</v>
      </c>
      <c r="G414" s="11">
        <f t="shared" si="33"/>
        <v>13.141821752232202</v>
      </c>
    </row>
    <row r="415" spans="5:7" x14ac:dyDescent="0.25">
      <c r="E415" s="11">
        <f t="shared" ref="E415:E422" si="34">E208</f>
        <v>103</v>
      </c>
      <c r="F415" s="11">
        <f t="shared" ref="F415:F422" si="35">$H$217*0+E415*$I$217+E415^2*$J$217+E415^3*$K$217+E415^4*$L$217+E415^5*$M$217+E415^6*$N$217+E415^7*$O$217+E415^8*$P$217</f>
        <v>13.31360720645176</v>
      </c>
      <c r="G415" s="11">
        <f t="shared" ref="G415:G422" si="36">F208</f>
        <v>13.308087053199909</v>
      </c>
    </row>
    <row r="416" spans="5:7" x14ac:dyDescent="0.25">
      <c r="E416" s="11">
        <f t="shared" si="34"/>
        <v>104</v>
      </c>
      <c r="F416" s="11">
        <f t="shared" si="35"/>
        <v>13.479972572301405</v>
      </c>
      <c r="G416" s="11">
        <f t="shared" si="36"/>
        <v>13.474505134313841</v>
      </c>
    </row>
    <row r="417" spans="5:7" x14ac:dyDescent="0.25">
      <c r="E417" s="11">
        <f t="shared" si="34"/>
        <v>105</v>
      </c>
      <c r="F417" s="11">
        <f t="shared" si="35"/>
        <v>13.645980639654866</v>
      </c>
      <c r="G417" s="11">
        <f t="shared" si="36"/>
        <v>13.641054169838823</v>
      </c>
    </row>
    <row r="418" spans="5:7" x14ac:dyDescent="0.25">
      <c r="E418" s="11">
        <f t="shared" si="34"/>
        <v>106</v>
      </c>
      <c r="F418" s="11">
        <f t="shared" si="35"/>
        <v>13.811488400933065</v>
      </c>
      <c r="G418" s="11">
        <f t="shared" si="36"/>
        <v>13.80771233403968</v>
      </c>
    </row>
    <row r="419" spans="5:7" x14ac:dyDescent="0.25">
      <c r="E419" s="11">
        <f t="shared" si="34"/>
        <v>107</v>
      </c>
      <c r="F419" s="11">
        <f t="shared" si="35"/>
        <v>13.976337732636178</v>
      </c>
      <c r="G419" s="11">
        <f t="shared" si="36"/>
        <v>13.974457801181236</v>
      </c>
    </row>
    <row r="420" spans="5:7" x14ac:dyDescent="0.25">
      <c r="E420" s="11">
        <f t="shared" si="34"/>
        <v>108</v>
      </c>
      <c r="F420" s="11">
        <f t="shared" si="35"/>
        <v>14.140354262598464</v>
      </c>
      <c r="G420" s="11">
        <f t="shared" si="36"/>
        <v>14.141268745528318</v>
      </c>
    </row>
    <row r="421" spans="5:7" x14ac:dyDescent="0.25">
      <c r="E421" s="11">
        <f t="shared" si="34"/>
        <v>109</v>
      </c>
      <c r="F421" s="11">
        <f t="shared" si="35"/>
        <v>14.30334618424622</v>
      </c>
      <c r="G421" s="11">
        <f t="shared" si="36"/>
        <v>14.30812334134575</v>
      </c>
    </row>
    <row r="422" spans="5:7" x14ac:dyDescent="0.25">
      <c r="E422" s="11">
        <f t="shared" si="34"/>
        <v>110</v>
      </c>
      <c r="F422" s="11">
        <f t="shared" si="35"/>
        <v>14.465103016463793</v>
      </c>
      <c r="G422" s="11">
        <f t="shared" si="36"/>
        <v>14.474999762898356</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9.3029999999999995E-5</v>
      </c>
      <c r="C3" s="2">
        <v>1.204E-4</v>
      </c>
      <c r="D3" s="2">
        <v>-3.3950000000000001E-4</v>
      </c>
      <c r="E3" s="2">
        <v>0</v>
      </c>
      <c r="F3" s="2">
        <v>0</v>
      </c>
      <c r="G3" s="2">
        <v>0</v>
      </c>
      <c r="H3" s="2">
        <v>4.5256902999999999E-5</v>
      </c>
      <c r="I3" s="2">
        <v>1.200315E-5</v>
      </c>
      <c r="J3" s="2">
        <v>-1.2599827999999999E-4</v>
      </c>
      <c r="K3" s="3"/>
      <c r="L3" s="3">
        <f>-B3/D3</f>
        <v>0.27402061855670101</v>
      </c>
      <c r="M3" s="3"/>
      <c r="N3" s="2">
        <f>IF('Modell einstellen'!$B$1="Voll",H3/0.35,H3/0.35*2)</f>
        <v>1.2930543714285715E-4</v>
      </c>
      <c r="O3" s="2">
        <f>IF('Modell einstellen'!$B$1="Voll",J3/0.35,J3/0.35*2)</f>
        <v>-3.5999508571428571E-4</v>
      </c>
      <c r="P3" s="3">
        <f>-N3/O3</f>
        <v>0.35918667302442542</v>
      </c>
      <c r="Q3" s="3"/>
      <c r="R3" s="3"/>
      <c r="S3" s="3"/>
      <c r="T3" s="3"/>
      <c r="U3" s="3"/>
      <c r="V3" s="3"/>
      <c r="W3" s="3"/>
    </row>
    <row r="4" spans="1:23" x14ac:dyDescent="0.25">
      <c r="A4" s="2">
        <v>1E-14</v>
      </c>
      <c r="B4" s="2">
        <v>9.3360000000000001E-5</v>
      </c>
      <c r="C4" s="2">
        <v>1.215E-4</v>
      </c>
      <c r="D4" s="2">
        <v>-3.412E-4</v>
      </c>
      <c r="E4" s="2">
        <v>0</v>
      </c>
      <c r="F4" s="2">
        <v>0</v>
      </c>
      <c r="G4" s="2">
        <v>0</v>
      </c>
      <c r="H4" s="2">
        <v>4.5766544999999999E-5</v>
      </c>
      <c r="I4" s="2">
        <v>1.2127703000000001E-5</v>
      </c>
      <c r="J4" s="2">
        <v>-1.2697509999999999E-4</v>
      </c>
      <c r="K4" s="3"/>
      <c r="L4" s="3">
        <f t="shared" ref="L4:L33" si="0">-B4/D4</f>
        <v>0.27362250879249705</v>
      </c>
      <c r="M4" s="3"/>
      <c r="N4" s="2">
        <f>IF('Modell einstellen'!$B$1="Voll",H4/0.35,H4/0.35*2)</f>
        <v>1.3076155714285715E-4</v>
      </c>
      <c r="O4" s="2">
        <f>IF('Modell einstellen'!$B$1="Voll",J4/0.35,J4/0.35*2)</f>
        <v>-3.6278599999999998E-4</v>
      </c>
      <c r="P4" s="3">
        <f t="shared" ref="P4:P33" si="1">-N4/O4</f>
        <v>0.36043716445192803</v>
      </c>
      <c r="Q4" s="3"/>
      <c r="R4" s="3"/>
      <c r="S4" s="3"/>
      <c r="T4" s="3"/>
      <c r="U4" s="3"/>
      <c r="V4" s="3"/>
      <c r="W4" s="3"/>
    </row>
    <row r="5" spans="1:23" x14ac:dyDescent="0.25">
      <c r="A5" s="2">
        <v>1E-13</v>
      </c>
      <c r="B5" s="2">
        <v>9.5340000000000005E-5</v>
      </c>
      <c r="C5" s="2">
        <v>1.259E-4</v>
      </c>
      <c r="D5" s="2">
        <v>-3.4820000000000001E-4</v>
      </c>
      <c r="E5" s="2">
        <v>0</v>
      </c>
      <c r="F5" s="2">
        <v>0</v>
      </c>
      <c r="G5" s="2">
        <v>0</v>
      </c>
      <c r="H5" s="2">
        <v>4.7655207000000003E-5</v>
      </c>
      <c r="I5" s="2">
        <v>1.2589958E-5</v>
      </c>
      <c r="J5" s="2">
        <v>-1.3063405000000001E-4</v>
      </c>
      <c r="K5" s="3"/>
      <c r="L5" s="3">
        <f t="shared" si="0"/>
        <v>0.27380815623205057</v>
      </c>
      <c r="M5" s="3"/>
      <c r="N5" s="2">
        <f>IF('Modell einstellen'!$B$1="Voll",H5/0.35,H5/0.35*2)</f>
        <v>1.3615773428571429E-4</v>
      </c>
      <c r="O5" s="2">
        <f>IF('Modell einstellen'!$B$1="Voll",J5/0.35,J5/0.35*2)</f>
        <v>-3.7324014285714294E-4</v>
      </c>
      <c r="P5" s="3">
        <f t="shared" si="1"/>
        <v>0.36479927706444065</v>
      </c>
      <c r="Q5" s="3"/>
      <c r="R5" s="3"/>
      <c r="S5" s="3"/>
      <c r="T5" s="3"/>
      <c r="U5" s="3"/>
      <c r="V5" s="3"/>
      <c r="W5" s="3"/>
    </row>
    <row r="6" spans="1:23" x14ac:dyDescent="0.25">
      <c r="A6" s="2">
        <v>9.9999999999999998E-13</v>
      </c>
      <c r="B6" s="2">
        <v>9.6509999999999996E-5</v>
      </c>
      <c r="C6" s="2">
        <v>1.2889999999999999E-4</v>
      </c>
      <c r="D6" s="2">
        <v>-3.5290000000000001E-4</v>
      </c>
      <c r="E6" s="2">
        <v>0</v>
      </c>
      <c r="F6" s="2">
        <v>0</v>
      </c>
      <c r="G6" s="2">
        <v>0</v>
      </c>
      <c r="H6" s="2">
        <v>4.9006703000000001E-5</v>
      </c>
      <c r="I6" s="2">
        <v>1.2916457999999999E-5</v>
      </c>
      <c r="J6" s="2">
        <v>-1.3323200999999999E-4</v>
      </c>
      <c r="K6" s="3"/>
      <c r="L6" s="3">
        <f t="shared" si="0"/>
        <v>0.27347690563899119</v>
      </c>
      <c r="M6" s="3"/>
      <c r="N6" s="2">
        <f>IF('Modell einstellen'!$B$1="Voll",H6/0.35,H6/0.35*2)</f>
        <v>1.4001915142857144E-4</v>
      </c>
      <c r="O6" s="2">
        <f>IF('Modell einstellen'!$B$1="Voll",J6/0.35,J6/0.35*2)</f>
        <v>-3.806628857142857E-4</v>
      </c>
      <c r="P6" s="3">
        <f t="shared" si="1"/>
        <v>0.36782979555738898</v>
      </c>
      <c r="Q6" s="3"/>
      <c r="R6" s="3"/>
      <c r="S6" s="3"/>
      <c r="T6" s="3"/>
      <c r="U6" s="3"/>
      <c r="V6" s="3"/>
      <c r="W6" s="3"/>
    </row>
    <row r="7" spans="1:23" x14ac:dyDescent="0.25">
      <c r="A7" s="2">
        <v>9.9999999999999994E-12</v>
      </c>
      <c r="B7" s="2">
        <v>9.7579999999999997E-5</v>
      </c>
      <c r="C7" s="2">
        <v>1.3180000000000001E-4</v>
      </c>
      <c r="D7" s="2">
        <v>-3.5740000000000001E-4</v>
      </c>
      <c r="E7" s="2">
        <v>0</v>
      </c>
      <c r="F7" s="2">
        <v>0</v>
      </c>
      <c r="G7" s="2">
        <v>0</v>
      </c>
      <c r="H7" s="2">
        <v>5.0328477999999997E-5</v>
      </c>
      <c r="I7" s="2">
        <v>1.3233172000000001E-5</v>
      </c>
      <c r="J7" s="2">
        <v>-1.3576263E-4</v>
      </c>
      <c r="K7" s="3"/>
      <c r="L7" s="3">
        <f t="shared" si="0"/>
        <v>0.27302742025741467</v>
      </c>
      <c r="M7" s="3"/>
      <c r="N7" s="2">
        <f>IF('Modell einstellen'!$B$1="Voll",H7/0.35,H7/0.35*2)</f>
        <v>1.4379565142857143E-4</v>
      </c>
      <c r="O7" s="2">
        <f>IF('Modell einstellen'!$B$1="Voll",J7/0.35,J7/0.35*2)</f>
        <v>-3.878932285714286E-4</v>
      </c>
      <c r="P7" s="3">
        <f t="shared" si="1"/>
        <v>0.37070936236282398</v>
      </c>
      <c r="Q7" s="3"/>
      <c r="R7" s="3"/>
      <c r="S7" s="3"/>
      <c r="T7" s="3"/>
      <c r="U7" s="3"/>
      <c r="V7" s="3"/>
      <c r="W7" s="3"/>
    </row>
    <row r="8" spans="1:23" x14ac:dyDescent="0.25">
      <c r="A8" s="2">
        <v>1E-10</v>
      </c>
      <c r="B8" s="2">
        <v>9.8720000000000003E-5</v>
      </c>
      <c r="C8" s="2">
        <v>1.351E-4</v>
      </c>
      <c r="D8" s="2">
        <v>-3.6240000000000003E-4</v>
      </c>
      <c r="E8" s="2">
        <v>0</v>
      </c>
      <c r="F8" s="2">
        <v>0</v>
      </c>
      <c r="G8" s="2">
        <v>0</v>
      </c>
      <c r="H8" s="2">
        <v>5.1850778000000002E-5</v>
      </c>
      <c r="I8" s="2">
        <v>1.3594670999999999E-5</v>
      </c>
      <c r="J8" s="2">
        <v>-1.3866409999999999E-4</v>
      </c>
      <c r="K8" s="3"/>
      <c r="L8" s="3">
        <f t="shared" si="0"/>
        <v>0.27240618101545255</v>
      </c>
      <c r="M8" s="3"/>
      <c r="N8" s="2">
        <f>IF('Modell einstellen'!$B$1="Voll",H8/0.35,H8/0.35*2)</f>
        <v>1.4814508E-4</v>
      </c>
      <c r="O8" s="2">
        <f>IF('Modell einstellen'!$B$1="Voll",J8/0.35,J8/0.35*2)</f>
        <v>-3.9618314285714287E-4</v>
      </c>
      <c r="P8" s="3">
        <f t="shared" si="1"/>
        <v>0.37393080112300153</v>
      </c>
      <c r="Q8" s="3"/>
      <c r="R8" s="3"/>
      <c r="S8" s="3"/>
      <c r="T8" s="3"/>
      <c r="U8" s="3"/>
      <c r="V8" s="3"/>
      <c r="W8" s="3"/>
    </row>
    <row r="9" spans="1:23" x14ac:dyDescent="0.25">
      <c r="A9" s="2">
        <v>1.0000000000000001E-9</v>
      </c>
      <c r="B9" s="2">
        <v>9.9870000000000004E-5</v>
      </c>
      <c r="C9" s="2">
        <v>1.3870000000000001E-4</v>
      </c>
      <c r="D9" s="2">
        <v>-3.678E-4</v>
      </c>
      <c r="E9" s="2">
        <v>0</v>
      </c>
      <c r="F9" s="2">
        <v>0</v>
      </c>
      <c r="G9" s="2">
        <v>0</v>
      </c>
      <c r="H9" s="2">
        <v>5.3534444999999997E-5</v>
      </c>
      <c r="I9" s="2">
        <v>1.3990455E-5</v>
      </c>
      <c r="J9" s="2">
        <v>-1.4185688E-4</v>
      </c>
      <c r="K9" s="3"/>
      <c r="L9" s="3">
        <f t="shared" si="0"/>
        <v>0.27153344208809138</v>
      </c>
      <c r="M9" s="3"/>
      <c r="N9" s="2">
        <f>IF('Modell einstellen'!$B$1="Voll",H9/0.35,H9/0.35*2)</f>
        <v>1.5295555714285713E-4</v>
      </c>
      <c r="O9" s="2">
        <f>IF('Modell einstellen'!$B$1="Voll",J9/0.35,J9/0.35*2)</f>
        <v>-4.0530537142857145E-4</v>
      </c>
      <c r="P9" s="3">
        <f t="shared" si="1"/>
        <v>0.37738349384252629</v>
      </c>
      <c r="Q9" s="3"/>
      <c r="R9" s="3"/>
      <c r="S9" s="3"/>
      <c r="T9" s="3"/>
      <c r="U9" s="3"/>
      <c r="V9" s="3"/>
      <c r="W9" s="3"/>
    </row>
    <row r="10" spans="1:23" x14ac:dyDescent="0.25">
      <c r="A10" s="2">
        <v>1E-8</v>
      </c>
      <c r="B10" s="2">
        <v>1.011E-4</v>
      </c>
      <c r="C10" s="2">
        <v>1.4300000000000001E-4</v>
      </c>
      <c r="D10" s="2">
        <v>-3.7399999999999998E-4</v>
      </c>
      <c r="E10" s="2">
        <v>0</v>
      </c>
      <c r="F10" s="2">
        <v>0</v>
      </c>
      <c r="G10" s="2">
        <v>0</v>
      </c>
      <c r="H10" s="2">
        <v>5.5577649999999998E-5</v>
      </c>
      <c r="I10" s="2">
        <v>1.4465203999999999E-5</v>
      </c>
      <c r="J10" s="2">
        <v>-1.457095E-4</v>
      </c>
      <c r="K10" s="3"/>
      <c r="L10" s="3">
        <f t="shared" si="0"/>
        <v>0.27032085561497327</v>
      </c>
      <c r="M10" s="3"/>
      <c r="N10" s="2">
        <f>IF('Modell einstellen'!$B$1="Voll",H10/0.35,H10/0.35*2)</f>
        <v>1.5879328571428571E-4</v>
      </c>
      <c r="O10" s="2">
        <f>IF('Modell einstellen'!$B$1="Voll",J10/0.35,J10/0.35*2)</f>
        <v>-4.1631285714285719E-4</v>
      </c>
      <c r="P10" s="3">
        <f t="shared" si="1"/>
        <v>0.38142777238272035</v>
      </c>
      <c r="Q10" s="3"/>
      <c r="R10" s="3"/>
      <c r="S10" s="3"/>
      <c r="T10" s="3"/>
      <c r="U10" s="3"/>
      <c r="V10" s="3"/>
      <c r="W10" s="3"/>
    </row>
    <row r="11" spans="1:23" x14ac:dyDescent="0.25">
      <c r="A11" s="2">
        <v>9.9999999999999995E-8</v>
      </c>
      <c r="B11" s="2">
        <v>1.0230000000000001E-4</v>
      </c>
      <c r="C11" s="2">
        <v>1.4760000000000001E-4</v>
      </c>
      <c r="D11" s="2">
        <v>-3.8059999999999998E-4</v>
      </c>
      <c r="E11" s="2">
        <v>0</v>
      </c>
      <c r="F11" s="2">
        <v>0</v>
      </c>
      <c r="G11" s="2">
        <v>0</v>
      </c>
      <c r="H11" s="2">
        <v>5.7838172000000001E-5</v>
      </c>
      <c r="I11" s="2">
        <v>1.4983349999999999E-5</v>
      </c>
      <c r="J11" s="2">
        <v>-1.4994379E-4</v>
      </c>
      <c r="K11" s="3"/>
      <c r="L11" s="3">
        <f t="shared" si="0"/>
        <v>0.26878612716763006</v>
      </c>
      <c r="M11" s="3"/>
      <c r="N11" s="2">
        <f>IF('Modell einstellen'!$B$1="Voll",H11/0.35,H11/0.35*2)</f>
        <v>1.6525192E-4</v>
      </c>
      <c r="O11" s="2">
        <f>IF('Modell einstellen'!$B$1="Voll",J11/0.35,J11/0.35*2)</f>
        <v>-4.2841082857142859E-4</v>
      </c>
      <c r="P11" s="3">
        <f t="shared" si="1"/>
        <v>0.38573236010641054</v>
      </c>
      <c r="Q11" s="3"/>
      <c r="R11" s="3"/>
      <c r="S11" s="3"/>
      <c r="T11" s="3"/>
      <c r="U11" s="3"/>
      <c r="V11" s="3"/>
      <c r="W11" s="3"/>
    </row>
    <row r="12" spans="1:23" x14ac:dyDescent="0.25">
      <c r="A12" s="2">
        <v>9.9999999999999995E-7</v>
      </c>
      <c r="B12" s="2">
        <v>1.0340000000000001E-4</v>
      </c>
      <c r="C12" s="2">
        <v>1.5310000000000001E-4</v>
      </c>
      <c r="D12" s="2">
        <v>-3.881E-4</v>
      </c>
      <c r="E12" s="2">
        <v>0</v>
      </c>
      <c r="F12" s="2">
        <v>0</v>
      </c>
      <c r="G12" s="2">
        <v>0</v>
      </c>
      <c r="H12" s="2">
        <v>6.0551667999999997E-5</v>
      </c>
      <c r="I12" s="2">
        <v>1.5595718E-5</v>
      </c>
      <c r="J12" s="2">
        <v>-1.5498911000000001E-4</v>
      </c>
      <c r="K12" s="3"/>
      <c r="L12" s="3">
        <f t="shared" si="0"/>
        <v>0.26642617881989178</v>
      </c>
      <c r="M12" s="3"/>
      <c r="N12" s="2">
        <f>IF('Modell einstellen'!$B$1="Voll",H12/0.35,H12/0.35*2)</f>
        <v>1.7300476571428572E-4</v>
      </c>
      <c r="O12" s="2">
        <f>IF('Modell einstellen'!$B$1="Voll",J12/0.35,J12/0.35*2)</f>
        <v>-4.4282602857142865E-4</v>
      </c>
      <c r="P12" s="3">
        <f t="shared" si="1"/>
        <v>0.39068337123814695</v>
      </c>
      <c r="Q12" s="3"/>
      <c r="R12" s="3"/>
      <c r="S12" s="3"/>
      <c r="T12" s="3"/>
      <c r="U12" s="3"/>
      <c r="V12" s="3"/>
      <c r="W12" s="3"/>
    </row>
    <row r="13" spans="1:23" x14ac:dyDescent="0.25">
      <c r="A13" s="2">
        <v>1.0000000000000001E-5</v>
      </c>
      <c r="B13" s="2">
        <v>1.042E-4</v>
      </c>
      <c r="C13" s="2">
        <v>1.582E-4</v>
      </c>
      <c r="D13" s="2">
        <v>-3.949E-4</v>
      </c>
      <c r="E13" s="2">
        <v>0</v>
      </c>
      <c r="F13" s="2">
        <v>0</v>
      </c>
      <c r="G13" s="2">
        <v>0</v>
      </c>
      <c r="H13" s="2">
        <v>6.3163086999999996E-5</v>
      </c>
      <c r="I13" s="2">
        <v>1.6174773999999999E-5</v>
      </c>
      <c r="J13" s="2">
        <v>-1.5980435E-4</v>
      </c>
      <c r="K13" s="3"/>
      <c r="L13" s="3">
        <f t="shared" si="0"/>
        <v>0.26386426943530006</v>
      </c>
      <c r="M13" s="3"/>
      <c r="N13" s="2">
        <f>IF('Modell einstellen'!$B$1="Voll",H13/0.35,H13/0.35*2)</f>
        <v>1.8046596285714285E-4</v>
      </c>
      <c r="O13" s="2">
        <f>IF('Modell einstellen'!$B$1="Voll",J13/0.35,J13/0.35*2)</f>
        <v>-4.5658385714285717E-4</v>
      </c>
      <c r="P13" s="3">
        <f t="shared" si="1"/>
        <v>0.39525261358655128</v>
      </c>
      <c r="Q13" s="3"/>
      <c r="R13" s="3"/>
      <c r="S13" s="3"/>
      <c r="T13" s="3"/>
      <c r="U13" s="3"/>
      <c r="V13" s="3"/>
      <c r="W13" s="3"/>
    </row>
    <row r="14" spans="1:23" x14ac:dyDescent="0.25">
      <c r="A14" s="2">
        <v>1E-4</v>
      </c>
      <c r="B14" s="2">
        <v>1.048E-4</v>
      </c>
      <c r="C14" s="2">
        <v>1.639E-4</v>
      </c>
      <c r="D14" s="2">
        <v>-4.0220000000000002E-4</v>
      </c>
      <c r="E14" s="2">
        <v>0</v>
      </c>
      <c r="F14" s="2">
        <v>0</v>
      </c>
      <c r="G14" s="2">
        <v>0</v>
      </c>
      <c r="H14" s="2">
        <v>6.6154943000000003E-5</v>
      </c>
      <c r="I14" s="2">
        <v>1.6827084999999999E-5</v>
      </c>
      <c r="J14" s="2">
        <v>-1.6527841999999999E-4</v>
      </c>
      <c r="K14" s="3"/>
      <c r="L14" s="3">
        <f t="shared" si="0"/>
        <v>0.26056688214818496</v>
      </c>
      <c r="M14" s="3"/>
      <c r="N14" s="2">
        <f>IF('Modell einstellen'!$B$1="Voll",H14/0.35,H14/0.35*2)</f>
        <v>1.8901412285714288E-4</v>
      </c>
      <c r="O14" s="2">
        <f>IF('Modell einstellen'!$B$1="Voll",J14/0.35,J14/0.35*2)</f>
        <v>-4.7222405714285716E-4</v>
      </c>
      <c r="P14" s="3">
        <f t="shared" si="1"/>
        <v>0.40026364603437042</v>
      </c>
      <c r="Q14" s="3"/>
      <c r="R14" s="3"/>
      <c r="S14" s="3"/>
      <c r="T14" s="3"/>
      <c r="U14" s="3"/>
      <c r="V14" s="3"/>
      <c r="W14" s="3"/>
    </row>
    <row r="15" spans="1:23" x14ac:dyDescent="0.25">
      <c r="A15" s="2">
        <v>1E-3</v>
      </c>
      <c r="B15" s="2">
        <v>1.052E-4</v>
      </c>
      <c r="C15" s="2">
        <v>1.7129999999999999E-4</v>
      </c>
      <c r="D15" s="2">
        <v>-4.1120000000000002E-4</v>
      </c>
      <c r="E15" s="2">
        <v>0</v>
      </c>
      <c r="F15" s="2">
        <v>0</v>
      </c>
      <c r="G15" s="2">
        <v>0</v>
      </c>
      <c r="H15" s="2">
        <v>7.0143365000000001E-5</v>
      </c>
      <c r="I15" s="2">
        <v>1.7678177999999999E-5</v>
      </c>
      <c r="J15" s="2">
        <v>-1.7250478999999999E-4</v>
      </c>
      <c r="K15" s="3"/>
      <c r="L15" s="3">
        <f t="shared" si="0"/>
        <v>0.25583657587548636</v>
      </c>
      <c r="M15" s="3"/>
      <c r="N15" s="2">
        <f>IF('Modell einstellen'!$B$1="Voll",H15/0.35,H15/0.35*2)</f>
        <v>2.0040961428571431E-4</v>
      </c>
      <c r="O15" s="2">
        <f>IF('Modell einstellen'!$B$1="Voll",J15/0.35,J15/0.35*2)</f>
        <v>-4.9287082857142855E-4</v>
      </c>
      <c r="P15" s="3">
        <f t="shared" si="1"/>
        <v>0.40661691191299681</v>
      </c>
      <c r="Q15" s="3"/>
      <c r="R15" s="3"/>
      <c r="S15" s="3"/>
      <c r="T15" s="3"/>
      <c r="U15" s="3"/>
      <c r="V15" s="3"/>
      <c r="W15" s="3"/>
    </row>
    <row r="16" spans="1:23" x14ac:dyDescent="0.25">
      <c r="A16" s="2">
        <v>0.01</v>
      </c>
      <c r="B16" s="2">
        <v>1.049E-4</v>
      </c>
      <c r="C16" s="2">
        <v>1.8000000000000001E-4</v>
      </c>
      <c r="D16" s="2">
        <v>-4.2099999999999999E-4</v>
      </c>
      <c r="E16" s="2">
        <v>0</v>
      </c>
      <c r="F16" s="2">
        <v>0</v>
      </c>
      <c r="G16" s="2">
        <v>0</v>
      </c>
      <c r="H16" s="2">
        <v>7.5064675999999994E-5</v>
      </c>
      <c r="I16" s="2">
        <v>1.8698231000000001E-5</v>
      </c>
      <c r="J16" s="2">
        <v>-1.8130555000000001E-4</v>
      </c>
      <c r="K16" s="3"/>
      <c r="L16" s="3">
        <f t="shared" si="0"/>
        <v>0.24916864608076011</v>
      </c>
      <c r="M16" s="3"/>
      <c r="N16" s="2">
        <f>IF('Modell einstellen'!$B$1="Voll",H16/0.35,H16/0.35*2)</f>
        <v>2.1447050285714286E-4</v>
      </c>
      <c r="O16" s="2">
        <f>IF('Modell einstellen'!$B$1="Voll",J16/0.35,J16/0.35*2)</f>
        <v>-5.1801585714285716E-4</v>
      </c>
      <c r="P16" s="3">
        <f t="shared" si="1"/>
        <v>0.41402304562656794</v>
      </c>
      <c r="Q16" s="3"/>
      <c r="R16" s="3"/>
      <c r="S16" s="3"/>
      <c r="T16" s="3"/>
      <c r="U16" s="3"/>
      <c r="V16" s="3"/>
      <c r="W16" s="3"/>
    </row>
    <row r="17" spans="1:23" x14ac:dyDescent="0.25">
      <c r="A17" s="2">
        <v>0.1</v>
      </c>
      <c r="B17" s="2">
        <v>1.038E-4</v>
      </c>
      <c r="C17" s="2">
        <v>1.886E-4</v>
      </c>
      <c r="D17" s="2">
        <v>-4.2989999999999999E-4</v>
      </c>
      <c r="E17" s="2">
        <v>0</v>
      </c>
      <c r="F17" s="2">
        <v>0</v>
      </c>
      <c r="G17" s="2">
        <v>0</v>
      </c>
      <c r="H17" s="2">
        <v>8.0194111999999998E-5</v>
      </c>
      <c r="I17" s="2">
        <v>1.9725416999999999E-5</v>
      </c>
      <c r="J17" s="2">
        <v>-1.9034031000000001E-4</v>
      </c>
      <c r="K17" s="3"/>
      <c r="L17" s="3">
        <f t="shared" si="0"/>
        <v>0.24145150034891835</v>
      </c>
      <c r="M17" s="3"/>
      <c r="N17" s="2">
        <f>IF('Modell einstellen'!$B$1="Voll",H17/0.35,H17/0.35*2)</f>
        <v>2.2912603428571428E-4</v>
      </c>
      <c r="O17" s="2">
        <f>IF('Modell einstellen'!$B$1="Voll",J17/0.35,J17/0.35*2)</f>
        <v>-5.4382945714285722E-4</v>
      </c>
      <c r="P17" s="3">
        <f t="shared" si="1"/>
        <v>0.4213196458490584</v>
      </c>
      <c r="Q17" s="3"/>
      <c r="R17" s="3"/>
      <c r="S17" s="3"/>
      <c r="T17" s="3"/>
      <c r="U17" s="3"/>
      <c r="V17" s="3"/>
      <c r="W17" s="3"/>
    </row>
    <row r="18" spans="1:23" x14ac:dyDescent="0.25">
      <c r="A18" s="2">
        <v>1</v>
      </c>
      <c r="B18" s="2">
        <v>1.021E-4</v>
      </c>
      <c r="C18" s="2">
        <v>1.9589999999999999E-4</v>
      </c>
      <c r="D18" s="2">
        <v>-4.3669999999999999E-4</v>
      </c>
      <c r="E18" s="2">
        <v>0</v>
      </c>
      <c r="F18" s="2">
        <v>0</v>
      </c>
      <c r="G18" s="2">
        <v>0</v>
      </c>
      <c r="H18" s="2">
        <v>8.4727028999999996E-5</v>
      </c>
      <c r="I18" s="2">
        <v>2.0603751E-5</v>
      </c>
      <c r="J18" s="2">
        <v>-1.9821185E-4</v>
      </c>
      <c r="K18" s="3"/>
      <c r="L18" s="3">
        <f t="shared" si="0"/>
        <v>0.23379894664529427</v>
      </c>
      <c r="M18" s="3"/>
      <c r="N18" s="2">
        <f>IF('Modell einstellen'!$B$1="Voll",H18/0.35,H18/0.35*2)</f>
        <v>2.4207722571428572E-4</v>
      </c>
      <c r="O18" s="2">
        <f>IF('Modell einstellen'!$B$1="Voll",J18/0.35,J18/0.35*2)</f>
        <v>-5.6631957142857148E-4</v>
      </c>
      <c r="P18" s="3">
        <f t="shared" si="1"/>
        <v>0.42745693055183126</v>
      </c>
      <c r="Q18" s="3"/>
      <c r="R18" s="3"/>
      <c r="S18" s="3"/>
      <c r="T18" s="3"/>
      <c r="U18" s="3"/>
      <c r="V18" s="3"/>
      <c r="W18" s="3"/>
    </row>
    <row r="19" spans="1:23" x14ac:dyDescent="0.25">
      <c r="A19" s="2">
        <v>10</v>
      </c>
      <c r="B19" s="2">
        <v>9.9549999999999994E-5</v>
      </c>
      <c r="C19" s="2">
        <v>2.0379999999999999E-4</v>
      </c>
      <c r="D19" s="2">
        <v>-4.4329999999999999E-4</v>
      </c>
      <c r="E19" s="2">
        <v>0</v>
      </c>
      <c r="F19" s="2">
        <v>0</v>
      </c>
      <c r="G19" s="2">
        <v>0</v>
      </c>
      <c r="H19" s="2">
        <v>8.9836380999999994E-5</v>
      </c>
      <c r="I19" s="2">
        <v>2.1564857999999999E-5</v>
      </c>
      <c r="J19" s="2">
        <v>-2.0697466000000001E-4</v>
      </c>
      <c r="K19" s="3"/>
      <c r="L19" s="3">
        <f t="shared" si="0"/>
        <v>0.22456575682382132</v>
      </c>
      <c r="M19" s="3"/>
      <c r="N19" s="2">
        <f>IF('Modell einstellen'!$B$1="Voll",H19/0.35,H19/0.35*2)</f>
        <v>2.5667537428571428E-4</v>
      </c>
      <c r="O19" s="2">
        <f>IF('Modell einstellen'!$B$1="Voll",J19/0.35,J19/0.35*2)</f>
        <v>-5.9135617142857145E-4</v>
      </c>
      <c r="P19" s="3">
        <f t="shared" si="1"/>
        <v>0.43404531260010282</v>
      </c>
      <c r="Q19" s="3"/>
      <c r="R19" s="3"/>
      <c r="S19" s="3"/>
      <c r="T19" s="3"/>
      <c r="U19" s="3"/>
      <c r="V19" s="3"/>
      <c r="W19" s="3"/>
    </row>
    <row r="20" spans="1:23" x14ac:dyDescent="0.25">
      <c r="A20" s="2">
        <v>100</v>
      </c>
      <c r="B20" s="2">
        <v>9.6150000000000006E-5</v>
      </c>
      <c r="C20" s="2">
        <v>2.117E-4</v>
      </c>
      <c r="D20" s="2">
        <v>-4.4920000000000002E-4</v>
      </c>
      <c r="E20" s="2">
        <v>0</v>
      </c>
      <c r="F20" s="2">
        <v>0</v>
      </c>
      <c r="G20" s="2">
        <v>0</v>
      </c>
      <c r="H20" s="2">
        <v>9.5248750000000005E-5</v>
      </c>
      <c r="I20" s="2">
        <v>2.2548738E-5</v>
      </c>
      <c r="J20" s="2">
        <v>-2.1612625999999999E-4</v>
      </c>
      <c r="K20" s="3"/>
      <c r="L20" s="3">
        <f t="shared" si="0"/>
        <v>0.21404719501335709</v>
      </c>
      <c r="M20" s="3"/>
      <c r="N20" s="2">
        <f>IF('Modell einstellen'!$B$1="Voll",H20/0.35,H20/0.35*2)</f>
        <v>2.7213928571428574E-4</v>
      </c>
      <c r="O20" s="2">
        <f>IF('Modell einstellen'!$B$1="Voll",J20/0.35,J20/0.35*2)</f>
        <v>-6.1750360000000003E-4</v>
      </c>
      <c r="P20" s="3">
        <f t="shared" si="1"/>
        <v>0.44070882455468396</v>
      </c>
      <c r="Q20" s="3"/>
      <c r="R20" s="3"/>
      <c r="S20" s="3"/>
      <c r="T20" s="3"/>
      <c r="U20" s="3"/>
      <c r="V20" s="3"/>
      <c r="W20" s="3"/>
    </row>
    <row r="21" spans="1:23" x14ac:dyDescent="0.25">
      <c r="A21" s="2">
        <v>1000</v>
      </c>
      <c r="B21" s="2">
        <v>9.1409999999999994E-5</v>
      </c>
      <c r="C21" s="2">
        <v>2.206E-4</v>
      </c>
      <c r="D21" s="2">
        <v>-4.5469999999999999E-4</v>
      </c>
      <c r="E21" s="2">
        <v>0</v>
      </c>
      <c r="F21" s="2">
        <v>0</v>
      </c>
      <c r="G21" s="2">
        <v>0</v>
      </c>
      <c r="H21" s="2">
        <v>1.0157988E-4</v>
      </c>
      <c r="I21" s="2">
        <v>2.3667205E-5</v>
      </c>
      <c r="J21" s="2">
        <v>-2.2670222E-4</v>
      </c>
      <c r="K21" s="3"/>
      <c r="L21" s="3">
        <f t="shared" si="0"/>
        <v>0.20103364855948977</v>
      </c>
      <c r="M21" s="3"/>
      <c r="N21" s="2">
        <f>IF('Modell einstellen'!$B$1="Voll",H21/0.35,H21/0.35*2)</f>
        <v>2.9022822857142862E-4</v>
      </c>
      <c r="O21" s="2">
        <f>IF('Modell einstellen'!$B$1="Voll",J21/0.35,J21/0.35*2)</f>
        <v>-6.4772062857142859E-4</v>
      </c>
      <c r="P21" s="3">
        <f t="shared" si="1"/>
        <v>0.44807624733449902</v>
      </c>
      <c r="Q21" s="3"/>
      <c r="R21" s="3"/>
      <c r="S21" s="3"/>
      <c r="T21" s="3"/>
      <c r="U21" s="3"/>
      <c r="V21" s="3"/>
      <c r="W21" s="3"/>
    </row>
    <row r="22" spans="1:23" x14ac:dyDescent="0.25">
      <c r="A22" s="2">
        <v>10000</v>
      </c>
      <c r="B22" s="2">
        <v>8.6349999999999998E-5</v>
      </c>
      <c r="C22" s="2">
        <v>2.3039999999999999E-4</v>
      </c>
      <c r="D22" s="2">
        <v>-4.6059999999999997E-4</v>
      </c>
      <c r="E22" s="2">
        <v>0</v>
      </c>
      <c r="F22" s="2">
        <v>0</v>
      </c>
      <c r="G22" s="2">
        <v>0</v>
      </c>
      <c r="H22" s="2">
        <v>1.0817081000000001E-4</v>
      </c>
      <c r="I22" s="2">
        <v>2.4903907E-5</v>
      </c>
      <c r="J22" s="2">
        <v>-2.379212E-4</v>
      </c>
      <c r="K22" s="3"/>
      <c r="L22" s="3">
        <f t="shared" si="0"/>
        <v>0.18747286148501954</v>
      </c>
      <c r="M22" s="3"/>
      <c r="N22" s="2">
        <f>IF('Modell einstellen'!$B$1="Voll",H22/0.35,H22/0.35*2)</f>
        <v>3.0905945714285719E-4</v>
      </c>
      <c r="O22" s="2">
        <f>IF('Modell einstellen'!$B$1="Voll",J22/0.35,J22/0.35*2)</f>
        <v>-6.7977485714285719E-4</v>
      </c>
      <c r="P22" s="3">
        <f t="shared" si="1"/>
        <v>0.45464973276866461</v>
      </c>
      <c r="Q22" s="3"/>
      <c r="R22" s="3"/>
      <c r="S22" s="3"/>
      <c r="T22" s="3"/>
      <c r="U22" s="3"/>
      <c r="V22" s="3"/>
      <c r="W22" s="3"/>
    </row>
    <row r="23" spans="1:23" x14ac:dyDescent="0.25">
      <c r="A23" s="2">
        <v>100000</v>
      </c>
      <c r="B23" s="2">
        <v>8.2319999999999998E-5</v>
      </c>
      <c r="C23" s="2">
        <v>2.4949999999999999E-4</v>
      </c>
      <c r="D23" s="2">
        <v>-4.7649999999999998E-4</v>
      </c>
      <c r="E23" s="2">
        <v>0</v>
      </c>
      <c r="F23" s="2">
        <v>0</v>
      </c>
      <c r="G23" s="2">
        <v>0</v>
      </c>
      <c r="H23" s="2">
        <v>1.1750177E-4</v>
      </c>
      <c r="I23" s="2">
        <v>2.7326585999999999E-5</v>
      </c>
      <c r="J23" s="2">
        <v>-2.5598046E-4</v>
      </c>
      <c r="K23" s="3"/>
      <c r="L23" s="3">
        <f t="shared" si="0"/>
        <v>0.17275970619097586</v>
      </c>
      <c r="M23" s="3"/>
      <c r="N23" s="2">
        <f>IF('Modell einstellen'!$B$1="Voll",H23/0.35,H23/0.35*2)</f>
        <v>3.3571934285714285E-4</v>
      </c>
      <c r="O23" s="2">
        <f>IF('Modell einstellen'!$B$1="Voll",J23/0.35,J23/0.35*2)</f>
        <v>-7.3137274285714287E-4</v>
      </c>
      <c r="P23" s="3">
        <f t="shared" si="1"/>
        <v>0.45902632568126489</v>
      </c>
      <c r="Q23" s="3"/>
      <c r="R23" s="3"/>
      <c r="S23" s="3"/>
      <c r="T23" s="3"/>
      <c r="U23" s="3"/>
      <c r="V23" s="3"/>
      <c r="W23" s="3"/>
    </row>
    <row r="24" spans="1:23" x14ac:dyDescent="0.25">
      <c r="A24" s="2">
        <v>1000000</v>
      </c>
      <c r="B24" s="2">
        <v>8.4330000000000001E-5</v>
      </c>
      <c r="C24" s="2">
        <v>2.8190000000000002E-4</v>
      </c>
      <c r="D24" s="2">
        <v>-5.1020000000000004E-4</v>
      </c>
      <c r="E24" s="2">
        <v>0</v>
      </c>
      <c r="F24" s="2">
        <v>0</v>
      </c>
      <c r="G24" s="2">
        <v>0</v>
      </c>
      <c r="H24" s="2">
        <v>1.2832318E-4</v>
      </c>
      <c r="I24" s="2">
        <v>3.1465494000000002E-5</v>
      </c>
      <c r="J24" s="2">
        <v>-2.8133732000000002E-4</v>
      </c>
      <c r="K24" s="3"/>
      <c r="L24" s="3">
        <f t="shared" si="0"/>
        <v>0.16528812230497844</v>
      </c>
      <c r="M24" s="3"/>
      <c r="N24" s="2">
        <f>IF('Modell einstellen'!$B$1="Voll",H24/0.35,H24/0.35*2)</f>
        <v>3.6663765714285717E-4</v>
      </c>
      <c r="O24" s="2">
        <f>IF('Modell einstellen'!$B$1="Voll",J24/0.35,J24/0.35*2)</f>
        <v>-8.0382091428571442E-4</v>
      </c>
      <c r="P24" s="3">
        <f t="shared" si="1"/>
        <v>0.45611858391200993</v>
      </c>
      <c r="Q24" s="3"/>
      <c r="R24" s="3"/>
      <c r="S24" s="3"/>
      <c r="T24" s="3"/>
      <c r="U24" s="3"/>
      <c r="V24" s="3"/>
      <c r="W24" s="3"/>
    </row>
    <row r="25" spans="1:23" x14ac:dyDescent="0.25">
      <c r="A25" s="2">
        <v>10000000</v>
      </c>
      <c r="B25" s="2">
        <v>8.6089999999999997E-5</v>
      </c>
      <c r="C25" s="2">
        <v>3.2620000000000001E-4</v>
      </c>
      <c r="D25" s="2">
        <v>-5.555E-4</v>
      </c>
      <c r="E25" s="2">
        <v>0</v>
      </c>
      <c r="F25" s="2">
        <v>0</v>
      </c>
      <c r="G25" s="2">
        <v>0</v>
      </c>
      <c r="H25" s="2">
        <v>1.4307290000000001E-4</v>
      </c>
      <c r="I25" s="2">
        <v>3.7255092E-5</v>
      </c>
      <c r="J25" s="2">
        <v>-3.1654987E-4</v>
      </c>
      <c r="K25" s="3"/>
      <c r="L25" s="3">
        <f t="shared" si="0"/>
        <v>0.15497749774977498</v>
      </c>
      <c r="M25" s="3"/>
      <c r="N25" s="2">
        <f>IF('Modell einstellen'!$B$1="Voll",H25/0.35,H25/0.35*2)</f>
        <v>4.0877971428571435E-4</v>
      </c>
      <c r="O25" s="2">
        <f>IF('Modell einstellen'!$B$1="Voll",J25/0.35,J25/0.35*2)</f>
        <v>-9.0442820000000005E-4</v>
      </c>
      <c r="P25" s="3">
        <f t="shared" si="1"/>
        <v>0.45197586086514591</v>
      </c>
      <c r="Q25" s="3"/>
      <c r="R25" s="3"/>
      <c r="S25" s="3"/>
      <c r="T25" s="3"/>
      <c r="U25" s="3"/>
      <c r="V25" s="3"/>
      <c r="W25" s="3"/>
    </row>
    <row r="26" spans="1:23" x14ac:dyDescent="0.25">
      <c r="A26" s="2">
        <v>100000000</v>
      </c>
      <c r="B26" s="2">
        <v>7.5939999999999995E-5</v>
      </c>
      <c r="C26" s="2">
        <v>3.7800000000000003E-4</v>
      </c>
      <c r="D26" s="2">
        <v>-5.9730000000000004E-4</v>
      </c>
      <c r="E26" s="2">
        <v>0</v>
      </c>
      <c r="F26" s="2">
        <v>0</v>
      </c>
      <c r="G26" s="2">
        <v>0</v>
      </c>
      <c r="H26" s="2">
        <v>1.6307084E-4</v>
      </c>
      <c r="I26" s="2">
        <v>4.4350268E-5</v>
      </c>
      <c r="J26" s="2">
        <v>-3.6191077000000002E-4</v>
      </c>
      <c r="K26" s="3"/>
      <c r="L26" s="3">
        <f t="shared" si="0"/>
        <v>0.12713879122718899</v>
      </c>
      <c r="M26" s="3"/>
      <c r="N26" s="2">
        <f>IF('Modell einstellen'!$B$1="Voll",H26/0.35,H26/0.35*2)</f>
        <v>4.6591668571428573E-4</v>
      </c>
      <c r="O26" s="2">
        <f>IF('Modell einstellen'!$B$1="Voll",J26/0.35,J26/0.35*2)</f>
        <v>-1.0340307714285716E-3</v>
      </c>
      <c r="P26" s="3">
        <f t="shared" si="1"/>
        <v>0.45058299867671792</v>
      </c>
      <c r="Q26" s="3"/>
      <c r="R26" s="3"/>
      <c r="S26" s="3"/>
      <c r="T26" s="3"/>
      <c r="U26" s="3"/>
      <c r="V26" s="3"/>
      <c r="W26" s="3"/>
    </row>
    <row r="27" spans="1:23" x14ac:dyDescent="0.25">
      <c r="A27" s="2">
        <v>1000000000</v>
      </c>
      <c r="B27" s="2">
        <v>3.7809999999999999E-5</v>
      </c>
      <c r="C27" s="2">
        <v>4.4410000000000001E-4</v>
      </c>
      <c r="D27" s="2">
        <v>-6.269E-4</v>
      </c>
      <c r="E27" s="2">
        <v>0</v>
      </c>
      <c r="F27" s="2">
        <v>0</v>
      </c>
      <c r="G27" s="2">
        <v>0</v>
      </c>
      <c r="H27" s="2">
        <v>1.941585E-4</v>
      </c>
      <c r="I27" s="2">
        <v>5.3956304000000001E-5</v>
      </c>
      <c r="J27" s="2">
        <v>-4.2774665000000001E-4</v>
      </c>
      <c r="K27" s="3"/>
      <c r="L27" s="3">
        <f t="shared" si="0"/>
        <v>6.0312649545382034E-2</v>
      </c>
      <c r="M27" s="3"/>
      <c r="N27" s="2">
        <f>IF('Modell einstellen'!$B$1="Voll",H27/0.35,H27/0.35*2)</f>
        <v>5.5473857142857149E-4</v>
      </c>
      <c r="O27" s="2">
        <f>IF('Modell einstellen'!$B$1="Voll",J27/0.35,J27/0.35*2)</f>
        <v>-1.2221332857142858E-3</v>
      </c>
      <c r="P27" s="3">
        <f t="shared" si="1"/>
        <v>0.45391004231126064</v>
      </c>
      <c r="Q27" s="3"/>
      <c r="R27" s="3"/>
      <c r="S27" s="3"/>
      <c r="T27" s="3"/>
      <c r="U27" s="3"/>
      <c r="V27" s="3"/>
      <c r="W27" s="3"/>
    </row>
    <row r="28" spans="1:23" x14ac:dyDescent="0.25">
      <c r="A28" s="2">
        <v>10000000000</v>
      </c>
      <c r="B28" s="2">
        <v>-5.6879999999999998E-5</v>
      </c>
      <c r="C28" s="2">
        <v>5.3490000000000005E-4</v>
      </c>
      <c r="D28" s="2">
        <v>-6.2589999999999998E-4</v>
      </c>
      <c r="E28" s="2">
        <v>0</v>
      </c>
      <c r="F28" s="2">
        <v>0</v>
      </c>
      <c r="G28" s="2">
        <v>0</v>
      </c>
      <c r="H28" s="2">
        <v>2.4391889999999999E-4</v>
      </c>
      <c r="I28" s="2">
        <v>6.8064414999999999E-5</v>
      </c>
      <c r="J28" s="2">
        <v>-5.2885290999999995E-4</v>
      </c>
      <c r="K28" s="3"/>
      <c r="L28" s="3">
        <f t="shared" si="0"/>
        <v>-9.0877136922831128E-2</v>
      </c>
      <c r="M28" s="3"/>
      <c r="N28" s="2">
        <f>IF('Modell einstellen'!$B$1="Voll",H28/0.35,H28/0.35*2)</f>
        <v>6.9691114285714282E-4</v>
      </c>
      <c r="O28" s="2">
        <f>IF('Modell einstellen'!$B$1="Voll",J28/0.35,J28/0.35*2)</f>
        <v>-1.5110083142857143E-3</v>
      </c>
      <c r="P28" s="3">
        <f t="shared" si="1"/>
        <v>0.46122257321038468</v>
      </c>
      <c r="Q28" s="3"/>
      <c r="R28" s="3"/>
      <c r="S28" s="3"/>
      <c r="T28" s="3"/>
      <c r="U28" s="3"/>
      <c r="V28" s="3"/>
      <c r="W28" s="3"/>
    </row>
    <row r="29" spans="1:23" x14ac:dyDescent="0.25">
      <c r="A29" s="2">
        <v>100000000000</v>
      </c>
      <c r="B29" s="2">
        <v>-2.8160000000000001E-4</v>
      </c>
      <c r="C29" s="2">
        <v>6.7520000000000004E-4</v>
      </c>
      <c r="D29" s="2">
        <v>-5.4540000000000003E-4</v>
      </c>
      <c r="E29" s="2">
        <v>0</v>
      </c>
      <c r="F29" s="2">
        <v>0</v>
      </c>
      <c r="G29" s="2">
        <v>0</v>
      </c>
      <c r="H29" s="2">
        <v>3.3211554000000003E-4</v>
      </c>
      <c r="I29" s="2">
        <v>9.1448072000000006E-5</v>
      </c>
      <c r="J29" s="2">
        <v>-7.0234659999999995E-4</v>
      </c>
      <c r="K29" s="3"/>
      <c r="L29" s="3">
        <f t="shared" si="0"/>
        <v>-0.51631829849651634</v>
      </c>
      <c r="M29" s="3"/>
      <c r="N29" s="2">
        <f>IF('Modell einstellen'!$B$1="Voll",H29/0.35,H29/0.35*2)</f>
        <v>9.4890154285714296E-4</v>
      </c>
      <c r="O29" s="2">
        <f>IF('Modell einstellen'!$B$1="Voll",J29/0.35,J29/0.35*2)</f>
        <v>-2.0067045714285713E-3</v>
      </c>
      <c r="P29" s="3">
        <f t="shared" si="1"/>
        <v>0.47286559086354235</v>
      </c>
      <c r="Q29" s="3"/>
      <c r="R29" s="3"/>
      <c r="S29" s="3"/>
      <c r="T29" s="3"/>
      <c r="U29" s="3"/>
      <c r="V29" s="3"/>
      <c r="W29" s="3"/>
    </row>
    <row r="30" spans="1:23" x14ac:dyDescent="0.25">
      <c r="A30" s="2">
        <v>1000000000000</v>
      </c>
      <c r="B30" s="2">
        <v>-6.8389999999999998E-4</v>
      </c>
      <c r="C30" s="2">
        <v>8.6370000000000001E-4</v>
      </c>
      <c r="D30" s="2">
        <v>-3.3520000000000002E-4</v>
      </c>
      <c r="E30" s="2">
        <v>0</v>
      </c>
      <c r="F30" s="2">
        <v>0</v>
      </c>
      <c r="G30" s="2">
        <v>0</v>
      </c>
      <c r="H30" s="2">
        <v>4.6491061999999998E-4</v>
      </c>
      <c r="I30" s="2">
        <v>1.2499762E-4</v>
      </c>
      <c r="J30" s="2">
        <v>-9.5744837999999996E-4</v>
      </c>
      <c r="K30" s="3"/>
      <c r="L30" s="3">
        <f t="shared" si="0"/>
        <v>-2.0402744630071599</v>
      </c>
      <c r="M30" s="3"/>
      <c r="N30" s="2">
        <f>IF('Modell einstellen'!$B$1="Voll",H30/0.35,H30/0.35*2)</f>
        <v>1.3283160571428572E-3</v>
      </c>
      <c r="O30" s="2">
        <f>IF('Modell einstellen'!$B$1="Voll",J30/0.35,J30/0.35*2)</f>
        <v>-2.7355667999999999E-3</v>
      </c>
      <c r="P30" s="3">
        <f t="shared" si="1"/>
        <v>0.48557251723586398</v>
      </c>
      <c r="Q30" s="3"/>
      <c r="R30" s="3"/>
      <c r="S30" s="3"/>
      <c r="T30" s="3"/>
      <c r="U30" s="3"/>
      <c r="V30" s="3"/>
      <c r="W30" s="3"/>
    </row>
    <row r="31" spans="1:23" x14ac:dyDescent="0.25">
      <c r="A31" s="2">
        <v>10000000000000</v>
      </c>
      <c r="B31" s="2">
        <v>-1.3140000000000001E-3</v>
      </c>
      <c r="C31" s="2">
        <v>1.1100000000000001E-3</v>
      </c>
      <c r="D31" s="2">
        <v>4.613E-5</v>
      </c>
      <c r="E31" s="2">
        <v>0</v>
      </c>
      <c r="F31" s="2">
        <v>0</v>
      </c>
      <c r="G31" s="2">
        <v>0</v>
      </c>
      <c r="H31" s="2">
        <v>6.5525694000000004E-4</v>
      </c>
      <c r="I31" s="2">
        <v>1.7092086E-4</v>
      </c>
      <c r="J31" s="2">
        <v>-1.3148941999999999E-3</v>
      </c>
      <c r="K31" s="3"/>
      <c r="L31" s="3">
        <f t="shared" si="0"/>
        <v>28.484717103836985</v>
      </c>
      <c r="M31" s="3"/>
      <c r="N31" s="2">
        <f>IF('Modell einstellen'!$B$1="Voll",H31/0.35,H31/0.35*2)</f>
        <v>1.872162685714286E-3</v>
      </c>
      <c r="O31" s="2">
        <f>IF('Modell einstellen'!$B$1="Voll",J31/0.35,J31/0.35*2)</f>
        <v>-3.7568405714285716E-3</v>
      </c>
      <c r="P31" s="3">
        <f t="shared" si="1"/>
        <v>0.49833434507506391</v>
      </c>
      <c r="Q31" s="3"/>
      <c r="R31" s="3"/>
      <c r="S31" s="3"/>
      <c r="T31" s="3"/>
      <c r="U31" s="3"/>
      <c r="V31" s="3"/>
      <c r="W31" s="3"/>
    </row>
    <row r="32" spans="1:23" x14ac:dyDescent="0.25">
      <c r="A32" s="2">
        <v>100000000000000</v>
      </c>
      <c r="B32" s="2">
        <v>-1.915E-3</v>
      </c>
      <c r="C32" s="2">
        <v>1.3270000000000001E-3</v>
      </c>
      <c r="D32" s="2">
        <v>4.283E-4</v>
      </c>
      <c r="E32" s="2">
        <v>0</v>
      </c>
      <c r="F32" s="2">
        <v>0</v>
      </c>
      <c r="G32" s="2">
        <v>0</v>
      </c>
      <c r="H32" s="2">
        <v>8.2902365999999999E-4</v>
      </c>
      <c r="I32" s="2">
        <v>2.1255037999999999E-4</v>
      </c>
      <c r="J32" s="2">
        <v>-1.6397065000000001E-3</v>
      </c>
      <c r="K32" s="3"/>
      <c r="L32" s="3">
        <f t="shared" si="0"/>
        <v>4.4711650712117672</v>
      </c>
      <c r="M32" s="3"/>
      <c r="N32" s="2">
        <f>IF('Modell einstellen'!$B$1="Voll",H32/0.35,H32/0.35*2)</f>
        <v>2.3686390285714287E-3</v>
      </c>
      <c r="O32" s="2">
        <f>IF('Modell einstellen'!$B$1="Voll",J32/0.35,J32/0.35*2)</f>
        <v>-4.6848757142857146E-3</v>
      </c>
      <c r="P32" s="3">
        <f t="shared" si="1"/>
        <v>0.50559271430588337</v>
      </c>
      <c r="Q32" s="3"/>
      <c r="R32" s="3"/>
      <c r="S32" s="3"/>
      <c r="T32" s="3"/>
      <c r="U32" s="3"/>
      <c r="V32" s="3"/>
      <c r="W32" s="3"/>
    </row>
    <row r="33" spans="1:23" x14ac:dyDescent="0.25">
      <c r="A33" s="2">
        <v>1000000000000000</v>
      </c>
      <c r="B33" s="2">
        <v>-2.4199999999999998E-3</v>
      </c>
      <c r="C33" s="2">
        <v>1.505E-3</v>
      </c>
      <c r="D33" s="2">
        <v>7.5520000000000003E-4</v>
      </c>
      <c r="E33" s="2">
        <v>0</v>
      </c>
      <c r="F33" s="2">
        <v>0</v>
      </c>
      <c r="G33" s="2">
        <v>0</v>
      </c>
      <c r="H33" s="2">
        <v>9.7326358999999996E-4</v>
      </c>
      <c r="I33" s="2">
        <v>2.4709378999999997E-4</v>
      </c>
      <c r="J33" s="2">
        <v>-1.9089707000000001E-3</v>
      </c>
      <c r="K33" s="3"/>
      <c r="L33" s="3">
        <f t="shared" si="0"/>
        <v>3.2044491525423724</v>
      </c>
      <c r="M33" s="3"/>
      <c r="N33" s="2">
        <f>IF('Modell einstellen'!$B$1="Voll",H33/0.35,H33/0.35*2)</f>
        <v>2.7807531142857145E-3</v>
      </c>
      <c r="O33" s="2">
        <f>IF('Modell einstellen'!$B$1="Voll",J33/0.35,J33/0.35*2)</f>
        <v>-5.4542020000000009E-3</v>
      </c>
      <c r="P33" s="3">
        <f t="shared" si="1"/>
        <v>0.50983684034542798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9.4790000000000006E-5</v>
      </c>
      <c r="C3" s="3">
        <v>1.226E-4</v>
      </c>
      <c r="D3" s="3">
        <v>-3.4370000000000001E-4</v>
      </c>
      <c r="E3" s="3">
        <v>0</v>
      </c>
      <c r="F3" s="3">
        <v>0</v>
      </c>
      <c r="G3" s="3">
        <v>0</v>
      </c>
      <c r="H3" s="3">
        <v>4.6113411999999997E-5</v>
      </c>
      <c r="I3" s="3">
        <v>1.2237786999999999E-5</v>
      </c>
      <c r="J3" s="3">
        <v>-1.2774705000000001E-4</v>
      </c>
      <c r="L3" s="3">
        <f>-B3/D3</f>
        <v>0.27579284259528658</v>
      </c>
      <c r="M3" s="3"/>
      <c r="N3" s="2">
        <f>IF('Modell einstellen'!$B$1="Voll",H3/0.35,H3/0.35*2)</f>
        <v>1.317526057142857E-4</v>
      </c>
      <c r="O3" s="2">
        <f>IF('Modell einstellen'!$B$1="Voll",J3/0.35,J3/0.35*2)</f>
        <v>-3.6499157142857151E-4</v>
      </c>
      <c r="P3" s="3">
        <f>-N3/O3</f>
        <v>0.36097437866471271</v>
      </c>
    </row>
    <row r="4" spans="1:16" x14ac:dyDescent="0.25">
      <c r="A4" s="3">
        <v>1E-14</v>
      </c>
      <c r="B4" s="3">
        <v>9.6849999999999996E-5</v>
      </c>
      <c r="C4" s="3">
        <v>1.2750000000000001E-4</v>
      </c>
      <c r="D4" s="3">
        <v>-3.5149999999999998E-4</v>
      </c>
      <c r="E4" s="3">
        <v>0</v>
      </c>
      <c r="F4" s="3">
        <v>0</v>
      </c>
      <c r="G4" s="3">
        <v>0</v>
      </c>
      <c r="H4" s="3">
        <v>4.8291144000000003E-5</v>
      </c>
      <c r="I4" s="3">
        <v>1.2772734E-5</v>
      </c>
      <c r="J4" s="3">
        <v>-1.3195865999999999E-4</v>
      </c>
      <c r="L4" s="3">
        <f t="shared" ref="L4:L33" si="0">-B4/D4</f>
        <v>0.27553342816500714</v>
      </c>
      <c r="M4" s="3"/>
      <c r="N4" s="2">
        <f>IF('Modell einstellen'!$B$1="Voll",H4/0.35,H4/0.35*2)</f>
        <v>1.3797469714285716E-4</v>
      </c>
      <c r="O4" s="2">
        <f>IF('Modell einstellen'!$B$1="Voll",J4/0.35,J4/0.35*2)</f>
        <v>-3.7702474285714288E-4</v>
      </c>
      <c r="P4" s="3">
        <f t="shared" ref="P4:P33" si="1">-N4/O4</f>
        <v>0.3659566109567951</v>
      </c>
    </row>
    <row r="5" spans="1:16" x14ac:dyDescent="0.25">
      <c r="A5" s="3">
        <v>1E-13</v>
      </c>
      <c r="B5" s="3">
        <v>9.7979999999999994E-5</v>
      </c>
      <c r="C5" s="3">
        <v>1.305E-4</v>
      </c>
      <c r="D5" s="3">
        <v>-3.5609999999999998E-4</v>
      </c>
      <c r="E5" s="3">
        <v>0</v>
      </c>
      <c r="F5" s="3">
        <v>0</v>
      </c>
      <c r="G5" s="3">
        <v>0</v>
      </c>
      <c r="H5" s="3">
        <v>4.9617865999999998E-5</v>
      </c>
      <c r="I5" s="3">
        <v>1.3095233999999999E-5</v>
      </c>
      <c r="J5" s="3">
        <v>-1.3451357E-4</v>
      </c>
      <c r="L5" s="3">
        <f t="shared" si="0"/>
        <v>0.27514743049705137</v>
      </c>
      <c r="M5" s="3"/>
      <c r="N5" s="2">
        <f>IF('Modell einstellen'!$B$1="Voll",H5/0.35,H5/0.35*2)</f>
        <v>1.4176533142857143E-4</v>
      </c>
      <c r="O5" s="2">
        <f>IF('Modell einstellen'!$B$1="Voll",J5/0.35,J5/0.35*2)</f>
        <v>-3.8432448571428576E-4</v>
      </c>
      <c r="P5" s="3">
        <f t="shared" si="1"/>
        <v>0.36886885092708488</v>
      </c>
    </row>
    <row r="6" spans="1:16" x14ac:dyDescent="0.25">
      <c r="A6" s="3">
        <v>9.9999999999999998E-13</v>
      </c>
      <c r="B6" s="3">
        <v>9.9099999999999996E-5</v>
      </c>
      <c r="C6" s="3">
        <v>1.3359999999999999E-4</v>
      </c>
      <c r="D6" s="3">
        <v>-3.6079999999999999E-4</v>
      </c>
      <c r="E6" s="3">
        <v>0</v>
      </c>
      <c r="F6" s="3">
        <v>0</v>
      </c>
      <c r="G6" s="3">
        <v>0</v>
      </c>
      <c r="H6" s="3">
        <v>5.1019395999999997E-5</v>
      </c>
      <c r="I6" s="3">
        <v>1.3432961E-5</v>
      </c>
      <c r="J6" s="3">
        <v>-1.3720114999999999E-4</v>
      </c>
      <c r="L6" s="3">
        <f t="shared" si="0"/>
        <v>0.27466740576496673</v>
      </c>
      <c r="M6" s="3"/>
      <c r="N6" s="2">
        <f>IF('Modell einstellen'!$B$1="Voll",H6/0.35,H6/0.35*2)</f>
        <v>1.4576970285714287E-4</v>
      </c>
      <c r="O6" s="2">
        <f>IF('Modell einstellen'!$B$1="Voll",J6/0.35,J6/0.35*2)</f>
        <v>-3.9200328571428571E-4</v>
      </c>
      <c r="P6" s="3">
        <f t="shared" si="1"/>
        <v>0.37185836999179678</v>
      </c>
    </row>
    <row r="7" spans="1:16" x14ac:dyDescent="0.25">
      <c r="A7" s="3">
        <v>9.9999999999999994E-12</v>
      </c>
      <c r="B7" s="3">
        <v>1.003E-4</v>
      </c>
      <c r="C7" s="3">
        <v>1.37E-4</v>
      </c>
      <c r="D7" s="3">
        <v>-3.6600000000000001E-4</v>
      </c>
      <c r="E7" s="3">
        <v>0</v>
      </c>
      <c r="F7" s="3">
        <v>0</v>
      </c>
      <c r="G7" s="3">
        <v>0</v>
      </c>
      <c r="H7" s="3">
        <v>5.2591813000000002E-5</v>
      </c>
      <c r="I7" s="3">
        <v>1.3808335E-5</v>
      </c>
      <c r="J7" s="3">
        <v>-1.4020221E-4</v>
      </c>
      <c r="L7" s="3">
        <f t="shared" si="0"/>
        <v>0.27404371584699455</v>
      </c>
      <c r="M7" s="3"/>
      <c r="N7" s="2">
        <f>IF('Modell einstellen'!$B$1="Voll",H7/0.35,H7/0.35*2)</f>
        <v>1.5026232285714287E-4</v>
      </c>
      <c r="O7" s="2">
        <f>IF('Modell einstellen'!$B$1="Voll",J7/0.35,J7/0.35*2)</f>
        <v>-4.0057774285714288E-4</v>
      </c>
      <c r="P7" s="3">
        <f t="shared" si="1"/>
        <v>0.37511400854522908</v>
      </c>
    </row>
    <row r="8" spans="1:16" x14ac:dyDescent="0.25">
      <c r="A8" s="3">
        <v>1E-10</v>
      </c>
      <c r="B8" s="3">
        <v>1.015E-4</v>
      </c>
      <c r="C8" s="3">
        <v>1.4100000000000001E-4</v>
      </c>
      <c r="D8" s="3">
        <v>-3.7179999999999998E-4</v>
      </c>
      <c r="E8" s="3">
        <v>0</v>
      </c>
      <c r="F8" s="3">
        <v>0</v>
      </c>
      <c r="G8" s="3">
        <v>0</v>
      </c>
      <c r="H8" s="3">
        <v>5.4421678000000001E-5</v>
      </c>
      <c r="I8" s="3">
        <v>1.4240702E-5</v>
      </c>
      <c r="J8" s="3">
        <v>-1.436768E-4</v>
      </c>
      <c r="L8" s="3">
        <f t="shared" si="0"/>
        <v>0.27299623453469607</v>
      </c>
      <c r="M8" s="3"/>
      <c r="N8" s="2">
        <f>IF('Modell einstellen'!$B$1="Voll",H8/0.35,H8/0.35*2)</f>
        <v>1.5549050857142859E-4</v>
      </c>
      <c r="O8" s="2">
        <f>IF('Modell einstellen'!$B$1="Voll",J8/0.35,J8/0.35*2)</f>
        <v>-4.1050514285714286E-4</v>
      </c>
      <c r="P8" s="3">
        <f t="shared" si="1"/>
        <v>0.37877846666963633</v>
      </c>
    </row>
    <row r="9" spans="1:16" x14ac:dyDescent="0.25">
      <c r="A9" s="3">
        <v>1.0000000000000001E-9</v>
      </c>
      <c r="B9" s="3">
        <v>1.027E-4</v>
      </c>
      <c r="C9" s="3">
        <v>1.4540000000000001E-4</v>
      </c>
      <c r="D9" s="3">
        <v>-3.7819999999999998E-4</v>
      </c>
      <c r="E9" s="3">
        <v>0</v>
      </c>
      <c r="F9" s="3">
        <v>0</v>
      </c>
      <c r="G9" s="3">
        <v>0</v>
      </c>
      <c r="H9" s="3">
        <v>5.6533480999999998E-5</v>
      </c>
      <c r="I9" s="3">
        <v>1.4733568E-5</v>
      </c>
      <c r="J9" s="3">
        <v>-1.4766249999999999E-4</v>
      </c>
      <c r="L9" s="3">
        <f t="shared" si="0"/>
        <v>0.27154944473823378</v>
      </c>
      <c r="M9" s="3"/>
      <c r="N9" s="2">
        <f>IF('Modell einstellen'!$B$1="Voll",H9/0.35,H9/0.35*2)</f>
        <v>1.6152423142857142E-4</v>
      </c>
      <c r="O9" s="2">
        <f>IF('Modell einstellen'!$B$1="Voll",J9/0.35,J9/0.35*2)</f>
        <v>-4.2189285714285712E-4</v>
      </c>
      <c r="P9" s="3">
        <f t="shared" si="1"/>
        <v>0.38285604672818085</v>
      </c>
    </row>
    <row r="10" spans="1:16" x14ac:dyDescent="0.25">
      <c r="A10" s="3">
        <v>1E-8</v>
      </c>
      <c r="B10" s="3">
        <v>1.039E-4</v>
      </c>
      <c r="C10" s="3">
        <v>1.505E-4</v>
      </c>
      <c r="D10" s="3">
        <v>-3.8529999999999999E-4</v>
      </c>
      <c r="E10" s="3">
        <v>0</v>
      </c>
      <c r="F10" s="3">
        <v>0</v>
      </c>
      <c r="G10" s="3">
        <v>0</v>
      </c>
      <c r="H10" s="3">
        <v>5.8996897999999999E-5</v>
      </c>
      <c r="I10" s="3">
        <v>1.530069E-5</v>
      </c>
      <c r="J10" s="3">
        <v>-1.5228118999999999E-4</v>
      </c>
      <c r="L10" s="3">
        <f t="shared" si="0"/>
        <v>0.26966000519076044</v>
      </c>
      <c r="M10" s="3"/>
      <c r="N10" s="2">
        <f>IF('Modell einstellen'!$B$1="Voll",H10/0.35,H10/0.35*2)</f>
        <v>1.6856256571428572E-4</v>
      </c>
      <c r="O10" s="2">
        <f>IF('Modell einstellen'!$B$1="Voll",J10/0.35,J10/0.35*2)</f>
        <v>-4.350891142857143E-4</v>
      </c>
      <c r="P10" s="3">
        <f t="shared" si="1"/>
        <v>0.38742078388013651</v>
      </c>
    </row>
    <row r="11" spans="1:16" x14ac:dyDescent="0.25">
      <c r="A11" s="3">
        <v>9.9999999999999995E-8</v>
      </c>
      <c r="B11" s="3">
        <v>1.049E-4</v>
      </c>
      <c r="C11" s="3">
        <v>1.5579999999999999E-4</v>
      </c>
      <c r="D11" s="3">
        <v>-3.926E-4</v>
      </c>
      <c r="E11" s="3">
        <v>0</v>
      </c>
      <c r="F11" s="3">
        <v>0</v>
      </c>
      <c r="G11" s="3">
        <v>0</v>
      </c>
      <c r="H11" s="3">
        <v>6.1670152999999996E-5</v>
      </c>
      <c r="I11" s="3">
        <v>1.5906020000000001E-5</v>
      </c>
      <c r="J11" s="3">
        <v>-1.5725386E-4</v>
      </c>
      <c r="L11" s="3">
        <f t="shared" si="0"/>
        <v>0.2671930718288334</v>
      </c>
      <c r="M11" s="3"/>
      <c r="N11" s="2">
        <f>IF('Modell einstellen'!$B$1="Voll",H11/0.35,H11/0.35*2)</f>
        <v>1.7620043714285715E-4</v>
      </c>
      <c r="O11" s="2">
        <f>IF('Modell einstellen'!$B$1="Voll",J11/0.35,J11/0.35*2)</f>
        <v>-4.4929674285714289E-4</v>
      </c>
      <c r="P11" s="3">
        <f t="shared" si="1"/>
        <v>0.39216940684317697</v>
      </c>
    </row>
    <row r="12" spans="1:16" x14ac:dyDescent="0.25">
      <c r="A12" s="3">
        <v>9.9999999999999995E-7</v>
      </c>
      <c r="B12" s="3">
        <v>1.0569999999999999E-4</v>
      </c>
      <c r="C12" s="3">
        <v>1.6110000000000001E-4</v>
      </c>
      <c r="D12" s="3">
        <v>-3.9950000000000001E-4</v>
      </c>
      <c r="E12" s="3">
        <v>0</v>
      </c>
      <c r="F12" s="3">
        <v>0</v>
      </c>
      <c r="G12" s="3">
        <v>0</v>
      </c>
      <c r="H12" s="3">
        <v>6.4370942999999995E-5</v>
      </c>
      <c r="I12" s="3">
        <v>1.6507691E-5</v>
      </c>
      <c r="J12" s="3">
        <v>-1.6223931000000001E-4</v>
      </c>
      <c r="L12" s="3">
        <f t="shared" si="0"/>
        <v>0.26458072590738418</v>
      </c>
      <c r="M12" s="3"/>
      <c r="N12" s="2">
        <f>IF('Modell einstellen'!$B$1="Voll",H12/0.35,H12/0.35*2)</f>
        <v>1.8391697999999999E-4</v>
      </c>
      <c r="O12" s="2">
        <f>IF('Modell einstellen'!$B$1="Voll",J12/0.35,J12/0.35*2)</f>
        <v>-4.6354088571428579E-4</v>
      </c>
      <c r="P12" s="3">
        <f t="shared" si="1"/>
        <v>0.39676538934984368</v>
      </c>
    </row>
    <row r="13" spans="1:16" x14ac:dyDescent="0.25">
      <c r="A13" s="3">
        <v>1.0000000000000001E-5</v>
      </c>
      <c r="B13" s="3">
        <v>1.0620000000000001E-4</v>
      </c>
      <c r="C13" s="3">
        <v>1.6750000000000001E-4</v>
      </c>
      <c r="D13" s="3">
        <v>-4.0749999999999998E-4</v>
      </c>
      <c r="E13" s="3">
        <v>0</v>
      </c>
      <c r="F13" s="3">
        <v>0</v>
      </c>
      <c r="G13" s="3">
        <v>0</v>
      </c>
      <c r="H13" s="3">
        <v>6.7725370000000005E-5</v>
      </c>
      <c r="I13" s="3">
        <v>1.7241733000000002E-5</v>
      </c>
      <c r="J13" s="3">
        <v>-1.6838062E-4</v>
      </c>
      <c r="L13" s="3">
        <f t="shared" si="0"/>
        <v>0.26061349693251534</v>
      </c>
      <c r="M13" s="3"/>
      <c r="N13" s="2">
        <f>IF('Modell einstellen'!$B$1="Voll",H13/0.35,H13/0.35*2)</f>
        <v>1.9350105714285718E-4</v>
      </c>
      <c r="O13" s="2">
        <f>IF('Modell einstellen'!$B$1="Voll",J13/0.35,J13/0.35*2)</f>
        <v>-4.8108748571428574E-4</v>
      </c>
      <c r="P13" s="3">
        <f t="shared" si="1"/>
        <v>0.40221594385387111</v>
      </c>
    </row>
    <row r="14" spans="1:16" x14ac:dyDescent="0.25">
      <c r="A14" s="3">
        <v>1E-4</v>
      </c>
      <c r="B14" s="3">
        <v>1.064E-4</v>
      </c>
      <c r="C14" s="3">
        <v>1.7560000000000001E-4</v>
      </c>
      <c r="D14" s="3">
        <v>-4.17E-4</v>
      </c>
      <c r="E14" s="3">
        <v>0</v>
      </c>
      <c r="F14" s="3">
        <v>0</v>
      </c>
      <c r="G14" s="3">
        <v>0</v>
      </c>
      <c r="H14" s="3">
        <v>7.2106434000000004E-5</v>
      </c>
      <c r="I14" s="3">
        <v>1.8177641999999998E-5</v>
      </c>
      <c r="J14" s="3">
        <v>-1.7631402999999999E-4</v>
      </c>
      <c r="L14" s="3">
        <f t="shared" si="0"/>
        <v>0.25515587529976019</v>
      </c>
      <c r="M14" s="3"/>
      <c r="N14" s="2">
        <f>IF('Modell einstellen'!$B$1="Voll",H14/0.35,H14/0.35*2)</f>
        <v>2.0601838285714289E-4</v>
      </c>
      <c r="O14" s="2">
        <f>IF('Modell einstellen'!$B$1="Voll",J14/0.35,J14/0.35*2)</f>
        <v>-5.0375437142857141E-4</v>
      </c>
      <c r="P14" s="3">
        <f t="shared" si="1"/>
        <v>0.40896594559151084</v>
      </c>
    </row>
    <row r="15" spans="1:16" x14ac:dyDescent="0.25">
      <c r="A15" s="3">
        <v>1E-3</v>
      </c>
      <c r="B15" s="3">
        <v>1.058E-4</v>
      </c>
      <c r="C15" s="3">
        <v>1.8450000000000001E-4</v>
      </c>
      <c r="D15" s="3">
        <v>-4.2680000000000002E-4</v>
      </c>
      <c r="E15" s="3">
        <v>0</v>
      </c>
      <c r="F15" s="3">
        <v>0</v>
      </c>
      <c r="G15" s="3">
        <v>0</v>
      </c>
      <c r="H15" s="3">
        <v>7.7191012000000006E-5</v>
      </c>
      <c r="I15" s="3">
        <v>1.9230794999999999E-5</v>
      </c>
      <c r="J15" s="3">
        <v>-1.8539467E-4</v>
      </c>
      <c r="L15" s="3">
        <f t="shared" si="0"/>
        <v>0.24789128397375818</v>
      </c>
      <c r="M15" s="3"/>
      <c r="N15" s="2">
        <f>IF('Modell einstellen'!$B$1="Voll",H15/0.35,H15/0.35*2)</f>
        <v>2.2054574857142861E-4</v>
      </c>
      <c r="O15" s="2">
        <f>IF('Modell einstellen'!$B$1="Voll",J15/0.35,J15/0.35*2)</f>
        <v>-5.2969905714285719E-4</v>
      </c>
      <c r="P15" s="3">
        <f t="shared" si="1"/>
        <v>0.41636047034146129</v>
      </c>
    </row>
    <row r="16" spans="1:16" x14ac:dyDescent="0.25">
      <c r="A16" s="3">
        <v>0.01</v>
      </c>
      <c r="B16" s="3">
        <v>1.044E-4</v>
      </c>
      <c r="C16" s="3">
        <v>1.9269999999999999E-4</v>
      </c>
      <c r="D16" s="3">
        <v>-4.348E-4</v>
      </c>
      <c r="E16" s="3">
        <v>0</v>
      </c>
      <c r="F16" s="3">
        <v>0</v>
      </c>
      <c r="G16" s="3">
        <v>0</v>
      </c>
      <c r="H16" s="3">
        <v>8.2042080000000004E-5</v>
      </c>
      <c r="I16" s="3">
        <v>2.0202170999999998E-5</v>
      </c>
      <c r="J16" s="3">
        <v>-1.9393046000000001E-4</v>
      </c>
      <c r="L16" s="3">
        <f t="shared" si="0"/>
        <v>0.24011039558417663</v>
      </c>
      <c r="M16" s="3"/>
      <c r="N16" s="2">
        <f>IF('Modell einstellen'!$B$1="Voll",H16/0.35,H16/0.35*2)</f>
        <v>2.344059428571429E-4</v>
      </c>
      <c r="O16" s="2">
        <f>IF('Modell einstellen'!$B$1="Voll",J16/0.35,J16/0.35*2)</f>
        <v>-5.5408702857142863E-4</v>
      </c>
      <c r="P16" s="3">
        <f t="shared" si="1"/>
        <v>0.42304896301488693</v>
      </c>
    </row>
    <row r="17" spans="1:16" x14ac:dyDescent="0.25">
      <c r="A17" s="3">
        <v>0.1</v>
      </c>
      <c r="B17" s="3">
        <v>1.024E-4</v>
      </c>
      <c r="C17" s="3">
        <v>2.0019999999999999E-4</v>
      </c>
      <c r="D17" s="3">
        <v>-4.416E-4</v>
      </c>
      <c r="E17" s="3">
        <v>0</v>
      </c>
      <c r="F17" s="3">
        <v>0</v>
      </c>
      <c r="G17" s="3">
        <v>0</v>
      </c>
      <c r="H17" s="3">
        <v>8.6756880999999997E-5</v>
      </c>
      <c r="I17" s="3">
        <v>2.1118996000000001E-5</v>
      </c>
      <c r="J17" s="3">
        <v>-2.0212278999999999E-4</v>
      </c>
      <c r="L17" s="3">
        <f t="shared" si="0"/>
        <v>0.2318840579710145</v>
      </c>
      <c r="M17" s="3"/>
      <c r="N17" s="2">
        <f>IF('Modell einstellen'!$B$1="Voll",H17/0.35,H17/0.35*2)</f>
        <v>2.4787680285714287E-4</v>
      </c>
      <c r="O17" s="2">
        <f>IF('Modell einstellen'!$B$1="Voll",J17/0.35,J17/0.35*2)</f>
        <v>-5.774936857142857E-4</v>
      </c>
      <c r="P17" s="3">
        <f t="shared" si="1"/>
        <v>0.42922859416298381</v>
      </c>
    </row>
    <row r="18" spans="1:16" x14ac:dyDescent="0.25">
      <c r="A18" s="3">
        <v>1</v>
      </c>
      <c r="B18" s="3">
        <v>9.959E-5</v>
      </c>
      <c r="C18" s="3">
        <v>2.0819999999999999E-4</v>
      </c>
      <c r="D18" s="3">
        <v>-4.4799999999999999E-4</v>
      </c>
      <c r="E18" s="3">
        <v>0</v>
      </c>
      <c r="F18" s="3">
        <v>0</v>
      </c>
      <c r="G18" s="3">
        <v>0</v>
      </c>
      <c r="H18" s="3">
        <v>9.1944983000000002E-5</v>
      </c>
      <c r="I18" s="3">
        <v>2.2096280999999999E-5</v>
      </c>
      <c r="J18" s="3">
        <v>-2.1101754000000001E-4</v>
      </c>
      <c r="L18" s="3">
        <f t="shared" si="0"/>
        <v>0.22229910714285714</v>
      </c>
      <c r="M18" s="3"/>
      <c r="N18" s="2">
        <f>IF('Modell einstellen'!$B$1="Voll",H18/0.35,H18/0.35*2)</f>
        <v>2.6269995142857143E-4</v>
      </c>
      <c r="O18" s="2">
        <f>IF('Modell einstellen'!$B$1="Voll",J18/0.35,J18/0.35*2)</f>
        <v>-6.0290725714285721E-4</v>
      </c>
      <c r="P18" s="3">
        <f t="shared" si="1"/>
        <v>0.43572199258886246</v>
      </c>
    </row>
    <row r="19" spans="1:16" x14ac:dyDescent="0.25">
      <c r="A19" s="3">
        <v>10</v>
      </c>
      <c r="B19" s="3">
        <v>9.569E-5</v>
      </c>
      <c r="C19" s="3">
        <v>2.1670000000000001E-4</v>
      </c>
      <c r="D19" s="3">
        <v>-4.5399999999999998E-4</v>
      </c>
      <c r="E19" s="3">
        <v>0</v>
      </c>
      <c r="F19" s="3">
        <v>0</v>
      </c>
      <c r="G19" s="3">
        <v>0</v>
      </c>
      <c r="H19" s="3">
        <v>9.7739307E-5</v>
      </c>
      <c r="I19" s="3">
        <v>2.3155308E-5</v>
      </c>
      <c r="J19" s="3">
        <v>-2.2082577E-4</v>
      </c>
      <c r="L19" s="3">
        <f t="shared" si="0"/>
        <v>0.21077092511013218</v>
      </c>
      <c r="M19" s="3"/>
      <c r="N19" s="2">
        <f>IF('Modell einstellen'!$B$1="Voll",H19/0.35,H19/0.35*2)</f>
        <v>2.7925516285714287E-4</v>
      </c>
      <c r="O19" s="2">
        <f>IF('Modell einstellen'!$B$1="Voll",J19/0.35,J19/0.35*2)</f>
        <v>-6.3093077142857145E-4</v>
      </c>
      <c r="P19" s="3">
        <f t="shared" si="1"/>
        <v>0.44260824721679903</v>
      </c>
    </row>
    <row r="20" spans="1:16" x14ac:dyDescent="0.25">
      <c r="A20" s="3">
        <v>100</v>
      </c>
      <c r="B20" s="3">
        <v>9.0950000000000002E-5</v>
      </c>
      <c r="C20" s="3">
        <v>2.2589999999999999E-4</v>
      </c>
      <c r="D20" s="3">
        <v>-4.5970000000000001E-4</v>
      </c>
      <c r="E20" s="3">
        <v>0</v>
      </c>
      <c r="F20" s="3">
        <v>0</v>
      </c>
      <c r="G20" s="3">
        <v>0</v>
      </c>
      <c r="H20" s="3">
        <v>1.0403789E-4</v>
      </c>
      <c r="I20" s="3">
        <v>2.4317586000000001E-5</v>
      </c>
      <c r="J20" s="3">
        <v>-2.3149828999999999E-4</v>
      </c>
      <c r="L20" s="3">
        <f t="shared" si="0"/>
        <v>0.19784642157929083</v>
      </c>
      <c r="M20" s="3"/>
      <c r="N20" s="2">
        <f>IF('Modell einstellen'!$B$1="Voll",H20/0.35,H20/0.35*2)</f>
        <v>2.9725111428571431E-4</v>
      </c>
      <c r="O20" s="2">
        <f>IF('Modell einstellen'!$B$1="Voll",J20/0.35,J20/0.35*2)</f>
        <v>-6.6142368571428577E-4</v>
      </c>
      <c r="P20" s="3">
        <f t="shared" si="1"/>
        <v>0.44941105180517749</v>
      </c>
    </row>
    <row r="21" spans="1:16" x14ac:dyDescent="0.25">
      <c r="A21" s="3">
        <v>1000</v>
      </c>
      <c r="B21" s="3">
        <v>8.7239999999999998E-5</v>
      </c>
      <c r="C21" s="3">
        <v>2.4020000000000001E-4</v>
      </c>
      <c r="D21" s="3">
        <v>-4.7120000000000002E-4</v>
      </c>
      <c r="E21" s="3">
        <v>0</v>
      </c>
      <c r="F21" s="3">
        <v>0</v>
      </c>
      <c r="G21" s="3">
        <v>0</v>
      </c>
      <c r="H21" s="3">
        <v>1.1163507E-4</v>
      </c>
      <c r="I21" s="3">
        <v>2.6126708E-5</v>
      </c>
      <c r="J21" s="3">
        <v>-2.4567498000000002E-4</v>
      </c>
      <c r="L21" s="3">
        <f t="shared" si="0"/>
        <v>0.18514431239388793</v>
      </c>
      <c r="M21" s="3"/>
      <c r="N21" s="2">
        <f>IF('Modell einstellen'!$B$1="Voll",H21/0.35,H21/0.35*2)</f>
        <v>3.1895734285714288E-4</v>
      </c>
      <c r="O21" s="2">
        <f>IF('Modell einstellen'!$B$1="Voll",J21/0.35,J21/0.35*2)</f>
        <v>-7.0192851428571438E-4</v>
      </c>
      <c r="P21" s="3">
        <f t="shared" si="1"/>
        <v>0.45440146163846229</v>
      </c>
    </row>
    <row r="22" spans="1:16" x14ac:dyDescent="0.25">
      <c r="A22" s="3">
        <v>10000</v>
      </c>
      <c r="B22" s="3">
        <v>8.8700000000000001E-5</v>
      </c>
      <c r="C22" s="3">
        <v>2.677E-4</v>
      </c>
      <c r="D22" s="3">
        <v>-4.9989999999999995E-4</v>
      </c>
      <c r="E22" s="3">
        <v>0</v>
      </c>
      <c r="F22" s="3">
        <v>0</v>
      </c>
      <c r="G22" s="3">
        <v>0</v>
      </c>
      <c r="H22" s="3">
        <v>1.2147889E-4</v>
      </c>
      <c r="I22" s="3">
        <v>2.9607184E-5</v>
      </c>
      <c r="J22" s="3">
        <v>-2.6778008000000002E-4</v>
      </c>
      <c r="L22" s="3">
        <f t="shared" si="0"/>
        <v>0.17743548709741949</v>
      </c>
      <c r="M22" s="3"/>
      <c r="N22" s="2">
        <f>IF('Modell einstellen'!$B$1="Voll",H22/0.35,H22/0.35*2)</f>
        <v>3.4708254285714289E-4</v>
      </c>
      <c r="O22" s="2">
        <f>IF('Modell einstellen'!$B$1="Voll",J22/0.35,J22/0.35*2)</f>
        <v>-7.6508594285714293E-4</v>
      </c>
      <c r="P22" s="3">
        <f t="shared" si="1"/>
        <v>0.45365170553388434</v>
      </c>
    </row>
    <row r="23" spans="1:16" x14ac:dyDescent="0.25">
      <c r="A23" s="3">
        <v>100000</v>
      </c>
      <c r="B23" s="3">
        <v>9.3049999999999998E-5</v>
      </c>
      <c r="C23" s="3">
        <v>3.0630000000000002E-4</v>
      </c>
      <c r="D23" s="3">
        <v>-5.419E-4</v>
      </c>
      <c r="E23" s="3">
        <v>0</v>
      </c>
      <c r="F23" s="3">
        <v>0</v>
      </c>
      <c r="G23" s="3">
        <v>0</v>
      </c>
      <c r="H23" s="3">
        <v>1.3368283999999999E-4</v>
      </c>
      <c r="I23" s="3">
        <v>3.4573931999999999E-5</v>
      </c>
      <c r="J23" s="3">
        <v>-2.9743708000000001E-4</v>
      </c>
      <c r="L23" s="3">
        <f t="shared" si="0"/>
        <v>0.17171064772098174</v>
      </c>
      <c r="M23" s="3"/>
      <c r="N23" s="2">
        <f>IF('Modell einstellen'!$B$1="Voll",H23/0.35,H23/0.35*2)</f>
        <v>3.8195097142857141E-4</v>
      </c>
      <c r="O23" s="2">
        <f>IF('Modell einstellen'!$B$1="Voll",J23/0.35,J23/0.35*2)</f>
        <v>-8.4982022857142865E-4</v>
      </c>
      <c r="P23" s="3">
        <f t="shared" si="1"/>
        <v>0.44944914063841662</v>
      </c>
    </row>
    <row r="24" spans="1:16" x14ac:dyDescent="0.25">
      <c r="A24" s="3">
        <v>1000000</v>
      </c>
      <c r="B24" s="3">
        <v>9.1949999999999999E-5</v>
      </c>
      <c r="C24" s="3">
        <v>3.5260000000000001E-4</v>
      </c>
      <c r="D24" s="3">
        <v>-5.8690000000000001E-4</v>
      </c>
      <c r="E24" s="3">
        <v>0</v>
      </c>
      <c r="F24" s="3">
        <v>0</v>
      </c>
      <c r="G24" s="3">
        <v>0</v>
      </c>
      <c r="H24" s="3">
        <v>1.5032813E-4</v>
      </c>
      <c r="I24" s="3">
        <v>4.0763743999999998E-5</v>
      </c>
      <c r="J24" s="3">
        <v>-3.361099E-4</v>
      </c>
      <c r="L24" s="3">
        <f t="shared" si="0"/>
        <v>0.15667064235815301</v>
      </c>
      <c r="M24" s="3"/>
      <c r="N24" s="2">
        <f>IF('Modell einstellen'!$B$1="Voll",H24/0.35,H24/0.35*2)</f>
        <v>4.2950894285714289E-4</v>
      </c>
      <c r="O24" s="2">
        <f>IF('Modell einstellen'!$B$1="Voll",J24/0.35,J24/0.35*2)</f>
        <v>-9.6031400000000009E-4</v>
      </c>
      <c r="P24" s="3">
        <f t="shared" si="1"/>
        <v>0.44725885789142183</v>
      </c>
    </row>
    <row r="25" spans="1:16" x14ac:dyDescent="0.25">
      <c r="A25" s="3">
        <v>10000000</v>
      </c>
      <c r="B25" s="3">
        <v>7.2570000000000005E-5</v>
      </c>
      <c r="C25" s="3">
        <v>4.0779999999999999E-4</v>
      </c>
      <c r="D25" s="3">
        <v>-6.2370000000000004E-4</v>
      </c>
      <c r="E25" s="3">
        <v>0</v>
      </c>
      <c r="F25" s="3">
        <v>0</v>
      </c>
      <c r="G25" s="3">
        <v>0</v>
      </c>
      <c r="H25" s="3">
        <v>1.7414690999999999E-4</v>
      </c>
      <c r="I25" s="3">
        <v>4.8547558999999997E-5</v>
      </c>
      <c r="J25" s="3">
        <v>-3.8795797E-4</v>
      </c>
      <c r="L25" s="3">
        <f t="shared" si="0"/>
        <v>0.11635401635401635</v>
      </c>
      <c r="M25" s="3"/>
      <c r="N25" s="2">
        <f>IF('Modell einstellen'!$B$1="Voll",H25/0.35,H25/0.35*2)</f>
        <v>4.9756259999999999E-4</v>
      </c>
      <c r="O25" s="2">
        <f>IF('Modell einstellen'!$B$1="Voll",J25/0.35,J25/0.35*2)</f>
        <v>-1.1084513428571429E-3</v>
      </c>
      <c r="P25" s="3">
        <f t="shared" si="1"/>
        <v>0.4488808671722867</v>
      </c>
    </row>
    <row r="26" spans="1:16" x14ac:dyDescent="0.25">
      <c r="A26" s="3">
        <v>100000000</v>
      </c>
      <c r="B26" s="3">
        <v>1.5999999999999999E-5</v>
      </c>
      <c r="C26" s="3">
        <v>4.8109999999999998E-4</v>
      </c>
      <c r="D26" s="3">
        <v>-6.4269999999999996E-4</v>
      </c>
      <c r="E26" s="3">
        <v>0</v>
      </c>
      <c r="F26" s="3">
        <v>0</v>
      </c>
      <c r="G26" s="3">
        <v>0</v>
      </c>
      <c r="H26" s="3">
        <v>2.1136846999999999E-4</v>
      </c>
      <c r="I26" s="3">
        <v>5.9524531000000001E-5</v>
      </c>
      <c r="J26" s="3">
        <v>-4.6504723000000001E-4</v>
      </c>
      <c r="L26" s="3">
        <f t="shared" si="0"/>
        <v>2.4894974327057725E-2</v>
      </c>
      <c r="M26" s="3"/>
      <c r="N26" s="2">
        <f>IF('Modell einstellen'!$B$1="Voll",H26/0.35,H26/0.35*2)</f>
        <v>6.0390991428571432E-4</v>
      </c>
      <c r="O26" s="2">
        <f>IF('Modell einstellen'!$B$1="Voll",J26/0.35,J26/0.35*2)</f>
        <v>-1.3287063714285715E-3</v>
      </c>
      <c r="P26" s="3">
        <f t="shared" si="1"/>
        <v>0.45450968496253596</v>
      </c>
    </row>
    <row r="27" spans="1:16" x14ac:dyDescent="0.25">
      <c r="A27" s="3">
        <v>1000000000</v>
      </c>
      <c r="B27" s="3">
        <v>-1.209E-4</v>
      </c>
      <c r="C27" s="3">
        <v>5.886E-4</v>
      </c>
      <c r="D27" s="3">
        <v>-6.1689999999999998E-4</v>
      </c>
      <c r="E27" s="3">
        <v>0</v>
      </c>
      <c r="F27" s="3">
        <v>0</v>
      </c>
      <c r="G27" s="3">
        <v>0</v>
      </c>
      <c r="H27" s="3">
        <v>2.7376766999999999E-4</v>
      </c>
      <c r="I27" s="3">
        <v>7.6737693999999999E-5</v>
      </c>
      <c r="J27" s="3">
        <v>-5.9019556999999995E-4</v>
      </c>
      <c r="L27" s="3">
        <f t="shared" si="0"/>
        <v>-0.19597989949748745</v>
      </c>
      <c r="M27" s="3"/>
      <c r="N27" s="2">
        <f>IF('Modell einstellen'!$B$1="Voll",H27/0.35,H27/0.35*2)</f>
        <v>7.8219334285714289E-4</v>
      </c>
      <c r="O27" s="2">
        <f>IF('Modell einstellen'!$B$1="Voll",J27/0.35,J27/0.35*2)</f>
        <v>-1.6862730571428571E-3</v>
      </c>
      <c r="P27" s="3">
        <f t="shared" si="1"/>
        <v>0.46385924245415805</v>
      </c>
    </row>
    <row r="28" spans="1:16" x14ac:dyDescent="0.25">
      <c r="A28" s="3">
        <v>10000000000</v>
      </c>
      <c r="B28" s="3">
        <v>-4.1520000000000001E-4</v>
      </c>
      <c r="C28" s="3">
        <v>7.4910000000000005E-4</v>
      </c>
      <c r="D28" s="3">
        <v>-4.8700000000000002E-4</v>
      </c>
      <c r="E28" s="3">
        <v>0</v>
      </c>
      <c r="F28" s="3">
        <v>0</v>
      </c>
      <c r="G28" s="3">
        <v>0</v>
      </c>
      <c r="H28" s="3">
        <v>3.7939232000000001E-4</v>
      </c>
      <c r="I28" s="3">
        <v>1.0430163000000001E-4</v>
      </c>
      <c r="J28" s="3">
        <v>-7.9637101E-4</v>
      </c>
      <c r="L28" s="3">
        <f t="shared" si="0"/>
        <v>-0.85256673511293635</v>
      </c>
      <c r="M28" s="3"/>
      <c r="N28" s="2">
        <f>IF('Modell einstellen'!$B$1="Voll",H28/0.35,H28/0.35*2)</f>
        <v>1.0839780571428573E-3</v>
      </c>
      <c r="O28" s="2">
        <f>IF('Modell einstellen'!$B$1="Voll",J28/0.35,J28/0.35*2)</f>
        <v>-2.2753457428571428E-3</v>
      </c>
      <c r="P28" s="3">
        <f t="shared" si="1"/>
        <v>0.47640147021424106</v>
      </c>
    </row>
    <row r="29" spans="1:16" x14ac:dyDescent="0.25">
      <c r="A29" s="3">
        <v>100000000000</v>
      </c>
      <c r="B29" s="3">
        <v>-9.0819999999999996E-4</v>
      </c>
      <c r="C29" s="3">
        <v>9.6139999999999995E-4</v>
      </c>
      <c r="D29" s="3">
        <v>-2.098E-4</v>
      </c>
      <c r="E29" s="3">
        <v>0</v>
      </c>
      <c r="F29" s="3">
        <v>0</v>
      </c>
      <c r="G29" s="3">
        <v>0</v>
      </c>
      <c r="H29" s="3">
        <v>5.3487304E-4</v>
      </c>
      <c r="I29" s="3">
        <v>1.4293169000000001E-4</v>
      </c>
      <c r="J29" s="3">
        <v>-1.0926040000000001E-3</v>
      </c>
      <c r="L29" s="3">
        <f t="shared" si="0"/>
        <v>-4.3288846520495712</v>
      </c>
      <c r="M29" s="3"/>
      <c r="N29" s="2">
        <f>IF('Modell einstellen'!$B$1="Voll",H29/0.35,H29/0.35*2)</f>
        <v>1.5282086857142858E-3</v>
      </c>
      <c r="O29" s="2">
        <f>IF('Modell einstellen'!$B$1="Voll",J29/0.35,J29/0.35*2)</f>
        <v>-3.1217257142857145E-3</v>
      </c>
      <c r="P29" s="3">
        <f t="shared" si="1"/>
        <v>0.48953970514477341</v>
      </c>
    </row>
    <row r="30" spans="1:16" x14ac:dyDescent="0.25">
      <c r="A30" s="3">
        <v>1000000000000</v>
      </c>
      <c r="B30" s="3">
        <v>-1.57E-3</v>
      </c>
      <c r="C30" s="3">
        <v>1.209E-3</v>
      </c>
      <c r="D30" s="3">
        <v>2.028E-4</v>
      </c>
      <c r="E30" s="3">
        <v>0</v>
      </c>
      <c r="F30" s="3">
        <v>0</v>
      </c>
      <c r="G30" s="3">
        <v>0</v>
      </c>
      <c r="H30" s="3">
        <v>7.3035378000000002E-4</v>
      </c>
      <c r="I30" s="3">
        <v>1.8973808000000001E-4</v>
      </c>
      <c r="J30" s="3">
        <v>-1.4582206000000001E-3</v>
      </c>
      <c r="L30" s="3">
        <f t="shared" si="0"/>
        <v>7.7416173570019726</v>
      </c>
      <c r="M30" s="3"/>
      <c r="N30" s="2">
        <f>IF('Modell einstellen'!$B$1="Voll",H30/0.35,H30/0.35*2)</f>
        <v>2.0867250857142857E-3</v>
      </c>
      <c r="O30" s="2">
        <f>IF('Modell einstellen'!$B$1="Voll",J30/0.35,J30/0.35*2)</f>
        <v>-4.1663445714285718E-3</v>
      </c>
      <c r="P30" s="3">
        <f t="shared" si="1"/>
        <v>0.50085273791907747</v>
      </c>
    </row>
    <row r="31" spans="1:16" x14ac:dyDescent="0.25">
      <c r="A31" s="3">
        <v>10000000000000</v>
      </c>
      <c r="B31" s="3">
        <v>-2.1280000000000001E-3</v>
      </c>
      <c r="C31" s="3">
        <v>1.408E-3</v>
      </c>
      <c r="D31" s="3">
        <v>5.6079999999999997E-4</v>
      </c>
      <c r="E31" s="3">
        <v>0</v>
      </c>
      <c r="F31" s="3">
        <v>0</v>
      </c>
      <c r="G31" s="3">
        <v>0</v>
      </c>
      <c r="H31" s="3">
        <v>8.9063733999999995E-4</v>
      </c>
      <c r="I31" s="3">
        <v>2.2808394999999999E-4</v>
      </c>
      <c r="J31" s="3">
        <v>-1.7574909000000001E-3</v>
      </c>
      <c r="L31" s="3">
        <f t="shared" si="0"/>
        <v>3.7945791726105567</v>
      </c>
      <c r="M31" s="3"/>
      <c r="N31" s="2">
        <f>IF('Modell einstellen'!$B$1="Voll",H31/0.35,H31/0.35*2)</f>
        <v>2.5446781142857144E-3</v>
      </c>
      <c r="O31" s="2">
        <f>IF('Modell einstellen'!$B$1="Voll",J31/0.35,J31/0.35*2)</f>
        <v>-5.0214025714285723E-3</v>
      </c>
      <c r="P31" s="3">
        <f t="shared" si="1"/>
        <v>0.50676640203371748</v>
      </c>
    </row>
    <row r="32" spans="1:16" x14ac:dyDescent="0.25">
      <c r="A32" s="3">
        <v>100000000000000</v>
      </c>
      <c r="B32" s="3">
        <v>-2.5349999999999999E-3</v>
      </c>
      <c r="C32" s="3">
        <v>1.5510000000000001E-3</v>
      </c>
      <c r="D32" s="3">
        <v>8.2370000000000002E-4</v>
      </c>
      <c r="E32" s="3">
        <v>0</v>
      </c>
      <c r="F32" s="3">
        <v>0</v>
      </c>
      <c r="G32" s="3">
        <v>0</v>
      </c>
      <c r="H32" s="3">
        <v>1.0063603999999999E-3</v>
      </c>
      <c r="I32" s="3">
        <v>2.5596434999999997E-4</v>
      </c>
      <c r="J32" s="3">
        <v>-1.9740483000000001E-3</v>
      </c>
      <c r="L32" s="3">
        <f t="shared" si="0"/>
        <v>3.0775767876654121</v>
      </c>
      <c r="M32" s="3"/>
      <c r="N32" s="2">
        <f>IF('Modell einstellen'!$B$1="Voll",H32/0.35,H32/0.35*2)</f>
        <v>2.8753154285714286E-3</v>
      </c>
      <c r="O32" s="2">
        <f>IF('Modell einstellen'!$B$1="Voll",J32/0.35,J32/0.35*2)</f>
        <v>-5.6401380000000003E-3</v>
      </c>
      <c r="P32" s="3">
        <f t="shared" si="1"/>
        <v>0.50979522638833097</v>
      </c>
    </row>
    <row r="33" spans="1:16" x14ac:dyDescent="0.25">
      <c r="A33" s="3">
        <v>1000000000000000</v>
      </c>
      <c r="B33" s="3">
        <v>-2.7659999999999998E-3</v>
      </c>
      <c r="C33" s="3">
        <v>1.634E-3</v>
      </c>
      <c r="D33" s="3">
        <v>9.7170000000000004E-4</v>
      </c>
      <c r="E33" s="3">
        <v>0</v>
      </c>
      <c r="F33" s="3">
        <v>0</v>
      </c>
      <c r="G33" s="3">
        <v>0</v>
      </c>
      <c r="H33" s="3">
        <v>1.0722454E-3</v>
      </c>
      <c r="I33" s="3">
        <v>2.7219494E-4</v>
      </c>
      <c r="J33" s="3">
        <v>-2.0985484000000001E-3</v>
      </c>
      <c r="L33" s="3">
        <f t="shared" si="0"/>
        <v>2.8465575794998452</v>
      </c>
      <c r="M33" s="3"/>
      <c r="N33" s="2">
        <f>IF('Modell einstellen'!$B$1="Voll",H33/0.35,H33/0.35*2)</f>
        <v>3.0635582857142861E-3</v>
      </c>
      <c r="O33" s="2">
        <f>IF('Modell einstellen'!$B$1="Voll",J33/0.35,J33/0.35*2)</f>
        <v>-5.9958525714285723E-3</v>
      </c>
      <c r="P33" s="3">
        <f t="shared" si="1"/>
        <v>0.51094623311999854</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9.7310000000000002E-5</v>
      </c>
      <c r="C3" s="3">
        <v>1.273E-4</v>
      </c>
      <c r="D3" s="3">
        <v>-3.5159999999999998E-4</v>
      </c>
      <c r="E3" s="3">
        <v>0</v>
      </c>
      <c r="F3" s="3">
        <v>0</v>
      </c>
      <c r="G3" s="3">
        <v>0</v>
      </c>
      <c r="H3" s="3">
        <v>4.8136965999999997E-5</v>
      </c>
      <c r="I3" s="3">
        <v>1.2750401E-5</v>
      </c>
      <c r="J3" s="3">
        <v>-1.3171883999999999E-4</v>
      </c>
      <c r="K3" s="3"/>
      <c r="L3" s="3">
        <f>-B3/D3</f>
        <v>0.27676336746302621</v>
      </c>
      <c r="M3" s="3"/>
      <c r="N3" s="2">
        <f>IF('Modell einstellen'!$B$1="Voll",H3/0.35,H3/0.35*2)</f>
        <v>1.3753418857142857E-4</v>
      </c>
      <c r="O3" s="2">
        <f>IF('Modell einstellen'!$B$1="Voll",J3/0.35,J3/0.35*2)</f>
        <v>-3.7633954285714287E-4</v>
      </c>
      <c r="P3" s="3">
        <f>-N3/O3</f>
        <v>0.36545239845719868</v>
      </c>
      <c r="Q3" s="3"/>
      <c r="R3" s="3"/>
      <c r="S3" s="3"/>
      <c r="T3" s="3"/>
      <c r="U3" s="3"/>
    </row>
    <row r="4" spans="1:21" x14ac:dyDescent="0.25">
      <c r="A4" s="3">
        <v>1E-14</v>
      </c>
      <c r="B4" s="3">
        <v>9.8750000000000002E-5</v>
      </c>
      <c r="C4" s="3">
        <v>1.3100000000000001E-4</v>
      </c>
      <c r="D4" s="3">
        <v>-3.5730000000000001E-4</v>
      </c>
      <c r="E4" s="3">
        <v>0</v>
      </c>
      <c r="F4" s="3">
        <v>0</v>
      </c>
      <c r="G4" s="3">
        <v>0</v>
      </c>
      <c r="H4" s="3">
        <v>4.9782735999999999E-5</v>
      </c>
      <c r="I4" s="3">
        <v>1.3153213E-5</v>
      </c>
      <c r="J4" s="3">
        <v>-1.3489137000000001E-4</v>
      </c>
      <c r="K4" s="3"/>
      <c r="L4" s="3">
        <f t="shared" ref="L4:L33" si="0">-B4/D4</f>
        <v>0.276378393506857</v>
      </c>
      <c r="M4" s="3"/>
      <c r="N4" s="2">
        <f>IF('Modell einstellen'!$B$1="Voll",H4/0.35,H4/0.35*2)</f>
        <v>1.4223638857142857E-4</v>
      </c>
      <c r="O4" s="2">
        <f>IF('Modell einstellen'!$B$1="Voll",J4/0.35,J4/0.35*2)</f>
        <v>-3.8540391428571434E-4</v>
      </c>
      <c r="P4" s="3">
        <f t="shared" ref="P4:P33" si="1">-N4/O4</f>
        <v>0.36905797605880936</v>
      </c>
      <c r="Q4" s="3"/>
      <c r="R4" s="3"/>
      <c r="S4" s="3"/>
      <c r="T4" s="3"/>
      <c r="U4" s="3"/>
    </row>
    <row r="5" spans="1:21" x14ac:dyDescent="0.25">
      <c r="A5" s="3">
        <v>1E-13</v>
      </c>
      <c r="B5" s="3">
        <v>9.9900000000000002E-5</v>
      </c>
      <c r="C5" s="3">
        <v>1.3420000000000001E-4</v>
      </c>
      <c r="D5" s="3">
        <v>-3.6220000000000002E-4</v>
      </c>
      <c r="E5" s="3">
        <v>0</v>
      </c>
      <c r="F5" s="3">
        <v>0</v>
      </c>
      <c r="G5" s="3">
        <v>0</v>
      </c>
      <c r="H5" s="3">
        <v>5.1229649000000002E-5</v>
      </c>
      <c r="I5" s="3">
        <v>1.3504047E-5</v>
      </c>
      <c r="J5" s="3">
        <v>-1.3767259999999999E-4</v>
      </c>
      <c r="K5" s="3"/>
      <c r="L5" s="3">
        <f t="shared" si="0"/>
        <v>0.27581446714522362</v>
      </c>
      <c r="M5" s="3"/>
      <c r="N5" s="2">
        <f>IF('Modell einstellen'!$B$1="Voll",H5/0.35,H5/0.35*2)</f>
        <v>1.4637042571428573E-4</v>
      </c>
      <c r="O5" s="2">
        <f>IF('Modell einstellen'!$B$1="Voll",J5/0.35,J5/0.35*2)</f>
        <v>-3.9335028571428572E-4</v>
      </c>
      <c r="P5" s="3">
        <f t="shared" si="1"/>
        <v>0.37211216320458834</v>
      </c>
      <c r="Q5" s="3"/>
      <c r="R5" s="3"/>
      <c r="S5" s="3"/>
      <c r="T5" s="3"/>
      <c r="U5" s="3"/>
    </row>
    <row r="6" spans="1:21" x14ac:dyDescent="0.25">
      <c r="A6" s="3">
        <v>9.9999999999999998E-13</v>
      </c>
      <c r="B6" s="3">
        <v>1.011E-4</v>
      </c>
      <c r="C6" s="3">
        <v>1.3770000000000001E-4</v>
      </c>
      <c r="D6" s="3">
        <v>-3.6749999999999999E-4</v>
      </c>
      <c r="E6" s="3">
        <v>0</v>
      </c>
      <c r="F6" s="3">
        <v>0</v>
      </c>
      <c r="G6" s="3">
        <v>0</v>
      </c>
      <c r="H6" s="3">
        <v>5.2815934999999999E-5</v>
      </c>
      <c r="I6" s="3">
        <v>1.3884939999999999E-5</v>
      </c>
      <c r="J6" s="3">
        <v>-1.4070677999999999E-4</v>
      </c>
      <c r="K6" s="3"/>
      <c r="L6" s="3">
        <f t="shared" si="0"/>
        <v>0.27510204081632655</v>
      </c>
      <c r="M6" s="3"/>
      <c r="N6" s="2">
        <f>IF('Modell einstellen'!$B$1="Voll",H6/0.35,H6/0.35*2)</f>
        <v>1.5090267142857145E-4</v>
      </c>
      <c r="O6" s="2">
        <f>IF('Modell einstellen'!$B$1="Voll",J6/0.35,J6/0.35*2)</f>
        <v>-4.0201937142857143E-4</v>
      </c>
      <c r="P6" s="3">
        <f t="shared" si="1"/>
        <v>0.37536169188151419</v>
      </c>
      <c r="Q6" s="3"/>
      <c r="R6" s="3"/>
      <c r="S6" s="3"/>
      <c r="T6" s="3"/>
      <c r="U6" s="3"/>
    </row>
    <row r="7" spans="1:21" x14ac:dyDescent="0.25">
      <c r="A7" s="3">
        <v>9.9999999999999994E-12</v>
      </c>
      <c r="B7" s="3">
        <v>1.0230000000000001E-4</v>
      </c>
      <c r="C7" s="3">
        <v>1.418E-4</v>
      </c>
      <c r="D7" s="3">
        <v>-3.7340000000000002E-4</v>
      </c>
      <c r="E7" s="3">
        <v>0</v>
      </c>
      <c r="F7" s="3">
        <v>0</v>
      </c>
      <c r="G7" s="3">
        <v>0</v>
      </c>
      <c r="H7" s="3">
        <v>5.4682860999999998E-5</v>
      </c>
      <c r="I7" s="3">
        <v>1.4328581999999999E-5</v>
      </c>
      <c r="J7" s="3">
        <v>-1.4425918E-4</v>
      </c>
      <c r="K7" s="3"/>
      <c r="L7" s="3">
        <f t="shared" si="0"/>
        <v>0.27396893411890733</v>
      </c>
      <c r="M7" s="3"/>
      <c r="N7" s="2">
        <f>IF('Modell einstellen'!$B$1="Voll",H7/0.35,H7/0.35*2)</f>
        <v>1.5623674571428573E-4</v>
      </c>
      <c r="O7" s="2">
        <f>IF('Modell einstellen'!$B$1="Voll",J7/0.35,J7/0.35*2)</f>
        <v>-4.1216908571428576E-4</v>
      </c>
      <c r="P7" s="3">
        <f t="shared" si="1"/>
        <v>0.37905983522157827</v>
      </c>
      <c r="Q7" s="3"/>
      <c r="R7" s="3"/>
      <c r="S7" s="3"/>
      <c r="T7" s="3"/>
      <c r="U7" s="3"/>
    </row>
    <row r="8" spans="1:21" x14ac:dyDescent="0.25">
      <c r="A8" s="3">
        <v>1E-10</v>
      </c>
      <c r="B8" s="3">
        <v>1.0349999999999999E-4</v>
      </c>
      <c r="C8" s="3">
        <v>1.462E-4</v>
      </c>
      <c r="D8" s="3">
        <v>-3.7980000000000002E-4</v>
      </c>
      <c r="E8" s="3">
        <v>0</v>
      </c>
      <c r="F8" s="3">
        <v>0</v>
      </c>
      <c r="G8" s="3">
        <v>0</v>
      </c>
      <c r="H8" s="3">
        <v>5.6808631000000002E-5</v>
      </c>
      <c r="I8" s="3">
        <v>1.4827483E-5</v>
      </c>
      <c r="J8" s="3">
        <v>-1.4827924000000001E-4</v>
      </c>
      <c r="K8" s="3"/>
      <c r="L8" s="3">
        <f t="shared" si="0"/>
        <v>0.27251184834123221</v>
      </c>
      <c r="M8" s="3"/>
      <c r="N8" s="2">
        <f>IF('Modell einstellen'!$B$1="Voll",H8/0.35,H8/0.35*2)</f>
        <v>1.623103742857143E-4</v>
      </c>
      <c r="O8" s="2">
        <f>IF('Modell einstellen'!$B$1="Voll",J8/0.35,J8/0.35*2)</f>
        <v>-4.2365497142857146E-4</v>
      </c>
      <c r="P8" s="3">
        <f t="shared" si="1"/>
        <v>0.38311924852056162</v>
      </c>
      <c r="Q8" s="3"/>
      <c r="R8" s="3"/>
      <c r="S8" s="3"/>
      <c r="T8" s="3"/>
      <c r="U8" s="3"/>
    </row>
    <row r="9" spans="1:21" x14ac:dyDescent="0.25">
      <c r="A9" s="3">
        <v>1.0000000000000001E-9</v>
      </c>
      <c r="B9" s="3">
        <v>1.048E-4</v>
      </c>
      <c r="C9" s="3">
        <v>1.5139999999999999E-4</v>
      </c>
      <c r="D9" s="3">
        <v>-3.8709999999999998E-4</v>
      </c>
      <c r="E9" s="3">
        <v>0</v>
      </c>
      <c r="F9" s="3">
        <v>0</v>
      </c>
      <c r="G9" s="3">
        <v>0</v>
      </c>
      <c r="H9" s="3">
        <v>5.9321830000000001E-5</v>
      </c>
      <c r="I9" s="3">
        <v>1.5409267000000001E-5</v>
      </c>
      <c r="J9" s="3">
        <v>-1.5300040000000001E-4</v>
      </c>
      <c r="K9" s="3"/>
      <c r="L9" s="3">
        <f t="shared" si="0"/>
        <v>0.27073107724102302</v>
      </c>
      <c r="M9" s="3"/>
      <c r="N9" s="2">
        <f>IF('Modell einstellen'!$B$1="Voll",H9/0.35,H9/0.35*2)</f>
        <v>1.6949094285714287E-4</v>
      </c>
      <c r="O9" s="2">
        <f>IF('Modell einstellen'!$B$1="Voll",J9/0.35,J9/0.35*2)</f>
        <v>-4.3714400000000004E-4</v>
      </c>
      <c r="P9" s="3">
        <f t="shared" si="1"/>
        <v>0.38772336542910996</v>
      </c>
      <c r="Q9" s="3"/>
      <c r="R9" s="3"/>
      <c r="S9" s="3"/>
      <c r="T9" s="3"/>
      <c r="U9" s="3"/>
    </row>
    <row r="10" spans="1:21" x14ac:dyDescent="0.25">
      <c r="A10" s="3">
        <v>1E-8</v>
      </c>
      <c r="B10" s="3">
        <v>1.0569999999999999E-4</v>
      </c>
      <c r="C10" s="3">
        <v>1.5679999999999999E-4</v>
      </c>
      <c r="D10" s="3">
        <v>-3.9429999999999999E-4</v>
      </c>
      <c r="E10" s="3">
        <v>0</v>
      </c>
      <c r="F10" s="3">
        <v>0</v>
      </c>
      <c r="G10" s="3">
        <v>0</v>
      </c>
      <c r="H10" s="3">
        <v>6.1974566000000002E-5</v>
      </c>
      <c r="I10" s="3">
        <v>1.6013247E-5</v>
      </c>
      <c r="J10" s="3">
        <v>-1.5794415E-4</v>
      </c>
      <c r="K10" s="3"/>
      <c r="L10" s="3">
        <f t="shared" si="0"/>
        <v>0.26806999746386001</v>
      </c>
      <c r="M10" s="3"/>
      <c r="N10" s="2">
        <f>IF('Modell einstellen'!$B$1="Voll",H10/0.35,H10/0.35*2)</f>
        <v>1.7707018857142858E-4</v>
      </c>
      <c r="O10" s="2">
        <f>IF('Modell einstellen'!$B$1="Voll",J10/0.35,J10/0.35*2)</f>
        <v>-4.5126900000000002E-4</v>
      </c>
      <c r="P10" s="3">
        <f t="shared" si="1"/>
        <v>0.39238278847301405</v>
      </c>
      <c r="Q10" s="3"/>
      <c r="R10" s="3"/>
      <c r="S10" s="3"/>
      <c r="T10" s="3"/>
      <c r="U10" s="3"/>
    </row>
    <row r="11" spans="1:21" x14ac:dyDescent="0.25">
      <c r="A11" s="3">
        <v>9.9999999999999995E-8</v>
      </c>
      <c r="B11" s="3">
        <v>1.065E-4</v>
      </c>
      <c r="C11" s="3">
        <v>1.6220000000000001E-4</v>
      </c>
      <c r="D11" s="3">
        <v>-4.013E-4</v>
      </c>
      <c r="E11" s="3">
        <v>0</v>
      </c>
      <c r="F11" s="3">
        <v>0</v>
      </c>
      <c r="G11" s="3">
        <v>0</v>
      </c>
      <c r="H11" s="3">
        <v>6.4706723999999994E-5</v>
      </c>
      <c r="I11" s="3">
        <v>1.6625421999999999E-5</v>
      </c>
      <c r="J11" s="3">
        <v>-1.629976E-4</v>
      </c>
      <c r="K11" s="3"/>
      <c r="L11" s="3">
        <f t="shared" si="0"/>
        <v>0.26538749065537004</v>
      </c>
      <c r="M11" s="3"/>
      <c r="N11" s="2">
        <f>IF('Modell einstellen'!$B$1="Voll",H11/0.35,H11/0.35*2)</f>
        <v>1.8487635428571429E-4</v>
      </c>
      <c r="O11" s="2">
        <f>IF('Modell einstellen'!$B$1="Voll",J11/0.35,J11/0.35*2)</f>
        <v>-4.6570742857142861E-4</v>
      </c>
      <c r="P11" s="3">
        <f t="shared" si="1"/>
        <v>0.39697961196974679</v>
      </c>
      <c r="Q11" s="3"/>
      <c r="R11" s="3"/>
      <c r="S11" s="3"/>
      <c r="T11" s="3"/>
      <c r="U11" s="3"/>
    </row>
    <row r="12" spans="1:21" x14ac:dyDescent="0.25">
      <c r="A12" s="3">
        <v>9.9999999999999995E-7</v>
      </c>
      <c r="B12" s="3">
        <v>1.071E-4</v>
      </c>
      <c r="C12" s="3">
        <v>1.6880000000000001E-4</v>
      </c>
      <c r="D12" s="3">
        <v>-4.0959999999999998E-4</v>
      </c>
      <c r="E12" s="3">
        <v>0</v>
      </c>
      <c r="F12" s="3">
        <v>0</v>
      </c>
      <c r="G12" s="3">
        <v>0</v>
      </c>
      <c r="H12" s="3">
        <v>6.8156760999999998E-5</v>
      </c>
      <c r="I12" s="3">
        <v>1.7384649E-5</v>
      </c>
      <c r="J12" s="3">
        <v>-1.6932604999999999E-4</v>
      </c>
      <c r="K12" s="3"/>
      <c r="L12" s="3">
        <f t="shared" si="0"/>
        <v>0.261474609375</v>
      </c>
      <c r="M12" s="3"/>
      <c r="N12" s="2">
        <f>IF('Modell einstellen'!$B$1="Voll",H12/0.35,H12/0.35*2)</f>
        <v>1.9473360285714286E-4</v>
      </c>
      <c r="O12" s="2">
        <f>IF('Modell einstellen'!$B$1="Voll",J12/0.35,J12/0.35*2)</f>
        <v>-4.8378871428571426E-4</v>
      </c>
      <c r="P12" s="3">
        <f t="shared" si="1"/>
        <v>0.40251787010917695</v>
      </c>
      <c r="Q12" s="3"/>
      <c r="R12" s="3"/>
      <c r="S12" s="3"/>
      <c r="T12" s="3"/>
      <c r="U12" s="3"/>
    </row>
    <row r="13" spans="1:21" x14ac:dyDescent="0.25">
      <c r="A13" s="3">
        <v>1.0000000000000001E-5</v>
      </c>
      <c r="B13" s="3">
        <v>1.072E-4</v>
      </c>
      <c r="C13" s="3">
        <v>1.7699999999999999E-4</v>
      </c>
      <c r="D13" s="3">
        <v>-4.193E-4</v>
      </c>
      <c r="E13" s="3">
        <v>0</v>
      </c>
      <c r="F13" s="3">
        <v>0</v>
      </c>
      <c r="G13" s="3">
        <v>0</v>
      </c>
      <c r="H13" s="3">
        <v>7.2625534999999993E-5</v>
      </c>
      <c r="I13" s="3">
        <v>1.8344361999999999E-5</v>
      </c>
      <c r="J13" s="3">
        <v>-1.7743229E-4</v>
      </c>
      <c r="K13" s="3"/>
      <c r="L13" s="3">
        <f t="shared" si="0"/>
        <v>0.25566420224183162</v>
      </c>
      <c r="M13" s="3"/>
      <c r="N13" s="2">
        <f>IF('Modell einstellen'!$B$1="Voll",H13/0.35,H13/0.35*2)</f>
        <v>2.0750152857142856E-4</v>
      </c>
      <c r="O13" s="2">
        <f>IF('Modell einstellen'!$B$1="Voll",J13/0.35,J13/0.35*2)</f>
        <v>-5.0694940000000006E-4</v>
      </c>
      <c r="P13" s="3">
        <f t="shared" si="1"/>
        <v>0.4093140825720053</v>
      </c>
      <c r="Q13" s="3"/>
      <c r="R13" s="3"/>
      <c r="S13" s="3"/>
      <c r="T13" s="3"/>
      <c r="U13" s="3"/>
    </row>
    <row r="14" spans="1:21" x14ac:dyDescent="0.25">
      <c r="A14" s="3">
        <v>1E-4</v>
      </c>
      <c r="B14" s="3">
        <v>1.065E-4</v>
      </c>
      <c r="C14" s="3">
        <v>1.861E-4</v>
      </c>
      <c r="D14" s="3">
        <v>-4.2900000000000002E-4</v>
      </c>
      <c r="E14" s="3">
        <v>0</v>
      </c>
      <c r="F14" s="3">
        <v>0</v>
      </c>
      <c r="G14" s="3">
        <v>0</v>
      </c>
      <c r="H14" s="3">
        <v>7.7727688999999994E-5</v>
      </c>
      <c r="I14" s="3">
        <v>1.9406678000000002E-5</v>
      </c>
      <c r="J14" s="3">
        <v>-1.8655951000000001E-4</v>
      </c>
      <c r="K14" s="3"/>
      <c r="L14" s="3">
        <f t="shared" si="0"/>
        <v>0.24825174825174823</v>
      </c>
      <c r="M14" s="3"/>
      <c r="N14" s="2">
        <f>IF('Modell einstellen'!$B$1="Voll",H14/0.35,H14/0.35*2)</f>
        <v>2.2207911142857142E-4</v>
      </c>
      <c r="O14" s="2">
        <f>IF('Modell einstellen'!$B$1="Voll",J14/0.35,J14/0.35*2)</f>
        <v>-5.3302717142857147E-4</v>
      </c>
      <c r="P14" s="3">
        <f t="shared" si="1"/>
        <v>0.41663750617698336</v>
      </c>
      <c r="Q14" s="3"/>
      <c r="R14" s="3"/>
      <c r="S14" s="3"/>
      <c r="T14" s="3"/>
      <c r="U14" s="3"/>
    </row>
    <row r="15" spans="1:21" x14ac:dyDescent="0.25">
      <c r="A15" s="3">
        <v>1E-3</v>
      </c>
      <c r="B15" s="3">
        <v>1.0509999999999999E-4</v>
      </c>
      <c r="C15" s="3">
        <v>1.941E-4</v>
      </c>
      <c r="D15" s="3">
        <v>-4.3689999999999999E-4</v>
      </c>
      <c r="E15" s="3">
        <v>0</v>
      </c>
      <c r="F15" s="3">
        <v>0</v>
      </c>
      <c r="G15" s="3">
        <v>0</v>
      </c>
      <c r="H15" s="3">
        <v>8.2496445999999998E-5</v>
      </c>
      <c r="I15" s="3">
        <v>2.0367038000000001E-5</v>
      </c>
      <c r="J15" s="3">
        <v>-1.9496602999999999E-4</v>
      </c>
      <c r="K15" s="3"/>
      <c r="L15" s="3">
        <f t="shared" si="0"/>
        <v>0.24055848020141907</v>
      </c>
      <c r="M15" s="3"/>
      <c r="N15" s="2">
        <f>IF('Modell einstellen'!$B$1="Voll",H15/0.35,H15/0.35*2)</f>
        <v>2.3570413142857144E-4</v>
      </c>
      <c r="O15" s="2">
        <f>IF('Modell einstellen'!$B$1="Voll",J15/0.35,J15/0.35*2)</f>
        <v>-5.5704579999999999E-4</v>
      </c>
      <c r="P15" s="3">
        <f t="shared" si="1"/>
        <v>0.42313240927150236</v>
      </c>
      <c r="Q15" s="3"/>
      <c r="R15" s="3"/>
      <c r="S15" s="3"/>
      <c r="T15" s="3"/>
      <c r="U15" s="3"/>
    </row>
    <row r="16" spans="1:21" x14ac:dyDescent="0.25">
      <c r="A16" s="3">
        <v>0.01</v>
      </c>
      <c r="B16" s="3">
        <v>1.03E-4</v>
      </c>
      <c r="C16" s="3">
        <v>2.018E-4</v>
      </c>
      <c r="D16" s="3">
        <v>-4.438E-4</v>
      </c>
      <c r="E16" s="3">
        <v>0</v>
      </c>
      <c r="F16" s="3">
        <v>0</v>
      </c>
      <c r="G16" s="3">
        <v>0</v>
      </c>
      <c r="H16" s="3">
        <v>8.7273881000000006E-5</v>
      </c>
      <c r="I16" s="3">
        <v>2.1302112999999999E-5</v>
      </c>
      <c r="J16" s="3">
        <v>-2.0328532000000001E-4</v>
      </c>
      <c r="K16" s="3"/>
      <c r="L16" s="3">
        <f t="shared" si="0"/>
        <v>0.23208652546191977</v>
      </c>
      <c r="M16" s="3"/>
      <c r="N16" s="2">
        <f>IF('Modell einstellen'!$B$1="Voll",H16/0.35,H16/0.35*2)</f>
        <v>2.4935394571428576E-4</v>
      </c>
      <c r="O16" s="2">
        <f>IF('Modell einstellen'!$B$1="Voll",J16/0.35,J16/0.35*2)</f>
        <v>-5.8081520000000011E-4</v>
      </c>
      <c r="P16" s="3">
        <f t="shared" si="1"/>
        <v>0.4293171833558862</v>
      </c>
      <c r="Q16" s="3"/>
      <c r="R16" s="3"/>
      <c r="S16" s="3"/>
      <c r="T16" s="3"/>
      <c r="U16" s="3"/>
    </row>
    <row r="17" spans="1:25" x14ac:dyDescent="0.25">
      <c r="A17" s="3">
        <v>0.1</v>
      </c>
      <c r="B17" s="3">
        <v>1.0009999999999999E-4</v>
      </c>
      <c r="C17" s="3">
        <v>2.098E-4</v>
      </c>
      <c r="D17" s="3">
        <v>-4.5009999999999999E-4</v>
      </c>
      <c r="E17" s="3">
        <v>0</v>
      </c>
      <c r="F17" s="3">
        <v>0</v>
      </c>
      <c r="G17" s="3">
        <v>0</v>
      </c>
      <c r="H17" s="3">
        <v>9.2470346999999996E-5</v>
      </c>
      <c r="I17" s="3">
        <v>2.2287179000000002E-5</v>
      </c>
      <c r="J17" s="3">
        <v>-2.1221283E-4</v>
      </c>
      <c r="K17" s="3"/>
      <c r="L17" s="3">
        <f t="shared" si="0"/>
        <v>0.22239502332814928</v>
      </c>
      <c r="M17" s="3"/>
      <c r="N17" s="2">
        <f>IF('Modell einstellen'!$B$1="Voll",H17/0.35,H17/0.35*2)</f>
        <v>2.6420099142857143E-4</v>
      </c>
      <c r="O17" s="2">
        <f>IF('Modell einstellen'!$B$1="Voll",J17/0.35,J17/0.35*2)</f>
        <v>-6.0632237142857145E-4</v>
      </c>
      <c r="P17" s="3">
        <f t="shared" si="1"/>
        <v>0.43574343266615878</v>
      </c>
      <c r="Q17" s="3"/>
      <c r="R17" s="3"/>
      <c r="S17" s="3"/>
      <c r="T17" s="3"/>
      <c r="U17" s="3"/>
      <c r="V17" s="3"/>
      <c r="W17" s="3"/>
      <c r="X17" s="3"/>
      <c r="Y17" s="3"/>
    </row>
    <row r="18" spans="1:25" x14ac:dyDescent="0.25">
      <c r="A18" s="3">
        <v>1</v>
      </c>
      <c r="B18" s="3">
        <v>9.6069999999999993E-5</v>
      </c>
      <c r="C18" s="3">
        <v>2.185E-4</v>
      </c>
      <c r="D18" s="3">
        <v>-4.5609999999999997E-4</v>
      </c>
      <c r="E18" s="3">
        <v>0</v>
      </c>
      <c r="F18" s="3">
        <v>0</v>
      </c>
      <c r="G18" s="3">
        <v>0</v>
      </c>
      <c r="H18" s="3">
        <v>9.8359188000000006E-5</v>
      </c>
      <c r="I18" s="3">
        <v>2.3369010999999999E-5</v>
      </c>
      <c r="J18" s="3">
        <v>-2.2219741E-4</v>
      </c>
      <c r="K18" s="3"/>
      <c r="L18" s="3">
        <f t="shared" si="0"/>
        <v>0.21063363297522472</v>
      </c>
      <c r="M18" s="3"/>
      <c r="N18" s="2">
        <f>IF('Modell einstellen'!$B$1="Voll",H18/0.35,H18/0.35*2)</f>
        <v>2.8102625142857146E-4</v>
      </c>
      <c r="O18" s="2">
        <f>IF('Modell einstellen'!$B$1="Voll",J18/0.35,J18/0.35*2)</f>
        <v>-6.3484974285714293E-4</v>
      </c>
      <c r="P18" s="3">
        <f t="shared" si="1"/>
        <v>0.44266577184675554</v>
      </c>
      <c r="Q18" s="3"/>
      <c r="R18" s="3"/>
      <c r="S18" s="3"/>
      <c r="T18" s="3"/>
      <c r="U18" s="3"/>
      <c r="V18" s="3"/>
      <c r="W18" s="3"/>
      <c r="X18" s="3"/>
      <c r="Y18" s="3"/>
    </row>
    <row r="19" spans="1:25" x14ac:dyDescent="0.25">
      <c r="A19" s="3">
        <v>10</v>
      </c>
      <c r="B19" s="3">
        <v>9.1130000000000003E-5</v>
      </c>
      <c r="C19" s="3">
        <v>2.275E-4</v>
      </c>
      <c r="D19" s="3">
        <v>-4.615E-4</v>
      </c>
      <c r="E19" s="3">
        <v>0</v>
      </c>
      <c r="F19" s="3">
        <v>0</v>
      </c>
      <c r="G19" s="3">
        <v>0</v>
      </c>
      <c r="H19" s="3">
        <v>1.0463891999999999E-4</v>
      </c>
      <c r="I19" s="3">
        <v>2.4516511000000002E-5</v>
      </c>
      <c r="J19" s="3">
        <v>-2.3279986000000001E-4</v>
      </c>
      <c r="K19" s="3"/>
      <c r="L19" s="3">
        <f t="shared" si="0"/>
        <v>0.19746478873239437</v>
      </c>
      <c r="M19" s="3"/>
      <c r="N19" s="2">
        <f>IF('Modell einstellen'!$B$1="Voll",H19/0.35,H19/0.35*2)</f>
        <v>2.9896834285714284E-4</v>
      </c>
      <c r="O19" s="2">
        <f>IF('Modell einstellen'!$B$1="Voll",J19/0.35,J19/0.35*2)</f>
        <v>-6.6514245714285717E-4</v>
      </c>
      <c r="P19" s="3">
        <f t="shared" si="1"/>
        <v>0.44948016721315892</v>
      </c>
      <c r="Q19" s="3"/>
      <c r="R19" s="3"/>
      <c r="S19" s="3"/>
      <c r="T19" s="3"/>
      <c r="U19" s="3"/>
      <c r="V19" s="3"/>
      <c r="W19" s="3"/>
      <c r="X19" s="3"/>
      <c r="Y19" s="3"/>
    </row>
    <row r="20" spans="1:25" x14ac:dyDescent="0.25">
      <c r="A20" s="3">
        <v>100</v>
      </c>
      <c r="B20" s="3">
        <v>8.6180000000000005E-5</v>
      </c>
      <c r="C20" s="3">
        <v>2.4130000000000001E-4</v>
      </c>
      <c r="D20" s="3">
        <v>-4.7150000000000002E-4</v>
      </c>
      <c r="E20" s="3">
        <v>0</v>
      </c>
      <c r="F20" s="3">
        <v>0</v>
      </c>
      <c r="G20" s="3">
        <v>0</v>
      </c>
      <c r="H20" s="3">
        <v>1.1254941E-4</v>
      </c>
      <c r="I20" s="3">
        <v>2.6266886999999999E-5</v>
      </c>
      <c r="J20" s="3">
        <v>-2.4712505000000002E-4</v>
      </c>
      <c r="K20" s="3"/>
      <c r="L20" s="3">
        <f t="shared" si="0"/>
        <v>0.18277836691410393</v>
      </c>
      <c r="M20" s="3"/>
      <c r="N20" s="2">
        <f>IF('Modell einstellen'!$B$1="Voll",H20/0.35,H20/0.35*2)</f>
        <v>3.2156974285714289E-4</v>
      </c>
      <c r="O20" s="2">
        <f>IF('Modell einstellen'!$B$1="Voll",J20/0.35,J20/0.35*2)</f>
        <v>-7.0607157142857152E-4</v>
      </c>
      <c r="P20" s="3">
        <f t="shared" si="1"/>
        <v>0.45543505201111745</v>
      </c>
      <c r="Q20" s="3"/>
      <c r="R20" s="3"/>
      <c r="S20" s="3"/>
      <c r="T20" s="3"/>
      <c r="U20" s="3"/>
      <c r="V20" s="3"/>
      <c r="W20" s="3"/>
      <c r="X20" s="3"/>
      <c r="Y20" s="3"/>
    </row>
    <row r="21" spans="1:25" x14ac:dyDescent="0.25">
      <c r="A21" s="3">
        <v>1000</v>
      </c>
      <c r="B21" s="3">
        <v>8.5829999999999996E-5</v>
      </c>
      <c r="C21" s="3">
        <v>2.675E-4</v>
      </c>
      <c r="D21" s="3">
        <v>-4.9720000000000005E-4</v>
      </c>
      <c r="E21" s="3">
        <v>0</v>
      </c>
      <c r="F21" s="3">
        <v>0</v>
      </c>
      <c r="G21" s="3">
        <v>0</v>
      </c>
      <c r="H21" s="3">
        <v>1.2252743999999999E-4</v>
      </c>
      <c r="I21" s="3">
        <v>2.9590327000000001E-5</v>
      </c>
      <c r="J21" s="3">
        <v>-2.6885633999999999E-4</v>
      </c>
      <c r="K21" s="3"/>
      <c r="L21" s="3">
        <f t="shared" si="0"/>
        <v>0.1726267095736122</v>
      </c>
      <c r="M21" s="3"/>
      <c r="N21" s="2">
        <f>IF('Modell einstellen'!$B$1="Voll",H21/0.35,H21/0.35*2)</f>
        <v>3.5007840000000001E-4</v>
      </c>
      <c r="O21" s="2">
        <f>IF('Modell einstellen'!$B$1="Voll",J21/0.35,J21/0.35*2)</f>
        <v>-7.6816097142857142E-4</v>
      </c>
      <c r="P21" s="3">
        <f t="shared" si="1"/>
        <v>0.4557357286050982</v>
      </c>
      <c r="Q21" s="3"/>
      <c r="R21" s="3"/>
      <c r="S21" s="3"/>
      <c r="T21" s="3"/>
      <c r="U21" s="3"/>
      <c r="V21" s="3"/>
      <c r="W21" s="3"/>
      <c r="X21" s="3"/>
      <c r="Y21" s="3"/>
    </row>
    <row r="22" spans="1:25" x14ac:dyDescent="0.25">
      <c r="A22" s="3">
        <v>10000</v>
      </c>
      <c r="B22" s="3">
        <v>8.8739999999999994E-5</v>
      </c>
      <c r="C22" s="3">
        <v>3.0620000000000002E-4</v>
      </c>
      <c r="D22" s="3">
        <v>-5.3799999999999996E-4</v>
      </c>
      <c r="E22" s="3">
        <v>0</v>
      </c>
      <c r="F22" s="3">
        <v>0</v>
      </c>
      <c r="G22" s="3">
        <v>0</v>
      </c>
      <c r="H22" s="3">
        <v>1.3509393E-4</v>
      </c>
      <c r="I22" s="3">
        <v>3.4591687000000001E-5</v>
      </c>
      <c r="J22" s="3">
        <v>-2.9901411E-4</v>
      </c>
      <c r="K22" s="3"/>
      <c r="L22" s="3">
        <f t="shared" si="0"/>
        <v>0.16494423791821561</v>
      </c>
      <c r="M22" s="3"/>
      <c r="N22" s="2">
        <f>IF('Modell einstellen'!$B$1="Voll",H22/0.35,H22/0.35*2)</f>
        <v>3.8598265714285716E-4</v>
      </c>
      <c r="O22" s="2">
        <f>IF('Modell einstellen'!$B$1="Voll",J22/0.35,J22/0.35*2)</f>
        <v>-8.5432602857142862E-4</v>
      </c>
      <c r="P22" s="3">
        <f t="shared" si="1"/>
        <v>0.45179784325227995</v>
      </c>
      <c r="Q22" s="3"/>
      <c r="R22" s="3"/>
      <c r="S22" s="3"/>
      <c r="T22" s="3"/>
      <c r="U22" s="3"/>
      <c r="V22" s="3"/>
      <c r="W22" s="3"/>
      <c r="X22" s="3"/>
      <c r="Y22" s="3"/>
    </row>
    <row r="23" spans="1:25" x14ac:dyDescent="0.25">
      <c r="A23" s="3">
        <v>100000</v>
      </c>
      <c r="B23" s="3">
        <v>8.6479999999999999E-5</v>
      </c>
      <c r="C23" s="3">
        <v>3.5369999999999998E-4</v>
      </c>
      <c r="D23" s="3">
        <v>-5.8299999999999997E-4</v>
      </c>
      <c r="E23" s="3">
        <v>0</v>
      </c>
      <c r="F23" s="3">
        <v>0</v>
      </c>
      <c r="G23" s="3">
        <v>0</v>
      </c>
      <c r="H23" s="3">
        <v>1.5215927E-4</v>
      </c>
      <c r="I23" s="3">
        <v>4.0943628000000002E-5</v>
      </c>
      <c r="J23" s="3">
        <v>-3.3867662000000001E-4</v>
      </c>
      <c r="K23" s="3"/>
      <c r="L23" s="3">
        <f t="shared" si="0"/>
        <v>0.14833619210977703</v>
      </c>
      <c r="M23" s="3"/>
      <c r="N23" s="2">
        <f>IF('Modell einstellen'!$B$1="Voll",H23/0.35,H23/0.35*2)</f>
        <v>4.3474077142857144E-4</v>
      </c>
      <c r="O23" s="2">
        <f>IF('Modell einstellen'!$B$1="Voll",J23/0.35,J23/0.35*2)</f>
        <v>-9.6764748571428582E-4</v>
      </c>
      <c r="P23" s="3">
        <f t="shared" si="1"/>
        <v>0.44927597895597277</v>
      </c>
      <c r="Q23" s="3"/>
      <c r="R23" s="3"/>
      <c r="S23" s="3"/>
      <c r="T23" s="3"/>
      <c r="U23" s="3"/>
      <c r="V23" s="3"/>
      <c r="W23" s="3"/>
      <c r="X23" s="3"/>
      <c r="Y23" s="3"/>
    </row>
    <row r="24" spans="1:25" x14ac:dyDescent="0.25">
      <c r="A24" s="3">
        <v>1000000</v>
      </c>
      <c r="B24" s="3">
        <v>6.4759999999999997E-5</v>
      </c>
      <c r="C24" s="3">
        <v>4.1110000000000002E-4</v>
      </c>
      <c r="D24" s="3">
        <v>-6.1959999999999999E-4</v>
      </c>
      <c r="E24" s="3">
        <v>0</v>
      </c>
      <c r="F24" s="3">
        <v>0</v>
      </c>
      <c r="G24" s="3">
        <v>0</v>
      </c>
      <c r="H24" s="3">
        <v>1.7695948999999999E-4</v>
      </c>
      <c r="I24" s="3">
        <v>4.9047508999999999E-5</v>
      </c>
      <c r="J24" s="3">
        <v>-3.9265004999999999E-4</v>
      </c>
      <c r="K24" s="3"/>
      <c r="L24" s="3">
        <f t="shared" si="0"/>
        <v>0.10451904454486766</v>
      </c>
      <c r="M24" s="3"/>
      <c r="N24" s="2">
        <f>IF('Modell einstellen'!$B$1="Voll",H24/0.35,H24/0.35*2)</f>
        <v>5.0559854285714282E-4</v>
      </c>
      <c r="O24" s="2">
        <f>IF('Modell einstellen'!$B$1="Voll",J24/0.35,J24/0.35*2)</f>
        <v>-1.1218572857142858E-3</v>
      </c>
      <c r="P24" s="3">
        <f t="shared" si="1"/>
        <v>0.45067991204890967</v>
      </c>
      <c r="Q24" s="3"/>
      <c r="R24" s="3"/>
      <c r="S24" s="3"/>
      <c r="T24" s="3"/>
      <c r="U24" s="3"/>
      <c r="V24" s="3"/>
      <c r="W24" s="3"/>
      <c r="X24" s="3"/>
      <c r="Y24" s="3"/>
    </row>
    <row r="25" spans="1:25" x14ac:dyDescent="0.25">
      <c r="A25" s="3">
        <v>10000000</v>
      </c>
      <c r="B25" s="3">
        <v>3.641E-6</v>
      </c>
      <c r="C25" s="3">
        <v>4.8710000000000002E-4</v>
      </c>
      <c r="D25" s="3">
        <v>-6.3679999999999997E-4</v>
      </c>
      <c r="E25" s="3">
        <v>0</v>
      </c>
      <c r="F25" s="3">
        <v>0</v>
      </c>
      <c r="G25" s="3">
        <v>0</v>
      </c>
      <c r="H25" s="3">
        <v>2.1578769000000001E-4</v>
      </c>
      <c r="I25" s="3">
        <v>6.0478137000000001E-5</v>
      </c>
      <c r="J25" s="3">
        <v>-4.7298035999999999E-4</v>
      </c>
      <c r="K25" s="3"/>
      <c r="L25" s="3">
        <f t="shared" si="0"/>
        <v>5.7176507537688446E-3</v>
      </c>
      <c r="M25" s="3"/>
      <c r="N25" s="2">
        <f>IF('Modell einstellen'!$B$1="Voll",H25/0.35,H25/0.35*2)</f>
        <v>6.1653625714285724E-4</v>
      </c>
      <c r="O25" s="2">
        <f>IF('Modell einstellen'!$B$1="Voll",J25/0.35,J25/0.35*2)</f>
        <v>-1.3513724571428572E-3</v>
      </c>
      <c r="P25" s="3">
        <f t="shared" si="1"/>
        <v>0.45622970475983404</v>
      </c>
      <c r="Q25" s="3"/>
      <c r="R25" s="3"/>
      <c r="S25" s="3"/>
      <c r="T25" s="3"/>
      <c r="U25" s="3"/>
      <c r="V25" s="3"/>
      <c r="W25" s="3"/>
      <c r="X25" s="3"/>
      <c r="Y25" s="3"/>
    </row>
    <row r="26" spans="1:25" x14ac:dyDescent="0.25">
      <c r="A26" s="3">
        <v>100000000</v>
      </c>
      <c r="B26" s="3">
        <v>-1.4430000000000001E-4</v>
      </c>
      <c r="C26" s="3">
        <v>5.9940000000000004E-4</v>
      </c>
      <c r="D26" s="3">
        <v>-6.0479999999999996E-4</v>
      </c>
      <c r="E26" s="3">
        <v>0</v>
      </c>
      <c r="F26" s="3">
        <v>0</v>
      </c>
      <c r="G26" s="3">
        <v>0</v>
      </c>
      <c r="H26" s="3">
        <v>2.8171993999999998E-4</v>
      </c>
      <c r="I26" s="3">
        <v>7.8549946999999993E-5</v>
      </c>
      <c r="J26" s="3">
        <v>-6.0477885999999997E-4</v>
      </c>
      <c r="K26" s="3"/>
      <c r="L26" s="3">
        <f t="shared" si="0"/>
        <v>-0.23859126984126988</v>
      </c>
      <c r="M26" s="3"/>
      <c r="N26" s="2">
        <f>IF('Modell einstellen'!$B$1="Voll",H26/0.35,H26/0.35*2)</f>
        <v>8.0491411428571425E-4</v>
      </c>
      <c r="O26" s="2">
        <f>IF('Modell einstellen'!$B$1="Voll",J26/0.35,J26/0.35*2)</f>
        <v>-1.7279395999999999E-3</v>
      </c>
      <c r="P26" s="3">
        <f t="shared" si="1"/>
        <v>0.46582306134179358</v>
      </c>
      <c r="Q26" s="3"/>
      <c r="R26" s="3"/>
      <c r="S26" s="3"/>
      <c r="T26" s="3"/>
      <c r="U26" s="3"/>
      <c r="V26" s="3"/>
      <c r="W26" s="3"/>
      <c r="X26" s="3"/>
      <c r="Y26" s="3"/>
    </row>
    <row r="27" spans="1:25" x14ac:dyDescent="0.25">
      <c r="A27" s="3">
        <v>1000000000</v>
      </c>
      <c r="B27" s="3">
        <v>-4.5300000000000001E-4</v>
      </c>
      <c r="C27" s="3">
        <v>7.6369999999999997E-4</v>
      </c>
      <c r="D27" s="3">
        <v>-4.6430000000000001E-4</v>
      </c>
      <c r="E27" s="3">
        <v>0</v>
      </c>
      <c r="F27" s="3">
        <v>0</v>
      </c>
      <c r="G27" s="3">
        <v>0</v>
      </c>
      <c r="H27" s="3">
        <v>3.9111518000000002E-4</v>
      </c>
      <c r="I27" s="3">
        <v>1.0692068000000001E-4</v>
      </c>
      <c r="J27" s="3">
        <v>-8.1764090999999995E-4</v>
      </c>
      <c r="K27" s="3"/>
      <c r="L27" s="3">
        <f t="shared" si="0"/>
        <v>-0.97566228731423643</v>
      </c>
      <c r="M27" s="3"/>
      <c r="N27" s="2">
        <f>IF('Modell einstellen'!$B$1="Voll",H27/0.35,H27/0.35*2)</f>
        <v>1.1174719428571429E-3</v>
      </c>
      <c r="O27" s="2">
        <f>IF('Modell einstellen'!$B$1="Voll",J27/0.35,J27/0.35*2)</f>
        <v>-2.3361168857142858E-3</v>
      </c>
      <c r="P27" s="3">
        <f t="shared" si="1"/>
        <v>0.47834590370484276</v>
      </c>
      <c r="Q27" s="3"/>
      <c r="R27" s="3"/>
      <c r="S27" s="3"/>
      <c r="T27" s="3"/>
      <c r="U27" s="3"/>
      <c r="V27" s="3"/>
      <c r="W27" s="3"/>
      <c r="X27" s="3"/>
      <c r="Y27" s="3"/>
    </row>
    <row r="28" spans="1:25" x14ac:dyDescent="0.25">
      <c r="A28" s="3">
        <v>10000000000</v>
      </c>
      <c r="B28" s="3">
        <v>-9.6690000000000003E-4</v>
      </c>
      <c r="C28" s="3">
        <v>9.8149999999999995E-4</v>
      </c>
      <c r="D28" s="3">
        <v>-1.7149999999999999E-4</v>
      </c>
      <c r="E28" s="3">
        <v>0</v>
      </c>
      <c r="F28" s="3">
        <v>0</v>
      </c>
      <c r="G28" s="3">
        <v>0</v>
      </c>
      <c r="H28" s="3">
        <v>5.5213829000000001E-4</v>
      </c>
      <c r="I28" s="3">
        <v>1.4669219E-4</v>
      </c>
      <c r="J28" s="3">
        <v>-1.1235335999999999E-3</v>
      </c>
      <c r="K28" s="3"/>
      <c r="L28" s="3">
        <f t="shared" si="0"/>
        <v>-5.6379008746355685</v>
      </c>
      <c r="M28" s="3"/>
      <c r="N28" s="2">
        <f>IF('Modell einstellen'!$B$1="Voll",H28/0.35,H28/0.35*2)</f>
        <v>1.5775379714285716E-3</v>
      </c>
      <c r="O28" s="2">
        <f>IF('Modell einstellen'!$B$1="Voll",J28/0.35,J28/0.35*2)</f>
        <v>-3.210096E-3</v>
      </c>
      <c r="P28" s="3">
        <f t="shared" si="1"/>
        <v>0.49143015393576134</v>
      </c>
      <c r="Q28" s="3"/>
      <c r="R28" s="3"/>
      <c r="S28" s="3"/>
      <c r="T28" s="3"/>
      <c r="U28" s="3"/>
      <c r="V28" s="3"/>
      <c r="W28" s="3"/>
      <c r="X28" s="3"/>
      <c r="Y28" s="3"/>
    </row>
    <row r="29" spans="1:25" x14ac:dyDescent="0.25">
      <c r="A29" s="3">
        <v>100000000000</v>
      </c>
      <c r="B29" s="3">
        <v>-1.6249999999999999E-3</v>
      </c>
      <c r="C29" s="3">
        <v>1.2260000000000001E-3</v>
      </c>
      <c r="D29" s="3">
        <v>2.4010000000000001E-4</v>
      </c>
      <c r="E29" s="3">
        <v>0</v>
      </c>
      <c r="F29" s="3">
        <v>0</v>
      </c>
      <c r="G29" s="3">
        <v>0</v>
      </c>
      <c r="H29" s="3">
        <v>7.4568340000000005E-4</v>
      </c>
      <c r="I29" s="3">
        <v>1.9298513999999999E-4</v>
      </c>
      <c r="J29" s="3">
        <v>-1.4852931E-3</v>
      </c>
      <c r="K29" s="3"/>
      <c r="L29" s="3">
        <f t="shared" si="0"/>
        <v>6.7680133277800909</v>
      </c>
      <c r="M29" s="3"/>
      <c r="N29" s="2">
        <f>IF('Modell einstellen'!$B$1="Voll",H29/0.35,H29/0.35*2)</f>
        <v>2.1305240000000004E-3</v>
      </c>
      <c r="O29" s="2">
        <f>IF('Modell einstellen'!$B$1="Voll",J29/0.35,J29/0.35*2)</f>
        <v>-4.2436945714285712E-3</v>
      </c>
      <c r="P29" s="3">
        <f t="shared" si="1"/>
        <v>0.50204461328205197</v>
      </c>
      <c r="Q29" s="3"/>
      <c r="R29" s="3"/>
      <c r="S29" s="3"/>
      <c r="T29" s="3"/>
      <c r="U29" s="3"/>
      <c r="V29" s="3"/>
      <c r="W29" s="3"/>
      <c r="X29" s="3"/>
      <c r="Y29" s="3"/>
    </row>
    <row r="30" spans="1:25" x14ac:dyDescent="0.25">
      <c r="A30" s="3">
        <v>1000000000000</v>
      </c>
      <c r="B30" s="3">
        <v>-2.1779999999999998E-3</v>
      </c>
      <c r="C30" s="3">
        <v>1.423E-3</v>
      </c>
      <c r="D30" s="3">
        <v>5.955E-4</v>
      </c>
      <c r="E30" s="3">
        <v>0</v>
      </c>
      <c r="F30" s="3">
        <v>0</v>
      </c>
      <c r="G30" s="3">
        <v>0</v>
      </c>
      <c r="H30" s="3">
        <v>9.0451116E-4</v>
      </c>
      <c r="I30" s="3">
        <v>2.3102925E-4</v>
      </c>
      <c r="J30" s="3">
        <v>-1.7819767E-3</v>
      </c>
      <c r="K30" s="3"/>
      <c r="L30" s="3">
        <f t="shared" si="0"/>
        <v>3.6574307304785889</v>
      </c>
      <c r="M30" s="3"/>
      <c r="N30" s="2">
        <f>IF('Modell einstellen'!$B$1="Voll",H30/0.35,H30/0.35*2)</f>
        <v>2.5843176000000002E-3</v>
      </c>
      <c r="O30" s="2">
        <f>IF('Modell einstellen'!$B$1="Voll",J30/0.35,J30/0.35*2)</f>
        <v>-5.0913620000000003E-3</v>
      </c>
      <c r="P30" s="3">
        <f t="shared" si="1"/>
        <v>0.5075886570234055</v>
      </c>
      <c r="Q30" s="3"/>
      <c r="R30" s="3"/>
      <c r="S30" s="3"/>
      <c r="T30" s="3"/>
      <c r="U30" s="3"/>
      <c r="V30" s="3"/>
      <c r="W30" s="3"/>
      <c r="X30" s="3"/>
      <c r="Y30" s="3"/>
    </row>
    <row r="31" spans="1:25" x14ac:dyDescent="0.25">
      <c r="A31" s="3">
        <v>10000000000000</v>
      </c>
      <c r="B31" s="3">
        <v>-2.5579999999999999E-3</v>
      </c>
      <c r="C31" s="3">
        <v>1.5579999999999999E-3</v>
      </c>
      <c r="D31" s="3">
        <v>8.4020000000000004E-4</v>
      </c>
      <c r="E31" s="3">
        <v>0</v>
      </c>
      <c r="F31" s="3">
        <v>0</v>
      </c>
      <c r="G31" s="3">
        <v>0</v>
      </c>
      <c r="H31" s="3">
        <v>1.0125774999999999E-3</v>
      </c>
      <c r="I31" s="3">
        <v>2.5729425000000001E-4</v>
      </c>
      <c r="J31" s="3">
        <v>-1.9850181999999999E-3</v>
      </c>
      <c r="K31" s="3"/>
      <c r="L31" s="3">
        <f t="shared" si="0"/>
        <v>3.0445132111402047</v>
      </c>
      <c r="M31" s="3"/>
      <c r="N31" s="2">
        <f>IF('Modell einstellen'!$B$1="Voll",H31/0.35,H31/0.35*2)</f>
        <v>2.8930785714285714E-3</v>
      </c>
      <c r="O31" s="2">
        <f>IF('Modell einstellen'!$B$1="Voll",J31/0.35,J31/0.35*2)</f>
        <v>-5.6714805714285716E-3</v>
      </c>
      <c r="P31" s="3">
        <f t="shared" si="1"/>
        <v>0.51010993249331416</v>
      </c>
      <c r="Q31" s="3"/>
      <c r="R31" s="3"/>
      <c r="S31" s="3"/>
      <c r="T31" s="3"/>
      <c r="U31" s="3"/>
      <c r="V31" s="3"/>
      <c r="W31" s="3"/>
      <c r="X31" s="3"/>
      <c r="Y31" s="3"/>
    </row>
    <row r="32" spans="1:25" x14ac:dyDescent="0.25">
      <c r="A32" s="3">
        <v>100000000000000</v>
      </c>
      <c r="B32" s="3">
        <v>-2.7910000000000001E-3</v>
      </c>
      <c r="C32" s="3">
        <v>1.6410000000000001E-3</v>
      </c>
      <c r="D32" s="3">
        <v>9.8890000000000002E-4</v>
      </c>
      <c r="E32" s="3">
        <v>0</v>
      </c>
      <c r="F32" s="3">
        <v>0</v>
      </c>
      <c r="G32" s="3">
        <v>0</v>
      </c>
      <c r="H32" s="3">
        <v>1.0788970000000001E-3</v>
      </c>
      <c r="I32" s="3">
        <v>2.7363685999999999E-4</v>
      </c>
      <c r="J32" s="3">
        <v>-2.1103508999999999E-3</v>
      </c>
      <c r="K32" s="3"/>
      <c r="L32" s="3">
        <f t="shared" si="0"/>
        <v>2.8223278390130448</v>
      </c>
      <c r="M32" s="3"/>
      <c r="N32" s="2">
        <f>IF('Modell einstellen'!$B$1="Voll",H32/0.35,H32/0.35*2)</f>
        <v>3.0825628571428576E-3</v>
      </c>
      <c r="O32" s="2">
        <f>IF('Modell einstellen'!$B$1="Voll",J32/0.35,J32/0.35*2)</f>
        <v>-6.0295740000000002E-3</v>
      </c>
      <c r="P32" s="3">
        <f t="shared" si="1"/>
        <v>0.51124057141397672</v>
      </c>
      <c r="Q32" s="3"/>
      <c r="R32" s="3"/>
      <c r="S32" s="3"/>
      <c r="T32" s="3"/>
      <c r="U32" s="3"/>
      <c r="V32" s="3"/>
      <c r="W32" s="3"/>
      <c r="X32" s="3"/>
      <c r="Y32" s="3"/>
    </row>
    <row r="33" spans="1:25" x14ac:dyDescent="0.25">
      <c r="A33" s="2">
        <v>1000000000000000</v>
      </c>
      <c r="B33" s="3">
        <v>-2.9629999999999999E-3</v>
      </c>
      <c r="C33" s="3">
        <v>1.702E-3</v>
      </c>
      <c r="D33" s="3">
        <v>1.1000000000000001E-3</v>
      </c>
      <c r="E33" s="3">
        <v>0</v>
      </c>
      <c r="F33" s="3">
        <v>0</v>
      </c>
      <c r="G33" s="3">
        <v>0</v>
      </c>
      <c r="H33" s="3">
        <v>1.1283097000000001E-3</v>
      </c>
      <c r="I33" s="3">
        <v>2.8565549E-4</v>
      </c>
      <c r="J33" s="3">
        <v>-2.2031231E-3</v>
      </c>
      <c r="K33" s="3"/>
      <c r="L33" s="3">
        <f t="shared" si="0"/>
        <v>2.6936363636363634</v>
      </c>
      <c r="M33" s="3"/>
      <c r="N33" s="2">
        <f>IF('Modell einstellen'!$B$1="Voll",H33/0.35,H33/0.35*2)</f>
        <v>3.2237420000000004E-3</v>
      </c>
      <c r="O33" s="2">
        <f>IF('Modell einstellen'!$B$1="Voll",J33/0.35,J33/0.35*2)</f>
        <v>-6.2946374285714288E-3</v>
      </c>
      <c r="P33" s="3">
        <f t="shared" si="1"/>
        <v>0.51214101472586804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9.9110000000000005E-5</v>
      </c>
      <c r="C3" s="3">
        <v>1.304E-4</v>
      </c>
      <c r="D3" s="3">
        <v>-3.569E-4</v>
      </c>
      <c r="E3" s="3">
        <v>0</v>
      </c>
      <c r="F3" s="3">
        <v>0</v>
      </c>
      <c r="G3" s="3">
        <v>0</v>
      </c>
      <c r="H3" s="3">
        <v>4.9460333999999998E-5</v>
      </c>
      <c r="I3" s="3">
        <v>1.3092459E-5</v>
      </c>
      <c r="J3" s="3">
        <v>-1.3433793E-4</v>
      </c>
      <c r="K3" s="3"/>
      <c r="L3" s="3">
        <f>-B3/D3</f>
        <v>0.27769683384701599</v>
      </c>
      <c r="M3" s="3"/>
      <c r="N3" s="2">
        <f>IF('Modell einstellen'!$B$1="Voll",H3/0.35,H3/0.35*2)</f>
        <v>1.4131524E-4</v>
      </c>
      <c r="O3" s="2">
        <f>IF('Modell einstellen'!$B$1="Voll",J3/0.35,J3/0.35*2)</f>
        <v>-3.8382265714285714E-4</v>
      </c>
      <c r="P3" s="3">
        <f>-N3/O3</f>
        <v>0.36817847349590693</v>
      </c>
      <c r="Q3" s="3"/>
      <c r="R3" s="3"/>
      <c r="S3" s="3"/>
      <c r="T3" s="3"/>
      <c r="U3" s="3"/>
    </row>
    <row r="4" spans="1:21" x14ac:dyDescent="0.25">
      <c r="A4" s="3">
        <v>1E-14</v>
      </c>
      <c r="B4" s="3">
        <v>1.005E-4</v>
      </c>
      <c r="C4" s="3">
        <v>1.3439999999999999E-4</v>
      </c>
      <c r="D4" s="3">
        <v>-3.6289999999999998E-4</v>
      </c>
      <c r="E4" s="3">
        <v>0</v>
      </c>
      <c r="F4" s="3">
        <v>0</v>
      </c>
      <c r="G4" s="3">
        <v>0</v>
      </c>
      <c r="H4" s="3">
        <v>5.1199209999999997E-5</v>
      </c>
      <c r="I4" s="3">
        <v>1.3517342999999999E-5</v>
      </c>
      <c r="J4" s="3">
        <v>-1.3768455999999999E-4</v>
      </c>
      <c r="K4" s="3"/>
      <c r="L4" s="3">
        <f t="shared" ref="L4:L33" si="0">-B4/D4</f>
        <v>0.27693579498484433</v>
      </c>
      <c r="M4" s="3"/>
      <c r="N4" s="2">
        <f>IF('Modell einstellen'!$B$1="Voll",H4/0.35,H4/0.35*2)</f>
        <v>1.4628345714285713E-4</v>
      </c>
      <c r="O4" s="2">
        <f>IF('Modell einstellen'!$B$1="Voll",J4/0.35,J4/0.35*2)</f>
        <v>-3.9338445714285714E-4</v>
      </c>
      <c r="P4" s="3">
        <f t="shared" ref="P4:P33" si="1">-N4/O4</f>
        <v>0.37185876179580335</v>
      </c>
      <c r="Q4" s="3"/>
      <c r="R4" s="3"/>
      <c r="S4" s="3"/>
      <c r="T4" s="3"/>
      <c r="U4" s="3"/>
    </row>
    <row r="5" spans="1:21" x14ac:dyDescent="0.25">
      <c r="A5" s="3">
        <v>1E-13</v>
      </c>
      <c r="B5" s="3">
        <v>1.0170000000000001E-4</v>
      </c>
      <c r="C5" s="3">
        <v>1.3789999999999999E-4</v>
      </c>
      <c r="D5" s="3">
        <v>-3.6820000000000001E-4</v>
      </c>
      <c r="E5" s="3">
        <v>0</v>
      </c>
      <c r="F5" s="3">
        <v>0</v>
      </c>
      <c r="G5" s="3">
        <v>0</v>
      </c>
      <c r="H5" s="3">
        <v>5.2807555999999999E-5</v>
      </c>
      <c r="I5" s="3">
        <v>1.390634E-5</v>
      </c>
      <c r="J5" s="3">
        <v>-1.4076966E-4</v>
      </c>
      <c r="K5" s="3"/>
      <c r="L5" s="3">
        <f t="shared" si="0"/>
        <v>0.2762085822922325</v>
      </c>
      <c r="M5" s="3"/>
      <c r="N5" s="2">
        <f>IF('Modell einstellen'!$B$1="Voll",H5/0.35,H5/0.35*2)</f>
        <v>1.5087873142857142E-4</v>
      </c>
      <c r="O5" s="2">
        <f>IF('Modell einstellen'!$B$1="Voll",J5/0.35,J5/0.35*2)</f>
        <v>-4.0219902857142859E-4</v>
      </c>
      <c r="P5" s="3">
        <f t="shared" si="1"/>
        <v>0.3751344998631097</v>
      </c>
      <c r="Q5" s="3"/>
      <c r="R5" s="3"/>
      <c r="S5" s="3"/>
      <c r="T5" s="3"/>
      <c r="U5" s="3"/>
    </row>
    <row r="6" spans="1:21" x14ac:dyDescent="0.25">
      <c r="A6" s="3">
        <v>9.9999999999999998E-13</v>
      </c>
      <c r="B6" s="3">
        <v>1.03E-4</v>
      </c>
      <c r="C6" s="3">
        <v>1.4190000000000001E-4</v>
      </c>
      <c r="D6" s="3">
        <v>-3.7409999999999999E-4</v>
      </c>
      <c r="E6" s="3">
        <v>0</v>
      </c>
      <c r="F6" s="3">
        <v>0</v>
      </c>
      <c r="G6" s="3">
        <v>0</v>
      </c>
      <c r="H6" s="3">
        <v>5.4658932E-5</v>
      </c>
      <c r="I6" s="3">
        <v>1.4349431E-5</v>
      </c>
      <c r="J6" s="3">
        <v>-1.4430224000000001E-4</v>
      </c>
      <c r="K6" s="3"/>
      <c r="L6" s="3">
        <f t="shared" si="0"/>
        <v>0.27532745255279339</v>
      </c>
      <c r="M6" s="3"/>
      <c r="N6" s="2">
        <f>IF('Modell einstellen'!$B$1="Voll",H6/0.35,H6/0.35*2)</f>
        <v>1.5616837714285716E-4</v>
      </c>
      <c r="O6" s="2">
        <f>IF('Modell einstellen'!$B$1="Voll",J6/0.35,J6/0.35*2)</f>
        <v>-4.1229211428571433E-4</v>
      </c>
      <c r="P6" s="3">
        <f t="shared" si="1"/>
        <v>0.37878089764926726</v>
      </c>
      <c r="Q6" s="3"/>
      <c r="R6" s="3"/>
      <c r="S6" s="3"/>
      <c r="T6" s="3"/>
      <c r="U6" s="3"/>
    </row>
    <row r="7" spans="1:21" x14ac:dyDescent="0.25">
      <c r="A7" s="3">
        <v>9.9999999999999994E-12</v>
      </c>
      <c r="B7" s="3">
        <v>1.042E-4</v>
      </c>
      <c r="C7" s="3">
        <v>1.4640000000000001E-4</v>
      </c>
      <c r="D7" s="3">
        <v>-3.8059999999999998E-4</v>
      </c>
      <c r="E7" s="3">
        <v>0</v>
      </c>
      <c r="F7" s="3">
        <v>0</v>
      </c>
      <c r="G7" s="3">
        <v>0</v>
      </c>
      <c r="H7" s="3">
        <v>5.6776127000000001E-5</v>
      </c>
      <c r="I7" s="3">
        <v>1.4849967999999999E-5</v>
      </c>
      <c r="J7" s="3">
        <v>-1.4831743000000001E-4</v>
      </c>
      <c r="K7" s="3"/>
      <c r="L7" s="3">
        <f t="shared" si="0"/>
        <v>0.27377824487651076</v>
      </c>
      <c r="M7" s="3"/>
      <c r="N7" s="2">
        <f>IF('Modell einstellen'!$B$1="Voll",H7/0.35,H7/0.35*2)</f>
        <v>1.6221750571428572E-4</v>
      </c>
      <c r="O7" s="2">
        <f>IF('Modell einstellen'!$B$1="Voll",J7/0.35,J7/0.35*2)</f>
        <v>-4.237640857142858E-4</v>
      </c>
      <c r="P7" s="3">
        <f t="shared" si="1"/>
        <v>0.38280144821818979</v>
      </c>
      <c r="Q7" s="3"/>
      <c r="R7" s="3"/>
      <c r="S7" s="3"/>
      <c r="T7" s="3"/>
      <c r="U7" s="3"/>
    </row>
    <row r="8" spans="1:21" x14ac:dyDescent="0.25">
      <c r="A8" s="3">
        <v>1E-10</v>
      </c>
      <c r="B8" s="3">
        <v>1.055E-4</v>
      </c>
      <c r="C8" s="3">
        <v>1.516E-4</v>
      </c>
      <c r="D8" s="3">
        <v>-3.879E-4</v>
      </c>
      <c r="E8" s="3">
        <v>0</v>
      </c>
      <c r="F8" s="3">
        <v>0</v>
      </c>
      <c r="G8" s="3">
        <v>0</v>
      </c>
      <c r="H8" s="3">
        <v>5.9264320999999998E-5</v>
      </c>
      <c r="I8" s="3">
        <v>1.5430324999999999E-5</v>
      </c>
      <c r="J8" s="3">
        <v>-1.5300515999999999E-4</v>
      </c>
      <c r="K8" s="3"/>
      <c r="L8" s="3">
        <f t="shared" si="0"/>
        <v>0.27197731374065481</v>
      </c>
      <c r="M8" s="3"/>
      <c r="N8" s="2">
        <f>IF('Modell einstellen'!$B$1="Voll",H8/0.35,H8/0.35*2)</f>
        <v>1.6932663142857143E-4</v>
      </c>
      <c r="O8" s="2">
        <f>IF('Modell einstellen'!$B$1="Voll",J8/0.35,J8/0.35*2)</f>
        <v>-4.3715760000000002E-4</v>
      </c>
      <c r="P8" s="3">
        <f t="shared" si="1"/>
        <v>0.38733544019038313</v>
      </c>
      <c r="Q8" s="3"/>
      <c r="R8" s="3"/>
      <c r="S8" s="3"/>
      <c r="T8" s="3"/>
      <c r="U8" s="3"/>
    </row>
    <row r="9" spans="1:21" x14ac:dyDescent="0.25">
      <c r="A9" s="3">
        <v>1.0000000000000001E-9</v>
      </c>
      <c r="B9" s="3">
        <v>1.065E-4</v>
      </c>
      <c r="C9" s="3">
        <v>1.5699999999999999E-4</v>
      </c>
      <c r="D9" s="3">
        <v>-3.9520000000000001E-4</v>
      </c>
      <c r="E9" s="3">
        <v>0</v>
      </c>
      <c r="F9" s="3">
        <v>0</v>
      </c>
      <c r="G9" s="3">
        <v>0</v>
      </c>
      <c r="H9" s="3">
        <v>6.1922609E-5</v>
      </c>
      <c r="I9" s="3">
        <v>1.6040349E-5</v>
      </c>
      <c r="J9" s="3">
        <v>-1.5797418999999999E-4</v>
      </c>
      <c r="K9" s="3"/>
      <c r="L9" s="3">
        <f t="shared" si="0"/>
        <v>0.26948380566801616</v>
      </c>
      <c r="M9" s="3"/>
      <c r="N9" s="2">
        <f>IF('Modell einstellen'!$B$1="Voll",H9/0.35,H9/0.35*2)</f>
        <v>1.7692174000000002E-4</v>
      </c>
      <c r="O9" s="2">
        <f>IF('Modell einstellen'!$B$1="Voll",J9/0.35,J9/0.35*2)</f>
        <v>-4.5135482857142859E-4</v>
      </c>
      <c r="P9" s="3">
        <f t="shared" si="1"/>
        <v>0.39197927838718466</v>
      </c>
      <c r="Q9" s="3"/>
      <c r="R9" s="3"/>
      <c r="S9" s="3"/>
      <c r="T9" s="3"/>
      <c r="U9" s="3"/>
    </row>
    <row r="10" spans="1:21" x14ac:dyDescent="0.25">
      <c r="A10" s="3">
        <v>1E-8</v>
      </c>
      <c r="B10" s="3">
        <v>1.0730000000000001E-4</v>
      </c>
      <c r="C10" s="3">
        <v>1.6239999999999999E-4</v>
      </c>
      <c r="D10" s="3">
        <v>-4.0220000000000002E-4</v>
      </c>
      <c r="E10" s="3">
        <v>0</v>
      </c>
      <c r="F10" s="3">
        <v>0</v>
      </c>
      <c r="G10" s="3">
        <v>0</v>
      </c>
      <c r="H10" s="3">
        <v>6.4636566999999993E-5</v>
      </c>
      <c r="I10" s="3">
        <v>1.6653371999999999E-5</v>
      </c>
      <c r="J10" s="3">
        <v>-1.6300937E-4</v>
      </c>
      <c r="K10" s="3"/>
      <c r="L10" s="3">
        <f t="shared" si="0"/>
        <v>0.26678269517652908</v>
      </c>
      <c r="M10" s="3"/>
      <c r="N10" s="2">
        <f>IF('Modell einstellen'!$B$1="Voll",H10/0.35,H10/0.35*2)</f>
        <v>1.8467590571428572E-4</v>
      </c>
      <c r="O10" s="2">
        <f>IF('Modell einstellen'!$B$1="Voll",J10/0.35,J10/0.35*2)</f>
        <v>-4.6574105714285716E-4</v>
      </c>
      <c r="P10" s="3">
        <f t="shared" si="1"/>
        <v>0.39652056197751084</v>
      </c>
      <c r="Q10" s="3"/>
      <c r="R10" s="3"/>
      <c r="S10" s="3"/>
      <c r="T10" s="3"/>
      <c r="U10" s="3"/>
    </row>
    <row r="11" spans="1:21" x14ac:dyDescent="0.25">
      <c r="A11" s="3">
        <v>9.9999999999999995E-8</v>
      </c>
      <c r="B11" s="3">
        <v>1.0789999999999999E-4</v>
      </c>
      <c r="C11" s="3">
        <v>1.6899999999999999E-4</v>
      </c>
      <c r="D11" s="3">
        <v>-4.104E-4</v>
      </c>
      <c r="E11" s="3">
        <v>0</v>
      </c>
      <c r="F11" s="3">
        <v>0</v>
      </c>
      <c r="G11" s="3">
        <v>0</v>
      </c>
      <c r="H11" s="3">
        <v>6.8038557999999994E-5</v>
      </c>
      <c r="I11" s="3">
        <v>1.7408406000000001E-5</v>
      </c>
      <c r="J11" s="3">
        <v>-1.6926981000000001E-4</v>
      </c>
      <c r="K11" s="3"/>
      <c r="L11" s="3">
        <f t="shared" si="0"/>
        <v>0.26291423001949316</v>
      </c>
      <c r="M11" s="3"/>
      <c r="N11" s="2">
        <f>IF('Modell einstellen'!$B$1="Voll",H11/0.35,H11/0.35*2)</f>
        <v>1.9439587999999999E-4</v>
      </c>
      <c r="O11" s="2">
        <f>IF('Modell einstellen'!$B$1="Voll",J11/0.35,J11/0.35*2)</f>
        <v>-4.8362802857142864E-4</v>
      </c>
      <c r="P11" s="3">
        <f t="shared" si="1"/>
        <v>0.40195329574718602</v>
      </c>
      <c r="Q11" s="3"/>
      <c r="R11" s="3"/>
      <c r="S11" s="3"/>
      <c r="T11" s="3"/>
      <c r="U11" s="3"/>
    </row>
    <row r="12" spans="1:21" x14ac:dyDescent="0.25">
      <c r="A12" s="3">
        <v>9.9999999999999995E-7</v>
      </c>
      <c r="B12" s="3">
        <v>1.08E-4</v>
      </c>
      <c r="C12" s="3">
        <v>1.773E-4</v>
      </c>
      <c r="D12" s="3">
        <v>-4.2010000000000002E-4</v>
      </c>
      <c r="E12" s="3">
        <v>0</v>
      </c>
      <c r="F12" s="3">
        <v>0</v>
      </c>
      <c r="G12" s="3">
        <v>0</v>
      </c>
      <c r="H12" s="3">
        <v>7.2460772999999995E-5</v>
      </c>
      <c r="I12" s="3">
        <v>1.8366869E-5</v>
      </c>
      <c r="J12" s="3">
        <v>-1.7731959E-4</v>
      </c>
      <c r="K12" s="3"/>
      <c r="L12" s="3">
        <f t="shared" si="0"/>
        <v>0.25708164722685073</v>
      </c>
      <c r="M12" s="3"/>
      <c r="N12" s="2">
        <f>IF('Modell einstellen'!$B$1="Voll",H12/0.35,H12/0.35*2)</f>
        <v>2.0703078E-4</v>
      </c>
      <c r="O12" s="2">
        <f>IF('Modell einstellen'!$B$1="Voll",J12/0.35,J12/0.35*2)</f>
        <v>-5.0662740000000008E-4</v>
      </c>
      <c r="P12" s="3">
        <f t="shared" si="1"/>
        <v>0.40864505157044401</v>
      </c>
      <c r="Q12" s="3"/>
      <c r="R12" s="3"/>
      <c r="S12" s="3"/>
      <c r="T12" s="3"/>
      <c r="U12" s="3"/>
    </row>
    <row r="13" spans="1:21" x14ac:dyDescent="0.25">
      <c r="A13" s="3">
        <v>1.0000000000000001E-5</v>
      </c>
      <c r="B13" s="3">
        <v>1.0739999999999999E-4</v>
      </c>
      <c r="C13" s="3">
        <v>1.863E-4</v>
      </c>
      <c r="D13" s="3">
        <v>-4.2999999999999999E-4</v>
      </c>
      <c r="E13" s="3">
        <v>0</v>
      </c>
      <c r="F13" s="3">
        <v>0</v>
      </c>
      <c r="G13" s="3">
        <v>0</v>
      </c>
      <c r="H13" s="3">
        <v>7.7545886999999997E-5</v>
      </c>
      <c r="I13" s="3">
        <v>1.943617E-5</v>
      </c>
      <c r="J13" s="3">
        <v>-1.8645050000000001E-4</v>
      </c>
      <c r="K13" s="3"/>
      <c r="L13" s="3">
        <f t="shared" si="0"/>
        <v>0.24976744186046512</v>
      </c>
      <c r="M13" s="3"/>
      <c r="N13" s="2">
        <f>IF('Modell einstellen'!$B$1="Voll",H13/0.35,H13/0.35*2)</f>
        <v>2.2155967714285714E-4</v>
      </c>
      <c r="O13" s="2">
        <f>IF('Modell einstellen'!$B$1="Voll",J13/0.35,J13/0.35*2)</f>
        <v>-5.3271571428571435E-4</v>
      </c>
      <c r="P13" s="3">
        <f t="shared" si="1"/>
        <v>0.41590602867785276</v>
      </c>
      <c r="Q13" s="3"/>
      <c r="R13" s="3"/>
      <c r="S13" s="3"/>
      <c r="T13" s="3"/>
      <c r="U13" s="3"/>
    </row>
    <row r="14" spans="1:21" x14ac:dyDescent="0.25">
      <c r="A14" s="3">
        <v>1E-4</v>
      </c>
      <c r="B14" s="3">
        <v>1.06E-4</v>
      </c>
      <c r="C14" s="3">
        <v>1.9450000000000001E-4</v>
      </c>
      <c r="D14" s="3">
        <v>-4.3800000000000002E-4</v>
      </c>
      <c r="E14" s="3">
        <v>0</v>
      </c>
      <c r="F14" s="3">
        <v>0</v>
      </c>
      <c r="G14" s="3">
        <v>0</v>
      </c>
      <c r="H14" s="3">
        <v>8.2340898000000004E-5</v>
      </c>
      <c r="I14" s="3">
        <v>2.0411924999999999E-5</v>
      </c>
      <c r="J14" s="3">
        <v>-1.9493637E-4</v>
      </c>
      <c r="K14" s="3"/>
      <c r="L14" s="3">
        <f t="shared" si="0"/>
        <v>0.24200913242009131</v>
      </c>
      <c r="M14" s="3"/>
      <c r="N14" s="2">
        <f>IF('Modell einstellen'!$B$1="Voll",H14/0.35,H14/0.35*2)</f>
        <v>2.3525970857142859E-4</v>
      </c>
      <c r="O14" s="2">
        <f>IF('Modell einstellen'!$B$1="Voll",J14/0.35,J14/0.35*2)</f>
        <v>-5.569610571428572E-4</v>
      </c>
      <c r="P14" s="3">
        <f t="shared" si="1"/>
        <v>0.42239884737773664</v>
      </c>
      <c r="Q14" s="3"/>
      <c r="R14" s="3"/>
      <c r="S14" s="3"/>
      <c r="T14" s="3"/>
      <c r="U14" s="3"/>
    </row>
    <row r="15" spans="1:21" x14ac:dyDescent="0.25">
      <c r="A15" s="3">
        <v>1E-3</v>
      </c>
      <c r="B15" s="3">
        <v>1.0399999999999999E-4</v>
      </c>
      <c r="C15" s="3">
        <v>2.0220000000000001E-4</v>
      </c>
      <c r="D15" s="3">
        <v>-4.4499999999999997E-4</v>
      </c>
      <c r="E15" s="3">
        <v>0</v>
      </c>
      <c r="F15" s="3">
        <v>0</v>
      </c>
      <c r="G15" s="3">
        <v>0</v>
      </c>
      <c r="H15" s="3">
        <v>8.7079653000000004E-5</v>
      </c>
      <c r="I15" s="3">
        <v>2.1349371E-5</v>
      </c>
      <c r="J15" s="3">
        <v>-2.0322090999999999E-4</v>
      </c>
      <c r="K15" s="3"/>
      <c r="L15" s="3">
        <f t="shared" si="0"/>
        <v>0.23370786516853934</v>
      </c>
      <c r="M15" s="3"/>
      <c r="N15" s="2">
        <f>IF('Modell einstellen'!$B$1="Voll",H15/0.35,H15/0.35*2)</f>
        <v>2.4879900857142857E-4</v>
      </c>
      <c r="O15" s="2">
        <f>IF('Modell einstellen'!$B$1="Voll",J15/0.35,J15/0.35*2)</f>
        <v>-5.8063117142857139E-4</v>
      </c>
      <c r="P15" s="3">
        <f t="shared" si="1"/>
        <v>0.42849750549783489</v>
      </c>
      <c r="Q15" s="3"/>
      <c r="R15" s="3"/>
      <c r="S15" s="3"/>
      <c r="T15" s="3"/>
      <c r="U15" s="3"/>
    </row>
    <row r="16" spans="1:21" x14ac:dyDescent="0.25">
      <c r="A16" s="3">
        <v>0.01</v>
      </c>
      <c r="B16" s="3">
        <v>1.011E-4</v>
      </c>
      <c r="C16" s="3">
        <v>2.1029999999999999E-4</v>
      </c>
      <c r="D16" s="3">
        <v>-4.5140000000000002E-4</v>
      </c>
      <c r="E16" s="3">
        <v>0</v>
      </c>
      <c r="F16" s="3">
        <v>0</v>
      </c>
      <c r="G16" s="3">
        <v>0</v>
      </c>
      <c r="H16" s="3">
        <v>9.2259535999999998E-5</v>
      </c>
      <c r="I16" s="3">
        <v>2.2342363E-5</v>
      </c>
      <c r="J16" s="3">
        <v>-2.1215665E-4</v>
      </c>
      <c r="K16" s="3"/>
      <c r="L16" s="3">
        <f t="shared" si="0"/>
        <v>0.22396987151085512</v>
      </c>
      <c r="M16" s="3"/>
      <c r="N16" s="2">
        <f>IF('Modell einstellen'!$B$1="Voll",H16/0.35,H16/0.35*2)</f>
        <v>2.6359867428571432E-4</v>
      </c>
      <c r="O16" s="2">
        <f>IF('Modell einstellen'!$B$1="Voll",J16/0.35,J16/0.35*2)</f>
        <v>-6.0616185714285715E-4</v>
      </c>
      <c r="P16" s="3">
        <f t="shared" si="1"/>
        <v>0.43486516213373472</v>
      </c>
      <c r="Q16" s="3"/>
      <c r="R16" s="3"/>
      <c r="S16" s="3"/>
      <c r="T16" s="3"/>
      <c r="U16" s="3"/>
    </row>
    <row r="17" spans="1:21" x14ac:dyDescent="0.25">
      <c r="A17" s="3">
        <v>0.1</v>
      </c>
      <c r="B17" s="3">
        <v>9.7139999999999995E-5</v>
      </c>
      <c r="C17" s="3">
        <v>2.1900000000000001E-4</v>
      </c>
      <c r="D17" s="3">
        <v>-4.5750000000000001E-4</v>
      </c>
      <c r="E17" s="3">
        <v>0</v>
      </c>
      <c r="F17" s="3">
        <v>0</v>
      </c>
      <c r="G17" s="3">
        <v>0</v>
      </c>
      <c r="H17" s="3">
        <v>9.8091642000000003E-5</v>
      </c>
      <c r="I17" s="3">
        <v>2.3424817E-5</v>
      </c>
      <c r="J17" s="3">
        <v>-2.2208212999999999E-4</v>
      </c>
      <c r="K17" s="3"/>
      <c r="L17" s="3">
        <f t="shared" si="0"/>
        <v>0.212327868852459</v>
      </c>
      <c r="M17" s="3"/>
      <c r="N17" s="2">
        <f>IF('Modell einstellen'!$B$1="Voll",H17/0.35,H17/0.35*2)</f>
        <v>2.8026183428571432E-4</v>
      </c>
      <c r="O17" s="2">
        <f>IF('Modell einstellen'!$B$1="Voll",J17/0.35,J17/0.35*2)</f>
        <v>-6.3452037142857146E-4</v>
      </c>
      <c r="P17" s="3">
        <f t="shared" si="1"/>
        <v>0.44169083752934107</v>
      </c>
      <c r="Q17" s="3"/>
      <c r="R17" s="3"/>
      <c r="S17" s="3"/>
      <c r="T17" s="3"/>
      <c r="U17" s="3"/>
    </row>
    <row r="18" spans="1:21" x14ac:dyDescent="0.25">
      <c r="A18" s="3">
        <v>1</v>
      </c>
      <c r="B18" s="3">
        <v>9.2079999999999999E-5</v>
      </c>
      <c r="C18" s="3">
        <v>2.2800000000000001E-4</v>
      </c>
      <c r="D18" s="3">
        <v>-4.6270000000000003E-4</v>
      </c>
      <c r="E18" s="3">
        <v>0</v>
      </c>
      <c r="F18" s="3">
        <v>0</v>
      </c>
      <c r="G18" s="3">
        <v>0</v>
      </c>
      <c r="H18" s="3">
        <v>1.0436461999999999E-4</v>
      </c>
      <c r="I18" s="3">
        <v>2.4563282999999999E-5</v>
      </c>
      <c r="J18" s="3">
        <v>-2.3264974E-4</v>
      </c>
      <c r="K18" s="3"/>
      <c r="L18" s="3">
        <f t="shared" si="0"/>
        <v>0.19900583531445859</v>
      </c>
      <c r="M18" s="3"/>
      <c r="N18" s="2">
        <f>IF('Modell einstellen'!$B$1="Voll",H18/0.35,H18/0.35*2)</f>
        <v>2.9818462857142858E-4</v>
      </c>
      <c r="O18" s="2">
        <f>IF('Modell einstellen'!$B$1="Voll",J18/0.35,J18/0.35*2)</f>
        <v>-6.6471354285714285E-4</v>
      </c>
      <c r="P18" s="3">
        <f t="shared" si="1"/>
        <v>0.44859117401119813</v>
      </c>
      <c r="Q18" s="3"/>
      <c r="R18" s="3"/>
      <c r="S18" s="3"/>
      <c r="T18" s="3"/>
      <c r="U18" s="3"/>
    </row>
    <row r="19" spans="1:21" x14ac:dyDescent="0.25">
      <c r="A19" s="3">
        <v>10</v>
      </c>
      <c r="B19" s="3">
        <v>8.6130000000000004E-5</v>
      </c>
      <c r="C19" s="3">
        <v>2.4030000000000001E-4</v>
      </c>
      <c r="D19" s="3">
        <v>-4.704E-4</v>
      </c>
      <c r="E19" s="3">
        <v>0</v>
      </c>
      <c r="F19" s="3">
        <v>0</v>
      </c>
      <c r="G19" s="3">
        <v>0</v>
      </c>
      <c r="H19" s="3">
        <v>1.1215078E-4</v>
      </c>
      <c r="I19" s="3">
        <v>2.613031E-5</v>
      </c>
      <c r="J19" s="3">
        <v>-2.4624233999999997E-4</v>
      </c>
      <c r="K19" s="3"/>
      <c r="L19" s="3">
        <f t="shared" si="0"/>
        <v>0.18309948979591836</v>
      </c>
      <c r="M19" s="3"/>
      <c r="N19" s="2">
        <f>IF('Modell einstellen'!$B$1="Voll",H19/0.35,H19/0.35*2)</f>
        <v>3.2043080000000002E-4</v>
      </c>
      <c r="O19" s="2">
        <f>IF('Modell einstellen'!$B$1="Voll",J19/0.35,J19/0.35*2)</f>
        <v>-7.0354954285714285E-4</v>
      </c>
      <c r="P19" s="3">
        <f t="shared" si="1"/>
        <v>0.45544880705730789</v>
      </c>
      <c r="Q19" s="3"/>
      <c r="R19" s="3"/>
      <c r="S19" s="3"/>
      <c r="T19" s="3"/>
      <c r="U19" s="3"/>
    </row>
    <row r="20" spans="1:21" x14ac:dyDescent="0.25">
      <c r="A20" s="3">
        <v>100</v>
      </c>
      <c r="B20" s="3">
        <v>8.3020000000000001E-5</v>
      </c>
      <c r="C20" s="3">
        <v>2.632E-4</v>
      </c>
      <c r="D20" s="3">
        <v>-4.906E-4</v>
      </c>
      <c r="E20" s="3">
        <v>0</v>
      </c>
      <c r="F20" s="3">
        <v>0</v>
      </c>
      <c r="G20" s="3">
        <v>0</v>
      </c>
      <c r="H20" s="3">
        <v>1.2211264999999999E-4</v>
      </c>
      <c r="I20" s="3">
        <v>2.9056566999999999E-5</v>
      </c>
      <c r="J20" s="3">
        <v>-2.6664320999999998E-4</v>
      </c>
      <c r="K20" s="3"/>
      <c r="L20" s="3">
        <f t="shared" si="0"/>
        <v>0.16922136159804321</v>
      </c>
      <c r="M20" s="3"/>
      <c r="N20" s="2">
        <f>IF('Modell einstellen'!$B$1="Voll",H20/0.35,H20/0.35*2)</f>
        <v>3.4889328571428569E-4</v>
      </c>
      <c r="O20" s="2">
        <f>IF('Modell einstellen'!$B$1="Voll",J20/0.35,J20/0.35*2)</f>
        <v>-7.6183774285714279E-4</v>
      </c>
      <c r="P20" s="3">
        <f t="shared" si="1"/>
        <v>0.45796272104585001</v>
      </c>
      <c r="Q20" s="3"/>
      <c r="R20" s="3"/>
      <c r="S20" s="3"/>
      <c r="T20" s="3"/>
      <c r="U20" s="3"/>
    </row>
    <row r="21" spans="1:21" x14ac:dyDescent="0.25">
      <c r="A21" s="3">
        <v>1000</v>
      </c>
      <c r="B21" s="3">
        <v>8.4419999999999995E-5</v>
      </c>
      <c r="C21" s="3">
        <v>3.0009999999999998E-4</v>
      </c>
      <c r="D21" s="3">
        <v>-5.2820000000000005E-4</v>
      </c>
      <c r="E21" s="3">
        <v>0</v>
      </c>
      <c r="F21" s="3">
        <v>0</v>
      </c>
      <c r="G21" s="3">
        <v>0</v>
      </c>
      <c r="H21" s="3">
        <v>1.3450796E-4</v>
      </c>
      <c r="I21" s="3">
        <v>3.3826184999999997E-5</v>
      </c>
      <c r="J21" s="3">
        <v>-2.9582585999999997E-4</v>
      </c>
      <c r="K21" s="3"/>
      <c r="L21" s="3">
        <f t="shared" si="0"/>
        <v>0.15982582355168495</v>
      </c>
      <c r="M21" s="3"/>
      <c r="N21" s="2">
        <f>IF('Modell einstellen'!$B$1="Voll",H21/0.35,H21/0.35*2)</f>
        <v>3.8430845714285719E-4</v>
      </c>
      <c r="O21" s="2">
        <f>IF('Modell einstellen'!$B$1="Voll",J21/0.35,J21/0.35*2)</f>
        <v>-8.4521674285714286E-4</v>
      </c>
      <c r="P21" s="3">
        <f t="shared" si="1"/>
        <v>0.45468628063821065</v>
      </c>
      <c r="Q21" s="3"/>
      <c r="R21" s="3"/>
      <c r="S21" s="3"/>
      <c r="T21" s="3"/>
      <c r="U21" s="3"/>
    </row>
    <row r="22" spans="1:21" x14ac:dyDescent="0.25">
      <c r="A22" s="3">
        <v>10000</v>
      </c>
      <c r="B22" s="3">
        <v>8.2230000000000004E-5</v>
      </c>
      <c r="C22" s="3">
        <v>3.4759999999999999E-4</v>
      </c>
      <c r="D22" s="3">
        <v>-5.731E-4</v>
      </c>
      <c r="E22" s="3">
        <v>0</v>
      </c>
      <c r="F22" s="3">
        <v>0</v>
      </c>
      <c r="G22" s="3">
        <v>0</v>
      </c>
      <c r="H22" s="3">
        <v>1.5132627999999999E-4</v>
      </c>
      <c r="I22" s="3">
        <v>4.0153256E-5</v>
      </c>
      <c r="J22" s="3">
        <v>-3.3511336999999999E-4</v>
      </c>
      <c r="K22" s="3"/>
      <c r="L22" s="3">
        <f t="shared" si="0"/>
        <v>0.14348281277264002</v>
      </c>
      <c r="M22" s="3"/>
      <c r="N22" s="2">
        <f>IF('Modell einstellen'!$B$1="Voll",H22/0.35,H22/0.35*2)</f>
        <v>4.3236080000000002E-4</v>
      </c>
      <c r="O22" s="2">
        <f>IF('Modell einstellen'!$B$1="Voll",J22/0.35,J22/0.35*2)</f>
        <v>-9.5746677142857144E-4</v>
      </c>
      <c r="P22" s="3">
        <f t="shared" si="1"/>
        <v>0.45156742030316488</v>
      </c>
      <c r="Q22" s="3"/>
      <c r="R22" s="3"/>
      <c r="S22" s="3"/>
      <c r="T22" s="3"/>
      <c r="U22" s="3"/>
    </row>
    <row r="23" spans="1:21" x14ac:dyDescent="0.25">
      <c r="A23" s="3">
        <v>100000</v>
      </c>
      <c r="B23" s="3">
        <v>6.1779999999999995E-5</v>
      </c>
      <c r="C23" s="3">
        <v>4.0519999999999998E-4</v>
      </c>
      <c r="D23" s="3">
        <v>-6.11E-4</v>
      </c>
      <c r="E23" s="3">
        <v>0</v>
      </c>
      <c r="F23" s="3">
        <v>0</v>
      </c>
      <c r="G23" s="3">
        <v>0</v>
      </c>
      <c r="H23" s="3">
        <v>1.7562198000000001E-4</v>
      </c>
      <c r="I23" s="3">
        <v>4.8234047999999997E-5</v>
      </c>
      <c r="J23" s="3">
        <v>-3.8844440000000002E-4</v>
      </c>
      <c r="K23" s="3"/>
      <c r="L23" s="3">
        <f t="shared" si="0"/>
        <v>0.10111292962356791</v>
      </c>
      <c r="M23" s="3"/>
      <c r="N23" s="2">
        <f>IF('Modell einstellen'!$B$1="Voll",H23/0.35,H23/0.35*2)</f>
        <v>5.0177708571428573E-4</v>
      </c>
      <c r="O23" s="2">
        <f>IF('Modell einstellen'!$B$1="Voll",J23/0.35,J23/0.35*2)</f>
        <v>-1.1098411428571431E-3</v>
      </c>
      <c r="P23" s="3">
        <f t="shared" si="1"/>
        <v>0.45211613296523251</v>
      </c>
      <c r="Q23" s="3"/>
      <c r="R23" s="3"/>
      <c r="S23" s="3"/>
      <c r="T23" s="3"/>
      <c r="U23" s="3"/>
    </row>
    <row r="24" spans="1:21" x14ac:dyDescent="0.25">
      <c r="A24" s="3">
        <v>1000000</v>
      </c>
      <c r="B24" s="3">
        <v>3.1109999999999999E-6</v>
      </c>
      <c r="C24" s="3">
        <v>4.8089999999999998E-4</v>
      </c>
      <c r="D24" s="3">
        <v>-6.3020000000000003E-4</v>
      </c>
      <c r="E24" s="3">
        <v>0</v>
      </c>
      <c r="F24" s="3">
        <v>0</v>
      </c>
      <c r="G24" s="3">
        <v>0</v>
      </c>
      <c r="H24" s="3">
        <v>2.1371861999999999E-4</v>
      </c>
      <c r="I24" s="3">
        <v>5.9550077000000001E-5</v>
      </c>
      <c r="J24" s="3">
        <v>-4.6758092E-4</v>
      </c>
      <c r="K24" s="3"/>
      <c r="L24" s="3">
        <f t="shared" si="0"/>
        <v>4.9365280863218021E-3</v>
      </c>
      <c r="M24" s="3"/>
      <c r="N24" s="2">
        <f>IF('Modell einstellen'!$B$1="Voll",H24/0.35,H24/0.35*2)</f>
        <v>6.1062462857142856E-4</v>
      </c>
      <c r="O24" s="2">
        <f>IF('Modell einstellen'!$B$1="Voll",J24/0.35,J24/0.35*2)</f>
        <v>-1.3359454857142859E-3</v>
      </c>
      <c r="P24" s="3">
        <f t="shared" si="1"/>
        <v>0.45707301315887733</v>
      </c>
      <c r="Q24" s="3"/>
      <c r="R24" s="3"/>
      <c r="S24" s="3"/>
      <c r="T24" s="3"/>
      <c r="U24" s="3"/>
    </row>
    <row r="25" spans="1:21" x14ac:dyDescent="0.25">
      <c r="A25" s="3">
        <v>10000000</v>
      </c>
      <c r="B25" s="3">
        <v>-1.392E-4</v>
      </c>
      <c r="C25" s="3">
        <v>5.9130000000000001E-4</v>
      </c>
      <c r="D25" s="3">
        <v>-6.0170000000000004E-4</v>
      </c>
      <c r="E25" s="3">
        <v>0</v>
      </c>
      <c r="F25" s="3">
        <v>0</v>
      </c>
      <c r="G25" s="3">
        <v>0</v>
      </c>
      <c r="H25" s="3">
        <v>2.7816693000000002E-4</v>
      </c>
      <c r="I25" s="3">
        <v>7.7251737000000006E-5</v>
      </c>
      <c r="J25" s="3">
        <v>-5.9651306999999995E-4</v>
      </c>
      <c r="K25" s="3"/>
      <c r="L25" s="3">
        <f t="shared" si="0"/>
        <v>-0.23134452384909421</v>
      </c>
      <c r="M25" s="3"/>
      <c r="N25" s="2">
        <f>IF('Modell einstellen'!$B$1="Voll",H25/0.35,H25/0.35*2)</f>
        <v>7.9476265714285724E-4</v>
      </c>
      <c r="O25" s="2">
        <f>IF('Modell einstellen'!$B$1="Voll",J25/0.35,J25/0.35*2)</f>
        <v>-1.7043230571428571E-3</v>
      </c>
      <c r="P25" s="3">
        <f t="shared" si="1"/>
        <v>0.46632160130204697</v>
      </c>
      <c r="Q25" s="3"/>
      <c r="R25" s="3"/>
      <c r="S25" s="3"/>
      <c r="T25" s="3"/>
      <c r="U25" s="3"/>
    </row>
    <row r="26" spans="1:21" x14ac:dyDescent="0.25">
      <c r="A26" s="3">
        <v>100000000</v>
      </c>
      <c r="B26" s="3">
        <v>-4.4079999999999998E-4</v>
      </c>
      <c r="C26" s="3">
        <v>7.5389999999999995E-4</v>
      </c>
      <c r="D26" s="3">
        <v>-4.6660000000000001E-4</v>
      </c>
      <c r="E26" s="3">
        <v>0</v>
      </c>
      <c r="F26" s="3">
        <v>0</v>
      </c>
      <c r="G26" s="3">
        <v>0</v>
      </c>
      <c r="H26" s="3">
        <v>3.8608463E-4</v>
      </c>
      <c r="I26" s="3">
        <v>1.0522171E-4</v>
      </c>
      <c r="J26" s="3">
        <v>-8.0641619999999997E-4</v>
      </c>
      <c r="K26" s="3"/>
      <c r="L26" s="3">
        <f t="shared" si="0"/>
        <v>-0.94470638662666084</v>
      </c>
      <c r="M26" s="3"/>
      <c r="N26" s="2">
        <f>IF('Modell einstellen'!$B$1="Voll",H26/0.35,H26/0.35*2)</f>
        <v>1.1030989428571429E-3</v>
      </c>
      <c r="O26" s="2">
        <f>IF('Modell einstellen'!$B$1="Voll",J26/0.35,J26/0.35*2)</f>
        <v>-2.3040462857142857E-3</v>
      </c>
      <c r="P26" s="3">
        <f t="shared" si="1"/>
        <v>0.47876596477104505</v>
      </c>
      <c r="Q26" s="3"/>
      <c r="R26" s="3"/>
      <c r="S26" s="3"/>
      <c r="T26" s="3"/>
      <c r="U26" s="3"/>
    </row>
    <row r="27" spans="1:21" x14ac:dyDescent="0.25">
      <c r="A27" s="3">
        <v>1000000000</v>
      </c>
      <c r="B27" s="3">
        <v>-9.4490000000000004E-4</v>
      </c>
      <c r="C27" s="3">
        <v>9.6920000000000003E-4</v>
      </c>
      <c r="D27" s="3">
        <v>-1.8120000000000001E-4</v>
      </c>
      <c r="E27" s="3">
        <v>0</v>
      </c>
      <c r="F27" s="3">
        <v>0</v>
      </c>
      <c r="G27" s="3">
        <v>0</v>
      </c>
      <c r="H27" s="3">
        <v>5.4480641999999995E-4</v>
      </c>
      <c r="I27" s="3">
        <v>1.4443713E-4</v>
      </c>
      <c r="J27" s="3">
        <v>-1.1079727000000001E-3</v>
      </c>
      <c r="K27" s="3"/>
      <c r="L27" s="3">
        <f t="shared" si="0"/>
        <v>-5.2146799116997791</v>
      </c>
      <c r="M27" s="3"/>
      <c r="N27" s="2">
        <f>IF('Modell einstellen'!$B$1="Voll",H27/0.35,H27/0.35*2)</f>
        <v>1.5565897714285713E-3</v>
      </c>
      <c r="O27" s="2">
        <f>IF('Modell einstellen'!$B$1="Voll",J27/0.35,J27/0.35*2)</f>
        <v>-3.1656362857142859E-3</v>
      </c>
      <c r="P27" s="3">
        <f t="shared" si="1"/>
        <v>0.49171466047854784</v>
      </c>
      <c r="Q27" s="3"/>
      <c r="R27" s="3"/>
      <c r="S27" s="3"/>
      <c r="T27" s="3"/>
      <c r="U27" s="3"/>
    </row>
    <row r="28" spans="1:21" x14ac:dyDescent="0.25">
      <c r="A28" s="3">
        <v>10000000000</v>
      </c>
      <c r="B28" s="3">
        <v>-1.6050000000000001E-3</v>
      </c>
      <c r="C28" s="3">
        <v>1.2149999999999999E-3</v>
      </c>
      <c r="D28" s="3">
        <v>2.3049999999999999E-4</v>
      </c>
      <c r="E28" s="3">
        <v>0</v>
      </c>
      <c r="F28" s="3">
        <v>0</v>
      </c>
      <c r="G28" s="3">
        <v>0</v>
      </c>
      <c r="H28" s="3">
        <v>7.3938002999999997E-4</v>
      </c>
      <c r="I28" s="3">
        <v>1.9098259E-4</v>
      </c>
      <c r="J28" s="3">
        <v>-1.4716829000000001E-3</v>
      </c>
      <c r="K28" s="3"/>
      <c r="L28" s="3">
        <f t="shared" si="0"/>
        <v>6.9631236442516276</v>
      </c>
      <c r="M28" s="3"/>
      <c r="N28" s="2">
        <f>IF('Modell einstellen'!$B$1="Voll",H28/0.35,H28/0.35*2)</f>
        <v>2.1125143714285713E-3</v>
      </c>
      <c r="O28" s="2">
        <f>IF('Modell einstellen'!$B$1="Voll",J28/0.35,J28/0.35*2)</f>
        <v>-4.2048082857142864E-3</v>
      </c>
      <c r="P28" s="3">
        <f t="shared" si="1"/>
        <v>0.50240444459876499</v>
      </c>
      <c r="Q28" s="3"/>
      <c r="R28" s="3"/>
      <c r="S28" s="3"/>
      <c r="T28" s="3"/>
      <c r="U28" s="3"/>
    </row>
    <row r="29" spans="1:21" x14ac:dyDescent="0.25">
      <c r="A29" s="3">
        <v>100000000000</v>
      </c>
      <c r="B29" s="3">
        <v>-2.16E-3</v>
      </c>
      <c r="C29" s="3">
        <v>1.4139999999999999E-3</v>
      </c>
      <c r="D29" s="3">
        <v>5.8600000000000004E-4</v>
      </c>
      <c r="E29" s="3">
        <v>0</v>
      </c>
      <c r="F29" s="3">
        <v>0</v>
      </c>
      <c r="G29" s="3">
        <v>0</v>
      </c>
      <c r="H29" s="3">
        <v>8.9873489999999997E-4</v>
      </c>
      <c r="I29" s="3">
        <v>2.2926439000000001E-4</v>
      </c>
      <c r="J29" s="3">
        <v>-1.7697612E-3</v>
      </c>
      <c r="K29" s="3"/>
      <c r="L29" s="3">
        <f t="shared" si="0"/>
        <v>3.6860068259385663</v>
      </c>
      <c r="M29" s="3"/>
      <c r="N29" s="2">
        <f>IF('Modell einstellen'!$B$1="Voll",H29/0.35,H29/0.35*2)</f>
        <v>2.5678140000000003E-3</v>
      </c>
      <c r="O29" s="2">
        <f>IF('Modell einstellen'!$B$1="Voll",J29/0.35,J29/0.35*2)</f>
        <v>-5.0564605714285716E-3</v>
      </c>
      <c r="P29" s="3">
        <f t="shared" si="1"/>
        <v>0.50782834429865453</v>
      </c>
      <c r="Q29" s="3"/>
      <c r="R29" s="3"/>
      <c r="S29" s="3"/>
      <c r="T29" s="3"/>
      <c r="U29" s="3"/>
    </row>
    <row r="30" spans="1:21" x14ac:dyDescent="0.25">
      <c r="A30" s="3">
        <v>1000000000000</v>
      </c>
      <c r="B30" s="3">
        <v>-2.5509999999999999E-3</v>
      </c>
      <c r="C30" s="3">
        <v>1.5529999999999999E-3</v>
      </c>
      <c r="D30" s="3">
        <v>8.3750000000000003E-4</v>
      </c>
      <c r="E30" s="3">
        <v>0</v>
      </c>
      <c r="F30" s="3">
        <v>0</v>
      </c>
      <c r="G30" s="3">
        <v>0</v>
      </c>
      <c r="H30" s="3">
        <v>1.010064E-3</v>
      </c>
      <c r="I30" s="3">
        <v>2.5638969E-4</v>
      </c>
      <c r="J30" s="3">
        <v>-1.979181E-3</v>
      </c>
      <c r="K30" s="3"/>
      <c r="L30" s="3">
        <f t="shared" si="0"/>
        <v>3.0459701492537312</v>
      </c>
      <c r="M30" s="3"/>
      <c r="N30" s="2">
        <f>IF('Modell einstellen'!$B$1="Voll",H30/0.35,H30/0.35*2)</f>
        <v>2.8858971428571429E-3</v>
      </c>
      <c r="O30" s="2">
        <f>IF('Modell einstellen'!$B$1="Voll",J30/0.35,J30/0.35*2)</f>
        <v>-5.6548028571428571E-3</v>
      </c>
      <c r="P30" s="3">
        <f t="shared" si="1"/>
        <v>0.51034443034770449</v>
      </c>
      <c r="Q30" s="3"/>
      <c r="R30" s="3"/>
      <c r="S30" s="3"/>
      <c r="T30" s="3"/>
      <c r="U30" s="3"/>
    </row>
    <row r="31" spans="1:21" x14ac:dyDescent="0.25">
      <c r="A31" s="3">
        <v>10000000000000</v>
      </c>
      <c r="B31" s="3">
        <v>-2.7820000000000002E-3</v>
      </c>
      <c r="C31" s="3">
        <v>1.637E-3</v>
      </c>
      <c r="D31" s="3">
        <v>9.8459999999999997E-4</v>
      </c>
      <c r="E31" s="3">
        <v>0</v>
      </c>
      <c r="F31" s="3">
        <v>0</v>
      </c>
      <c r="G31" s="3">
        <v>0</v>
      </c>
      <c r="H31" s="3">
        <v>1.0760399999999999E-3</v>
      </c>
      <c r="I31" s="3">
        <v>2.7280913000000002E-4</v>
      </c>
      <c r="J31" s="3">
        <v>-2.1044504E-3</v>
      </c>
      <c r="K31" s="3"/>
      <c r="L31" s="3">
        <f t="shared" si="0"/>
        <v>2.8255128986390416</v>
      </c>
      <c r="M31" s="3"/>
      <c r="N31" s="2">
        <f>IF('Modell einstellen'!$B$1="Voll",H31/0.35,H31/0.35*2)</f>
        <v>3.0743999999999997E-3</v>
      </c>
      <c r="O31" s="2">
        <f>IF('Modell einstellen'!$B$1="Voll",J31/0.35,J31/0.35*2)</f>
        <v>-6.0127154285714293E-3</v>
      </c>
      <c r="P31" s="3">
        <f t="shared" si="1"/>
        <v>0.5113163988089241</v>
      </c>
      <c r="Q31" s="3"/>
      <c r="R31" s="3"/>
      <c r="S31" s="3"/>
      <c r="T31" s="3"/>
      <c r="U31" s="3"/>
    </row>
    <row r="32" spans="1:21" x14ac:dyDescent="0.25">
      <c r="A32" s="3">
        <v>100000000000000</v>
      </c>
      <c r="B32" s="3">
        <v>-2.96E-3</v>
      </c>
      <c r="C32" s="3">
        <v>1.6999999999999999E-3</v>
      </c>
      <c r="D32" s="3">
        <v>1.0989999999999999E-3</v>
      </c>
      <c r="E32" s="3">
        <v>0</v>
      </c>
      <c r="F32" s="3">
        <v>0</v>
      </c>
      <c r="G32" s="3">
        <v>0</v>
      </c>
      <c r="H32" s="3">
        <v>1.1270130000000001E-3</v>
      </c>
      <c r="I32" s="3">
        <v>2.8524752000000001E-4</v>
      </c>
      <c r="J32" s="3">
        <v>-2.2002987000000001E-3</v>
      </c>
      <c r="K32" s="3"/>
      <c r="L32" s="3">
        <f t="shared" si="0"/>
        <v>2.6933575978161968</v>
      </c>
      <c r="M32" s="3"/>
      <c r="N32" s="2">
        <f>IF('Modell einstellen'!$B$1="Voll",H32/0.35,H32/0.35*2)</f>
        <v>3.220037142857143E-3</v>
      </c>
      <c r="O32" s="2">
        <f>IF('Modell einstellen'!$B$1="Voll",J32/0.35,J32/0.35*2)</f>
        <v>-6.2865677142857146E-3</v>
      </c>
      <c r="P32" s="3">
        <f t="shared" si="1"/>
        <v>0.51220909233823575</v>
      </c>
      <c r="Q32" s="3"/>
      <c r="R32" s="3"/>
      <c r="S32" s="3"/>
      <c r="T32" s="3"/>
      <c r="U32" s="3"/>
    </row>
    <row r="33" spans="1:21" x14ac:dyDescent="0.25">
      <c r="A33" s="2">
        <v>1000000000000000</v>
      </c>
      <c r="B33" s="3">
        <v>-3.045E-3</v>
      </c>
      <c r="C33" s="3">
        <v>1.7290000000000001E-3</v>
      </c>
      <c r="D33" s="3">
        <v>1.155E-3</v>
      </c>
      <c r="E33" s="3">
        <v>0</v>
      </c>
      <c r="F33" s="3">
        <v>0</v>
      </c>
      <c r="G33" s="3">
        <v>0</v>
      </c>
      <c r="H33" s="3">
        <v>1.1508366999999999E-3</v>
      </c>
      <c r="I33" s="3">
        <v>2.9101696999999998E-4</v>
      </c>
      <c r="J33" s="3">
        <v>-2.2449112000000001E-3</v>
      </c>
      <c r="K33" s="3"/>
      <c r="L33" s="3">
        <f t="shared" si="0"/>
        <v>2.6363636363636362</v>
      </c>
      <c r="M33" s="3"/>
      <c r="N33" s="2">
        <f>IF('Modell einstellen'!$B$1="Voll",H33/0.35,H33/0.35*2)</f>
        <v>3.2881048571428572E-3</v>
      </c>
      <c r="O33" s="2">
        <f>IF('Modell einstellen'!$B$1="Voll",J33/0.35,J33/0.35*2)</f>
        <v>-6.4140320000000009E-3</v>
      </c>
      <c r="P33" s="3">
        <f t="shared" si="1"/>
        <v>0.51264241543273503</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1.014E-4</v>
      </c>
      <c r="C3" s="3">
        <v>1.3459999999999999E-4</v>
      </c>
      <c r="D3" s="3">
        <v>-3.6380000000000001E-4</v>
      </c>
      <c r="E3" s="3">
        <v>0</v>
      </c>
      <c r="F3" s="3">
        <v>0</v>
      </c>
      <c r="G3" s="3">
        <v>0</v>
      </c>
      <c r="H3" s="3">
        <v>5.1204169999999998E-5</v>
      </c>
      <c r="I3" s="3">
        <v>1.3542549E-5</v>
      </c>
      <c r="J3" s="3">
        <v>-1.3778269000000001E-4</v>
      </c>
      <c r="K3" s="2"/>
      <c r="L3" s="3"/>
      <c r="M3" s="3"/>
      <c r="N3" s="2">
        <f>IF('Modell einstellen'!$B$1="Voll",H3/0.35,H3/0.35*2)</f>
        <v>1.4629762857142856E-4</v>
      </c>
      <c r="O3" s="2">
        <f>IF('Modell einstellen'!$B$1="Voll",J3/0.35,J3/0.35*2)</f>
        <v>-3.9366482857142865E-4</v>
      </c>
      <c r="P3" s="3">
        <f>-N3/O3</f>
        <v>0.3716299195494005</v>
      </c>
      <c r="Q3" s="3"/>
      <c r="R3" s="3"/>
      <c r="S3" s="3"/>
      <c r="T3" s="3"/>
      <c r="U3" s="3"/>
    </row>
    <row r="4" spans="1:21" x14ac:dyDescent="0.25">
      <c r="A4" s="3">
        <v>1E-14</v>
      </c>
      <c r="B4" s="3">
        <v>1.0289999999999999E-4</v>
      </c>
      <c r="C4" s="3">
        <v>1.3909999999999999E-4</v>
      </c>
      <c r="D4" s="3">
        <v>-3.7060000000000001E-4</v>
      </c>
      <c r="E4" s="3">
        <v>0</v>
      </c>
      <c r="F4" s="3">
        <v>0</v>
      </c>
      <c r="G4" s="3">
        <v>0</v>
      </c>
      <c r="H4" s="3">
        <v>5.3255252E-5</v>
      </c>
      <c r="I4" s="3">
        <v>1.4042207E-5</v>
      </c>
      <c r="J4" s="3">
        <v>-1.4172132E-4</v>
      </c>
      <c r="K4" s="2"/>
      <c r="L4" s="3"/>
      <c r="M4" s="3"/>
      <c r="N4" s="2">
        <f>IF('Modell einstellen'!$B$1="Voll",H4/0.35,H4/0.35*2)</f>
        <v>1.5215786285714287E-4</v>
      </c>
      <c r="O4" s="2">
        <f>IF('Modell einstellen'!$B$1="Voll",J4/0.35,J4/0.35*2)</f>
        <v>-4.0491805714285717E-4</v>
      </c>
      <c r="P4" s="3">
        <f t="shared" ref="P4:P33" si="0">-N4/O4</f>
        <v>0.37577445651790431</v>
      </c>
      <c r="Q4" s="3"/>
      <c r="R4" s="3"/>
      <c r="S4" s="3"/>
      <c r="T4" s="3"/>
      <c r="U4" s="3"/>
    </row>
    <row r="5" spans="1:21" x14ac:dyDescent="0.25">
      <c r="A5" s="3">
        <v>1E-13</v>
      </c>
      <c r="B5" s="3">
        <v>1.042E-4</v>
      </c>
      <c r="C5" s="3">
        <v>1.4339999999999999E-4</v>
      </c>
      <c r="D5" s="3">
        <v>-3.769E-4</v>
      </c>
      <c r="E5" s="3">
        <v>0</v>
      </c>
      <c r="F5" s="3">
        <v>0</v>
      </c>
      <c r="G5" s="3">
        <v>0</v>
      </c>
      <c r="H5" s="3">
        <v>5.5231185E-5</v>
      </c>
      <c r="I5" s="3">
        <v>1.4517870999999999E-5</v>
      </c>
      <c r="J5" s="3">
        <v>-1.4549879E-4</v>
      </c>
      <c r="K5" s="2"/>
      <c r="L5" s="3"/>
      <c r="M5" s="3"/>
      <c r="N5" s="2">
        <f>IF('Modell einstellen'!$B$1="Voll",H5/0.35,H5/0.35*2)</f>
        <v>1.5780338571428571E-4</v>
      </c>
      <c r="O5" s="2">
        <f>IF('Modell einstellen'!$B$1="Voll",J5/0.35,J5/0.35*2)</f>
        <v>-4.1571082857142861E-4</v>
      </c>
      <c r="P5" s="3">
        <f t="shared" si="0"/>
        <v>0.37959892999797451</v>
      </c>
      <c r="Q5" s="3"/>
      <c r="R5" s="3"/>
      <c r="S5" s="3"/>
      <c r="T5" s="3"/>
      <c r="U5" s="3"/>
    </row>
    <row r="6" spans="1:21" x14ac:dyDescent="0.25">
      <c r="A6" s="3">
        <v>9.9999999999999998E-13</v>
      </c>
      <c r="B6" s="3">
        <v>1.055E-4</v>
      </c>
      <c r="C6" s="3">
        <v>1.4809999999999999E-4</v>
      </c>
      <c r="D6" s="3">
        <v>-3.835E-4</v>
      </c>
      <c r="E6" s="3">
        <v>0</v>
      </c>
      <c r="F6" s="3">
        <v>0</v>
      </c>
      <c r="G6" s="3">
        <v>0</v>
      </c>
      <c r="H6" s="3">
        <v>5.7395529000000002E-5</v>
      </c>
      <c r="I6" s="3">
        <v>1.5032300999999999E-5</v>
      </c>
      <c r="J6" s="3">
        <v>-1.4961034E-4</v>
      </c>
      <c r="K6" s="2"/>
      <c r="L6" s="3"/>
      <c r="M6" s="3"/>
      <c r="N6" s="2">
        <f>IF('Modell einstellen'!$B$1="Voll",H6/0.35,H6/0.35*2)</f>
        <v>1.6398722571428574E-4</v>
      </c>
      <c r="O6" s="2">
        <f>IF('Modell einstellen'!$B$1="Voll",J6/0.35,J6/0.35*2)</f>
        <v>-4.2745811428571433E-4</v>
      </c>
      <c r="P6" s="3">
        <f t="shared" si="0"/>
        <v>0.38363343736803218</v>
      </c>
      <c r="Q6" s="3"/>
      <c r="R6" s="3"/>
      <c r="S6" s="3"/>
      <c r="T6" s="3"/>
      <c r="U6" s="3"/>
    </row>
    <row r="7" spans="1:21" x14ac:dyDescent="0.25">
      <c r="A7" s="3">
        <v>9.9999999999999994E-12</v>
      </c>
      <c r="B7" s="3">
        <v>1.0670000000000001E-4</v>
      </c>
      <c r="C7" s="3">
        <v>1.5349999999999999E-4</v>
      </c>
      <c r="D7" s="3">
        <v>-3.9110000000000002E-4</v>
      </c>
      <c r="E7" s="3">
        <v>0</v>
      </c>
      <c r="F7" s="3">
        <v>0</v>
      </c>
      <c r="G7" s="3">
        <v>0</v>
      </c>
      <c r="H7" s="3">
        <v>6.0001080000000003E-5</v>
      </c>
      <c r="I7" s="3">
        <v>1.5643117999999999E-5</v>
      </c>
      <c r="J7" s="3">
        <v>-1.5452675E-4</v>
      </c>
      <c r="K7" s="2"/>
      <c r="L7" s="3"/>
      <c r="M7" s="3"/>
      <c r="N7" s="2">
        <f>IF('Modell einstellen'!$B$1="Voll",H7/0.35,H7/0.35*2)</f>
        <v>1.7143165714285716E-4</v>
      </c>
      <c r="O7" s="2">
        <f>IF('Modell einstellen'!$B$1="Voll",J7/0.35,J7/0.35*2)</f>
        <v>-4.4150500000000002E-4</v>
      </c>
      <c r="P7" s="3">
        <f t="shared" si="0"/>
        <v>0.38828927677570391</v>
      </c>
      <c r="Q7" s="3"/>
      <c r="R7" s="3"/>
      <c r="S7" s="3"/>
      <c r="T7" s="3"/>
      <c r="U7" s="3"/>
    </row>
    <row r="8" spans="1:21" x14ac:dyDescent="0.25">
      <c r="A8" s="3">
        <v>1E-10</v>
      </c>
      <c r="B8" s="3">
        <v>1.077E-4</v>
      </c>
      <c r="C8" s="3">
        <v>1.5890000000000001E-4</v>
      </c>
      <c r="D8" s="3">
        <v>-3.9819999999999998E-4</v>
      </c>
      <c r="E8" s="3">
        <v>0</v>
      </c>
      <c r="F8" s="3">
        <v>0</v>
      </c>
      <c r="G8" s="3">
        <v>0</v>
      </c>
      <c r="H8" s="3">
        <v>6.2616624999999994E-5</v>
      </c>
      <c r="I8" s="3">
        <v>1.6246296E-5</v>
      </c>
      <c r="J8" s="3">
        <v>-1.5942288E-4</v>
      </c>
      <c r="K8" s="2"/>
      <c r="L8" s="3"/>
      <c r="M8" s="3"/>
      <c r="N8" s="2">
        <f>IF('Modell einstellen'!$B$1="Voll",H8/0.35,H8/0.35*2)</f>
        <v>1.7890464285714286E-4</v>
      </c>
      <c r="O8" s="2">
        <f>IF('Modell einstellen'!$B$1="Voll",J8/0.35,J8/0.35*2)</f>
        <v>-4.554939428571429E-4</v>
      </c>
      <c r="P8" s="3">
        <f t="shared" si="0"/>
        <v>0.39277062991209288</v>
      </c>
      <c r="Q8" s="3"/>
      <c r="R8" s="3"/>
      <c r="S8" s="3"/>
      <c r="T8" s="3"/>
      <c r="U8" s="3"/>
    </row>
    <row r="9" spans="1:21" x14ac:dyDescent="0.25">
      <c r="A9" s="3">
        <v>1.0000000000000001E-9</v>
      </c>
      <c r="B9" s="3">
        <v>1.0840000000000001E-4</v>
      </c>
      <c r="C9" s="3">
        <v>1.6449999999999999E-4</v>
      </c>
      <c r="D9" s="3">
        <v>-4.0539999999999999E-4</v>
      </c>
      <c r="E9" s="3">
        <v>0</v>
      </c>
      <c r="F9" s="3">
        <v>0</v>
      </c>
      <c r="G9" s="3">
        <v>0</v>
      </c>
      <c r="H9" s="3">
        <v>6.5421734000000004E-5</v>
      </c>
      <c r="I9" s="3">
        <v>1.6883275999999999E-5</v>
      </c>
      <c r="J9" s="3">
        <v>-1.6463565E-4</v>
      </c>
      <c r="K9" s="2"/>
      <c r="L9" s="3"/>
      <c r="M9" s="3"/>
      <c r="N9" s="2">
        <f>IF('Modell einstellen'!$B$1="Voll",H9/0.35,H9/0.35*2)</f>
        <v>1.8691924000000003E-4</v>
      </c>
      <c r="O9" s="2">
        <f>IF('Modell einstellen'!$B$1="Voll",J9/0.35,J9/0.35*2)</f>
        <v>-4.7038757142857146E-4</v>
      </c>
      <c r="P9" s="3">
        <f t="shared" si="0"/>
        <v>0.39737282903186527</v>
      </c>
      <c r="Q9" s="3"/>
      <c r="R9" s="3"/>
      <c r="S9" s="3"/>
      <c r="T9" s="3"/>
      <c r="U9" s="3"/>
    </row>
    <row r="10" spans="1:21" x14ac:dyDescent="0.25">
      <c r="A10" s="3">
        <v>1E-8</v>
      </c>
      <c r="B10" s="3">
        <v>1.0900000000000001E-4</v>
      </c>
      <c r="C10" s="3">
        <v>1.7149999999999999E-4</v>
      </c>
      <c r="D10" s="3">
        <v>-4.1419999999999998E-4</v>
      </c>
      <c r="E10" s="3">
        <v>0</v>
      </c>
      <c r="F10" s="3">
        <v>0</v>
      </c>
      <c r="G10" s="3">
        <v>0</v>
      </c>
      <c r="H10" s="3">
        <v>6.9067643E-5</v>
      </c>
      <c r="I10" s="3">
        <v>1.769623E-5</v>
      </c>
      <c r="J10" s="3">
        <v>-1.7135372000000001E-4</v>
      </c>
      <c r="K10" s="2"/>
      <c r="L10" s="3"/>
      <c r="M10" s="3"/>
      <c r="N10" s="2">
        <f>IF('Modell einstellen'!$B$1="Voll",H10/0.35,H10/0.35*2)</f>
        <v>1.9733612285714286E-4</v>
      </c>
      <c r="O10" s="2">
        <f>IF('Modell einstellen'!$B$1="Voll",J10/0.35,J10/0.35*2)</f>
        <v>-4.8958205714285719E-4</v>
      </c>
      <c r="P10" s="3">
        <f t="shared" si="0"/>
        <v>0.40307057821680203</v>
      </c>
      <c r="Q10" s="3"/>
      <c r="R10" s="3"/>
      <c r="S10" s="3"/>
      <c r="T10" s="3"/>
      <c r="U10" s="3"/>
    </row>
    <row r="11" spans="1:21" x14ac:dyDescent="0.25">
      <c r="A11" s="3">
        <v>9.9999999999999995E-8</v>
      </c>
      <c r="B11" s="3">
        <v>1.0900000000000001E-4</v>
      </c>
      <c r="C11" s="3">
        <v>1.8019999999999999E-4</v>
      </c>
      <c r="D11" s="3">
        <v>-4.2420000000000001E-4</v>
      </c>
      <c r="E11" s="3">
        <v>0</v>
      </c>
      <c r="F11" s="3">
        <v>0</v>
      </c>
      <c r="G11" s="3">
        <v>0</v>
      </c>
      <c r="H11" s="3">
        <v>7.3708435000000003E-5</v>
      </c>
      <c r="I11" s="3">
        <v>1.8705598E-5</v>
      </c>
      <c r="J11" s="3">
        <v>-1.7980772999999999E-4</v>
      </c>
      <c r="K11" s="2"/>
      <c r="L11" s="3"/>
      <c r="M11" s="3"/>
      <c r="N11" s="2">
        <f>IF('Modell einstellen'!$B$1="Voll",H11/0.35,H11/0.35*2)</f>
        <v>2.105955285714286E-4</v>
      </c>
      <c r="O11" s="2">
        <f>IF('Modell einstellen'!$B$1="Voll",J11/0.35,J11/0.35*2)</f>
        <v>-5.1373637142857148E-4</v>
      </c>
      <c r="P11" s="3">
        <f t="shared" si="0"/>
        <v>0.40992917823944497</v>
      </c>
      <c r="Q11" s="3"/>
      <c r="R11" s="3"/>
      <c r="S11" s="3"/>
      <c r="T11" s="3"/>
      <c r="U11" s="3"/>
    </row>
    <row r="12" spans="1:21" x14ac:dyDescent="0.25">
      <c r="A12" s="3">
        <v>9.9999999999999995E-7</v>
      </c>
      <c r="B12" s="3">
        <v>1.082E-4</v>
      </c>
      <c r="C12" s="3">
        <v>1.8929999999999999E-4</v>
      </c>
      <c r="D12" s="3">
        <v>-4.3389999999999998E-4</v>
      </c>
      <c r="E12" s="3">
        <v>0</v>
      </c>
      <c r="F12" s="3">
        <v>0</v>
      </c>
      <c r="G12" s="3">
        <v>0</v>
      </c>
      <c r="H12" s="3">
        <v>7.8829455999999994E-5</v>
      </c>
      <c r="I12" s="3">
        <v>1.9785543E-5</v>
      </c>
      <c r="J12" s="3">
        <v>-1.8900735E-4</v>
      </c>
      <c r="K12" s="2"/>
      <c r="L12" s="3"/>
      <c r="M12" s="3"/>
      <c r="N12" s="2">
        <f>IF('Modell einstellen'!$B$1="Voll",H12/0.35,H12/0.35*2)</f>
        <v>2.2522701714285714E-4</v>
      </c>
      <c r="O12" s="2">
        <f>IF('Modell einstellen'!$B$1="Voll",J12/0.35,J12/0.35*2)</f>
        <v>-5.4002100000000001E-4</v>
      </c>
      <c r="P12" s="3">
        <f t="shared" si="0"/>
        <v>0.41707084936114919</v>
      </c>
      <c r="Q12" s="3"/>
      <c r="R12" s="3"/>
      <c r="S12" s="3"/>
      <c r="T12" s="3"/>
      <c r="U12" s="3"/>
    </row>
    <row r="13" spans="1:21" x14ac:dyDescent="0.25">
      <c r="A13" s="3">
        <v>1.0000000000000001E-5</v>
      </c>
      <c r="B13" s="3">
        <v>1.0670000000000001E-4</v>
      </c>
      <c r="C13" s="3">
        <v>1.972E-4</v>
      </c>
      <c r="D13" s="3">
        <v>-4.415E-4</v>
      </c>
      <c r="E13" s="3">
        <v>0</v>
      </c>
      <c r="F13" s="3">
        <v>0</v>
      </c>
      <c r="G13" s="3">
        <v>0</v>
      </c>
      <c r="H13" s="3">
        <v>8.3444184000000006E-5</v>
      </c>
      <c r="I13" s="3">
        <v>2.0728058000000001E-5</v>
      </c>
      <c r="J13" s="3">
        <v>-1.9718080000000001E-4</v>
      </c>
      <c r="K13" s="2"/>
      <c r="L13" s="3"/>
      <c r="M13" s="3"/>
      <c r="N13" s="2">
        <f>IF('Modell einstellen'!$B$1="Voll",H13/0.35,H13/0.35*2)</f>
        <v>2.3841195428571431E-4</v>
      </c>
      <c r="O13" s="2">
        <f>IF('Modell einstellen'!$B$1="Voll",J13/0.35,J13/0.35*2)</f>
        <v>-5.6337371428571439E-4</v>
      </c>
      <c r="P13" s="3">
        <f t="shared" si="0"/>
        <v>0.42318615199857185</v>
      </c>
      <c r="Q13" s="3"/>
      <c r="R13" s="3"/>
      <c r="S13" s="3"/>
      <c r="T13" s="3"/>
      <c r="U13" s="3"/>
    </row>
    <row r="14" spans="1:21" x14ac:dyDescent="0.25">
      <c r="A14" s="3">
        <v>1E-4</v>
      </c>
      <c r="B14" s="3">
        <v>1.0450000000000001E-4</v>
      </c>
      <c r="C14" s="3">
        <v>2.052E-4</v>
      </c>
      <c r="D14" s="3">
        <v>-4.4850000000000001E-4</v>
      </c>
      <c r="E14" s="3">
        <v>0</v>
      </c>
      <c r="F14" s="3">
        <v>0</v>
      </c>
      <c r="G14" s="3">
        <v>0</v>
      </c>
      <c r="H14" s="3">
        <v>8.8342143E-5</v>
      </c>
      <c r="I14" s="3">
        <v>2.1701699E-5</v>
      </c>
      <c r="J14" s="3">
        <v>-2.0575511999999999E-4</v>
      </c>
      <c r="K14" s="2"/>
      <c r="L14" s="3"/>
      <c r="M14" s="3"/>
      <c r="N14" s="2">
        <f>IF('Modell einstellen'!$B$1="Voll",H14/0.35,H14/0.35*2)</f>
        <v>2.5240612285714286E-4</v>
      </c>
      <c r="O14" s="2">
        <f>IF('Modell einstellen'!$B$1="Voll",J14/0.35,J14/0.35*2)</f>
        <v>-5.8787177142857142E-4</v>
      </c>
      <c r="P14" s="3">
        <f t="shared" si="0"/>
        <v>0.42935574580112512</v>
      </c>
      <c r="Q14" s="3"/>
      <c r="R14" s="3"/>
      <c r="S14" s="3"/>
      <c r="T14" s="3"/>
      <c r="U14" s="3"/>
    </row>
    <row r="15" spans="1:21" x14ac:dyDescent="0.25">
      <c r="A15" s="3">
        <v>1E-3</v>
      </c>
      <c r="B15" s="3">
        <v>1.014E-4</v>
      </c>
      <c r="C15" s="3">
        <v>2.1330000000000001E-4</v>
      </c>
      <c r="D15" s="3">
        <v>-4.549E-4</v>
      </c>
      <c r="E15" s="3">
        <v>0</v>
      </c>
      <c r="F15" s="3">
        <v>0</v>
      </c>
      <c r="G15" s="3">
        <v>0</v>
      </c>
      <c r="H15" s="3">
        <v>9.3565431000000002E-5</v>
      </c>
      <c r="I15" s="3">
        <v>2.2707324000000001E-5</v>
      </c>
      <c r="J15" s="3">
        <v>-2.1477542000000001E-4</v>
      </c>
      <c r="K15" s="2"/>
      <c r="L15" s="3"/>
      <c r="M15" s="3"/>
      <c r="N15" s="2">
        <f>IF('Modell einstellen'!$B$1="Voll",H15/0.35,H15/0.35*2)</f>
        <v>2.6732980285714287E-4</v>
      </c>
      <c r="O15" s="2">
        <f>IF('Modell einstellen'!$B$1="Voll",J15/0.35,J15/0.35*2)</f>
        <v>-6.1364405714285717E-4</v>
      </c>
      <c r="P15" s="3">
        <f t="shared" si="0"/>
        <v>0.43564310571479736</v>
      </c>
      <c r="Q15" s="3"/>
      <c r="R15" s="3"/>
      <c r="S15" s="3"/>
      <c r="T15" s="3"/>
      <c r="U15" s="3"/>
    </row>
    <row r="16" spans="1:21" x14ac:dyDescent="0.25">
      <c r="A16" s="3">
        <v>0.01</v>
      </c>
      <c r="B16" s="3">
        <v>9.7070000000000004E-5</v>
      </c>
      <c r="C16" s="3">
        <v>2.2230000000000001E-4</v>
      </c>
      <c r="D16" s="3">
        <v>-4.6089999999999998E-4</v>
      </c>
      <c r="E16" s="3">
        <v>0</v>
      </c>
      <c r="F16" s="3">
        <v>0</v>
      </c>
      <c r="G16" s="3">
        <v>0</v>
      </c>
      <c r="H16" s="3">
        <v>9.9628676999999994E-5</v>
      </c>
      <c r="I16" s="3">
        <v>2.3836581999999999E-5</v>
      </c>
      <c r="J16" s="3">
        <v>-2.2510223E-4</v>
      </c>
      <c r="K16" s="2"/>
      <c r="L16" s="3"/>
      <c r="M16" s="3"/>
      <c r="N16" s="2">
        <f>IF('Modell einstellen'!$B$1="Voll",H16/0.35,H16/0.35*2)</f>
        <v>2.8465336285714288E-4</v>
      </c>
      <c r="O16" s="2">
        <f>IF('Modell einstellen'!$B$1="Voll",J16/0.35,J16/0.35*2)</f>
        <v>-6.4314922857142858E-4</v>
      </c>
      <c r="P16" s="3">
        <f t="shared" si="0"/>
        <v>0.44259302540005935</v>
      </c>
      <c r="Q16" s="3"/>
      <c r="R16" s="3"/>
      <c r="S16" s="3"/>
      <c r="T16" s="3"/>
      <c r="U16" s="3"/>
    </row>
    <row r="17" spans="1:21" x14ac:dyDescent="0.25">
      <c r="A17" s="3">
        <v>0.1</v>
      </c>
      <c r="B17" s="3">
        <v>9.1719999999999996E-5</v>
      </c>
      <c r="C17" s="3">
        <v>2.3130000000000001E-4</v>
      </c>
      <c r="D17" s="3">
        <v>-4.6579999999999999E-4</v>
      </c>
      <c r="E17" s="3">
        <v>0</v>
      </c>
      <c r="F17" s="3">
        <v>0</v>
      </c>
      <c r="G17" s="3">
        <v>0</v>
      </c>
      <c r="H17" s="3">
        <v>1.0590650999999999E-4</v>
      </c>
      <c r="I17" s="3">
        <v>2.4970006999999999E-5</v>
      </c>
      <c r="J17" s="3">
        <v>-2.3565395999999999E-4</v>
      </c>
      <c r="K17" s="2"/>
      <c r="L17" s="3"/>
      <c r="M17" s="3"/>
      <c r="N17" s="2">
        <f>IF('Modell einstellen'!$B$1="Voll",H17/0.35,H17/0.35*2)</f>
        <v>3.0259002857142858E-4</v>
      </c>
      <c r="O17" s="2">
        <f>IF('Modell einstellen'!$B$1="Voll",J17/0.35,J17/0.35*2)</f>
        <v>-6.7329702857142854E-4</v>
      </c>
      <c r="P17" s="3">
        <f t="shared" si="0"/>
        <v>0.4494153631027461</v>
      </c>
      <c r="Q17" s="3"/>
      <c r="R17" s="3"/>
      <c r="S17" s="3"/>
      <c r="T17" s="3"/>
      <c r="U17" s="3"/>
    </row>
    <row r="18" spans="1:21" x14ac:dyDescent="0.25">
      <c r="A18" s="3">
        <v>1</v>
      </c>
      <c r="B18" s="3">
        <v>8.4049999999999997E-5</v>
      </c>
      <c r="C18" s="3">
        <v>2.4369999999999999E-4</v>
      </c>
      <c r="D18" s="3">
        <v>-4.7209999999999998E-4</v>
      </c>
      <c r="E18" s="3">
        <v>0</v>
      </c>
      <c r="F18" s="3">
        <v>0</v>
      </c>
      <c r="G18" s="3">
        <v>0</v>
      </c>
      <c r="H18" s="3">
        <v>1.1445318E-4</v>
      </c>
      <c r="I18" s="3">
        <v>2.6572671000000001E-5</v>
      </c>
      <c r="J18" s="3">
        <v>-2.5018478E-4</v>
      </c>
      <c r="K18" s="2"/>
      <c r="L18" s="3"/>
      <c r="M18" s="3"/>
      <c r="N18" s="2">
        <f>IF('Modell einstellen'!$B$1="Voll",H18/0.35,H18/0.35*2)</f>
        <v>3.2700908571428573E-4</v>
      </c>
      <c r="O18" s="2">
        <f>IF('Modell einstellen'!$B$1="Voll",J18/0.35,J18/0.35*2)</f>
        <v>-7.1481365714285718E-4</v>
      </c>
      <c r="P18" s="3">
        <f t="shared" si="0"/>
        <v>0.45747459138001917</v>
      </c>
      <c r="Q18" s="3"/>
      <c r="R18" s="3"/>
      <c r="S18" s="3"/>
      <c r="T18" s="3"/>
      <c r="U18" s="3"/>
    </row>
    <row r="19" spans="1:21" x14ac:dyDescent="0.25">
      <c r="A19" s="3">
        <v>10</v>
      </c>
      <c r="B19" s="3">
        <v>7.7639999999999995E-5</v>
      </c>
      <c r="C19" s="3">
        <v>2.6429999999999997E-4</v>
      </c>
      <c r="D19" s="3">
        <v>-4.8720000000000002E-4</v>
      </c>
      <c r="E19" s="3">
        <v>0</v>
      </c>
      <c r="F19" s="3">
        <v>0</v>
      </c>
      <c r="G19" s="3">
        <v>0</v>
      </c>
      <c r="H19" s="3">
        <v>1.2482676E-4</v>
      </c>
      <c r="I19" s="3">
        <v>2.9233327000000001E-5</v>
      </c>
      <c r="J19" s="3">
        <v>-2.7014770000000001E-4</v>
      </c>
      <c r="K19" s="2"/>
      <c r="L19" s="3"/>
      <c r="M19" s="3"/>
      <c r="N19" s="2">
        <f>IF('Modell einstellen'!$B$1="Voll",H19/0.35,H19/0.35*2)</f>
        <v>3.5664788571428574E-4</v>
      </c>
      <c r="O19" s="2">
        <f>IF('Modell einstellen'!$B$1="Voll",J19/0.35,J19/0.35*2)</f>
        <v>-7.7185057142857148E-4</v>
      </c>
      <c r="P19" s="3">
        <f t="shared" si="0"/>
        <v>0.4620685647147838</v>
      </c>
      <c r="Q19" s="3"/>
      <c r="R19" s="3"/>
      <c r="S19" s="3"/>
      <c r="T19" s="3"/>
      <c r="U19" s="3"/>
    </row>
    <row r="20" spans="1:21" x14ac:dyDescent="0.25">
      <c r="A20" s="3">
        <v>100</v>
      </c>
      <c r="B20" s="3">
        <v>7.4939999999999997E-5</v>
      </c>
      <c r="C20" s="3">
        <v>3.009E-4</v>
      </c>
      <c r="D20" s="3">
        <v>-5.2070000000000003E-4</v>
      </c>
      <c r="E20" s="3">
        <v>0</v>
      </c>
      <c r="F20" s="3">
        <v>0</v>
      </c>
      <c r="G20" s="3">
        <v>0</v>
      </c>
      <c r="H20" s="3">
        <v>1.3821315000000001E-4</v>
      </c>
      <c r="I20" s="3">
        <v>3.3988754000000003E-5</v>
      </c>
      <c r="J20" s="3">
        <v>-3.0033902999999999E-4</v>
      </c>
      <c r="K20" s="2"/>
      <c r="L20" s="3"/>
      <c r="M20" s="3"/>
      <c r="N20" s="2">
        <f>IF('Modell einstellen'!$B$1="Voll",H20/0.35,H20/0.35*2)</f>
        <v>3.9489471428571436E-4</v>
      </c>
      <c r="O20" s="2">
        <f>IF('Modell einstellen'!$B$1="Voll",J20/0.35,J20/0.35*2)</f>
        <v>-8.5811151428571433E-4</v>
      </c>
      <c r="P20" s="3">
        <f t="shared" si="0"/>
        <v>0.460190438785129</v>
      </c>
      <c r="Q20" s="3"/>
      <c r="R20" s="3"/>
      <c r="S20" s="3"/>
      <c r="T20" s="3"/>
      <c r="U20" s="3"/>
    </row>
    <row r="21" spans="1:21" x14ac:dyDescent="0.25">
      <c r="A21" s="3">
        <v>1000</v>
      </c>
      <c r="B21" s="3">
        <v>6.9170000000000004E-5</v>
      </c>
      <c r="C21" s="3">
        <v>3.5070000000000001E-4</v>
      </c>
      <c r="D21" s="3">
        <v>-5.643E-4</v>
      </c>
      <c r="E21" s="3">
        <v>0</v>
      </c>
      <c r="F21" s="3">
        <v>0</v>
      </c>
      <c r="G21" s="3">
        <v>0</v>
      </c>
      <c r="H21" s="3">
        <v>1.5620382E-4</v>
      </c>
      <c r="I21" s="3">
        <v>4.0652043000000001E-5</v>
      </c>
      <c r="J21" s="3">
        <v>-3.4200016999999999E-4</v>
      </c>
      <c r="K21" s="2"/>
      <c r="L21" s="3"/>
      <c r="M21" s="3"/>
      <c r="N21" s="2">
        <f>IF('Modell einstellen'!$B$1="Voll",H21/0.35,H21/0.35*2)</f>
        <v>4.4629662857142857E-4</v>
      </c>
      <c r="O21" s="2">
        <f>IF('Modell einstellen'!$B$1="Voll",J21/0.35,J21/0.35*2)</f>
        <v>-9.7714334285714283E-4</v>
      </c>
      <c r="P21" s="3">
        <f t="shared" si="0"/>
        <v>0.45673608875691496</v>
      </c>
      <c r="Q21" s="3"/>
      <c r="R21" s="3"/>
      <c r="S21" s="3"/>
      <c r="T21" s="3"/>
      <c r="U21" s="3"/>
    </row>
    <row r="22" spans="1:21" x14ac:dyDescent="0.25">
      <c r="A22" s="3">
        <v>10000</v>
      </c>
      <c r="B22" s="3">
        <v>4.21E-5</v>
      </c>
      <c r="C22" s="3">
        <v>4.1340000000000002E-4</v>
      </c>
      <c r="D22" s="3">
        <v>-6.0070000000000002E-4</v>
      </c>
      <c r="E22" s="3">
        <v>0</v>
      </c>
      <c r="F22" s="3">
        <v>0</v>
      </c>
      <c r="G22" s="3">
        <v>0</v>
      </c>
      <c r="H22" s="3">
        <v>1.8312052999999999E-4</v>
      </c>
      <c r="I22" s="3">
        <v>4.9517909E-5</v>
      </c>
      <c r="J22" s="3">
        <v>-4.0077198E-4</v>
      </c>
      <c r="K22" s="2"/>
      <c r="L22" s="3"/>
      <c r="M22" s="3"/>
      <c r="N22" s="2">
        <f>IF('Modell einstellen'!$B$1="Voll",H22/0.35,H22/0.35*2)</f>
        <v>5.2320151428571432E-4</v>
      </c>
      <c r="O22" s="2">
        <f>IF('Modell einstellen'!$B$1="Voll",J22/0.35,J22/0.35*2)</f>
        <v>-1.1450628000000001E-3</v>
      </c>
      <c r="P22" s="3">
        <f t="shared" si="0"/>
        <v>0.45691949322405223</v>
      </c>
      <c r="Q22" s="3"/>
      <c r="R22" s="3"/>
      <c r="S22" s="3"/>
      <c r="T22" s="3"/>
      <c r="U22" s="3"/>
    </row>
    <row r="23" spans="1:21" x14ac:dyDescent="0.25">
      <c r="A23" s="3">
        <v>100000</v>
      </c>
      <c r="B23" s="3">
        <v>-2.936E-5</v>
      </c>
      <c r="C23" s="3">
        <v>4.9620000000000003E-4</v>
      </c>
      <c r="D23" s="3">
        <v>-6.1419999999999997E-4</v>
      </c>
      <c r="E23" s="3">
        <v>0</v>
      </c>
      <c r="F23" s="3">
        <v>0</v>
      </c>
      <c r="G23" s="3">
        <v>0</v>
      </c>
      <c r="H23" s="3">
        <v>2.2558588E-4</v>
      </c>
      <c r="I23" s="3">
        <v>6.2017654000000002E-5</v>
      </c>
      <c r="J23" s="3">
        <v>-4.8855412000000005E-4</v>
      </c>
      <c r="K23" s="2"/>
      <c r="L23" s="3"/>
      <c r="M23" s="3"/>
      <c r="N23" s="2">
        <f>IF('Modell einstellen'!$B$1="Voll",H23/0.35,H23/0.35*2)</f>
        <v>6.4453108571428577E-4</v>
      </c>
      <c r="O23" s="2">
        <f>IF('Modell einstellen'!$B$1="Voll",J23/0.35,J23/0.35*2)</f>
        <v>-1.3958689142857146E-3</v>
      </c>
      <c r="P23" s="3">
        <f t="shared" si="0"/>
        <v>0.46174184346250108</v>
      </c>
      <c r="Q23" s="3"/>
      <c r="R23" s="3"/>
      <c r="S23" s="3"/>
      <c r="T23" s="3"/>
      <c r="U23" s="3"/>
    </row>
    <row r="24" spans="1:21" x14ac:dyDescent="0.25">
      <c r="A24" s="3">
        <v>1000000</v>
      </c>
      <c r="B24" s="3">
        <v>-2.0230000000000001E-4</v>
      </c>
      <c r="C24" s="3">
        <v>6.1910000000000003E-4</v>
      </c>
      <c r="D24" s="3">
        <v>-5.6780000000000003E-4</v>
      </c>
      <c r="E24" s="3">
        <v>0</v>
      </c>
      <c r="F24" s="3">
        <v>0</v>
      </c>
      <c r="G24" s="3">
        <v>0</v>
      </c>
      <c r="H24" s="3">
        <v>2.9955447000000002E-4</v>
      </c>
      <c r="I24" s="3">
        <v>8.1973131999999997E-5</v>
      </c>
      <c r="J24" s="3">
        <v>-6.3519743000000001E-4</v>
      </c>
      <c r="K24" s="2"/>
      <c r="L24" s="3"/>
      <c r="M24" s="3"/>
      <c r="N24" s="2">
        <f>IF('Modell einstellen'!$B$1="Voll",H24/0.35,H24/0.35*2)</f>
        <v>8.558699142857144E-4</v>
      </c>
      <c r="O24" s="2">
        <f>IF('Modell einstellen'!$B$1="Voll",J24/0.35,J24/0.35*2)</f>
        <v>-1.8148498000000002E-3</v>
      </c>
      <c r="P24" s="3">
        <f t="shared" si="0"/>
        <v>0.47159269835206985</v>
      </c>
      <c r="Q24" s="3"/>
      <c r="R24" s="3"/>
      <c r="S24" s="3"/>
      <c r="T24" s="3"/>
      <c r="U24" s="3"/>
    </row>
    <row r="25" spans="1:21" x14ac:dyDescent="0.25">
      <c r="A25" s="3">
        <v>10000000</v>
      </c>
      <c r="B25" s="3">
        <v>-5.4169999999999999E-4</v>
      </c>
      <c r="C25" s="3">
        <v>7.917E-4</v>
      </c>
      <c r="D25" s="3">
        <v>-4.0460000000000002E-4</v>
      </c>
      <c r="E25" s="3">
        <v>0</v>
      </c>
      <c r="F25" s="3">
        <v>0</v>
      </c>
      <c r="G25" s="3">
        <v>0</v>
      </c>
      <c r="H25" s="3">
        <v>4.1729041E-4</v>
      </c>
      <c r="I25" s="3">
        <v>1.1202855E-4</v>
      </c>
      <c r="J25" s="3">
        <v>-8.6246282000000001E-4</v>
      </c>
      <c r="K25" s="2"/>
      <c r="L25" s="3"/>
      <c r="M25" s="3"/>
      <c r="N25" s="2">
        <f>IF('Modell einstellen'!$B$1="Voll",H25/0.35,H25/0.35*2)</f>
        <v>1.1922583142857143E-3</v>
      </c>
      <c r="O25" s="2">
        <f>IF('Modell einstellen'!$B$1="Voll",J25/0.35,J25/0.35*2)</f>
        <v>-2.464179485714286E-3</v>
      </c>
      <c r="P25" s="3">
        <f t="shared" si="0"/>
        <v>0.48383582494605387</v>
      </c>
      <c r="Q25" s="3"/>
      <c r="R25" s="3"/>
      <c r="S25" s="3"/>
      <c r="T25" s="3"/>
      <c r="U25" s="3"/>
    </row>
    <row r="26" spans="1:21" x14ac:dyDescent="0.25">
      <c r="A26" s="3">
        <v>100000000</v>
      </c>
      <c r="B26" s="3">
        <v>-1.1000000000000001E-3</v>
      </c>
      <c r="C26" s="3">
        <v>1.021E-3</v>
      </c>
      <c r="D26" s="3">
        <v>-7.8880000000000004E-5</v>
      </c>
      <c r="E26" s="3">
        <v>0</v>
      </c>
      <c r="F26" s="3">
        <v>0</v>
      </c>
      <c r="G26" s="3">
        <v>0</v>
      </c>
      <c r="H26" s="3">
        <v>5.9018472000000005E-4</v>
      </c>
      <c r="I26" s="3">
        <v>1.5413235999999999E-4</v>
      </c>
      <c r="J26" s="3">
        <v>-1.1886105000000001E-3</v>
      </c>
      <c r="K26" s="2"/>
      <c r="L26" s="3"/>
      <c r="M26" s="3"/>
      <c r="N26" s="2">
        <f>IF('Modell einstellen'!$B$1="Voll",H26/0.35,H26/0.35*2)</f>
        <v>1.6862420571428574E-3</v>
      </c>
      <c r="O26" s="2">
        <f>IF('Modell einstellen'!$B$1="Voll",J26/0.35,J26/0.35*2)</f>
        <v>-3.3960300000000004E-3</v>
      </c>
      <c r="P26" s="3">
        <f t="shared" si="0"/>
        <v>0.49653332189140181</v>
      </c>
      <c r="Q26" s="3"/>
      <c r="R26" s="3"/>
      <c r="S26" s="3"/>
      <c r="T26" s="3"/>
      <c r="U26" s="3"/>
    </row>
    <row r="27" spans="1:21" x14ac:dyDescent="0.25">
      <c r="A27" s="3">
        <v>1000000000</v>
      </c>
      <c r="B27" s="3">
        <v>-1.7409999999999999E-3</v>
      </c>
      <c r="C27" s="3">
        <v>1.2570000000000001E-3</v>
      </c>
      <c r="D27" s="3">
        <v>3.2459999999999998E-4</v>
      </c>
      <c r="E27" s="3">
        <v>0</v>
      </c>
      <c r="F27" s="3">
        <v>0</v>
      </c>
      <c r="G27" s="3">
        <v>0</v>
      </c>
      <c r="H27" s="3">
        <v>7.7781422999999999E-4</v>
      </c>
      <c r="I27" s="3">
        <v>1.9904581000000001E-4</v>
      </c>
      <c r="J27" s="3">
        <v>-1.5393167E-3</v>
      </c>
      <c r="K27" s="2"/>
      <c r="L27" s="3"/>
      <c r="M27" s="3"/>
      <c r="N27" s="2">
        <f>IF('Modell einstellen'!$B$1="Voll",H27/0.35,H27/0.35*2)</f>
        <v>2.2223263714285717E-3</v>
      </c>
      <c r="O27" s="2">
        <f>IF('Modell einstellen'!$B$1="Voll",J27/0.35,J27/0.35*2)</f>
        <v>-4.3980477142857143E-3</v>
      </c>
      <c r="P27" s="3">
        <f t="shared" si="0"/>
        <v>0.50529837687072454</v>
      </c>
      <c r="Q27" s="3"/>
      <c r="R27" s="3"/>
      <c r="S27" s="3"/>
      <c r="T27" s="3"/>
      <c r="U27" s="3"/>
    </row>
    <row r="28" spans="1:21" x14ac:dyDescent="0.25">
      <c r="A28" s="3">
        <v>10000000000</v>
      </c>
      <c r="B28" s="3">
        <v>-2.2829999999999999E-3</v>
      </c>
      <c r="C28" s="3">
        <v>1.451E-3</v>
      </c>
      <c r="D28" s="3">
        <v>6.7239999999999997E-4</v>
      </c>
      <c r="E28" s="3">
        <v>0</v>
      </c>
      <c r="F28" s="3">
        <v>0</v>
      </c>
      <c r="G28" s="3">
        <v>0</v>
      </c>
      <c r="H28" s="3">
        <v>9.3310276999999996E-4</v>
      </c>
      <c r="I28" s="3">
        <v>2.3650464999999999E-4</v>
      </c>
      <c r="J28" s="3">
        <v>-1.8302612E-3</v>
      </c>
      <c r="K28" s="2"/>
      <c r="L28" s="3"/>
      <c r="M28" s="3"/>
      <c r="N28" s="2">
        <f>IF('Modell einstellen'!$B$1="Voll",H28/0.35,H28/0.35*2)</f>
        <v>2.6660079142857142E-3</v>
      </c>
      <c r="O28" s="2">
        <f>IF('Modell einstellen'!$B$1="Voll",J28/0.35,J28/0.35*2)</f>
        <v>-5.2293177142857146E-3</v>
      </c>
      <c r="P28" s="3">
        <f t="shared" si="0"/>
        <v>0.50981945637048953</v>
      </c>
      <c r="Q28" s="3"/>
      <c r="R28" s="3"/>
      <c r="S28" s="3"/>
      <c r="T28" s="3"/>
      <c r="U28" s="3"/>
    </row>
    <row r="29" spans="1:21" x14ac:dyDescent="0.25">
      <c r="A29" s="3">
        <v>100000000000</v>
      </c>
      <c r="B29" s="3">
        <v>-2.6090000000000002E-3</v>
      </c>
      <c r="C29" s="3">
        <v>1.57E-3</v>
      </c>
      <c r="D29" s="3">
        <v>8.7870000000000005E-4</v>
      </c>
      <c r="E29" s="3">
        <v>0</v>
      </c>
      <c r="F29" s="3">
        <v>0</v>
      </c>
      <c r="G29" s="3">
        <v>0</v>
      </c>
      <c r="H29" s="3">
        <v>1.0253949999999999E-3</v>
      </c>
      <c r="I29" s="3">
        <v>2.5965207999999998E-4</v>
      </c>
      <c r="J29" s="3">
        <v>-2.0062254000000001E-3</v>
      </c>
      <c r="K29" s="2"/>
      <c r="L29" s="3"/>
      <c r="M29" s="3"/>
      <c r="N29" s="2">
        <f>IF('Modell einstellen'!$B$1="Voll",H29/0.35,H29/0.35*2)</f>
        <v>2.9296999999999999E-3</v>
      </c>
      <c r="O29" s="2">
        <f>IF('Modell einstellen'!$B$1="Voll",J29/0.35,J29/0.35*2)</f>
        <v>-5.7320725714285724E-3</v>
      </c>
      <c r="P29" s="3">
        <f t="shared" si="0"/>
        <v>0.51110657855293817</v>
      </c>
      <c r="Q29" s="3"/>
      <c r="R29" s="3"/>
      <c r="S29" s="3"/>
      <c r="T29" s="3"/>
      <c r="U29" s="3"/>
    </row>
    <row r="30" spans="1:21" x14ac:dyDescent="0.25">
      <c r="A30" s="3">
        <v>1000000000000</v>
      </c>
      <c r="B30" s="3">
        <v>-2.8419999999999999E-3</v>
      </c>
      <c r="C30" s="3">
        <v>1.655E-3</v>
      </c>
      <c r="D30" s="3">
        <v>1.0269999999999999E-3</v>
      </c>
      <c r="E30" s="3">
        <v>0</v>
      </c>
      <c r="F30" s="3">
        <v>0</v>
      </c>
      <c r="G30" s="3">
        <v>0</v>
      </c>
      <c r="H30" s="3">
        <v>1.0922391000000001E-3</v>
      </c>
      <c r="I30" s="3">
        <v>2.7630212999999999E-4</v>
      </c>
      <c r="J30" s="3">
        <v>-2.1331814000000002E-3</v>
      </c>
      <c r="K30" s="2"/>
      <c r="L30" s="3"/>
      <c r="M30" s="3"/>
      <c r="N30" s="2">
        <f>IF('Modell einstellen'!$B$1="Voll",H30/0.35,H30/0.35*2)</f>
        <v>3.1206831428571432E-3</v>
      </c>
      <c r="O30" s="2">
        <f>IF('Modell einstellen'!$B$1="Voll",J30/0.35,J30/0.35*2)</f>
        <v>-6.0948040000000005E-3</v>
      </c>
      <c r="P30" s="3">
        <f t="shared" si="0"/>
        <v>0.51202354380176018</v>
      </c>
      <c r="Q30" s="3"/>
      <c r="R30" s="3"/>
      <c r="S30" s="3"/>
      <c r="T30" s="3"/>
      <c r="U30" s="3"/>
    </row>
    <row r="31" spans="1:21" x14ac:dyDescent="0.25">
      <c r="A31" s="3">
        <v>10000000000000</v>
      </c>
      <c r="B31" s="3">
        <v>-2.9940000000000001E-3</v>
      </c>
      <c r="C31" s="3">
        <v>1.7049999999999999E-3</v>
      </c>
      <c r="D31" s="3">
        <v>1.129E-3</v>
      </c>
      <c r="E31" s="3">
        <v>0</v>
      </c>
      <c r="F31" s="3">
        <v>0</v>
      </c>
      <c r="G31" s="3">
        <v>0</v>
      </c>
      <c r="H31" s="3">
        <v>1.1345432999999999E-3</v>
      </c>
      <c r="I31" s="3">
        <v>2.8622423999999998E-4</v>
      </c>
      <c r="J31" s="3">
        <v>-2.2112479999999999E-3</v>
      </c>
      <c r="K31" s="2"/>
      <c r="L31" s="3"/>
      <c r="M31" s="3"/>
      <c r="N31" s="2">
        <f>IF('Modell einstellen'!$B$1="Voll",H31/0.35,H31/0.35*2)</f>
        <v>3.2415522857142855E-3</v>
      </c>
      <c r="O31" s="2">
        <f>IF('Modell einstellen'!$B$1="Voll",J31/0.35,J31/0.35*2)</f>
        <v>-6.3178514285714285E-3</v>
      </c>
      <c r="P31" s="3">
        <f t="shared" si="0"/>
        <v>0.51307827073218382</v>
      </c>
      <c r="Q31" s="3"/>
      <c r="R31" s="3"/>
      <c r="S31" s="3"/>
      <c r="T31" s="3"/>
      <c r="U31" s="3"/>
    </row>
    <row r="32" spans="1:21" x14ac:dyDescent="0.25">
      <c r="A32" s="3">
        <v>100000000000000</v>
      </c>
      <c r="B32" s="3">
        <v>-3.0720000000000001E-3</v>
      </c>
      <c r="C32" s="3">
        <v>1.7359999999999999E-3</v>
      </c>
      <c r="D32" s="3">
        <v>1.175E-3</v>
      </c>
      <c r="E32" s="3">
        <v>0</v>
      </c>
      <c r="F32" s="3">
        <v>0</v>
      </c>
      <c r="G32" s="3">
        <v>0</v>
      </c>
      <c r="H32" s="3">
        <v>1.1561500000000001E-3</v>
      </c>
      <c r="I32" s="3">
        <v>2.9236090000000001E-4</v>
      </c>
      <c r="J32" s="3">
        <v>-2.2549974E-3</v>
      </c>
      <c r="K32" s="2"/>
      <c r="L32" s="3"/>
      <c r="M32" s="3"/>
      <c r="N32" s="2">
        <f>IF('Modell einstellen'!$B$1="Voll",H32/0.35,H32/0.35*2)</f>
        <v>3.3032857142857148E-3</v>
      </c>
      <c r="O32" s="2">
        <f>IF('Modell einstellen'!$B$1="Voll",J32/0.35,J32/0.35*2)</f>
        <v>-6.4428497142857144E-3</v>
      </c>
      <c r="P32" s="3">
        <f t="shared" si="0"/>
        <v>0.51270569092452178</v>
      </c>
      <c r="Q32" s="3"/>
      <c r="R32" s="3"/>
      <c r="S32" s="3"/>
      <c r="T32" s="3"/>
      <c r="U32" s="3"/>
    </row>
    <row r="33" spans="1:21" x14ac:dyDescent="0.25">
      <c r="A33" s="2">
        <v>1000000000000000</v>
      </c>
      <c r="B33" s="3">
        <v>-3.2750000000000001E-3</v>
      </c>
      <c r="C33" s="3">
        <v>1.807E-3</v>
      </c>
      <c r="D33" s="3">
        <v>1.307E-3</v>
      </c>
      <c r="E33" s="3">
        <v>0</v>
      </c>
      <c r="F33" s="3">
        <v>0</v>
      </c>
      <c r="G33" s="3">
        <v>0</v>
      </c>
      <c r="H33" s="3">
        <v>1.215994E-3</v>
      </c>
      <c r="I33" s="3">
        <v>3.062559E-4</v>
      </c>
      <c r="J33" s="3">
        <v>-2.3649074E-3</v>
      </c>
      <c r="K33" s="2"/>
      <c r="L33" s="3"/>
      <c r="M33" s="3"/>
      <c r="N33" s="2">
        <f>IF('Modell einstellen'!$B$1="Voll",H33/0.35,H33/0.35*2)</f>
        <v>3.4742685714285715E-3</v>
      </c>
      <c r="O33" s="2">
        <f>IF('Modell einstellen'!$B$1="Voll",J33/0.35,J33/0.35*2)</f>
        <v>-6.7568782857142864E-3</v>
      </c>
      <c r="P33" s="3">
        <f t="shared" si="0"/>
        <v>0.51418250033806812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1.061E-4</v>
      </c>
      <c r="C3" s="3">
        <v>1.4569999999999999E-4</v>
      </c>
      <c r="D3" s="3">
        <v>-3.812E-4</v>
      </c>
      <c r="E3" s="3">
        <v>0</v>
      </c>
      <c r="F3" s="3">
        <v>0</v>
      </c>
      <c r="G3" s="3">
        <v>0</v>
      </c>
      <c r="H3" s="3">
        <v>5.6118625999999999E-5</v>
      </c>
      <c r="I3" s="3">
        <v>1.4776821E-5</v>
      </c>
      <c r="J3" s="3">
        <v>-1.4734892000000001E-4</v>
      </c>
      <c r="L3" s="3">
        <f>-B3/D3</f>
        <v>0.27833158447009443</v>
      </c>
      <c r="M3" s="3"/>
      <c r="N3" s="2">
        <f>IF('Modell einstellen'!$B$1="Voll",H3/0.35,H3/0.35*2)</f>
        <v>1.6033893142857145E-4</v>
      </c>
      <c r="O3" s="2">
        <f>IF('Modell einstellen'!$B$1="Voll",J3/0.35,J3/0.35*2)</f>
        <v>-4.2099691428571434E-4</v>
      </c>
      <c r="P3" s="3">
        <f>-N3/O3</f>
        <v>0.38085536018859178</v>
      </c>
    </row>
    <row r="4" spans="1:16" x14ac:dyDescent="0.25">
      <c r="A4" s="3">
        <v>1E-14</v>
      </c>
      <c r="B4" s="3">
        <v>1.077E-4</v>
      </c>
      <c r="C4" s="3">
        <v>1.5200000000000001E-4</v>
      </c>
      <c r="D4" s="3">
        <v>-3.8999999999999999E-4</v>
      </c>
      <c r="E4" s="3">
        <v>0</v>
      </c>
      <c r="F4" s="3">
        <v>0</v>
      </c>
      <c r="G4" s="3">
        <v>0</v>
      </c>
      <c r="H4" s="3">
        <v>5.9024919000000003E-5</v>
      </c>
      <c r="I4" s="3">
        <v>1.5472959E-5</v>
      </c>
      <c r="J4" s="3">
        <v>-1.5287760000000001E-4</v>
      </c>
      <c r="L4" s="3">
        <f t="shared" ref="L4:L33" si="0">-B4/D4</f>
        <v>0.27615384615384614</v>
      </c>
      <c r="M4" s="3"/>
      <c r="N4" s="2">
        <f>IF('Modell einstellen'!$B$1="Voll",H4/0.35,H4/0.35*2)</f>
        <v>1.6864262571428574E-4</v>
      </c>
      <c r="O4" s="2">
        <f>IF('Modell einstellen'!$B$1="Voll",J4/0.35,J4/0.35*2)</f>
        <v>-4.3679314285714293E-4</v>
      </c>
      <c r="P4" s="3">
        <f t="shared" ref="P4:P33" si="1">-N4/O4</f>
        <v>0.38609265844047785</v>
      </c>
    </row>
    <row r="5" spans="1:16" x14ac:dyDescent="0.25">
      <c r="A5" s="3">
        <v>1E-13</v>
      </c>
      <c r="B5" s="3">
        <v>1.089E-4</v>
      </c>
      <c r="C5" s="3">
        <v>1.5770000000000001E-4</v>
      </c>
      <c r="D5" s="3">
        <v>-3.9770000000000002E-4</v>
      </c>
      <c r="E5" s="3">
        <v>0</v>
      </c>
      <c r="F5" s="3">
        <v>0</v>
      </c>
      <c r="G5" s="3">
        <v>0</v>
      </c>
      <c r="H5" s="3">
        <v>6.1755568999999997E-5</v>
      </c>
      <c r="I5" s="3">
        <v>1.6116E-5</v>
      </c>
      <c r="J5" s="3">
        <v>-1.5803424E-4</v>
      </c>
      <c r="L5" s="3">
        <f t="shared" si="0"/>
        <v>0.27382449082222782</v>
      </c>
      <c r="M5" s="3"/>
      <c r="N5" s="2">
        <f>IF('Modell einstellen'!$B$1="Voll",H5/0.35,H5/0.35*2)</f>
        <v>1.7644448285714285E-4</v>
      </c>
      <c r="O5" s="2">
        <f>IF('Modell einstellen'!$B$1="Voll",J5/0.35,J5/0.35*2)</f>
        <v>-4.5152640000000003E-4</v>
      </c>
      <c r="P5" s="3">
        <f t="shared" si="1"/>
        <v>0.39077334759859633</v>
      </c>
    </row>
    <row r="6" spans="1:16" x14ac:dyDescent="0.25">
      <c r="A6" s="3">
        <v>9.9999999999999998E-13</v>
      </c>
      <c r="B6" s="3">
        <v>1.097E-4</v>
      </c>
      <c r="C6" s="3">
        <v>1.6320000000000001E-4</v>
      </c>
      <c r="D6" s="3">
        <v>-4.0489999999999998E-4</v>
      </c>
      <c r="E6" s="3">
        <v>0</v>
      </c>
      <c r="F6" s="3">
        <v>0</v>
      </c>
      <c r="G6" s="3">
        <v>0</v>
      </c>
      <c r="H6" s="3">
        <v>6.4419568000000001E-5</v>
      </c>
      <c r="I6" s="3">
        <v>1.6733576999999999E-5</v>
      </c>
      <c r="J6" s="3">
        <v>-1.6302695000000001E-4</v>
      </c>
      <c r="L6" s="3">
        <f t="shared" si="0"/>
        <v>0.27093109409730798</v>
      </c>
      <c r="M6" s="3"/>
      <c r="N6" s="2">
        <f>IF('Modell einstellen'!$B$1="Voll",H6/0.35,H6/0.35*2)</f>
        <v>1.840559085714286E-4</v>
      </c>
      <c r="O6" s="2">
        <f>IF('Modell einstellen'!$B$1="Voll",J6/0.35,J6/0.35*2)</f>
        <v>-4.6579128571428574E-4</v>
      </c>
      <c r="P6" s="3">
        <f t="shared" si="1"/>
        <v>0.39514674107563202</v>
      </c>
    </row>
    <row r="7" spans="1:16" x14ac:dyDescent="0.25">
      <c r="A7" s="3">
        <v>9.9999999999999994E-12</v>
      </c>
      <c r="B7" s="3">
        <v>1.104E-4</v>
      </c>
      <c r="C7" s="3">
        <v>1.696E-4</v>
      </c>
      <c r="D7" s="3">
        <v>-4.1300000000000001E-4</v>
      </c>
      <c r="E7" s="3">
        <v>0</v>
      </c>
      <c r="F7" s="3">
        <v>0</v>
      </c>
      <c r="G7" s="3">
        <v>0</v>
      </c>
      <c r="H7" s="3">
        <v>6.7669161999999995E-5</v>
      </c>
      <c r="I7" s="3">
        <v>1.7474541999999998E-5</v>
      </c>
      <c r="J7" s="3">
        <v>-1.6906968000000001E-4</v>
      </c>
      <c r="L7" s="3">
        <f t="shared" si="0"/>
        <v>0.26731234866828085</v>
      </c>
      <c r="M7" s="3"/>
      <c r="N7" s="2">
        <f>IF('Modell einstellen'!$B$1="Voll",H7/0.35,H7/0.35*2)</f>
        <v>1.9334046285714285E-4</v>
      </c>
      <c r="O7" s="2">
        <f>IF('Modell einstellen'!$B$1="Voll",J7/0.35,J7/0.35*2)</f>
        <v>-4.8305622857142865E-4</v>
      </c>
      <c r="P7" s="3">
        <f t="shared" si="1"/>
        <v>0.40024421883332356</v>
      </c>
    </row>
    <row r="8" spans="1:16" x14ac:dyDescent="0.25">
      <c r="A8" s="3">
        <v>1E-10</v>
      </c>
      <c r="B8" s="3">
        <v>1.1069999999999999E-4</v>
      </c>
      <c r="C8" s="3">
        <v>1.7780000000000001E-4</v>
      </c>
      <c r="D8" s="3">
        <v>-4.2279999999999998E-4</v>
      </c>
      <c r="E8" s="3">
        <v>0</v>
      </c>
      <c r="F8" s="3">
        <v>0</v>
      </c>
      <c r="G8" s="3">
        <v>0</v>
      </c>
      <c r="H8" s="3">
        <v>7.1940580000000006E-5</v>
      </c>
      <c r="I8" s="3">
        <v>1.8427477999999999E-5</v>
      </c>
      <c r="J8" s="3">
        <v>-1.7693202999999999E-4</v>
      </c>
      <c r="L8" s="3">
        <f t="shared" si="0"/>
        <v>0.26182592242194891</v>
      </c>
      <c r="M8" s="3"/>
      <c r="N8" s="2">
        <f>IF('Modell einstellen'!$B$1="Voll",H8/0.35,H8/0.35*2)</f>
        <v>2.0554451428571433E-4</v>
      </c>
      <c r="O8" s="2">
        <f>IF('Modell einstellen'!$B$1="Voll",J8/0.35,J8/0.35*2)</f>
        <v>-5.0552008571428568E-4</v>
      </c>
      <c r="P8" s="3">
        <f t="shared" si="1"/>
        <v>0.40660009383264306</v>
      </c>
    </row>
    <row r="9" spans="1:16" x14ac:dyDescent="0.25">
      <c r="A9" s="3">
        <v>1.0000000000000001E-9</v>
      </c>
      <c r="B9" s="3">
        <v>1.102E-4</v>
      </c>
      <c r="C9" s="3">
        <v>1.8709999999999999E-4</v>
      </c>
      <c r="D9" s="3">
        <v>-4.3300000000000001E-4</v>
      </c>
      <c r="E9" s="3">
        <v>0</v>
      </c>
      <c r="F9" s="3">
        <v>0</v>
      </c>
      <c r="G9" s="3">
        <v>0</v>
      </c>
      <c r="H9" s="3">
        <v>7.6966114999999996E-5</v>
      </c>
      <c r="I9" s="3">
        <v>1.9517568E-5</v>
      </c>
      <c r="J9" s="3">
        <v>-1.8606385999999999E-4</v>
      </c>
      <c r="L9" s="3">
        <f t="shared" si="0"/>
        <v>0.25450346420323322</v>
      </c>
      <c r="M9" s="3"/>
      <c r="N9" s="2">
        <f>IF('Modell einstellen'!$B$1="Voll",H9/0.35,H9/0.35*2)</f>
        <v>2.1990318571428572E-4</v>
      </c>
      <c r="O9" s="2">
        <f>IF('Modell einstellen'!$B$1="Voll",J9/0.35,J9/0.35*2)</f>
        <v>-5.3161102857142862E-4</v>
      </c>
      <c r="P9" s="3">
        <f t="shared" si="1"/>
        <v>0.41365429589604341</v>
      </c>
    </row>
    <row r="10" spans="1:16" x14ac:dyDescent="0.25">
      <c r="A10" s="3">
        <v>1E-8</v>
      </c>
      <c r="B10" s="3">
        <v>1.0900000000000001E-4</v>
      </c>
      <c r="C10" s="3">
        <v>1.9570000000000001E-4</v>
      </c>
      <c r="D10" s="3">
        <v>-4.416E-4</v>
      </c>
      <c r="E10" s="3">
        <v>0</v>
      </c>
      <c r="F10" s="3">
        <v>0</v>
      </c>
      <c r="G10" s="3">
        <v>0</v>
      </c>
      <c r="H10" s="3">
        <v>8.1849819000000002E-5</v>
      </c>
      <c r="I10" s="3">
        <v>2.0544299999999999E-5</v>
      </c>
      <c r="J10" s="3">
        <v>-1.9481410999999999E-4</v>
      </c>
      <c r="L10" s="3">
        <f t="shared" si="0"/>
        <v>0.24682971014492755</v>
      </c>
      <c r="M10" s="3"/>
      <c r="N10" s="2">
        <f>IF('Modell einstellen'!$B$1="Voll",H10/0.35,H10/0.35*2)</f>
        <v>2.3385662571428573E-4</v>
      </c>
      <c r="O10" s="2">
        <f>IF('Modell einstellen'!$B$1="Voll",J10/0.35,J10/0.35*2)</f>
        <v>-5.5661174285714281E-4</v>
      </c>
      <c r="P10" s="3">
        <f t="shared" si="1"/>
        <v>0.42014317648757582</v>
      </c>
    </row>
    <row r="11" spans="1:16" x14ac:dyDescent="0.25">
      <c r="A11" s="3">
        <v>9.9999999999999995E-8</v>
      </c>
      <c r="B11" s="3">
        <v>1.071E-4</v>
      </c>
      <c r="C11" s="3">
        <v>2.0350000000000001E-4</v>
      </c>
      <c r="D11" s="3">
        <v>-4.4870000000000001E-4</v>
      </c>
      <c r="E11" s="3">
        <v>0</v>
      </c>
      <c r="F11" s="3">
        <v>0</v>
      </c>
      <c r="G11" s="3">
        <v>0</v>
      </c>
      <c r="H11" s="3">
        <v>8.6466450999999995E-5</v>
      </c>
      <c r="I11" s="3">
        <v>2.1488459000000001E-5</v>
      </c>
      <c r="J11" s="3">
        <v>-2.02986E-4</v>
      </c>
      <c r="L11" s="3">
        <f t="shared" si="0"/>
        <v>0.23868954758190328</v>
      </c>
      <c r="M11" s="3"/>
      <c r="N11" s="2">
        <f>IF('Modell einstellen'!$B$1="Voll",H11/0.35,H11/0.35*2)</f>
        <v>2.4704700285714288E-4</v>
      </c>
      <c r="O11" s="2">
        <f>IF('Modell einstellen'!$B$1="Voll",J11/0.35,J11/0.35*2)</f>
        <v>-5.7996000000000002E-4</v>
      </c>
      <c r="P11" s="3">
        <f t="shared" si="1"/>
        <v>0.42597248578719715</v>
      </c>
    </row>
    <row r="12" spans="1:16" x14ac:dyDescent="0.25">
      <c r="A12" s="3">
        <v>9.9999999999999995E-7</v>
      </c>
      <c r="B12" s="3">
        <v>1.044E-4</v>
      </c>
      <c r="C12" s="3">
        <v>2.118E-4</v>
      </c>
      <c r="D12" s="3">
        <v>-4.5560000000000002E-4</v>
      </c>
      <c r="E12" s="3">
        <v>0</v>
      </c>
      <c r="F12" s="3">
        <v>0</v>
      </c>
      <c r="G12" s="3">
        <v>0</v>
      </c>
      <c r="H12" s="3">
        <v>9.1596968000000003E-5</v>
      </c>
      <c r="I12" s="3">
        <v>2.2507358999999999E-5</v>
      </c>
      <c r="J12" s="3">
        <v>-2.119534E-4</v>
      </c>
      <c r="L12" s="3">
        <f t="shared" si="0"/>
        <v>0.22914837576821773</v>
      </c>
      <c r="M12" s="3"/>
      <c r="N12" s="2">
        <f>IF('Modell einstellen'!$B$1="Voll",H12/0.35,H12/0.35*2)</f>
        <v>2.6170562285714286E-4</v>
      </c>
      <c r="O12" s="2">
        <f>IF('Modell einstellen'!$B$1="Voll",J12/0.35,J12/0.35*2)</f>
        <v>-6.0558114285714289E-4</v>
      </c>
      <c r="P12" s="3">
        <f t="shared" si="1"/>
        <v>0.43215616262820034</v>
      </c>
    </row>
    <row r="13" spans="1:16" x14ac:dyDescent="0.25">
      <c r="A13" s="3">
        <v>1.0000000000000001E-5</v>
      </c>
      <c r="B13" s="3">
        <v>1.0060000000000001E-4</v>
      </c>
      <c r="C13" s="3">
        <v>2.206E-4</v>
      </c>
      <c r="D13" s="3">
        <v>-4.618E-4</v>
      </c>
      <c r="E13" s="3">
        <v>0</v>
      </c>
      <c r="F13" s="3">
        <v>0</v>
      </c>
      <c r="G13" s="3">
        <v>0</v>
      </c>
      <c r="H13" s="3">
        <v>9.7244852000000003E-5</v>
      </c>
      <c r="I13" s="3">
        <v>2.3593635E-5</v>
      </c>
      <c r="J13" s="3">
        <v>-2.2169188E-4</v>
      </c>
      <c r="L13" s="3">
        <f t="shared" si="0"/>
        <v>0.21784322217410135</v>
      </c>
      <c r="M13" s="3"/>
      <c r="N13" s="2">
        <f>IF('Modell einstellen'!$B$1="Voll",H13/0.35,H13/0.35*2)</f>
        <v>2.7784243428571431E-4</v>
      </c>
      <c r="O13" s="2">
        <f>IF('Modell einstellen'!$B$1="Voll",J13/0.35,J13/0.35*2)</f>
        <v>-6.3340537142857146E-4</v>
      </c>
      <c r="P13" s="3">
        <f t="shared" si="1"/>
        <v>0.43864868663660572</v>
      </c>
    </row>
    <row r="14" spans="1:16" x14ac:dyDescent="0.25">
      <c r="A14" s="3">
        <v>1E-4</v>
      </c>
      <c r="B14" s="3">
        <v>9.5539999999999997E-5</v>
      </c>
      <c r="C14" s="3">
        <v>2.297E-4</v>
      </c>
      <c r="D14" s="3">
        <v>-4.6729999999999997E-4</v>
      </c>
      <c r="E14" s="3">
        <v>0</v>
      </c>
      <c r="F14" s="3">
        <v>0</v>
      </c>
      <c r="G14" s="3">
        <v>0</v>
      </c>
      <c r="H14" s="3">
        <v>1.0350210999999999E-4</v>
      </c>
      <c r="I14" s="3">
        <v>2.4753168000000001E-5</v>
      </c>
      <c r="J14" s="3">
        <v>-2.3231578999999999E-4</v>
      </c>
      <c r="L14" s="3">
        <f t="shared" si="0"/>
        <v>0.20445110207575434</v>
      </c>
      <c r="M14" s="3"/>
      <c r="N14" s="2">
        <f>IF('Modell einstellen'!$B$1="Voll",H14/0.35,H14/0.35*2)</f>
        <v>2.9572031428571428E-4</v>
      </c>
      <c r="O14" s="2">
        <f>IF('Modell einstellen'!$B$1="Voll",J14/0.35,J14/0.35*2)</f>
        <v>-6.6375940000000001E-4</v>
      </c>
      <c r="P14" s="3">
        <f t="shared" si="1"/>
        <v>0.44552335422400691</v>
      </c>
    </row>
    <row r="15" spans="1:16" x14ac:dyDescent="0.25">
      <c r="A15" s="3">
        <v>1E-3</v>
      </c>
      <c r="B15" s="3">
        <v>8.8590000000000004E-5</v>
      </c>
      <c r="C15" s="3">
        <v>2.399E-4</v>
      </c>
      <c r="D15" s="3">
        <v>-4.7199999999999998E-4</v>
      </c>
      <c r="E15" s="3">
        <v>0</v>
      </c>
      <c r="F15" s="3">
        <v>0</v>
      </c>
      <c r="G15" s="3">
        <v>0</v>
      </c>
      <c r="H15" s="3">
        <v>1.108326E-4</v>
      </c>
      <c r="I15" s="3">
        <v>2.6061202999999999E-5</v>
      </c>
      <c r="J15" s="3">
        <v>-2.4457222999999998E-4</v>
      </c>
      <c r="L15" s="3">
        <f t="shared" si="0"/>
        <v>0.1876906779661017</v>
      </c>
      <c r="M15" s="3"/>
      <c r="N15" s="2">
        <f>IF('Modell einstellen'!$B$1="Voll",H15/0.35,H15/0.35*2)</f>
        <v>3.1666457142857143E-4</v>
      </c>
      <c r="O15" s="2">
        <f>IF('Modell einstellen'!$B$1="Voll",J15/0.35,J15/0.35*2)</f>
        <v>-6.9877779999999998E-4</v>
      </c>
      <c r="P15" s="3">
        <f t="shared" si="1"/>
        <v>0.4531691925939425</v>
      </c>
    </row>
    <row r="16" spans="1:16" x14ac:dyDescent="0.25">
      <c r="A16" s="3">
        <v>0.01</v>
      </c>
      <c r="B16" s="3">
        <v>7.7550000000000001E-5</v>
      </c>
      <c r="C16" s="3">
        <v>2.5290000000000002E-4</v>
      </c>
      <c r="D16" s="3">
        <v>-4.7580000000000002E-4</v>
      </c>
      <c r="E16" s="3">
        <v>0</v>
      </c>
      <c r="F16" s="3">
        <v>0</v>
      </c>
      <c r="G16" s="3">
        <v>0</v>
      </c>
      <c r="H16" s="3">
        <v>1.2081008E-4</v>
      </c>
      <c r="I16" s="3">
        <v>2.7762136000000002E-5</v>
      </c>
      <c r="J16" s="3">
        <v>-2.6095114000000003E-4</v>
      </c>
      <c r="L16" s="3">
        <f t="shared" si="0"/>
        <v>0.16298865069356872</v>
      </c>
      <c r="M16" s="3"/>
      <c r="N16" s="2">
        <f>IF('Modell einstellen'!$B$1="Voll",H16/0.35,H16/0.35*2)</f>
        <v>3.4517165714285713E-4</v>
      </c>
      <c r="O16" s="2">
        <f>IF('Modell einstellen'!$B$1="Voll",J16/0.35,J16/0.35*2)</f>
        <v>-7.4557468571428585E-4</v>
      </c>
      <c r="P16" s="3">
        <f t="shared" si="1"/>
        <v>0.46296053736343123</v>
      </c>
    </row>
    <row r="17" spans="1:16" x14ac:dyDescent="0.25">
      <c r="A17" s="3">
        <v>0.1</v>
      </c>
      <c r="B17" s="3">
        <v>6.2310000000000005E-5</v>
      </c>
      <c r="C17" s="3">
        <v>2.6879999999999997E-4</v>
      </c>
      <c r="D17" s="3">
        <v>-4.7849999999999998E-4</v>
      </c>
      <c r="E17" s="3">
        <v>0</v>
      </c>
      <c r="F17" s="3">
        <v>0</v>
      </c>
      <c r="G17" s="3">
        <v>0</v>
      </c>
      <c r="H17" s="3">
        <v>1.332308E-4</v>
      </c>
      <c r="I17" s="3">
        <v>2.9897567E-5</v>
      </c>
      <c r="J17" s="3">
        <v>-2.8134463000000003E-4</v>
      </c>
      <c r="L17" s="3">
        <f t="shared" si="0"/>
        <v>0.13021943573667713</v>
      </c>
      <c r="M17" s="3"/>
      <c r="N17" s="2">
        <f>IF('Modell einstellen'!$B$1="Voll",H17/0.35,H17/0.35*2)</f>
        <v>3.8065942857142861E-4</v>
      </c>
      <c r="O17" s="2">
        <f>IF('Modell einstellen'!$B$1="Voll",J17/0.35,J17/0.35*2)</f>
        <v>-8.0384180000000007E-4</v>
      </c>
      <c r="P17" s="3">
        <f t="shared" si="1"/>
        <v>0.47355017936542809</v>
      </c>
    </row>
    <row r="18" spans="1:16" x14ac:dyDescent="0.25">
      <c r="A18" s="3">
        <v>1</v>
      </c>
      <c r="B18" s="3">
        <v>4.2880000000000003E-5</v>
      </c>
      <c r="C18" s="3">
        <v>2.967E-4</v>
      </c>
      <c r="D18" s="3">
        <v>-4.8840000000000005E-4</v>
      </c>
      <c r="E18" s="3">
        <v>0</v>
      </c>
      <c r="F18" s="3">
        <v>0</v>
      </c>
      <c r="G18" s="3">
        <v>0</v>
      </c>
      <c r="H18" s="3">
        <v>1.4999073E-4</v>
      </c>
      <c r="I18" s="3">
        <v>3.3660050999999999E-5</v>
      </c>
      <c r="J18" s="3">
        <v>-3.1175832E-4</v>
      </c>
      <c r="L18" s="3">
        <f t="shared" si="0"/>
        <v>8.7796887796887796E-2</v>
      </c>
      <c r="M18" s="3"/>
      <c r="N18" s="2">
        <f>IF('Modell einstellen'!$B$1="Voll",H18/0.35,H18/0.35*2)</f>
        <v>4.2854494285714289E-4</v>
      </c>
      <c r="O18" s="2">
        <f>IF('Modell einstellen'!$B$1="Voll",J18/0.35,J18/0.35*2)</f>
        <v>-8.9073805714285725E-4</v>
      </c>
      <c r="P18" s="3">
        <f t="shared" si="1"/>
        <v>0.48111219613962503</v>
      </c>
    </row>
    <row r="19" spans="1:16" x14ac:dyDescent="0.25">
      <c r="A19" s="3">
        <v>10</v>
      </c>
      <c r="B19" s="3">
        <v>1.7329999999999998E-5</v>
      </c>
      <c r="C19" s="3">
        <v>3.4769999999999999E-4</v>
      </c>
      <c r="D19" s="3">
        <v>-5.1420000000000003E-4</v>
      </c>
      <c r="E19" s="3">
        <v>0</v>
      </c>
      <c r="F19" s="3">
        <v>0</v>
      </c>
      <c r="G19" s="3">
        <v>0</v>
      </c>
      <c r="H19" s="3">
        <v>1.7306169E-4</v>
      </c>
      <c r="I19" s="3">
        <v>4.0666162999999999E-5</v>
      </c>
      <c r="J19" s="3">
        <v>-3.5984639E-4</v>
      </c>
      <c r="L19" s="3">
        <f t="shared" si="0"/>
        <v>3.3702839362115905E-2</v>
      </c>
      <c r="M19" s="3"/>
      <c r="N19" s="2">
        <f>IF('Modell einstellen'!$B$1="Voll",H19/0.35,H19/0.35*2)</f>
        <v>4.9446197142857145E-4</v>
      </c>
      <c r="O19" s="2">
        <f>IF('Modell einstellen'!$B$1="Voll",J19/0.35,J19/0.35*2)</f>
        <v>-1.0281325428571429E-3</v>
      </c>
      <c r="P19" s="3">
        <f t="shared" si="1"/>
        <v>0.48093212773372551</v>
      </c>
    </row>
    <row r="20" spans="1:16" x14ac:dyDescent="0.25">
      <c r="A20" s="3">
        <v>100</v>
      </c>
      <c r="B20" s="3">
        <v>-3.5200000000000002E-5</v>
      </c>
      <c r="C20" s="3">
        <v>4.2539999999999999E-4</v>
      </c>
      <c r="D20" s="3">
        <v>-5.3989999999999995E-4</v>
      </c>
      <c r="E20" s="3">
        <v>0</v>
      </c>
      <c r="F20" s="3">
        <v>0</v>
      </c>
      <c r="G20" s="3">
        <v>0</v>
      </c>
      <c r="H20" s="3">
        <v>2.089425E-4</v>
      </c>
      <c r="I20" s="3">
        <v>5.1793901000000002E-5</v>
      </c>
      <c r="J20" s="3">
        <v>-4.3569361000000002E-4</v>
      </c>
      <c r="L20" s="3">
        <f t="shared" si="0"/>
        <v>-6.5197258751620676E-2</v>
      </c>
      <c r="M20" s="3"/>
      <c r="N20" s="2">
        <f>IF('Modell einstellen'!$B$1="Voll",H20/0.35,H20/0.35*2)</f>
        <v>5.9697857142857141E-4</v>
      </c>
      <c r="O20" s="2">
        <f>IF('Modell einstellen'!$B$1="Voll",J20/0.35,J20/0.35*2)</f>
        <v>-1.2448388857142858E-3</v>
      </c>
      <c r="P20" s="3">
        <f t="shared" si="1"/>
        <v>0.47956292037425102</v>
      </c>
    </row>
    <row r="21" spans="1:16" x14ac:dyDescent="0.25">
      <c r="A21" s="3">
        <v>1000</v>
      </c>
      <c r="B21" s="3">
        <v>-1.6090000000000001E-4</v>
      </c>
      <c r="C21" s="3">
        <v>5.3359999999999996E-4</v>
      </c>
      <c r="D21" s="3">
        <v>-5.2459999999999996E-4</v>
      </c>
      <c r="E21" s="3">
        <v>0</v>
      </c>
      <c r="F21" s="3">
        <v>0</v>
      </c>
      <c r="G21" s="3">
        <v>0</v>
      </c>
      <c r="H21" s="3">
        <v>2.6897230999999998E-4</v>
      </c>
      <c r="I21" s="3">
        <v>6.8546564E-5</v>
      </c>
      <c r="J21" s="3">
        <v>-5.5636743000000001E-4</v>
      </c>
      <c r="L21" s="3">
        <f t="shared" si="0"/>
        <v>-0.30670987418985896</v>
      </c>
      <c r="M21" s="3"/>
      <c r="N21" s="2">
        <f>IF('Modell einstellen'!$B$1="Voll",H21/0.35,H21/0.35*2)</f>
        <v>7.6849231428571428E-4</v>
      </c>
      <c r="O21" s="2">
        <f>IF('Modell einstellen'!$B$1="Voll",J21/0.35,J21/0.35*2)</f>
        <v>-1.5896212285714288E-3</v>
      </c>
      <c r="P21" s="3">
        <f t="shared" si="1"/>
        <v>0.48344366599604865</v>
      </c>
    </row>
    <row r="22" spans="1:16" x14ac:dyDescent="0.25">
      <c r="A22" s="3">
        <v>10000</v>
      </c>
      <c r="B22" s="3">
        <v>-4.3780000000000002E-4</v>
      </c>
      <c r="C22" s="3">
        <v>6.9079999999999999E-4</v>
      </c>
      <c r="D22" s="3">
        <v>-4.08E-4</v>
      </c>
      <c r="E22" s="3">
        <v>0</v>
      </c>
      <c r="F22" s="3">
        <v>0</v>
      </c>
      <c r="G22" s="3">
        <v>0</v>
      </c>
      <c r="H22" s="3">
        <v>3.7311240000000002E-4</v>
      </c>
      <c r="I22" s="3">
        <v>9.4938605E-5</v>
      </c>
      <c r="J22" s="3">
        <v>-7.5648453000000003E-4</v>
      </c>
      <c r="L22" s="3">
        <f t="shared" si="0"/>
        <v>-1.0730392156862745</v>
      </c>
      <c r="M22" s="3"/>
      <c r="N22" s="2">
        <f>IF('Modell einstellen'!$B$1="Voll",H22/0.35,H22/0.35*2)</f>
        <v>1.0660354285714287E-3</v>
      </c>
      <c r="O22" s="2">
        <f>IF('Modell einstellen'!$B$1="Voll",J22/0.35,J22/0.35*2)</f>
        <v>-2.1613843714285716E-3</v>
      </c>
      <c r="P22" s="3">
        <f t="shared" si="1"/>
        <v>0.49321881043621607</v>
      </c>
    </row>
    <row r="23" spans="1:16" x14ac:dyDescent="0.25">
      <c r="A23" s="3">
        <v>100000</v>
      </c>
      <c r="B23" s="3">
        <v>-9.0779999999999995E-4</v>
      </c>
      <c r="C23" s="3">
        <v>8.9709999999999996E-4</v>
      </c>
      <c r="D23" s="3">
        <v>-1.473E-4</v>
      </c>
      <c r="E23" s="3">
        <v>0</v>
      </c>
      <c r="F23" s="3">
        <v>0</v>
      </c>
      <c r="G23" s="3">
        <v>0</v>
      </c>
      <c r="H23" s="3">
        <v>5.2578944999999997E-4</v>
      </c>
      <c r="I23" s="3">
        <v>1.3191381000000001E-4</v>
      </c>
      <c r="J23" s="3">
        <v>-1.0436381E-3</v>
      </c>
      <c r="L23" s="3">
        <f t="shared" si="0"/>
        <v>-6.1629327902240325</v>
      </c>
      <c r="M23" s="3"/>
      <c r="N23" s="2">
        <f>IF('Modell einstellen'!$B$1="Voll",H23/0.35,H23/0.35*2)</f>
        <v>1.5022555714285714E-3</v>
      </c>
      <c r="O23" s="2">
        <f>IF('Modell einstellen'!$B$1="Voll",J23/0.35,J23/0.35*2)</f>
        <v>-2.981823142857143E-3</v>
      </c>
      <c r="P23" s="3">
        <f t="shared" si="1"/>
        <v>0.50380438391430893</v>
      </c>
    </row>
    <row r="24" spans="1:16" x14ac:dyDescent="0.25">
      <c r="A24" s="3">
        <v>1000000</v>
      </c>
      <c r="B24" s="3">
        <v>-1.567E-3</v>
      </c>
      <c r="C24" s="3">
        <v>1.1479999999999999E-3</v>
      </c>
      <c r="D24" s="3">
        <v>2.5989999999999997E-4</v>
      </c>
      <c r="E24" s="3">
        <v>0</v>
      </c>
      <c r="F24" s="3">
        <v>0</v>
      </c>
      <c r="G24" s="3">
        <v>0</v>
      </c>
      <c r="H24" s="3">
        <v>7.2353084000000001E-4</v>
      </c>
      <c r="I24" s="3">
        <v>1.7882339999999999E-4</v>
      </c>
      <c r="J24" s="3">
        <v>-1.4117285000000001E-3</v>
      </c>
      <c r="L24" s="3">
        <f t="shared" si="0"/>
        <v>6.0292420161600626</v>
      </c>
      <c r="M24" s="3"/>
      <c r="N24" s="2">
        <f>IF('Modell einstellen'!$B$1="Voll",H24/0.35,H24/0.35*2)</f>
        <v>2.0672309714285715E-3</v>
      </c>
      <c r="O24" s="2">
        <f>IF('Modell einstellen'!$B$1="Voll",J24/0.35,J24/0.35*2)</f>
        <v>-4.0335100000000006E-3</v>
      </c>
      <c r="P24" s="3">
        <f t="shared" si="1"/>
        <v>0.51251415551928003</v>
      </c>
    </row>
    <row r="25" spans="1:16" x14ac:dyDescent="0.25">
      <c r="A25" s="3">
        <v>10000000</v>
      </c>
      <c r="B25" s="3">
        <v>-2.1259999999999999E-3</v>
      </c>
      <c r="C25" s="3">
        <v>1.3569999999999999E-3</v>
      </c>
      <c r="D25" s="3">
        <v>6.0829999999999999E-4</v>
      </c>
      <c r="E25" s="3">
        <v>0</v>
      </c>
      <c r="F25" s="3">
        <v>0</v>
      </c>
      <c r="G25" s="3">
        <v>0</v>
      </c>
      <c r="H25" s="3">
        <v>8.8416636999999996E-4</v>
      </c>
      <c r="I25" s="3">
        <v>2.1881772E-4</v>
      </c>
      <c r="J25" s="3">
        <v>-1.7172447E-3</v>
      </c>
      <c r="L25" s="3">
        <f t="shared" si="0"/>
        <v>3.494986026631596</v>
      </c>
      <c r="M25" s="3"/>
      <c r="N25" s="2">
        <f>IF('Modell einstellen'!$B$1="Voll",H25/0.35,H25/0.35*2)</f>
        <v>2.5261896285714287E-3</v>
      </c>
      <c r="O25" s="2">
        <f>IF('Modell einstellen'!$B$1="Voll",J25/0.35,J25/0.35*2)</f>
        <v>-4.9064134285714284E-3</v>
      </c>
      <c r="P25" s="3">
        <f t="shared" si="1"/>
        <v>0.5148750029625947</v>
      </c>
    </row>
    <row r="26" spans="1:16" x14ac:dyDescent="0.25">
      <c r="A26" s="3">
        <v>100000000</v>
      </c>
      <c r="B26" s="3">
        <v>-2.552E-3</v>
      </c>
      <c r="C26" s="3">
        <v>1.518E-3</v>
      </c>
      <c r="D26" s="3">
        <v>8.7230000000000001E-4</v>
      </c>
      <c r="E26" s="3">
        <v>0</v>
      </c>
      <c r="F26" s="3">
        <v>0</v>
      </c>
      <c r="G26" s="3">
        <v>0</v>
      </c>
      <c r="H26" s="3">
        <v>1.0046841000000001E-3</v>
      </c>
      <c r="I26" s="3">
        <v>2.4987426000000002E-4</v>
      </c>
      <c r="J26" s="3">
        <v>-1.950065E-3</v>
      </c>
      <c r="L26" s="3">
        <f t="shared" si="0"/>
        <v>2.9255989911727616</v>
      </c>
      <c r="M26" s="3"/>
      <c r="N26" s="2">
        <f>IF('Modell einstellen'!$B$1="Voll",H26/0.35,H26/0.35*2)</f>
        <v>2.8705260000000004E-3</v>
      </c>
      <c r="O26" s="2">
        <f>IF('Modell einstellen'!$B$1="Voll",J26/0.35,J26/0.35*2)</f>
        <v>-5.5716142857142863E-3</v>
      </c>
      <c r="P26" s="3">
        <f t="shared" si="1"/>
        <v>0.51520544186988637</v>
      </c>
    </row>
    <row r="27" spans="1:16" x14ac:dyDescent="0.25">
      <c r="A27" s="3">
        <v>1000000000</v>
      </c>
      <c r="B27" s="3">
        <v>-2.7759999999999998E-3</v>
      </c>
      <c r="C27" s="3">
        <v>1.611E-3</v>
      </c>
      <c r="D27" s="3">
        <v>1.0039999999999999E-3</v>
      </c>
      <c r="E27" s="3">
        <v>0</v>
      </c>
      <c r="F27" s="3">
        <v>0</v>
      </c>
      <c r="G27" s="3">
        <v>0</v>
      </c>
      <c r="H27" s="3">
        <v>1.0682655000000001E-3</v>
      </c>
      <c r="I27" s="3">
        <v>2.6783471999999999E-4</v>
      </c>
      <c r="J27" s="3">
        <v>-2.0785166000000001E-3</v>
      </c>
      <c r="L27" s="3">
        <f t="shared" si="0"/>
        <v>2.7649402390438249</v>
      </c>
      <c r="M27" s="3"/>
      <c r="N27" s="2">
        <f>IF('Modell einstellen'!$B$1="Voll",H27/0.35,H27/0.35*2)</f>
        <v>3.0521871428571433E-3</v>
      </c>
      <c r="O27" s="2">
        <f>IF('Modell einstellen'!$B$1="Voll",J27/0.35,J27/0.35*2)</f>
        <v>-5.9386188571428581E-3</v>
      </c>
      <c r="P27" s="3">
        <f t="shared" si="1"/>
        <v>0.5139557220760228</v>
      </c>
    </row>
    <row r="28" spans="1:16" x14ac:dyDescent="0.25">
      <c r="A28" s="3">
        <v>10000000000</v>
      </c>
      <c r="B28" s="3">
        <v>-2.967E-3</v>
      </c>
      <c r="C28" s="3">
        <v>1.686E-3</v>
      </c>
      <c r="D28" s="3">
        <v>1.1199999999999999E-3</v>
      </c>
      <c r="E28" s="3">
        <v>0</v>
      </c>
      <c r="F28" s="3">
        <v>0</v>
      </c>
      <c r="G28" s="3">
        <v>0</v>
      </c>
      <c r="H28" s="3">
        <v>1.1234081E-3</v>
      </c>
      <c r="I28" s="3">
        <v>2.8241192E-4</v>
      </c>
      <c r="J28" s="3">
        <v>-2.1862642999999999E-3</v>
      </c>
      <c r="L28" s="3">
        <f t="shared" si="0"/>
        <v>2.6491071428571433</v>
      </c>
      <c r="M28" s="3"/>
      <c r="N28" s="2">
        <f>IF('Modell einstellen'!$B$1="Voll",H28/0.35,H28/0.35*2)</f>
        <v>3.209737428571429E-3</v>
      </c>
      <c r="O28" s="2">
        <f>IF('Modell einstellen'!$B$1="Voll",J28/0.35,J28/0.35*2)</f>
        <v>-6.2464694285714285E-3</v>
      </c>
      <c r="P28" s="3">
        <f t="shared" si="1"/>
        <v>0.5138482570474211</v>
      </c>
    </row>
    <row r="29" spans="1:16" x14ac:dyDescent="0.25">
      <c r="A29" s="3">
        <v>100000000000</v>
      </c>
      <c r="B29" s="3">
        <v>-3.0569999999999998E-3</v>
      </c>
      <c r="C29" s="3">
        <v>1.694E-3</v>
      </c>
      <c r="D29" s="3">
        <v>1.2019999999999999E-3</v>
      </c>
      <c r="E29" s="3">
        <v>0</v>
      </c>
      <c r="F29" s="3">
        <v>0</v>
      </c>
      <c r="G29" s="3">
        <v>0</v>
      </c>
      <c r="H29" s="3">
        <v>1.1559795999999999E-3</v>
      </c>
      <c r="I29" s="3">
        <v>2.8422707000000001E-4</v>
      </c>
      <c r="J29" s="3">
        <v>-2.2253317999999999E-3</v>
      </c>
      <c r="L29" s="3">
        <f t="shared" si="0"/>
        <v>2.543261231281198</v>
      </c>
      <c r="M29" s="3"/>
      <c r="N29" s="2">
        <f>IF('Modell einstellen'!$B$1="Voll",H29/0.35,H29/0.35*2)</f>
        <v>3.3027988571428571E-3</v>
      </c>
      <c r="O29" s="2">
        <f>IF('Modell einstellen'!$B$1="Voll",J29/0.35,J29/0.35*2)</f>
        <v>-6.358090857142857E-3</v>
      </c>
      <c r="P29" s="3">
        <f t="shared" si="1"/>
        <v>0.51946392892960958</v>
      </c>
    </row>
    <row r="30" spans="1:16" x14ac:dyDescent="0.25">
      <c r="A30" s="3">
        <v>1000000000000</v>
      </c>
      <c r="B30" s="3">
        <v>-3.192E-3</v>
      </c>
      <c r="C30" s="3">
        <v>1.7719999999999999E-3</v>
      </c>
      <c r="D30" s="3">
        <v>1.258E-3</v>
      </c>
      <c r="E30" s="3">
        <v>0</v>
      </c>
      <c r="F30" s="3">
        <v>0</v>
      </c>
      <c r="G30" s="3">
        <v>0</v>
      </c>
      <c r="H30" s="3">
        <v>1.1889868E-3</v>
      </c>
      <c r="I30" s="3">
        <v>2.9928925999999999E-4</v>
      </c>
      <c r="J30" s="3">
        <v>-2.3126840000000002E-3</v>
      </c>
      <c r="L30" s="3">
        <f t="shared" si="0"/>
        <v>2.5373608903020668</v>
      </c>
      <c r="M30" s="3"/>
      <c r="N30" s="2">
        <f>IF('Modell einstellen'!$B$1="Voll",H30/0.35,H30/0.35*2)</f>
        <v>3.3971051428571429E-3</v>
      </c>
      <c r="O30" s="2">
        <f>IF('Modell einstellen'!$B$1="Voll",J30/0.35,J30/0.35*2)</f>
        <v>-6.6076685714285726E-3</v>
      </c>
      <c r="P30" s="3">
        <f t="shared" si="1"/>
        <v>0.5141155471305201</v>
      </c>
    </row>
    <row r="31" spans="1:16" x14ac:dyDescent="0.25">
      <c r="A31" s="3">
        <v>10000000000000</v>
      </c>
      <c r="B31" s="3">
        <v>-3.3730000000000001E-3</v>
      </c>
      <c r="C31" s="3">
        <v>1.836E-3</v>
      </c>
      <c r="D31" s="3">
        <v>1.3760000000000001E-3</v>
      </c>
      <c r="E31" s="3">
        <v>0</v>
      </c>
      <c r="F31" s="3">
        <v>0</v>
      </c>
      <c r="G31" s="3">
        <v>0</v>
      </c>
      <c r="H31" s="3">
        <v>1.2423511999999999E-3</v>
      </c>
      <c r="I31" s="3">
        <v>3.1186852000000001E-4</v>
      </c>
      <c r="J31" s="3">
        <v>-2.4113423E-3</v>
      </c>
      <c r="L31" s="3">
        <f t="shared" si="0"/>
        <v>2.4513081395348837</v>
      </c>
      <c r="M31" s="3"/>
      <c r="N31" s="2">
        <f>IF('Modell einstellen'!$B$1="Voll",H31/0.35,H31/0.35*2)</f>
        <v>3.5495748571428569E-3</v>
      </c>
      <c r="O31" s="2">
        <f>IF('Modell einstellen'!$B$1="Voll",J31/0.35,J31/0.35*2)</f>
        <v>-6.8895494285714292E-3</v>
      </c>
      <c r="P31" s="3">
        <f t="shared" si="1"/>
        <v>0.51521146541492668</v>
      </c>
    </row>
    <row r="32" spans="1:16" x14ac:dyDescent="0.25">
      <c r="A32" s="3">
        <v>100000000000000</v>
      </c>
      <c r="B32" s="3">
        <v>-3.4039999999999999E-3</v>
      </c>
      <c r="C32" s="3">
        <v>1.8400000000000001E-3</v>
      </c>
      <c r="D32" s="3">
        <v>1.403E-3</v>
      </c>
      <c r="E32" s="3">
        <v>0</v>
      </c>
      <c r="F32" s="3">
        <v>0</v>
      </c>
      <c r="G32" s="3">
        <v>0</v>
      </c>
      <c r="H32" s="3">
        <v>1.2533123E-3</v>
      </c>
      <c r="I32" s="3">
        <v>3.1282346E-4</v>
      </c>
      <c r="J32" s="3">
        <v>-2.4257110000000001E-3</v>
      </c>
      <c r="L32" s="3">
        <f t="shared" si="0"/>
        <v>2.4262295081967213</v>
      </c>
      <c r="M32" s="3"/>
      <c r="N32" s="2">
        <f>IF('Modell einstellen'!$B$1="Voll",H32/0.35,H32/0.35*2)</f>
        <v>3.580892285714286E-3</v>
      </c>
      <c r="O32" s="2">
        <f>IF('Modell einstellen'!$B$1="Voll",J32/0.35,J32/0.35*2)</f>
        <v>-6.9306028571428577E-3</v>
      </c>
      <c r="P32" s="3">
        <f t="shared" si="1"/>
        <v>0.51667832647829848</v>
      </c>
    </row>
    <row r="33" spans="1:16" x14ac:dyDescent="0.25">
      <c r="A33" s="3">
        <v>1000000000000000</v>
      </c>
      <c r="B33" s="3">
        <v>-3.4060000000000002E-3</v>
      </c>
      <c r="C33" s="3">
        <v>1.843E-3</v>
      </c>
      <c r="D33" s="3">
        <v>1.402E-3</v>
      </c>
      <c r="E33" s="3">
        <v>0</v>
      </c>
      <c r="F33" s="3">
        <v>0</v>
      </c>
      <c r="G33" s="3">
        <v>0</v>
      </c>
      <c r="H33" s="3">
        <v>1.2532718000000001E-3</v>
      </c>
      <c r="I33" s="3">
        <v>3.1331966000000002E-4</v>
      </c>
      <c r="J33" s="3">
        <v>-2.4274638999999998E-3</v>
      </c>
      <c r="L33" s="3">
        <f t="shared" si="0"/>
        <v>2.4293865905848788</v>
      </c>
      <c r="M33" s="3"/>
      <c r="N33" s="2">
        <f>IF('Modell einstellen'!$B$1="Voll",H33/0.35,H33/0.35*2)</f>
        <v>3.5807765714285719E-3</v>
      </c>
      <c r="O33" s="2">
        <f>IF('Modell einstellen'!$B$1="Voll",J33/0.35,J33/0.35*2)</f>
        <v>-6.9356111428571432E-3</v>
      </c>
      <c r="P33" s="3">
        <f t="shared" si="1"/>
        <v>0.5162885429521733</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1.103E-4</v>
      </c>
      <c r="C3" s="3">
        <v>1.595E-4</v>
      </c>
      <c r="D3" s="3">
        <v>-4.0099999999999999E-4</v>
      </c>
      <c r="E3" s="3">
        <v>0</v>
      </c>
      <c r="F3" s="3">
        <v>0</v>
      </c>
      <c r="G3" s="3">
        <v>0</v>
      </c>
      <c r="H3" s="3">
        <v>6.2444491000000004E-5</v>
      </c>
      <c r="I3" s="3">
        <v>1.6326941999999999E-5</v>
      </c>
      <c r="J3" s="3">
        <v>-1.5949523000000001E-4</v>
      </c>
      <c r="L3" s="3">
        <f>-B3/D3</f>
        <v>0.27506234413965086</v>
      </c>
      <c r="M3" s="3"/>
      <c r="N3" s="2">
        <f>IF('Modell einstellen'!$B$1="Voll",H3/0.35,H3/0.35*2)</f>
        <v>1.7841283142857144E-4</v>
      </c>
      <c r="O3" s="2">
        <f>IF('Modell einstellen'!$B$1="Voll",J3/0.35,J3/0.35*2)</f>
        <v>-4.5570065714285718E-4</v>
      </c>
      <c r="P3" s="3">
        <f>-N3/O3</f>
        <v>0.39151321954894824</v>
      </c>
    </row>
    <row r="4" spans="1:16" x14ac:dyDescent="0.25">
      <c r="A4" s="3">
        <v>1E-14</v>
      </c>
      <c r="B4" s="3">
        <v>1.114E-4</v>
      </c>
      <c r="C4" s="3">
        <v>1.6689999999999999E-4</v>
      </c>
      <c r="D4" s="3">
        <v>-4.1060000000000001E-4</v>
      </c>
      <c r="E4" s="3">
        <v>0</v>
      </c>
      <c r="F4" s="3">
        <v>0</v>
      </c>
      <c r="G4" s="3">
        <v>0</v>
      </c>
      <c r="H4" s="3">
        <v>6.6046517000000005E-5</v>
      </c>
      <c r="I4" s="3">
        <v>1.7168305999999999E-5</v>
      </c>
      <c r="J4" s="3">
        <v>-1.6625831999999999E-4</v>
      </c>
      <c r="L4" s="3">
        <f t="shared" ref="L4:L33" si="0">-B4/D4</f>
        <v>0.2713102776424744</v>
      </c>
      <c r="M4" s="3"/>
      <c r="N4" s="2">
        <f>IF('Modell einstellen'!$B$1="Voll",H4/0.35,H4/0.35*2)</f>
        <v>1.887043342857143E-4</v>
      </c>
      <c r="O4" s="2">
        <f>IF('Modell einstellen'!$B$1="Voll",J4/0.35,J4/0.35*2)</f>
        <v>-4.7502377142857145E-4</v>
      </c>
      <c r="P4" s="3">
        <f t="shared" ref="P4:P33" si="1">-N4/O4</f>
        <v>0.39725240216549768</v>
      </c>
    </row>
    <row r="5" spans="1:16" x14ac:dyDescent="0.25">
      <c r="A5" s="3">
        <v>1E-13</v>
      </c>
      <c r="B5" s="3">
        <v>1.12E-4</v>
      </c>
      <c r="C5" s="3">
        <v>1.7459999999999999E-4</v>
      </c>
      <c r="D5" s="3">
        <v>-4.2000000000000002E-4</v>
      </c>
      <c r="E5" s="3">
        <v>0</v>
      </c>
      <c r="F5" s="3">
        <v>0</v>
      </c>
      <c r="G5" s="3">
        <v>0</v>
      </c>
      <c r="H5" s="3">
        <v>6.9909023999999997E-5</v>
      </c>
      <c r="I5" s="3">
        <v>1.8051369E-5</v>
      </c>
      <c r="J5" s="3">
        <v>-1.7344259E-4</v>
      </c>
      <c r="L5" s="3">
        <f t="shared" si="0"/>
        <v>0.26666666666666666</v>
      </c>
      <c r="M5" s="3"/>
      <c r="N5" s="2">
        <f>IF('Modell einstellen'!$B$1="Voll",H5/0.35,H5/0.35*2)</f>
        <v>1.9974006857142857E-4</v>
      </c>
      <c r="O5" s="2">
        <f>IF('Modell einstellen'!$B$1="Voll",J5/0.35,J5/0.35*2)</f>
        <v>-4.9555025714285712E-4</v>
      </c>
      <c r="P5" s="3">
        <f t="shared" si="1"/>
        <v>0.40306722818195923</v>
      </c>
    </row>
    <row r="6" spans="1:16" x14ac:dyDescent="0.25">
      <c r="A6" s="3">
        <v>9.9999999999999998E-13</v>
      </c>
      <c r="B6" s="3">
        <v>1.12E-4</v>
      </c>
      <c r="C6" s="3">
        <v>1.8369999999999999E-4</v>
      </c>
      <c r="D6" s="3">
        <v>-4.305E-4</v>
      </c>
      <c r="E6" s="3">
        <v>0</v>
      </c>
      <c r="F6" s="3">
        <v>0</v>
      </c>
      <c r="G6" s="3">
        <v>0</v>
      </c>
      <c r="H6" s="3">
        <v>7.4676175000000007E-5</v>
      </c>
      <c r="I6" s="3">
        <v>1.9114200000000001E-5</v>
      </c>
      <c r="J6" s="3">
        <v>-1.8220595000000001E-4</v>
      </c>
      <c r="L6" s="3">
        <f t="shared" si="0"/>
        <v>0.26016260162601623</v>
      </c>
      <c r="M6" s="3"/>
      <c r="N6" s="2">
        <f>IF('Modell einstellen'!$B$1="Voll",H6/0.35,H6/0.35*2)</f>
        <v>2.1336050000000004E-4</v>
      </c>
      <c r="O6" s="2">
        <f>IF('Modell einstellen'!$B$1="Voll",J6/0.35,J6/0.35*2)</f>
        <v>-5.2058842857142867E-4</v>
      </c>
      <c r="P6" s="3">
        <f t="shared" si="1"/>
        <v>0.4098448760866481</v>
      </c>
    </row>
    <row r="7" spans="1:16" x14ac:dyDescent="0.25">
      <c r="A7" s="3">
        <v>9.9999999999999994E-12</v>
      </c>
      <c r="B7" s="3">
        <v>1.111E-4</v>
      </c>
      <c r="C7" s="3">
        <v>1.93E-4</v>
      </c>
      <c r="D7" s="3">
        <v>-4.4030000000000002E-4</v>
      </c>
      <c r="E7" s="3">
        <v>0</v>
      </c>
      <c r="F7" s="3">
        <v>0</v>
      </c>
      <c r="G7" s="3">
        <v>0</v>
      </c>
      <c r="H7" s="3">
        <v>7.9778361000000002E-5</v>
      </c>
      <c r="I7" s="3">
        <v>2.0217951000000001E-5</v>
      </c>
      <c r="J7" s="3">
        <v>-1.9145651999999999E-4</v>
      </c>
      <c r="L7" s="3">
        <f t="shared" si="0"/>
        <v>0.25232795821031112</v>
      </c>
      <c r="M7" s="3"/>
      <c r="N7" s="2">
        <f>IF('Modell einstellen'!$B$1="Voll",H7/0.35,H7/0.35*2)</f>
        <v>2.2793817428571432E-4</v>
      </c>
      <c r="O7" s="2">
        <f>IF('Modell einstellen'!$B$1="Voll",J7/0.35,J7/0.35*2)</f>
        <v>-5.4701862857142855E-4</v>
      </c>
      <c r="P7" s="3">
        <f t="shared" si="1"/>
        <v>0.41669179508746956</v>
      </c>
    </row>
    <row r="8" spans="1:16" x14ac:dyDescent="0.25">
      <c r="A8" s="3">
        <v>1E-10</v>
      </c>
      <c r="B8" s="3">
        <v>1.0950000000000001E-4</v>
      </c>
      <c r="C8" s="3">
        <v>2.009E-4</v>
      </c>
      <c r="D8" s="3">
        <v>-4.4779999999999999E-4</v>
      </c>
      <c r="E8" s="3">
        <v>0</v>
      </c>
      <c r="F8" s="3">
        <v>0</v>
      </c>
      <c r="G8" s="3">
        <v>0</v>
      </c>
      <c r="H8" s="3">
        <v>8.4287397000000001E-5</v>
      </c>
      <c r="I8" s="3">
        <v>2.1164523999999999E-5</v>
      </c>
      <c r="J8" s="3">
        <v>-1.9952225E-4</v>
      </c>
      <c r="L8" s="3">
        <f t="shared" si="0"/>
        <v>0.24452880750334974</v>
      </c>
      <c r="M8" s="3"/>
      <c r="N8" s="2">
        <f>IF('Modell einstellen'!$B$1="Voll",H8/0.35,H8/0.35*2)</f>
        <v>2.4082113428571431E-4</v>
      </c>
      <c r="O8" s="2">
        <f>IF('Modell einstellen'!$B$1="Voll",J8/0.35,J8/0.35*2)</f>
        <v>-5.7006357142857145E-4</v>
      </c>
      <c r="P8" s="3">
        <f t="shared" si="1"/>
        <v>0.42244610312884906</v>
      </c>
    </row>
    <row r="9" spans="1:16" x14ac:dyDescent="0.25">
      <c r="A9" s="3">
        <v>1.0000000000000001E-9</v>
      </c>
      <c r="B9" s="3">
        <v>1.072E-4</v>
      </c>
      <c r="C9" s="3">
        <v>2.0929999999999999E-4</v>
      </c>
      <c r="D9" s="3">
        <v>-4.55E-4</v>
      </c>
      <c r="E9" s="3">
        <v>0</v>
      </c>
      <c r="F9" s="3">
        <v>0</v>
      </c>
      <c r="G9" s="3">
        <v>0</v>
      </c>
      <c r="H9" s="3">
        <v>8.9255874000000003E-5</v>
      </c>
      <c r="I9" s="3">
        <v>2.2180876000000001E-5</v>
      </c>
      <c r="J9" s="3">
        <v>-2.0830976999999999E-4</v>
      </c>
      <c r="L9" s="3">
        <f t="shared" si="0"/>
        <v>0.23560439560439561</v>
      </c>
      <c r="M9" s="3"/>
      <c r="N9" s="2">
        <f>IF('Modell einstellen'!$B$1="Voll",H9/0.35,H9/0.35*2)</f>
        <v>2.5501678285714288E-4</v>
      </c>
      <c r="O9" s="2">
        <f>IF('Modell einstellen'!$B$1="Voll",J9/0.35,J9/0.35*2)</f>
        <v>-5.9517077142857142E-4</v>
      </c>
      <c r="P9" s="3">
        <f t="shared" si="1"/>
        <v>0.42847665762388393</v>
      </c>
    </row>
    <row r="10" spans="1:16" x14ac:dyDescent="0.25">
      <c r="A10" s="3">
        <v>1E-8</v>
      </c>
      <c r="B10" s="3">
        <v>1.0399999999999999E-4</v>
      </c>
      <c r="C10" s="3">
        <v>2.1770000000000001E-4</v>
      </c>
      <c r="D10" s="3">
        <v>-4.615E-4</v>
      </c>
      <c r="E10" s="3">
        <v>0</v>
      </c>
      <c r="F10" s="3">
        <v>0</v>
      </c>
      <c r="G10" s="3">
        <v>0</v>
      </c>
      <c r="H10" s="3">
        <v>9.4506358999999995E-5</v>
      </c>
      <c r="I10" s="3">
        <v>2.3222131000000001E-5</v>
      </c>
      <c r="J10" s="3">
        <v>-2.1747271999999999E-4</v>
      </c>
      <c r="L10" s="3">
        <f t="shared" si="0"/>
        <v>0.22535211267605632</v>
      </c>
      <c r="M10" s="3"/>
      <c r="N10" s="2">
        <f>IF('Modell einstellen'!$B$1="Voll",H10/0.35,H10/0.35*2)</f>
        <v>2.7001816857142859E-4</v>
      </c>
      <c r="O10" s="2">
        <f>IF('Modell einstellen'!$B$1="Voll",J10/0.35,J10/0.35*2)</f>
        <v>-6.2135062857142864E-4</v>
      </c>
      <c r="P10" s="3">
        <f t="shared" si="1"/>
        <v>0.43456650103056604</v>
      </c>
    </row>
    <row r="11" spans="1:16" x14ac:dyDescent="0.25">
      <c r="A11" s="3">
        <v>9.9999999999999995E-8</v>
      </c>
      <c r="B11" s="3">
        <v>9.9469999999999995E-5</v>
      </c>
      <c r="C11" s="3">
        <v>2.2709999999999999E-4</v>
      </c>
      <c r="D11" s="3">
        <v>-4.6769999999999998E-4</v>
      </c>
      <c r="E11" s="3">
        <v>0</v>
      </c>
      <c r="F11" s="3">
        <v>0</v>
      </c>
      <c r="G11" s="3">
        <v>0</v>
      </c>
      <c r="H11" s="3">
        <v>1.0066229E-4</v>
      </c>
      <c r="I11" s="3">
        <v>2.4403290999999999E-5</v>
      </c>
      <c r="J11" s="3">
        <v>-2.2806709999999999E-4</v>
      </c>
      <c r="L11" s="3">
        <f t="shared" si="0"/>
        <v>0.21267906777849049</v>
      </c>
      <c r="M11" s="3"/>
      <c r="N11" s="2">
        <f>IF('Modell einstellen'!$B$1="Voll",H11/0.35,H11/0.35*2)</f>
        <v>2.8760654285714285E-4</v>
      </c>
      <c r="O11" s="2">
        <f>IF('Modell einstellen'!$B$1="Voll",J11/0.35,J11/0.35*2)</f>
        <v>-6.5162028571428578E-4</v>
      </c>
      <c r="P11" s="3">
        <f t="shared" si="1"/>
        <v>0.44137137710787738</v>
      </c>
    </row>
    <row r="12" spans="1:16" x14ac:dyDescent="0.25">
      <c r="A12" s="3">
        <v>9.9999999999999995E-7</v>
      </c>
      <c r="B12" s="3">
        <v>9.3839999999999996E-5</v>
      </c>
      <c r="C12" s="3">
        <v>2.363E-4</v>
      </c>
      <c r="D12" s="3">
        <v>-4.7249999999999999E-4</v>
      </c>
      <c r="E12" s="3">
        <v>0</v>
      </c>
      <c r="F12" s="3">
        <v>0</v>
      </c>
      <c r="G12" s="3">
        <v>0</v>
      </c>
      <c r="H12" s="3">
        <v>1.0698536E-4</v>
      </c>
      <c r="I12" s="3">
        <v>2.5570647000000001E-5</v>
      </c>
      <c r="J12" s="3">
        <v>-2.3877685E-4</v>
      </c>
      <c r="L12" s="3">
        <f t="shared" si="0"/>
        <v>0.19860317460317459</v>
      </c>
      <c r="M12" s="3"/>
      <c r="N12" s="2">
        <f>IF('Modell einstellen'!$B$1="Voll",H12/0.35,H12/0.35*2)</f>
        <v>3.056724571428572E-4</v>
      </c>
      <c r="O12" s="2">
        <f>IF('Modell einstellen'!$B$1="Voll",J12/0.35,J12/0.35*2)</f>
        <v>-6.8221957142857142E-4</v>
      </c>
      <c r="P12" s="3">
        <f t="shared" si="1"/>
        <v>0.4480558312080925</v>
      </c>
    </row>
    <row r="13" spans="1:16" x14ac:dyDescent="0.25">
      <c r="A13" s="3">
        <v>1.0000000000000001E-5</v>
      </c>
      <c r="B13" s="3">
        <v>8.4580000000000007E-5</v>
      </c>
      <c r="C13" s="3">
        <v>2.4850000000000002E-4</v>
      </c>
      <c r="D13" s="3">
        <v>-4.773E-4</v>
      </c>
      <c r="E13" s="3">
        <v>0</v>
      </c>
      <c r="F13" s="3">
        <v>0</v>
      </c>
      <c r="G13" s="3">
        <v>0</v>
      </c>
      <c r="H13" s="3">
        <v>1.1596888000000001E-4</v>
      </c>
      <c r="I13" s="3">
        <v>2.7162527999999999E-5</v>
      </c>
      <c r="J13" s="3">
        <v>-2.5374354000000002E-4</v>
      </c>
      <c r="L13" s="3">
        <f t="shared" si="0"/>
        <v>0.17720511208883302</v>
      </c>
      <c r="M13" s="3"/>
      <c r="N13" s="2">
        <f>IF('Modell einstellen'!$B$1="Voll",H13/0.35,H13/0.35*2)</f>
        <v>3.3133965714285716E-4</v>
      </c>
      <c r="O13" s="2">
        <f>IF('Modell einstellen'!$B$1="Voll",J13/0.35,J13/0.35*2)</f>
        <v>-7.24981542857143E-4</v>
      </c>
      <c r="P13" s="3">
        <f t="shared" si="1"/>
        <v>0.45703185192419077</v>
      </c>
    </row>
    <row r="14" spans="1:16" x14ac:dyDescent="0.25">
      <c r="A14" s="3">
        <v>1E-4</v>
      </c>
      <c r="B14" s="3">
        <v>7.1359999999999994E-5</v>
      </c>
      <c r="C14" s="3">
        <v>2.6219999999999998E-4</v>
      </c>
      <c r="D14" s="3">
        <v>-4.797E-4</v>
      </c>
      <c r="E14" s="3">
        <v>0</v>
      </c>
      <c r="F14" s="3">
        <v>0</v>
      </c>
      <c r="G14" s="3">
        <v>0</v>
      </c>
      <c r="H14" s="3">
        <v>1.2684615000000001E-4</v>
      </c>
      <c r="I14" s="3">
        <v>2.8977692E-5</v>
      </c>
      <c r="J14" s="3">
        <v>-2.7144393999999999E-4</v>
      </c>
      <c r="L14" s="3">
        <f t="shared" si="0"/>
        <v>0.14875964144256826</v>
      </c>
      <c r="M14" s="3"/>
      <c r="N14" s="2">
        <f>IF('Modell einstellen'!$B$1="Voll",H14/0.35,H14/0.35*2)</f>
        <v>3.6241757142857148E-4</v>
      </c>
      <c r="O14" s="2">
        <f>IF('Modell einstellen'!$B$1="Voll",J14/0.35,J14/0.35*2)</f>
        <v>-7.7555411428571427E-4</v>
      </c>
      <c r="P14" s="3">
        <f t="shared" si="1"/>
        <v>0.46730146195195965</v>
      </c>
    </row>
    <row r="15" spans="1:16" x14ac:dyDescent="0.25">
      <c r="A15" s="3">
        <v>1E-3</v>
      </c>
      <c r="B15" s="3">
        <v>5.0529999999999999E-5</v>
      </c>
      <c r="C15" s="3">
        <v>2.7920000000000001E-4</v>
      </c>
      <c r="D15" s="3">
        <v>-4.7830000000000003E-4</v>
      </c>
      <c r="E15" s="3">
        <v>0</v>
      </c>
      <c r="F15" s="3">
        <v>0</v>
      </c>
      <c r="G15" s="3">
        <v>0</v>
      </c>
      <c r="H15" s="3">
        <v>1.4174869999999999E-4</v>
      </c>
      <c r="I15" s="3">
        <v>3.1301823999999998E-5</v>
      </c>
      <c r="J15" s="3">
        <v>-2.9508223000000001E-4</v>
      </c>
      <c r="L15" s="3">
        <f t="shared" si="0"/>
        <v>0.10564499268241688</v>
      </c>
      <c r="M15" s="3"/>
      <c r="N15" s="2">
        <f>IF('Modell einstellen'!$B$1="Voll",H15/0.35,H15/0.35*2)</f>
        <v>4.049962857142857E-4</v>
      </c>
      <c r="O15" s="2">
        <f>IF('Modell einstellen'!$B$1="Voll",J15/0.35,J15/0.35*2)</f>
        <v>-8.4309208571428575E-4</v>
      </c>
      <c r="P15" s="3">
        <f t="shared" si="1"/>
        <v>0.48037016664812376</v>
      </c>
    </row>
    <row r="16" spans="1:16" x14ac:dyDescent="0.25">
      <c r="A16" s="3">
        <v>0.01</v>
      </c>
      <c r="B16" s="3">
        <v>1.7790000000000001E-5</v>
      </c>
      <c r="C16" s="3">
        <v>3.0049999999999999E-4</v>
      </c>
      <c r="D16" s="3">
        <v>-4.6979999999999998E-4</v>
      </c>
      <c r="E16" s="3">
        <v>0</v>
      </c>
      <c r="F16" s="3">
        <v>0</v>
      </c>
      <c r="G16" s="3">
        <v>0</v>
      </c>
      <c r="H16" s="3">
        <v>1.6233824000000001E-4</v>
      </c>
      <c r="I16" s="3">
        <v>3.4326708E-5</v>
      </c>
      <c r="J16" s="3">
        <v>-3.2700344E-4</v>
      </c>
      <c r="L16" s="3">
        <f t="shared" si="0"/>
        <v>3.7867177522349936E-2</v>
      </c>
      <c r="M16" s="3"/>
      <c r="N16" s="2">
        <f>IF('Modell einstellen'!$B$1="Voll",H16/0.35,H16/0.35*2)</f>
        <v>4.638235428571429E-4</v>
      </c>
      <c r="O16" s="2">
        <f>IF('Modell einstellen'!$B$1="Voll",J16/0.35,J16/0.35*2)</f>
        <v>-9.3429554285714294E-4</v>
      </c>
      <c r="P16" s="3">
        <f t="shared" si="1"/>
        <v>0.49644199461632577</v>
      </c>
    </row>
    <row r="17" spans="1:16" x14ac:dyDescent="0.25">
      <c r="A17" s="3">
        <v>0.1</v>
      </c>
      <c r="B17" s="3">
        <v>-3.7110000000000002E-5</v>
      </c>
      <c r="C17" s="3">
        <v>3.3710000000000001E-4</v>
      </c>
      <c r="D17" s="3">
        <v>-4.5429999999999998E-4</v>
      </c>
      <c r="E17" s="3">
        <v>0</v>
      </c>
      <c r="F17" s="3">
        <v>0</v>
      </c>
      <c r="G17" s="3">
        <v>0</v>
      </c>
      <c r="H17" s="3">
        <v>1.9394641E-4</v>
      </c>
      <c r="I17" s="3">
        <v>3.9612917000000001E-5</v>
      </c>
      <c r="J17" s="3">
        <v>-3.7803716999999998E-4</v>
      </c>
      <c r="L17" s="3">
        <f t="shared" si="0"/>
        <v>-8.1686110499669826E-2</v>
      </c>
      <c r="M17" s="3"/>
      <c r="N17" s="2">
        <f>IF('Modell einstellen'!$B$1="Voll",H17/0.35,H17/0.35*2)</f>
        <v>5.5413260000000003E-4</v>
      </c>
      <c r="O17" s="2">
        <f>IF('Modell einstellen'!$B$1="Voll",J17/0.35,J17/0.35*2)</f>
        <v>-1.0801062E-3</v>
      </c>
      <c r="P17" s="3">
        <f t="shared" si="1"/>
        <v>0.51303529227033418</v>
      </c>
    </row>
    <row r="18" spans="1:16" x14ac:dyDescent="0.25">
      <c r="A18" s="3">
        <v>1</v>
      </c>
      <c r="B18" s="3">
        <v>-1.3119999999999999E-4</v>
      </c>
      <c r="C18" s="3">
        <v>4.1149999999999997E-4</v>
      </c>
      <c r="D18" s="3">
        <v>-4.3619999999999998E-4</v>
      </c>
      <c r="E18" s="3">
        <v>0</v>
      </c>
      <c r="F18" s="3">
        <v>0</v>
      </c>
      <c r="G18" s="3">
        <v>0</v>
      </c>
      <c r="H18" s="3">
        <v>2.4246074E-4</v>
      </c>
      <c r="I18" s="3">
        <v>5.0586617000000001E-5</v>
      </c>
      <c r="J18" s="3">
        <v>-4.6617001999999999E-4</v>
      </c>
      <c r="L18" s="3">
        <f t="shared" si="0"/>
        <v>-0.30077945896377806</v>
      </c>
      <c r="M18" s="3"/>
      <c r="N18" s="2">
        <f>IF('Modell einstellen'!$B$1="Voll",H18/0.35,H18/0.35*2)</f>
        <v>6.927449714285715E-4</v>
      </c>
      <c r="O18" s="2">
        <f>IF('Modell einstellen'!$B$1="Voll",J18/0.35,J18/0.35*2)</f>
        <v>-1.3319143428571429E-3</v>
      </c>
      <c r="P18" s="3">
        <f t="shared" si="1"/>
        <v>0.52011225432300434</v>
      </c>
    </row>
    <row r="19" spans="1:16" x14ac:dyDescent="0.25">
      <c r="A19" s="3">
        <v>10</v>
      </c>
      <c r="B19" s="3">
        <v>-3.3300000000000002E-4</v>
      </c>
      <c r="C19" s="3">
        <v>5.3910000000000004E-4</v>
      </c>
      <c r="D19" s="3">
        <v>-3.6380000000000001E-4</v>
      </c>
      <c r="E19" s="3">
        <v>0</v>
      </c>
      <c r="F19" s="3">
        <v>0</v>
      </c>
      <c r="G19" s="3">
        <v>0</v>
      </c>
      <c r="H19" s="3">
        <v>3.2665187000000001E-4</v>
      </c>
      <c r="I19" s="3">
        <v>7.0681114000000002E-5</v>
      </c>
      <c r="J19" s="3">
        <v>-6.2299014999999997E-4</v>
      </c>
      <c r="L19" s="3">
        <f t="shared" si="0"/>
        <v>-0.91533809785596487</v>
      </c>
      <c r="M19" s="3"/>
      <c r="N19" s="2">
        <f>IF('Modell einstellen'!$B$1="Voll",H19/0.35,H19/0.35*2)</f>
        <v>9.3329105714285722E-4</v>
      </c>
      <c r="O19" s="2">
        <f>IF('Modell einstellen'!$B$1="Voll",J19/0.35,J19/0.35*2)</f>
        <v>-1.7799718571428571E-3</v>
      </c>
      <c r="P19" s="3">
        <f t="shared" si="1"/>
        <v>0.52432910857418857</v>
      </c>
    </row>
    <row r="20" spans="1:16" x14ac:dyDescent="0.25">
      <c r="A20" s="3">
        <v>100</v>
      </c>
      <c r="B20" s="3">
        <v>-7.0129999999999997E-4</v>
      </c>
      <c r="C20" s="3">
        <v>7.1650000000000001E-4</v>
      </c>
      <c r="D20" s="3">
        <v>-1.749E-4</v>
      </c>
      <c r="E20" s="3">
        <v>0</v>
      </c>
      <c r="F20" s="3">
        <v>0</v>
      </c>
      <c r="G20" s="3">
        <v>0</v>
      </c>
      <c r="H20" s="3">
        <v>4.5564565999999998E-4</v>
      </c>
      <c r="I20" s="3">
        <v>1.0085202E-4</v>
      </c>
      <c r="J20" s="3">
        <v>-8.6135808000000001E-4</v>
      </c>
      <c r="L20" s="3">
        <f t="shared" si="0"/>
        <v>-4.0097198399085192</v>
      </c>
      <c r="M20" s="3"/>
      <c r="N20" s="2">
        <f>IF('Modell einstellen'!$B$1="Voll",H20/0.35,H20/0.35*2)</f>
        <v>1.3018447428571429E-3</v>
      </c>
      <c r="O20" s="2">
        <f>IF('Modell einstellen'!$B$1="Voll",J20/0.35,J20/0.35*2)</f>
        <v>-2.461023085714286E-3</v>
      </c>
      <c r="P20" s="3">
        <f t="shared" si="1"/>
        <v>0.52898518116878868</v>
      </c>
    </row>
    <row r="21" spans="1:16" x14ac:dyDescent="0.25">
      <c r="A21" s="3">
        <v>1000</v>
      </c>
      <c r="B21" s="3">
        <v>-1.294E-3</v>
      </c>
      <c r="C21" s="3">
        <v>9.5149999999999998E-4</v>
      </c>
      <c r="D21" s="3">
        <v>1.8039999999999999E-4</v>
      </c>
      <c r="E21" s="3">
        <v>0</v>
      </c>
      <c r="F21" s="3">
        <v>0</v>
      </c>
      <c r="G21" s="3">
        <v>0</v>
      </c>
      <c r="H21" s="3">
        <v>6.4216841999999998E-4</v>
      </c>
      <c r="I21" s="3">
        <v>1.4339718000000001E-4</v>
      </c>
      <c r="J21" s="3">
        <v>-1.2021969999999999E-3</v>
      </c>
      <c r="L21" s="3">
        <f t="shared" si="0"/>
        <v>7.1729490022172948</v>
      </c>
      <c r="M21" s="3"/>
      <c r="N21" s="2">
        <f>IF('Modell einstellen'!$B$1="Voll",H21/0.35,H21/0.35*2)</f>
        <v>1.8347669142857145E-3</v>
      </c>
      <c r="O21" s="2">
        <f>IF('Modell einstellen'!$B$1="Voll",J21/0.35,J21/0.35*2)</f>
        <v>-3.4348485714285715E-3</v>
      </c>
      <c r="P21" s="3">
        <f t="shared" si="1"/>
        <v>0.53416238769519475</v>
      </c>
    </row>
    <row r="22" spans="1:16" x14ac:dyDescent="0.25">
      <c r="A22" s="3">
        <v>10000</v>
      </c>
      <c r="B22" s="3">
        <v>-1.9139999999999999E-3</v>
      </c>
      <c r="C22" s="3">
        <v>1.1900000000000001E-3</v>
      </c>
      <c r="D22" s="3">
        <v>5.6130000000000004E-4</v>
      </c>
      <c r="E22" s="3">
        <v>0</v>
      </c>
      <c r="F22" s="3">
        <v>0</v>
      </c>
      <c r="G22" s="3">
        <v>0</v>
      </c>
      <c r="H22" s="3">
        <v>8.2254291000000005E-4</v>
      </c>
      <c r="I22" s="3">
        <v>1.8804573E-4</v>
      </c>
      <c r="J22" s="3">
        <v>-1.5442574E-3</v>
      </c>
      <c r="L22" s="3">
        <f t="shared" si="0"/>
        <v>3.409941207910208</v>
      </c>
      <c r="M22" s="3"/>
      <c r="N22" s="2">
        <f>IF('Modell einstellen'!$B$1="Voll",H22/0.35,H22/0.35*2)</f>
        <v>2.3501226000000003E-3</v>
      </c>
      <c r="O22" s="2">
        <f>IF('Modell einstellen'!$B$1="Voll",J22/0.35,J22/0.35*2)</f>
        <v>-4.4121640000000005E-3</v>
      </c>
      <c r="P22" s="3">
        <f t="shared" si="1"/>
        <v>0.53264624796358429</v>
      </c>
    </row>
    <row r="23" spans="1:16" x14ac:dyDescent="0.25">
      <c r="A23" s="3">
        <v>100000</v>
      </c>
      <c r="B23" s="3">
        <v>-2.4369999999999999E-3</v>
      </c>
      <c r="C23" s="3">
        <v>1.3990000000000001E-3</v>
      </c>
      <c r="D23" s="3">
        <v>8.7529999999999997E-4</v>
      </c>
      <c r="E23" s="3">
        <v>0</v>
      </c>
      <c r="F23" s="3">
        <v>0</v>
      </c>
      <c r="G23" s="3">
        <v>0</v>
      </c>
      <c r="H23" s="3">
        <v>9.6936389000000002E-4</v>
      </c>
      <c r="I23" s="3">
        <v>2.2769448E-4</v>
      </c>
      <c r="J23" s="3">
        <v>-1.8344587E-3</v>
      </c>
      <c r="L23" s="3">
        <f t="shared" si="0"/>
        <v>2.7841882783045815</v>
      </c>
      <c r="M23" s="3"/>
      <c r="N23" s="2">
        <f>IF('Modell einstellen'!$B$1="Voll",H23/0.35,H23/0.35*2)</f>
        <v>2.7696111142857145E-3</v>
      </c>
      <c r="O23" s="2">
        <f>IF('Modell einstellen'!$B$1="Voll",J23/0.35,J23/0.35*2)</f>
        <v>-5.2413105714285719E-3</v>
      </c>
      <c r="P23" s="3">
        <f t="shared" si="1"/>
        <v>0.52841957684847307</v>
      </c>
    </row>
    <row r="24" spans="1:16" x14ac:dyDescent="0.25">
      <c r="A24" s="3">
        <v>1000000</v>
      </c>
      <c r="B24" s="3">
        <v>-2.7100000000000002E-3</v>
      </c>
      <c r="C24" s="3">
        <v>1.531E-3</v>
      </c>
      <c r="D24" s="3">
        <v>1.0169999999999999E-3</v>
      </c>
      <c r="E24" s="3">
        <v>0</v>
      </c>
      <c r="F24" s="3">
        <v>0</v>
      </c>
      <c r="G24" s="3">
        <v>0</v>
      </c>
      <c r="H24" s="3">
        <v>1.0441262000000001E-3</v>
      </c>
      <c r="I24" s="3">
        <v>2.5285956000000001E-4</v>
      </c>
      <c r="J24" s="3">
        <v>-2.0001560999999999E-3</v>
      </c>
      <c r="L24" s="3">
        <f t="shared" si="0"/>
        <v>2.6647000983284173</v>
      </c>
      <c r="M24" s="3"/>
      <c r="N24" s="2">
        <f>IF('Modell einstellen'!$B$1="Voll",H24/0.35,H24/0.35*2)</f>
        <v>2.9832177142857146E-3</v>
      </c>
      <c r="O24" s="2">
        <f>IF('Modell einstellen'!$B$1="Voll",J24/0.35,J24/0.35*2)</f>
        <v>-5.7147317142857146E-3</v>
      </c>
      <c r="P24" s="3">
        <f t="shared" si="1"/>
        <v>0.52202235615510217</v>
      </c>
    </row>
    <row r="25" spans="1:16" x14ac:dyDescent="0.25">
      <c r="A25" s="3">
        <v>10000000</v>
      </c>
      <c r="B25" s="3">
        <v>-2.9320000000000001E-3</v>
      </c>
      <c r="C25" s="3">
        <v>1.6329999999999999E-3</v>
      </c>
      <c r="D25" s="3">
        <v>1.1379999999999999E-3</v>
      </c>
      <c r="E25" s="3">
        <v>0</v>
      </c>
      <c r="F25" s="3">
        <v>0</v>
      </c>
      <c r="G25" s="3">
        <v>0</v>
      </c>
      <c r="H25" s="3">
        <v>1.1071504E-3</v>
      </c>
      <c r="I25" s="3">
        <v>2.7232838000000001E-4</v>
      </c>
      <c r="J25" s="3">
        <v>-2.1334738000000002E-3</v>
      </c>
      <c r="L25" s="3">
        <f t="shared" si="0"/>
        <v>2.5764499121265381</v>
      </c>
      <c r="M25" s="3"/>
      <c r="N25" s="2">
        <f>IF('Modell einstellen'!$B$1="Voll",H25/0.35,H25/0.35*2)</f>
        <v>3.1632868571428575E-3</v>
      </c>
      <c r="O25" s="2">
        <f>IF('Modell einstellen'!$B$1="Voll",J25/0.35,J25/0.35*2)</f>
        <v>-6.0956394285714291E-3</v>
      </c>
      <c r="P25" s="3">
        <f t="shared" si="1"/>
        <v>0.51894258087444056</v>
      </c>
    </row>
    <row r="26" spans="1:16" x14ac:dyDescent="0.25">
      <c r="A26" s="3">
        <v>100000000</v>
      </c>
      <c r="B26" s="3">
        <v>-3.0609999999999999E-3</v>
      </c>
      <c r="C26" s="3">
        <v>1.684E-3</v>
      </c>
      <c r="D26" s="3">
        <v>1.2160000000000001E-3</v>
      </c>
      <c r="E26" s="3">
        <v>0</v>
      </c>
      <c r="F26" s="3">
        <v>0</v>
      </c>
      <c r="G26" s="3">
        <v>0</v>
      </c>
      <c r="H26" s="3">
        <v>1.1420193000000001E-3</v>
      </c>
      <c r="I26" s="3">
        <v>2.8238895000000001E-4</v>
      </c>
      <c r="J26" s="3">
        <v>-2.2046092999999998E-3</v>
      </c>
      <c r="L26" s="3">
        <f t="shared" si="0"/>
        <v>2.5172697368421049</v>
      </c>
      <c r="M26" s="3"/>
      <c r="N26" s="2">
        <f>IF('Modell einstellen'!$B$1="Voll",H26/0.35,H26/0.35*2)</f>
        <v>3.2629122857142862E-3</v>
      </c>
      <c r="O26" s="2">
        <f>IF('Modell einstellen'!$B$1="Voll",J26/0.35,J26/0.35*2)</f>
        <v>-6.2988837142857138E-3</v>
      </c>
      <c r="P26" s="3">
        <f t="shared" si="1"/>
        <v>0.51801437107246184</v>
      </c>
    </row>
    <row r="27" spans="1:16" x14ac:dyDescent="0.25">
      <c r="A27" s="3">
        <v>1000000000</v>
      </c>
      <c r="B27" s="3">
        <v>-3.137E-3</v>
      </c>
      <c r="C27" s="3">
        <v>1.7260000000000001E-3</v>
      </c>
      <c r="D27" s="3">
        <v>1.2489999999999999E-3</v>
      </c>
      <c r="E27" s="3">
        <v>0</v>
      </c>
      <c r="F27" s="3">
        <v>0</v>
      </c>
      <c r="G27" s="3">
        <v>0</v>
      </c>
      <c r="H27" s="3">
        <v>1.1621555E-3</v>
      </c>
      <c r="I27" s="3">
        <v>2.9047304000000003E-4</v>
      </c>
      <c r="J27" s="3">
        <v>-2.2539299999999999E-3</v>
      </c>
      <c r="L27" s="3">
        <f t="shared" si="0"/>
        <v>2.5116092874299443</v>
      </c>
      <c r="M27" s="3"/>
      <c r="N27" s="2">
        <f>IF('Modell einstellen'!$B$1="Voll",H27/0.35,H27/0.35*2)</f>
        <v>3.3204442857142857E-3</v>
      </c>
      <c r="O27" s="2">
        <f>IF('Modell einstellen'!$B$1="Voll",J27/0.35,J27/0.35*2)</f>
        <v>-6.4397999999999999E-3</v>
      </c>
      <c r="P27" s="3">
        <f t="shared" si="1"/>
        <v>0.51561295160009402</v>
      </c>
    </row>
    <row r="28" spans="1:16" x14ac:dyDescent="0.25">
      <c r="A28" s="3">
        <v>10000000000</v>
      </c>
      <c r="B28" s="3">
        <v>-3.359E-3</v>
      </c>
      <c r="C28" s="3">
        <v>1.8010000000000001E-3</v>
      </c>
      <c r="D28" s="3">
        <v>1.3960000000000001E-3</v>
      </c>
      <c r="E28" s="3">
        <v>0</v>
      </c>
      <c r="F28" s="3">
        <v>0</v>
      </c>
      <c r="G28" s="3">
        <v>0</v>
      </c>
      <c r="H28" s="3">
        <v>1.2265326E-3</v>
      </c>
      <c r="I28" s="3">
        <v>3.0539256000000002E-4</v>
      </c>
      <c r="J28" s="3">
        <v>-2.3720225999999999E-3</v>
      </c>
      <c r="L28" s="3">
        <f t="shared" si="0"/>
        <v>2.4061604584527219</v>
      </c>
      <c r="M28" s="3"/>
      <c r="N28" s="2">
        <f>IF('Modell einstellen'!$B$1="Voll",H28/0.35,H28/0.35*2)</f>
        <v>3.5043788571428574E-3</v>
      </c>
      <c r="O28" s="2">
        <f>IF('Modell einstellen'!$B$1="Voll",J28/0.35,J28/0.35*2)</f>
        <v>-6.7772074285714287E-3</v>
      </c>
      <c r="P28" s="3">
        <f t="shared" si="1"/>
        <v>0.51708301598812767</v>
      </c>
    </row>
    <row r="29" spans="1:16" x14ac:dyDescent="0.25">
      <c r="A29" s="3">
        <v>100000000000</v>
      </c>
      <c r="B29" s="3">
        <v>-3.431E-3</v>
      </c>
      <c r="C29" s="3">
        <v>1.841E-3</v>
      </c>
      <c r="D29" s="3">
        <v>1.4289999999999999E-3</v>
      </c>
      <c r="E29" s="3">
        <v>0</v>
      </c>
      <c r="F29" s="3">
        <v>0</v>
      </c>
      <c r="G29" s="3">
        <v>0</v>
      </c>
      <c r="H29" s="3">
        <v>1.2475000999999999E-3</v>
      </c>
      <c r="I29" s="3">
        <v>3.1287903E-4</v>
      </c>
      <c r="J29" s="3">
        <v>-2.4200068E-3</v>
      </c>
      <c r="L29" s="3">
        <f t="shared" si="0"/>
        <v>2.4009797060881737</v>
      </c>
      <c r="M29" s="3"/>
      <c r="N29" s="2">
        <f>IF('Modell einstellen'!$B$1="Voll",H29/0.35,H29/0.35*2)</f>
        <v>3.5642860000000003E-3</v>
      </c>
      <c r="O29" s="2">
        <f>IF('Modell einstellen'!$B$1="Voll",J29/0.35,J29/0.35*2)</f>
        <v>-6.9143051428571436E-3</v>
      </c>
      <c r="P29" s="3">
        <f t="shared" si="1"/>
        <v>0.51549446059407766</v>
      </c>
    </row>
    <row r="30" spans="1:16" x14ac:dyDescent="0.25">
      <c r="A30" s="3">
        <v>1000000000000</v>
      </c>
      <c r="B30" s="3">
        <v>-3.437E-3</v>
      </c>
      <c r="C30" s="3">
        <v>1.8439999999999999E-3</v>
      </c>
      <c r="D30" s="3">
        <v>1.431E-3</v>
      </c>
      <c r="E30" s="3">
        <v>0</v>
      </c>
      <c r="F30" s="3">
        <v>0</v>
      </c>
      <c r="G30" s="3">
        <v>0</v>
      </c>
      <c r="H30" s="3">
        <v>1.2499195999999999E-3</v>
      </c>
      <c r="I30" s="3">
        <v>3.1354031999999998E-4</v>
      </c>
      <c r="J30" s="3">
        <v>-2.4248068000000001E-3</v>
      </c>
      <c r="L30" s="3">
        <f t="shared" si="0"/>
        <v>2.4018169112508736</v>
      </c>
      <c r="M30" s="3"/>
      <c r="N30" s="2">
        <f>IF('Modell einstellen'!$B$1="Voll",H30/0.35,H30/0.35*2)</f>
        <v>3.5711988571428574E-3</v>
      </c>
      <c r="O30" s="2">
        <f>IF('Modell einstellen'!$B$1="Voll",J30/0.35,J30/0.35*2)</f>
        <v>-6.9280194285714298E-3</v>
      </c>
      <c r="P30" s="3">
        <f t="shared" si="1"/>
        <v>0.51547183058048163</v>
      </c>
    </row>
    <row r="31" spans="1:16" x14ac:dyDescent="0.25">
      <c r="A31" s="3">
        <v>10000000000000</v>
      </c>
      <c r="B31" s="3">
        <v>-3.4380000000000001E-3</v>
      </c>
      <c r="C31" s="3">
        <v>1.846E-3</v>
      </c>
      <c r="D31" s="3">
        <v>1.4300000000000001E-3</v>
      </c>
      <c r="E31" s="3">
        <v>0</v>
      </c>
      <c r="F31" s="3">
        <v>0</v>
      </c>
      <c r="G31" s="3">
        <v>0</v>
      </c>
      <c r="H31" s="3">
        <v>1.2504059999999999E-3</v>
      </c>
      <c r="I31" s="3">
        <v>3.1379478999999999E-4</v>
      </c>
      <c r="J31" s="3">
        <v>-2.4262153999999999E-3</v>
      </c>
      <c r="L31" s="3">
        <f t="shared" si="0"/>
        <v>2.4041958041958043</v>
      </c>
      <c r="M31" s="3"/>
      <c r="N31" s="2">
        <f>IF('Modell einstellen'!$B$1="Voll",H31/0.35,H31/0.35*2)</f>
        <v>3.5725885714285714E-3</v>
      </c>
      <c r="O31" s="2">
        <f>IF('Modell einstellen'!$B$1="Voll",J31/0.35,J31/0.35*2)</f>
        <v>-6.9320440000000001E-3</v>
      </c>
      <c r="P31" s="3">
        <f t="shared" si="1"/>
        <v>0.51537303736510776</v>
      </c>
    </row>
    <row r="32" spans="1:16" x14ac:dyDescent="0.25">
      <c r="A32" s="3">
        <v>100000000000000</v>
      </c>
      <c r="B32" s="3">
        <v>-3.4390000000000002E-3</v>
      </c>
      <c r="C32" s="3">
        <v>1.846E-3</v>
      </c>
      <c r="D32" s="3">
        <v>1.431E-3</v>
      </c>
      <c r="E32" s="3">
        <v>0</v>
      </c>
      <c r="F32" s="3">
        <v>0</v>
      </c>
      <c r="G32" s="3">
        <v>0</v>
      </c>
      <c r="H32" s="3">
        <v>1.2510918E-3</v>
      </c>
      <c r="I32" s="3">
        <v>3.1387020999999998E-4</v>
      </c>
      <c r="J32" s="3">
        <v>-2.4271774000000001E-3</v>
      </c>
      <c r="L32" s="3">
        <f t="shared" si="0"/>
        <v>2.4032145352900072</v>
      </c>
      <c r="M32" s="3"/>
      <c r="N32" s="2">
        <f>IF('Modell einstellen'!$B$1="Voll",H32/0.35,H32/0.35*2)</f>
        <v>3.5745480000000003E-3</v>
      </c>
      <c r="O32" s="2">
        <f>IF('Modell einstellen'!$B$1="Voll",J32/0.35,J32/0.35*2)</f>
        <v>-6.9347925714285724E-3</v>
      </c>
      <c r="P32" s="3">
        <f t="shared" si="1"/>
        <v>0.51545132218188916</v>
      </c>
    </row>
    <row r="33" spans="1:16" x14ac:dyDescent="0.25">
      <c r="A33" s="3">
        <v>1000000000000000</v>
      </c>
      <c r="B33" s="3">
        <v>-3.4399999999999999E-3</v>
      </c>
      <c r="C33" s="3">
        <v>1.8469999999999999E-3</v>
      </c>
      <c r="D33" s="3">
        <v>1.431E-3</v>
      </c>
      <c r="E33" s="3">
        <v>0</v>
      </c>
      <c r="F33" s="3">
        <v>0</v>
      </c>
      <c r="G33" s="3">
        <v>0</v>
      </c>
      <c r="H33" s="3">
        <v>1.2517467E-3</v>
      </c>
      <c r="I33" s="3">
        <v>3.1396454999999999E-4</v>
      </c>
      <c r="J33" s="3">
        <v>-2.4281709000000002E-3</v>
      </c>
      <c r="L33" s="3">
        <f t="shared" si="0"/>
        <v>2.4039133473095737</v>
      </c>
      <c r="M33" s="3"/>
      <c r="N33" s="2">
        <f>IF('Modell einstellen'!$B$1="Voll",H33/0.35,H33/0.35*2)</f>
        <v>3.5764191428571432E-3</v>
      </c>
      <c r="O33" s="2">
        <f>IF('Modell einstellen'!$B$1="Voll",J33/0.35,J33/0.35*2)</f>
        <v>-6.9376311428571442E-3</v>
      </c>
      <c r="P33" s="3">
        <f t="shared" si="1"/>
        <v>0.51551013151504277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2022-01-05T08:14:02Z</dcterms:modified>
</cp:coreProperties>
</file>