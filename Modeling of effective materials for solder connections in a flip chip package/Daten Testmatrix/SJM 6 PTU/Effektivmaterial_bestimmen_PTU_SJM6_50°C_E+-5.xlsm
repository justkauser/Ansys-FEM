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3.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N122" i="43" l="1"/>
  <c r="O33" i="11"/>
  <c r="N33" i="11"/>
  <c r="P33" i="11" s="1"/>
  <c r="O32" i="11"/>
  <c r="N32" i="11"/>
  <c r="P32" i="11" s="1"/>
  <c r="O31" i="11"/>
  <c r="N31" i="11"/>
  <c r="P31" i="11" s="1"/>
  <c r="O30" i="11"/>
  <c r="N30" i="11"/>
  <c r="P29" i="11"/>
  <c r="O29" i="11"/>
  <c r="N29" i="11"/>
  <c r="O28" i="11"/>
  <c r="N28" i="11"/>
  <c r="P28" i="11" s="1"/>
  <c r="O27" i="11"/>
  <c r="P27" i="11" s="1"/>
  <c r="N27" i="11"/>
  <c r="O26" i="11"/>
  <c r="N26" i="11"/>
  <c r="P26" i="11" s="1"/>
  <c r="P25" i="11"/>
  <c r="O25" i="11"/>
  <c r="N25" i="11"/>
  <c r="O24" i="11"/>
  <c r="N24" i="11"/>
  <c r="P24" i="11" s="1"/>
  <c r="O23" i="11"/>
  <c r="P23" i="11" s="1"/>
  <c r="N23" i="11"/>
  <c r="O22" i="11"/>
  <c r="N22" i="11"/>
  <c r="O21" i="11"/>
  <c r="N21" i="11"/>
  <c r="P21" i="11" s="1"/>
  <c r="O20" i="11"/>
  <c r="N20" i="11"/>
  <c r="P20" i="11" s="1"/>
  <c r="O19" i="11"/>
  <c r="N19" i="11"/>
  <c r="P19" i="11" s="1"/>
  <c r="O18" i="11"/>
  <c r="N18" i="11"/>
  <c r="P17" i="11"/>
  <c r="O17" i="11"/>
  <c r="N17" i="11"/>
  <c r="O16" i="11"/>
  <c r="N16" i="11"/>
  <c r="P16" i="11" s="1"/>
  <c r="O15" i="11"/>
  <c r="N15" i="11"/>
  <c r="P15" i="11" s="1"/>
  <c r="O14" i="11"/>
  <c r="N14" i="11"/>
  <c r="P14" i="11" s="1"/>
  <c r="P13" i="11"/>
  <c r="O13" i="11"/>
  <c r="N13" i="11"/>
  <c r="O12" i="11"/>
  <c r="N12" i="11"/>
  <c r="O11" i="11"/>
  <c r="P11" i="11" s="1"/>
  <c r="N11" i="11"/>
  <c r="O10" i="11"/>
  <c r="N10" i="11"/>
  <c r="O9" i="11"/>
  <c r="N9" i="11"/>
  <c r="P9" i="11" s="1"/>
  <c r="O8" i="11"/>
  <c r="N8" i="11"/>
  <c r="P8" i="11" s="1"/>
  <c r="O7" i="11"/>
  <c r="N7" i="11"/>
  <c r="P7" i="11" s="1"/>
  <c r="O6" i="11"/>
  <c r="N6" i="11"/>
  <c r="P5" i="11"/>
  <c r="O5" i="11"/>
  <c r="N5" i="11"/>
  <c r="O4" i="11"/>
  <c r="N4" i="11"/>
  <c r="P4" i="11" s="1"/>
  <c r="O3" i="11"/>
  <c r="N3" i="11"/>
  <c r="P3" i="11" s="1"/>
  <c r="P6" i="11" l="1"/>
  <c r="P18" i="11"/>
  <c r="P30" i="11"/>
  <c r="P12" i="11"/>
  <c r="P10" i="11"/>
  <c r="P2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R8" i="37"/>
  <c r="R9" i="37"/>
  <c r="P7" i="37" s="1"/>
  <c r="R10" i="37"/>
  <c r="R11" i="37"/>
  <c r="R12" i="37"/>
  <c r="R13" i="37"/>
  <c r="R14" i="37"/>
  <c r="R3" i="37"/>
  <c r="L4" i="37"/>
  <c r="L5" i="37"/>
  <c r="L6" i="37"/>
  <c r="L7" i="37"/>
  <c r="L8" i="37"/>
  <c r="L9" i="37"/>
  <c r="L10" i="37"/>
  <c r="L11" i="37"/>
  <c r="L12" i="37"/>
  <c r="L13" i="37"/>
  <c r="L14" i="37"/>
  <c r="L3" i="37"/>
  <c r="P6" i="37" l="1"/>
  <c r="B31" i="39" s="1"/>
  <c r="P9" i="37"/>
  <c r="B33" i="39" s="1"/>
  <c r="B7" i="44"/>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B42" i="39" l="1"/>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I175" i="44" l="1"/>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BE31" i="8"/>
  <c r="BE30" i="8"/>
  <c r="AS29" i="8"/>
  <c r="BE28" i="8"/>
  <c r="BE27" i="8"/>
  <c r="AS26" i="8"/>
  <c r="BE25" i="8"/>
  <c r="BE24" i="8"/>
  <c r="BE23" i="8"/>
  <c r="BE22" i="8"/>
  <c r="BE21" i="8"/>
  <c r="AS20" i="8"/>
  <c r="BE19" i="8"/>
  <c r="BE18" i="8"/>
  <c r="AS17" i="8"/>
  <c r="BE16" i="8"/>
  <c r="BE15" i="8"/>
  <c r="AS14" i="8"/>
  <c r="BE13" i="8"/>
  <c r="BE12" i="8"/>
  <c r="AS11" i="8"/>
  <c r="BE10" i="8"/>
  <c r="BE9" i="8"/>
  <c r="AS8" i="8"/>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S32" i="8"/>
  <c r="AQ32" i="8" s="1"/>
  <c r="S31" i="8"/>
  <c r="AQ31" i="8" s="1"/>
  <c r="S30" i="8"/>
  <c r="AQ30" i="8" s="1"/>
  <c r="S29" i="8"/>
  <c r="AQ29" i="8" s="1"/>
  <c r="S28" i="8"/>
  <c r="AQ28" i="8" s="1"/>
  <c r="S27" i="8"/>
  <c r="AQ27" i="8" s="1"/>
  <c r="S26" i="8"/>
  <c r="AQ26" i="8" s="1"/>
  <c r="S25" i="8"/>
  <c r="AQ25" i="8" s="1"/>
  <c r="S24" i="8"/>
  <c r="AQ24" i="8" s="1"/>
  <c r="S23" i="8"/>
  <c r="AQ23" i="8" s="1"/>
  <c r="S22" i="8"/>
  <c r="AQ22" i="8" s="1"/>
  <c r="S21" i="8"/>
  <c r="AQ21" i="8" s="1"/>
  <c r="S20" i="8"/>
  <c r="AQ20" i="8" s="1"/>
  <c r="S19" i="8"/>
  <c r="AQ19" i="8" s="1"/>
  <c r="S18" i="8"/>
  <c r="AQ18" i="8" s="1"/>
  <c r="S17" i="8"/>
  <c r="AQ17" i="8" s="1"/>
  <c r="S16" i="8"/>
  <c r="AQ16" i="8" s="1"/>
  <c r="S15" i="8"/>
  <c r="AQ15" i="8" s="1"/>
  <c r="S14" i="8"/>
  <c r="AQ14" i="8" s="1"/>
  <c r="S13" i="8"/>
  <c r="AQ13" i="8" s="1"/>
  <c r="S12" i="8"/>
  <c r="AQ12" i="8" s="1"/>
  <c r="S11" i="8"/>
  <c r="AQ11" i="8" s="1"/>
  <c r="S10" i="8"/>
  <c r="AQ10" i="8" s="1"/>
  <c r="S9" i="8"/>
  <c r="AQ9" i="8" s="1"/>
  <c r="S8" i="8"/>
  <c r="AQ8" i="8" s="1"/>
  <c r="S7" i="8"/>
  <c r="AQ7" i="8" s="1"/>
  <c r="S6" i="8"/>
  <c r="AQ6" i="8" s="1"/>
  <c r="S5" i="8"/>
  <c r="AQ5" i="8" s="1"/>
  <c r="S4" i="8"/>
  <c r="AQ4" i="8"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AS22" i="8"/>
  <c r="AS23" i="8"/>
  <c r="AO4" i="8"/>
  <c r="AO6" i="8"/>
  <c r="AO10" i="8"/>
  <c r="AO30" i="8"/>
  <c r="BA13" i="8"/>
  <c r="BA15" i="8"/>
  <c r="BA19" i="8"/>
  <c r="AS28" i="8"/>
  <c r="AS9" i="8"/>
  <c r="AS5" i="8"/>
  <c r="BE32" i="8"/>
  <c r="AS18" i="8"/>
  <c r="AS7" i="8"/>
  <c r="BA12" i="8"/>
  <c r="BA16" i="8"/>
  <c r="BA18" i="8"/>
  <c r="BA22" i="8"/>
  <c r="BA24" i="8"/>
  <c r="BA28" i="8"/>
  <c r="AO7" i="8"/>
  <c r="AO9" i="8"/>
  <c r="AO21" i="8"/>
  <c r="AO25" i="8"/>
  <c r="AO27" i="8"/>
  <c r="AO31" i="8"/>
  <c r="AO33" i="8"/>
  <c r="AS15" i="8"/>
  <c r="BE11" i="8"/>
  <c r="BE29" i="8"/>
  <c r="AS24" i="8"/>
  <c r="AS13" i="8"/>
  <c r="AS21" i="8"/>
  <c r="AS30" i="8"/>
  <c r="BE8" i="8"/>
  <c r="AS19" i="8"/>
  <c r="AS27" i="8"/>
  <c r="AS4" i="8"/>
  <c r="BE20" i="8"/>
  <c r="BE17" i="8"/>
  <c r="AS31" i="8"/>
  <c r="AS25" i="8"/>
  <c r="AS33" i="8"/>
  <c r="AS10" i="8"/>
  <c r="AS6" i="8"/>
  <c r="BE26" i="8"/>
  <c r="BE14" i="8"/>
  <c r="AS16" i="8"/>
  <c r="AS12" i="8"/>
  <c r="AR3" i="8"/>
  <c r="BD3" i="8"/>
  <c r="T5" i="8"/>
  <c r="AR7" i="8"/>
  <c r="BD7" i="8"/>
  <c r="AR9" i="8"/>
  <c r="BD9" i="8"/>
  <c r="T11" i="8"/>
  <c r="AR13" i="8"/>
  <c r="BD13" i="8"/>
  <c r="AR15" i="8"/>
  <c r="BD15" i="8"/>
  <c r="T17" i="8"/>
  <c r="AR19" i="8"/>
  <c r="BD19" i="8"/>
  <c r="AR21" i="8"/>
  <c r="BD21" i="8"/>
  <c r="T23" i="8"/>
  <c r="AR25" i="8"/>
  <c r="BD25" i="8"/>
  <c r="AR27" i="8"/>
  <c r="BD27" i="8"/>
  <c r="T29" i="8"/>
  <c r="AR31" i="8"/>
  <c r="BD31" i="8"/>
  <c r="AR33" i="8"/>
  <c r="BD33" i="8"/>
  <c r="AR4" i="8"/>
  <c r="BD4" i="8"/>
  <c r="AR6" i="8"/>
  <c r="BD6" i="8"/>
  <c r="T8" i="8"/>
  <c r="AR10" i="8"/>
  <c r="BD10" i="8"/>
  <c r="AR12" i="8"/>
  <c r="BD12" i="8"/>
  <c r="T14" i="8"/>
  <c r="AR16" i="8"/>
  <c r="BD16" i="8"/>
  <c r="AR18" i="8"/>
  <c r="BD18" i="8"/>
  <c r="T20" i="8"/>
  <c r="AR22" i="8"/>
  <c r="BD22" i="8"/>
  <c r="AR24" i="8"/>
  <c r="BD24" i="8"/>
  <c r="T26" i="8"/>
  <c r="AR28" i="8"/>
  <c r="BD28" i="8"/>
  <c r="AR30" i="8"/>
  <c r="BD30" i="8"/>
  <c r="T32" i="8"/>
  <c r="BC6" i="8"/>
  <c r="BC12" i="8"/>
  <c r="BC18" i="8"/>
  <c r="BC24" i="8"/>
  <c r="BC30" i="8"/>
  <c r="BC5" i="8"/>
  <c r="BC7" i="8"/>
  <c r="BC11" i="8"/>
  <c r="BC13" i="8"/>
  <c r="BC17" i="8"/>
  <c r="BC19" i="8"/>
  <c r="BC23" i="8"/>
  <c r="BC25" i="8"/>
  <c r="BC29" i="8"/>
  <c r="BC31" i="8"/>
  <c r="AQ3" i="8"/>
  <c r="BC3" i="8"/>
  <c r="BC9" i="8"/>
  <c r="BC15" i="8"/>
  <c r="BC21" i="8"/>
  <c r="BC27" i="8"/>
  <c r="BC33" i="8"/>
  <c r="BC4" i="8"/>
  <c r="BC8" i="8"/>
  <c r="BC10" i="8"/>
  <c r="BC14" i="8"/>
  <c r="BC16" i="8"/>
  <c r="BC20" i="8"/>
  <c r="BC22" i="8"/>
  <c r="BC26" i="8"/>
  <c r="BC28" i="8"/>
  <c r="BC32" i="8"/>
  <c r="AP21" i="8"/>
  <c r="BB21" i="8"/>
  <c r="AP4" i="8"/>
  <c r="BB4" i="8"/>
  <c r="AP6" i="8"/>
  <c r="BB6" i="8"/>
  <c r="AP8" i="8"/>
  <c r="BB8" i="8"/>
  <c r="AP29" i="8"/>
  <c r="BB29" i="8"/>
  <c r="AP31" i="8"/>
  <c r="BB31" i="8"/>
  <c r="AP33" i="8"/>
  <c r="AF286" i="43" s="1"/>
  <c r="BB33" i="8"/>
  <c r="AP23" i="8"/>
  <c r="BB23" i="8"/>
  <c r="AP10" i="8"/>
  <c r="BB10" i="8"/>
  <c r="AP12" i="8"/>
  <c r="BB12" i="8"/>
  <c r="AP14" i="8"/>
  <c r="BB14" i="8"/>
  <c r="AP16" i="8"/>
  <c r="BB16" i="8"/>
  <c r="AP18" i="8"/>
  <c r="BB18" i="8"/>
  <c r="AP25" i="8"/>
  <c r="BB25" i="8"/>
  <c r="AP20" i="8"/>
  <c r="BB20" i="8"/>
  <c r="AP22" i="8"/>
  <c r="BB22" i="8"/>
  <c r="AP24" i="8"/>
  <c r="BB24" i="8"/>
  <c r="AP26" i="8"/>
  <c r="Y286" i="43" s="1"/>
  <c r="BB26" i="8"/>
  <c r="AP27" i="8"/>
  <c r="BB27" i="8"/>
  <c r="AP3" i="8"/>
  <c r="BB3" i="8"/>
  <c r="AP5" i="8"/>
  <c r="BB5" i="8"/>
  <c r="AP7" i="8"/>
  <c r="BB7" i="8"/>
  <c r="AP9" i="8"/>
  <c r="BB9" i="8"/>
  <c r="AP28" i="8"/>
  <c r="BB28" i="8"/>
  <c r="AP30" i="8"/>
  <c r="BB30" i="8"/>
  <c r="AP32" i="8"/>
  <c r="BB32" i="8"/>
  <c r="AP19" i="8"/>
  <c r="R286" i="43" s="1"/>
  <c r="BB19" i="8"/>
  <c r="AP11" i="8"/>
  <c r="BB11" i="8"/>
  <c r="AP13" i="8"/>
  <c r="BB13" i="8"/>
  <c r="AP15" i="8"/>
  <c r="BB15" i="8"/>
  <c r="AP17" i="8"/>
  <c r="BB17" i="8"/>
  <c r="AO8" i="8"/>
  <c r="BA8" i="8"/>
  <c r="BA7" i="8"/>
  <c r="BA9" i="8"/>
  <c r="AO12" i="8"/>
  <c r="Q14" i="8"/>
  <c r="AO16" i="8"/>
  <c r="AO18" i="8"/>
  <c r="AO20" i="8"/>
  <c r="BA20" i="8"/>
  <c r="BA30" i="8"/>
  <c r="Q23" i="8"/>
  <c r="AO22" i="8"/>
  <c r="AO24" i="8"/>
  <c r="AO26" i="8"/>
  <c r="Y247" i="43" s="1"/>
  <c r="BA26" i="8"/>
  <c r="AO28" i="8"/>
  <c r="AO3" i="8"/>
  <c r="BA3" i="8"/>
  <c r="AO11" i="8"/>
  <c r="BA11" i="8"/>
  <c r="BA21" i="8"/>
  <c r="BA25" i="8"/>
  <c r="BA27" i="8"/>
  <c r="Q32" i="8"/>
  <c r="AO29" i="8"/>
  <c r="BA29" i="8"/>
  <c r="Q5" i="8"/>
  <c r="BA4" i="8"/>
  <c r="BA6" i="8"/>
  <c r="BA10" i="8"/>
  <c r="AO13" i="8"/>
  <c r="AO15" i="8"/>
  <c r="N247" i="43" s="1"/>
  <c r="AO17" i="8"/>
  <c r="BA17" i="8"/>
  <c r="AO19" i="8"/>
  <c r="BA31" i="8"/>
  <c r="BA33" i="8"/>
  <c r="AN3" i="8"/>
  <c r="AZ3" i="8"/>
  <c r="AN7" i="8"/>
  <c r="F169" i="43" s="1"/>
  <c r="AZ7" i="8"/>
  <c r="AN9" i="8"/>
  <c r="H169" i="43" s="1"/>
  <c r="AZ9" i="8"/>
  <c r="AN11" i="8"/>
  <c r="AZ11" i="8"/>
  <c r="AN13" i="8"/>
  <c r="L169" i="43" s="1"/>
  <c r="AZ13" i="8"/>
  <c r="AN15" i="8"/>
  <c r="N169" i="43" s="1"/>
  <c r="AZ15" i="8"/>
  <c r="AN17" i="8"/>
  <c r="AZ17" i="8"/>
  <c r="AN19" i="8"/>
  <c r="R169" i="43" s="1"/>
  <c r="AZ19" i="8"/>
  <c r="AN21" i="8"/>
  <c r="AZ21" i="8"/>
  <c r="AN23" i="8"/>
  <c r="AZ23" i="8"/>
  <c r="AN25" i="8"/>
  <c r="AZ25" i="8"/>
  <c r="AN27" i="8"/>
  <c r="Z169" i="43" s="1"/>
  <c r="AZ27" i="8"/>
  <c r="AN29" i="8"/>
  <c r="AZ29" i="8"/>
  <c r="AN31" i="8"/>
  <c r="AD169" i="43" s="1"/>
  <c r="AZ31" i="8"/>
  <c r="AN33" i="8"/>
  <c r="AZ33" i="8"/>
  <c r="AN5" i="8"/>
  <c r="D169" i="43" s="1"/>
  <c r="AZ5" i="8"/>
  <c r="AN4" i="8"/>
  <c r="AZ4" i="8"/>
  <c r="AN8" i="8"/>
  <c r="G208" i="43" s="1"/>
  <c r="AZ8" i="8"/>
  <c r="AN10" i="8"/>
  <c r="AZ10" i="8"/>
  <c r="AN12" i="8"/>
  <c r="K208" i="43" s="1"/>
  <c r="AZ12" i="8"/>
  <c r="AN14" i="8"/>
  <c r="AZ14" i="8"/>
  <c r="AN16" i="8"/>
  <c r="AZ16" i="8"/>
  <c r="AN18" i="8"/>
  <c r="AZ18" i="8"/>
  <c r="AN20" i="8"/>
  <c r="AZ20" i="8"/>
  <c r="AN22" i="8"/>
  <c r="AZ22" i="8"/>
  <c r="AN24" i="8"/>
  <c r="AZ24" i="8"/>
  <c r="AN26" i="8"/>
  <c r="Y169" i="43" s="1"/>
  <c r="AZ26" i="8"/>
  <c r="AN28" i="8"/>
  <c r="AZ28" i="8"/>
  <c r="AN30" i="8"/>
  <c r="AZ30" i="8"/>
  <c r="AN32" i="8"/>
  <c r="AZ32" i="8"/>
  <c r="AN6" i="8"/>
  <c r="AZ6" i="8"/>
  <c r="C169" i="43"/>
  <c r="B286" i="43" l="1"/>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F130" i="43" s="1"/>
  <c r="AY33" i="8"/>
  <c r="AY5" i="8"/>
  <c r="AM25" i="8"/>
  <c r="X130" i="43" s="1"/>
  <c r="AY26" i="8"/>
  <c r="AM26" i="8"/>
  <c r="Y130" i="43" s="1"/>
  <c r="AY29" i="8"/>
  <c r="AM29" i="8"/>
  <c r="AB130" i="43" s="1"/>
  <c r="AM30" i="8"/>
  <c r="AC130" i="43" s="1"/>
  <c r="AY18" i="8"/>
  <c r="AY30" i="8"/>
  <c r="S364" i="43"/>
  <c r="AY6" i="8"/>
  <c r="AM6" i="8"/>
  <c r="E130" i="43" s="1"/>
  <c r="AM32" i="8"/>
  <c r="AE130" i="43" s="1"/>
  <c r="AY32" i="8"/>
  <c r="AY13" i="8"/>
  <c r="AM13" i="8"/>
  <c r="L130" i="43" s="1"/>
  <c r="AY27" i="8"/>
  <c r="AM27" i="8"/>
  <c r="Z130" i="43" s="1"/>
  <c r="AM14" i="8"/>
  <c r="M130" i="43" s="1"/>
  <c r="AY14" i="8"/>
  <c r="AM22" i="8"/>
  <c r="U130" i="43" s="1"/>
  <c r="AY22" i="8"/>
  <c r="AY15" i="8"/>
  <c r="AM15" i="8"/>
  <c r="N130" i="43" s="1"/>
  <c r="AY10" i="8"/>
  <c r="AM10" i="8"/>
  <c r="I130" i="43" s="1"/>
  <c r="AY25" i="8"/>
  <c r="AM18" i="8"/>
  <c r="Q130" i="43" s="1"/>
  <c r="AM5" i="8"/>
  <c r="D130" i="43" s="1"/>
  <c r="AY31" i="8"/>
  <c r="AM31" i="8"/>
  <c r="AD130" i="43" s="1"/>
  <c r="AM3" i="8"/>
  <c r="AY3" i="8"/>
  <c r="AY24" i="8"/>
  <c r="AM24" i="8"/>
  <c r="W130" i="43" s="1"/>
  <c r="AM19" i="8"/>
  <c r="R130" i="43" s="1"/>
  <c r="AY19" i="8"/>
  <c r="AM21" i="8"/>
  <c r="T130" i="43" s="1"/>
  <c r="AY21" i="8"/>
  <c r="AM12" i="8"/>
  <c r="K130" i="43" s="1"/>
  <c r="AY12" i="8"/>
  <c r="AM7" i="8"/>
  <c r="F130" i="43" s="1"/>
  <c r="AY7" i="8"/>
  <c r="AY9" i="8"/>
  <c r="AM9" i="8"/>
  <c r="H130" i="43" s="1"/>
  <c r="AM23" i="8"/>
  <c r="V130" i="43" s="1"/>
  <c r="AY23" i="8"/>
  <c r="AY11" i="8"/>
  <c r="AM11" i="8"/>
  <c r="J130" i="43" s="1"/>
  <c r="AY28" i="8"/>
  <c r="AM28" i="8"/>
  <c r="AA130" i="43" s="1"/>
  <c r="AY20" i="8"/>
  <c r="AM20" i="8"/>
  <c r="S130" i="43" s="1"/>
  <c r="AM16" i="8"/>
  <c r="O130" i="43" s="1"/>
  <c r="AY16" i="8"/>
  <c r="AM8" i="8"/>
  <c r="G130" i="43" s="1"/>
  <c r="AY8" i="8"/>
  <c r="AM4" i="8"/>
  <c r="C130" i="43" s="1"/>
  <c r="AY4" i="8"/>
  <c r="AM17" i="8"/>
  <c r="P130" i="43" s="1"/>
  <c r="AY17" i="8"/>
  <c r="AD325" i="43"/>
  <c r="AC325" i="43"/>
  <c r="I325" i="43"/>
  <c r="Q325" i="43"/>
  <c r="B325" i="43"/>
  <c r="O325" i="43"/>
  <c r="W325" i="43"/>
  <c r="E325" i="43"/>
  <c r="H325" i="43"/>
  <c r="U325" i="43"/>
  <c r="C364" i="43"/>
  <c r="X325" i="43"/>
  <c r="R325" i="43"/>
  <c r="L325" i="43"/>
  <c r="F325" i="43"/>
  <c r="AF325" i="43"/>
  <c r="Z325" i="43"/>
  <c r="T325" i="43"/>
  <c r="AR29" i="8"/>
  <c r="BD29" i="8"/>
  <c r="AR23" i="8"/>
  <c r="BD23" i="8"/>
  <c r="AR17" i="8"/>
  <c r="BD17" i="8"/>
  <c r="AR11" i="8"/>
  <c r="BD11" i="8"/>
  <c r="AR5" i="8"/>
  <c r="BD5" i="8"/>
  <c r="AR32" i="8"/>
  <c r="BD32" i="8"/>
  <c r="AR26" i="8"/>
  <c r="BD26" i="8"/>
  <c r="AR20" i="8"/>
  <c r="W16" i="43" s="1"/>
  <c r="BD20" i="8"/>
  <c r="AR14" i="8"/>
  <c r="BD14" i="8"/>
  <c r="AR8" i="8"/>
  <c r="BD8" i="8"/>
  <c r="AO5" i="8"/>
  <c r="D247" i="43" s="1"/>
  <c r="BA5" i="8"/>
  <c r="AO23" i="8"/>
  <c r="V247" i="43" s="1"/>
  <c r="BA23" i="8"/>
  <c r="AO32" i="8"/>
  <c r="AE247" i="43" s="1"/>
  <c r="BA32" i="8"/>
  <c r="AO14" i="8"/>
  <c r="M247" i="43" s="1"/>
  <c r="BA14" i="8"/>
  <c r="A103" i="39" l="1"/>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<sst xmlns="http://schemas.openxmlformats.org/spreadsheetml/2006/main" count="309" uniqueCount="163">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</sst>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3">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rgb="FFFFC000"/>
        <bgColor indexed="64"/>
      </patternFill>
    </fill>
    <fill>
      <patternFill patternType="solid">
        <fgColor theme="6" tint="0.39997558519241921"/>
        <bgColor indexed="64"/>
      </patternFill>
    </fill>
    <fill>
      <patternFill patternType="solid">
        <fgColor theme="7" tint="0.3999755851924192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1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1" borderId="0" xfId="0" applyFill="1"/>
    <xf numFmtId="11" fontId="0" fillId="10" borderId="0" xfId="0" applyNumberFormat="1"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2"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-3.5999508571428571E-4</c:v>
                </c:pt>
                <c:pt idx="1">
                  <c:v>-3.6278599999999998E-4</c:v>
                </c:pt>
                <c:pt idx="2">
                  <c:v>-3.7324014285714294E-4</c:v>
                </c:pt>
                <c:pt idx="3">
                  <c:v>-3.806628857142857E-4</c:v>
                </c:pt>
                <c:pt idx="4">
                  <c:v>-3.878932285714286E-4</c:v>
                </c:pt>
                <c:pt idx="5">
                  <c:v>-3.9618314285714287E-4</c:v>
                </c:pt>
                <c:pt idx="6">
                  <c:v>-4.0530537142857145E-4</c:v>
                </c:pt>
                <c:pt idx="7">
                  <c:v>-4.1631285714285719E-4</c:v>
                </c:pt>
                <c:pt idx="8">
                  <c:v>-4.2841082857142859E-4</c:v>
                </c:pt>
                <c:pt idx="9">
                  <c:v>-4.4282602857142865E-4</c:v>
                </c:pt>
                <c:pt idx="10">
                  <c:v>-4.5658385714285717E-4</c:v>
                </c:pt>
                <c:pt idx="11">
                  <c:v>-4.7222405714285716E-4</c:v>
                </c:pt>
                <c:pt idx="12">
                  <c:v>-4.9287082857142855E-4</c:v>
                </c:pt>
                <c:pt idx="13">
                  <c:v>-5.1801585714285716E-4</c:v>
                </c:pt>
                <c:pt idx="14">
                  <c:v>-5.4382945714285722E-4</c:v>
                </c:pt>
                <c:pt idx="15">
                  <c:v>-5.6631957142857148E-4</c:v>
                </c:pt>
                <c:pt idx="16">
                  <c:v>-5.9135617142857145E-4</c:v>
                </c:pt>
                <c:pt idx="17">
                  <c:v>-6.1750360000000003E-4</c:v>
                </c:pt>
                <c:pt idx="18">
                  <c:v>-6.4772062857142859E-4</c:v>
                </c:pt>
                <c:pt idx="19">
                  <c:v>-6.7977485714285719E-4</c:v>
                </c:pt>
                <c:pt idx="20">
                  <c:v>-7.3137274285714287E-4</c:v>
                </c:pt>
                <c:pt idx="21">
                  <c:v>-8.0382091428571442E-4</c:v>
                </c:pt>
                <c:pt idx="22">
                  <c:v>-9.0442820000000005E-4</c:v>
                </c:pt>
                <c:pt idx="23">
                  <c:v>-1.0340307714285716E-3</c:v>
                </c:pt>
                <c:pt idx="24">
                  <c:v>-1.2221332857142858E-3</c:v>
                </c:pt>
                <c:pt idx="25">
                  <c:v>-1.5110083142857143E-3</c:v>
                </c:pt>
                <c:pt idx="26">
                  <c:v>-2.0067045714285713E-3</c:v>
                </c:pt>
                <c:pt idx="27">
                  <c:v>-2.7355667999999999E-3</c:v>
                </c:pt>
                <c:pt idx="28">
                  <c:v>-3.7568405714285716E-3</c:v>
                </c:pt>
                <c:pt idx="29">
                  <c:v>-4.6848757142857146E-3</c:v>
                </c:pt>
                <c:pt idx="30">
                  <c:v>-5.4542020000000009E-3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-3.6499157142857151E-4</c:v>
                </c:pt>
                <c:pt idx="1">
                  <c:v>-3.7702474285714288E-4</c:v>
                </c:pt>
                <c:pt idx="2">
                  <c:v>-3.8432448571428576E-4</c:v>
                </c:pt>
                <c:pt idx="3">
                  <c:v>-3.9200328571428571E-4</c:v>
                </c:pt>
                <c:pt idx="4">
                  <c:v>-4.0057774285714288E-4</c:v>
                </c:pt>
                <c:pt idx="5">
                  <c:v>-4.1050514285714286E-4</c:v>
                </c:pt>
                <c:pt idx="6">
                  <c:v>-4.2189285714285712E-4</c:v>
                </c:pt>
                <c:pt idx="7">
                  <c:v>-4.350891142857143E-4</c:v>
                </c:pt>
                <c:pt idx="8">
                  <c:v>-4.4929674285714289E-4</c:v>
                </c:pt>
                <c:pt idx="9">
                  <c:v>-4.6354088571428579E-4</c:v>
                </c:pt>
                <c:pt idx="10">
                  <c:v>-4.8108748571428574E-4</c:v>
                </c:pt>
                <c:pt idx="11">
                  <c:v>-5.0375437142857141E-4</c:v>
                </c:pt>
                <c:pt idx="12">
                  <c:v>-5.2969905714285719E-4</c:v>
                </c:pt>
                <c:pt idx="13">
                  <c:v>-5.5408702857142863E-4</c:v>
                </c:pt>
                <c:pt idx="14">
                  <c:v>-5.774936857142857E-4</c:v>
                </c:pt>
                <c:pt idx="15">
                  <c:v>-6.0290725714285721E-4</c:v>
                </c:pt>
                <c:pt idx="16">
                  <c:v>-6.3093077142857145E-4</c:v>
                </c:pt>
                <c:pt idx="17">
                  <c:v>-6.6142368571428577E-4</c:v>
                </c:pt>
                <c:pt idx="18">
                  <c:v>-7.0192851428571438E-4</c:v>
                </c:pt>
                <c:pt idx="19">
                  <c:v>-7.6508594285714293E-4</c:v>
                </c:pt>
                <c:pt idx="20">
                  <c:v>-8.4982022857142865E-4</c:v>
                </c:pt>
                <c:pt idx="21">
                  <c:v>-9.6031400000000009E-4</c:v>
                </c:pt>
                <c:pt idx="22">
                  <c:v>-1.1084513428571429E-3</c:v>
                </c:pt>
                <c:pt idx="23">
                  <c:v>-1.3287063714285715E-3</c:v>
                </c:pt>
                <c:pt idx="24">
                  <c:v>-1.6862730571428571E-3</c:v>
                </c:pt>
                <c:pt idx="25">
                  <c:v>-2.2753457428571428E-3</c:v>
                </c:pt>
                <c:pt idx="26">
                  <c:v>-3.1217257142857145E-3</c:v>
                </c:pt>
                <c:pt idx="27">
                  <c:v>-4.1663445714285718E-3</c:v>
                </c:pt>
                <c:pt idx="28">
                  <c:v>-5.0214025714285723E-3</c:v>
                </c:pt>
                <c:pt idx="29">
                  <c:v>-5.6401380000000003E-3</c:v>
                </c:pt>
                <c:pt idx="30">
                  <c:v>-5.9958525714285723E-3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-3.7633954285714287E-4</c:v>
                </c:pt>
                <c:pt idx="1">
                  <c:v>-3.8540391428571434E-4</c:v>
                </c:pt>
                <c:pt idx="2">
                  <c:v>-3.9335028571428572E-4</c:v>
                </c:pt>
                <c:pt idx="3">
                  <c:v>-4.0201937142857143E-4</c:v>
                </c:pt>
                <c:pt idx="4">
                  <c:v>-4.1216908571428576E-4</c:v>
                </c:pt>
                <c:pt idx="5">
                  <c:v>-4.2365497142857146E-4</c:v>
                </c:pt>
                <c:pt idx="6">
                  <c:v>-4.3714400000000004E-4</c:v>
                </c:pt>
                <c:pt idx="7">
                  <c:v>-4.5126900000000002E-4</c:v>
                </c:pt>
                <c:pt idx="8">
                  <c:v>-4.6570742857142861E-4</c:v>
                </c:pt>
                <c:pt idx="9">
                  <c:v>-4.8378871428571426E-4</c:v>
                </c:pt>
                <c:pt idx="10">
                  <c:v>-5.0694940000000006E-4</c:v>
                </c:pt>
                <c:pt idx="11">
                  <c:v>-5.3302717142857147E-4</c:v>
                </c:pt>
                <c:pt idx="12">
                  <c:v>-5.5704579999999999E-4</c:v>
                </c:pt>
                <c:pt idx="13">
                  <c:v>-5.8081520000000011E-4</c:v>
                </c:pt>
                <c:pt idx="14">
                  <c:v>-6.0632237142857145E-4</c:v>
                </c:pt>
                <c:pt idx="15">
                  <c:v>-6.3484974285714293E-4</c:v>
                </c:pt>
                <c:pt idx="16">
                  <c:v>-6.6514245714285717E-4</c:v>
                </c:pt>
                <c:pt idx="17">
                  <c:v>-7.0607157142857152E-4</c:v>
                </c:pt>
                <c:pt idx="18">
                  <c:v>-7.6816097142857142E-4</c:v>
                </c:pt>
                <c:pt idx="19">
                  <c:v>-8.5432602857142862E-4</c:v>
                </c:pt>
                <c:pt idx="20">
                  <c:v>-9.6764748571428582E-4</c:v>
                </c:pt>
                <c:pt idx="21">
                  <c:v>-1.1218572857142858E-3</c:v>
                </c:pt>
                <c:pt idx="22">
                  <c:v>-1.3513724571428572E-3</c:v>
                </c:pt>
                <c:pt idx="23">
                  <c:v>-1.7279395999999999E-3</c:v>
                </c:pt>
                <c:pt idx="24">
                  <c:v>-2.3361168857142858E-3</c:v>
                </c:pt>
                <c:pt idx="25">
                  <c:v>-3.210096E-3</c:v>
                </c:pt>
                <c:pt idx="26">
                  <c:v>-4.2436945714285712E-3</c:v>
                </c:pt>
                <c:pt idx="27">
                  <c:v>-5.0913620000000003E-3</c:v>
                </c:pt>
                <c:pt idx="28">
                  <c:v>-5.6714805714285716E-3</c:v>
                </c:pt>
                <c:pt idx="29">
                  <c:v>-6.0295740000000002E-3</c:v>
                </c:pt>
                <c:pt idx="30">
                  <c:v>-6.2946374285714288E-3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-3.8382265714285714E-4</c:v>
                </c:pt>
                <c:pt idx="1">
                  <c:v>-3.9338445714285714E-4</c:v>
                </c:pt>
                <c:pt idx="2">
                  <c:v>-4.0219902857142859E-4</c:v>
                </c:pt>
                <c:pt idx="3">
                  <c:v>-4.1229211428571433E-4</c:v>
                </c:pt>
                <c:pt idx="4">
                  <c:v>-4.237640857142858E-4</c:v>
                </c:pt>
                <c:pt idx="5">
                  <c:v>-4.3715760000000002E-4</c:v>
                </c:pt>
                <c:pt idx="6">
                  <c:v>-4.5135482857142859E-4</c:v>
                </c:pt>
                <c:pt idx="7">
                  <c:v>-4.6574105714285716E-4</c:v>
                </c:pt>
                <c:pt idx="8">
                  <c:v>-4.8362802857142864E-4</c:v>
                </c:pt>
                <c:pt idx="9">
                  <c:v>-5.0662740000000008E-4</c:v>
                </c:pt>
                <c:pt idx="10">
                  <c:v>-5.3271571428571435E-4</c:v>
                </c:pt>
                <c:pt idx="11">
                  <c:v>-5.569610571428572E-4</c:v>
                </c:pt>
                <c:pt idx="12">
                  <c:v>-5.8063117142857139E-4</c:v>
                </c:pt>
                <c:pt idx="13">
                  <c:v>-6.0616185714285715E-4</c:v>
                </c:pt>
                <c:pt idx="14">
                  <c:v>-6.3452037142857146E-4</c:v>
                </c:pt>
                <c:pt idx="15">
                  <c:v>-6.6471354285714285E-4</c:v>
                </c:pt>
                <c:pt idx="16">
                  <c:v>-7.0354954285714285E-4</c:v>
                </c:pt>
                <c:pt idx="17">
                  <c:v>-7.6183774285714279E-4</c:v>
                </c:pt>
                <c:pt idx="18">
                  <c:v>-8.4521674285714286E-4</c:v>
                </c:pt>
                <c:pt idx="19">
                  <c:v>-9.5746677142857144E-4</c:v>
                </c:pt>
                <c:pt idx="20">
                  <c:v>-1.1098411428571431E-3</c:v>
                </c:pt>
                <c:pt idx="21">
                  <c:v>-1.3359454857142859E-3</c:v>
                </c:pt>
                <c:pt idx="22">
                  <c:v>-1.7043230571428571E-3</c:v>
                </c:pt>
                <c:pt idx="23">
                  <c:v>-2.3040462857142857E-3</c:v>
                </c:pt>
                <c:pt idx="24">
                  <c:v>-3.1656362857142859E-3</c:v>
                </c:pt>
                <c:pt idx="25">
                  <c:v>-4.2048082857142864E-3</c:v>
                </c:pt>
                <c:pt idx="26">
                  <c:v>-5.0564605714285716E-3</c:v>
                </c:pt>
                <c:pt idx="27">
                  <c:v>-5.6548028571428571E-3</c:v>
                </c:pt>
                <c:pt idx="28">
                  <c:v>-6.0127154285714293E-3</c:v>
                </c:pt>
                <c:pt idx="29">
                  <c:v>-6.2865677142857146E-3</c:v>
                </c:pt>
                <c:pt idx="30">
                  <c:v>-6.4140320000000009E-3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-3.9366482857142865E-4</c:v>
                </c:pt>
                <c:pt idx="1">
                  <c:v>-4.0491805714285717E-4</c:v>
                </c:pt>
                <c:pt idx="2">
                  <c:v>-4.1571082857142861E-4</c:v>
                </c:pt>
                <c:pt idx="3">
                  <c:v>-4.2745811428571433E-4</c:v>
                </c:pt>
                <c:pt idx="4">
                  <c:v>-4.4150500000000002E-4</c:v>
                </c:pt>
                <c:pt idx="5">
                  <c:v>-4.554939428571429E-4</c:v>
                </c:pt>
                <c:pt idx="6">
                  <c:v>-4.7038757142857146E-4</c:v>
                </c:pt>
                <c:pt idx="7">
                  <c:v>-4.8958205714285719E-4</c:v>
                </c:pt>
                <c:pt idx="8">
                  <c:v>-5.1373637142857148E-4</c:v>
                </c:pt>
                <c:pt idx="9">
                  <c:v>-5.4002100000000001E-4</c:v>
                </c:pt>
                <c:pt idx="10">
                  <c:v>-5.6337371428571439E-4</c:v>
                </c:pt>
                <c:pt idx="11">
                  <c:v>-5.8787177142857142E-4</c:v>
                </c:pt>
                <c:pt idx="12">
                  <c:v>-6.1364405714285717E-4</c:v>
                </c:pt>
                <c:pt idx="13">
                  <c:v>-6.4314922857142858E-4</c:v>
                </c:pt>
                <c:pt idx="14">
                  <c:v>-6.7329702857142854E-4</c:v>
                </c:pt>
                <c:pt idx="15">
                  <c:v>-7.1481365714285718E-4</c:v>
                </c:pt>
                <c:pt idx="16">
                  <c:v>-7.7185057142857148E-4</c:v>
                </c:pt>
                <c:pt idx="17">
                  <c:v>-8.5811151428571433E-4</c:v>
                </c:pt>
                <c:pt idx="18">
                  <c:v>-9.7714334285714283E-4</c:v>
                </c:pt>
                <c:pt idx="19">
                  <c:v>-1.1450628000000001E-3</c:v>
                </c:pt>
                <c:pt idx="20">
                  <c:v>-1.3958689142857146E-3</c:v>
                </c:pt>
                <c:pt idx="21">
                  <c:v>-1.8148498000000002E-3</c:v>
                </c:pt>
                <c:pt idx="22">
                  <c:v>-2.464179485714286E-3</c:v>
                </c:pt>
                <c:pt idx="23">
                  <c:v>-3.3960300000000004E-3</c:v>
                </c:pt>
                <c:pt idx="24">
                  <c:v>-4.3980477142857143E-3</c:v>
                </c:pt>
                <c:pt idx="25">
                  <c:v>-5.2293177142857146E-3</c:v>
                </c:pt>
                <c:pt idx="26">
                  <c:v>-5.7320725714285724E-3</c:v>
                </c:pt>
                <c:pt idx="27">
                  <c:v>-6.0948040000000005E-3</c:v>
                </c:pt>
                <c:pt idx="28">
                  <c:v>-6.3178514285714285E-3</c:v>
                </c:pt>
                <c:pt idx="29">
                  <c:v>-6.4428497142857144E-3</c:v>
                </c:pt>
                <c:pt idx="30">
                  <c:v>-6.7568782857142864E-3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-4.2099691428571434E-4</c:v>
                </c:pt>
                <c:pt idx="1">
                  <c:v>-4.3679314285714293E-4</c:v>
                </c:pt>
                <c:pt idx="2">
                  <c:v>-4.5152640000000003E-4</c:v>
                </c:pt>
                <c:pt idx="3">
                  <c:v>-4.6579128571428574E-4</c:v>
                </c:pt>
                <c:pt idx="4">
                  <c:v>-4.8305622857142865E-4</c:v>
                </c:pt>
                <c:pt idx="5">
                  <c:v>-5.0552008571428568E-4</c:v>
                </c:pt>
                <c:pt idx="6">
                  <c:v>-5.3161102857142862E-4</c:v>
                </c:pt>
                <c:pt idx="7">
                  <c:v>-5.5661174285714281E-4</c:v>
                </c:pt>
                <c:pt idx="8">
                  <c:v>-5.7996000000000002E-4</c:v>
                </c:pt>
                <c:pt idx="9">
                  <c:v>-6.0558114285714289E-4</c:v>
                </c:pt>
                <c:pt idx="10">
                  <c:v>-6.3340537142857146E-4</c:v>
                </c:pt>
                <c:pt idx="11">
                  <c:v>-6.6375940000000001E-4</c:v>
                </c:pt>
                <c:pt idx="12">
                  <c:v>-6.9877779999999998E-4</c:v>
                </c:pt>
                <c:pt idx="13">
                  <c:v>-7.4557468571428585E-4</c:v>
                </c:pt>
                <c:pt idx="14">
                  <c:v>-8.0384180000000007E-4</c:v>
                </c:pt>
                <c:pt idx="15">
                  <c:v>-8.9073805714285725E-4</c:v>
                </c:pt>
                <c:pt idx="16">
                  <c:v>-1.0281325428571429E-3</c:v>
                </c:pt>
                <c:pt idx="17">
                  <c:v>-1.2448388857142858E-3</c:v>
                </c:pt>
                <c:pt idx="18">
                  <c:v>-1.5896212285714288E-3</c:v>
                </c:pt>
                <c:pt idx="19">
                  <c:v>-2.1613843714285716E-3</c:v>
                </c:pt>
                <c:pt idx="20">
                  <c:v>-2.981823142857143E-3</c:v>
                </c:pt>
                <c:pt idx="21">
                  <c:v>-4.0335100000000006E-3</c:v>
                </c:pt>
                <c:pt idx="22">
                  <c:v>-4.9064134285714284E-3</c:v>
                </c:pt>
                <c:pt idx="23">
                  <c:v>-5.5716142857142863E-3</c:v>
                </c:pt>
                <c:pt idx="24">
                  <c:v>-5.9386188571428581E-3</c:v>
                </c:pt>
                <c:pt idx="25">
                  <c:v>-6.2464694285714285E-3</c:v>
                </c:pt>
                <c:pt idx="26">
                  <c:v>-6.358090857142857E-3</c:v>
                </c:pt>
                <c:pt idx="27">
                  <c:v>-6.6076685714285726E-3</c:v>
                </c:pt>
                <c:pt idx="28">
                  <c:v>-6.8895494285714292E-3</c:v>
                </c:pt>
                <c:pt idx="29">
                  <c:v>-6.9306028571428577E-3</c:v>
                </c:pt>
                <c:pt idx="30">
                  <c:v>-6.9356111428571432E-3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-4.5570065714285718E-4</c:v>
                </c:pt>
                <c:pt idx="1">
                  <c:v>-4.7502377142857145E-4</c:v>
                </c:pt>
                <c:pt idx="2">
                  <c:v>-4.9555025714285712E-4</c:v>
                </c:pt>
                <c:pt idx="3">
                  <c:v>-5.2058842857142867E-4</c:v>
                </c:pt>
                <c:pt idx="4">
                  <c:v>-5.4701862857142855E-4</c:v>
                </c:pt>
                <c:pt idx="5">
                  <c:v>-5.7006357142857145E-4</c:v>
                </c:pt>
                <c:pt idx="6">
                  <c:v>-5.9517077142857142E-4</c:v>
                </c:pt>
                <c:pt idx="7">
                  <c:v>-6.2135062857142864E-4</c:v>
                </c:pt>
                <c:pt idx="8">
                  <c:v>-6.5162028571428578E-4</c:v>
                </c:pt>
                <c:pt idx="9">
                  <c:v>-6.8221957142857142E-4</c:v>
                </c:pt>
                <c:pt idx="10">
                  <c:v>-7.24981542857143E-4</c:v>
                </c:pt>
                <c:pt idx="11">
                  <c:v>-7.7555411428571427E-4</c:v>
                </c:pt>
                <c:pt idx="12">
                  <c:v>-8.4309208571428575E-4</c:v>
                </c:pt>
                <c:pt idx="13">
                  <c:v>-9.3429554285714294E-4</c:v>
                </c:pt>
                <c:pt idx="14">
                  <c:v>-1.0801062E-3</c:v>
                </c:pt>
                <c:pt idx="15">
                  <c:v>-1.3319143428571429E-3</c:v>
                </c:pt>
                <c:pt idx="16">
                  <c:v>-1.7799718571428571E-3</c:v>
                </c:pt>
                <c:pt idx="17">
                  <c:v>-2.461023085714286E-3</c:v>
                </c:pt>
                <c:pt idx="18">
                  <c:v>-3.4348485714285715E-3</c:v>
                </c:pt>
                <c:pt idx="19">
                  <c:v>-4.4121640000000005E-3</c:v>
                </c:pt>
                <c:pt idx="20">
                  <c:v>-5.2413105714285719E-3</c:v>
                </c:pt>
                <c:pt idx="21">
                  <c:v>-5.7147317142857146E-3</c:v>
                </c:pt>
                <c:pt idx="22">
                  <c:v>-6.0956394285714291E-3</c:v>
                </c:pt>
                <c:pt idx="23">
                  <c:v>-6.2988837142857138E-3</c:v>
                </c:pt>
                <c:pt idx="24">
                  <c:v>-6.4397999999999999E-3</c:v>
                </c:pt>
                <c:pt idx="25">
                  <c:v>-6.7772074285714287E-3</c:v>
                </c:pt>
                <c:pt idx="26">
                  <c:v>-6.9143051428571436E-3</c:v>
                </c:pt>
                <c:pt idx="27">
                  <c:v>-6.9280194285714298E-3</c:v>
                </c:pt>
                <c:pt idx="28">
                  <c:v>-6.9320440000000001E-3</c:v>
                </c:pt>
                <c:pt idx="29">
                  <c:v>-6.9347925714285724E-3</c:v>
                </c:pt>
                <c:pt idx="30">
                  <c:v>-6.9376311428571442E-3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124048728"/>
        <c:axId val="12405108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0487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51080"/>
        <c:crossesAt val="-8.0000000000000019E-3"/>
        <c:crossBetween val="midCat"/>
      </c:valAx>
      <c:valAx>
        <c:axId val="12405108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4872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27778.156971666598</c:v>
                </c:pt>
                <c:pt idx="1">
                  <c:v>27564.45948851389</c:v>
                </c:pt>
                <c:pt idx="2">
                  <c:v>26792.4021340531</c:v>
                </c:pt>
                <c:pt idx="3">
                  <c:v>26269.963201786119</c:v>
                </c:pt>
                <c:pt idx="4">
                  <c:v>25780.290202097585</c:v>
                </c:pt>
                <c:pt idx="5">
                  <c:v>25240.85181384367</c:v>
                </c:pt>
                <c:pt idx="6">
                  <c:v>24672.754680633043</c:v>
                </c:pt>
                <c:pt idx="7">
                  <c:v>24020.396748324576</c:v>
                </c:pt>
                <c:pt idx="8">
                  <c:v>23342.080388924409</c:v>
                </c:pt>
                <c:pt idx="9">
                  <c:v>22582.231745185189</c:v>
                </c:pt>
                <c:pt idx="10">
                  <c:v>21901.781772523715</c:v>
                </c:pt>
                <c:pt idx="11">
                  <c:v>21176.388302840744</c:v>
                </c:pt>
                <c:pt idx="12">
                  <c:v>20289.291677060097</c:v>
                </c:pt>
                <c:pt idx="13">
                  <c:v>19304.428353130945</c:v>
                </c:pt>
                <c:pt idx="14">
                  <c:v>18388.117577406487</c:v>
                </c:pt>
                <c:pt idx="15">
                  <c:v>17657.874642711824</c:v>
                </c:pt>
                <c:pt idx="16">
                  <c:v>16910.282640396654</c:v>
                </c:pt>
                <c:pt idx="17">
                  <c:v>16194.23757205626</c:v>
                </c:pt>
                <c:pt idx="18">
                  <c:v>15438.754856480893</c:v>
                </c:pt>
                <c:pt idx="19">
                  <c:v>14710.752971992406</c:v>
                </c:pt>
                <c:pt idx="20">
                  <c:v>13672.918628242171</c:v>
                </c:pt>
                <c:pt idx="21">
                  <c:v>12440.582003127063</c:v>
                </c:pt>
                <c:pt idx="22">
                  <c:v>11056.709642622818</c:v>
                </c:pt>
                <c:pt idx="23">
                  <c:v>9670.892082045526</c:v>
                </c:pt>
                <c:pt idx="24">
                  <c:v>8182.4135852378968</c:v>
                </c:pt>
                <c:pt idx="25">
                  <c:v>6618.0972701842556</c:v>
                </c:pt>
                <c:pt idx="26">
                  <c:v>4983.2945727935466</c:v>
                </c:pt>
                <c:pt idx="27">
                  <c:v>3655.5495555802186</c:v>
                </c:pt>
                <c:pt idx="28">
                  <c:v>2661.8111175788895</c:v>
                </c:pt>
                <c:pt idx="29">
                  <c:v>2134.5283439444802</c:v>
                </c:pt>
                <c:pt idx="30">
                  <c:v>1833.4487794914817</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27397.892945473101</c:v>
                </c:pt>
                <c:pt idx="1">
                  <c:v>26523.458180008798</c:v>
                </c:pt>
                <c:pt idx="2">
                  <c:v>26019.67965016466</c:v>
                </c:pt>
                <c:pt idx="3">
                  <c:v>25509.990258828006</c:v>
                </c:pt>
                <c:pt idx="4">
                  <c:v>24963.943150396844</c:v>
                </c:pt>
                <c:pt idx="5">
                  <c:v>24360.23074010557</c:v>
                </c:pt>
                <c:pt idx="6">
                  <c:v>23702.700414797258</c:v>
                </c:pt>
                <c:pt idx="7">
                  <c:v>22983.797276603891</c:v>
                </c:pt>
                <c:pt idx="8">
                  <c:v>22257.005328835807</c:v>
                </c:pt>
                <c:pt idx="9">
                  <c:v>21573.070053120908</c:v>
                </c:pt>
                <c:pt idx="10">
                  <c:v>20786.240126684414</c:v>
                </c:pt>
                <c:pt idx="11">
                  <c:v>19850.944363304498</c:v>
                </c:pt>
                <c:pt idx="12">
                  <c:v>18878.644137935571</c:v>
                </c:pt>
                <c:pt idx="13">
                  <c:v>18047.706378874158</c:v>
                </c:pt>
                <c:pt idx="14">
                  <c:v>17316.206648443753</c:v>
                </c:pt>
                <c:pt idx="15">
                  <c:v>16586.298939889071</c:v>
                </c:pt>
                <c:pt idx="16">
                  <c:v>15849.59943760187</c:v>
                </c:pt>
                <c:pt idx="17">
                  <c:v>15118.902174180206</c:v>
                </c:pt>
                <c:pt idx="18">
                  <c:v>14246.464983939348</c:v>
                </c:pt>
                <c:pt idx="19">
                  <c:v>13070.427045955023</c:v>
                </c:pt>
                <c:pt idx="20">
                  <c:v>11767.194594567696</c:v>
                </c:pt>
                <c:pt idx="21">
                  <c:v>10413.260662658255</c:v>
                </c:pt>
                <c:pt idx="22">
                  <c:v>9021.5958187429424</c:v>
                </c:pt>
                <c:pt idx="23">
                  <c:v>7526.1172935058657</c:v>
                </c:pt>
                <c:pt idx="24">
                  <c:v>5930.2376668127145</c:v>
                </c:pt>
                <c:pt idx="25">
                  <c:v>4394.9364756509658</c:v>
                </c:pt>
                <c:pt idx="26">
                  <c:v>3203.3563852960447</c:v>
                </c:pt>
                <c:pt idx="27">
                  <c:v>2400.1855412000077</c:v>
                </c:pt>
                <c:pt idx="28">
                  <c:v>1991.4754608402236</c:v>
                </c:pt>
                <c:pt idx="29">
                  <c:v>1773.0062633219256</c:v>
                </c:pt>
                <c:pt idx="30">
                  <c:v>1667.8195270597521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26571.749341248375</c:v>
                </c:pt>
                <c:pt idx="1">
                  <c:v>25946.804454577039</c:v>
                </c:pt>
                <c:pt idx="2">
                  <c:v>25422.633116538804</c:v>
                </c:pt>
                <c:pt idx="3">
                  <c:v>24874.423250962038</c:v>
                </c:pt>
                <c:pt idx="4">
                  <c:v>24261.887527712272</c:v>
                </c:pt>
                <c:pt idx="5">
                  <c:v>23604.113428150831</c:v>
                </c:pt>
                <c:pt idx="6">
                  <c:v>22875.757187562907</c:v>
                </c:pt>
                <c:pt idx="7">
                  <c:v>22159.731778606551</c:v>
                </c:pt>
                <c:pt idx="8">
                  <c:v>21472.708800620374</c:v>
                </c:pt>
                <c:pt idx="9">
                  <c:v>20670.180400475889</c:v>
                </c:pt>
                <c:pt idx="10">
                  <c:v>19725.834570471921</c:v>
                </c:pt>
                <c:pt idx="11">
                  <c:v>18760.769686841479</c:v>
                </c:pt>
                <c:pt idx="12">
                  <c:v>17951.845252221632</c:v>
                </c:pt>
                <c:pt idx="13">
                  <c:v>17217.180266632138</c:v>
                </c:pt>
                <c:pt idx="14">
                  <c:v>16492.876514582083</c:v>
                </c:pt>
                <c:pt idx="15">
                  <c:v>15751.758762624639</c:v>
                </c:pt>
                <c:pt idx="16">
                  <c:v>15034.373302458171</c:v>
                </c:pt>
                <c:pt idx="17">
                  <c:v>14162.870174431931</c:v>
                </c:pt>
                <c:pt idx="18">
                  <c:v>13018.104761821871</c:v>
                </c:pt>
                <c:pt idx="19">
                  <c:v>11705.13324605317</c:v>
                </c:pt>
                <c:pt idx="20">
                  <c:v>10334.341945422744</c:v>
                </c:pt>
                <c:pt idx="21">
                  <c:v>8913.7897728524422</c:v>
                </c:pt>
                <c:pt idx="22">
                  <c:v>7399.8844264907739</c:v>
                </c:pt>
                <c:pt idx="23">
                  <c:v>5787.2393224855778</c:v>
                </c:pt>
                <c:pt idx="24">
                  <c:v>4280.6077303543925</c:v>
                </c:pt>
                <c:pt idx="25">
                  <c:v>3115.1716334963194</c:v>
                </c:pt>
                <c:pt idx="26">
                  <c:v>2356.4372580738441</c:v>
                </c:pt>
                <c:pt idx="27">
                  <c:v>1964.1109785554434</c:v>
                </c:pt>
                <c:pt idx="28">
                  <c:v>1763.2080149189565</c:v>
                </c:pt>
                <c:pt idx="29">
                  <c:v>1658.491959796828</c:v>
                </c:pt>
                <c:pt idx="30">
                  <c:v>1588.6538523426129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26053.699055806504</c:v>
                </c:pt>
                <c:pt idx="1">
                  <c:v>25420.424773845374</c:v>
                </c:pt>
                <c:pt idx="2">
                  <c:v>24863.312165419735</c:v>
                </c:pt>
                <c:pt idx="3">
                  <c:v>24254.64774489987</c:v>
                </c:pt>
                <c:pt idx="4">
                  <c:v>23598.035645574491</c:v>
                </c:pt>
                <c:pt idx="5">
                  <c:v>22875.045521340588</c:v>
                </c:pt>
                <c:pt idx="6">
                  <c:v>22155.517936189448</c:v>
                </c:pt>
                <c:pt idx="7">
                  <c:v>21471.158375742449</c:v>
                </c:pt>
                <c:pt idx="8">
                  <c:v>20677.048080812518</c:v>
                </c:pt>
                <c:pt idx="9">
                  <c:v>19738.371829079908</c:v>
                </c:pt>
                <c:pt idx="10">
                  <c:v>18771.738343420904</c:v>
                </c:pt>
                <c:pt idx="11">
                  <c:v>17954.576665195927</c:v>
                </c:pt>
                <c:pt idx="12">
                  <c:v>17222.637178428147</c:v>
                </c:pt>
                <c:pt idx="13">
                  <c:v>16497.243899731639</c:v>
                </c:pt>
                <c:pt idx="14">
                  <c:v>15759.935299611905</c:v>
                </c:pt>
                <c:pt idx="15">
                  <c:v>15044.074409883286</c:v>
                </c:pt>
                <c:pt idx="16">
                  <c:v>14213.640107546087</c:v>
                </c:pt>
                <c:pt idx="17">
                  <c:v>13126.154609374827</c:v>
                </c:pt>
                <c:pt idx="18">
                  <c:v>11831.284797076225</c:v>
                </c:pt>
                <c:pt idx="19">
                  <c:v>10444.226680660338</c:v>
                </c:pt>
                <c:pt idx="20">
                  <c:v>9010.2985137641299</c:v>
                </c:pt>
                <c:pt idx="21">
                  <c:v>7485.3353725382967</c:v>
                </c:pt>
                <c:pt idx="22">
                  <c:v>5867.432208987475</c:v>
                </c:pt>
                <c:pt idx="23">
                  <c:v>4340.1905864490318</c:v>
                </c:pt>
                <c:pt idx="24">
                  <c:v>3158.9225980026404</c:v>
                </c:pt>
                <c:pt idx="25">
                  <c:v>2378.2297123925264</c:v>
                </c:pt>
                <c:pt idx="26">
                  <c:v>1977.667947517439</c:v>
                </c:pt>
                <c:pt idx="27">
                  <c:v>1768.4082456329159</c:v>
                </c:pt>
                <c:pt idx="28">
                  <c:v>1663.1420726285587</c:v>
                </c:pt>
                <c:pt idx="29">
                  <c:v>1590.6931181661835</c:v>
                </c:pt>
                <c:pt idx="30">
                  <c:v>1559.0817133434941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25402.320131795943</c:v>
                </c:pt>
                <c:pt idx="1">
                  <c:v>24696.354789808618</c:v>
                </c:pt>
                <c:pt idx="2">
                  <c:v>24055.182864407325</c:v>
                </c:pt>
                <c:pt idx="3">
                  <c:v>23394.104979642449</c:v>
                </c:pt>
                <c:pt idx="4">
                  <c:v>22649.800115513979</c:v>
                </c:pt>
                <c:pt idx="5">
                  <c:v>21954.188758853183</c:v>
                </c:pt>
                <c:pt idx="6">
                  <c:v>21259.065093131409</c:v>
                </c:pt>
                <c:pt idx="7">
                  <c:v>20425.585157999485</c:v>
                </c:pt>
                <c:pt idx="8">
                  <c:v>19465.236561298003</c:v>
                </c:pt>
                <c:pt idx="9">
                  <c:v>18517.798381914778</c:v>
                </c:pt>
                <c:pt idx="10">
                  <c:v>17750.206916697767</c:v>
                </c:pt>
                <c:pt idx="11">
                  <c:v>17010.512302196905</c:v>
                </c:pt>
                <c:pt idx="12">
                  <c:v>16296.091982965276</c:v>
                </c:pt>
                <c:pt idx="13">
                  <c:v>15548.491012283619</c:v>
                </c:pt>
                <c:pt idx="14">
                  <c:v>14852.2859535227</c:v>
                </c:pt>
                <c:pt idx="15">
                  <c:v>13989.659962528494</c:v>
                </c:pt>
                <c:pt idx="16">
                  <c:v>12955.875619152041</c:v>
                </c:pt>
                <c:pt idx="17">
                  <c:v>11653.497049650856</c:v>
                </c:pt>
                <c:pt idx="18">
                  <c:v>10233.913041622172</c:v>
                </c:pt>
                <c:pt idx="19">
                  <c:v>8733.14546590807</c:v>
                </c:pt>
                <c:pt idx="20">
                  <c:v>7163.9964882498571</c:v>
                </c:pt>
                <c:pt idx="21">
                  <c:v>5510.0978604400207</c:v>
                </c:pt>
                <c:pt idx="22">
                  <c:v>4058.1459499900525</c:v>
                </c:pt>
                <c:pt idx="23">
                  <c:v>2944.6147413303179</c:v>
                </c:pt>
                <c:pt idx="24">
                  <c:v>2273.7361324021235</c:v>
                </c:pt>
                <c:pt idx="25">
                  <c:v>1912.2953598098456</c:v>
                </c:pt>
                <c:pt idx="26">
                  <c:v>1744.5696779634031</c:v>
                </c:pt>
                <c:pt idx="27">
                  <c:v>1640.7418515837423</c:v>
                </c:pt>
                <c:pt idx="28">
                  <c:v>1582.8165814056135</c:v>
                </c:pt>
                <c:pt idx="29">
                  <c:v>1552.1082197256635</c:v>
                </c:pt>
                <c:pt idx="30">
                  <c:v>1479.9733807759237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23753.143219509173</c:v>
                </c:pt>
                <c:pt idx="1">
                  <c:v>22894.132299303492</c:v>
                </c:pt>
                <c:pt idx="2">
                  <c:v>22147.099261527121</c:v>
                </c:pt>
                <c:pt idx="3">
                  <c:v>21468.84303484792</c:v>
                </c:pt>
                <c:pt idx="4">
                  <c:v>20701.523774103076</c:v>
                </c:pt>
                <c:pt idx="5">
                  <c:v>19781.607660297574</c:v>
                </c:pt>
                <c:pt idx="6">
                  <c:v>18810.745944967493</c:v>
                </c:pt>
                <c:pt idx="7">
                  <c:v>17965.844465783306</c:v>
                </c:pt>
                <c:pt idx="8">
                  <c:v>17242.568452996758</c:v>
                </c:pt>
                <c:pt idx="9">
                  <c:v>16513.063720610284</c:v>
                </c:pt>
                <c:pt idx="10">
                  <c:v>15787.67792487483</c:v>
                </c:pt>
                <c:pt idx="11">
                  <c:v>15065.700011178749</c:v>
                </c:pt>
                <c:pt idx="12">
                  <c:v>14310.70076925741</c:v>
                </c:pt>
                <c:pt idx="13">
                  <c:v>13412.472541794603</c:v>
                </c:pt>
                <c:pt idx="14">
                  <c:v>12440.258767334566</c:v>
                </c:pt>
                <c:pt idx="15">
                  <c:v>11226.645049922003</c:v>
                </c:pt>
                <c:pt idx="16">
                  <c:v>9726.3724112947184</c:v>
                </c:pt>
                <c:pt idx="17">
                  <c:v>8033.1680788249332</c:v>
                </c:pt>
                <c:pt idx="18">
                  <c:v>6290.8067785348248</c:v>
                </c:pt>
                <c:pt idx="19">
                  <c:v>4626.6643417017394</c:v>
                </c:pt>
                <c:pt idx="20">
                  <c:v>3353.6529569014392</c:v>
                </c:pt>
                <c:pt idx="21">
                  <c:v>2479.2302485924165</c:v>
                </c:pt>
                <c:pt idx="22">
                  <c:v>2038.148669202473</c:v>
                </c:pt>
                <c:pt idx="23">
                  <c:v>1794.8119678062012</c:v>
                </c:pt>
                <c:pt idx="24">
                  <c:v>1683.8932149976572</c:v>
                </c:pt>
                <c:pt idx="25">
                  <c:v>1600.9043371380121</c:v>
                </c:pt>
                <c:pt idx="26">
                  <c:v>1572.7991663984669</c:v>
                </c:pt>
                <c:pt idx="27">
                  <c:v>1513.3930965060508</c:v>
                </c:pt>
                <c:pt idx="28">
                  <c:v>1451.473728968301</c:v>
                </c:pt>
                <c:pt idx="29">
                  <c:v>1442.8759238013101</c:v>
                </c:pt>
                <c:pt idx="30">
                  <c:v>1441.8340062647276</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21944.22993088884</c:v>
                </c:pt>
                <c:pt idx="1">
                  <c:v>21051.578050349599</c:v>
                </c:pt>
                <c:pt idx="2">
                  <c:v>20179.587954723233</c:v>
                </c:pt>
                <c:pt idx="3">
                  <c:v>19209.032416339858</c:v>
                </c:pt>
                <c:pt idx="4">
                  <c:v>18280.913076243109</c:v>
                </c:pt>
                <c:pt idx="5">
                  <c:v>17541.903221319928</c:v>
                </c:pt>
                <c:pt idx="6">
                  <c:v>16801.90036213856</c:v>
                </c:pt>
                <c:pt idx="7">
                  <c:v>16093.972614128335</c:v>
                </c:pt>
                <c:pt idx="8">
                  <c:v>15346.360785926596</c:v>
                </c:pt>
                <c:pt idx="9">
                  <c:v>14658.037410243078</c:v>
                </c:pt>
                <c:pt idx="10">
                  <c:v>13793.454603809812</c:v>
                </c:pt>
                <c:pt idx="11">
                  <c:v>12894.006769869315</c:v>
                </c:pt>
                <c:pt idx="12">
                  <c:v>11861.100548142122</c:v>
                </c:pt>
                <c:pt idx="13">
                  <c:v>10703.251317478494</c:v>
                </c:pt>
                <c:pt idx="14">
                  <c:v>9258.3488549551894</c:v>
                </c:pt>
                <c:pt idx="15">
                  <c:v>7507.9903250749585</c:v>
                </c:pt>
                <c:pt idx="16">
                  <c:v>5618.0663530555021</c:v>
                </c:pt>
                <c:pt idx="17">
                  <c:v>4063.3507495512199</c:v>
                </c:pt>
                <c:pt idx="18">
                  <c:v>2911.3364947674963</c:v>
                </c:pt>
                <c:pt idx="19">
                  <c:v>2266.4615367878437</c:v>
                </c:pt>
                <c:pt idx="20">
                  <c:v>1907.9197585642019</c:v>
                </c:pt>
                <c:pt idx="21">
                  <c:v>1749.8634231598223</c:v>
                </c:pt>
                <c:pt idx="22">
                  <c:v>1640.5169822099524</c:v>
                </c:pt>
                <c:pt idx="23">
                  <c:v>1587.5828882695905</c:v>
                </c:pt>
                <c:pt idx="24">
                  <c:v>1552.8432560017393</c:v>
                </c:pt>
                <c:pt idx="25">
                  <c:v>1475.5340020790695</c:v>
                </c:pt>
                <c:pt idx="26">
                  <c:v>1446.2769278168969</c:v>
                </c:pt>
                <c:pt idx="27">
                  <c:v>1443.4139660116425</c:v>
                </c:pt>
                <c:pt idx="28">
                  <c:v>1442.5759559518087</c:v>
                </c:pt>
                <c:pt idx="29">
                  <c:v>1442.004197962621</c:v>
                </c:pt>
                <c:pt idx="30">
                  <c:v>1441.4141937044049</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124049904"/>
        <c:axId val="124050296"/>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1240499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50296"/>
        <c:crosses val="autoZero"/>
        <c:crossBetween val="midCat"/>
      </c:valAx>
      <c:valAx>
        <c:axId val="124050296"/>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4049904"/>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32878.229128228493</c:v>
                </c:pt>
                <c:pt idx="1">
                  <c:v>32917.621395250077</c:v>
                </c:pt>
                <c:pt idx="2">
                  <c:v>33027.932534087544</c:v>
                </c:pt>
                <c:pt idx="3">
                  <c:v>33126.431322112228</c:v>
                </c:pt>
                <c:pt idx="4">
                  <c:v>33232.994377679985</c:v>
                </c:pt>
                <c:pt idx="5">
                  <c:v>33369.04393074676</c:v>
                </c:pt>
                <c:pt idx="6">
                  <c:v>33536.478154290198</c:v>
                </c:pt>
                <c:pt idx="7">
                  <c:v>33763.382357764502</c:v>
                </c:pt>
                <c:pt idx="8">
                  <c:v>34045.918294192881</c:v>
                </c:pt>
                <c:pt idx="9">
                  <c:v>34429.394077487086</c:v>
                </c:pt>
                <c:pt idx="10">
                  <c:v>34848.57319188078</c:v>
                </c:pt>
                <c:pt idx="11">
                  <c:v>35387.277658954059</c:v>
                </c:pt>
                <c:pt idx="12">
                  <c:v>36211.574088156383</c:v>
                </c:pt>
                <c:pt idx="13">
                  <c:v>37421.710840644082</c:v>
                </c:pt>
                <c:pt idx="14">
                  <c:v>38951.098987451682</c:v>
                </c:pt>
                <c:pt idx="15">
                  <c:v>40568.71496485774</c:v>
                </c:pt>
                <c:pt idx="16">
                  <c:v>42732.071838619653</c:v>
                </c:pt>
                <c:pt idx="17">
                  <c:v>45521.775796670132</c:v>
                </c:pt>
                <c:pt idx="18">
                  <c:v>49555.852135531619</c:v>
                </c:pt>
                <c:pt idx="19">
                  <c:v>54063.455668120841</c:v>
                </c:pt>
                <c:pt idx="20">
                  <c:v>55616.680936317942</c:v>
                </c:pt>
                <c:pt idx="21">
                  <c:v>47250.76168227828</c:v>
                </c:pt>
                <c:pt idx="22">
                  <c:v>38372.055671055496</c:v>
                </c:pt>
                <c:pt idx="23">
                  <c:v>32616.615817362534</c:v>
                </c:pt>
                <c:pt idx="24">
                  <c:v>29588.562583402756</c:v>
                </c:pt>
                <c:pt idx="25">
                  <c:v>28444.801602791398</c:v>
                </c:pt>
                <c:pt idx="26">
                  <c:v>30608.703926029837</c:v>
                </c:pt>
                <c:pt idx="27">
                  <c:v>42229.006211524982</c:v>
                </c:pt>
                <c:pt idx="28">
                  <c:v>266342.79382938251</c:v>
                </c:pt>
                <c:pt idx="29">
                  <c:v>-63610.38746722733</c:v>
                </c:pt>
                <c:pt idx="30">
                  <c:v>-31064.324097111163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32845.136364466423</c:v>
                </c:pt>
                <c:pt idx="1">
                  <c:v>32978.697382158534</c:v>
                </c:pt>
                <c:pt idx="2">
                  <c:v>33070.809686995737</c:v>
                </c:pt>
                <c:pt idx="3">
                  <c:v>33179.420636882976</c:v>
                </c:pt>
                <c:pt idx="4">
                  <c:v>33315.643678415632</c:v>
                </c:pt>
                <c:pt idx="5">
                  <c:v>33492.716559024913</c:v>
                </c:pt>
                <c:pt idx="6">
                  <c:v>33723.038695529671</c:v>
                </c:pt>
                <c:pt idx="7">
                  <c:v>34026.110781900396</c:v>
                </c:pt>
                <c:pt idx="8">
                  <c:v>34401.191531464567</c:v>
                </c:pt>
                <c:pt idx="9">
                  <c:v>34828.548806220606</c:v>
                </c:pt>
                <c:pt idx="10">
                  <c:v>35428.816220000408</c:v>
                </c:pt>
                <c:pt idx="11">
                  <c:v>36343.440361027038</c:v>
                </c:pt>
                <c:pt idx="12">
                  <c:v>37619.06245170653</c:v>
                </c:pt>
                <c:pt idx="13">
                  <c:v>39089.155663069367</c:v>
                </c:pt>
                <c:pt idx="14">
                  <c:v>40779.668105699609</c:v>
                </c:pt>
                <c:pt idx="15">
                  <c:v>43006.671612679616</c:v>
                </c:pt>
                <c:pt idx="16">
                  <c:v>46027.517511892336</c:v>
                </c:pt>
                <c:pt idx="17">
                  <c:v>49809.634691869775</c:v>
                </c:pt>
                <c:pt idx="18">
                  <c:v>52072.08204417731</c:v>
                </c:pt>
                <c:pt idx="19">
                  <c:v>47000.747983332156</c:v>
                </c:pt>
                <c:pt idx="20">
                  <c:v>38796.5530925286</c:v>
                </c:pt>
                <c:pt idx="21">
                  <c:v>32906.823295623995</c:v>
                </c:pt>
                <c:pt idx="22">
                  <c:v>29413.630864815354</c:v>
                </c:pt>
                <c:pt idx="23">
                  <c:v>27574.064528195548</c:v>
                </c:pt>
                <c:pt idx="24">
                  <c:v>27347.875683433191</c:v>
                </c:pt>
                <c:pt idx="25">
                  <c:v>31039.620656814455</c:v>
                </c:pt>
                <c:pt idx="26">
                  <c:v>51039.931309002168</c:v>
                </c:pt>
                <c:pt idx="27">
                  <c:v>-469113.5630113699</c:v>
                </c:pt>
                <c:pt idx="28">
                  <c:v>-49053.038106922882</c:v>
                </c:pt>
                <c:pt idx="29">
                  <c:v>-30167.862606934468</c:v>
                </c:pt>
                <c:pt idx="30">
                  <c:v>-25394.116691045081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32914.930027937065</c:v>
                </c:pt>
                <c:pt idx="1">
                  <c:v>33025.817678199324</c:v>
                </c:pt>
                <c:pt idx="2">
                  <c:v>33131.419105957953</c:v>
                </c:pt>
                <c:pt idx="3">
                  <c:v>33262.142844177419</c:v>
                </c:pt>
                <c:pt idx="4">
                  <c:v>33435.111723998991</c:v>
                </c:pt>
                <c:pt idx="5">
                  <c:v>33658.398452236819</c:v>
                </c:pt>
                <c:pt idx="6">
                  <c:v>33957.432127339969</c:v>
                </c:pt>
                <c:pt idx="7">
                  <c:v>34318.754197061076</c:v>
                </c:pt>
                <c:pt idx="8">
                  <c:v>34738.607265315688</c:v>
                </c:pt>
                <c:pt idx="9">
                  <c:v>35340.11895928318</c:v>
                </c:pt>
                <c:pt idx="10">
                  <c:v>36253.02790468061</c:v>
                </c:pt>
                <c:pt idx="11">
                  <c:v>37508.414208976021</c:v>
                </c:pt>
                <c:pt idx="12">
                  <c:v>38923.741206765451</c:v>
                </c:pt>
                <c:pt idx="13">
                  <c:v>40597.279235301292</c:v>
                </c:pt>
                <c:pt idx="14">
                  <c:v>42778.705220106953</c:v>
                </c:pt>
                <c:pt idx="15">
                  <c:v>45789.281754821095</c:v>
                </c:pt>
                <c:pt idx="16">
                  <c:v>49598.914832427879</c:v>
                </c:pt>
                <c:pt idx="17">
                  <c:v>52967.151739842295</c:v>
                </c:pt>
                <c:pt idx="18">
                  <c:v>49016.600942407204</c:v>
                </c:pt>
                <c:pt idx="19">
                  <c:v>40472.370380006629</c:v>
                </c:pt>
                <c:pt idx="20">
                  <c:v>33956.107753013719</c:v>
                </c:pt>
                <c:pt idx="21">
                  <c:v>30122.242082820478</c:v>
                </c:pt>
                <c:pt idx="22">
                  <c:v>28176.964864290905</c:v>
                </c:pt>
                <c:pt idx="23">
                  <c:v>28221.950968956324</c:v>
                </c:pt>
                <c:pt idx="24">
                  <c:v>32946.866588253128</c:v>
                </c:pt>
                <c:pt idx="25">
                  <c:v>60583.96712817868</c:v>
                </c:pt>
                <c:pt idx="26">
                  <c:v>-192085.0003567205</c:v>
                </c:pt>
                <c:pt idx="27">
                  <c:v>-43136.991005074786</c:v>
                </c:pt>
                <c:pt idx="28">
                  <c:v>-29067.25664892737</c:v>
                </c:pt>
                <c:pt idx="29">
                  <c:v>-24590.860771464442</c:v>
                </c:pt>
                <c:pt idx="30">
                  <c:v>-21808.361824400279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32940.622758096513</c:v>
                </c:pt>
                <c:pt idx="1">
                  <c:v>33063.028902188402</c:v>
                </c:pt>
                <c:pt idx="2">
                  <c:v>33186.791838901372</c:v>
                </c:pt>
                <c:pt idx="3">
                  <c:v>33348.219978731839</c:v>
                </c:pt>
                <c:pt idx="4">
                  <c:v>33558.485844186886</c:v>
                </c:pt>
                <c:pt idx="5">
                  <c:v>33839.457530678323</c:v>
                </c:pt>
                <c:pt idx="6">
                  <c:v>34184.055314255194</c:v>
                </c:pt>
                <c:pt idx="7">
                  <c:v>34582.004544510135</c:v>
                </c:pt>
                <c:pt idx="8">
                  <c:v>35148.296991701412</c:v>
                </c:pt>
                <c:pt idx="9">
                  <c:v>36010.404414126533</c:v>
                </c:pt>
                <c:pt idx="10">
                  <c:v>37203.892360508056</c:v>
                </c:pt>
                <c:pt idx="11">
                  <c:v>38561.662334649511</c:v>
                </c:pt>
                <c:pt idx="12">
                  <c:v>40144.606838172716</c:v>
                </c:pt>
                <c:pt idx="13">
                  <c:v>42213.057405633284</c:v>
                </c:pt>
                <c:pt idx="14">
                  <c:v>45047.052160805426</c:v>
                </c:pt>
                <c:pt idx="15">
                  <c:v>48772.670582415376</c:v>
                </c:pt>
                <c:pt idx="16">
                  <c:v>53173.436252798107</c:v>
                </c:pt>
                <c:pt idx="17">
                  <c:v>52041.72318769533</c:v>
                </c:pt>
                <c:pt idx="18">
                  <c:v>43516.198345340119</c:v>
                </c:pt>
                <c:pt idx="19">
                  <c:v>35940.774942666772</c:v>
                </c:pt>
                <c:pt idx="20">
                  <c:v>31361.636224374335</c:v>
                </c:pt>
                <c:pt idx="21">
                  <c:v>29062.27497495657</c:v>
                </c:pt>
                <c:pt idx="22">
                  <c:v>29036.575549063033</c:v>
                </c:pt>
                <c:pt idx="23">
                  <c:v>34066.30392866247</c:v>
                </c:pt>
                <c:pt idx="24">
                  <c:v>63544.420636467767</c:v>
                </c:pt>
                <c:pt idx="25">
                  <c:v>-164849.55358741846</c:v>
                </c:pt>
                <c:pt idx="26">
                  <c:v>-42104.857938209301</c:v>
                </c:pt>
                <c:pt idx="27">
                  <c:v>-28492.115824520955</c:v>
                </c:pt>
                <c:pt idx="28">
                  <c:v>-24494.572002844325</c:v>
                </c:pt>
                <c:pt idx="29">
                  <c:v>-21714.596986386121</c:v>
                </c:pt>
                <c:pt idx="30">
                  <c:v>-20553.584368940563</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32980.582446509005</c:v>
                </c:pt>
                <c:pt idx="1">
                  <c:v>33133.758293663705</c:v>
                </c:pt>
                <c:pt idx="2">
                  <c:v>33298.683674492604</c:v>
                </c:pt>
                <c:pt idx="3">
                  <c:v>33506.339006837261</c:v>
                </c:pt>
                <c:pt idx="4">
                  <c:v>33792.339508352357</c:v>
                </c:pt>
                <c:pt idx="5">
                  <c:v>34123.407204660194</c:v>
                </c:pt>
                <c:pt idx="6">
                  <c:v>34524.750922170912</c:v>
                </c:pt>
                <c:pt idx="7">
                  <c:v>35121.061596903281</c:v>
                </c:pt>
                <c:pt idx="8">
                  <c:v>36018.391196364231</c:v>
                </c:pt>
                <c:pt idx="9">
                  <c:v>37216.102016523655</c:v>
                </c:pt>
                <c:pt idx="10">
                  <c:v>38513.469855000949</c:v>
                </c:pt>
                <c:pt idx="11">
                  <c:v>40131.860911409232</c:v>
                </c:pt>
                <c:pt idx="12">
                  <c:v>42202.398991753347</c:v>
                </c:pt>
                <c:pt idx="13">
                  <c:v>45141.120687391449</c:v>
                </c:pt>
                <c:pt idx="14">
                  <c:v>48935.430677929115</c:v>
                </c:pt>
                <c:pt idx="15">
                  <c:v>54828.632326397623</c:v>
                </c:pt>
                <c:pt idx="16">
                  <c:v>56926.730743394786</c:v>
                </c:pt>
                <c:pt idx="17">
                  <c:v>48788.518361001385</c:v>
                </c:pt>
                <c:pt idx="18">
                  <c:v>39424.36373864171</c:v>
                </c:pt>
                <c:pt idx="19">
                  <c:v>33786.14490047373</c:v>
                </c:pt>
                <c:pt idx="20">
                  <c:v>31209.015874510449</c:v>
                </c:pt>
                <c:pt idx="21">
                  <c:v>32327.943526223095</c:v>
                </c:pt>
                <c:pt idx="22">
                  <c:v>41843.0050450708</c:v>
                </c:pt>
                <c:pt idx="23">
                  <c:v>141567.54915832213</c:v>
                </c:pt>
                <c:pt idx="24">
                  <c:v>-71523.040227827194</c:v>
                </c:pt>
                <c:pt idx="25">
                  <c:v>-32457.590448640276</c:v>
                </c:pt>
                <c:pt idx="26">
                  <c:v>-26179.224466654621</c:v>
                </c:pt>
                <c:pt idx="27">
                  <c:v>-22743.458981196909</c:v>
                </c:pt>
                <c:pt idx="28">
                  <c:v>-20171.073758124621</c:v>
                </c:pt>
                <c:pt idx="29">
                  <c:v>-20359.75098279411</c:v>
                </c:pt>
                <c:pt idx="30">
                  <c:v>-17392.012991336898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33227.321090717371</c:v>
                </c:pt>
                <c:pt idx="1">
                  <c:v>33498.180752086977</c:v>
                </c:pt>
                <c:pt idx="2">
                  <c:v>33793.796011339487</c:v>
                </c:pt>
                <c:pt idx="3">
                  <c:v>34125.219783478031</c:v>
                </c:pt>
                <c:pt idx="4">
                  <c:v>34587.007609971733</c:v>
                </c:pt>
                <c:pt idx="5">
                  <c:v>35299.121223334449</c:v>
                </c:pt>
                <c:pt idx="6">
                  <c:v>36308.978619094836</c:v>
                </c:pt>
                <c:pt idx="7">
                  <c:v>37495.949366155641</c:v>
                </c:pt>
                <c:pt idx="8">
                  <c:v>38820.179758727929</c:v>
                </c:pt>
                <c:pt idx="9">
                  <c:v>40566.356405900551</c:v>
                </c:pt>
                <c:pt idx="10">
                  <c:v>42888.725764683921</c:v>
                </c:pt>
                <c:pt idx="11">
                  <c:v>46092.228442039224</c:v>
                </c:pt>
                <c:pt idx="12">
                  <c:v>50930.507650562598</c:v>
                </c:pt>
                <c:pt idx="13">
                  <c:v>60352.173902547278</c:v>
                </c:pt>
                <c:pt idx="14">
                  <c:v>78389.055633608659</c:v>
                </c:pt>
                <c:pt idx="15">
                  <c:v>99064.323314250432</c:v>
                </c:pt>
                <c:pt idx="16">
                  <c:v>85015.362275963344</c:v>
                </c:pt>
                <c:pt idx="17">
                  <c:v>65511.382789934971</c:v>
                </c:pt>
                <c:pt idx="18">
                  <c:v>63327.291909685009</c:v>
                </c:pt>
                <c:pt idx="19">
                  <c:v>113713.19388197045</c:v>
                </c:pt>
                <c:pt idx="20">
                  <c:v>-146920.54536906688</c:v>
                </c:pt>
                <c:pt idx="21">
                  <c:v>-33019.011214577105</c:v>
                </c:pt>
                <c:pt idx="22">
                  <c:v>-22836.395106695516</c:v>
                </c:pt>
                <c:pt idx="23">
                  <c:v>-19672.912535355055</c:v>
                </c:pt>
                <c:pt idx="24">
                  <c:v>-20109.949713634411</c:v>
                </c:pt>
                <c:pt idx="25">
                  <c:v>-19267.218149499204</c:v>
                </c:pt>
                <c:pt idx="26">
                  <c:v>-13467.640338584128</c:v>
                </c:pt>
                <c:pt idx="27">
                  <c:v>-17869.104216700292</c:v>
                </c:pt>
                <c:pt idx="28">
                  <c:v>-15903.286209624497</c:v>
                </c:pt>
                <c:pt idx="29">
                  <c:v>-14418.672097974508</c:v>
                </c:pt>
                <c:pt idx="30">
                  <c:v>-14753.048717517431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33712.602032634866</c:v>
                </c:pt>
                <c:pt idx="1">
                  <c:v>34147.721364506273</c:v>
                </c:pt>
                <c:pt idx="2">
                  <c:v>34696.879043487541</c:v>
                </c:pt>
                <c:pt idx="3">
                  <c:v>35511.075397115274</c:v>
                </c:pt>
                <c:pt idx="4">
                  <c:v>36572.854369380897</c:v>
                </c:pt>
                <c:pt idx="5">
                  <c:v>37698.306014771195</c:v>
                </c:pt>
                <c:pt idx="6">
                  <c:v>39152.486922342272</c:v>
                </c:pt>
                <c:pt idx="7">
                  <c:v>40993.203959250131</c:v>
                </c:pt>
                <c:pt idx="8">
                  <c:v>43625.906110069838</c:v>
                </c:pt>
                <c:pt idx="9">
                  <c:v>47031.385656153085</c:v>
                </c:pt>
                <c:pt idx="10">
                  <c:v>53502.634011104579</c:v>
                </c:pt>
                <c:pt idx="11">
                  <c:v>65721.627222423907</c:v>
                </c:pt>
                <c:pt idx="12">
                  <c:v>100706.41232255145</c:v>
                </c:pt>
                <c:pt idx="13">
                  <c:v>501369.45485383167</c:v>
                </c:pt>
                <c:pt idx="14">
                  <c:v>-118375.41579364783</c:v>
                </c:pt>
                <c:pt idx="15">
                  <c:v>-62217.37756242256</c:v>
                </c:pt>
                <c:pt idx="16">
                  <c:v>-38486.588578477997</c:v>
                </c:pt>
                <c:pt idx="17">
                  <c:v>-23364.529653326481</c:v>
                </c:pt>
                <c:pt idx="18">
                  <c:v>-14203.42024852575</c:v>
                </c:pt>
                <c:pt idx="19">
                  <c:v>-11570.811747984026</c:v>
                </c:pt>
                <c:pt idx="20">
                  <c:v>-11188.999333902882</c:v>
                </c:pt>
                <c:pt idx="21">
                  <c:v>-13243.083610397513</c:v>
                </c:pt>
                <c:pt idx="22">
                  <c:v>-14434.120611511818</c:v>
                </c:pt>
                <c:pt idx="23">
                  <c:v>-14688.114671370091</c:v>
                </c:pt>
                <c:pt idx="24">
                  <c:v>-16576.443453015301</c:v>
                </c:pt>
                <c:pt idx="25">
                  <c:v>-14395.721098121998</c:v>
                </c:pt>
                <c:pt idx="26">
                  <c:v>-15556.924564917272</c:v>
                </c:pt>
                <c:pt idx="27">
                  <c:v>-15548.838457342066</c:v>
                </c:pt>
                <c:pt idx="28">
                  <c:v>-15639.676160397003</c:v>
                </c:pt>
                <c:pt idx="29">
                  <c:v>-15554.269735924026</c:v>
                </c:pt>
                <c:pt idx="30">
                  <c:v>-15488.953057408791</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709382368"/>
        <c:axId val="7093847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70938236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4720"/>
        <c:crosses val="autoZero"/>
        <c:crossBetween val="midCat"/>
        <c:majorUnit val="10000"/>
      </c:valAx>
      <c:valAx>
        <c:axId val="709384720"/>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2368"/>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0.35918667302442542</c:v>
                </c:pt>
                <c:pt idx="1">
                  <c:v>0.36043716445192803</c:v>
                </c:pt>
                <c:pt idx="2">
                  <c:v>0.36479927706444065</c:v>
                </c:pt>
                <c:pt idx="3">
                  <c:v>0.36782979555738898</c:v>
                </c:pt>
                <c:pt idx="4">
                  <c:v>0.37070936236282398</c:v>
                </c:pt>
                <c:pt idx="5">
                  <c:v>0.37393080112300153</c:v>
                </c:pt>
                <c:pt idx="6">
                  <c:v>0.37738349384252629</c:v>
                </c:pt>
                <c:pt idx="7">
                  <c:v>0.38142777238272035</c:v>
                </c:pt>
                <c:pt idx="8">
                  <c:v>0.38573236010641054</c:v>
                </c:pt>
                <c:pt idx="9">
                  <c:v>0.39068337123814695</c:v>
                </c:pt>
                <c:pt idx="10">
                  <c:v>0.39525261358655128</c:v>
                </c:pt>
                <c:pt idx="11">
                  <c:v>0.40026364603437042</c:v>
                </c:pt>
                <c:pt idx="12">
                  <c:v>0.40661691191299681</c:v>
                </c:pt>
                <c:pt idx="13">
                  <c:v>0.41402304562656794</c:v>
                </c:pt>
                <c:pt idx="14">
                  <c:v>0.4213196458490584</c:v>
                </c:pt>
                <c:pt idx="15">
                  <c:v>0.42745693055183126</c:v>
                </c:pt>
                <c:pt idx="16">
                  <c:v>0.43404531260010282</c:v>
                </c:pt>
                <c:pt idx="17">
                  <c:v>0.44070882455468396</c:v>
                </c:pt>
                <c:pt idx="18">
                  <c:v>0.44807624733449902</c:v>
                </c:pt>
                <c:pt idx="19">
                  <c:v>0.45464973276866461</c:v>
                </c:pt>
                <c:pt idx="20">
                  <c:v>0.45902632568126489</c:v>
                </c:pt>
                <c:pt idx="21">
                  <c:v>0.45611858391200993</c:v>
                </c:pt>
                <c:pt idx="22">
                  <c:v>0.45197586086514591</c:v>
                </c:pt>
                <c:pt idx="23">
                  <c:v>0.45058299867671792</c:v>
                </c:pt>
                <c:pt idx="24">
                  <c:v>0.45391004231126064</c:v>
                </c:pt>
                <c:pt idx="25">
                  <c:v>0.46122257321038468</c:v>
                </c:pt>
                <c:pt idx="26">
                  <c:v>0.47286559086354235</c:v>
                </c:pt>
                <c:pt idx="27">
                  <c:v>0.48557251723586398</c:v>
                </c:pt>
                <c:pt idx="28">
                  <c:v>0.49833434507506391</c:v>
                </c:pt>
                <c:pt idx="29">
                  <c:v>0.50559271430588337</c:v>
                </c:pt>
                <c:pt idx="30">
                  <c:v>0.50983684034542798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0.36097437866471271</c:v>
                </c:pt>
                <c:pt idx="1">
                  <c:v>0.3659566109567951</c:v>
                </c:pt>
                <c:pt idx="2">
                  <c:v>0.36886885092708488</c:v>
                </c:pt>
                <c:pt idx="3">
                  <c:v>0.37185836999179678</c:v>
                </c:pt>
                <c:pt idx="4">
                  <c:v>0.37511400854522908</c:v>
                </c:pt>
                <c:pt idx="5">
                  <c:v>0.37877846666963633</c:v>
                </c:pt>
                <c:pt idx="6">
                  <c:v>0.38285604672818085</c:v>
                </c:pt>
                <c:pt idx="7">
                  <c:v>0.38742078388013651</c:v>
                </c:pt>
                <c:pt idx="8">
                  <c:v>0.39216940684317697</c:v>
                </c:pt>
                <c:pt idx="9">
                  <c:v>0.39676538934984368</c:v>
                </c:pt>
                <c:pt idx="10">
                  <c:v>0.40221594385387111</c:v>
                </c:pt>
                <c:pt idx="11">
                  <c:v>0.40896594559151084</c:v>
                </c:pt>
                <c:pt idx="12">
                  <c:v>0.41636047034146129</c:v>
                </c:pt>
                <c:pt idx="13">
                  <c:v>0.42304896301488693</c:v>
                </c:pt>
                <c:pt idx="14">
                  <c:v>0.42922859416298381</c:v>
                </c:pt>
                <c:pt idx="15">
                  <c:v>0.43572199258886246</c:v>
                </c:pt>
                <c:pt idx="16">
                  <c:v>0.44260824721679903</c:v>
                </c:pt>
                <c:pt idx="17">
                  <c:v>0.44941105180517749</c:v>
                </c:pt>
                <c:pt idx="18">
                  <c:v>0.45440146163846229</c:v>
                </c:pt>
                <c:pt idx="19">
                  <c:v>0.45365170553388434</c:v>
                </c:pt>
                <c:pt idx="20">
                  <c:v>0.44944914063841662</c:v>
                </c:pt>
                <c:pt idx="21">
                  <c:v>0.44725885789142183</c:v>
                </c:pt>
                <c:pt idx="22">
                  <c:v>0.4488808671722867</c:v>
                </c:pt>
                <c:pt idx="23">
                  <c:v>0.45450968496253596</c:v>
                </c:pt>
                <c:pt idx="24">
                  <c:v>0.46385924245415805</c:v>
                </c:pt>
                <c:pt idx="25">
                  <c:v>0.47640147021424106</c:v>
                </c:pt>
                <c:pt idx="26">
                  <c:v>0.48953970514477341</c:v>
                </c:pt>
                <c:pt idx="27">
                  <c:v>0.50085273791907747</c:v>
                </c:pt>
                <c:pt idx="28">
                  <c:v>0.50676640203371748</c:v>
                </c:pt>
                <c:pt idx="29">
                  <c:v>0.50979522638833097</c:v>
                </c:pt>
                <c:pt idx="30">
                  <c:v>0.51094623311999854</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0.36545239845719868</c:v>
                </c:pt>
                <c:pt idx="1">
                  <c:v>0.36905797605880936</c:v>
                </c:pt>
                <c:pt idx="2">
                  <c:v>0.37211216320458834</c:v>
                </c:pt>
                <c:pt idx="3">
                  <c:v>0.37536169188151419</c:v>
                </c:pt>
                <c:pt idx="4">
                  <c:v>0.37905983522157827</c:v>
                </c:pt>
                <c:pt idx="5">
                  <c:v>0.38311924852056162</c:v>
                </c:pt>
                <c:pt idx="6">
                  <c:v>0.38772336542910996</c:v>
                </c:pt>
                <c:pt idx="7">
                  <c:v>0.39238278847301405</c:v>
                </c:pt>
                <c:pt idx="8">
                  <c:v>0.39697961196974679</c:v>
                </c:pt>
                <c:pt idx="9">
                  <c:v>0.40251787010917695</c:v>
                </c:pt>
                <c:pt idx="10">
                  <c:v>0.4093140825720053</c:v>
                </c:pt>
                <c:pt idx="11">
                  <c:v>0.41663750617698336</c:v>
                </c:pt>
                <c:pt idx="12">
                  <c:v>0.42313240927150236</c:v>
                </c:pt>
                <c:pt idx="13">
                  <c:v>0.4293171833558862</c:v>
                </c:pt>
                <c:pt idx="14">
                  <c:v>0.43574343266615878</c:v>
                </c:pt>
                <c:pt idx="15">
                  <c:v>0.44266577184675554</c:v>
                </c:pt>
                <c:pt idx="16">
                  <c:v>0.44948016721315892</c:v>
                </c:pt>
                <c:pt idx="17">
                  <c:v>0.45543505201111745</c:v>
                </c:pt>
                <c:pt idx="18">
                  <c:v>0.4557357286050982</c:v>
                </c:pt>
                <c:pt idx="19">
                  <c:v>0.45179784325227995</c:v>
                </c:pt>
                <c:pt idx="20">
                  <c:v>0.44927597895597277</c:v>
                </c:pt>
                <c:pt idx="21">
                  <c:v>0.45067991204890967</c:v>
                </c:pt>
                <c:pt idx="22">
                  <c:v>0.45622970475983404</c:v>
                </c:pt>
                <c:pt idx="23">
                  <c:v>0.46582306134179358</c:v>
                </c:pt>
                <c:pt idx="24">
                  <c:v>0.47834590370484276</c:v>
                </c:pt>
                <c:pt idx="25">
                  <c:v>0.49143015393576134</c:v>
                </c:pt>
                <c:pt idx="26">
                  <c:v>0.50204461328205197</c:v>
                </c:pt>
                <c:pt idx="27">
                  <c:v>0.5075886570234055</c:v>
                </c:pt>
                <c:pt idx="28">
                  <c:v>0.51010993249331416</c:v>
                </c:pt>
                <c:pt idx="29">
                  <c:v>0.51124057141397672</c:v>
                </c:pt>
                <c:pt idx="30">
                  <c:v>0.51214101472586804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0.36817847349590693</c:v>
                </c:pt>
                <c:pt idx="1">
                  <c:v>0.37185876179580335</c:v>
                </c:pt>
                <c:pt idx="2">
                  <c:v>0.3751344998631097</c:v>
                </c:pt>
                <c:pt idx="3">
                  <c:v>0.37878089764926726</c:v>
                </c:pt>
                <c:pt idx="4">
                  <c:v>0.38280144821818979</c:v>
                </c:pt>
                <c:pt idx="5">
                  <c:v>0.38733544019038313</c:v>
                </c:pt>
                <c:pt idx="6">
                  <c:v>0.39197927838718466</c:v>
                </c:pt>
                <c:pt idx="7">
                  <c:v>0.39652056197751084</c:v>
                </c:pt>
                <c:pt idx="8">
                  <c:v>0.40195329574718602</c:v>
                </c:pt>
                <c:pt idx="9">
                  <c:v>0.40864505157044401</c:v>
                </c:pt>
                <c:pt idx="10">
                  <c:v>0.41590602867785276</c:v>
                </c:pt>
                <c:pt idx="11">
                  <c:v>0.42239884737773664</c:v>
                </c:pt>
                <c:pt idx="12">
                  <c:v>0.42849750549783489</c:v>
                </c:pt>
                <c:pt idx="13">
                  <c:v>0.43486516213373472</c:v>
                </c:pt>
                <c:pt idx="14">
                  <c:v>0.44169083752934107</c:v>
                </c:pt>
                <c:pt idx="15">
                  <c:v>0.44859117401119813</c:v>
                </c:pt>
                <c:pt idx="16">
                  <c:v>0.45544880705730789</c:v>
                </c:pt>
                <c:pt idx="17">
                  <c:v>0.45796272104585001</c:v>
                </c:pt>
                <c:pt idx="18">
                  <c:v>0.45468628063821065</c:v>
                </c:pt>
                <c:pt idx="19">
                  <c:v>0.45156742030316488</c:v>
                </c:pt>
                <c:pt idx="20">
                  <c:v>0.45211613296523251</c:v>
                </c:pt>
                <c:pt idx="21">
                  <c:v>0.45707301315887733</c:v>
                </c:pt>
                <c:pt idx="22">
                  <c:v>0.46632160130204697</c:v>
                </c:pt>
                <c:pt idx="23">
                  <c:v>0.47876596477104505</c:v>
                </c:pt>
                <c:pt idx="24">
                  <c:v>0.49171466047854784</c:v>
                </c:pt>
                <c:pt idx="25">
                  <c:v>0.50240444459876499</c:v>
                </c:pt>
                <c:pt idx="26">
                  <c:v>0.50782834429865453</c:v>
                </c:pt>
                <c:pt idx="27">
                  <c:v>0.51034443034770449</c:v>
                </c:pt>
                <c:pt idx="28">
                  <c:v>0.5113163988089241</c:v>
                </c:pt>
                <c:pt idx="29">
                  <c:v>0.51220909233823575</c:v>
                </c:pt>
                <c:pt idx="30">
                  <c:v>0.51264241543273503</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0.3716299195494005</c:v>
                </c:pt>
                <c:pt idx="1">
                  <c:v>0.37577445651790431</c:v>
                </c:pt>
                <c:pt idx="2">
                  <c:v>0.37959892999797451</c:v>
                </c:pt>
                <c:pt idx="3">
                  <c:v>0.38363343736803218</c:v>
                </c:pt>
                <c:pt idx="4">
                  <c:v>0.38828927677570391</c:v>
                </c:pt>
                <c:pt idx="5">
                  <c:v>0.39277062991209288</c:v>
                </c:pt>
                <c:pt idx="6">
                  <c:v>0.39737282903186527</c:v>
                </c:pt>
                <c:pt idx="7">
                  <c:v>0.40307057821680203</c:v>
                </c:pt>
                <c:pt idx="8">
                  <c:v>0.40992917823944497</c:v>
                </c:pt>
                <c:pt idx="9">
                  <c:v>0.41707084936114919</c:v>
                </c:pt>
                <c:pt idx="10">
                  <c:v>0.42318615199857185</c:v>
                </c:pt>
                <c:pt idx="11">
                  <c:v>0.42935574580112512</c:v>
                </c:pt>
                <c:pt idx="12">
                  <c:v>0.43564310571479736</c:v>
                </c:pt>
                <c:pt idx="13">
                  <c:v>0.44259302540005935</c:v>
                </c:pt>
                <c:pt idx="14">
                  <c:v>0.4494153631027461</c:v>
                </c:pt>
                <c:pt idx="15">
                  <c:v>0.45747459138001917</c:v>
                </c:pt>
                <c:pt idx="16">
                  <c:v>0.4620685647147838</c:v>
                </c:pt>
                <c:pt idx="17">
                  <c:v>0.460190438785129</c:v>
                </c:pt>
                <c:pt idx="18">
                  <c:v>0.45673608875691496</c:v>
                </c:pt>
                <c:pt idx="19">
                  <c:v>0.45691949322405223</c:v>
                </c:pt>
                <c:pt idx="20">
                  <c:v>0.46174184346250108</c:v>
                </c:pt>
                <c:pt idx="21">
                  <c:v>0.47159269835206985</c:v>
                </c:pt>
                <c:pt idx="22">
                  <c:v>0.48383582494605387</c:v>
                </c:pt>
                <c:pt idx="23">
                  <c:v>0.49653332189140181</c:v>
                </c:pt>
                <c:pt idx="24">
                  <c:v>0.50529837687072454</c:v>
                </c:pt>
                <c:pt idx="25">
                  <c:v>0.50981945637048953</c:v>
                </c:pt>
                <c:pt idx="26">
                  <c:v>0.51110657855293817</c:v>
                </c:pt>
                <c:pt idx="27">
                  <c:v>0.51202354380176018</c:v>
                </c:pt>
                <c:pt idx="28">
                  <c:v>0.51307827073218382</c:v>
                </c:pt>
                <c:pt idx="29">
                  <c:v>0.51270569092452178</c:v>
                </c:pt>
                <c:pt idx="30">
                  <c:v>0.51418250033806812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0.38085536018859178</c:v>
                </c:pt>
                <c:pt idx="1">
                  <c:v>0.38609265844047785</c:v>
                </c:pt>
                <c:pt idx="2">
                  <c:v>0.39077334759859633</c:v>
                </c:pt>
                <c:pt idx="3">
                  <c:v>0.39514674107563202</c:v>
                </c:pt>
                <c:pt idx="4">
                  <c:v>0.40024421883332356</c:v>
                </c:pt>
                <c:pt idx="5">
                  <c:v>0.40660009383264306</c:v>
                </c:pt>
                <c:pt idx="6">
                  <c:v>0.41365429589604341</c:v>
                </c:pt>
                <c:pt idx="7">
                  <c:v>0.42014317648757582</c:v>
                </c:pt>
                <c:pt idx="8">
                  <c:v>0.42597248578719715</c:v>
                </c:pt>
                <c:pt idx="9">
                  <c:v>0.43215616262820034</c:v>
                </c:pt>
                <c:pt idx="10">
                  <c:v>0.43864868663660572</c:v>
                </c:pt>
                <c:pt idx="11">
                  <c:v>0.44552335422400691</c:v>
                </c:pt>
                <c:pt idx="12">
                  <c:v>0.4531691925939425</c:v>
                </c:pt>
                <c:pt idx="13">
                  <c:v>0.46296053736343123</c:v>
                </c:pt>
                <c:pt idx="14">
                  <c:v>0.47355017936542809</c:v>
                </c:pt>
                <c:pt idx="15">
                  <c:v>0.48111219613962503</c:v>
                </c:pt>
                <c:pt idx="16">
                  <c:v>0.48093212773372551</c:v>
                </c:pt>
                <c:pt idx="17">
                  <c:v>0.47956292037425102</c:v>
                </c:pt>
                <c:pt idx="18">
                  <c:v>0.48344366599604865</c:v>
                </c:pt>
                <c:pt idx="19">
                  <c:v>0.49321881043621607</c:v>
                </c:pt>
                <c:pt idx="20">
                  <c:v>0.50380438391430893</c:v>
                </c:pt>
                <c:pt idx="21">
                  <c:v>0.51251415551928003</c:v>
                </c:pt>
                <c:pt idx="22">
                  <c:v>0.5148750029625947</c:v>
                </c:pt>
                <c:pt idx="23">
                  <c:v>0.51520544186988637</c:v>
                </c:pt>
                <c:pt idx="24">
                  <c:v>0.5139557220760228</c:v>
                </c:pt>
                <c:pt idx="25">
                  <c:v>0.5138482570474211</c:v>
                </c:pt>
                <c:pt idx="26">
                  <c:v>0.51946392892960958</c:v>
                </c:pt>
                <c:pt idx="27">
                  <c:v>0.5141155471305201</c:v>
                </c:pt>
                <c:pt idx="28">
                  <c:v>0.51521146541492668</c:v>
                </c:pt>
                <c:pt idx="29">
                  <c:v>0.51667832647829848</c:v>
                </c:pt>
                <c:pt idx="30">
                  <c:v>0.5162885429521733</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0.39151321954894824</c:v>
                </c:pt>
                <c:pt idx="1">
                  <c:v>0.39725240216549768</c:v>
                </c:pt>
                <c:pt idx="2">
                  <c:v>0.40306722818195923</c:v>
                </c:pt>
                <c:pt idx="3">
                  <c:v>0.4098448760866481</c:v>
                </c:pt>
                <c:pt idx="4">
                  <c:v>0.41669179508746956</c:v>
                </c:pt>
                <c:pt idx="5">
                  <c:v>0.42244610312884906</c:v>
                </c:pt>
                <c:pt idx="6">
                  <c:v>0.42847665762388393</c:v>
                </c:pt>
                <c:pt idx="7">
                  <c:v>0.43456650103056604</c:v>
                </c:pt>
                <c:pt idx="8">
                  <c:v>0.44137137710787738</c:v>
                </c:pt>
                <c:pt idx="9">
                  <c:v>0.4480558312080925</c:v>
                </c:pt>
                <c:pt idx="10">
                  <c:v>0.45703185192419077</c:v>
                </c:pt>
                <c:pt idx="11">
                  <c:v>0.46730146195195965</c:v>
                </c:pt>
                <c:pt idx="12">
                  <c:v>0.48037016664812376</c:v>
                </c:pt>
                <c:pt idx="13">
                  <c:v>0.49644199461632577</c:v>
                </c:pt>
                <c:pt idx="14">
                  <c:v>0.51303529227033418</c:v>
                </c:pt>
                <c:pt idx="15">
                  <c:v>0.52011225432300434</c:v>
                </c:pt>
                <c:pt idx="16">
                  <c:v>0.52432910857418857</c:v>
                </c:pt>
                <c:pt idx="17">
                  <c:v>0.52898518116878868</c:v>
                </c:pt>
                <c:pt idx="18">
                  <c:v>0.53416238769519475</c:v>
                </c:pt>
                <c:pt idx="19">
                  <c:v>0.53264624796358429</c:v>
                </c:pt>
                <c:pt idx="20">
                  <c:v>0.52841957684847307</c:v>
                </c:pt>
                <c:pt idx="21">
                  <c:v>0.52202235615510217</c:v>
                </c:pt>
                <c:pt idx="22">
                  <c:v>0.51894258087444056</c:v>
                </c:pt>
                <c:pt idx="23">
                  <c:v>0.51801437107246184</c:v>
                </c:pt>
                <c:pt idx="24">
                  <c:v>0.51561295160009402</c:v>
                </c:pt>
                <c:pt idx="25">
                  <c:v>0.51708301598812767</c:v>
                </c:pt>
                <c:pt idx="26">
                  <c:v>0.51549446059407766</c:v>
                </c:pt>
                <c:pt idx="27">
                  <c:v>0.51547183058048163</c:v>
                </c:pt>
                <c:pt idx="28">
                  <c:v>0.51537303736510776</c:v>
                </c:pt>
                <c:pt idx="29">
                  <c:v>0.51545132218188916</c:v>
                </c:pt>
                <c:pt idx="30">
                  <c:v>0.51551013151504277</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709383936"/>
        <c:axId val="70938511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0938393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709385112"/>
        <c:crosses val="autoZero"/>
        <c:crossBetween val="midCat"/>
        <c:majorUnit val="10000"/>
      </c:valAx>
      <c:valAx>
        <c:axId val="709385112"/>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709383936"/>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709385504"/>
        <c:axId val="7093831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70938550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3152"/>
        <c:crosses val="autoZero"/>
        <c:crossBetween val="midCat"/>
        <c:majorUnit val="10000"/>
      </c:valAx>
      <c:valAx>
        <c:axId val="70938315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70938550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7.5496008354756002E-3</c:v>
                </c:pt>
                <c:pt idx="1">
                  <c:v>1.0036706941418809E-2</c:v>
                </c:pt>
                <c:pt idx="2">
                  <c:v>2.7248052753766475E-3</c:v>
                </c:pt>
                <c:pt idx="3">
                  <c:v>4.584106897181575E-4</c:v>
                </c:pt>
                <c:pt idx="4">
                  <c:v>6.6150636310129148E-5</c:v>
                </c:pt>
                <c:pt idx="5">
                  <c:v>6.8206145465204725E-6</c:v>
                </c:pt>
                <c:pt idx="6">
                  <c:v>6.8612059813464526E-7</c:v>
                </c:pt>
                <c:pt idx="7">
                  <c:v>8.1627568306675817E-6</c:v>
                </c:pt>
                <c:pt idx="8">
                  <c:v>2.5236992119003108E-5</c:v>
                </c:pt>
                <c:pt idx="9">
                  <c:v>4.907015525612543E-5</c:v>
                </c:pt>
                <c:pt idx="10">
                  <c:v>9.0729820282064893E-5</c:v>
                </c:pt>
                <c:pt idx="11">
                  <c:v>1.4118798108170552E-4</c:v>
                </c:pt>
                <c:pt idx="12">
                  <c:v>1.8171397649736099E-4</c:v>
                </c:pt>
                <c:pt idx="13">
                  <c:v>2.0049830953147951E-4</c:v>
                </c:pt>
                <c:pt idx="14">
                  <c:v>1.883782990848578E-4</c:v>
                </c:pt>
                <c:pt idx="15">
                  <c:v>1.5494089049954783E-4</c:v>
                </c:pt>
                <c:pt idx="16">
                  <c:v>1.1161821836680078E-4</c:v>
                </c:pt>
                <c:pt idx="17">
                  <c:v>6.9066644611204061E-5</c:v>
                </c:pt>
                <c:pt idx="18">
                  <c:v>3.8601947005365326E-5</c:v>
                </c:pt>
                <c:pt idx="19">
                  <c:v>2.1492179562717536E-5</c:v>
                </c:pt>
                <c:pt idx="20">
                  <c:v>1.6856985809090442E-5</c:v>
                </c:pt>
                <c:pt idx="21">
                  <c:v>2.5908768499010027E-5</c:v>
                </c:pt>
                <c:pt idx="22">
                  <c:v>5.5818317331333533E-5</c:v>
                </c:pt>
                <c:pt idx="23">
                  <c:v>9.0579869213912274E-5</c:v>
                </c:pt>
                <c:pt idx="24">
                  <c:v>1.0836142213055303E-4</c:v>
                </c:pt>
                <c:pt idx="25">
                  <c:v>1.2181970631500915E-4</c:v>
                </c:pt>
                <c:pt idx="26">
                  <c:v>1.3668079308145776E-4</c:v>
                </c:pt>
                <c:pt idx="27">
                  <c:v>1.1938697300634273E-4</c:v>
                </c:pt>
                <c:pt idx="28">
                  <c:v>1.1544373389031734E-4</c:v>
                </c:pt>
                <c:pt idx="29">
                  <c:v>1.7461255721168425E-4</c:v>
                </c:pt>
                <c:pt idx="30">
                  <c:v>1.2943195745088699E-4</c:v>
                </c:pt>
              </c:numCache>
            </c:numRef>
          </c:yVal>
          <c:smooth val="1"/>
        </c:ser>
        <c:dLbls>
          <c:showLegendKey val="0"/>
          <c:showVal val="0"/>
          <c:showCatName val="0"/>
          <c:showSerName val="0"/>
          <c:showPercent val="0"/>
          <c:showBubbleSize val="0"/>
        </c:dLbls>
        <c:axId val="671925632"/>
        <c:axId val="671925240"/>
      </c:scatterChart>
      <c:valAx>
        <c:axId val="6719256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5240"/>
        <c:crossesAt val="-1.5000000000000005E-3"/>
        <c:crossBetween val="midCat"/>
      </c:valAx>
      <c:valAx>
        <c:axId val="671925240"/>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5632"/>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9449.4265655192376</c:v>
                </c:pt>
                <c:pt idx="1">
                  <c:v>9357.9466205459739</c:v>
                </c:pt>
                <c:pt idx="2">
                  <c:v>9015.6870050661892</c:v>
                </c:pt>
                <c:pt idx="3">
                  <c:v>8799.7180611049407</c:v>
                </c:pt>
                <c:pt idx="4">
                  <c:v>8532.1268107240303</c:v>
                </c:pt>
                <c:pt idx="5">
                  <c:v>8244.2936583778446</c:v>
                </c:pt>
                <c:pt idx="6">
                  <c:v>7958.2841072236188</c:v>
                </c:pt>
                <c:pt idx="7">
                  <c:v>7687.3136337836158</c:v>
                </c:pt>
                <c:pt idx="8">
                  <c:v>7374.5573301326149</c:v>
                </c:pt>
                <c:pt idx="9">
                  <c:v>7005.811450551465</c:v>
                </c:pt>
                <c:pt idx="10">
                  <c:v>6629.4800359729679</c:v>
                </c:pt>
                <c:pt idx="11">
                  <c:v>6310.4809624462496</c:v>
                </c:pt>
                <c:pt idx="12">
                  <c:v>6029.3303649530662</c:v>
                </c:pt>
                <c:pt idx="13">
                  <c:v>5747.5561695603137</c:v>
                </c:pt>
                <c:pt idx="14">
                  <c:v>5466.8115101676676</c:v>
                </c:pt>
                <c:pt idx="15">
                  <c:v>5191.8525176245475</c:v>
                </c:pt>
                <c:pt idx="16">
                  <c:v>4883.4512556550799</c:v>
                </c:pt>
                <c:pt idx="17">
                  <c:v>4501.2289547787923</c:v>
                </c:pt>
                <c:pt idx="18">
                  <c:v>4066.7674072357577</c:v>
                </c:pt>
                <c:pt idx="19">
                  <c:v>3597.4912585472111</c:v>
                </c:pt>
                <c:pt idx="20">
                  <c:v>3102.5240322338755</c:v>
                </c:pt>
                <c:pt idx="21">
                  <c:v>2568.5540014530561</c:v>
                </c:pt>
                <c:pt idx="22">
                  <c:v>2000.8433736398795</c:v>
                </c:pt>
                <c:pt idx="23">
                  <c:v>1467.3712933423078</c:v>
                </c:pt>
                <c:pt idx="24">
                  <c:v>1058.9374050712406</c:v>
                </c:pt>
                <c:pt idx="25">
                  <c:v>791.37811582502013</c:v>
                </c:pt>
                <c:pt idx="26">
                  <c:v>655.88973181856727</c:v>
                </c:pt>
                <c:pt idx="27">
                  <c:v>585.36221447129253</c:v>
                </c:pt>
                <c:pt idx="28">
                  <c:v>550.29313295028589</c:v>
                </c:pt>
                <c:pt idx="29">
                  <c:v>525.85828614279797</c:v>
                </c:pt>
                <c:pt idx="30">
                  <c:v>515.41709145297239</c:v>
                </c:pt>
              </c:numCache>
            </c:numRef>
          </c:yVal>
          <c:smooth val="1"/>
        </c:ser>
        <c:dLbls>
          <c:showLegendKey val="0"/>
          <c:showVal val="0"/>
          <c:showCatName val="0"/>
          <c:showSerName val="0"/>
          <c:showPercent val="0"/>
          <c:showBubbleSize val="0"/>
        </c:dLbls>
        <c:axId val="671926024"/>
        <c:axId val="671922496"/>
      </c:scatterChart>
      <c:valAx>
        <c:axId val="67192602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2496"/>
        <c:crosses val="autoZero"/>
        <c:crossBetween val="midCat"/>
      </c:valAx>
      <c:valAx>
        <c:axId val="671922496"/>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6024"/>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0</c:v>
                </c:pt>
                <c:pt idx="1">
                  <c:v>0</c:v>
                </c:pt>
                <c:pt idx="2">
                  <c:v>0</c:v>
                </c:pt>
                <c:pt idx="3">
                  <c:v>0</c:v>
                </c:pt>
                <c:pt idx="4">
                  <c:v>0</c:v>
                </c:pt>
                <c:pt idx="5">
                  <c:v>0</c:v>
                </c:pt>
                <c:pt idx="6">
                  <c:v>0</c:v>
                </c:pt>
                <c:pt idx="7">
                  <c:v>0</c:v>
                </c:pt>
                <c:pt idx="8">
                  <c:v>0</c:v>
                </c:pt>
                <c:pt idx="9">
                  <c:v>0</c:v>
                </c:pt>
                <c:pt idx="10">
                  <c:v>9.8704968146604293E-4</c:v>
                </c:pt>
                <c:pt idx="11">
                  <c:v>3.0520732651225456E-4</c:v>
                </c:pt>
                <c:pt idx="12">
                  <c:v>6.147161257392213E-4</c:v>
                </c:pt>
                <c:pt idx="13">
                  <c:v>4.1218321991450609E-4</c:v>
                </c:pt>
                <c:pt idx="14">
                  <c:v>5.6016217450791149E-4</c:v>
                </c:pt>
                <c:pt idx="15">
                  <c:v>1.7389877207317668E-3</c:v>
                </c:pt>
                <c:pt idx="16">
                  <c:v>4.9454747090549257E-4</c:v>
                </c:pt>
                <c:pt idx="17">
                  <c:v>2.0501872873887675E-3</c:v>
                </c:pt>
                <c:pt idx="18">
                  <c:v>2.1201787328529713E-4</c:v>
                </c:pt>
                <c:pt idx="19">
                  <c:v>5.5570428564953589E-4</c:v>
                </c:pt>
                <c:pt idx="20">
                  <c:v>4.463925488420257E-3</c:v>
                </c:pt>
                <c:pt idx="21">
                  <c:v>0</c:v>
                </c:pt>
                <c:pt idx="22">
                  <c:v>0</c:v>
                </c:pt>
                <c:pt idx="23">
                  <c:v>0</c:v>
                </c:pt>
                <c:pt idx="24">
                  <c:v>0</c:v>
                </c:pt>
                <c:pt idx="25">
                  <c:v>0</c:v>
                </c:pt>
                <c:pt idx="26">
                  <c:v>0</c:v>
                </c:pt>
                <c:pt idx="27">
                  <c:v>0</c:v>
                </c:pt>
                <c:pt idx="28">
                  <c:v>0</c:v>
                </c:pt>
                <c:pt idx="29">
                  <c:v>0</c:v>
                </c:pt>
                <c:pt idx="30">
                  <c:v>0</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7.5592619798560533E-3</c:v>
                </c:pt>
                <c:pt idx="1">
                  <c:v>9.9571228657807289E-3</c:v>
                </c:pt>
                <c:pt idx="2">
                  <c:v>2.8374233176140444E-3</c:v>
                </c:pt>
                <c:pt idx="3">
                  <c:v>3.6895216440867236E-4</c:v>
                </c:pt>
                <c:pt idx="4">
                  <c:v>1.8685986799363676E-4</c:v>
                </c:pt>
                <c:pt idx="5">
                  <c:v>1.2583108089624472E-4</c:v>
                </c:pt>
                <c:pt idx="6">
                  <c:v>1.3632162362924805E-4</c:v>
                </c:pt>
                <c:pt idx="7">
                  <c:v>1.4954381273696069E-4</c:v>
                </c:pt>
                <c:pt idx="8">
                  <c:v>1.5698522575144911E-4</c:v>
                </c:pt>
                <c:pt idx="9">
                  <c:v>2.6881369009068226E-4</c:v>
                </c:pt>
                <c:pt idx="10">
                  <c:v>1.2696102200302156E-4</c:v>
                </c:pt>
                <c:pt idx="11">
                  <c:v>3.1726628174328329E-4</c:v>
                </c:pt>
                <c:pt idx="12">
                  <c:v>4.5713400375424891E-6</c:v>
                </c:pt>
                <c:pt idx="13">
                  <c:v>3.8466026967717175E-4</c:v>
                </c:pt>
                <c:pt idx="14">
                  <c:v>6.608606357687201E-6</c:v>
                </c:pt>
                <c:pt idx="15">
                  <c:v>3.3968352363734694E-4</c:v>
                </c:pt>
                <c:pt idx="16">
                  <c:v>1.3634800081470467E-4</c:v>
                </c:pt>
                <c:pt idx="17">
                  <c:v>3.6744479293635652E-4</c:v>
                </c:pt>
                <c:pt idx="18">
                  <c:v>3.1995422894943602E-4</c:v>
                </c:pt>
                <c:pt idx="19">
                  <c:v>4.1969809482922632E-4</c:v>
                </c:pt>
                <c:pt idx="20">
                  <c:v>5.2460226981097715E-4</c:v>
                </c:pt>
                <c:pt idx="21">
                  <c:v>5.4922312177909814E-4</c:v>
                </c:pt>
                <c:pt idx="22">
                  <c:v>1.2419438929695578E-3</c:v>
                </c:pt>
                <c:pt idx="23">
                  <c:v>1.1964551516935168E-3</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0</c:v>
                </c:pt>
                <c:pt idx="1">
                  <c:v>0</c:v>
                </c:pt>
                <c:pt idx="2">
                  <c:v>0</c:v>
                </c:pt>
                <c:pt idx="3">
                  <c:v>0</c:v>
                </c:pt>
                <c:pt idx="4">
                  <c:v>0</c:v>
                </c:pt>
                <c:pt idx="5">
                  <c:v>0</c:v>
                </c:pt>
                <c:pt idx="6">
                  <c:v>0</c:v>
                </c:pt>
                <c:pt idx="7">
                  <c:v>0</c:v>
                </c:pt>
                <c:pt idx="8">
                  <c:v>0</c:v>
                </c:pt>
                <c:pt idx="9">
                  <c:v>0</c:v>
                </c:pt>
                <c:pt idx="10">
                  <c:v>8.3565873044568449E-4</c:v>
                </c:pt>
                <c:pt idx="11">
                  <c:v>1.8634791812001384E-3</c:v>
                </c:pt>
                <c:pt idx="12">
                  <c:v>6.7162926969002701E-4</c:v>
                </c:pt>
                <c:pt idx="13">
                  <c:v>2.3665569652219342E-3</c:v>
                </c:pt>
                <c:pt idx="14">
                  <c:v>8.1216617446063758E-4</c:v>
                </c:pt>
                <c:pt idx="15">
                  <c:v>5.6072879590553552E-4</c:v>
                </c:pt>
                <c:pt idx="16">
                  <c:v>4.5018123432866569E-3</c:v>
                </c:pt>
                <c:pt idx="17">
                  <c:v>5.3531746953225413E-3</c:v>
                </c:pt>
                <c:pt idx="18">
                  <c:v>2.837587092855416E-3</c:v>
                </c:pt>
                <c:pt idx="19">
                  <c:v>1.6493870602543946E-3</c:v>
                </c:pt>
                <c:pt idx="20">
                  <c:v>1.41217635665869E-2</c:v>
                </c:pt>
                <c:pt idx="21">
                  <c:v>0</c:v>
                </c:pt>
                <c:pt idx="22">
                  <c:v>0</c:v>
                </c:pt>
                <c:pt idx="23">
                  <c:v>0</c:v>
                </c:pt>
                <c:pt idx="24">
                  <c:v>0</c:v>
                </c:pt>
                <c:pt idx="25">
                  <c:v>0</c:v>
                </c:pt>
                <c:pt idx="26">
                  <c:v>0</c:v>
                </c:pt>
                <c:pt idx="27">
                  <c:v>0</c:v>
                </c:pt>
                <c:pt idx="28">
                  <c:v>0</c:v>
                </c:pt>
                <c:pt idx="29">
                  <c:v>0</c:v>
                </c:pt>
                <c:pt idx="30">
                  <c:v>0</c:v>
                </c:pt>
              </c:numCache>
            </c:numRef>
          </c:yVal>
          <c:smooth val="1"/>
        </c:ser>
        <c:ser>
          <c:idx val="8"/>
          <c:order val="4"/>
          <c:tx>
            <c:v>100°C</c:v>
          </c:tx>
          <c:spPr>
            <a:ln w="19050" cap="rnd">
              <a:solidFill>
                <a:schemeClr val="accent3">
                  <a:lumMod val="60000"/>
                </a:schemeClr>
              </a:solidFill>
              <a:round/>
            </a:ln>
            <a:effectLst/>
          </c:spPr>
          <c:marker>
            <c:symbol val="none"/>
          </c:marker>
          <c:xVal>
            <c:numRef>
              <c:f>'Mastercurve bestimmen'!$B$402:$AF$402</c:f>
              <c:numCache>
                <c:formatCode>0.00E+00</c:formatCode>
                <c:ptCount val="31"/>
              </c:numCache>
            </c:num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0</c:v>
                </c:pt>
                <c:pt idx="1">
                  <c:v>0</c:v>
                </c:pt>
                <c:pt idx="2">
                  <c:v>0</c:v>
                </c:pt>
                <c:pt idx="3">
                  <c:v>0</c:v>
                </c:pt>
                <c:pt idx="4">
                  <c:v>0</c:v>
                </c:pt>
                <c:pt idx="5">
                  <c:v>0</c:v>
                </c:pt>
                <c:pt idx="6">
                  <c:v>0</c:v>
                </c:pt>
                <c:pt idx="7">
                  <c:v>0</c:v>
                </c:pt>
                <c:pt idx="8">
                  <c:v>0</c:v>
                </c:pt>
                <c:pt idx="9">
                  <c:v>0</c:v>
                </c:pt>
                <c:pt idx="10">
                  <c:v>1.5149866321598428E-2</c:v>
                </c:pt>
                <c:pt idx="11">
                  <c:v>4.6572374571270123E-3</c:v>
                </c:pt>
                <c:pt idx="12">
                  <c:v>8.3045244222866577E-3</c:v>
                </c:pt>
                <c:pt idx="13">
                  <c:v>1.9537731362065693E-2</c:v>
                </c:pt>
                <c:pt idx="14">
                  <c:v>2.0609437337813879E-2</c:v>
                </c:pt>
                <c:pt idx="15">
                  <c:v>7.5971837740016201E-3</c:v>
                </c:pt>
                <c:pt idx="16">
                  <c:v>4.6862172625806017E-3</c:v>
                </c:pt>
                <c:pt idx="17">
                  <c:v>3.0701616920523235E-2</c:v>
                </c:pt>
                <c:pt idx="18">
                  <c:v>2.7550632842649709E-2</c:v>
                </c:pt>
                <c:pt idx="19">
                  <c:v>1.9582362587077729E-2</c:v>
                </c:pt>
                <c:pt idx="20">
                  <c:v>1.4047423776827498E-2</c:v>
                </c:pt>
                <c:pt idx="21">
                  <c:v>0</c:v>
                </c:pt>
                <c:pt idx="22">
                  <c:v>0</c:v>
                </c:pt>
                <c:pt idx="23">
                  <c:v>0</c:v>
                </c:pt>
                <c:pt idx="24">
                  <c:v>0</c:v>
                </c:pt>
                <c:pt idx="25">
                  <c:v>0</c:v>
                </c:pt>
                <c:pt idx="26">
                  <c:v>0</c:v>
                </c:pt>
                <c:pt idx="27">
                  <c:v>0</c:v>
                </c:pt>
                <c:pt idx="28">
                  <c:v>0</c:v>
                </c:pt>
                <c:pt idx="29">
                  <c:v>0</c:v>
                </c:pt>
                <c:pt idx="30">
                  <c:v>0</c:v>
                </c:pt>
              </c:numCache>
            </c:numRef>
          </c:yVal>
          <c:smooth val="1"/>
        </c:ser>
        <c:dLbls>
          <c:showLegendKey val="0"/>
          <c:showVal val="0"/>
          <c:showCatName val="0"/>
          <c:showSerName val="0"/>
          <c:showPercent val="0"/>
          <c:showBubbleSize val="0"/>
        </c:dLbls>
        <c:axId val="671924456"/>
        <c:axId val="680488368"/>
      </c:scatterChart>
      <c:valAx>
        <c:axId val="67192445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0488368"/>
        <c:crossesAt val="1.0000000000000005E-9"/>
        <c:crossBetween val="midCat"/>
      </c:valAx>
      <c:valAx>
        <c:axId val="68048836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1924456"/>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-8.182560759440511</c:v>
                </c:pt>
                <c:pt idx="1">
                  <c:v>-4.7521073951098307</c:v>
                </c:pt>
                <c:pt idx="2">
                  <c:v>-2.2047123795352914</c:v>
                </c:pt>
                <c:pt idx="3">
                  <c:v>0</c:v>
                </c:pt>
                <c:pt idx="4">
                  <c:v>2.8005690794340423</c:v>
                </c:pt>
                <c:pt idx="5">
                  <c:v>8.6264511517362088</c:v>
                </c:pt>
                <c:pt idx="6">
                  <c:v>14.295562173308721</c:v>
                </c:pt>
              </c:numCache>
            </c:numRef>
          </c:yVal>
          <c:smooth val="0"/>
        </c:ser>
        <c:dLbls>
          <c:showLegendKey val="0"/>
          <c:showVal val="0"/>
          <c:showCatName val="0"/>
          <c:showSerName val="0"/>
          <c:showPercent val="0"/>
          <c:showBubbleSize val="0"/>
        </c:dLbls>
        <c:axId val="680487192"/>
        <c:axId val="680487976"/>
      </c:scatterChart>
      <c:valAx>
        <c:axId val="6804871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0487976"/>
        <c:crossesAt val="-100"/>
        <c:crossBetween val="midCat"/>
      </c:valAx>
      <c:valAx>
        <c:axId val="6804879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0487192"/>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ser>
        <c:dLbls>
          <c:showLegendKey val="0"/>
          <c:showVal val="0"/>
          <c:showCatName val="0"/>
          <c:showSerName val="0"/>
          <c:showPercent val="0"/>
          <c:showBubbleSize val="0"/>
        </c:dLbls>
        <c:axId val="680486408"/>
        <c:axId val="680485232"/>
      </c:scatterChart>
      <c:valAx>
        <c:axId val="68048640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0485232"/>
        <c:crosses val="autoZero"/>
        <c:crossBetween val="midCat"/>
      </c:valAx>
      <c:valAx>
        <c:axId val="680485232"/>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80486408"/>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-8.182560759440511</c:v>
                </c:pt>
                <c:pt idx="1">
                  <c:v>-8.1227078811179076</c:v>
                </c:pt>
                <c:pt idx="2">
                  <c:v>-8.0627577853251911</c:v>
                </c:pt>
                <c:pt idx="3">
                  <c:v>-8.0026132545922426</c:v>
                </c:pt>
                <c:pt idx="4">
                  <c:v>-7.942177071448949</c:v>
                </c:pt>
                <c:pt idx="5">
                  <c:v>-7.8813520184251953</c:v>
                </c:pt>
                <c:pt idx="6">
                  <c:v>-7.8200408780508663</c:v>
                </c:pt>
                <c:pt idx="7">
                  <c:v>-7.758146432855848</c:v>
                </c:pt>
                <c:pt idx="8">
                  <c:v>-7.6955714653700227</c:v>
                </c:pt>
                <c:pt idx="9">
                  <c:v>-7.632218758123277</c:v>
                </c:pt>
                <c:pt idx="10">
                  <c:v>-7.5679910936454968</c:v>
                </c:pt>
                <c:pt idx="11">
                  <c:v>-7.5027912544665654</c:v>
                </c:pt>
                <c:pt idx="12">
                  <c:v>-7.4365220231163685</c:v>
                </c:pt>
                <c:pt idx="13">
                  <c:v>-7.3690861821247902</c:v>
                </c:pt>
                <c:pt idx="14">
                  <c:v>-7.3003865140217172</c:v>
                </c:pt>
                <c:pt idx="15">
                  <c:v>-7.2303258013370328</c:v>
                </c:pt>
                <c:pt idx="16">
                  <c:v>-7.1588068266006228</c:v>
                </c:pt>
                <c:pt idx="17">
                  <c:v>-7.0857323723423704</c:v>
                </c:pt>
                <c:pt idx="18">
                  <c:v>-7.0110052210921641</c:v>
                </c:pt>
                <c:pt idx="19">
                  <c:v>-6.9345281553798852</c:v>
                </c:pt>
                <c:pt idx="20">
                  <c:v>-6.8562039577354206</c:v>
                </c:pt>
                <c:pt idx="21">
                  <c:v>-6.7759354106886533</c:v>
                </c:pt>
                <c:pt idx="22">
                  <c:v>-6.693625296769472</c:v>
                </c:pt>
                <c:pt idx="23">
                  <c:v>-6.6091763985077581</c:v>
                </c:pt>
                <c:pt idx="24">
                  <c:v>-6.5224914984333981</c:v>
                </c:pt>
                <c:pt idx="25">
                  <c:v>-6.4334733790762764</c:v>
                </c:pt>
                <c:pt idx="26">
                  <c:v>-6.3420248229662786</c:v>
                </c:pt>
                <c:pt idx="27">
                  <c:v>-6.2480486126332888</c:v>
                </c:pt>
                <c:pt idx="28">
                  <c:v>-6.1514475306071921</c:v>
                </c:pt>
                <c:pt idx="29">
                  <c:v>-6.0521243594178742</c:v>
                </c:pt>
                <c:pt idx="30">
                  <c:v>-5.9499818815952192</c:v>
                </c:pt>
                <c:pt idx="31">
                  <c:v>-5.8449228796691113</c:v>
                </c:pt>
                <c:pt idx="32">
                  <c:v>-5.7368501361694388</c:v>
                </c:pt>
                <c:pt idx="33">
                  <c:v>-5.6256664336260833</c:v>
                </c:pt>
                <c:pt idx="34">
                  <c:v>-5.5112745545689297</c:v>
                </c:pt>
                <c:pt idx="35">
                  <c:v>-5.3935772815278646</c:v>
                </c:pt>
                <c:pt idx="36">
                  <c:v>-5.2724773970327732</c:v>
                </c:pt>
                <c:pt idx="37">
                  <c:v>-5.1478776836135376</c:v>
                </c:pt>
                <c:pt idx="38">
                  <c:v>-5.0196809238000464</c:v>
                </c:pt>
                <c:pt idx="39">
                  <c:v>-4.8877899001221827</c:v>
                </c:pt>
                <c:pt idx="40">
                  <c:v>-4.7521073951098316</c:v>
                </c:pt>
                <c:pt idx="41">
                  <c:v>-4.672800011210156</c:v>
                </c:pt>
                <c:pt idx="42">
                  <c:v>-4.589835428207147</c:v>
                </c:pt>
                <c:pt idx="43">
                  <c:v>-4.5034451458020719</c:v>
                </c:pt>
                <c:pt idx="44">
                  <c:v>-4.4138606636961999</c:v>
                </c:pt>
                <c:pt idx="45">
                  <c:v>-4.3213134815907992</c:v>
                </c:pt>
                <c:pt idx="46">
                  <c:v>-4.2260350991871398</c:v>
                </c:pt>
                <c:pt idx="47">
                  <c:v>-4.1282570161864873</c:v>
                </c:pt>
                <c:pt idx="48">
                  <c:v>-4.0282107322901135</c:v>
                </c:pt>
                <c:pt idx="49">
                  <c:v>-3.9261277471992839</c:v>
                </c:pt>
                <c:pt idx="50">
                  <c:v>-3.8222395606152686</c:v>
                </c:pt>
                <c:pt idx="51">
                  <c:v>-3.7167776722393358</c:v>
                </c:pt>
                <c:pt idx="52">
                  <c:v>-3.6099735817727536</c:v>
                </c:pt>
                <c:pt idx="53">
                  <c:v>-3.5020587889167913</c:v>
                </c:pt>
                <c:pt idx="54">
                  <c:v>-3.3932647933727171</c:v>
                </c:pt>
                <c:pt idx="55">
                  <c:v>-3.2838230948417984</c:v>
                </c:pt>
                <c:pt idx="56">
                  <c:v>-3.1739651930253054</c:v>
                </c:pt>
                <c:pt idx="57">
                  <c:v>-3.0639225876245062</c:v>
                </c:pt>
                <c:pt idx="58">
                  <c:v>-2.9539267783406684</c:v>
                </c:pt>
                <c:pt idx="59">
                  <c:v>-2.8442092648750608</c:v>
                </c:pt>
                <c:pt idx="60">
                  <c:v>-2.7350015469289524</c:v>
                </c:pt>
                <c:pt idx="61">
                  <c:v>-2.6265351242036115</c:v>
                </c:pt>
                <c:pt idx="62">
                  <c:v>-2.5190414964003063</c:v>
                </c:pt>
                <c:pt idx="63">
                  <c:v>-2.4127521632203055</c:v>
                </c:pt>
                <c:pt idx="64">
                  <c:v>-2.3078986243648778</c:v>
                </c:pt>
                <c:pt idx="65">
                  <c:v>-2.204712379535291</c:v>
                </c:pt>
                <c:pt idx="66">
                  <c:v>-2.1033709083724363</c:v>
                </c:pt>
                <c:pt idx="67">
                  <c:v>-2.0038356102756936</c:v>
                </c:pt>
                <c:pt idx="68">
                  <c:v>-1.9060138645840625</c:v>
                </c:pt>
                <c:pt idx="69">
                  <c:v>-1.8098130506365449</c:v>
                </c:pt>
                <c:pt idx="70">
                  <c:v>-1.715140547772142</c:v>
                </c:pt>
                <c:pt idx="71">
                  <c:v>-1.6219037353298551</c:v>
                </c:pt>
                <c:pt idx="72">
                  <c:v>-1.530009992648685</c:v>
                </c:pt>
                <c:pt idx="73">
                  <c:v>-1.439366699067633</c:v>
                </c:pt>
                <c:pt idx="74">
                  <c:v>-1.3498812339257007</c:v>
                </c:pt>
                <c:pt idx="75">
                  <c:v>-1.2614609765618892</c:v>
                </c:pt>
                <c:pt idx="76">
                  <c:v>-1.1740133063151992</c:v>
                </c:pt>
                <c:pt idx="77">
                  <c:v>-1.0874456025246324</c:v>
                </c:pt>
                <c:pt idx="78">
                  <c:v>-1.0016652445291896</c:v>
                </c:pt>
                <c:pt idx="79">
                  <c:v>-0.9165796116678725</c:v>
                </c:pt>
                <c:pt idx="80">
                  <c:v>-0.83209608327968165</c:v>
                </c:pt>
                <c:pt idx="81">
                  <c:v>-0.74812203870361882</c:v>
                </c:pt>
                <c:pt idx="82">
                  <c:v>-0.66456485727868486</c:v>
                </c:pt>
                <c:pt idx="83">
                  <c:v>-0.58133191834388109</c:v>
                </c:pt>
                <c:pt idx="84">
                  <c:v>-0.49833060123820871</c:v>
                </c:pt>
                <c:pt idx="85">
                  <c:v>-0.41546828530066898</c:v>
                </c:pt>
                <c:pt idx="86">
                  <c:v>-0.33265234987026288</c:v>
                </c:pt>
                <c:pt idx="87">
                  <c:v>-0.24979017428599173</c:v>
                </c:pt>
                <c:pt idx="88">
                  <c:v>-0.16678913788685679</c:v>
                </c:pt>
                <c:pt idx="89">
                  <c:v>-8.3556620011859123E-2</c:v>
                </c:pt>
                <c:pt idx="90">
                  <c:v>-6.9388939039072284E-18</c:v>
                </c:pt>
                <c:pt idx="91">
                  <c:v>8.3961630384048441E-2</c:v>
                </c:pt>
                <c:pt idx="92">
                  <c:v>0.16836232967293008</c:v>
                </c:pt>
                <c:pt idx="93">
                  <c:v>0.25322444397361787</c:v>
                </c:pt>
                <c:pt idx="94">
                  <c:v>0.3385703193930848</c:v>
                </c:pt>
                <c:pt idx="95">
                  <c:v>0.42442230203830372</c:v>
                </c:pt>
                <c:pt idx="96">
                  <c:v>0.51080273801624765</c:v>
                </c:pt>
                <c:pt idx="97">
                  <c:v>0.59773397343388956</c:v>
                </c:pt>
                <c:pt idx="98">
                  <c:v>0.68523835439820224</c:v>
                </c:pt>
                <c:pt idx="99">
                  <c:v>0.77333822701615873</c:v>
                </c:pt>
                <c:pt idx="100">
                  <c:v>0.86205593739473207</c:v>
                </c:pt>
                <c:pt idx="101">
                  <c:v>0.95141383164089499</c:v>
                </c:pt>
                <c:pt idx="102">
                  <c:v>1.0414342558616208</c:v>
                </c:pt>
                <c:pt idx="103">
                  <c:v>1.1321395561638818</c:v>
                </c:pt>
                <c:pt idx="104">
                  <c:v>1.2235520786546514</c:v>
                </c:pt>
                <c:pt idx="105">
                  <c:v>1.3156941694409026</c:v>
                </c:pt>
                <c:pt idx="106">
                  <c:v>1.4085881746296081</c:v>
                </c:pt>
                <c:pt idx="107">
                  <c:v>1.5022564403277407</c:v>
                </c:pt>
                <c:pt idx="108">
                  <c:v>1.5967213126422739</c:v>
                </c:pt>
                <c:pt idx="109">
                  <c:v>1.6920051376801801</c:v>
                </c:pt>
                <c:pt idx="110">
                  <c:v>1.7881302615484325</c:v>
                </c:pt>
                <c:pt idx="111">
                  <c:v>1.8851190303540042</c:v>
                </c:pt>
                <c:pt idx="112">
                  <c:v>1.9829937902038677</c:v>
                </c:pt>
                <c:pt idx="113">
                  <c:v>2.0817768872049962</c:v>
                </c:pt>
                <c:pt idx="114">
                  <c:v>2.1814906674643626</c:v>
                </c:pt>
                <c:pt idx="115">
                  <c:v>2.2821574770889397</c:v>
                </c:pt>
                <c:pt idx="116">
                  <c:v>2.3837996621857012</c:v>
                </c:pt>
                <c:pt idx="117">
                  <c:v>2.4864395688616185</c:v>
                </c:pt>
                <c:pt idx="118">
                  <c:v>2.5900995432236664</c:v>
                </c:pt>
                <c:pt idx="119">
                  <c:v>2.6948019313788163</c:v>
                </c:pt>
                <c:pt idx="120">
                  <c:v>2.8005690794340423</c:v>
                </c:pt>
                <c:pt idx="121">
                  <c:v>2.9074189657793195</c:v>
                </c:pt>
                <c:pt idx="122">
                  <c:v>3.0153520979366379</c:v>
                </c:pt>
                <c:pt idx="123">
                  <c:v>3.1243646157109906</c:v>
                </c:pt>
                <c:pt idx="124">
                  <c:v>3.2344526589073683</c:v>
                </c:pt>
                <c:pt idx="125">
                  <c:v>3.3456123673307654</c:v>
                </c:pt>
                <c:pt idx="126">
                  <c:v>3.4578398807861732</c:v>
                </c:pt>
                <c:pt idx="127">
                  <c:v>3.571131339078585</c:v>
                </c:pt>
                <c:pt idx="128">
                  <c:v>3.6854828820129928</c:v>
                </c:pt>
                <c:pt idx="129">
                  <c:v>3.8008906493943888</c:v>
                </c:pt>
                <c:pt idx="130">
                  <c:v>3.9173507810277672</c:v>
                </c:pt>
                <c:pt idx="131">
                  <c:v>4.0348594167181187</c:v>
                </c:pt>
                <c:pt idx="132">
                  <c:v>4.1534126962704372</c:v>
                </c:pt>
                <c:pt idx="133">
                  <c:v>4.2730067594897143</c:v>
                </c:pt>
                <c:pt idx="134">
                  <c:v>4.3936377461809428</c:v>
                </c:pt>
                <c:pt idx="135">
                  <c:v>4.5153017961491155</c:v>
                </c:pt>
                <c:pt idx="136">
                  <c:v>4.6379950491992243</c:v>
                </c:pt>
                <c:pt idx="137">
                  <c:v>4.7617136451362621</c:v>
                </c:pt>
                <c:pt idx="138">
                  <c:v>4.8864537237652215</c:v>
                </c:pt>
                <c:pt idx="139">
                  <c:v>5.0122114248910954</c:v>
                </c:pt>
                <c:pt idx="140">
                  <c:v>5.1389828883188757</c:v>
                </c:pt>
                <c:pt idx="141">
                  <c:v>5.2667642538535553</c:v>
                </c:pt>
                <c:pt idx="142">
                  <c:v>5.3955516613001269</c:v>
                </c:pt>
                <c:pt idx="143">
                  <c:v>5.5253412504635815</c:v>
                </c:pt>
                <c:pt idx="144">
                  <c:v>5.6561291611489137</c:v>
                </c:pt>
                <c:pt idx="145">
                  <c:v>5.7879115331611155</c:v>
                </c:pt>
                <c:pt idx="146">
                  <c:v>5.9206845063051787</c:v>
                </c:pt>
                <c:pt idx="147">
                  <c:v>6.0544442203860971</c:v>
                </c:pt>
                <c:pt idx="148">
                  <c:v>6.1891868152088625</c:v>
                </c:pt>
                <c:pt idx="149">
                  <c:v>6.324908430578466</c:v>
                </c:pt>
                <c:pt idx="150">
                  <c:v>6.461605206299903</c:v>
                </c:pt>
                <c:pt idx="151">
                  <c:v>6.5992732821781637</c:v>
                </c:pt>
                <c:pt idx="152">
                  <c:v>6.7379087980182408</c:v>
                </c:pt>
                <c:pt idx="153">
                  <c:v>6.8775078936251282</c:v>
                </c:pt>
                <c:pt idx="154">
                  <c:v>7.0180667088038176</c:v>
                </c:pt>
                <c:pt idx="155">
                  <c:v>7.1595813833593018</c:v>
                </c:pt>
                <c:pt idx="156">
                  <c:v>7.3020480570965738</c:v>
                </c:pt>
                <c:pt idx="157">
                  <c:v>7.4454628698206244</c:v>
                </c:pt>
                <c:pt idx="158">
                  <c:v>7.5898219613364484</c:v>
                </c:pt>
                <c:pt idx="159">
                  <c:v>7.7351214714490366</c:v>
                </c:pt>
                <c:pt idx="160">
                  <c:v>7.881357539963382</c:v>
                </c:pt>
                <c:pt idx="161">
                  <c:v>8.0285263066844781</c:v>
                </c:pt>
                <c:pt idx="162">
                  <c:v>8.176623911417316</c:v>
                </c:pt>
                <c:pt idx="163">
                  <c:v>8.3256464939668877</c:v>
                </c:pt>
                <c:pt idx="164">
                  <c:v>8.4755901941381886</c:v>
                </c:pt>
                <c:pt idx="165">
                  <c:v>8.6264511517362088</c:v>
                </c:pt>
                <c:pt idx="166">
                  <c:v>8.7782218004211501</c:v>
                </c:pt>
                <c:pt idx="167">
                  <c:v>8.9308797492740375</c:v>
                </c:pt>
                <c:pt idx="168">
                  <c:v>9.084398901231113</c:v>
                </c:pt>
                <c:pt idx="169">
                  <c:v>9.2387531592286134</c:v>
                </c:pt>
                <c:pt idx="170">
                  <c:v>9.3939164262027699</c:v>
                </c:pt>
                <c:pt idx="171">
                  <c:v>9.5498626050898245</c:v>
                </c:pt>
                <c:pt idx="172">
                  <c:v>9.7065655988260122</c:v>
                </c:pt>
                <c:pt idx="173">
                  <c:v>9.8639993103475714</c:v>
                </c:pt>
                <c:pt idx="174">
                  <c:v>10.022137642590737</c:v>
                </c:pt>
                <c:pt idx="175">
                  <c:v>10.180954498491744</c:v>
                </c:pt>
                <c:pt idx="176">
                  <c:v>10.340423780986834</c:v>
                </c:pt>
                <c:pt idx="177">
                  <c:v>10.500519393012238</c:v>
                </c:pt>
                <c:pt idx="178">
                  <c:v>10.661215237504198</c:v>
                </c:pt>
                <c:pt idx="179">
                  <c:v>10.822485217398949</c:v>
                </c:pt>
                <c:pt idx="180">
                  <c:v>10.984303235632726</c:v>
                </c:pt>
                <c:pt idx="181">
                  <c:v>11.14664319514177</c:v>
                </c:pt>
                <c:pt idx="182">
                  <c:v>11.309478998862314</c:v>
                </c:pt>
                <c:pt idx="183">
                  <c:v>11.472784549730594</c:v>
                </c:pt>
                <c:pt idx="184">
                  <c:v>11.636533750682851</c:v>
                </c:pt>
                <c:pt idx="185">
                  <c:v>11.800700504655319</c:v>
                </c:pt>
                <c:pt idx="186">
                  <c:v>11.965258714584234</c:v>
                </c:pt>
                <c:pt idx="187">
                  <c:v>12.130182283405837</c:v>
                </c:pt>
                <c:pt idx="188">
                  <c:v>12.295445114056358</c:v>
                </c:pt>
                <c:pt idx="189">
                  <c:v>12.461021109472039</c:v>
                </c:pt>
                <c:pt idx="190">
                  <c:v>12.626884172589115</c:v>
                </c:pt>
                <c:pt idx="191">
                  <c:v>12.793008206343824</c:v>
                </c:pt>
                <c:pt idx="192">
                  <c:v>12.959367113672402</c:v>
                </c:pt>
                <c:pt idx="193">
                  <c:v>13.125934797511086</c:v>
                </c:pt>
                <c:pt idx="194">
                  <c:v>13.292685160796111</c:v>
                </c:pt>
                <c:pt idx="195">
                  <c:v>13.459592106463717</c:v>
                </c:pt>
                <c:pt idx="196">
                  <c:v>13.626629537450137</c:v>
                </c:pt>
                <c:pt idx="197">
                  <c:v>13.793771356691613</c:v>
                </c:pt>
                <c:pt idx="198">
                  <c:v>13.960991467124376</c:v>
                </c:pt>
                <c:pt idx="199">
                  <c:v>14.128263771684667</c:v>
                </c:pt>
                <c:pt idx="200">
                  <c:v>14.295562173308721</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-8.182560759440511</c:v>
                </c:pt>
                <c:pt idx="1">
                  <c:v>-4.7521073951098307</c:v>
                </c:pt>
                <c:pt idx="2">
                  <c:v>-2.2047123795352914</c:v>
                </c:pt>
                <c:pt idx="3">
                  <c:v>0</c:v>
                </c:pt>
                <c:pt idx="4">
                  <c:v>2.8005690794340423</c:v>
                </c:pt>
                <c:pt idx="5">
                  <c:v>8.6264511517362088</c:v>
                </c:pt>
                <c:pt idx="6">
                  <c:v>14.295562173308721</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-90</c:v>
                </c:pt>
                <c:pt idx="1">
                  <c:v>-89</c:v>
                </c:pt>
                <c:pt idx="2">
                  <c:v>-88</c:v>
                </c:pt>
                <c:pt idx="3">
                  <c:v>-87</c:v>
                </c:pt>
                <c:pt idx="4">
                  <c:v>-86</c:v>
                </c:pt>
                <c:pt idx="5">
                  <c:v>-85</c:v>
                </c:pt>
                <c:pt idx="6">
                  <c:v>-84</c:v>
                </c:pt>
                <c:pt idx="7">
                  <c:v>-83</c:v>
                </c:pt>
                <c:pt idx="8">
                  <c:v>-82</c:v>
                </c:pt>
                <c:pt idx="9">
                  <c:v>-81</c:v>
                </c:pt>
                <c:pt idx="10">
                  <c:v>-80</c:v>
                </c:pt>
                <c:pt idx="11">
                  <c:v>-79</c:v>
                </c:pt>
                <c:pt idx="12">
                  <c:v>-78</c:v>
                </c:pt>
                <c:pt idx="13">
                  <c:v>-77</c:v>
                </c:pt>
                <c:pt idx="14">
                  <c:v>-76</c:v>
                </c:pt>
                <c:pt idx="15">
                  <c:v>-75</c:v>
                </c:pt>
                <c:pt idx="16">
                  <c:v>-74</c:v>
                </c:pt>
                <c:pt idx="17">
                  <c:v>-73</c:v>
                </c:pt>
                <c:pt idx="18">
                  <c:v>-72</c:v>
                </c:pt>
                <c:pt idx="19">
                  <c:v>-71</c:v>
                </c:pt>
                <c:pt idx="20">
                  <c:v>-70</c:v>
                </c:pt>
                <c:pt idx="21">
                  <c:v>-69</c:v>
                </c:pt>
                <c:pt idx="22">
                  <c:v>-68</c:v>
                </c:pt>
                <c:pt idx="23">
                  <c:v>-67</c:v>
                </c:pt>
                <c:pt idx="24">
                  <c:v>-66</c:v>
                </c:pt>
                <c:pt idx="25">
                  <c:v>-65</c:v>
                </c:pt>
                <c:pt idx="26">
                  <c:v>-64</c:v>
                </c:pt>
                <c:pt idx="27">
                  <c:v>-63</c:v>
                </c:pt>
                <c:pt idx="28">
                  <c:v>-62</c:v>
                </c:pt>
                <c:pt idx="29">
                  <c:v>-61</c:v>
                </c:pt>
                <c:pt idx="30">
                  <c:v>-60</c:v>
                </c:pt>
                <c:pt idx="31">
                  <c:v>-59</c:v>
                </c:pt>
                <c:pt idx="32">
                  <c:v>-58</c:v>
                </c:pt>
                <c:pt idx="33">
                  <c:v>-57</c:v>
                </c:pt>
                <c:pt idx="34">
                  <c:v>-56</c:v>
                </c:pt>
                <c:pt idx="35">
                  <c:v>-55</c:v>
                </c:pt>
                <c:pt idx="36">
                  <c:v>-54</c:v>
                </c:pt>
                <c:pt idx="37">
                  <c:v>-53</c:v>
                </c:pt>
                <c:pt idx="38">
                  <c:v>-52</c:v>
                </c:pt>
                <c:pt idx="39">
                  <c:v>-51</c:v>
                </c:pt>
                <c:pt idx="40">
                  <c:v>-50</c:v>
                </c:pt>
                <c:pt idx="41">
                  <c:v>-49</c:v>
                </c:pt>
                <c:pt idx="42">
                  <c:v>-48</c:v>
                </c:pt>
                <c:pt idx="43">
                  <c:v>-47</c:v>
                </c:pt>
                <c:pt idx="44">
                  <c:v>-46</c:v>
                </c:pt>
                <c:pt idx="45">
                  <c:v>-45</c:v>
                </c:pt>
                <c:pt idx="46">
                  <c:v>-44</c:v>
                </c:pt>
                <c:pt idx="47">
                  <c:v>-43</c:v>
                </c:pt>
                <c:pt idx="48">
                  <c:v>-42</c:v>
                </c:pt>
                <c:pt idx="49">
                  <c:v>-41</c:v>
                </c:pt>
                <c:pt idx="50">
                  <c:v>-40</c:v>
                </c:pt>
                <c:pt idx="51">
                  <c:v>-39</c:v>
                </c:pt>
                <c:pt idx="52">
                  <c:v>-38</c:v>
                </c:pt>
                <c:pt idx="53">
                  <c:v>-37</c:v>
                </c:pt>
                <c:pt idx="54">
                  <c:v>-36</c:v>
                </c:pt>
                <c:pt idx="55">
                  <c:v>-35</c:v>
                </c:pt>
                <c:pt idx="56">
                  <c:v>-34</c:v>
                </c:pt>
                <c:pt idx="57">
                  <c:v>-33</c:v>
                </c:pt>
                <c:pt idx="58">
                  <c:v>-32</c:v>
                </c:pt>
                <c:pt idx="59">
                  <c:v>-31</c:v>
                </c:pt>
                <c:pt idx="60">
                  <c:v>-30</c:v>
                </c:pt>
                <c:pt idx="61">
                  <c:v>-29</c:v>
                </c:pt>
                <c:pt idx="62">
                  <c:v>-28</c:v>
                </c:pt>
                <c:pt idx="63">
                  <c:v>-27</c:v>
                </c:pt>
                <c:pt idx="64">
                  <c:v>-26</c:v>
                </c:pt>
                <c:pt idx="65">
                  <c:v>-25</c:v>
                </c:pt>
                <c:pt idx="66">
                  <c:v>-24</c:v>
                </c:pt>
                <c:pt idx="67">
                  <c:v>-23</c:v>
                </c:pt>
                <c:pt idx="68">
                  <c:v>-22</c:v>
                </c:pt>
                <c:pt idx="69">
                  <c:v>-21</c:v>
                </c:pt>
                <c:pt idx="70">
                  <c:v>-20</c:v>
                </c:pt>
                <c:pt idx="71">
                  <c:v>-19</c:v>
                </c:pt>
                <c:pt idx="72">
                  <c:v>-18</c:v>
                </c:pt>
                <c:pt idx="73">
                  <c:v>-17</c:v>
                </c:pt>
                <c:pt idx="74">
                  <c:v>-16</c:v>
                </c:pt>
                <c:pt idx="75">
                  <c:v>-15</c:v>
                </c:pt>
                <c:pt idx="76">
                  <c:v>-14</c:v>
                </c:pt>
                <c:pt idx="77">
                  <c:v>-13</c:v>
                </c:pt>
                <c:pt idx="78">
                  <c:v>-12</c:v>
                </c:pt>
                <c:pt idx="79">
                  <c:v>-11</c:v>
                </c:pt>
                <c:pt idx="80">
                  <c:v>-10</c:v>
                </c:pt>
                <c:pt idx="81">
                  <c:v>-9</c:v>
                </c:pt>
                <c:pt idx="82">
                  <c:v>-8</c:v>
                </c:pt>
                <c:pt idx="83">
                  <c:v>-7</c:v>
                </c:pt>
                <c:pt idx="84">
                  <c:v>-6</c:v>
                </c:pt>
                <c:pt idx="85">
                  <c:v>-5</c:v>
                </c:pt>
                <c:pt idx="86">
                  <c:v>-4</c:v>
                </c:pt>
                <c:pt idx="87">
                  <c:v>-3</c:v>
                </c:pt>
                <c:pt idx="88">
                  <c:v>-2</c:v>
                </c:pt>
                <c:pt idx="89">
                  <c:v>-1</c:v>
                </c:pt>
                <c:pt idx="90">
                  <c:v>0</c:v>
                </c:pt>
                <c:pt idx="91">
                  <c:v>1</c:v>
                </c:pt>
                <c:pt idx="92">
                  <c:v>2</c:v>
                </c:pt>
                <c:pt idx="93">
                  <c:v>3</c:v>
                </c:pt>
                <c:pt idx="94">
                  <c:v>4</c:v>
                </c:pt>
                <c:pt idx="95">
                  <c:v>5</c:v>
                </c:pt>
                <c:pt idx="96">
                  <c:v>6</c:v>
                </c:pt>
                <c:pt idx="97">
                  <c:v>7</c:v>
                </c:pt>
                <c:pt idx="98">
                  <c:v>8</c:v>
                </c:pt>
                <c:pt idx="99">
                  <c:v>9</c:v>
                </c:pt>
                <c:pt idx="100">
                  <c:v>10</c:v>
                </c:pt>
                <c:pt idx="101">
                  <c:v>11</c:v>
                </c:pt>
                <c:pt idx="102">
                  <c:v>12</c:v>
                </c:pt>
                <c:pt idx="103">
                  <c:v>13</c:v>
                </c:pt>
                <c:pt idx="104">
                  <c:v>14</c:v>
                </c:pt>
                <c:pt idx="105">
                  <c:v>15</c:v>
                </c:pt>
                <c:pt idx="106">
                  <c:v>16</c:v>
                </c:pt>
                <c:pt idx="107">
                  <c:v>17</c:v>
                </c:pt>
                <c:pt idx="108">
                  <c:v>18</c:v>
                </c:pt>
                <c:pt idx="109">
                  <c:v>19</c:v>
                </c:pt>
                <c:pt idx="110">
                  <c:v>20</c:v>
                </c:pt>
                <c:pt idx="111">
                  <c:v>21</c:v>
                </c:pt>
                <c:pt idx="112">
                  <c:v>22</c:v>
                </c:pt>
                <c:pt idx="113">
                  <c:v>23</c:v>
                </c:pt>
                <c:pt idx="114">
                  <c:v>24</c:v>
                </c:pt>
                <c:pt idx="115">
                  <c:v>25</c:v>
                </c:pt>
                <c:pt idx="116">
                  <c:v>26</c:v>
                </c:pt>
                <c:pt idx="117">
                  <c:v>27</c:v>
                </c:pt>
                <c:pt idx="118">
                  <c:v>28</c:v>
                </c:pt>
                <c:pt idx="119">
                  <c:v>29</c:v>
                </c:pt>
                <c:pt idx="120">
                  <c:v>30</c:v>
                </c:pt>
                <c:pt idx="121">
                  <c:v>31</c:v>
                </c:pt>
                <c:pt idx="122">
                  <c:v>32</c:v>
                </c:pt>
                <c:pt idx="123">
                  <c:v>33</c:v>
                </c:pt>
                <c:pt idx="124">
                  <c:v>34</c:v>
                </c:pt>
                <c:pt idx="125">
                  <c:v>35</c:v>
                </c:pt>
                <c:pt idx="126">
                  <c:v>36</c:v>
                </c:pt>
                <c:pt idx="127">
                  <c:v>37</c:v>
                </c:pt>
                <c:pt idx="128">
                  <c:v>38</c:v>
                </c:pt>
                <c:pt idx="129">
                  <c:v>39</c:v>
                </c:pt>
                <c:pt idx="130">
                  <c:v>40</c:v>
                </c:pt>
                <c:pt idx="131">
                  <c:v>41</c:v>
                </c:pt>
                <c:pt idx="132">
                  <c:v>42</c:v>
                </c:pt>
                <c:pt idx="133">
                  <c:v>43</c:v>
                </c:pt>
                <c:pt idx="134">
                  <c:v>44</c:v>
                </c:pt>
                <c:pt idx="135">
                  <c:v>45</c:v>
                </c:pt>
                <c:pt idx="136">
                  <c:v>46</c:v>
                </c:pt>
                <c:pt idx="137">
                  <c:v>47</c:v>
                </c:pt>
                <c:pt idx="138">
                  <c:v>48</c:v>
                </c:pt>
                <c:pt idx="139">
                  <c:v>49</c:v>
                </c:pt>
                <c:pt idx="140">
                  <c:v>50</c:v>
                </c:pt>
                <c:pt idx="141">
                  <c:v>51</c:v>
                </c:pt>
                <c:pt idx="142">
                  <c:v>52</c:v>
                </c:pt>
                <c:pt idx="143">
                  <c:v>53</c:v>
                </c:pt>
                <c:pt idx="144">
                  <c:v>54</c:v>
                </c:pt>
                <c:pt idx="145">
                  <c:v>55</c:v>
                </c:pt>
                <c:pt idx="146">
                  <c:v>56</c:v>
                </c:pt>
                <c:pt idx="147">
                  <c:v>57</c:v>
                </c:pt>
                <c:pt idx="148">
                  <c:v>58</c:v>
                </c:pt>
                <c:pt idx="149">
                  <c:v>59</c:v>
                </c:pt>
                <c:pt idx="150">
                  <c:v>60</c:v>
                </c:pt>
                <c:pt idx="151">
                  <c:v>61</c:v>
                </c:pt>
                <c:pt idx="152">
                  <c:v>62</c:v>
                </c:pt>
                <c:pt idx="153">
                  <c:v>63</c:v>
                </c:pt>
                <c:pt idx="154">
                  <c:v>64</c:v>
                </c:pt>
                <c:pt idx="155">
                  <c:v>65</c:v>
                </c:pt>
                <c:pt idx="156">
                  <c:v>66</c:v>
                </c:pt>
                <c:pt idx="157">
                  <c:v>67</c:v>
                </c:pt>
                <c:pt idx="158">
                  <c:v>68</c:v>
                </c:pt>
                <c:pt idx="159">
                  <c:v>69</c:v>
                </c:pt>
                <c:pt idx="160">
                  <c:v>70</c:v>
                </c:pt>
                <c:pt idx="161">
                  <c:v>71</c:v>
                </c:pt>
                <c:pt idx="162">
                  <c:v>72</c:v>
                </c:pt>
                <c:pt idx="163">
                  <c:v>73</c:v>
                </c:pt>
                <c:pt idx="164">
                  <c:v>74</c:v>
                </c:pt>
                <c:pt idx="165">
                  <c:v>75</c:v>
                </c:pt>
                <c:pt idx="166">
                  <c:v>76</c:v>
                </c:pt>
                <c:pt idx="167">
                  <c:v>77</c:v>
                </c:pt>
                <c:pt idx="168">
                  <c:v>78</c:v>
                </c:pt>
                <c:pt idx="169">
                  <c:v>79</c:v>
                </c:pt>
                <c:pt idx="170">
                  <c:v>80</c:v>
                </c:pt>
                <c:pt idx="171">
                  <c:v>81</c:v>
                </c:pt>
                <c:pt idx="172">
                  <c:v>82</c:v>
                </c:pt>
                <c:pt idx="173">
                  <c:v>83</c:v>
                </c:pt>
                <c:pt idx="174">
                  <c:v>84</c:v>
                </c:pt>
                <c:pt idx="175">
                  <c:v>85</c:v>
                </c:pt>
                <c:pt idx="176">
                  <c:v>86</c:v>
                </c:pt>
                <c:pt idx="177">
                  <c:v>87</c:v>
                </c:pt>
                <c:pt idx="178">
                  <c:v>88</c:v>
                </c:pt>
                <c:pt idx="179">
                  <c:v>89</c:v>
                </c:pt>
                <c:pt idx="180">
                  <c:v>90</c:v>
                </c:pt>
                <c:pt idx="181">
                  <c:v>91</c:v>
                </c:pt>
                <c:pt idx="182">
                  <c:v>92</c:v>
                </c:pt>
                <c:pt idx="183">
                  <c:v>93</c:v>
                </c:pt>
                <c:pt idx="184">
                  <c:v>94</c:v>
                </c:pt>
                <c:pt idx="185">
                  <c:v>95</c:v>
                </c:pt>
                <c:pt idx="186">
                  <c:v>96</c:v>
                </c:pt>
                <c:pt idx="187">
                  <c:v>97</c:v>
                </c:pt>
                <c:pt idx="188">
                  <c:v>98</c:v>
                </c:pt>
                <c:pt idx="189">
                  <c:v>99</c:v>
                </c:pt>
                <c:pt idx="190">
                  <c:v>100</c:v>
                </c:pt>
                <c:pt idx="191">
                  <c:v>101</c:v>
                </c:pt>
                <c:pt idx="192">
                  <c:v>102</c:v>
                </c:pt>
                <c:pt idx="193">
                  <c:v>103</c:v>
                </c:pt>
                <c:pt idx="194">
                  <c:v>104</c:v>
                </c:pt>
                <c:pt idx="195">
                  <c:v>105</c:v>
                </c:pt>
                <c:pt idx="196">
                  <c:v>106</c:v>
                </c:pt>
                <c:pt idx="197">
                  <c:v>107</c:v>
                </c:pt>
                <c:pt idx="198">
                  <c:v>108</c:v>
                </c:pt>
                <c:pt idx="199">
                  <c:v>109</c:v>
                </c:pt>
                <c:pt idx="200">
                  <c:v>110</c:v>
                </c:pt>
              </c:numCache>
            </c:numRef>
          </c:xVal>
          <c:yVal>
            <c:numRef>
              <c:f>'Shiftfunktion bestimmen'!$F$222:$F$422</c:f>
              <c:numCache>
                <c:formatCode>General</c:formatCode>
                <c:ptCount val="201"/>
                <c:pt idx="0">
                  <c:v>-8.1798447161664356</c:v>
                </c:pt>
                <c:pt idx="1">
                  <c:v>-8.1180299711404142</c:v>
                </c:pt>
                <c:pt idx="2">
                  <c:v>-8.0576600943063212</c:v>
                </c:pt>
                <c:pt idx="3">
                  <c:v>-7.9982483915033988</c:v>
                </c:pt>
                <c:pt idx="4">
                  <c:v>-7.9393540596355408</c:v>
                </c:pt>
                <c:pt idx="5">
                  <c:v>-7.8805796710137095</c:v>
                </c:pt>
                <c:pt idx="6">
                  <c:v>-7.8215687448089088</c:v>
                </c:pt>
                <c:pt idx="7">
                  <c:v>-7.7620034038063288</c:v>
                </c:pt>
                <c:pt idx="8">
                  <c:v>-7.7016021146687121</c:v>
                </c:pt>
                <c:pt idx="9">
                  <c:v>-7.6401175099345657</c:v>
                </c:pt>
                <c:pt idx="10">
                  <c:v>-7.5773342899943339</c:v>
                </c:pt>
                <c:pt idx="11">
                  <c:v>-7.5130672033051127</c:v>
                </c:pt>
                <c:pt idx="12">
                  <c:v>-7.4471591031220656</c:v>
                </c:pt>
                <c:pt idx="13">
                  <c:v>-7.3794790790421345</c:v>
                </c:pt>
                <c:pt idx="14">
                  <c:v>-7.3099206616731927</c:v>
                </c:pt>
                <c:pt idx="15">
                  <c:v>-7.238400098759282</c:v>
                </c:pt>
                <c:pt idx="16">
                  <c:v>-7.1648547011100687</c:v>
                </c:pt>
                <c:pt idx="17">
                  <c:v>-7.0892412567001815</c:v>
                </c:pt>
                <c:pt idx="18">
                  <c:v>-7.011534511321595</c:v>
                </c:pt>
                <c:pt idx="19">
                  <c:v>-6.9317257141896862</c:v>
                </c:pt>
                <c:pt idx="20">
                  <c:v>-6.8498212269211987</c:v>
                </c:pt>
                <c:pt idx="21">
                  <c:v>-6.7658411943197514</c:v>
                </c:pt>
                <c:pt idx="22">
                  <c:v>-6.6798182754220647</c:v>
                </c:pt>
                <c:pt idx="23">
                  <c:v>-6.5917964332756398</c:v>
                </c:pt>
                <c:pt idx="24">
                  <c:v>-6.5018297819360686</c:v>
                </c:pt>
                <c:pt idx="25">
                  <c:v>-6.4099814891896481</c:v>
                </c:pt>
                <c:pt idx="26">
                  <c:v>-6.316322733524566</c:v>
                </c:pt>
                <c:pt idx="27">
                  <c:v>-6.2209317138913507</c:v>
                </c:pt>
                <c:pt idx="28">
                  <c:v>-6.1238927108107788</c:v>
                </c:pt>
                <c:pt idx="29">
                  <c:v>-6.025295197405045</c:v>
                </c:pt>
                <c:pt idx="30">
                  <c:v>-5.9252329989453383</c:v>
                </c:pt>
                <c:pt idx="31">
                  <c:v>-5.8238034995266617</c:v>
                </c:pt>
                <c:pt idx="32">
                  <c:v>-5.7211068944980772</c:v>
                </c:pt>
                <c:pt idx="33">
                  <c:v>-5.6172454872941673</c:v>
                </c:pt>
                <c:pt idx="34">
                  <c:v>-5.5123230293309691</c:v>
                </c:pt>
                <c:pt idx="35">
                  <c:v>-5.4064441016471436</c:v>
                </c:pt>
                <c:pt idx="36">
                  <c:v>-5.2997135369886843</c:v>
                </c:pt>
                <c:pt idx="37">
                  <c:v>-5.1922358810528948</c:v>
                </c:pt>
                <c:pt idx="38">
                  <c:v>-5.0841148916249965</c:v>
                </c:pt>
                <c:pt idx="39">
                  <c:v>-4.9754530743581054</c:v>
                </c:pt>
                <c:pt idx="40">
                  <c:v>-4.8663512539649014</c:v>
                </c:pt>
                <c:pt idx="41">
                  <c:v>-4.7569081796068113</c:v>
                </c:pt>
                <c:pt idx="42">
                  <c:v>-4.6472201632840004</c:v>
                </c:pt>
                <c:pt idx="43">
                  <c:v>-4.5373807500470136</c:v>
                </c:pt>
                <c:pt idx="44">
                  <c:v>-4.4274804188683863</c:v>
                </c:pt>
                <c:pt idx="45">
                  <c:v>-4.317606313030061</c:v>
                </c:pt>
                <c:pt idx="46">
                  <c:v>-4.2078419988999594</c:v>
                </c:pt>
                <c:pt idx="47">
                  <c:v>-4.098267251988541</c:v>
                </c:pt>
                <c:pt idx="48">
                  <c:v>-3.9889578691937366</c:v>
                </c:pt>
                <c:pt idx="49">
                  <c:v>-3.8799855061600828</c:v>
                </c:pt>
                <c:pt idx="50">
                  <c:v>-3.7714175386954478</c:v>
                </c:pt>
                <c:pt idx="51">
                  <c:v>-3.6633169472062246</c:v>
                </c:pt>
                <c:pt idx="52">
                  <c:v>-3.5557422231293589</c:v>
                </c:pt>
                <c:pt idx="53">
                  <c:v>-3.4487472963571109</c:v>
                </c:pt>
                <c:pt idx="54">
                  <c:v>-3.3423814826679523</c:v>
                </c:pt>
                <c:pt idx="55">
                  <c:v>-3.2366894501944787</c:v>
                </c:pt>
                <c:pt idx="56">
                  <c:v>-3.1317112039767725</c:v>
                </c:pt>
                <c:pt idx="57">
                  <c:v>-3.0274820876671047</c:v>
                </c:pt>
                <c:pt idx="58">
                  <c:v>-2.9240328014694197</c:v>
                </c:pt>
                <c:pt idx="59">
                  <c:v>-2.8213894354145155</c:v>
                </c:pt>
                <c:pt idx="60">
                  <c:v>-2.7195735170893598</c:v>
                </c:pt>
                <c:pt idx="61">
                  <c:v>-2.618602072956481</c:v>
                </c:pt>
                <c:pt idx="62">
                  <c:v>-2.5184877024168872</c:v>
                </c:pt>
                <c:pt idx="63">
                  <c:v>-2.4192386637874597</c:v>
                </c:pt>
                <c:pt idx="64">
                  <c:v>-2.3208589713812811</c:v>
                </c:pt>
                <c:pt idx="65">
                  <c:v>-2.2233485028968731</c:v>
                </c:pt>
                <c:pt idx="66">
                  <c:v>-2.1267031163398191</c:v>
                </c:pt>
                <c:pt idx="67">
                  <c:v>-2.0309147757177324</c:v>
                </c:pt>
                <c:pt idx="68">
                  <c:v>-1.9359716847670823</c:v>
                </c:pt>
                <c:pt idx="69">
                  <c:v>-1.841858427987854</c:v>
                </c:pt>
                <c:pt idx="70">
                  <c:v>-1.7485561182795515</c:v>
                </c:pt>
                <c:pt idx="71">
                  <c:v>-1.6560425504895449</c:v>
                </c:pt>
                <c:pt idx="72">
                  <c:v>-1.5642923602022778</c:v>
                </c:pt>
                <c:pt idx="73">
                  <c:v>-1.473277187115352</c:v>
                </c:pt>
                <c:pt idx="74">
                  <c:v>-1.3829658423660209</c:v>
                </c:pt>
                <c:pt idx="75">
                  <c:v>-1.2933244791891161</c:v>
                </c:pt>
                <c:pt idx="76">
                  <c:v>-1.2043167663049548</c:v>
                </c:pt>
                <c:pt idx="77">
                  <c:v>-1.1159040634532706</c:v>
                </c:pt>
                <c:pt idx="78">
                  <c:v>-1.0280455985067158</c:v>
                </c:pt>
                <c:pt idx="79">
                  <c:v>-0.94069864561500349</c:v>
                </c:pt>
                <c:pt idx="80">
                  <c:v>-0.8538187038482451</c:v>
                </c:pt>
                <c:pt idx="81">
                  <c:v>-0.76735967582556419</c:v>
                </c:pt>
                <c:pt idx="82">
                  <c:v>-0.68127404583255691</c:v>
                </c:pt>
                <c:pt idx="83">
                  <c:v>-0.59551305694869339</c:v>
                </c:pt>
                <c:pt idx="84">
                  <c:v>-0.51002688672324248</c:v>
                </c:pt>
                <c:pt idx="85">
                  <c:v>-0.42476482095582491</c:v>
                </c:pt>
                <c:pt idx="86">
                  <c:v>-0.33967542515519827</c:v>
                </c:pt>
                <c:pt idx="87">
                  <c:v>-0.25470671326738253</c:v>
                </c:pt>
                <c:pt idx="88">
                  <c:v>-0.1698063132817477</c:v>
                </c:pt>
                <c:pt idx="89">
                  <c:v>-8.4921629341185842E-2</c:v>
                </c:pt>
                <c:pt idx="90">
                  <c:v>0</c:v>
                </c:pt>
                <c:pt idx="91">
                  <c:v>8.5011147709353599E-2</c:v>
                </c:pt>
                <c:pt idx="92">
                  <c:v>0.17016414872202465</c:v>
                </c:pt>
                <c:pt idx="93">
                  <c:v>0.25551095520287931</c:v>
                </c:pt>
                <c:pt idx="94">
                  <c:v>0.34110299691130336</c:v>
                </c:pt>
                <c:pt idx="95">
                  <c:v>0.42699104693753709</c:v>
                </c:pt>
                <c:pt idx="96">
                  <c:v>0.51322509306186648</c:v>
                </c:pt>
                <c:pt idx="97">
                  <c:v>0.59985421497050007</c:v>
                </c:pt>
                <c:pt idx="98">
                  <c:v>0.68692646754444098</c:v>
                </c:pt>
                <c:pt idx="99">
                  <c:v>0.77448877042017028</c:v>
                </c:pt>
                <c:pt idx="100">
                  <c:v>0.86258680400344045</c:v>
                </c:pt>
                <c:pt idx="101">
                  <c:v>0.95126491209997766</c:v>
                </c:pt>
                <c:pt idx="102">
                  <c:v>1.0405660113093829</c:v>
                </c:pt>
                <c:pt idx="103">
                  <c:v>1.1305315073110163</c:v>
                </c:pt>
                <c:pt idx="104">
                  <c:v>1.2212012181531378</c:v>
                </c:pt>
                <c:pt idx="105">
                  <c:v>1.3126133046390818</c:v>
                </c:pt>
                <c:pt idx="106">
                  <c:v>1.4048042078867229</c:v>
                </c:pt>
                <c:pt idx="107">
                  <c:v>1.4978085941199937</c:v>
                </c:pt>
                <c:pt idx="108">
                  <c:v>1.5916593067337037</c:v>
                </c:pt>
                <c:pt idx="109">
                  <c:v>1.6863873256554065</c:v>
                </c:pt>
                <c:pt idx="110">
                  <c:v>1.7820217340105489</c:v>
                </c:pt>
                <c:pt idx="111">
                  <c:v>1.8785896920796368</c:v>
                </c:pt>
                <c:pt idx="112">
                  <c:v>1.9761164185186393</c:v>
                </c:pt>
                <c:pt idx="113">
                  <c:v>2.074625178796353</c:v>
                </c:pt>
                <c:pt idx="114">
                  <c:v>2.1741372807849326</c:v>
                </c:pt>
                <c:pt idx="115">
                  <c:v>2.2746720774222968</c:v>
                </c:pt>
                <c:pt idx="116">
                  <c:v>2.3762469763476113</c:v>
                </c:pt>
                <c:pt idx="117">
                  <c:v>2.4788774563935272</c:v>
                </c:pt>
                <c:pt idx="118">
                  <c:v>2.5825770908013772</c:v>
                </c:pt>
                <c:pt idx="119">
                  <c:v>2.6873575770079947</c:v>
                </c:pt>
                <c:pt idx="120">
                  <c:v>2.7932287728353384</c:v>
                </c:pt>
                <c:pt idx="121">
                  <c:v>2.9001987388965795</c:v>
                </c:pt>
                <c:pt idx="122">
                  <c:v>3.0082737870148137</c:v>
                </c:pt>
                <c:pt idx="123">
                  <c:v>3.1174585344330508</c:v>
                </c:pt>
                <c:pt idx="124">
                  <c:v>3.2277559635766373</c:v>
                </c:pt>
                <c:pt idx="125">
                  <c:v>3.3391674871117201</c:v>
                </c:pt>
                <c:pt idx="126">
                  <c:v>3.4516930180259306</c:v>
                </c:pt>
                <c:pt idx="127">
                  <c:v>3.5653310444398731</c:v>
                </c:pt>
                <c:pt idx="128">
                  <c:v>3.680078708840564</c:v>
                </c:pt>
                <c:pt idx="129">
                  <c:v>3.7959318914104205</c:v>
                </c:pt>
                <c:pt idx="130">
                  <c:v>3.9128852971079122</c:v>
                </c:pt>
                <c:pt idx="131">
                  <c:v>4.0309325461384802</c:v>
                </c:pt>
                <c:pt idx="132">
                  <c:v>4.1500662674367925</c:v>
                </c:pt>
                <c:pt idx="133">
                  <c:v>4.2702781947639714</c:v>
                </c:pt>
                <c:pt idx="134">
                  <c:v>4.3915592650058057</c:v>
                </c:pt>
                <c:pt idx="135">
                  <c:v>4.5138997182405909</c:v>
                </c:pt>
                <c:pt idx="136">
                  <c:v>4.6372891991276122</c:v>
                </c:pt>
                <c:pt idx="137">
                  <c:v>4.7617168591498666</c:v>
                </c:pt>
                <c:pt idx="138">
                  <c:v>4.8871714592270408</c:v>
                </c:pt>
                <c:pt idx="139">
                  <c:v>5.0136414721973361</c:v>
                </c:pt>
                <c:pt idx="140">
                  <c:v>5.141115184649153</c:v>
                </c:pt>
                <c:pt idx="141">
                  <c:v>5.2695807975661637</c:v>
                </c:pt>
                <c:pt idx="142">
                  <c:v>5.3990265252318315</c:v>
                </c:pt>
                <c:pt idx="143">
                  <c:v>5.5294406918218719</c:v>
                </c:pt>
                <c:pt idx="144">
                  <c:v>5.6608118250956769</c:v>
                </c:pt>
                <c:pt idx="145">
                  <c:v>5.7931287465802095</c:v>
                </c:pt>
                <c:pt idx="146">
                  <c:v>5.9263806576223788</c:v>
                </c:pt>
                <c:pt idx="147">
                  <c:v>6.0605572206683851</c:v>
                </c:pt>
                <c:pt idx="148">
                  <c:v>6.1956486351110138</c:v>
                </c:pt>
                <c:pt idx="149">
                  <c:v>6.3316457070283843</c:v>
                </c:pt>
                <c:pt idx="150">
                  <c:v>6.468539912120093</c:v>
                </c:pt>
                <c:pt idx="151">
                  <c:v>6.6063234511292599</c:v>
                </c:pt>
                <c:pt idx="152">
                  <c:v>6.744989297021414</c:v>
                </c:pt>
                <c:pt idx="153">
                  <c:v>6.8845312331736812</c:v>
                </c:pt>
                <c:pt idx="154">
                  <c:v>7.0249438818102226</c:v>
                </c:pt>
                <c:pt idx="155">
                  <c:v>7.1662227219023613</c:v>
                </c:pt>
                <c:pt idx="156">
                  <c:v>7.3083640957343619</c:v>
                </c:pt>
                <c:pt idx="157">
                  <c:v>7.4513652033182343</c:v>
                </c:pt>
                <c:pt idx="158">
                  <c:v>7.5952240838235472</c:v>
                </c:pt>
                <c:pt idx="159">
                  <c:v>7.7399395831706403</c:v>
                </c:pt>
                <c:pt idx="160">
                  <c:v>7.8855113069181151</c:v>
                </c:pt>
                <c:pt idx="161">
                  <c:v>8.0319395575580845</c:v>
                </c:pt>
                <c:pt idx="162">
                  <c:v>8.1792252553149911</c:v>
                </c:pt>
                <c:pt idx="163">
                  <c:v>8.3273698415264406</c:v>
                </c:pt>
                <c:pt idx="164">
                  <c:v>8.4763751636669156</c:v>
                </c:pt>
                <c:pt idx="165">
                  <c:v>8.6262433410577515</c:v>
                </c:pt>
                <c:pt idx="166">
                  <c:v>8.7769766102892497</c:v>
                </c:pt>
                <c:pt idx="167">
                  <c:v>8.9285771493632549</c:v>
                </c:pt>
                <c:pt idx="168">
                  <c:v>9.0810468795471166</c:v>
                </c:pt>
                <c:pt idx="169">
                  <c:v>9.2343872439123391</c:v>
                </c:pt>
                <c:pt idx="170">
                  <c:v>9.3885989615137824</c:v>
                </c:pt>
                <c:pt idx="171">
                  <c:v>9.5436817561477234</c:v>
                </c:pt>
                <c:pt idx="172">
                  <c:v>9.6996340586096821</c:v>
                </c:pt>
                <c:pt idx="173">
                  <c:v>9.8564526813552309</c:v>
                </c:pt>
                <c:pt idx="174">
                  <c:v>10.014132464449698</c:v>
                </c:pt>
                <c:pt idx="175">
                  <c:v>10.172665891675045</c:v>
                </c:pt>
                <c:pt idx="176">
                  <c:v>10.332042675644665</c:v>
                </c:pt>
                <c:pt idx="177">
                  <c:v>10.492249310759533</c:v>
                </c:pt>
                <c:pt idx="178">
                  <c:v>10.653268592821359</c:v>
                </c:pt>
                <c:pt idx="179">
                  <c:v>10.815079104101104</c:v>
                </c:pt>
                <c:pt idx="180">
                  <c:v>10.977654662643642</c:v>
                </c:pt>
                <c:pt idx="181">
                  <c:v>11.140963734571818</c:v>
                </c:pt>
                <c:pt idx="182">
                  <c:v>11.304968808135641</c:v>
                </c:pt>
                <c:pt idx="183">
                  <c:v>11.469625728234938</c:v>
                </c:pt>
                <c:pt idx="184">
                  <c:v>11.634882990126185</c:v>
                </c:pt>
                <c:pt idx="185">
                  <c:v>11.800680991006729</c:v>
                </c:pt>
                <c:pt idx="186">
                  <c:v>11.966951238152189</c:v>
                </c:pt>
                <c:pt idx="187">
                  <c:v>12.133615512265289</c:v>
                </c:pt>
                <c:pt idx="188">
                  <c:v>12.300584984676721</c:v>
                </c:pt>
                <c:pt idx="189">
                  <c:v>12.46775928702148</c:v>
                </c:pt>
                <c:pt idx="190">
                  <c:v>12.635025531996099</c:v>
                </c:pt>
                <c:pt idx="191">
                  <c:v>12.802257283785295</c:v>
                </c:pt>
                <c:pt idx="192">
                  <c:v>12.969313476728452</c:v>
                </c:pt>
                <c:pt idx="193">
                  <c:v>13.136037280779354</c:v>
                </c:pt>
                <c:pt idx="194">
                  <c:v>13.302254912294684</c:v>
                </c:pt>
                <c:pt idx="195">
                  <c:v>13.467774388669604</c:v>
                </c:pt>
                <c:pt idx="196">
                  <c:v>13.632384225320983</c:v>
                </c:pt>
                <c:pt idx="197">
                  <c:v>13.795852073501504</c:v>
                </c:pt>
                <c:pt idx="198">
                  <c:v>13.957923297410321</c:v>
                </c:pt>
                <c:pt idx="199">
                  <c:v>14.118319489048348</c:v>
                </c:pt>
                <c:pt idx="200">
                  <c:v>14.276736919248899</c:v>
                </c:pt>
              </c:numCache>
            </c:numRef>
          </c:yVal>
          <c:smooth val="1"/>
        </c:ser>
        <c:dLbls>
          <c:showLegendKey val="0"/>
          <c:showVal val="0"/>
          <c:showCatName val="0"/>
          <c:showSerName val="0"/>
          <c:showPercent val="0"/>
          <c:showBubbleSize val="0"/>
        </c:dLbls>
        <c:axId val="675971208"/>
        <c:axId val="675971600"/>
      </c:scatterChart>
      <c:valAx>
        <c:axId val="675971208"/>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1600"/>
        <c:crossesAt val="-1000"/>
        <c:crossBetween val="midCat"/>
      </c:valAx>
      <c:valAx>
        <c:axId val="6759716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675971208"/>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02" t="s">
        <v>107</v>
      </c>
      <c r="E2" s="102"/>
      <c r="F2" s="102"/>
      <c r="G2" s="102"/>
      <c r="H2" s="102"/>
      <c r="I2" s="102"/>
      <c r="J2" s="102"/>
      <c r="K2" s="102"/>
      <c r="L2" s="102"/>
      <c r="M2" s="102"/>
    </row>
    <row r="3" spans="1:13" x14ac:dyDescent="0.25">
      <c r="D3" s="102"/>
      <c r="E3" s="102"/>
      <c r="F3" s="102"/>
      <c r="G3" s="102"/>
      <c r="H3" s="102"/>
      <c r="I3" s="102"/>
      <c r="J3" s="102"/>
      <c r="K3" s="102"/>
      <c r="L3" s="102"/>
      <c r="M3" s="102"/>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100">
        <f>CTE!N5</f>
        <v>0.5</v>
      </c>
    </row>
    <row r="21" spans="1:2" s="11" customFormat="1" x14ac:dyDescent="0.25">
      <c r="A21" s="61" t="s">
        <v>156</v>
      </c>
      <c r="B21" s="100">
        <f>CTE!N6-0.5</f>
        <v>151</v>
      </c>
    </row>
    <row r="22" spans="1:2" s="11" customFormat="1" x14ac:dyDescent="0.25">
      <c r="A22" s="61" t="s">
        <v>157</v>
      </c>
      <c r="B22" s="100">
        <f>CTE!N8-0.5</f>
        <v>161</v>
      </c>
    </row>
    <row r="23" spans="1:2" s="11" customFormat="1" x14ac:dyDescent="0.25">
      <c r="A23" s="61" t="s">
        <v>158</v>
      </c>
      <c r="B23" s="100">
        <f>CTE!N9</f>
        <v>180.5</v>
      </c>
    </row>
    <row r="24" spans="1:2" s="11" customFormat="1" x14ac:dyDescent="0.25"/>
    <row r="25" spans="1:2" s="11" customFormat="1" x14ac:dyDescent="0.25">
      <c r="A25" s="61" t="s">
        <v>147</v>
      </c>
      <c r="B25" s="53">
        <f>CTE!O5</f>
        <v>1.9178677428571428E-5</v>
      </c>
    </row>
    <row r="26" spans="1:2" s="11" customFormat="1" x14ac:dyDescent="0.25">
      <c r="A26" s="61" t="s">
        <v>148</v>
      </c>
      <c r="B26" s="53">
        <f>CTE!O6</f>
        <v>2.1154238571428571E-5</v>
      </c>
    </row>
    <row r="27" spans="1:2" s="11" customFormat="1" x14ac:dyDescent="0.25">
      <c r="A27" s="61" t="s">
        <v>149</v>
      </c>
      <c r="B27" s="53">
        <f>CTE!O8</f>
        <v>5.9200051428571433E-5</v>
      </c>
    </row>
    <row r="28" spans="1:2" s="11" customFormat="1" x14ac:dyDescent="0.25">
      <c r="A28" s="61" t="s">
        <v>150</v>
      </c>
      <c r="B28" s="53">
        <f>CTE!O9</f>
        <v>5.9157857142857142E-5</v>
      </c>
    </row>
    <row r="29" spans="1:2" s="11" customFormat="1" x14ac:dyDescent="0.25">
      <c r="A29" s="61"/>
    </row>
    <row r="30" spans="1:2" s="11" customFormat="1" x14ac:dyDescent="0.25">
      <c r="A30" s="61" t="s">
        <v>151</v>
      </c>
      <c r="B30" s="52">
        <f>CTE!P5</f>
        <v>1.9777143684210526E-5</v>
      </c>
    </row>
    <row r="31" spans="1:2" s="11" customFormat="1" x14ac:dyDescent="0.25">
      <c r="A31" s="61" t="s">
        <v>152</v>
      </c>
      <c r="B31" s="52">
        <f>CTE!P6</f>
        <v>2.1845439578947371E-5</v>
      </c>
    </row>
    <row r="32" spans="1:2" s="11" customFormat="1" x14ac:dyDescent="0.25">
      <c r="A32" s="61" t="s">
        <v>153</v>
      </c>
      <c r="B32" s="52">
        <f>CTE!P8</f>
        <v>6.052054E-5</v>
      </c>
    </row>
    <row r="33" spans="1:2" s="11" customFormat="1" x14ac:dyDescent="0.25">
      <c r="A33" s="61" t="s">
        <v>154</v>
      </c>
      <c r="B33" s="52">
        <f>CTE!P9</f>
        <v>6.0679988421052626E-5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323.14999999999998</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8.4957641293068584E-2</v>
      </c>
      <c r="D59" s="55">
        <v>1</v>
      </c>
    </row>
    <row r="60" spans="1:4" s="11" customFormat="1" x14ac:dyDescent="0.25">
      <c r="A60" s="54">
        <v>2</v>
      </c>
      <c r="B60" s="56">
        <f>'Shiftfunktion bestimmen'!N2</f>
        <v>4.4769128873435826E-5</v>
      </c>
      <c r="D60" s="55">
        <v>2</v>
      </c>
    </row>
    <row r="61" spans="1:4" s="11" customFormat="1" x14ac:dyDescent="0.25">
      <c r="A61" s="54">
        <v>3</v>
      </c>
      <c r="B61" s="56">
        <f>'Shiftfunktion bestimmen'!N3</f>
        <v>8.7484591794976323E-6</v>
      </c>
      <c r="D61" s="55">
        <v>3</v>
      </c>
    </row>
    <row r="62" spans="1:4" s="11" customFormat="1" x14ac:dyDescent="0.25">
      <c r="A62" s="54">
        <v>4</v>
      </c>
      <c r="B62" s="56">
        <f>'Shiftfunktion bestimmen'!N4</f>
        <v>-9.951484574892959E-9</v>
      </c>
      <c r="D62" s="55">
        <v>4</v>
      </c>
    </row>
    <row r="63" spans="1:4" s="11" customFormat="1" x14ac:dyDescent="0.25">
      <c r="A63" s="54">
        <v>5</v>
      </c>
      <c r="B63" s="56">
        <f>'Shiftfunktion bestimmen'!N5</f>
        <v>-1.2270369211778238E-9</v>
      </c>
      <c r="D63" s="55">
        <v>5</v>
      </c>
    </row>
    <row r="64" spans="1:4" s="11" customFormat="1" x14ac:dyDescent="0.25">
      <c r="A64" s="54">
        <v>6</v>
      </c>
      <c r="B64" s="56">
        <f>'Shiftfunktion bestimmen'!N6</f>
        <v>6.6954550451668598E-12</v>
      </c>
      <c r="D64" s="55">
        <v>6</v>
      </c>
    </row>
    <row r="65" spans="1:5" s="11" customFormat="1" x14ac:dyDescent="0.25">
      <c r="A65" s="54">
        <v>7</v>
      </c>
      <c r="B65" s="56">
        <f>'Shiftfunktion bestimmen'!N7</f>
        <v>5.8550777708114434E-14</v>
      </c>
      <c r="D65" s="55">
        <v>7</v>
      </c>
    </row>
    <row r="66" spans="1:5" x14ac:dyDescent="0.25">
      <c r="A66" s="54">
        <v>8</v>
      </c>
      <c r="B66" s="56">
        <f>'Shiftfunktion bestimmen'!N8</f>
        <v>-4.3419042122535173E-16</v>
      </c>
      <c r="D66" s="55">
        <v>8</v>
      </c>
    </row>
    <row r="67" spans="1:5" x14ac:dyDescent="0.25">
      <c r="A67" s="54">
        <v>9</v>
      </c>
      <c r="B67" s="56">
        <f>'Shiftfunktion bestimmen'!N9</f>
        <v>0</v>
      </c>
      <c r="D67" s="55">
        <v>0</v>
      </c>
    </row>
    <row r="70" spans="1:5" x14ac:dyDescent="0.25">
      <c r="A70" s="61"/>
      <c r="B70" s="84"/>
    </row>
    <row r="71" spans="1:5" x14ac:dyDescent="0.25">
      <c r="A71" s="61"/>
      <c r="B71" s="85"/>
    </row>
    <row r="72" spans="1:5" x14ac:dyDescent="0.25">
      <c r="A72" t="s">
        <v>42</v>
      </c>
    </row>
    <row r="73" spans="1:5" x14ac:dyDescent="0.25">
      <c r="A73" s="61" t="s">
        <v>101</v>
      </c>
      <c r="B73" s="62">
        <f>A104</f>
        <v>31</v>
      </c>
    </row>
    <row r="74" spans="1:5" x14ac:dyDescent="0.25">
      <c r="A74" s="50">
        <v>1</v>
      </c>
      <c r="B74" s="56">
        <f>'Mastercurve bestimmen'!C18</f>
        <v>7.1305145397417183E-2</v>
      </c>
      <c r="D74" s="51">
        <v>1</v>
      </c>
      <c r="E74" s="56">
        <f>'Mastercurve bestimmen'!A18</f>
        <v>1.0000000000000001E-20</v>
      </c>
    </row>
    <row r="75" spans="1:5" x14ac:dyDescent="0.25">
      <c r="A75" s="50">
        <f>A74+1</f>
        <v>2</v>
      </c>
      <c r="B75" s="56">
        <f>'Mastercurve bestimmen'!C19</f>
        <v>4.2592751966225952E-2</v>
      </c>
      <c r="D75" s="51">
        <v>2</v>
      </c>
      <c r="E75" s="56">
        <f>'Mastercurve bestimmen'!A19</f>
        <v>3.9038946506297401E-14</v>
      </c>
    </row>
    <row r="76" spans="1:5" x14ac:dyDescent="0.25">
      <c r="A76" s="50">
        <f t="shared" ref="A76:A104" si="0">A75+1</f>
        <v>3</v>
      </c>
      <c r="B76" s="56">
        <f>'Mastercurve bestimmen'!C20</f>
        <v>1.8189961130651151E-2</v>
      </c>
      <c r="D76" s="51">
        <v>3</v>
      </c>
      <c r="E76" s="56">
        <f>'Mastercurve bestimmen'!A20</f>
        <v>4.3276437088188502E-13</v>
      </c>
    </row>
    <row r="77" spans="1:5" x14ac:dyDescent="0.25">
      <c r="A77" s="50">
        <f t="shared" si="0"/>
        <v>4</v>
      </c>
      <c r="B77" s="56">
        <f>'Mastercurve bestimmen'!C21</f>
        <v>2.8233725164638263E-2</v>
      </c>
      <c r="D77" s="51">
        <v>4</v>
      </c>
      <c r="E77" s="56">
        <f>'Mastercurve bestimmen'!A21</f>
        <v>4.7973886968128502E-12</v>
      </c>
    </row>
    <row r="78" spans="1:5" x14ac:dyDescent="0.25">
      <c r="A78" s="50">
        <f t="shared" si="0"/>
        <v>5</v>
      </c>
      <c r="B78" s="56">
        <f>'Mastercurve bestimmen'!C22</f>
        <v>2.9847581872853059E-2</v>
      </c>
      <c r="D78" s="51">
        <v>5</v>
      </c>
      <c r="E78" s="56">
        <f>'Mastercurve bestimmen'!A22</f>
        <v>5.31812225239524E-11</v>
      </c>
    </row>
    <row r="79" spans="1:5" x14ac:dyDescent="0.25">
      <c r="A79" s="50">
        <f t="shared" si="0"/>
        <v>6</v>
      </c>
      <c r="B79" s="56">
        <f>'Mastercurve bestimmen'!C23</f>
        <v>2.9885282741606206E-2</v>
      </c>
      <c r="D79" s="51">
        <v>6</v>
      </c>
      <c r="E79" s="56">
        <f>'Mastercurve bestimmen'!A23</f>
        <v>5.8953789402578301E-10</v>
      </c>
    </row>
    <row r="80" spans="1:5" x14ac:dyDescent="0.25">
      <c r="A80" s="50">
        <f t="shared" si="0"/>
        <v>7</v>
      </c>
      <c r="B80" s="56">
        <f>'Mastercurve bestimmen'!C24</f>
        <v>2.6241418279634488E-2</v>
      </c>
      <c r="D80" s="51">
        <v>7</v>
      </c>
      <c r="E80" s="56">
        <f>'Mastercurve bestimmen'!A24</f>
        <v>6.5352940755699598E-9</v>
      </c>
    </row>
    <row r="81" spans="1:5" x14ac:dyDescent="0.25">
      <c r="A81" s="50">
        <f t="shared" si="0"/>
        <v>8</v>
      </c>
      <c r="B81" s="56">
        <f>'Mastercurve bestimmen'!C25</f>
        <v>3.291720600179527E-2</v>
      </c>
      <c r="D81" s="51">
        <v>8</v>
      </c>
      <c r="E81" s="56">
        <f>'Mastercurve bestimmen'!A25</f>
        <v>7.2446689325643296E-8</v>
      </c>
    </row>
    <row r="82" spans="1:5" x14ac:dyDescent="0.25">
      <c r="A82" s="50">
        <f t="shared" si="0"/>
        <v>9</v>
      </c>
      <c r="B82" s="56">
        <f>'Mastercurve bestimmen'!C26</f>
        <v>4.0072808202412338E-2</v>
      </c>
      <c r="D82" s="51">
        <f>A82</f>
        <v>9</v>
      </c>
      <c r="E82" s="56">
        <f>'Mastercurve bestimmen'!A26</f>
        <v>8.03104303120212E-7</v>
      </c>
    </row>
    <row r="83" spans="1:5" x14ac:dyDescent="0.25">
      <c r="A83" s="50">
        <f t="shared" si="0"/>
        <v>10</v>
      </c>
      <c r="B83" s="56">
        <f>'Mastercurve bestimmen'!C27</f>
        <v>3.976591284009507E-2</v>
      </c>
      <c r="C83" s="11"/>
      <c r="D83" s="51">
        <f t="shared" ref="D83:D104" si="1">A83</f>
        <v>10</v>
      </c>
      <c r="E83" s="56">
        <f>'Mastercurve bestimmen'!A27</f>
        <v>8.9027742702096099E-6</v>
      </c>
    </row>
    <row r="84" spans="1:5" x14ac:dyDescent="0.25">
      <c r="A84" s="50">
        <f t="shared" si="0"/>
        <v>11</v>
      </c>
      <c r="B84" s="56">
        <f>'Mastercurve bestimmen'!C28</f>
        <v>2.9424353030171317E-2</v>
      </c>
      <c r="C84" s="11"/>
      <c r="D84" s="51">
        <f t="shared" si="1"/>
        <v>11</v>
      </c>
      <c r="E84" s="56">
        <f>'Mastercurve bestimmen'!A28</f>
        <v>9.86912775817142E-5</v>
      </c>
    </row>
    <row r="85" spans="1:5" x14ac:dyDescent="0.25">
      <c r="A85" s="50">
        <f t="shared" si="0"/>
        <v>12</v>
      </c>
      <c r="B85" s="56">
        <f>'Mastercurve bestimmen'!C29</f>
        <v>2.8571417110976157E-2</v>
      </c>
      <c r="C85" s="11"/>
      <c r="D85" s="51">
        <f t="shared" si="1"/>
        <v>12</v>
      </c>
      <c r="E85" s="56">
        <f>'Mastercurve bestimmen'!A29</f>
        <v>1.0940374286813801E-3</v>
      </c>
    </row>
    <row r="86" spans="1:5" x14ac:dyDescent="0.25">
      <c r="A86" s="50">
        <f t="shared" si="0"/>
        <v>13</v>
      </c>
      <c r="B86" s="56">
        <f>'Mastercurve bestimmen'!C30</f>
        <v>2.9426851905512412E-2</v>
      </c>
      <c r="C86" s="11"/>
      <c r="D86" s="51">
        <f t="shared" si="1"/>
        <v>13</v>
      </c>
      <c r="E86" s="56">
        <f>'Mastercurve bestimmen'!A30</f>
        <v>1.2127899493091E-2</v>
      </c>
    </row>
    <row r="87" spans="1:5" x14ac:dyDescent="0.25">
      <c r="A87" s="50">
        <f t="shared" si="0"/>
        <v>14</v>
      </c>
      <c r="B87" s="56">
        <f>'Mastercurve bestimmen'!C31</f>
        <v>2.8440803506547933E-2</v>
      </c>
      <c r="C87" s="11"/>
      <c r="D87" s="51">
        <f t="shared" si="1"/>
        <v>14</v>
      </c>
      <c r="E87" s="56">
        <f>'Mastercurve bestimmen'!A31</f>
        <v>0.13444324870292301</v>
      </c>
    </row>
    <row r="88" spans="1:5" x14ac:dyDescent="0.25">
      <c r="A88" s="50">
        <f t="shared" si="0"/>
        <v>15</v>
      </c>
      <c r="B88" s="56">
        <f>'Mastercurve bestimmen'!C32</f>
        <v>2.6740342475666101E-2</v>
      </c>
      <c r="C88" s="11"/>
      <c r="D88" s="51">
        <f t="shared" si="1"/>
        <v>15</v>
      </c>
      <c r="E88" s="56">
        <f>'Mastercurve bestimmen'!A32</f>
        <v>1.49036419143257</v>
      </c>
    </row>
    <row r="89" spans="1:5" x14ac:dyDescent="0.25">
      <c r="A89" s="50">
        <f t="shared" si="0"/>
        <v>16</v>
      </c>
      <c r="B89" s="56">
        <f>'Mastercurve bestimmen'!C33</f>
        <v>3.6384067061729697E-2</v>
      </c>
      <c r="C89" s="11"/>
      <c r="D89" s="51">
        <f t="shared" si="1"/>
        <v>16</v>
      </c>
      <c r="E89" s="56">
        <f>'Mastercurve bestimmen'!A33</f>
        <v>16.521360830937301</v>
      </c>
    </row>
    <row r="90" spans="1:5" x14ac:dyDescent="0.25">
      <c r="A90" s="50">
        <f t="shared" si="0"/>
        <v>17</v>
      </c>
      <c r="B90" s="56">
        <f>'Mastercurve bestimmen'!C34</f>
        <v>4.1964426446168525E-2</v>
      </c>
      <c r="C90" s="11"/>
      <c r="D90" s="51">
        <f t="shared" si="1"/>
        <v>17</v>
      </c>
      <c r="E90" s="56">
        <f>'Mastercurve bestimmen'!A34</f>
        <v>183.146753843879</v>
      </c>
    </row>
    <row r="91" spans="1:5" x14ac:dyDescent="0.25">
      <c r="A91" s="50">
        <f t="shared" si="0"/>
        <v>18</v>
      </c>
      <c r="B91" s="56">
        <f>'Mastercurve bestimmen'!C35</f>
        <v>4.8106928297009681E-2</v>
      </c>
      <c r="C91" s="11"/>
      <c r="D91" s="51">
        <f t="shared" si="1"/>
        <v>18</v>
      </c>
      <c r="E91" s="56">
        <f>'Mastercurve bestimmen'!A35</f>
        <v>2030.26456396616</v>
      </c>
    </row>
    <row r="92" spans="1:5" x14ac:dyDescent="0.25">
      <c r="A92" s="50">
        <f t="shared" si="0"/>
        <v>19</v>
      </c>
      <c r="B92" s="56">
        <f>'Mastercurve bestimmen'!C36</f>
        <v>4.6100301020196389E-2</v>
      </c>
      <c r="C92" s="11"/>
      <c r="D92" s="51">
        <f t="shared" si="1"/>
        <v>19</v>
      </c>
      <c r="E92" s="56">
        <f>'Mastercurve bestimmen'!A36</f>
        <v>22506.400540467101</v>
      </c>
    </row>
    <row r="93" spans="1:5" x14ac:dyDescent="0.25">
      <c r="A93" s="50">
        <f t="shared" si="0"/>
        <v>20</v>
      </c>
      <c r="B93" s="56">
        <f>'Mastercurve bestimmen'!C37</f>
        <v>6.1544571271861997E-2</v>
      </c>
      <c r="C93" s="11"/>
      <c r="D93" s="51">
        <f t="shared" si="1"/>
        <v>20</v>
      </c>
      <c r="E93" s="56">
        <f>'Mastercurve bestimmen'!A37</f>
        <v>249493.62476110301</v>
      </c>
    </row>
    <row r="94" spans="1:5" x14ac:dyDescent="0.25">
      <c r="A94" s="50">
        <f t="shared" si="0"/>
        <v>21</v>
      </c>
      <c r="B94" s="56">
        <f>'Mastercurve bestimmen'!C38</f>
        <v>2.0548359308290503E-2</v>
      </c>
      <c r="C94" s="11"/>
      <c r="D94" s="51">
        <f t="shared" si="1"/>
        <v>21</v>
      </c>
      <c r="E94" s="56">
        <f>'Mastercurve bestimmen'!A38</f>
        <v>2765749.6224023802</v>
      </c>
    </row>
    <row r="95" spans="1:5" x14ac:dyDescent="0.25">
      <c r="A95" s="50">
        <f t="shared" si="0"/>
        <v>22</v>
      </c>
      <c r="B95" s="56">
        <f>'Mastercurve bestimmen'!C39</f>
        <v>6.8598536150208847E-2</v>
      </c>
      <c r="C95" s="11"/>
      <c r="D95" s="51">
        <f t="shared" si="1"/>
        <v>22</v>
      </c>
      <c r="E95" s="56">
        <f>'Mastercurve bestimmen'!A39</f>
        <v>10000000</v>
      </c>
    </row>
    <row r="96" spans="1:5" x14ac:dyDescent="0.25">
      <c r="A96" s="50">
        <f t="shared" si="0"/>
        <v>23</v>
      </c>
      <c r="B96" s="56">
        <f>'Mastercurve bestimmen'!C40</f>
        <v>4.2430467850210242E-2</v>
      </c>
      <c r="C96" s="11"/>
      <c r="D96" s="51">
        <f t="shared" si="1"/>
        <v>23</v>
      </c>
      <c r="E96" s="56">
        <f>'Mastercurve bestimmen'!A40</f>
        <v>100000000</v>
      </c>
    </row>
    <row r="97" spans="1:5" x14ac:dyDescent="0.25">
      <c r="A97" s="50">
        <f t="shared" si="0"/>
        <v>24</v>
      </c>
      <c r="B97" s="56">
        <f>'Mastercurve bestimmen'!C41</f>
        <v>4.2564807754428377E-2</v>
      </c>
      <c r="C97" s="11"/>
      <c r="D97" s="51">
        <f t="shared" si="1"/>
        <v>24</v>
      </c>
      <c r="E97" s="56">
        <f>'Mastercurve bestimmen'!A41</f>
        <v>1000000000</v>
      </c>
    </row>
    <row r="98" spans="1:5" x14ac:dyDescent="0.25">
      <c r="A98" s="50">
        <f t="shared" si="0"/>
        <v>25</v>
      </c>
      <c r="B98" s="56">
        <f>'Mastercurve bestimmen'!C42</f>
        <v>1.7794430151868639E-2</v>
      </c>
      <c r="C98" s="11"/>
      <c r="D98" s="51">
        <f t="shared" si="1"/>
        <v>25</v>
      </c>
      <c r="E98" s="56">
        <f>'Mastercurve bestimmen'!A42</f>
        <v>10000000000</v>
      </c>
    </row>
    <row r="99" spans="1:5" x14ac:dyDescent="0.25">
      <c r="A99" s="50">
        <f t="shared" si="0"/>
        <v>26</v>
      </c>
      <c r="B99" s="56">
        <f>'Mastercurve bestimmen'!C43</f>
        <v>1.1846247724533283E-2</v>
      </c>
      <c r="C99" s="11"/>
      <c r="D99" s="51">
        <f t="shared" si="1"/>
        <v>26</v>
      </c>
      <c r="E99" s="56">
        <f>'Mastercurve bestimmen'!A43</f>
        <v>100000000000</v>
      </c>
    </row>
    <row r="100" spans="1:5" x14ac:dyDescent="0.25">
      <c r="A100" s="50">
        <f t="shared" si="0"/>
        <v>27</v>
      </c>
      <c r="B100" s="56">
        <f>'Mastercurve bestimmen'!C44</f>
        <v>4.239833197731321E-3</v>
      </c>
      <c r="C100" s="11"/>
      <c r="D100" s="51">
        <f t="shared" si="1"/>
        <v>27</v>
      </c>
      <c r="E100" s="56">
        <f>'Mastercurve bestimmen'!A44</f>
        <v>1000000000000</v>
      </c>
    </row>
    <row r="101" spans="1:5" x14ac:dyDescent="0.25">
      <c r="A101" s="50">
        <f t="shared" si="0"/>
        <v>28</v>
      </c>
      <c r="B101" s="56">
        <f>'Mastercurve bestimmen'!C45</f>
        <v>3.1413173103933909E-3</v>
      </c>
      <c r="C101" s="11"/>
      <c r="D101" s="51">
        <f t="shared" si="1"/>
        <v>28</v>
      </c>
      <c r="E101" s="56">
        <f>'Mastercurve bestimmen'!A45</f>
        <v>10000000000000</v>
      </c>
    </row>
    <row r="102" spans="1:5" x14ac:dyDescent="0.25">
      <c r="A102" s="50">
        <f t="shared" si="0"/>
        <v>29</v>
      </c>
      <c r="B102" s="56">
        <f>'Mastercurve bestimmen'!C46</f>
        <v>2.257189619316161E-3</v>
      </c>
      <c r="C102" s="11"/>
      <c r="D102" s="51">
        <f t="shared" si="1"/>
        <v>29</v>
      </c>
      <c r="E102" s="56">
        <f>'Mastercurve bestimmen'!A46</f>
        <v>100000000000000</v>
      </c>
    </row>
    <row r="103" spans="1:5" x14ac:dyDescent="0.25">
      <c r="A103" s="50">
        <f t="shared" si="0"/>
        <v>30</v>
      </c>
      <c r="B103" s="56">
        <f>'Mastercurve bestimmen'!C47</f>
        <v>3.6224207496198294E-4</v>
      </c>
      <c r="C103" s="11"/>
      <c r="D103" s="51">
        <f t="shared" si="1"/>
        <v>30</v>
      </c>
      <c r="E103" s="56">
        <f>'Mastercurve bestimmen'!A47</f>
        <v>1000000000000000</v>
      </c>
    </row>
    <row r="104" spans="1:5" x14ac:dyDescent="0.25">
      <c r="A104" s="50">
        <f t="shared" si="0"/>
        <v>31</v>
      </c>
      <c r="B104" s="56">
        <f>'Mastercurve bestimmen'!C48</f>
        <v>0</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27691.328000000001</v>
      </c>
    </row>
    <row r="108" spans="1:5" s="11" customFormat="1" x14ac:dyDescent="0.25">
      <c r="A108" s="61" t="str">
        <f>STUTT!B3</f>
        <v>mp,PRXY,MatID,</v>
      </c>
      <c r="B108" s="52">
        <f>STUTT!C3</f>
        <v>0.35195679000000002</v>
      </c>
    </row>
    <row r="109" spans="1:5" s="11" customFormat="1" x14ac:dyDescent="0.25">
      <c r="A109" s="61" t="str">
        <f>STUTT!B4</f>
        <v>mp,ey,MatID,</v>
      </c>
      <c r="B109" s="52">
        <f>STUTT!C4</f>
        <v>27960.883999999998</v>
      </c>
    </row>
    <row r="110" spans="1:5" s="11" customFormat="1" x14ac:dyDescent="0.25">
      <c r="A110" s="61" t="str">
        <f>STUTT!B5</f>
        <v>mp,PRYZ,MatID,</v>
      </c>
      <c r="B110" s="52">
        <f>STUTT!C5</f>
        <v>0.35541003999999998</v>
      </c>
    </row>
    <row r="111" spans="1:5" s="11" customFormat="1" x14ac:dyDescent="0.25">
      <c r="A111" s="61" t="str">
        <f>STUTT!B6</f>
        <v>mp,ez,MatID,</v>
      </c>
      <c r="B111" s="52">
        <f>STUTT!C6</f>
        <v>27691.328000000001</v>
      </c>
    </row>
    <row r="112" spans="1:5" s="11" customFormat="1" x14ac:dyDescent="0.25">
      <c r="A112" s="61" t="str">
        <f>STUTT!B7</f>
        <v>mp,PRXZ,MatID,</v>
      </c>
      <c r="B112" s="52">
        <f>STUTT!C7</f>
        <v>0.35911014000000002</v>
      </c>
    </row>
    <row r="113" spans="1:4" s="11" customFormat="1" x14ac:dyDescent="0.25">
      <c r="A113" s="61" t="str">
        <f>STUTT!B8</f>
        <v>MP,GXZ,</v>
      </c>
      <c r="B113" s="52" t="str">
        <f>STUTT!C8</f>
        <v>MatID,</v>
      </c>
      <c r="C113" s="103">
        <f>STUTT!D8</f>
        <v>10187.300999999999</v>
      </c>
      <c r="D113" s="103"/>
    </row>
    <row r="114" spans="1:4" s="11" customFormat="1" x14ac:dyDescent="0.25">
      <c r="A114" s="61" t="str">
        <f>STUTT!B9</f>
        <v>MP,GXY,</v>
      </c>
      <c r="B114" s="52" t="str">
        <f>STUTT!C9</f>
        <v>MatID,</v>
      </c>
      <c r="C114" s="103">
        <f>STUTT!D9</f>
        <v>10360.254000000001</v>
      </c>
      <c r="D114" s="103"/>
    </row>
    <row r="115" spans="1:4" x14ac:dyDescent="0.25">
      <c r="A115" s="61" t="str">
        <f>STUTT!B10</f>
        <v>MP,GYZ,</v>
      </c>
      <c r="B115" s="52" t="str">
        <f>STUTT!C10</f>
        <v>MatID,</v>
      </c>
      <c r="C115" s="103">
        <f>STUTT!D10</f>
        <v>10360.254000000001</v>
      </c>
      <c r="D115" s="103"/>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1.0879999999999999E-7</v>
      </c>
      <c r="C3" s="3">
        <v>3.8299999999999999E-8</v>
      </c>
      <c r="D3" s="3">
        <v>1.0879999999999999E-7</v>
      </c>
      <c r="E3" s="3">
        <v>-1.0000000000000001E-5</v>
      </c>
      <c r="F3" s="3">
        <v>-1.0000000000000001E-5</v>
      </c>
      <c r="G3" s="3">
        <v>-1.0000000000000001E-5</v>
      </c>
      <c r="H3" s="3">
        <v>-3.3571118E-6</v>
      </c>
      <c r="I3" s="3">
        <v>-9.3909650000000005E-7</v>
      </c>
      <c r="J3" s="3">
        <v>-3.3571118E-6</v>
      </c>
      <c r="L3" s="48">
        <f>ABS(H3/(-0.5)/$L$1)</f>
        <v>1.9183496000000003E-5</v>
      </c>
      <c r="R3">
        <f>ABS(I3/(-0.5)/$R$1)</f>
        <v>1.9770452631578948E-5</v>
      </c>
    </row>
    <row r="4" spans="1:18" x14ac:dyDescent="0.25">
      <c r="A4">
        <v>-39</v>
      </c>
      <c r="B4" s="3">
        <v>-1.0879999999999999E-7</v>
      </c>
      <c r="C4" s="3">
        <v>-3.8229999999999999E-8</v>
      </c>
      <c r="D4" s="3">
        <v>-1.0879999999999999E-7</v>
      </c>
      <c r="E4" s="3">
        <v>1.0000000000000001E-5</v>
      </c>
      <c r="F4" s="3">
        <v>1.0000000000000001E-5</v>
      </c>
      <c r="G4" s="3">
        <v>1.0000000000000001E-5</v>
      </c>
      <c r="H4" s="3">
        <v>3.3570912999999998E-6</v>
      </c>
      <c r="I4" s="3">
        <v>9.3910432999999997E-7</v>
      </c>
      <c r="J4" s="3">
        <v>3.3570912999999998E-6</v>
      </c>
      <c r="L4" s="48">
        <f t="shared" ref="L4:L14" si="0">ABS(H4/(-0.5)/$L$1)</f>
        <v>1.9183378857142858E-5</v>
      </c>
      <c r="N4" s="39" t="s">
        <v>27</v>
      </c>
      <c r="O4" s="39" t="s">
        <v>131</v>
      </c>
      <c r="P4" s="86" t="s">
        <v>132</v>
      </c>
      <c r="R4" s="11">
        <f t="shared" ref="R4:R14" si="1">ABS(I4/(-0.5)/$R$1)</f>
        <v>1.9770617473684209E-5</v>
      </c>
    </row>
    <row r="5" spans="1:18" x14ac:dyDescent="0.25">
      <c r="A5">
        <v>0</v>
      </c>
      <c r="B5" s="3">
        <v>1.1000000000000001E-7</v>
      </c>
      <c r="C5" s="3">
        <v>3.5479999999999997E-8</v>
      </c>
      <c r="D5" s="3">
        <v>1.1000000000000001E-7</v>
      </c>
      <c r="E5" s="3">
        <v>-1.0000000000000001E-5</v>
      </c>
      <c r="F5" s="3">
        <v>-1.0000000000000001E-5</v>
      </c>
      <c r="G5" s="3">
        <v>-1.0000000000000001E-5</v>
      </c>
      <c r="H5" s="3">
        <v>-3.3562790999999999E-6</v>
      </c>
      <c r="I5" s="3">
        <v>-9.3941038999999995E-7</v>
      </c>
      <c r="J5" s="3">
        <v>-3.3562790999999999E-6</v>
      </c>
      <c r="L5" s="48">
        <f t="shared" si="0"/>
        <v>1.9178737714285714E-5</v>
      </c>
      <c r="M5" s="48"/>
      <c r="N5" s="10">
        <f>(INDEX(A:A,ROW(A2)*2+1)+INDEX(A:A,ROW(A2)*2+2))/2</f>
        <v>0.5</v>
      </c>
      <c r="O5" s="90">
        <f>(INDEX(L:L,ROW(L2)*2+1)+INDEX(L:L,ROW(L2)*2+2))/2</f>
        <v>1.9178677428571428E-5</v>
      </c>
      <c r="P5" s="90">
        <f>(INDEX(R:R,ROW(M2)*2+1)+INDEX(R:R,ROW(R2)*2+2))/2</f>
        <v>1.9777143684210526E-5</v>
      </c>
      <c r="R5" s="11">
        <f t="shared" si="1"/>
        <v>1.9777060842105263E-5</v>
      </c>
    </row>
    <row r="6" spans="1:18" x14ac:dyDescent="0.25">
      <c r="A6">
        <v>1</v>
      </c>
      <c r="B6" s="3">
        <v>-1.1000000000000001E-7</v>
      </c>
      <c r="C6" s="3">
        <v>-3.5409999999999997E-8</v>
      </c>
      <c r="D6" s="3">
        <v>-1.1000000000000001E-7</v>
      </c>
      <c r="E6" s="3">
        <v>1.0000000000000001E-5</v>
      </c>
      <c r="F6" s="3">
        <v>1.0000000000000001E-5</v>
      </c>
      <c r="G6" s="3">
        <v>1.0000000000000001E-5</v>
      </c>
      <c r="H6" s="3">
        <v>3.3562580000000001E-6</v>
      </c>
      <c r="I6" s="3">
        <v>9.3941826000000002E-7</v>
      </c>
      <c r="J6" s="3">
        <v>3.3562580000000001E-6</v>
      </c>
      <c r="L6" s="48">
        <f t="shared" si="0"/>
        <v>1.9178617142857144E-5</v>
      </c>
      <c r="M6" s="49"/>
      <c r="N6" s="10">
        <f>(INDEX(A:A,ROW(A3)*2+1)+INDEX(A:A,ROW(A3)*2+2))/2</f>
        <v>151.5</v>
      </c>
      <c r="O6" s="90">
        <f t="shared" ref="O6:O7" si="2">(INDEX(L:L,ROW(L3)*2+1)+INDEX(L:L,ROW(L3)*2+2))/2</f>
        <v>2.1154238571428571E-5</v>
      </c>
      <c r="P6" s="90">
        <f t="shared" ref="P6:P9" si="3">(INDEX(R:R,ROW(M3)*2+1)+INDEX(R:R,ROW(R3)*2+2))/2</f>
        <v>2.1845439578947371E-5</v>
      </c>
      <c r="R6" s="11">
        <f t="shared" si="1"/>
        <v>1.9777226526315789E-5</v>
      </c>
    </row>
    <row r="7" spans="1:18" x14ac:dyDescent="0.25">
      <c r="A7">
        <v>151</v>
      </c>
      <c r="B7" s="3">
        <v>1.268E-7</v>
      </c>
      <c r="C7" s="3">
        <v>1.7590000000000001E-7</v>
      </c>
      <c r="D7" s="3">
        <v>1.268E-7</v>
      </c>
      <c r="E7" s="3">
        <v>-1.0689999999999999E-5</v>
      </c>
      <c r="F7" s="3">
        <v>-1.0689999999999999E-5</v>
      </c>
      <c r="G7" s="3">
        <v>-1.0689999999999999E-5</v>
      </c>
      <c r="H7" s="3">
        <v>-3.5274511000000002E-6</v>
      </c>
      <c r="I7" s="3">
        <v>-9.8912186000000008E-7</v>
      </c>
      <c r="J7" s="3">
        <v>-3.5274511000000002E-6</v>
      </c>
      <c r="L7" s="48">
        <f t="shared" si="0"/>
        <v>2.015686342857143E-5</v>
      </c>
      <c r="M7" s="48"/>
      <c r="N7" s="10">
        <f>(INDEX(A:A,ROW(A4)*2+1)+INDEX(A:A,ROW(A4)*2+2))/2</f>
        <v>156.5</v>
      </c>
      <c r="O7" s="90">
        <f t="shared" si="2"/>
        <v>4.1120605142857142E-5</v>
      </c>
      <c r="P7" s="90">
        <f t="shared" si="3"/>
        <v>4.226697684210527E-5</v>
      </c>
      <c r="R7" s="11">
        <f t="shared" si="1"/>
        <v>2.082361810526316E-5</v>
      </c>
    </row>
    <row r="8" spans="1:18" x14ac:dyDescent="0.25">
      <c r="A8">
        <v>152</v>
      </c>
      <c r="B8" s="3">
        <v>-1.515E-7</v>
      </c>
      <c r="C8" s="3">
        <v>-4.7759999999999999E-7</v>
      </c>
      <c r="D8" s="3">
        <v>-1.515E-7</v>
      </c>
      <c r="E8" s="3">
        <v>1.206E-5</v>
      </c>
      <c r="F8" s="3">
        <v>1.206E-5</v>
      </c>
      <c r="G8" s="3">
        <v>1.206E-5</v>
      </c>
      <c r="H8" s="3">
        <v>3.8765323999999999E-6</v>
      </c>
      <c r="I8" s="3">
        <v>1.0861949E-6</v>
      </c>
      <c r="J8" s="3">
        <v>3.8765323999999999E-6</v>
      </c>
      <c r="L8" s="48">
        <f t="shared" si="0"/>
        <v>2.2151613714285715E-5</v>
      </c>
      <c r="M8" s="49"/>
      <c r="N8" s="10">
        <f>(INDEX(A:A,ROW(A5)*2+1)+INDEX(A:A,ROW(A5)*2+2))/2</f>
        <v>161.5</v>
      </c>
      <c r="O8" s="90">
        <f t="shared" ref="O8:O9" si="4">(INDEX(L:L,ROW(L5)*2+1)+INDEX(L:L,ROW(L5)*2+2))/2</f>
        <v>5.9200051428571433E-5</v>
      </c>
      <c r="P8" s="90">
        <f t="shared" si="3"/>
        <v>6.052054E-5</v>
      </c>
      <c r="R8" s="11">
        <f t="shared" si="1"/>
        <v>2.2867261052631578E-5</v>
      </c>
    </row>
    <row r="9" spans="1:18" x14ac:dyDescent="0.25">
      <c r="A9">
        <v>156</v>
      </c>
      <c r="B9" s="3">
        <v>3.7329999999999999E-7</v>
      </c>
      <c r="C9" s="3">
        <v>3.1930000000000002E-6</v>
      </c>
      <c r="D9" s="3">
        <v>3.7329999999999999E-7</v>
      </c>
      <c r="E9" s="3">
        <v>-2.444E-5</v>
      </c>
      <c r="F9" s="3">
        <v>-2.444E-5</v>
      </c>
      <c r="G9" s="3">
        <v>-2.444E-5</v>
      </c>
      <c r="H9" s="3">
        <v>-7.0206212999999999E-6</v>
      </c>
      <c r="I9" s="3">
        <v>-1.9594163000000001E-6</v>
      </c>
      <c r="J9" s="3">
        <v>-7.0206212999999999E-6</v>
      </c>
      <c r="L9" s="48">
        <f t="shared" si="0"/>
        <v>4.0117836000000003E-5</v>
      </c>
      <c r="M9" s="48"/>
      <c r="N9" s="10">
        <f>(INDEX(A:A,ROW(A6)*2+1)+INDEX(A:A,ROW(A6)*2+2))/2</f>
        <v>180.5</v>
      </c>
      <c r="O9" s="90">
        <f t="shared" si="4"/>
        <v>5.9157857142857142E-5</v>
      </c>
      <c r="P9" s="90">
        <f t="shared" si="3"/>
        <v>6.0679988421052626E-5</v>
      </c>
      <c r="R9" s="11">
        <f t="shared" si="1"/>
        <v>4.1250869473684213E-5</v>
      </c>
    </row>
    <row r="10" spans="1:18" x14ac:dyDescent="0.25">
      <c r="A10">
        <v>157</v>
      </c>
      <c r="B10" s="3">
        <v>-3.967E-7</v>
      </c>
      <c r="C10" s="3">
        <v>-3.4979999999999998E-6</v>
      </c>
      <c r="D10" s="3">
        <v>-3.967E-7</v>
      </c>
      <c r="E10" s="3">
        <v>2.5809999999999999E-5</v>
      </c>
      <c r="F10" s="3">
        <v>2.5809999999999999E-5</v>
      </c>
      <c r="G10" s="3">
        <v>2.5809999999999999E-5</v>
      </c>
      <c r="H10" s="3">
        <v>7.3715904999999997E-6</v>
      </c>
      <c r="I10" s="3">
        <v>2.0559465000000002E-6</v>
      </c>
      <c r="J10" s="3">
        <v>7.3715904999999997E-6</v>
      </c>
      <c r="L10" s="48">
        <f t="shared" si="0"/>
        <v>4.2123374285714289E-5</v>
      </c>
      <c r="M10" s="49"/>
      <c r="N10" s="10"/>
      <c r="O10" s="3"/>
      <c r="R10" s="11">
        <f t="shared" si="1"/>
        <v>4.3283084210526321E-5</v>
      </c>
    </row>
    <row r="11" spans="1:18" x14ac:dyDescent="0.25">
      <c r="A11">
        <v>161</v>
      </c>
      <c r="B11" s="3">
        <v>5.7840000000000004E-7</v>
      </c>
      <c r="C11" s="3">
        <v>6.117E-6</v>
      </c>
      <c r="D11" s="3">
        <v>5.7840000000000004E-7</v>
      </c>
      <c r="E11" s="3">
        <v>-3.7499999999999997E-5</v>
      </c>
      <c r="F11" s="3">
        <v>-3.7499999999999997E-5</v>
      </c>
      <c r="G11" s="3">
        <v>-3.7499999999999997E-5</v>
      </c>
      <c r="H11" s="3">
        <v>-1.0360211E-5</v>
      </c>
      <c r="I11" s="3">
        <v>-2.8745259000000001E-6</v>
      </c>
      <c r="J11" s="3">
        <v>-1.0360211E-5</v>
      </c>
      <c r="L11" s="48">
        <f t="shared" si="0"/>
        <v>5.9201205714285719E-5</v>
      </c>
      <c r="M11" s="48"/>
      <c r="N11" s="10"/>
      <c r="O11" s="3"/>
      <c r="R11" s="11">
        <f t="shared" si="1"/>
        <v>6.0516334736842108E-5</v>
      </c>
    </row>
    <row r="12" spans="1:18" x14ac:dyDescent="0.25">
      <c r="A12">
        <v>162</v>
      </c>
      <c r="B12" s="3">
        <v>-5.7950000000000002E-7</v>
      </c>
      <c r="C12" s="3">
        <v>-6.1129999999999997E-6</v>
      </c>
      <c r="D12" s="3">
        <v>-5.7950000000000002E-7</v>
      </c>
      <c r="E12" s="3">
        <v>3.7499999999999997E-5</v>
      </c>
      <c r="F12" s="3">
        <v>3.7499999999999997E-5</v>
      </c>
      <c r="G12" s="3">
        <v>3.7499999999999997E-5</v>
      </c>
      <c r="H12" s="3">
        <v>1.0359806999999999E-5</v>
      </c>
      <c r="I12" s="3">
        <v>2.8749254E-6</v>
      </c>
      <c r="J12" s="3">
        <v>1.0359806999999999E-5</v>
      </c>
      <c r="L12" s="48">
        <f t="shared" si="0"/>
        <v>5.9198897142857147E-5</v>
      </c>
      <c r="M12" s="49"/>
      <c r="N12" s="10"/>
      <c r="O12" s="3"/>
      <c r="R12" s="11">
        <f t="shared" si="1"/>
        <v>6.0524745263157893E-5</v>
      </c>
    </row>
    <row r="13" spans="1:18" x14ac:dyDescent="0.25">
      <c r="A13">
        <v>180</v>
      </c>
      <c r="B13" s="3">
        <v>6.0019999999999999E-7</v>
      </c>
      <c r="C13" s="3">
        <v>6.0449999999999997E-6</v>
      </c>
      <c r="D13" s="3">
        <v>6.0019999999999999E-7</v>
      </c>
      <c r="E13" s="3">
        <v>-3.7499999999999997E-5</v>
      </c>
      <c r="F13" s="3">
        <v>-3.7499999999999997E-5</v>
      </c>
      <c r="G13" s="3">
        <v>-3.7499999999999997E-5</v>
      </c>
      <c r="H13" s="3">
        <v>-1.035282E-5</v>
      </c>
      <c r="I13" s="3">
        <v>-2.8820989000000001E-6</v>
      </c>
      <c r="J13" s="3">
        <v>-1.035282E-5</v>
      </c>
      <c r="L13" s="48">
        <f t="shared" si="0"/>
        <v>5.9158971428571432E-5</v>
      </c>
      <c r="M13" s="48"/>
      <c r="N13" s="10"/>
      <c r="O13" s="3"/>
      <c r="R13" s="11">
        <f t="shared" si="1"/>
        <v>6.0675766315789475E-5</v>
      </c>
    </row>
    <row r="14" spans="1:18" x14ac:dyDescent="0.25">
      <c r="A14" s="11">
        <v>181</v>
      </c>
      <c r="B14" s="3">
        <v>-6.0129999999999996E-7</v>
      </c>
      <c r="C14" s="3">
        <v>-6.0410000000000003E-6</v>
      </c>
      <c r="D14" s="3">
        <v>-6.0129999999999996E-7</v>
      </c>
      <c r="E14" s="3">
        <v>3.7499999999999997E-5</v>
      </c>
      <c r="F14" s="3">
        <v>3.7499999999999997E-5</v>
      </c>
      <c r="G14" s="3">
        <v>3.7499999999999997E-5</v>
      </c>
      <c r="H14" s="3">
        <v>1.035243E-5</v>
      </c>
      <c r="I14" s="3">
        <v>2.8824999999999999E-6</v>
      </c>
      <c r="J14" s="3">
        <v>1.035243E-5</v>
      </c>
      <c r="L14" s="48">
        <f t="shared" si="0"/>
        <v>5.9156742857142859E-5</v>
      </c>
      <c r="M14" s="49"/>
      <c r="N14" s="10"/>
      <c r="O14" s="3"/>
      <c r="R14" s="11">
        <f t="shared" si="1"/>
        <v>6.0684210526315785E-5</v>
      </c>
    </row>
    <row r="15" spans="1:18" x14ac:dyDescent="0.25">
      <c r="L15" s="48"/>
      <c r="M15" s="48"/>
      <c r="N15" s="10"/>
      <c r="O15" s="3"/>
    </row>
    <row r="16" spans="1:18" x14ac:dyDescent="0.25">
      <c r="L16" s="48"/>
      <c r="M16" s="49"/>
      <c r="N16" s="10"/>
      <c r="O16" s="3"/>
    </row>
    <row r="17" spans="2:15" x14ac:dyDescent="0.25">
      <c r="B17" s="89" t="s">
        <v>128</v>
      </c>
      <c r="C17" s="89"/>
      <c r="D17" s="89"/>
      <c r="E17" s="89"/>
      <c r="F17" s="89"/>
      <c r="G17" s="89"/>
      <c r="H17" s="89"/>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27691.328000000001</v>
      </c>
    </row>
    <row r="3" spans="2:4" x14ac:dyDescent="0.25">
      <c r="B3" t="s">
        <v>119</v>
      </c>
      <c r="C3" s="3">
        <v>0.35195679000000002</v>
      </c>
    </row>
    <row r="4" spans="2:4" x14ac:dyDescent="0.25">
      <c r="B4" t="s">
        <v>120</v>
      </c>
      <c r="C4" s="3">
        <v>27960.883999999998</v>
      </c>
    </row>
    <row r="5" spans="2:4" x14ac:dyDescent="0.25">
      <c r="B5" t="s">
        <v>121</v>
      </c>
      <c r="C5" s="3">
        <v>0.35541003999999998</v>
      </c>
    </row>
    <row r="6" spans="2:4" x14ac:dyDescent="0.25">
      <c r="B6" t="s">
        <v>122</v>
      </c>
      <c r="C6" s="3">
        <v>27691.328000000001</v>
      </c>
    </row>
    <row r="7" spans="2:4" x14ac:dyDescent="0.25">
      <c r="B7" t="s">
        <v>123</v>
      </c>
      <c r="C7" s="3">
        <v>0.35911014000000002</v>
      </c>
    </row>
    <row r="8" spans="2:4" x14ac:dyDescent="0.25">
      <c r="B8" t="s">
        <v>124</v>
      </c>
      <c r="C8" t="s">
        <v>125</v>
      </c>
      <c r="D8" s="3">
        <v>10187.300999999999</v>
      </c>
    </row>
    <row r="9" spans="2:4" x14ac:dyDescent="0.25">
      <c r="B9" t="s">
        <v>126</v>
      </c>
      <c r="C9" t="s">
        <v>125</v>
      </c>
      <c r="D9" s="3">
        <v>10360.254000000001</v>
      </c>
    </row>
    <row r="10" spans="2:4" x14ac:dyDescent="0.25">
      <c r="B10" t="s">
        <v>127</v>
      </c>
      <c r="C10" t="s">
        <v>125</v>
      </c>
      <c r="D10" s="3">
        <v>10360.254000000001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X19"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04" t="s">
        <v>7</v>
      </c>
      <c r="B1" s="104"/>
      <c r="C1" s="104"/>
      <c r="D1" s="104"/>
      <c r="E1" s="104"/>
      <c r="F1" s="104"/>
      <c r="G1" s="104"/>
      <c r="H1" s="104"/>
      <c r="I1" s="104"/>
      <c r="J1" s="104"/>
      <c r="K1" s="104"/>
      <c r="M1" s="104" t="s">
        <v>8</v>
      </c>
      <c r="N1" s="104"/>
      <c r="O1" s="104"/>
      <c r="P1" s="104"/>
      <c r="Q1" s="104"/>
      <c r="R1" s="104"/>
      <c r="S1" s="104"/>
      <c r="T1" s="104"/>
      <c r="U1" s="104"/>
      <c r="V1" s="104"/>
      <c r="W1" s="104"/>
      <c r="X1" s="104"/>
      <c r="Z1" s="105" t="s">
        <v>10</v>
      </c>
      <c r="AA1" s="105"/>
      <c r="AB1" s="105"/>
      <c r="AC1" s="105"/>
      <c r="AD1" s="105"/>
      <c r="AE1" s="105"/>
      <c r="AF1" s="105"/>
      <c r="AG1" s="105"/>
      <c r="AH1" s="105"/>
      <c r="AI1" s="105"/>
      <c r="AJ1" s="105"/>
      <c r="AL1" s="104" t="s">
        <v>11</v>
      </c>
      <c r="AM1" s="104"/>
      <c r="AN1" s="104"/>
      <c r="AO1" s="104"/>
      <c r="AP1" s="104"/>
      <c r="AQ1" s="104"/>
      <c r="AR1" s="104"/>
      <c r="AS1" s="104"/>
      <c r="AT1" s="104"/>
      <c r="AU1" s="104"/>
      <c r="AV1" s="104"/>
      <c r="AX1" s="104" t="s">
        <v>12</v>
      </c>
      <c r="AY1" s="104"/>
      <c r="AZ1" s="104"/>
      <c r="BA1" s="104"/>
      <c r="BB1" s="104"/>
      <c r="BC1" s="104"/>
      <c r="BD1" s="104"/>
      <c r="BE1" s="104"/>
      <c r="BF1" s="104"/>
      <c r="BG1" s="104"/>
      <c r="BH1" s="104"/>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-3.5999508571428571E-4</v>
      </c>
      <c r="C3" s="2">
        <f>IF('Modell einstellen'!$B$2="Ja",creep_res0!O3,creep_res0!C3)</f>
        <v>-3.6499157142857151E-4</v>
      </c>
      <c r="D3" s="2">
        <f>IF('Modell einstellen'!$B$2="Ja",creep_res25!O3,creep_res25!C3)</f>
        <v>-3.7633954285714287E-4</v>
      </c>
      <c r="E3" s="2">
        <f>IF('Modell einstellen'!$B$2="Ja",creep_res50!O3,creep_res50!C3)</f>
        <v>-3.8382265714285714E-4</v>
      </c>
      <c r="F3" s="2">
        <f>IF('Modell einstellen'!$B$2="Ja",creep_res80!O3,creep_res80!C3)</f>
        <v>-3.9366482857142865E-4</v>
      </c>
      <c r="G3" s="2">
        <f>IF('Modell einstellen'!$B$2="Ja",creep_res125!O3,creep_res125!C3)</f>
        <v>-4.2099691428571434E-4</v>
      </c>
      <c r="H3" s="2">
        <f>IF('Modell einstellen'!$B$2="Ja",creep_res160!O3,creep_res160!C3)</f>
        <v>-4.5570065714285718E-4</v>
      </c>
      <c r="M3" s="9">
        <v>-10</v>
      </c>
      <c r="N3" s="2">
        <f t="shared" ref="N3:N33" si="4">A3</f>
        <v>1.0000000000000001E-15</v>
      </c>
      <c r="O3" s="2">
        <f t="shared" ref="O3:O33" si="5">$M$3/B3</f>
        <v>27778.156971666598</v>
      </c>
      <c r="P3" s="2">
        <f t="shared" ref="P3:P33" si="6">$M$3/C3</f>
        <v>27397.892945473101</v>
      </c>
      <c r="Q3" s="2">
        <f t="shared" ref="Q3:Q33" si="7">$M$3/D3</f>
        <v>26571.749341248375</v>
      </c>
      <c r="R3" s="2">
        <f t="shared" ref="R3:R33" si="8">$M$3/E3</f>
        <v>26053.699055806504</v>
      </c>
      <c r="S3" s="2">
        <f t="shared" ref="S3:S33" si="9">$M$3/F3</f>
        <v>25402.320131795943</v>
      </c>
      <c r="T3" s="2">
        <f t="shared" ref="T3:T33" si="10">$M$3/G3</f>
        <v>23753.143219509173</v>
      </c>
      <c r="U3" s="2">
        <f t="shared" ref="U3:U33" si="11">$M$3/H3</f>
        <v>21944.22993088884</v>
      </c>
      <c r="Z3" s="2">
        <v>1.0000000000000001E-15</v>
      </c>
      <c r="AA3" s="3">
        <f>IF('Modell einstellen'!$B$2="Ja",'creep_res-40'!P3,'creep_res-40'!L3)</f>
        <v>0.35918667302442542</v>
      </c>
      <c r="AB3" s="2">
        <f>IF('Modell einstellen'!$B$2="Ja",creep_res0!P3,creep_res0!L3)</f>
        <v>0.36097437866471271</v>
      </c>
      <c r="AC3" s="2">
        <f>IF('Modell einstellen'!$B$2="Ja",creep_res25!P3,creep_res25!L3)</f>
        <v>0.36545239845719868</v>
      </c>
      <c r="AD3" s="2">
        <f>IF('Modell einstellen'!$B$2="Ja",creep_res50!P3,creep_res50!L3)</f>
        <v>0.36817847349590693</v>
      </c>
      <c r="AE3" s="2">
        <f>IF('Modell einstellen'!$B$2="Ja",creep_res80!P3,creep_res80!L3)</f>
        <v>0.3716299195494005</v>
      </c>
      <c r="AF3" s="2">
        <f>IF('Modell einstellen'!$B$2="Ja",creep_res125!P3,creep_res125!L3)</f>
        <v>0.38085536018859178</v>
      </c>
      <c r="AG3" s="2">
        <f>IF('Modell einstellen'!$B$2="Ja",creep_res160!P3,creep_res160!L3)</f>
        <v>0.39151321954894824</v>
      </c>
      <c r="AL3" s="2">
        <f t="shared" ref="AL3:AL33" si="12">Z3</f>
        <v>1.0000000000000001E-15</v>
      </c>
      <c r="AM3" s="2">
        <f t="shared" ref="AM3:AM33" si="13">O3/(2*(1+AA3))</f>
        <v>10218.668827091791</v>
      </c>
      <c r="AN3" s="2">
        <f t="shared" ref="AN3:AN33" si="14">P3/(2*(1+AB3))</f>
        <v>10065.543251576082</v>
      </c>
      <c r="AO3" s="2">
        <f t="shared" ref="AO3:AO33" si="15">Q3/(2*(1+AC3))</f>
        <v>9730.0167223959397</v>
      </c>
      <c r="AP3" s="2">
        <f t="shared" ref="AP3:AP33" si="16">R3/(2*(1+AD3))</f>
        <v>9521.3086452220268</v>
      </c>
      <c r="AQ3" s="2">
        <f t="shared" ref="AQ3:AQ33" si="17">S3/(2*(1+AE3))</f>
        <v>9259.9030429946288</v>
      </c>
      <c r="AR3" s="2">
        <f t="shared" ref="AR3:AR33" si="18">T3/(2*(1+AF3))</f>
        <v>8600.88026028485</v>
      </c>
      <c r="AS3" s="2">
        <f t="shared" ref="AS3:AS33" si="19">U3/(2*(1+AG3))</f>
        <v>7885.0238799750496</v>
      </c>
      <c r="AX3" s="2">
        <f>AL3</f>
        <v>1.0000000000000001E-15</v>
      </c>
      <c r="AY3" s="37">
        <f t="shared" ref="AY3:AY33" si="20">O3/(3*(1-(2*AA3)))</f>
        <v>32878.229128228493</v>
      </c>
      <c r="AZ3" s="37">
        <f t="shared" ref="AZ3:AZ33" si="21">P3/(3*(1-(2*AB3)))</f>
        <v>32845.136364466423</v>
      </c>
      <c r="BA3" s="37">
        <f t="shared" ref="BA3:BA33" si="22">Q3/(3*(1-(2*AC3)))</f>
        <v>32914.930027937065</v>
      </c>
      <c r="BB3" s="37">
        <f t="shared" ref="BB3:BB33" si="23">R3/(3*(1-(2*AD3)))</f>
        <v>32940.622758096513</v>
      </c>
      <c r="BC3" s="37">
        <f t="shared" ref="BC3:BC33" si="24">S3/(3*(1-(2*AE3)))</f>
        <v>32980.582446509005</v>
      </c>
      <c r="BD3" s="37">
        <f t="shared" ref="BD3:BD33" si="25">T3/(3*(1-(2*AF3)))</f>
        <v>33227.321090717371</v>
      </c>
      <c r="BE3" s="37">
        <f t="shared" ref="BE3:BE33" si="26">U3/(3*(1-(2*AG3)))</f>
        <v>33712.602032634866</v>
      </c>
    </row>
    <row r="4" spans="1:308" x14ac:dyDescent="0.25">
      <c r="A4" s="2">
        <f>'creep_res-40'!A4</f>
        <v>1E-14</v>
      </c>
      <c r="B4" s="3">
        <f>'creep_res-40'!O4</f>
        <v>-3.6278599999999998E-4</v>
      </c>
      <c r="C4" s="2">
        <f>IF('Modell einstellen'!$B$2="Ja",creep_res0!O4,creep_res0!C4)</f>
        <v>-3.7702474285714288E-4</v>
      </c>
      <c r="D4" s="2">
        <f>IF('Modell einstellen'!$B$2="Ja",creep_res25!O4,creep_res25!C4)</f>
        <v>-3.8540391428571434E-4</v>
      </c>
      <c r="E4" s="2">
        <f>IF('Modell einstellen'!$B$2="Ja",creep_res50!O4,creep_res50!C4)</f>
        <v>-3.9338445714285714E-4</v>
      </c>
      <c r="F4" s="2">
        <f>IF('Modell einstellen'!$B$2="Ja",creep_res80!O4,creep_res80!C4)</f>
        <v>-4.0491805714285717E-4</v>
      </c>
      <c r="G4" s="2">
        <f>IF('Modell einstellen'!$B$2="Ja",creep_res125!O4,creep_res125!C4)</f>
        <v>-4.3679314285714293E-4</v>
      </c>
      <c r="H4" s="2">
        <f>IF('Modell einstellen'!$B$2="Ja",creep_res160!O4,creep_res160!C4)</f>
        <v>-4.7502377142857145E-4</v>
      </c>
      <c r="M4" s="9">
        <f t="shared" ref="M4:M31" si="27">M3</f>
        <v>-10</v>
      </c>
      <c r="N4" s="2">
        <f t="shared" si="4"/>
        <v>1E-14</v>
      </c>
      <c r="O4" s="2">
        <f t="shared" si="5"/>
        <v>27564.45948851389</v>
      </c>
      <c r="P4" s="2">
        <f t="shared" si="6"/>
        <v>26523.458180008798</v>
      </c>
      <c r="Q4" s="2">
        <f t="shared" si="7"/>
        <v>25946.804454577039</v>
      </c>
      <c r="R4" s="2">
        <f t="shared" si="8"/>
        <v>25420.424773845374</v>
      </c>
      <c r="S4" s="2">
        <f t="shared" si="9"/>
        <v>24696.354789808618</v>
      </c>
      <c r="T4" s="2">
        <f t="shared" si="10"/>
        <v>22894.132299303492</v>
      </c>
      <c r="U4" s="2">
        <f t="shared" si="11"/>
        <v>21051.578050349599</v>
      </c>
      <c r="Z4" s="2">
        <v>1E-14</v>
      </c>
      <c r="AA4" s="3">
        <f>IF('Modell einstellen'!$B$2="Ja",'creep_res-40'!P4,'creep_res-40'!L4)</f>
        <v>0.36043716445192803</v>
      </c>
      <c r="AB4" s="2">
        <f>IF('Modell einstellen'!$B$2="Ja",creep_res0!P4,creep_res0!L4)</f>
        <v>0.3659566109567951</v>
      </c>
      <c r="AC4" s="2">
        <f>IF('Modell einstellen'!$B$2="Ja",creep_res25!P4,creep_res25!L4)</f>
        <v>0.36905797605880936</v>
      </c>
      <c r="AD4" s="2">
        <f>IF('Modell einstellen'!$B$2="Ja",creep_res50!P4,creep_res50!L4)</f>
        <v>0.37185876179580335</v>
      </c>
      <c r="AE4" s="2">
        <f>IF('Modell einstellen'!$B$2="Ja",creep_res80!P4,creep_res80!L4)</f>
        <v>0.37577445651790431</v>
      </c>
      <c r="AF4" s="2">
        <f>IF('Modell einstellen'!$B$2="Ja",creep_res125!P4,creep_res125!L4)</f>
        <v>0.38609265844047785</v>
      </c>
      <c r="AG4" s="2">
        <f>IF('Modell einstellen'!$B$2="Ja",creep_res160!P4,creep_res160!L4)</f>
        <v>0.39725240216549768</v>
      </c>
      <c r="AL4" s="2">
        <f t="shared" si="12"/>
        <v>1E-14</v>
      </c>
      <c r="AM4" s="2">
        <f t="shared" si="13"/>
        <v>10130.735990154546</v>
      </c>
      <c r="AN4" s="2">
        <f t="shared" si="14"/>
        <v>9708.7484211633309</v>
      </c>
      <c r="AO4" s="2">
        <f t="shared" si="15"/>
        <v>9476.1525473419642</v>
      </c>
      <c r="AP4" s="2">
        <f t="shared" si="16"/>
        <v>9264.9569626866305</v>
      </c>
      <c r="AQ4" s="2">
        <f t="shared" si="17"/>
        <v>8975.4373156175916</v>
      </c>
      <c r="AR4" s="2">
        <f t="shared" si="18"/>
        <v>8258.5143784911779</v>
      </c>
      <c r="AS4" s="2">
        <f t="shared" si="19"/>
        <v>7533.2051738552464</v>
      </c>
      <c r="AX4" s="2">
        <f t="shared" ref="AX4:AX32" si="28">AL4</f>
        <v>1E-14</v>
      </c>
      <c r="AY4" s="37">
        <f t="shared" si="20"/>
        <v>32917.621395250077</v>
      </c>
      <c r="AZ4" s="37">
        <f t="shared" si="21"/>
        <v>32978.697382158534</v>
      </c>
      <c r="BA4" s="37">
        <f t="shared" si="22"/>
        <v>33025.817678199324</v>
      </c>
      <c r="BB4" s="37">
        <f t="shared" si="23"/>
        <v>33063.028902188402</v>
      </c>
      <c r="BC4" s="37">
        <f t="shared" si="24"/>
        <v>33133.758293663705</v>
      </c>
      <c r="BD4" s="37">
        <f t="shared" si="25"/>
        <v>33498.180752086977</v>
      </c>
      <c r="BE4" s="37">
        <f t="shared" si="26"/>
        <v>34147.721364506273</v>
      </c>
      <c r="BF4" s="5"/>
      <c r="BG4" s="5"/>
    </row>
    <row r="5" spans="1:308" x14ac:dyDescent="0.25">
      <c r="A5" s="2">
        <f>'creep_res-40'!A5</f>
        <v>1E-13</v>
      </c>
      <c r="B5" s="3">
        <f>'creep_res-40'!O5</f>
        <v>-3.7324014285714294E-4</v>
      </c>
      <c r="C5" s="2">
        <f>IF('Modell einstellen'!$B$2="Ja",creep_res0!O5,creep_res0!C5)</f>
        <v>-3.8432448571428576E-4</v>
      </c>
      <c r="D5" s="2">
        <f>IF('Modell einstellen'!$B$2="Ja",creep_res25!O5,creep_res25!C5)</f>
        <v>-3.9335028571428572E-4</v>
      </c>
      <c r="E5" s="2">
        <f>IF('Modell einstellen'!$B$2="Ja",creep_res50!O5,creep_res50!C5)</f>
        <v>-4.0219902857142859E-4</v>
      </c>
      <c r="F5" s="2">
        <f>IF('Modell einstellen'!$B$2="Ja",creep_res80!O5,creep_res80!C5)</f>
        <v>-4.1571082857142861E-4</v>
      </c>
      <c r="G5" s="2">
        <f>IF('Modell einstellen'!$B$2="Ja",creep_res125!O5,creep_res125!C5)</f>
        <v>-4.5152640000000003E-4</v>
      </c>
      <c r="H5" s="2">
        <f>IF('Modell einstellen'!$B$2="Ja",creep_res160!O5,creep_res160!C5)</f>
        <v>-4.9555025714285712E-4</v>
      </c>
      <c r="M5" s="9">
        <f t="shared" si="27"/>
        <v>-10</v>
      </c>
      <c r="N5" s="2">
        <f t="shared" si="4"/>
        <v>1E-13</v>
      </c>
      <c r="O5" s="2">
        <f t="shared" si="5"/>
        <v>26792.4021340531</v>
      </c>
      <c r="P5" s="2">
        <f t="shared" si="6"/>
        <v>26019.67965016466</v>
      </c>
      <c r="Q5" s="2">
        <f t="shared" si="7"/>
        <v>25422.633116538804</v>
      </c>
      <c r="R5" s="2">
        <f t="shared" si="8"/>
        <v>24863.312165419735</v>
      </c>
      <c r="S5" s="2">
        <f t="shared" si="9"/>
        <v>24055.182864407325</v>
      </c>
      <c r="T5" s="2">
        <f t="shared" si="10"/>
        <v>22147.099261527121</v>
      </c>
      <c r="U5" s="2">
        <f t="shared" si="11"/>
        <v>20179.587954723233</v>
      </c>
      <c r="Z5" s="2">
        <v>1E-13</v>
      </c>
      <c r="AA5" s="3">
        <f>IF('Modell einstellen'!$B$2="Ja",'creep_res-40'!P5,'creep_res-40'!L5)</f>
        <v>0.36479927706444065</v>
      </c>
      <c r="AB5" s="2">
        <f>IF('Modell einstellen'!$B$2="Ja",creep_res0!P5,creep_res0!L5)</f>
        <v>0.36886885092708488</v>
      </c>
      <c r="AC5" s="2">
        <f>IF('Modell einstellen'!$B$2="Ja",creep_res25!P5,creep_res25!L5)</f>
        <v>0.37211216320458834</v>
      </c>
      <c r="AD5" s="2">
        <f>IF('Modell einstellen'!$B$2="Ja",creep_res50!P5,creep_res50!L5)</f>
        <v>0.3751344998631097</v>
      </c>
      <c r="AE5" s="2">
        <f>IF('Modell einstellen'!$B$2="Ja",creep_res80!P5,creep_res80!L5)</f>
        <v>0.37959892999797451</v>
      </c>
      <c r="AF5" s="2">
        <f>IF('Modell einstellen'!$B$2="Ja",creep_res125!P5,creep_res125!L5)</f>
        <v>0.39077334759859633</v>
      </c>
      <c r="AG5" s="2">
        <f>IF('Modell einstellen'!$B$2="Ja",creep_res160!P5,creep_res160!L5)</f>
        <v>0.40306722818195923</v>
      </c>
      <c r="AL5" s="2">
        <f t="shared" si="12"/>
        <v>1E-13</v>
      </c>
      <c r="AM5" s="2">
        <f t="shared" si="13"/>
        <v>9815.5100842671618</v>
      </c>
      <c r="AN5" s="2">
        <f t="shared" si="14"/>
        <v>9504.080552546171</v>
      </c>
      <c r="AO5" s="2">
        <f t="shared" si="15"/>
        <v>9264.0506360514537</v>
      </c>
      <c r="AP5" s="2">
        <f t="shared" si="16"/>
        <v>9040.3201170121174</v>
      </c>
      <c r="AQ5" s="2">
        <f t="shared" si="17"/>
        <v>8718.1797337443004</v>
      </c>
      <c r="AR5" s="2">
        <f t="shared" si="18"/>
        <v>7962.1526037178537</v>
      </c>
      <c r="AS5" s="2">
        <f t="shared" si="19"/>
        <v>7191.2405725815324</v>
      </c>
      <c r="AX5" s="2">
        <f t="shared" si="28"/>
        <v>1E-13</v>
      </c>
      <c r="AY5" s="37">
        <f t="shared" si="20"/>
        <v>33027.932534087544</v>
      </c>
      <c r="AZ5" s="37">
        <f t="shared" si="21"/>
        <v>33070.809686995737</v>
      </c>
      <c r="BA5" s="37">
        <f t="shared" si="22"/>
        <v>33131.419105957953</v>
      </c>
      <c r="BB5" s="37">
        <f t="shared" si="23"/>
        <v>33186.791838901372</v>
      </c>
      <c r="BC5" s="37">
        <f t="shared" si="24"/>
        <v>33298.683674492604</v>
      </c>
      <c r="BD5" s="37">
        <f t="shared" si="25"/>
        <v>33793.796011339487</v>
      </c>
      <c r="BE5" s="37">
        <f t="shared" si="26"/>
        <v>34696.879043487541</v>
      </c>
    </row>
    <row r="6" spans="1:308" x14ac:dyDescent="0.25">
      <c r="A6" s="2">
        <f>'creep_res-40'!A6</f>
        <v>9.9999999999999998E-13</v>
      </c>
      <c r="B6" s="3">
        <f>'creep_res-40'!O6</f>
        <v>-3.806628857142857E-4</v>
      </c>
      <c r="C6" s="2">
        <f>IF('Modell einstellen'!$B$2="Ja",creep_res0!O6,creep_res0!C6)</f>
        <v>-3.9200328571428571E-4</v>
      </c>
      <c r="D6" s="2">
        <f>IF('Modell einstellen'!$B$2="Ja",creep_res25!O6,creep_res25!C6)</f>
        <v>-4.0201937142857143E-4</v>
      </c>
      <c r="E6" s="2">
        <f>IF('Modell einstellen'!$B$2="Ja",creep_res50!O6,creep_res50!C6)</f>
        <v>-4.1229211428571433E-4</v>
      </c>
      <c r="F6" s="2">
        <f>IF('Modell einstellen'!$B$2="Ja",creep_res80!O6,creep_res80!C6)</f>
        <v>-4.2745811428571433E-4</v>
      </c>
      <c r="G6" s="2">
        <f>IF('Modell einstellen'!$B$2="Ja",creep_res125!O6,creep_res125!C6)</f>
        <v>-4.6579128571428574E-4</v>
      </c>
      <c r="H6" s="2">
        <f>IF('Modell einstellen'!$B$2="Ja",creep_res160!O6,creep_res160!C6)</f>
        <v>-5.2058842857142867E-4</v>
      </c>
      <c r="M6" s="9">
        <f t="shared" si="27"/>
        <v>-10</v>
      </c>
      <c r="N6" s="2">
        <f t="shared" si="4"/>
        <v>9.9999999999999998E-13</v>
      </c>
      <c r="O6" s="2">
        <f t="shared" si="5"/>
        <v>26269.963201786119</v>
      </c>
      <c r="P6" s="2">
        <f t="shared" si="6"/>
        <v>25509.990258828006</v>
      </c>
      <c r="Q6" s="2">
        <f t="shared" si="7"/>
        <v>24874.423250962038</v>
      </c>
      <c r="R6" s="2">
        <f t="shared" si="8"/>
        <v>24254.64774489987</v>
      </c>
      <c r="S6" s="2">
        <f t="shared" si="9"/>
        <v>23394.104979642449</v>
      </c>
      <c r="T6" s="2">
        <f t="shared" si="10"/>
        <v>21468.84303484792</v>
      </c>
      <c r="U6" s="2">
        <f t="shared" si="11"/>
        <v>19209.032416339858</v>
      </c>
      <c r="Z6" s="2">
        <v>9.9999999999999998E-13</v>
      </c>
      <c r="AA6" s="3">
        <f>IF('Modell einstellen'!$B$2="Ja",'creep_res-40'!P6,'creep_res-40'!L6)</f>
        <v>0.36782979555738898</v>
      </c>
      <c r="AB6" s="2">
        <f>IF('Modell einstellen'!$B$2="Ja",creep_res0!P6,creep_res0!L6)</f>
        <v>0.37185836999179678</v>
      </c>
      <c r="AC6" s="2">
        <f>IF('Modell einstellen'!$B$2="Ja",creep_res25!P6,creep_res25!L6)</f>
        <v>0.37536169188151419</v>
      </c>
      <c r="AD6" s="2">
        <f>IF('Modell einstellen'!$B$2="Ja",creep_res50!P6,creep_res50!L6)</f>
        <v>0.37878089764926726</v>
      </c>
      <c r="AE6" s="2">
        <f>IF('Modell einstellen'!$B$2="Ja",creep_res80!P6,creep_res80!L6)</f>
        <v>0.38363343736803218</v>
      </c>
      <c r="AF6" s="2">
        <f>IF('Modell einstellen'!$B$2="Ja",creep_res125!P6,creep_res125!L6)</f>
        <v>0.39514674107563202</v>
      </c>
      <c r="AG6" s="2">
        <f>IF('Modell einstellen'!$B$2="Ja",creep_res160!P6,creep_res160!L6)</f>
        <v>0.4098448760866481</v>
      </c>
      <c r="AL6" s="2">
        <f t="shared" si="12"/>
        <v>9.9999999999999998E-13</v>
      </c>
      <c r="AM6" s="2">
        <f t="shared" si="13"/>
        <v>9602.7895017015398</v>
      </c>
      <c r="AN6" s="2">
        <f t="shared" si="14"/>
        <v>9297.6034614201999</v>
      </c>
      <c r="AO6" s="2">
        <f t="shared" si="15"/>
        <v>9042.8661048910981</v>
      </c>
      <c r="AP6" s="2">
        <f t="shared" si="16"/>
        <v>8795.6860246078559</v>
      </c>
      <c r="AQ6" s="2">
        <f t="shared" si="17"/>
        <v>8453.8665906134283</v>
      </c>
      <c r="AR6" s="2">
        <f t="shared" si="18"/>
        <v>7694.1164691736458</v>
      </c>
      <c r="AS6" s="2">
        <f t="shared" si="19"/>
        <v>6812.4631092957497</v>
      </c>
      <c r="AX6" s="2">
        <f t="shared" si="28"/>
        <v>9.9999999999999998E-13</v>
      </c>
      <c r="AY6" s="37">
        <f t="shared" si="20"/>
        <v>33126.431322112228</v>
      </c>
      <c r="AZ6" s="37">
        <f t="shared" si="21"/>
        <v>33179.420636882976</v>
      </c>
      <c r="BA6" s="37">
        <f t="shared" si="22"/>
        <v>33262.142844177419</v>
      </c>
      <c r="BB6" s="37">
        <f t="shared" si="23"/>
        <v>33348.219978731839</v>
      </c>
      <c r="BC6" s="37">
        <f t="shared" si="24"/>
        <v>33506.339006837261</v>
      </c>
      <c r="BD6" s="37">
        <f t="shared" si="25"/>
        <v>34125.219783478031</v>
      </c>
      <c r="BE6" s="37">
        <f t="shared" si="26"/>
        <v>35511.075397115274</v>
      </c>
    </row>
    <row r="7" spans="1:308" x14ac:dyDescent="0.25">
      <c r="A7" s="2">
        <f>'creep_res-40'!A7</f>
        <v>9.9999999999999994E-12</v>
      </c>
      <c r="B7" s="3">
        <f>'creep_res-40'!O7</f>
        <v>-3.878932285714286E-4</v>
      </c>
      <c r="C7" s="2">
        <f>IF('Modell einstellen'!$B$2="Ja",creep_res0!O7,creep_res0!C7)</f>
        <v>-4.0057774285714288E-4</v>
      </c>
      <c r="D7" s="2">
        <f>IF('Modell einstellen'!$B$2="Ja",creep_res25!O7,creep_res25!C7)</f>
        <v>-4.1216908571428576E-4</v>
      </c>
      <c r="E7" s="2">
        <f>IF('Modell einstellen'!$B$2="Ja",creep_res50!O7,creep_res50!C7)</f>
        <v>-4.237640857142858E-4</v>
      </c>
      <c r="F7" s="2">
        <f>IF('Modell einstellen'!$B$2="Ja",creep_res80!O7,creep_res80!C7)</f>
        <v>-4.4150500000000002E-4</v>
      </c>
      <c r="G7" s="2">
        <f>IF('Modell einstellen'!$B$2="Ja",creep_res125!O7,creep_res125!C7)</f>
        <v>-4.8305622857142865E-4</v>
      </c>
      <c r="H7" s="2">
        <f>IF('Modell einstellen'!$B$2="Ja",creep_res160!O7,creep_res160!C7)</f>
        <v>-5.4701862857142855E-4</v>
      </c>
      <c r="M7" s="9">
        <f t="shared" si="27"/>
        <v>-10</v>
      </c>
      <c r="N7" s="2">
        <f t="shared" si="4"/>
        <v>9.9999999999999994E-12</v>
      </c>
      <c r="O7" s="2">
        <f t="shared" si="5"/>
        <v>25780.290202097585</v>
      </c>
      <c r="P7" s="2">
        <f t="shared" si="6"/>
        <v>24963.943150396844</v>
      </c>
      <c r="Q7" s="2">
        <f t="shared" si="7"/>
        <v>24261.887527712272</v>
      </c>
      <c r="R7" s="2">
        <f t="shared" si="8"/>
        <v>23598.035645574491</v>
      </c>
      <c r="S7" s="2">
        <f t="shared" si="9"/>
        <v>22649.800115513979</v>
      </c>
      <c r="T7" s="2">
        <f t="shared" si="10"/>
        <v>20701.523774103076</v>
      </c>
      <c r="U7" s="2">
        <f t="shared" si="11"/>
        <v>18280.913076243109</v>
      </c>
      <c r="Z7" s="2">
        <v>9.9999999999999994E-12</v>
      </c>
      <c r="AA7" s="3">
        <f>IF('Modell einstellen'!$B$2="Ja",'creep_res-40'!P7,'creep_res-40'!L7)</f>
        <v>0.37070936236282398</v>
      </c>
      <c r="AB7" s="2">
        <f>IF('Modell einstellen'!$B$2="Ja",creep_res0!P7,creep_res0!L7)</f>
        <v>0.37511400854522908</v>
      </c>
      <c r="AC7" s="2">
        <f>IF('Modell einstellen'!$B$2="Ja",creep_res25!P7,creep_res25!L7)</f>
        <v>0.37905983522157827</v>
      </c>
      <c r="AD7" s="2">
        <f>IF('Modell einstellen'!$B$2="Ja",creep_res50!P7,creep_res50!L7)</f>
        <v>0.38280144821818979</v>
      </c>
      <c r="AE7" s="2">
        <f>IF('Modell einstellen'!$B$2="Ja",creep_res80!P7,creep_res80!L7)</f>
        <v>0.38828927677570391</v>
      </c>
      <c r="AF7" s="2">
        <f>IF('Modell einstellen'!$B$2="Ja",creep_res125!P7,creep_res125!L7)</f>
        <v>0.40024421883332356</v>
      </c>
      <c r="AG7" s="2">
        <f>IF('Modell einstellen'!$B$2="Ja",creep_res160!P7,creep_res160!L7)</f>
        <v>0.41669179508746956</v>
      </c>
      <c r="AL7" s="2">
        <f t="shared" si="12"/>
        <v>9.9999999999999994E-12</v>
      </c>
      <c r="AM7" s="2">
        <f t="shared" si="13"/>
        <v>9403.9958104822508</v>
      </c>
      <c r="AN7" s="2">
        <f t="shared" si="14"/>
        <v>9077.0448832845814</v>
      </c>
      <c r="AO7" s="2">
        <f t="shared" si="15"/>
        <v>8796.5318501985184</v>
      </c>
      <c r="AP7" s="2">
        <f t="shared" si="16"/>
        <v>8532.6912536798991</v>
      </c>
      <c r="AQ7" s="2">
        <f t="shared" si="17"/>
        <v>8157.4497816903277</v>
      </c>
      <c r="AR7" s="2">
        <f t="shared" si="18"/>
        <v>7392.1118529421537</v>
      </c>
      <c r="AS7" s="2">
        <f t="shared" si="19"/>
        <v>6451.9725248759578</v>
      </c>
      <c r="AX7" s="2">
        <f t="shared" si="28"/>
        <v>9.9999999999999994E-12</v>
      </c>
      <c r="AY7" s="37">
        <f t="shared" si="20"/>
        <v>33232.994377679985</v>
      </c>
      <c r="AZ7" s="37">
        <f t="shared" si="21"/>
        <v>33315.643678415632</v>
      </c>
      <c r="BA7" s="37">
        <f t="shared" si="22"/>
        <v>33435.111723998991</v>
      </c>
      <c r="BB7" s="37">
        <f t="shared" si="23"/>
        <v>33558.485844186886</v>
      </c>
      <c r="BC7" s="37">
        <f t="shared" si="24"/>
        <v>33792.339508352357</v>
      </c>
      <c r="BD7" s="37">
        <f t="shared" si="25"/>
        <v>34587.007609971733</v>
      </c>
      <c r="BE7" s="37">
        <f t="shared" si="26"/>
        <v>36572.854369380897</v>
      </c>
    </row>
    <row r="8" spans="1:308" x14ac:dyDescent="0.25">
      <c r="A8" s="2">
        <f>'creep_res-40'!A8</f>
        <v>1E-10</v>
      </c>
      <c r="B8" s="3">
        <f>'creep_res-40'!O8</f>
        <v>-3.9618314285714287E-4</v>
      </c>
      <c r="C8" s="2">
        <f>IF('Modell einstellen'!$B$2="Ja",creep_res0!O8,creep_res0!C8)</f>
        <v>-4.1050514285714286E-4</v>
      </c>
      <c r="D8" s="2">
        <f>IF('Modell einstellen'!$B$2="Ja",creep_res25!O8,creep_res25!C8)</f>
        <v>-4.2365497142857146E-4</v>
      </c>
      <c r="E8" s="2">
        <f>IF('Modell einstellen'!$B$2="Ja",creep_res50!O8,creep_res50!C8)</f>
        <v>-4.3715760000000002E-4</v>
      </c>
      <c r="F8" s="2">
        <f>IF('Modell einstellen'!$B$2="Ja",creep_res80!O8,creep_res80!C8)</f>
        <v>-4.554939428571429E-4</v>
      </c>
      <c r="G8" s="2">
        <f>IF('Modell einstellen'!$B$2="Ja",creep_res125!O8,creep_res125!C8)</f>
        <v>-5.0552008571428568E-4</v>
      </c>
      <c r="H8" s="2">
        <f>IF('Modell einstellen'!$B$2="Ja",creep_res160!O8,creep_res160!C8)</f>
        <v>-5.7006357142857145E-4</v>
      </c>
      <c r="M8" s="9">
        <f t="shared" si="27"/>
        <v>-10</v>
      </c>
      <c r="N8" s="2">
        <f t="shared" si="4"/>
        <v>1E-10</v>
      </c>
      <c r="O8" s="2">
        <f t="shared" si="5"/>
        <v>25240.85181384367</v>
      </c>
      <c r="P8" s="2">
        <f t="shared" si="6"/>
        <v>24360.23074010557</v>
      </c>
      <c r="Q8" s="2">
        <f t="shared" si="7"/>
        <v>23604.113428150831</v>
      </c>
      <c r="R8" s="2">
        <f t="shared" si="8"/>
        <v>22875.045521340588</v>
      </c>
      <c r="S8" s="2">
        <f t="shared" si="9"/>
        <v>21954.188758853183</v>
      </c>
      <c r="T8" s="2">
        <f t="shared" si="10"/>
        <v>19781.607660297574</v>
      </c>
      <c r="U8" s="2">
        <f t="shared" si="11"/>
        <v>17541.903221319928</v>
      </c>
      <c r="Z8" s="2">
        <v>1E-10</v>
      </c>
      <c r="AA8" s="3">
        <f>IF('Modell einstellen'!$B$2="Ja",'creep_res-40'!P8,'creep_res-40'!L8)</f>
        <v>0.37393080112300153</v>
      </c>
      <c r="AB8" s="2">
        <f>IF('Modell einstellen'!$B$2="Ja",creep_res0!P8,creep_res0!L8)</f>
        <v>0.37877846666963633</v>
      </c>
      <c r="AC8" s="2">
        <f>IF('Modell einstellen'!$B$2="Ja",creep_res25!P8,creep_res25!L8)</f>
        <v>0.38311924852056162</v>
      </c>
      <c r="AD8" s="2">
        <f>IF('Modell einstellen'!$B$2="Ja",creep_res50!P8,creep_res50!L8)</f>
        <v>0.38733544019038313</v>
      </c>
      <c r="AE8" s="2">
        <f>IF('Modell einstellen'!$B$2="Ja",creep_res80!P8,creep_res80!L8)</f>
        <v>0.39277062991209288</v>
      </c>
      <c r="AF8" s="2">
        <f>IF('Modell einstellen'!$B$2="Ja",creep_res125!P8,creep_res125!L8)</f>
        <v>0.40660009383264306</v>
      </c>
      <c r="AG8" s="2">
        <f>IF('Modell einstellen'!$B$2="Ja",creep_res160!P8,creep_res160!L8)</f>
        <v>0.42244610312884906</v>
      </c>
      <c r="AL8" s="2">
        <f t="shared" si="12"/>
        <v>1E-10</v>
      </c>
      <c r="AM8" s="2">
        <f t="shared" si="13"/>
        <v>9185.6343104080297</v>
      </c>
      <c r="AN8" s="2">
        <f t="shared" si="14"/>
        <v>8833.9901329277236</v>
      </c>
      <c r="AO8" s="2">
        <f t="shared" si="15"/>
        <v>8532.9278199977016</v>
      </c>
      <c r="AP8" s="2">
        <f t="shared" si="16"/>
        <v>8244.2374276121209</v>
      </c>
      <c r="AQ8" s="2">
        <f t="shared" si="17"/>
        <v>7881.4803699008435</v>
      </c>
      <c r="AR8" s="2">
        <f t="shared" si="18"/>
        <v>7031.7099177768096</v>
      </c>
      <c r="AS8" s="2">
        <f t="shared" si="19"/>
        <v>6166.1047060884439</v>
      </c>
      <c r="AX8" s="2">
        <f t="shared" si="28"/>
        <v>1E-10</v>
      </c>
      <c r="AY8" s="37">
        <f t="shared" si="20"/>
        <v>33369.04393074676</v>
      </c>
      <c r="AZ8" s="37">
        <f t="shared" si="21"/>
        <v>33492.716559024913</v>
      </c>
      <c r="BA8" s="37">
        <f t="shared" si="22"/>
        <v>33658.398452236819</v>
      </c>
      <c r="BB8" s="37">
        <f t="shared" si="23"/>
        <v>33839.457530678323</v>
      </c>
      <c r="BC8" s="37">
        <f t="shared" si="24"/>
        <v>34123.407204660194</v>
      </c>
      <c r="BD8" s="37">
        <f t="shared" si="25"/>
        <v>35299.121223334449</v>
      </c>
      <c r="BE8" s="37">
        <f t="shared" si="26"/>
        <v>37698.306014771195</v>
      </c>
    </row>
    <row r="9" spans="1:308" x14ac:dyDescent="0.25">
      <c r="A9" s="2">
        <f>'creep_res-40'!A9</f>
        <v>1.0000000000000001E-9</v>
      </c>
      <c r="B9" s="3">
        <f>'creep_res-40'!O9</f>
        <v>-4.0530537142857145E-4</v>
      </c>
      <c r="C9" s="2">
        <f>IF('Modell einstellen'!$B$2="Ja",creep_res0!O9,creep_res0!C9)</f>
        <v>-4.2189285714285712E-4</v>
      </c>
      <c r="D9" s="2">
        <f>IF('Modell einstellen'!$B$2="Ja",creep_res25!O9,creep_res25!C9)</f>
        <v>-4.3714400000000004E-4</v>
      </c>
      <c r="E9" s="2">
        <f>IF('Modell einstellen'!$B$2="Ja",creep_res50!O9,creep_res50!C9)</f>
        <v>-4.5135482857142859E-4</v>
      </c>
      <c r="F9" s="2">
        <f>IF('Modell einstellen'!$B$2="Ja",creep_res80!O9,creep_res80!C9)</f>
        <v>-4.7038757142857146E-4</v>
      </c>
      <c r="G9" s="2">
        <f>IF('Modell einstellen'!$B$2="Ja",creep_res125!O9,creep_res125!C9)</f>
        <v>-5.3161102857142862E-4</v>
      </c>
      <c r="H9" s="2">
        <f>IF('Modell einstellen'!$B$2="Ja",creep_res160!O9,creep_res160!C9)</f>
        <v>-5.9517077142857142E-4</v>
      </c>
      <c r="M9" s="9">
        <f t="shared" si="27"/>
        <v>-10</v>
      </c>
      <c r="N9" s="2">
        <f t="shared" si="4"/>
        <v>1.0000000000000001E-9</v>
      </c>
      <c r="O9" s="2">
        <f t="shared" si="5"/>
        <v>24672.754680633043</v>
      </c>
      <c r="P9" s="2">
        <f t="shared" si="6"/>
        <v>23702.700414797258</v>
      </c>
      <c r="Q9" s="2">
        <f t="shared" si="7"/>
        <v>22875.757187562907</v>
      </c>
      <c r="R9" s="2">
        <f t="shared" si="8"/>
        <v>22155.517936189448</v>
      </c>
      <c r="S9" s="2">
        <f t="shared" si="9"/>
        <v>21259.065093131409</v>
      </c>
      <c r="T9" s="2">
        <f t="shared" si="10"/>
        <v>18810.745944967493</v>
      </c>
      <c r="U9" s="2">
        <f t="shared" si="11"/>
        <v>16801.90036213856</v>
      </c>
      <c r="Z9" s="2">
        <v>1.0000000000000001E-9</v>
      </c>
      <c r="AA9" s="3">
        <f>IF('Modell einstellen'!$B$2="Ja",'creep_res-40'!P9,'creep_res-40'!L9)</f>
        <v>0.37738349384252629</v>
      </c>
      <c r="AB9" s="2">
        <f>IF('Modell einstellen'!$B$2="Ja",creep_res0!P9,creep_res0!L9)</f>
        <v>0.38285604672818085</v>
      </c>
      <c r="AC9" s="2">
        <f>IF('Modell einstellen'!$B$2="Ja",creep_res25!P9,creep_res25!L9)</f>
        <v>0.38772336542910996</v>
      </c>
      <c r="AD9" s="2">
        <f>IF('Modell einstellen'!$B$2="Ja",creep_res50!P9,creep_res50!L9)</f>
        <v>0.39197927838718466</v>
      </c>
      <c r="AE9" s="2">
        <f>IF('Modell einstellen'!$B$2="Ja",creep_res80!P9,creep_res80!L9)</f>
        <v>0.39737282903186527</v>
      </c>
      <c r="AF9" s="2">
        <f>IF('Modell einstellen'!$B$2="Ja",creep_res125!P9,creep_res125!L9)</f>
        <v>0.41365429589604341</v>
      </c>
      <c r="AG9" s="2">
        <f>IF('Modell einstellen'!$B$2="Ja",creep_res160!P9,creep_res160!L9)</f>
        <v>0.42847665762388393</v>
      </c>
      <c r="AL9" s="2">
        <f t="shared" si="12"/>
        <v>1.0000000000000001E-9</v>
      </c>
      <c r="AM9" s="2">
        <f t="shared" si="13"/>
        <v>8956.3853461764484</v>
      </c>
      <c r="AN9" s="2">
        <f t="shared" si="14"/>
        <v>8570.1980588932365</v>
      </c>
      <c r="AO9" s="2">
        <f t="shared" si="15"/>
        <v>8242.1892422663423</v>
      </c>
      <c r="AP9" s="2">
        <f t="shared" si="16"/>
        <v>7958.2786468847135</v>
      </c>
      <c r="AQ9" s="2">
        <f t="shared" si="17"/>
        <v>7606.797789198542</v>
      </c>
      <c r="AR9" s="2">
        <f t="shared" si="18"/>
        <v>6653.2341038317008</v>
      </c>
      <c r="AS9" s="2">
        <f t="shared" si="19"/>
        <v>5881.0552739751101</v>
      </c>
      <c r="AX9" s="2">
        <f t="shared" si="28"/>
        <v>1.0000000000000001E-9</v>
      </c>
      <c r="AY9" s="37">
        <f t="shared" si="20"/>
        <v>33536.478154290198</v>
      </c>
      <c r="AZ9" s="37">
        <f t="shared" si="21"/>
        <v>33723.038695529671</v>
      </c>
      <c r="BA9" s="37">
        <f t="shared" si="22"/>
        <v>33957.432127339969</v>
      </c>
      <c r="BB9" s="37">
        <f t="shared" si="23"/>
        <v>34184.055314255194</v>
      </c>
      <c r="BC9" s="37">
        <f t="shared" si="24"/>
        <v>34524.750922170912</v>
      </c>
      <c r="BD9" s="37">
        <f t="shared" si="25"/>
        <v>36308.978619094836</v>
      </c>
      <c r="BE9" s="37">
        <f t="shared" si="26"/>
        <v>39152.486922342272</v>
      </c>
    </row>
    <row r="10" spans="1:308" x14ac:dyDescent="0.25">
      <c r="A10" s="2">
        <f>'creep_res-40'!A10</f>
        <v>1E-8</v>
      </c>
      <c r="B10" s="3">
        <f>'creep_res-40'!O10</f>
        <v>-4.1631285714285719E-4</v>
      </c>
      <c r="C10" s="2">
        <f>IF('Modell einstellen'!$B$2="Ja",creep_res0!O10,creep_res0!C10)</f>
        <v>-4.350891142857143E-4</v>
      </c>
      <c r="D10" s="2">
        <f>IF('Modell einstellen'!$B$2="Ja",creep_res25!O10,creep_res25!C10)</f>
        <v>-4.5126900000000002E-4</v>
      </c>
      <c r="E10" s="2">
        <f>IF('Modell einstellen'!$B$2="Ja",creep_res50!O10,creep_res50!C10)</f>
        <v>-4.6574105714285716E-4</v>
      </c>
      <c r="F10" s="2">
        <f>IF('Modell einstellen'!$B$2="Ja",creep_res80!O10,creep_res80!C10)</f>
        <v>-4.8958205714285719E-4</v>
      </c>
      <c r="G10" s="2">
        <f>IF('Modell einstellen'!$B$2="Ja",creep_res125!O10,creep_res125!C10)</f>
        <v>-5.5661174285714281E-4</v>
      </c>
      <c r="H10" s="2">
        <f>IF('Modell einstellen'!$B$2="Ja",creep_res160!O10,creep_res160!C10)</f>
        <v>-6.2135062857142864E-4</v>
      </c>
      <c r="M10" s="9">
        <f t="shared" si="27"/>
        <v>-10</v>
      </c>
      <c r="N10" s="2">
        <f t="shared" si="4"/>
        <v>1E-8</v>
      </c>
      <c r="O10" s="2">
        <f t="shared" si="5"/>
        <v>24020.396748324576</v>
      </c>
      <c r="P10" s="2">
        <f t="shared" si="6"/>
        <v>22983.797276603891</v>
      </c>
      <c r="Q10" s="2">
        <f t="shared" si="7"/>
        <v>22159.731778606551</v>
      </c>
      <c r="R10" s="2">
        <f t="shared" si="8"/>
        <v>21471.158375742449</v>
      </c>
      <c r="S10" s="2">
        <f t="shared" si="9"/>
        <v>20425.585157999485</v>
      </c>
      <c r="T10" s="2">
        <f t="shared" si="10"/>
        <v>17965.844465783306</v>
      </c>
      <c r="U10" s="2">
        <f t="shared" si="11"/>
        <v>16093.972614128335</v>
      </c>
      <c r="Z10" s="2">
        <v>1E-8</v>
      </c>
      <c r="AA10" s="3">
        <f>IF('Modell einstellen'!$B$2="Ja",'creep_res-40'!P10,'creep_res-40'!L10)</f>
        <v>0.38142777238272035</v>
      </c>
      <c r="AB10" s="2">
        <f>IF('Modell einstellen'!$B$2="Ja",creep_res0!P10,creep_res0!L10)</f>
        <v>0.38742078388013651</v>
      </c>
      <c r="AC10" s="2">
        <f>IF('Modell einstellen'!$B$2="Ja",creep_res25!P10,creep_res25!L10)</f>
        <v>0.39238278847301405</v>
      </c>
      <c r="AD10" s="2">
        <f>IF('Modell einstellen'!$B$2="Ja",creep_res50!P10,creep_res50!L10)</f>
        <v>0.39652056197751084</v>
      </c>
      <c r="AE10" s="2">
        <f>IF('Modell einstellen'!$B$2="Ja",creep_res80!P10,creep_res80!L10)</f>
        <v>0.40307057821680203</v>
      </c>
      <c r="AF10" s="2">
        <f>IF('Modell einstellen'!$B$2="Ja",creep_res125!P10,creep_res125!L10)</f>
        <v>0.42014317648757582</v>
      </c>
      <c r="AG10" s="2">
        <f>IF('Modell einstellen'!$B$2="Ja",creep_res160!P10,creep_res160!L10)</f>
        <v>0.43456650103056604</v>
      </c>
      <c r="AL10" s="2">
        <f t="shared" si="12"/>
        <v>1E-8</v>
      </c>
      <c r="AM10" s="2">
        <f t="shared" si="13"/>
        <v>8694.0472851843733</v>
      </c>
      <c r="AN10" s="2">
        <f t="shared" si="14"/>
        <v>8282.9223634397895</v>
      </c>
      <c r="AO10" s="2">
        <f t="shared" si="15"/>
        <v>7957.4855284258747</v>
      </c>
      <c r="AP10" s="2">
        <f t="shared" si="16"/>
        <v>7687.376383967704</v>
      </c>
      <c r="AQ10" s="2">
        <f t="shared" si="17"/>
        <v>7278.8872759198184</v>
      </c>
      <c r="AR10" s="2">
        <f t="shared" si="18"/>
        <v>6325.3637954371716</v>
      </c>
      <c r="AS10" s="2">
        <f t="shared" si="19"/>
        <v>5609.3504910949478</v>
      </c>
      <c r="AX10" s="2">
        <f t="shared" si="28"/>
        <v>1E-8</v>
      </c>
      <c r="AY10" s="37">
        <f t="shared" si="20"/>
        <v>33763.382357764502</v>
      </c>
      <c r="AZ10" s="37">
        <f t="shared" si="21"/>
        <v>34026.110781900396</v>
      </c>
      <c r="BA10" s="37">
        <f t="shared" si="22"/>
        <v>34318.754197061076</v>
      </c>
      <c r="BB10" s="37">
        <f t="shared" si="23"/>
        <v>34582.004544510135</v>
      </c>
      <c r="BC10" s="37">
        <f t="shared" si="24"/>
        <v>35121.061596903281</v>
      </c>
      <c r="BD10" s="37">
        <f t="shared" si="25"/>
        <v>37495.949366155641</v>
      </c>
      <c r="BE10" s="37">
        <f t="shared" si="26"/>
        <v>40993.203959250131</v>
      </c>
    </row>
    <row r="11" spans="1:308" x14ac:dyDescent="0.25">
      <c r="A11" s="2">
        <f>'creep_res-40'!A11</f>
        <v>9.9999999999999995E-8</v>
      </c>
      <c r="B11" s="3">
        <f>'creep_res-40'!O11</f>
        <v>-4.2841082857142859E-4</v>
      </c>
      <c r="C11" s="2">
        <f>IF('Modell einstellen'!$B$2="Ja",creep_res0!O11,creep_res0!C11)</f>
        <v>-4.4929674285714289E-4</v>
      </c>
      <c r="D11" s="2">
        <f>IF('Modell einstellen'!$B$2="Ja",creep_res25!O11,creep_res25!C11)</f>
        <v>-4.6570742857142861E-4</v>
      </c>
      <c r="E11" s="2">
        <f>IF('Modell einstellen'!$B$2="Ja",creep_res50!O11,creep_res50!C11)</f>
        <v>-4.8362802857142864E-4</v>
      </c>
      <c r="F11" s="2">
        <f>IF('Modell einstellen'!$B$2="Ja",creep_res80!O11,creep_res80!C11)</f>
        <v>-5.1373637142857148E-4</v>
      </c>
      <c r="G11" s="2">
        <f>IF('Modell einstellen'!$B$2="Ja",creep_res125!O11,creep_res125!C11)</f>
        <v>-5.7996000000000002E-4</v>
      </c>
      <c r="H11" s="2">
        <f>IF('Modell einstellen'!$B$2="Ja",creep_res160!O11,creep_res160!C11)</f>
        <v>-6.5162028571428578E-4</v>
      </c>
      <c r="M11" s="9">
        <f t="shared" si="27"/>
        <v>-10</v>
      </c>
      <c r="N11" s="2">
        <f t="shared" si="4"/>
        <v>9.9999999999999995E-8</v>
      </c>
      <c r="O11" s="2">
        <f t="shared" si="5"/>
        <v>23342.080388924409</v>
      </c>
      <c r="P11" s="2">
        <f t="shared" si="6"/>
        <v>22257.005328835807</v>
      </c>
      <c r="Q11" s="2">
        <f t="shared" si="7"/>
        <v>21472.708800620374</v>
      </c>
      <c r="R11" s="2">
        <f t="shared" si="8"/>
        <v>20677.048080812518</v>
      </c>
      <c r="S11" s="2">
        <f t="shared" si="9"/>
        <v>19465.236561298003</v>
      </c>
      <c r="T11" s="2">
        <f t="shared" si="10"/>
        <v>17242.568452996758</v>
      </c>
      <c r="U11" s="2">
        <f t="shared" si="11"/>
        <v>15346.360785926596</v>
      </c>
      <c r="Z11" s="2">
        <v>9.9999999999999995E-8</v>
      </c>
      <c r="AA11" s="3">
        <f>IF('Modell einstellen'!$B$2="Ja",'creep_res-40'!P11,'creep_res-40'!L11)</f>
        <v>0.38573236010641054</v>
      </c>
      <c r="AB11" s="2">
        <f>IF('Modell einstellen'!$B$2="Ja",creep_res0!P11,creep_res0!L11)</f>
        <v>0.39216940684317697</v>
      </c>
      <c r="AC11" s="2">
        <f>IF('Modell einstellen'!$B$2="Ja",creep_res25!P11,creep_res25!L11)</f>
        <v>0.39697961196974679</v>
      </c>
      <c r="AD11" s="2">
        <f>IF('Modell einstellen'!$B$2="Ja",creep_res50!P11,creep_res50!L11)</f>
        <v>0.40195329574718602</v>
      </c>
      <c r="AE11" s="2">
        <f>IF('Modell einstellen'!$B$2="Ja",creep_res80!P11,creep_res80!L11)</f>
        <v>0.40992917823944497</v>
      </c>
      <c r="AF11" s="2">
        <f>IF('Modell einstellen'!$B$2="Ja",creep_res125!P11,creep_res125!L11)</f>
        <v>0.42597248578719715</v>
      </c>
      <c r="AG11" s="2">
        <f>IF('Modell einstellen'!$B$2="Ja",creep_res160!P11,creep_res160!L11)</f>
        <v>0.44137137710787738</v>
      </c>
      <c r="AL11" s="2">
        <f t="shared" si="12"/>
        <v>9.9999999999999995E-8</v>
      </c>
      <c r="AM11" s="2">
        <f t="shared" si="13"/>
        <v>8422.2902852365987</v>
      </c>
      <c r="AN11" s="2">
        <f t="shared" si="14"/>
        <v>7993.641154385381</v>
      </c>
      <c r="AO11" s="2">
        <f t="shared" si="15"/>
        <v>7685.4052187432317</v>
      </c>
      <c r="AP11" s="2">
        <f t="shared" si="16"/>
        <v>7374.3712231841728</v>
      </c>
      <c r="AQ11" s="2">
        <f t="shared" si="17"/>
        <v>6902.9128773701668</v>
      </c>
      <c r="AR11" s="2">
        <f t="shared" si="18"/>
        <v>6045.8980186697399</v>
      </c>
      <c r="AS11" s="2">
        <f t="shared" si="19"/>
        <v>5323.5276590267758</v>
      </c>
      <c r="AX11" s="2">
        <f t="shared" si="28"/>
        <v>9.9999999999999995E-8</v>
      </c>
      <c r="AY11" s="37">
        <f t="shared" si="20"/>
        <v>34045.918294192881</v>
      </c>
      <c r="AZ11" s="37">
        <f t="shared" si="21"/>
        <v>34401.191531464567</v>
      </c>
      <c r="BA11" s="37">
        <f t="shared" si="22"/>
        <v>34738.607265315688</v>
      </c>
      <c r="BB11" s="37">
        <f t="shared" si="23"/>
        <v>35148.296991701412</v>
      </c>
      <c r="BC11" s="37">
        <f t="shared" si="24"/>
        <v>36018.391196364231</v>
      </c>
      <c r="BD11" s="37">
        <f t="shared" si="25"/>
        <v>38820.179758727929</v>
      </c>
      <c r="BE11" s="37">
        <f t="shared" si="26"/>
        <v>43625.906110069838</v>
      </c>
    </row>
    <row r="12" spans="1:308" x14ac:dyDescent="0.25">
      <c r="A12" s="2">
        <f>'creep_res-40'!A12</f>
        <v>9.9999999999999995E-7</v>
      </c>
      <c r="B12" s="3">
        <f>'creep_res-40'!O12</f>
        <v>-4.4282602857142865E-4</v>
      </c>
      <c r="C12" s="2">
        <f>IF('Modell einstellen'!$B$2="Ja",creep_res0!O12,creep_res0!C12)</f>
        <v>-4.6354088571428579E-4</v>
      </c>
      <c r="D12" s="2">
        <f>IF('Modell einstellen'!$B$2="Ja",creep_res25!O12,creep_res25!C12)</f>
        <v>-4.8378871428571426E-4</v>
      </c>
      <c r="E12" s="2">
        <f>IF('Modell einstellen'!$B$2="Ja",creep_res50!O12,creep_res50!C12)</f>
        <v>-5.0662740000000008E-4</v>
      </c>
      <c r="F12" s="2">
        <f>IF('Modell einstellen'!$B$2="Ja",creep_res80!O12,creep_res80!C12)</f>
        <v>-5.4002100000000001E-4</v>
      </c>
      <c r="G12" s="2">
        <f>IF('Modell einstellen'!$B$2="Ja",creep_res125!O12,creep_res125!C12)</f>
        <v>-6.0558114285714289E-4</v>
      </c>
      <c r="H12" s="2">
        <f>IF('Modell einstellen'!$B$2="Ja",creep_res160!O12,creep_res160!C12)</f>
        <v>-6.8221957142857142E-4</v>
      </c>
      <c r="M12" s="9">
        <f t="shared" si="27"/>
        <v>-10</v>
      </c>
      <c r="N12" s="2">
        <f t="shared" si="4"/>
        <v>9.9999999999999995E-7</v>
      </c>
      <c r="O12" s="2">
        <f t="shared" si="5"/>
        <v>22582.231745185189</v>
      </c>
      <c r="P12" s="2">
        <f t="shared" si="6"/>
        <v>21573.070053120908</v>
      </c>
      <c r="Q12" s="2">
        <f t="shared" si="7"/>
        <v>20670.180400475889</v>
      </c>
      <c r="R12" s="2">
        <f t="shared" si="8"/>
        <v>19738.371829079908</v>
      </c>
      <c r="S12" s="2">
        <f t="shared" si="9"/>
        <v>18517.798381914778</v>
      </c>
      <c r="T12" s="2">
        <f t="shared" si="10"/>
        <v>16513.063720610284</v>
      </c>
      <c r="U12" s="2">
        <f t="shared" si="11"/>
        <v>14658.037410243078</v>
      </c>
      <c r="Z12" s="2">
        <v>9.9999999999999995E-7</v>
      </c>
      <c r="AA12" s="3">
        <f>IF('Modell einstellen'!$B$2="Ja",'creep_res-40'!P12,'creep_res-40'!L12)</f>
        <v>0.39068337123814695</v>
      </c>
      <c r="AB12" s="2">
        <f>IF('Modell einstellen'!$B$2="Ja",creep_res0!P12,creep_res0!L12)</f>
        <v>0.39676538934984368</v>
      </c>
      <c r="AC12" s="2">
        <f>IF('Modell einstellen'!$B$2="Ja",creep_res25!P12,creep_res25!L12)</f>
        <v>0.40251787010917695</v>
      </c>
      <c r="AD12" s="2">
        <f>IF('Modell einstellen'!$B$2="Ja",creep_res50!P12,creep_res50!L12)</f>
        <v>0.40864505157044401</v>
      </c>
      <c r="AE12" s="2">
        <f>IF('Modell einstellen'!$B$2="Ja",creep_res80!P12,creep_res80!L12)</f>
        <v>0.41707084936114919</v>
      </c>
      <c r="AF12" s="2">
        <f>IF('Modell einstellen'!$B$2="Ja",creep_res125!P12,creep_res125!L12)</f>
        <v>0.43215616262820034</v>
      </c>
      <c r="AG12" s="2">
        <f>IF('Modell einstellen'!$B$2="Ja",creep_res160!P12,creep_res160!L12)</f>
        <v>0.4480558312080925</v>
      </c>
      <c r="AL12" s="2">
        <f t="shared" si="12"/>
        <v>9.9999999999999995E-7</v>
      </c>
      <c r="AM12" s="2">
        <f t="shared" si="13"/>
        <v>8119.1133122846923</v>
      </c>
      <c r="AN12" s="2">
        <f t="shared" si="14"/>
        <v>7722.5102431706819</v>
      </c>
      <c r="AO12" s="2">
        <f t="shared" si="15"/>
        <v>7368.9543787655439</v>
      </c>
      <c r="AP12" s="2">
        <f t="shared" si="16"/>
        <v>7006.1552436770207</v>
      </c>
      <c r="AQ12" s="2">
        <f t="shared" si="17"/>
        <v>6533.8294095397778</v>
      </c>
      <c r="AR12" s="2">
        <f t="shared" si="18"/>
        <v>5765.1058423358591</v>
      </c>
      <c r="AS12" s="2">
        <f t="shared" si="19"/>
        <v>5061.2818561056738</v>
      </c>
      <c r="AX12" s="2">
        <f t="shared" si="28"/>
        <v>9.9999999999999995E-7</v>
      </c>
      <c r="AY12" s="37">
        <f t="shared" si="20"/>
        <v>34429.394077487086</v>
      </c>
      <c r="AZ12" s="37">
        <f t="shared" si="21"/>
        <v>34828.548806220606</v>
      </c>
      <c r="BA12" s="37">
        <f t="shared" si="22"/>
        <v>35340.11895928318</v>
      </c>
      <c r="BB12" s="37">
        <f t="shared" si="23"/>
        <v>36010.404414126533</v>
      </c>
      <c r="BC12" s="37">
        <f t="shared" si="24"/>
        <v>37216.102016523655</v>
      </c>
      <c r="BD12" s="37">
        <f t="shared" si="25"/>
        <v>40566.356405900551</v>
      </c>
      <c r="BE12" s="37">
        <f t="shared" si="26"/>
        <v>47031.385656153085</v>
      </c>
    </row>
    <row r="13" spans="1:308" x14ac:dyDescent="0.25">
      <c r="A13" s="2">
        <f>'creep_res-40'!A13</f>
        <v>1.0000000000000001E-5</v>
      </c>
      <c r="B13" s="3">
        <f>'creep_res-40'!O13</f>
        <v>-4.5658385714285717E-4</v>
      </c>
      <c r="C13" s="2">
        <f>IF('Modell einstellen'!$B$2="Ja",creep_res0!O13,creep_res0!C13)</f>
        <v>-4.8108748571428574E-4</v>
      </c>
      <c r="D13" s="2">
        <f>IF('Modell einstellen'!$B$2="Ja",creep_res25!O13,creep_res25!C13)</f>
        <v>-5.0694940000000006E-4</v>
      </c>
      <c r="E13" s="2">
        <f>IF('Modell einstellen'!$B$2="Ja",creep_res50!O13,creep_res50!C13)</f>
        <v>-5.3271571428571435E-4</v>
      </c>
      <c r="F13" s="2">
        <f>IF('Modell einstellen'!$B$2="Ja",creep_res80!O13,creep_res80!C13)</f>
        <v>-5.6337371428571439E-4</v>
      </c>
      <c r="G13" s="2">
        <f>IF('Modell einstellen'!$B$2="Ja",creep_res125!O13,creep_res125!C13)</f>
        <v>-6.3340537142857146E-4</v>
      </c>
      <c r="H13" s="2">
        <f>IF('Modell einstellen'!$B$2="Ja",creep_res160!O13,creep_res160!C13)</f>
        <v>-7.24981542857143E-4</v>
      </c>
      <c r="M13" s="9">
        <f t="shared" si="27"/>
        <v>-10</v>
      </c>
      <c r="N13" s="2">
        <f t="shared" si="4"/>
        <v>1.0000000000000001E-5</v>
      </c>
      <c r="O13" s="2">
        <f t="shared" si="5"/>
        <v>21901.781772523715</v>
      </c>
      <c r="P13" s="2">
        <f t="shared" si="6"/>
        <v>20786.240126684414</v>
      </c>
      <c r="Q13" s="2">
        <f t="shared" si="7"/>
        <v>19725.834570471921</v>
      </c>
      <c r="R13" s="2">
        <f t="shared" si="8"/>
        <v>18771.738343420904</v>
      </c>
      <c r="S13" s="2">
        <f t="shared" si="9"/>
        <v>17750.206916697767</v>
      </c>
      <c r="T13" s="2">
        <f t="shared" si="10"/>
        <v>15787.67792487483</v>
      </c>
      <c r="U13" s="2">
        <f t="shared" si="11"/>
        <v>13793.454603809812</v>
      </c>
      <c r="Z13" s="2">
        <v>1.0000000000000001E-5</v>
      </c>
      <c r="AA13" s="3">
        <f>IF('Modell einstellen'!$B$2="Ja",'creep_res-40'!P13,'creep_res-40'!L13)</f>
        <v>0.39525261358655128</v>
      </c>
      <c r="AB13" s="2">
        <f>IF('Modell einstellen'!$B$2="Ja",creep_res0!P13,creep_res0!L13)</f>
        <v>0.40221594385387111</v>
      </c>
      <c r="AC13" s="2">
        <f>IF('Modell einstellen'!$B$2="Ja",creep_res25!P13,creep_res25!L13)</f>
        <v>0.4093140825720053</v>
      </c>
      <c r="AD13" s="2">
        <f>IF('Modell einstellen'!$B$2="Ja",creep_res50!P13,creep_res50!L13)</f>
        <v>0.41590602867785276</v>
      </c>
      <c r="AE13" s="2">
        <f>IF('Modell einstellen'!$B$2="Ja",creep_res80!P13,creep_res80!L13)</f>
        <v>0.42318615199857185</v>
      </c>
      <c r="AF13" s="2">
        <f>IF('Modell einstellen'!$B$2="Ja",creep_res125!P13,creep_res125!L13)</f>
        <v>0.43864868663660572</v>
      </c>
      <c r="AG13" s="2">
        <f>IF('Modell einstellen'!$B$2="Ja",creep_res160!P13,creep_res160!L13)</f>
        <v>0.45703185192419077</v>
      </c>
      <c r="AL13" s="2">
        <f t="shared" si="12"/>
        <v>1.0000000000000001E-5</v>
      </c>
      <c r="AM13" s="2">
        <f t="shared" si="13"/>
        <v>7848.6797155048253</v>
      </c>
      <c r="AN13" s="2">
        <f t="shared" si="14"/>
        <v>7411.9254661857585</v>
      </c>
      <c r="AO13" s="2">
        <f t="shared" si="15"/>
        <v>6998.3812744112274</v>
      </c>
      <c r="AP13" s="2">
        <f t="shared" si="16"/>
        <v>6628.8785990090082</v>
      </c>
      <c r="AQ13" s="2">
        <f t="shared" si="17"/>
        <v>6236.0805337275306</v>
      </c>
      <c r="AR13" s="2">
        <f t="shared" si="18"/>
        <v>5486.9816625574504</v>
      </c>
      <c r="AS13" s="2">
        <f t="shared" si="19"/>
        <v>4733.4087396901623</v>
      </c>
      <c r="AX13" s="2">
        <f t="shared" si="28"/>
        <v>1.0000000000000001E-5</v>
      </c>
      <c r="AY13" s="37">
        <f t="shared" si="20"/>
        <v>34848.57319188078</v>
      </c>
      <c r="AZ13" s="37">
        <f t="shared" si="21"/>
        <v>35428.816220000408</v>
      </c>
      <c r="BA13" s="37">
        <f t="shared" si="22"/>
        <v>36253.02790468061</v>
      </c>
      <c r="BB13" s="37">
        <f t="shared" si="23"/>
        <v>37203.892360508056</v>
      </c>
      <c r="BC13" s="37">
        <f t="shared" si="24"/>
        <v>38513.469855000949</v>
      </c>
      <c r="BD13" s="37">
        <f t="shared" si="25"/>
        <v>42888.725764683921</v>
      </c>
      <c r="BE13" s="37">
        <f t="shared" si="26"/>
        <v>53502.634011104579</v>
      </c>
    </row>
    <row r="14" spans="1:308" x14ac:dyDescent="0.25">
      <c r="A14" s="2">
        <f>'creep_res-40'!A14</f>
        <v>1E-4</v>
      </c>
      <c r="B14" s="3">
        <f>'creep_res-40'!O14</f>
        <v>-4.7222405714285716E-4</v>
      </c>
      <c r="C14" s="2">
        <f>IF('Modell einstellen'!$B$2="Ja",creep_res0!O14,creep_res0!C14)</f>
        <v>-5.0375437142857141E-4</v>
      </c>
      <c r="D14" s="2">
        <f>IF('Modell einstellen'!$B$2="Ja",creep_res25!O14,creep_res25!C14)</f>
        <v>-5.3302717142857147E-4</v>
      </c>
      <c r="E14" s="2">
        <f>IF('Modell einstellen'!$B$2="Ja",creep_res50!O14,creep_res50!C14)</f>
        <v>-5.569610571428572E-4</v>
      </c>
      <c r="F14" s="2">
        <f>IF('Modell einstellen'!$B$2="Ja",creep_res80!O14,creep_res80!C14)</f>
        <v>-5.8787177142857142E-4</v>
      </c>
      <c r="G14" s="2">
        <f>IF('Modell einstellen'!$B$2="Ja",creep_res125!O14,creep_res125!C14)</f>
        <v>-6.6375940000000001E-4</v>
      </c>
      <c r="H14" s="2">
        <f>IF('Modell einstellen'!$B$2="Ja",creep_res160!O14,creep_res160!C14)</f>
        <v>-7.7555411428571427E-4</v>
      </c>
      <c r="M14" s="9">
        <f t="shared" si="27"/>
        <v>-10</v>
      </c>
      <c r="N14" s="2">
        <f t="shared" si="4"/>
        <v>1E-4</v>
      </c>
      <c r="O14" s="2">
        <f t="shared" si="5"/>
        <v>21176.388302840744</v>
      </c>
      <c r="P14" s="2">
        <f t="shared" si="6"/>
        <v>19850.944363304498</v>
      </c>
      <c r="Q14" s="2">
        <f t="shared" si="7"/>
        <v>18760.769686841479</v>
      </c>
      <c r="R14" s="2">
        <f t="shared" si="8"/>
        <v>17954.576665195927</v>
      </c>
      <c r="S14" s="2">
        <f t="shared" si="9"/>
        <v>17010.512302196905</v>
      </c>
      <c r="T14" s="2">
        <f t="shared" si="10"/>
        <v>15065.700011178749</v>
      </c>
      <c r="U14" s="2">
        <f t="shared" si="11"/>
        <v>12894.006769869315</v>
      </c>
      <c r="Z14" s="2">
        <v>1E-4</v>
      </c>
      <c r="AA14" s="3">
        <f>IF('Modell einstellen'!$B$2="Ja",'creep_res-40'!P14,'creep_res-40'!L14)</f>
        <v>0.40026364603437042</v>
      </c>
      <c r="AB14" s="2">
        <f>IF('Modell einstellen'!$B$2="Ja",creep_res0!P14,creep_res0!L14)</f>
        <v>0.40896594559151084</v>
      </c>
      <c r="AC14" s="2">
        <f>IF('Modell einstellen'!$B$2="Ja",creep_res25!P14,creep_res25!L14)</f>
        <v>0.41663750617698336</v>
      </c>
      <c r="AD14" s="2">
        <f>IF('Modell einstellen'!$B$2="Ja",creep_res50!P14,creep_res50!L14)</f>
        <v>0.42239884737773664</v>
      </c>
      <c r="AE14" s="2">
        <f>IF('Modell einstellen'!$B$2="Ja",creep_res80!P14,creep_res80!L14)</f>
        <v>0.42935574580112512</v>
      </c>
      <c r="AF14" s="2">
        <f>IF('Modell einstellen'!$B$2="Ja",creep_res125!P14,creep_res125!L14)</f>
        <v>0.44552335422400691</v>
      </c>
      <c r="AG14" s="2">
        <f>IF('Modell einstellen'!$B$2="Ja",creep_res160!P14,creep_res160!L14)</f>
        <v>0.46730146195195965</v>
      </c>
      <c r="AL14" s="2">
        <f t="shared" si="12"/>
        <v>1E-4</v>
      </c>
      <c r="AM14" s="2">
        <f t="shared" si="13"/>
        <v>7561.5718378512247</v>
      </c>
      <c r="AN14" s="2">
        <f t="shared" si="14"/>
        <v>7044.5082173262499</v>
      </c>
      <c r="AO14" s="2">
        <f t="shared" si="15"/>
        <v>6621.5844226341051</v>
      </c>
      <c r="AP14" s="2">
        <f t="shared" si="16"/>
        <v>6311.3720523241727</v>
      </c>
      <c r="AQ14" s="2">
        <f t="shared" si="17"/>
        <v>5950.4123980915811</v>
      </c>
      <c r="AR14" s="2">
        <f t="shared" si="18"/>
        <v>5211.1575946368548</v>
      </c>
      <c r="AS14" s="2">
        <f t="shared" si="19"/>
        <v>4393.7824312927287</v>
      </c>
      <c r="AX14" s="2">
        <f t="shared" si="28"/>
        <v>1E-4</v>
      </c>
      <c r="AY14" s="37">
        <f t="shared" si="20"/>
        <v>35387.277658954059</v>
      </c>
      <c r="AZ14" s="37">
        <f t="shared" si="21"/>
        <v>36343.440361027038</v>
      </c>
      <c r="BA14" s="37">
        <f t="shared" si="22"/>
        <v>37508.414208976021</v>
      </c>
      <c r="BB14" s="37">
        <f t="shared" si="23"/>
        <v>38561.662334649511</v>
      </c>
      <c r="BC14" s="37">
        <f t="shared" si="24"/>
        <v>40131.860911409232</v>
      </c>
      <c r="BD14" s="37">
        <f t="shared" si="25"/>
        <v>46092.228442039224</v>
      </c>
      <c r="BE14" s="37">
        <f t="shared" si="26"/>
        <v>65721.627222423907</v>
      </c>
    </row>
    <row r="15" spans="1:308" x14ac:dyDescent="0.25">
      <c r="A15" s="2">
        <f>'creep_res-40'!A15</f>
        <v>1E-3</v>
      </c>
      <c r="B15" s="3">
        <f>'creep_res-40'!O15</f>
        <v>-4.9287082857142855E-4</v>
      </c>
      <c r="C15" s="2">
        <f>IF('Modell einstellen'!$B$2="Ja",creep_res0!O15,creep_res0!C15)</f>
        <v>-5.2969905714285719E-4</v>
      </c>
      <c r="D15" s="2">
        <f>IF('Modell einstellen'!$B$2="Ja",creep_res25!O15,creep_res25!C15)</f>
        <v>-5.5704579999999999E-4</v>
      </c>
      <c r="E15" s="2">
        <f>IF('Modell einstellen'!$B$2="Ja",creep_res50!O15,creep_res50!C15)</f>
        <v>-5.8063117142857139E-4</v>
      </c>
      <c r="F15" s="2">
        <f>IF('Modell einstellen'!$B$2="Ja",creep_res80!O15,creep_res80!C15)</f>
        <v>-6.1364405714285717E-4</v>
      </c>
      <c r="G15" s="2">
        <f>IF('Modell einstellen'!$B$2="Ja",creep_res125!O15,creep_res125!C15)</f>
        <v>-6.9877779999999998E-4</v>
      </c>
      <c r="H15" s="2">
        <f>IF('Modell einstellen'!$B$2="Ja",creep_res160!O15,creep_res160!C15)</f>
        <v>-8.4309208571428575E-4</v>
      </c>
      <c r="M15" s="9">
        <f t="shared" si="27"/>
        <v>-10</v>
      </c>
      <c r="N15" s="2">
        <f t="shared" si="4"/>
        <v>1E-3</v>
      </c>
      <c r="O15" s="2">
        <f t="shared" si="5"/>
        <v>20289.291677060097</v>
      </c>
      <c r="P15" s="2">
        <f t="shared" si="6"/>
        <v>18878.644137935571</v>
      </c>
      <c r="Q15" s="2">
        <f t="shared" si="7"/>
        <v>17951.845252221632</v>
      </c>
      <c r="R15" s="2">
        <f t="shared" si="8"/>
        <v>17222.637178428147</v>
      </c>
      <c r="S15" s="2">
        <f t="shared" si="9"/>
        <v>16296.091982965276</v>
      </c>
      <c r="T15" s="2">
        <f t="shared" si="10"/>
        <v>14310.70076925741</v>
      </c>
      <c r="U15" s="2">
        <f t="shared" si="11"/>
        <v>11861.100548142122</v>
      </c>
      <c r="Z15" s="2">
        <v>1E-3</v>
      </c>
      <c r="AA15" s="3">
        <f>IF('Modell einstellen'!$B$2="Ja",'creep_res-40'!P15,'creep_res-40'!L15)</f>
        <v>0.40661691191299681</v>
      </c>
      <c r="AB15" s="2">
        <f>IF('Modell einstellen'!$B$2="Ja",creep_res0!P15,creep_res0!L15)</f>
        <v>0.41636047034146129</v>
      </c>
      <c r="AC15" s="2">
        <f>IF('Modell einstellen'!$B$2="Ja",creep_res25!P15,creep_res25!L15)</f>
        <v>0.42313240927150236</v>
      </c>
      <c r="AD15" s="2">
        <f>IF('Modell einstellen'!$B$2="Ja",creep_res50!P15,creep_res50!L15)</f>
        <v>0.42849750549783489</v>
      </c>
      <c r="AE15" s="2">
        <f>IF('Modell einstellen'!$B$2="Ja",creep_res80!P15,creep_res80!L15)</f>
        <v>0.43564310571479736</v>
      </c>
      <c r="AF15" s="2">
        <f>IF('Modell einstellen'!$B$2="Ja",creep_res125!P15,creep_res125!L15)</f>
        <v>0.4531691925939425</v>
      </c>
      <c r="AG15" s="2">
        <f>IF('Modell einstellen'!$B$2="Ja",creep_res160!P15,creep_res160!L15)</f>
        <v>0.48037016664812376</v>
      </c>
      <c r="AL15" s="2">
        <f t="shared" si="12"/>
        <v>1E-3</v>
      </c>
      <c r="AM15" s="2">
        <f t="shared" si="13"/>
        <v>7212.0886309644511</v>
      </c>
      <c r="AN15" s="2">
        <f t="shared" si="14"/>
        <v>6664.4913259208079</v>
      </c>
      <c r="AO15" s="2">
        <f t="shared" si="15"/>
        <v>6307.1591705971805</v>
      </c>
      <c r="AP15" s="2">
        <f t="shared" si="16"/>
        <v>6028.2349504089671</v>
      </c>
      <c r="AQ15" s="2">
        <f t="shared" si="17"/>
        <v>5675.5372968728034</v>
      </c>
      <c r="AR15" s="2">
        <f t="shared" si="18"/>
        <v>4923.9623445747775</v>
      </c>
      <c r="AS15" s="2">
        <f t="shared" si="19"/>
        <v>4006.1265808261332</v>
      </c>
      <c r="AX15" s="2">
        <f t="shared" si="28"/>
        <v>1E-3</v>
      </c>
      <c r="AY15" s="37">
        <f t="shared" si="20"/>
        <v>36211.574088156383</v>
      </c>
      <c r="AZ15" s="37">
        <f t="shared" si="21"/>
        <v>37619.06245170653</v>
      </c>
      <c r="BA15" s="37">
        <f t="shared" si="22"/>
        <v>38923.741206765451</v>
      </c>
      <c r="BB15" s="37">
        <f t="shared" si="23"/>
        <v>40144.606838172716</v>
      </c>
      <c r="BC15" s="37">
        <f t="shared" si="24"/>
        <v>42202.398991753347</v>
      </c>
      <c r="BD15" s="37">
        <f t="shared" si="25"/>
        <v>50930.507650562598</v>
      </c>
      <c r="BE15" s="37">
        <f t="shared" si="26"/>
        <v>100706.41232255145</v>
      </c>
    </row>
    <row r="16" spans="1:308" x14ac:dyDescent="0.25">
      <c r="A16" s="2">
        <f>'creep_res-40'!A16</f>
        <v>0.01</v>
      </c>
      <c r="B16" s="3">
        <f>'creep_res-40'!O16</f>
        <v>-5.1801585714285716E-4</v>
      </c>
      <c r="C16" s="2">
        <f>IF('Modell einstellen'!$B$2="Ja",creep_res0!O16,creep_res0!C16)</f>
        <v>-5.5408702857142863E-4</v>
      </c>
      <c r="D16" s="2">
        <f>IF('Modell einstellen'!$B$2="Ja",creep_res25!O16,creep_res25!C16)</f>
        <v>-5.8081520000000011E-4</v>
      </c>
      <c r="E16" s="2">
        <f>IF('Modell einstellen'!$B$2="Ja",creep_res50!O16,creep_res50!C16)</f>
        <v>-6.0616185714285715E-4</v>
      </c>
      <c r="F16" s="2">
        <f>IF('Modell einstellen'!$B$2="Ja",creep_res80!O16,creep_res80!C16)</f>
        <v>-6.4314922857142858E-4</v>
      </c>
      <c r="G16" s="2">
        <f>IF('Modell einstellen'!$B$2="Ja",creep_res125!O16,creep_res125!C16)</f>
        <v>-7.4557468571428585E-4</v>
      </c>
      <c r="H16" s="2">
        <f>IF('Modell einstellen'!$B$2="Ja",creep_res160!O16,creep_res160!C16)</f>
        <v>-9.3429554285714294E-4</v>
      </c>
      <c r="M16" s="9">
        <f t="shared" si="27"/>
        <v>-10</v>
      </c>
      <c r="N16" s="2">
        <f t="shared" si="4"/>
        <v>0.01</v>
      </c>
      <c r="O16" s="2">
        <f t="shared" si="5"/>
        <v>19304.428353130945</v>
      </c>
      <c r="P16" s="2">
        <f t="shared" si="6"/>
        <v>18047.706378874158</v>
      </c>
      <c r="Q16" s="2">
        <f t="shared" si="7"/>
        <v>17217.180266632138</v>
      </c>
      <c r="R16" s="2">
        <f t="shared" si="8"/>
        <v>16497.243899731639</v>
      </c>
      <c r="S16" s="2">
        <f t="shared" si="9"/>
        <v>15548.491012283619</v>
      </c>
      <c r="T16" s="2">
        <f t="shared" si="10"/>
        <v>13412.472541794603</v>
      </c>
      <c r="U16" s="2">
        <f t="shared" si="11"/>
        <v>10703.251317478494</v>
      </c>
      <c r="Z16" s="2">
        <v>0.01</v>
      </c>
      <c r="AA16" s="3">
        <f>IF('Modell einstellen'!$B$2="Ja",'creep_res-40'!P16,'creep_res-40'!L16)</f>
        <v>0.41402304562656794</v>
      </c>
      <c r="AB16" s="2">
        <f>IF('Modell einstellen'!$B$2="Ja",creep_res0!P16,creep_res0!L16)</f>
        <v>0.42304896301488693</v>
      </c>
      <c r="AC16" s="2">
        <f>IF('Modell einstellen'!$B$2="Ja",creep_res25!P16,creep_res25!L16)</f>
        <v>0.4293171833558862</v>
      </c>
      <c r="AD16" s="2">
        <f>IF('Modell einstellen'!$B$2="Ja",creep_res50!P16,creep_res50!L16)</f>
        <v>0.43486516213373472</v>
      </c>
      <c r="AE16" s="2">
        <f>IF('Modell einstellen'!$B$2="Ja",creep_res80!P16,creep_res80!L16)</f>
        <v>0.44259302540005935</v>
      </c>
      <c r="AF16" s="2">
        <f>IF('Modell einstellen'!$B$2="Ja",creep_res125!P16,creep_res125!L16)</f>
        <v>0.46296053736343123</v>
      </c>
      <c r="AG16" s="2">
        <f>IF('Modell einstellen'!$B$2="Ja",creep_res160!P16,creep_res160!L16)</f>
        <v>0.49644199461632577</v>
      </c>
      <c r="AL16" s="2">
        <f t="shared" si="12"/>
        <v>0.01</v>
      </c>
      <c r="AM16" s="2">
        <f t="shared" si="13"/>
        <v>6826.065675816817</v>
      </c>
      <c r="AN16" s="2">
        <f t="shared" si="14"/>
        <v>6341.2106146502829</v>
      </c>
      <c r="AO16" s="2">
        <f t="shared" si="15"/>
        <v>6022.8689849680577</v>
      </c>
      <c r="AP16" s="2">
        <f t="shared" si="16"/>
        <v>5748.7087759518809</v>
      </c>
      <c r="AQ16" s="2">
        <f t="shared" si="17"/>
        <v>5389.077424650558</v>
      </c>
      <c r="AR16" s="2">
        <f t="shared" si="18"/>
        <v>4584.0172032140918</v>
      </c>
      <c r="AS16" s="2">
        <f t="shared" si="19"/>
        <v>3576.233277328839</v>
      </c>
      <c r="AX16" s="2">
        <f t="shared" si="28"/>
        <v>0.01</v>
      </c>
      <c r="AY16" s="37">
        <f t="shared" si="20"/>
        <v>37421.710840644082</v>
      </c>
      <c r="AZ16" s="37">
        <f t="shared" si="21"/>
        <v>39089.155663069367</v>
      </c>
      <c r="BA16" s="37">
        <f t="shared" si="22"/>
        <v>40597.279235301292</v>
      </c>
      <c r="BB16" s="37">
        <f t="shared" si="23"/>
        <v>42213.057405633284</v>
      </c>
      <c r="BC16" s="37">
        <f t="shared" si="24"/>
        <v>45141.120687391449</v>
      </c>
      <c r="BD16" s="37">
        <f t="shared" si="25"/>
        <v>60352.173902547278</v>
      </c>
      <c r="BE16" s="37">
        <f t="shared" si="26"/>
        <v>501369.45485383167</v>
      </c>
    </row>
    <row r="17" spans="1:57" x14ac:dyDescent="0.25">
      <c r="A17" s="2">
        <f>'creep_res-40'!A17</f>
        <v>0.1</v>
      </c>
      <c r="B17" s="3">
        <f>'creep_res-40'!O17</f>
        <v>-5.4382945714285722E-4</v>
      </c>
      <c r="C17" s="2">
        <f>IF('Modell einstellen'!$B$2="Ja",creep_res0!O17,creep_res0!C17)</f>
        <v>-5.774936857142857E-4</v>
      </c>
      <c r="D17" s="2">
        <f>IF('Modell einstellen'!$B$2="Ja",creep_res25!O17,creep_res25!C17)</f>
        <v>-6.0632237142857145E-4</v>
      </c>
      <c r="E17" s="2">
        <f>IF('Modell einstellen'!$B$2="Ja",creep_res50!O17,creep_res50!C17)</f>
        <v>-6.3452037142857146E-4</v>
      </c>
      <c r="F17" s="2">
        <f>IF('Modell einstellen'!$B$2="Ja",creep_res80!O17,creep_res80!C17)</f>
        <v>-6.7329702857142854E-4</v>
      </c>
      <c r="G17" s="2">
        <f>IF('Modell einstellen'!$B$2="Ja",creep_res125!O17,creep_res125!C17)</f>
        <v>-8.0384180000000007E-4</v>
      </c>
      <c r="H17" s="2">
        <f>IF('Modell einstellen'!$B$2="Ja",creep_res160!O17,creep_res160!C17)</f>
        <v>-1.0801062E-3</v>
      </c>
      <c r="M17" s="9">
        <f t="shared" si="27"/>
        <v>-10</v>
      </c>
      <c r="N17" s="2">
        <f t="shared" si="4"/>
        <v>0.1</v>
      </c>
      <c r="O17" s="2">
        <f t="shared" si="5"/>
        <v>18388.117577406487</v>
      </c>
      <c r="P17" s="2">
        <f t="shared" si="6"/>
        <v>17316.206648443753</v>
      </c>
      <c r="Q17" s="2">
        <f t="shared" si="7"/>
        <v>16492.876514582083</v>
      </c>
      <c r="R17" s="2">
        <f t="shared" si="8"/>
        <v>15759.935299611905</v>
      </c>
      <c r="S17" s="2">
        <f t="shared" si="9"/>
        <v>14852.2859535227</v>
      </c>
      <c r="T17" s="2">
        <f t="shared" si="10"/>
        <v>12440.258767334566</v>
      </c>
      <c r="U17" s="2">
        <f t="shared" si="11"/>
        <v>9258.3488549551894</v>
      </c>
      <c r="Z17" s="2">
        <v>0.1</v>
      </c>
      <c r="AA17" s="3">
        <f>IF('Modell einstellen'!$B$2="Ja",'creep_res-40'!P17,'creep_res-40'!L17)</f>
        <v>0.4213196458490584</v>
      </c>
      <c r="AB17" s="2">
        <f>IF('Modell einstellen'!$B$2="Ja",creep_res0!P17,creep_res0!L17)</f>
        <v>0.42922859416298381</v>
      </c>
      <c r="AC17" s="2">
        <f>IF('Modell einstellen'!$B$2="Ja",creep_res25!P17,creep_res25!L17)</f>
        <v>0.43574343266615878</v>
      </c>
      <c r="AD17" s="2">
        <f>IF('Modell einstellen'!$B$2="Ja",creep_res50!P17,creep_res50!L17)</f>
        <v>0.44169083752934107</v>
      </c>
      <c r="AE17" s="2">
        <f>IF('Modell einstellen'!$B$2="Ja",creep_res80!P17,creep_res80!L17)</f>
        <v>0.4494153631027461</v>
      </c>
      <c r="AF17" s="2">
        <f>IF('Modell einstellen'!$B$2="Ja",creep_res125!P17,creep_res125!L17)</f>
        <v>0.47355017936542809</v>
      </c>
      <c r="AG17" s="2">
        <f>IF('Modell einstellen'!$B$2="Ja",creep_res160!P17,creep_res160!L17)</f>
        <v>0.51303529227033418</v>
      </c>
      <c r="AL17" s="2">
        <f t="shared" si="12"/>
        <v>0.1</v>
      </c>
      <c r="AM17" s="2">
        <f t="shared" si="13"/>
        <v>6468.6777640443843</v>
      </c>
      <c r="AN17" s="2">
        <f t="shared" si="14"/>
        <v>6057.8856031721252</v>
      </c>
      <c r="AO17" s="2">
        <f t="shared" si="15"/>
        <v>5743.6712365645317</v>
      </c>
      <c r="AP17" s="2">
        <f t="shared" si="16"/>
        <v>5465.7818754747968</v>
      </c>
      <c r="AQ17" s="2">
        <f t="shared" si="17"/>
        <v>5123.5437168709832</v>
      </c>
      <c r="AR17" s="2">
        <f t="shared" si="18"/>
        <v>4221.1859974432145</v>
      </c>
      <c r="AS17" s="2">
        <f t="shared" si="19"/>
        <v>3059.5283871610445</v>
      </c>
      <c r="AX17" s="2">
        <f t="shared" si="28"/>
        <v>0.1</v>
      </c>
      <c r="AY17" s="37">
        <f t="shared" si="20"/>
        <v>38951.098987451682</v>
      </c>
      <c r="AZ17" s="37">
        <f t="shared" si="21"/>
        <v>40779.668105699609</v>
      </c>
      <c r="BA17" s="37">
        <f t="shared" si="22"/>
        <v>42778.705220106953</v>
      </c>
      <c r="BB17" s="37">
        <f t="shared" si="23"/>
        <v>45047.052160805426</v>
      </c>
      <c r="BC17" s="37">
        <f t="shared" si="24"/>
        <v>48935.430677929115</v>
      </c>
      <c r="BD17" s="37">
        <f t="shared" si="25"/>
        <v>78389.055633608659</v>
      </c>
      <c r="BE17" s="37">
        <f t="shared" si="26"/>
        <v>-118375.41579364783</v>
      </c>
    </row>
    <row r="18" spans="1:57" x14ac:dyDescent="0.25">
      <c r="A18" s="2">
        <f>'creep_res-40'!A18</f>
        <v>1</v>
      </c>
      <c r="B18" s="3">
        <f>'creep_res-40'!O18</f>
        <v>-5.6631957142857148E-4</v>
      </c>
      <c r="C18" s="2">
        <f>IF('Modell einstellen'!$B$2="Ja",creep_res0!O18,creep_res0!C18)</f>
        <v>-6.0290725714285721E-4</v>
      </c>
      <c r="D18" s="2">
        <f>IF('Modell einstellen'!$B$2="Ja",creep_res25!O18,creep_res25!C18)</f>
        <v>-6.3484974285714293E-4</v>
      </c>
      <c r="E18" s="2">
        <f>IF('Modell einstellen'!$B$2="Ja",creep_res50!O18,creep_res50!C18)</f>
        <v>-6.6471354285714285E-4</v>
      </c>
      <c r="F18" s="2">
        <f>IF('Modell einstellen'!$B$2="Ja",creep_res80!O18,creep_res80!C18)</f>
        <v>-7.1481365714285718E-4</v>
      </c>
      <c r="G18" s="2">
        <f>IF('Modell einstellen'!$B$2="Ja",creep_res125!O18,creep_res125!C18)</f>
        <v>-8.9073805714285725E-4</v>
      </c>
      <c r="H18" s="2">
        <f>IF('Modell einstellen'!$B$2="Ja",creep_res160!O18,creep_res160!C18)</f>
        <v>-1.3319143428571429E-3</v>
      </c>
      <c r="M18" s="9">
        <f t="shared" si="27"/>
        <v>-10</v>
      </c>
      <c r="N18" s="2">
        <f t="shared" si="4"/>
        <v>1</v>
      </c>
      <c r="O18" s="2">
        <f t="shared" si="5"/>
        <v>17657.874642711824</v>
      </c>
      <c r="P18" s="2">
        <f t="shared" si="6"/>
        <v>16586.298939889071</v>
      </c>
      <c r="Q18" s="2">
        <f t="shared" si="7"/>
        <v>15751.758762624639</v>
      </c>
      <c r="R18" s="2">
        <f t="shared" si="8"/>
        <v>15044.074409883286</v>
      </c>
      <c r="S18" s="2">
        <f t="shared" si="9"/>
        <v>13989.659962528494</v>
      </c>
      <c r="T18" s="2">
        <f t="shared" si="10"/>
        <v>11226.645049922003</v>
      </c>
      <c r="U18" s="2">
        <f t="shared" si="11"/>
        <v>7507.9903250749585</v>
      </c>
      <c r="Z18" s="2">
        <v>1</v>
      </c>
      <c r="AA18" s="3">
        <f>IF('Modell einstellen'!$B$2="Ja",'creep_res-40'!P18,'creep_res-40'!L18)</f>
        <v>0.42745693055183126</v>
      </c>
      <c r="AB18" s="2">
        <f>IF('Modell einstellen'!$B$2="Ja",creep_res0!P18,creep_res0!L18)</f>
        <v>0.43572199258886246</v>
      </c>
      <c r="AC18" s="2">
        <f>IF('Modell einstellen'!$B$2="Ja",creep_res25!P18,creep_res25!L18)</f>
        <v>0.44266577184675554</v>
      </c>
      <c r="AD18" s="2">
        <f>IF('Modell einstellen'!$B$2="Ja",creep_res50!P18,creep_res50!L18)</f>
        <v>0.44859117401119813</v>
      </c>
      <c r="AE18" s="2">
        <f>IF('Modell einstellen'!$B$2="Ja",creep_res80!P18,creep_res80!L18)</f>
        <v>0.45747459138001917</v>
      </c>
      <c r="AF18" s="2">
        <f>IF('Modell einstellen'!$B$2="Ja",creep_res125!P18,creep_res125!L18)</f>
        <v>0.48111219613962503</v>
      </c>
      <c r="AG18" s="2">
        <f>IF('Modell einstellen'!$B$2="Ja",creep_res160!P18,creep_res160!L18)</f>
        <v>0.52011225432300434</v>
      </c>
      <c r="AL18" s="2">
        <f t="shared" si="12"/>
        <v>1</v>
      </c>
      <c r="AM18" s="2">
        <f t="shared" si="13"/>
        <v>6185.0814076350389</v>
      </c>
      <c r="AN18" s="2">
        <f t="shared" si="14"/>
        <v>5776.2920069159836</v>
      </c>
      <c r="AO18" s="2">
        <f t="shared" si="15"/>
        <v>5459.2543435964462</v>
      </c>
      <c r="AP18" s="2">
        <f t="shared" si="16"/>
        <v>5192.657072535425</v>
      </c>
      <c r="AQ18" s="2">
        <f t="shared" si="17"/>
        <v>4799.280908658001</v>
      </c>
      <c r="AR18" s="2">
        <f t="shared" si="18"/>
        <v>3789.937412973562</v>
      </c>
      <c r="AS18" s="2">
        <f t="shared" si="19"/>
        <v>2469.5512794279489</v>
      </c>
      <c r="AX18" s="2">
        <f t="shared" si="28"/>
        <v>1</v>
      </c>
      <c r="AY18" s="37">
        <f t="shared" si="20"/>
        <v>40568.71496485774</v>
      </c>
      <c r="AZ18" s="37">
        <f t="shared" si="21"/>
        <v>43006.671612679616</v>
      </c>
      <c r="BA18" s="37">
        <f t="shared" si="22"/>
        <v>45789.281754821095</v>
      </c>
      <c r="BB18" s="37">
        <f t="shared" si="23"/>
        <v>48772.670582415376</v>
      </c>
      <c r="BC18" s="37">
        <f t="shared" si="24"/>
        <v>54828.632326397623</v>
      </c>
      <c r="BD18" s="37">
        <f t="shared" si="25"/>
        <v>99064.323314250432</v>
      </c>
      <c r="BE18" s="37">
        <f t="shared" si="26"/>
        <v>-62217.37756242256</v>
      </c>
    </row>
    <row r="19" spans="1:57" x14ac:dyDescent="0.25">
      <c r="A19" s="2">
        <f>'creep_res-40'!A19</f>
        <v>10</v>
      </c>
      <c r="B19" s="3">
        <f>'creep_res-40'!O19</f>
        <v>-5.9135617142857145E-4</v>
      </c>
      <c r="C19" s="2">
        <f>IF('Modell einstellen'!$B$2="Ja",creep_res0!O19,creep_res0!C19)</f>
        <v>-6.3093077142857145E-4</v>
      </c>
      <c r="D19" s="2">
        <f>IF('Modell einstellen'!$B$2="Ja",creep_res25!O19,creep_res25!C19)</f>
        <v>-6.6514245714285717E-4</v>
      </c>
      <c r="E19" s="2">
        <f>IF('Modell einstellen'!$B$2="Ja",creep_res50!O19,creep_res50!C19)</f>
        <v>-7.0354954285714285E-4</v>
      </c>
      <c r="F19" s="2">
        <f>IF('Modell einstellen'!$B$2="Ja",creep_res80!O19,creep_res80!C19)</f>
        <v>-7.7185057142857148E-4</v>
      </c>
      <c r="G19" s="2">
        <f>IF('Modell einstellen'!$B$2="Ja",creep_res125!O19,creep_res125!C19)</f>
        <v>-1.0281325428571429E-3</v>
      </c>
      <c r="H19" s="2">
        <f>IF('Modell einstellen'!$B$2="Ja",creep_res160!O19,creep_res160!C19)</f>
        <v>-1.7799718571428571E-3</v>
      </c>
      <c r="M19" s="9">
        <f t="shared" si="27"/>
        <v>-10</v>
      </c>
      <c r="N19" s="2">
        <f t="shared" si="4"/>
        <v>10</v>
      </c>
      <c r="O19" s="2">
        <f t="shared" si="5"/>
        <v>16910.282640396654</v>
      </c>
      <c r="P19" s="2">
        <f t="shared" si="6"/>
        <v>15849.59943760187</v>
      </c>
      <c r="Q19" s="2">
        <f t="shared" si="7"/>
        <v>15034.373302458171</v>
      </c>
      <c r="R19" s="2">
        <f t="shared" si="8"/>
        <v>14213.640107546087</v>
      </c>
      <c r="S19" s="2">
        <f t="shared" si="9"/>
        <v>12955.875619152041</v>
      </c>
      <c r="T19" s="2">
        <f t="shared" si="10"/>
        <v>9726.3724112947184</v>
      </c>
      <c r="U19" s="2">
        <f t="shared" si="11"/>
        <v>5618.0663530555021</v>
      </c>
      <c r="Z19" s="2">
        <v>10</v>
      </c>
      <c r="AA19" s="3">
        <f>IF('Modell einstellen'!$B$2="Ja",'creep_res-40'!P19,'creep_res-40'!L19)</f>
        <v>0.43404531260010282</v>
      </c>
      <c r="AB19" s="2">
        <f>IF('Modell einstellen'!$B$2="Ja",creep_res0!P19,creep_res0!L19)</f>
        <v>0.44260824721679903</v>
      </c>
      <c r="AC19" s="2">
        <f>IF('Modell einstellen'!$B$2="Ja",creep_res25!P19,creep_res25!L19)</f>
        <v>0.44948016721315892</v>
      </c>
      <c r="AD19" s="2">
        <f>IF('Modell einstellen'!$B$2="Ja",creep_res50!P19,creep_res50!L19)</f>
        <v>0.45544880705730789</v>
      </c>
      <c r="AE19" s="2">
        <f>IF('Modell einstellen'!$B$2="Ja",creep_res80!P19,creep_res80!L19)</f>
        <v>0.4620685647147838</v>
      </c>
      <c r="AF19" s="2">
        <f>IF('Modell einstellen'!$B$2="Ja",creep_res125!P19,creep_res125!L19)</f>
        <v>0.48093212773372551</v>
      </c>
      <c r="AG19" s="2">
        <f>IF('Modell einstellen'!$B$2="Ja",creep_res160!P19,creep_res160!L19)</f>
        <v>0.52432910857418857</v>
      </c>
      <c r="AL19" s="2">
        <f t="shared" si="12"/>
        <v>10</v>
      </c>
      <c r="AM19" s="2">
        <f t="shared" si="13"/>
        <v>5896.0070828362468</v>
      </c>
      <c r="AN19" s="2">
        <f t="shared" si="14"/>
        <v>5493.3830678495879</v>
      </c>
      <c r="AO19" s="2">
        <f t="shared" si="15"/>
        <v>5186.1259100095131</v>
      </c>
      <c r="AP19" s="2">
        <f t="shared" si="16"/>
        <v>4882.9062343607484</v>
      </c>
      <c r="AQ19" s="2">
        <f t="shared" si="17"/>
        <v>4430.6662258617935</v>
      </c>
      <c r="AR19" s="2">
        <f t="shared" si="18"/>
        <v>3283.8683924627298</v>
      </c>
      <c r="AS19" s="2">
        <f t="shared" si="19"/>
        <v>1842.799668868907</v>
      </c>
      <c r="AX19" s="2">
        <f t="shared" si="28"/>
        <v>10</v>
      </c>
      <c r="AY19" s="37">
        <f t="shared" si="20"/>
        <v>42732.071838619653</v>
      </c>
      <c r="AZ19" s="37">
        <f t="shared" si="21"/>
        <v>46027.517511892336</v>
      </c>
      <c r="BA19" s="37">
        <f t="shared" si="22"/>
        <v>49598.914832427879</v>
      </c>
      <c r="BB19" s="37">
        <f t="shared" si="23"/>
        <v>53173.436252798107</v>
      </c>
      <c r="BC19" s="37">
        <f t="shared" si="24"/>
        <v>56926.730743394786</v>
      </c>
      <c r="BD19" s="37">
        <f t="shared" si="25"/>
        <v>85015.362275963344</v>
      </c>
      <c r="BE19" s="37">
        <f t="shared" si="26"/>
        <v>-38486.588578477997</v>
      </c>
    </row>
    <row r="20" spans="1:57" x14ac:dyDescent="0.25">
      <c r="A20" s="2">
        <f>'creep_res-40'!A20</f>
        <v>100</v>
      </c>
      <c r="B20" s="3">
        <f>'creep_res-40'!O20</f>
        <v>-6.1750360000000003E-4</v>
      </c>
      <c r="C20" s="2">
        <f>IF('Modell einstellen'!$B$2="Ja",creep_res0!O20,creep_res0!C20)</f>
        <v>-6.6142368571428577E-4</v>
      </c>
      <c r="D20" s="2">
        <f>IF('Modell einstellen'!$B$2="Ja",creep_res25!O20,creep_res25!C20)</f>
        <v>-7.0607157142857152E-4</v>
      </c>
      <c r="E20" s="2">
        <f>IF('Modell einstellen'!$B$2="Ja",creep_res50!O20,creep_res50!C20)</f>
        <v>-7.6183774285714279E-4</v>
      </c>
      <c r="F20" s="2">
        <f>IF('Modell einstellen'!$B$2="Ja",creep_res80!O20,creep_res80!C20)</f>
        <v>-8.5811151428571433E-4</v>
      </c>
      <c r="G20" s="2">
        <f>IF('Modell einstellen'!$B$2="Ja",creep_res125!O20,creep_res125!C20)</f>
        <v>-1.2448388857142858E-3</v>
      </c>
      <c r="H20" s="2">
        <f>IF('Modell einstellen'!$B$2="Ja",creep_res160!O20,creep_res160!C20)</f>
        <v>-2.461023085714286E-3</v>
      </c>
      <c r="M20" s="9">
        <f t="shared" si="27"/>
        <v>-10</v>
      </c>
      <c r="N20" s="2">
        <f t="shared" si="4"/>
        <v>100</v>
      </c>
      <c r="O20" s="2">
        <f t="shared" si="5"/>
        <v>16194.23757205626</v>
      </c>
      <c r="P20" s="2">
        <f t="shared" si="6"/>
        <v>15118.902174180206</v>
      </c>
      <c r="Q20" s="2">
        <f t="shared" si="7"/>
        <v>14162.870174431931</v>
      </c>
      <c r="R20" s="2">
        <f t="shared" si="8"/>
        <v>13126.154609374827</v>
      </c>
      <c r="S20" s="2">
        <f t="shared" si="9"/>
        <v>11653.497049650856</v>
      </c>
      <c r="T20" s="2">
        <f t="shared" si="10"/>
        <v>8033.1680788249332</v>
      </c>
      <c r="U20" s="2">
        <f t="shared" si="11"/>
        <v>4063.3507495512199</v>
      </c>
      <c r="Z20" s="2">
        <v>100</v>
      </c>
      <c r="AA20" s="3">
        <f>IF('Modell einstellen'!$B$2="Ja",'creep_res-40'!P20,'creep_res-40'!L20)</f>
        <v>0.44070882455468396</v>
      </c>
      <c r="AB20" s="2">
        <f>IF('Modell einstellen'!$B$2="Ja",creep_res0!P20,creep_res0!L20)</f>
        <v>0.44941105180517749</v>
      </c>
      <c r="AC20" s="2">
        <f>IF('Modell einstellen'!$B$2="Ja",creep_res25!P20,creep_res25!L20)</f>
        <v>0.45543505201111745</v>
      </c>
      <c r="AD20" s="2">
        <f>IF('Modell einstellen'!$B$2="Ja",creep_res50!P20,creep_res50!L20)</f>
        <v>0.45796272104585001</v>
      </c>
      <c r="AE20" s="2">
        <f>IF('Modell einstellen'!$B$2="Ja",creep_res80!P20,creep_res80!L20)</f>
        <v>0.460190438785129</v>
      </c>
      <c r="AF20" s="2">
        <f>IF('Modell einstellen'!$B$2="Ja",creep_res125!P20,creep_res125!L20)</f>
        <v>0.47956292037425102</v>
      </c>
      <c r="AG20" s="2">
        <f>IF('Modell einstellen'!$B$2="Ja",creep_res160!P20,creep_res160!L20)</f>
        <v>0.52898518116878868</v>
      </c>
      <c r="AL20" s="2">
        <f t="shared" si="12"/>
        <v>100</v>
      </c>
      <c r="AM20" s="2">
        <f t="shared" si="13"/>
        <v>5620.2326577203476</v>
      </c>
      <c r="AN20" s="2">
        <f t="shared" si="14"/>
        <v>5215.5329419319251</v>
      </c>
      <c r="AO20" s="2">
        <f t="shared" si="15"/>
        <v>4865.5108844814831</v>
      </c>
      <c r="AP20" s="2">
        <f t="shared" si="16"/>
        <v>4501.5398610325774</v>
      </c>
      <c r="AQ20" s="2">
        <f t="shared" si="17"/>
        <v>3990.4031488339651</v>
      </c>
      <c r="AR20" s="2">
        <f t="shared" si="18"/>
        <v>2714.7098539050189</v>
      </c>
      <c r="AS20" s="2">
        <f t="shared" si="19"/>
        <v>1328.7737512423464</v>
      </c>
      <c r="AX20" s="2">
        <f t="shared" si="28"/>
        <v>100</v>
      </c>
      <c r="AY20" s="37">
        <f t="shared" si="20"/>
        <v>45521.775796670132</v>
      </c>
      <c r="AZ20" s="37">
        <f t="shared" si="21"/>
        <v>49809.634691869775</v>
      </c>
      <c r="BA20" s="37">
        <f t="shared" si="22"/>
        <v>52967.151739842295</v>
      </c>
      <c r="BB20" s="37">
        <f t="shared" si="23"/>
        <v>52041.72318769533</v>
      </c>
      <c r="BC20" s="37">
        <f t="shared" si="24"/>
        <v>48788.518361001385</v>
      </c>
      <c r="BD20" s="37">
        <f t="shared" si="25"/>
        <v>65511.382789934971</v>
      </c>
      <c r="BE20" s="37">
        <f t="shared" si="26"/>
        <v>-23364.529653326481</v>
      </c>
    </row>
    <row r="21" spans="1:57" x14ac:dyDescent="0.25">
      <c r="A21" s="2">
        <f>'creep_res-40'!A21</f>
        <v>1000</v>
      </c>
      <c r="B21" s="3">
        <f>'creep_res-40'!O21</f>
        <v>-6.4772062857142859E-4</v>
      </c>
      <c r="C21" s="2">
        <f>IF('Modell einstellen'!$B$2="Ja",creep_res0!O21,creep_res0!C21)</f>
        <v>-7.0192851428571438E-4</v>
      </c>
      <c r="D21" s="2">
        <f>IF('Modell einstellen'!$B$2="Ja",creep_res25!O21,creep_res25!C21)</f>
        <v>-7.6816097142857142E-4</v>
      </c>
      <c r="E21" s="2">
        <f>IF('Modell einstellen'!$B$2="Ja",creep_res50!O21,creep_res50!C21)</f>
        <v>-8.4521674285714286E-4</v>
      </c>
      <c r="F21" s="2">
        <f>IF('Modell einstellen'!$B$2="Ja",creep_res80!O21,creep_res80!C21)</f>
        <v>-9.7714334285714283E-4</v>
      </c>
      <c r="G21" s="2">
        <f>IF('Modell einstellen'!$B$2="Ja",creep_res125!O21,creep_res125!C21)</f>
        <v>-1.5896212285714288E-3</v>
      </c>
      <c r="H21" s="2">
        <f>IF('Modell einstellen'!$B$2="Ja",creep_res160!O21,creep_res160!C21)</f>
        <v>-3.4348485714285715E-3</v>
      </c>
      <c r="M21" s="9">
        <f t="shared" si="27"/>
        <v>-10</v>
      </c>
      <c r="N21" s="2">
        <f t="shared" si="4"/>
        <v>1000</v>
      </c>
      <c r="O21" s="2">
        <f t="shared" si="5"/>
        <v>15438.754856480893</v>
      </c>
      <c r="P21" s="2">
        <f t="shared" si="6"/>
        <v>14246.464983939348</v>
      </c>
      <c r="Q21" s="2">
        <f t="shared" si="7"/>
        <v>13018.104761821871</v>
      </c>
      <c r="R21" s="2">
        <f t="shared" si="8"/>
        <v>11831.284797076225</v>
      </c>
      <c r="S21" s="2">
        <f t="shared" si="9"/>
        <v>10233.913041622172</v>
      </c>
      <c r="T21" s="2">
        <f t="shared" si="10"/>
        <v>6290.8067785348248</v>
      </c>
      <c r="U21" s="2">
        <f t="shared" si="11"/>
        <v>2911.3364947674963</v>
      </c>
      <c r="Z21" s="2">
        <v>1000</v>
      </c>
      <c r="AA21" s="3">
        <f>IF('Modell einstellen'!$B$2="Ja",'creep_res-40'!P21,'creep_res-40'!L21)</f>
        <v>0.44807624733449902</v>
      </c>
      <c r="AB21" s="2">
        <f>IF('Modell einstellen'!$B$2="Ja",creep_res0!P21,creep_res0!L21)</f>
        <v>0.45440146163846229</v>
      </c>
      <c r="AC21" s="2">
        <f>IF('Modell einstellen'!$B$2="Ja",creep_res25!P21,creep_res25!L21)</f>
        <v>0.4557357286050982</v>
      </c>
      <c r="AD21" s="2">
        <f>IF('Modell einstellen'!$B$2="Ja",creep_res50!P21,creep_res50!L21)</f>
        <v>0.45468628063821065</v>
      </c>
      <c r="AE21" s="2">
        <f>IF('Modell einstellen'!$B$2="Ja",creep_res80!P21,creep_res80!L21)</f>
        <v>0.45673608875691496</v>
      </c>
      <c r="AF21" s="2">
        <f>IF('Modell einstellen'!$B$2="Ja",creep_res125!P21,creep_res125!L21)</f>
        <v>0.48344366599604865</v>
      </c>
      <c r="AG21" s="2">
        <f>IF('Modell einstellen'!$B$2="Ja",creep_res160!P21,creep_res160!L21)</f>
        <v>0.53416238769519475</v>
      </c>
      <c r="AL21" s="2">
        <f t="shared" si="12"/>
        <v>1000</v>
      </c>
      <c r="AM21" s="2">
        <f t="shared" si="13"/>
        <v>5330.7810569019748</v>
      </c>
      <c r="AN21" s="2">
        <f t="shared" si="14"/>
        <v>4897.7071873573095</v>
      </c>
      <c r="AO21" s="2">
        <f t="shared" si="15"/>
        <v>4471.3145751722259</v>
      </c>
      <c r="AP21" s="2">
        <f t="shared" si="16"/>
        <v>4066.6104281555185</v>
      </c>
      <c r="AQ21" s="2">
        <f t="shared" si="17"/>
        <v>3512.6173919241392</v>
      </c>
      <c r="AR21" s="2">
        <f t="shared" si="18"/>
        <v>2120.3389527808267</v>
      </c>
      <c r="AS21" s="2">
        <f t="shared" si="19"/>
        <v>948.83583319405307</v>
      </c>
      <c r="AX21" s="2">
        <f t="shared" si="28"/>
        <v>1000</v>
      </c>
      <c r="AY21" s="37">
        <f t="shared" si="20"/>
        <v>49555.852135531619</v>
      </c>
      <c r="AZ21" s="37">
        <f t="shared" si="21"/>
        <v>52072.08204417731</v>
      </c>
      <c r="BA21" s="37">
        <f t="shared" si="22"/>
        <v>49016.600942407204</v>
      </c>
      <c r="BB21" s="37">
        <f t="shared" si="23"/>
        <v>43516.198345340119</v>
      </c>
      <c r="BC21" s="37">
        <f t="shared" si="24"/>
        <v>39424.36373864171</v>
      </c>
      <c r="BD21" s="37">
        <f t="shared" si="25"/>
        <v>63327.291909685009</v>
      </c>
      <c r="BE21" s="37">
        <f t="shared" si="26"/>
        <v>-14203.42024852575</v>
      </c>
    </row>
    <row r="22" spans="1:57" x14ac:dyDescent="0.25">
      <c r="A22" s="2">
        <f>'creep_res-40'!A22</f>
        <v>10000</v>
      </c>
      <c r="B22" s="3">
        <f>'creep_res-40'!O22</f>
        <v>-6.7977485714285719E-4</v>
      </c>
      <c r="C22" s="2">
        <f>IF('Modell einstellen'!$B$2="Ja",creep_res0!O22,creep_res0!C22)</f>
        <v>-7.6508594285714293E-4</v>
      </c>
      <c r="D22" s="2">
        <f>IF('Modell einstellen'!$B$2="Ja",creep_res25!O22,creep_res25!C22)</f>
        <v>-8.5432602857142862E-4</v>
      </c>
      <c r="E22" s="2">
        <f>IF('Modell einstellen'!$B$2="Ja",creep_res50!O22,creep_res50!C22)</f>
        <v>-9.5746677142857144E-4</v>
      </c>
      <c r="F22" s="2">
        <f>IF('Modell einstellen'!$B$2="Ja",creep_res80!O22,creep_res80!C22)</f>
        <v>-1.1450628000000001E-3</v>
      </c>
      <c r="G22" s="2">
        <f>IF('Modell einstellen'!$B$2="Ja",creep_res125!O22,creep_res125!C22)</f>
        <v>-2.1613843714285716E-3</v>
      </c>
      <c r="H22" s="2">
        <f>IF('Modell einstellen'!$B$2="Ja",creep_res160!O22,creep_res160!C22)</f>
        <v>-4.4121640000000005E-3</v>
      </c>
      <c r="M22" s="9">
        <f t="shared" si="27"/>
        <v>-10</v>
      </c>
      <c r="N22" s="2">
        <f t="shared" si="4"/>
        <v>10000</v>
      </c>
      <c r="O22" s="2">
        <f t="shared" si="5"/>
        <v>14710.752971992406</v>
      </c>
      <c r="P22" s="2">
        <f t="shared" si="6"/>
        <v>13070.427045955023</v>
      </c>
      <c r="Q22" s="2">
        <f t="shared" si="7"/>
        <v>11705.13324605317</v>
      </c>
      <c r="R22" s="2">
        <f t="shared" si="8"/>
        <v>10444.226680660338</v>
      </c>
      <c r="S22" s="2">
        <f t="shared" si="9"/>
        <v>8733.14546590807</v>
      </c>
      <c r="T22" s="2">
        <f t="shared" si="10"/>
        <v>4626.6643417017394</v>
      </c>
      <c r="U22" s="2">
        <f t="shared" si="11"/>
        <v>2266.4615367878437</v>
      </c>
      <c r="Z22" s="2">
        <v>10000</v>
      </c>
      <c r="AA22" s="3">
        <f>IF('Modell einstellen'!$B$2="Ja",'creep_res-40'!P22,'creep_res-40'!L22)</f>
        <v>0.45464973276866461</v>
      </c>
      <c r="AB22" s="2">
        <f>IF('Modell einstellen'!$B$2="Ja",creep_res0!P22,creep_res0!L22)</f>
        <v>0.45365170553388434</v>
      </c>
      <c r="AC22" s="2">
        <f>IF('Modell einstellen'!$B$2="Ja",creep_res25!P22,creep_res25!L22)</f>
        <v>0.45179784325227995</v>
      </c>
      <c r="AD22" s="2">
        <f>IF('Modell einstellen'!$B$2="Ja",creep_res50!P22,creep_res50!L22)</f>
        <v>0.45156742030316488</v>
      </c>
      <c r="AE22" s="2">
        <f>IF('Modell einstellen'!$B$2="Ja",creep_res80!P22,creep_res80!L22)</f>
        <v>0.45691949322405223</v>
      </c>
      <c r="AF22" s="2">
        <f>IF('Modell einstellen'!$B$2="Ja",creep_res125!P22,creep_res125!L22)</f>
        <v>0.49321881043621607</v>
      </c>
      <c r="AG22" s="2">
        <f>IF('Modell einstellen'!$B$2="Ja",creep_res160!P22,creep_res160!L22)</f>
        <v>0.53264624796358429</v>
      </c>
      <c r="AL22" s="2">
        <f t="shared" si="12"/>
        <v>10000</v>
      </c>
      <c r="AM22" s="2">
        <f t="shared" si="13"/>
        <v>5056.458830124393</v>
      </c>
      <c r="AN22" s="2">
        <f t="shared" si="14"/>
        <v>4495.7217042422935</v>
      </c>
      <c r="AO22" s="2">
        <f t="shared" si="15"/>
        <v>4031.2545236434685</v>
      </c>
      <c r="AP22" s="2">
        <f t="shared" si="16"/>
        <v>3597.5685781370817</v>
      </c>
      <c r="AQ22" s="2">
        <f t="shared" si="17"/>
        <v>2997.1269883218743</v>
      </c>
      <c r="AR22" s="2">
        <f t="shared" si="18"/>
        <v>1549.2251736201158</v>
      </c>
      <c r="AS22" s="2">
        <f t="shared" si="19"/>
        <v>739.39486681916139</v>
      </c>
      <c r="AX22" s="2">
        <f t="shared" si="28"/>
        <v>10000</v>
      </c>
      <c r="AY22" s="37">
        <f t="shared" si="20"/>
        <v>54063.455668120841</v>
      </c>
      <c r="AZ22" s="37">
        <f t="shared" si="21"/>
        <v>47000.747983332156</v>
      </c>
      <c r="BA22" s="37">
        <f t="shared" si="22"/>
        <v>40472.370380006629</v>
      </c>
      <c r="BB22" s="37">
        <f t="shared" si="23"/>
        <v>35940.774942666772</v>
      </c>
      <c r="BC22" s="37">
        <f t="shared" si="24"/>
        <v>33786.14490047373</v>
      </c>
      <c r="BD22" s="37">
        <f t="shared" si="25"/>
        <v>113713.19388197045</v>
      </c>
      <c r="BE22" s="37">
        <f t="shared" si="26"/>
        <v>-11570.811747984026</v>
      </c>
    </row>
    <row r="23" spans="1:57" x14ac:dyDescent="0.25">
      <c r="A23" s="2">
        <f>'creep_res-40'!A23</f>
        <v>100000</v>
      </c>
      <c r="B23" s="3">
        <f>'creep_res-40'!O23</f>
        <v>-7.3137274285714287E-4</v>
      </c>
      <c r="C23" s="2">
        <f>IF('Modell einstellen'!$B$2="Ja",creep_res0!O23,creep_res0!C23)</f>
        <v>-8.4982022857142865E-4</v>
      </c>
      <c r="D23" s="2">
        <f>IF('Modell einstellen'!$B$2="Ja",creep_res25!O23,creep_res25!C23)</f>
        <v>-9.6764748571428582E-4</v>
      </c>
      <c r="E23" s="2">
        <f>IF('Modell einstellen'!$B$2="Ja",creep_res50!O23,creep_res50!C23)</f>
        <v>-1.1098411428571431E-3</v>
      </c>
      <c r="F23" s="2">
        <f>IF('Modell einstellen'!$B$2="Ja",creep_res80!O23,creep_res80!C23)</f>
        <v>-1.3958689142857146E-3</v>
      </c>
      <c r="G23" s="2">
        <f>IF('Modell einstellen'!$B$2="Ja",creep_res125!O23,creep_res125!C23)</f>
        <v>-2.981823142857143E-3</v>
      </c>
      <c r="H23" s="2">
        <f>IF('Modell einstellen'!$B$2="Ja",creep_res160!O23,creep_res160!C23)</f>
        <v>-5.2413105714285719E-3</v>
      </c>
      <c r="M23" s="9">
        <f t="shared" si="27"/>
        <v>-10</v>
      </c>
      <c r="N23" s="2">
        <f t="shared" si="4"/>
        <v>100000</v>
      </c>
      <c r="O23" s="2">
        <f t="shared" si="5"/>
        <v>13672.918628242171</v>
      </c>
      <c r="P23" s="2">
        <f t="shared" si="6"/>
        <v>11767.194594567696</v>
      </c>
      <c r="Q23" s="2">
        <f t="shared" si="7"/>
        <v>10334.341945422744</v>
      </c>
      <c r="R23" s="2">
        <f t="shared" si="8"/>
        <v>9010.2985137641299</v>
      </c>
      <c r="S23" s="2">
        <f t="shared" si="9"/>
        <v>7163.9964882498571</v>
      </c>
      <c r="T23" s="2">
        <f t="shared" si="10"/>
        <v>3353.6529569014392</v>
      </c>
      <c r="U23" s="2">
        <f t="shared" si="11"/>
        <v>1907.9197585642019</v>
      </c>
      <c r="Z23" s="2">
        <v>100000</v>
      </c>
      <c r="AA23" s="3">
        <f>IF('Modell einstellen'!$B$2="Ja",'creep_res-40'!P23,'creep_res-40'!L23)</f>
        <v>0.45902632568126489</v>
      </c>
      <c r="AB23" s="2">
        <f>IF('Modell einstellen'!$B$2="Ja",creep_res0!P23,creep_res0!L23)</f>
        <v>0.44944914063841662</v>
      </c>
      <c r="AC23" s="2">
        <f>IF('Modell einstellen'!$B$2="Ja",creep_res25!P23,creep_res25!L23)</f>
        <v>0.44927597895597277</v>
      </c>
      <c r="AD23" s="2">
        <f>IF('Modell einstellen'!$B$2="Ja",creep_res50!P23,creep_res50!L23)</f>
        <v>0.45211613296523251</v>
      </c>
      <c r="AE23" s="2">
        <f>IF('Modell einstellen'!$B$2="Ja",creep_res80!P23,creep_res80!L23)</f>
        <v>0.46174184346250108</v>
      </c>
      <c r="AF23" s="2">
        <f>IF('Modell einstellen'!$B$2="Ja",creep_res125!P23,creep_res125!L23)</f>
        <v>0.50380438391430893</v>
      </c>
      <c r="AG23" s="2">
        <f>IF('Modell einstellen'!$B$2="Ja",creep_res160!P23,creep_res160!L23)</f>
        <v>0.52841957684847307</v>
      </c>
      <c r="AL23" s="2">
        <f t="shared" si="12"/>
        <v>100000</v>
      </c>
      <c r="AM23" s="2">
        <f t="shared" si="13"/>
        <v>4685.6312280238881</v>
      </c>
      <c r="AN23" s="2">
        <f t="shared" si="14"/>
        <v>4059.1954090175182</v>
      </c>
      <c r="AO23" s="2">
        <f t="shared" si="15"/>
        <v>3565.3464541885878</v>
      </c>
      <c r="AP23" s="2">
        <f t="shared" si="16"/>
        <v>3102.4717339118838</v>
      </c>
      <c r="AQ23" s="2">
        <f t="shared" si="17"/>
        <v>2450.4999019800034</v>
      </c>
      <c r="AR23" s="2">
        <f t="shared" si="18"/>
        <v>1115.0562509241029</v>
      </c>
      <c r="AS23" s="2">
        <f t="shared" si="19"/>
        <v>624.14790659062351</v>
      </c>
      <c r="AX23" s="2">
        <f t="shared" si="28"/>
        <v>100000</v>
      </c>
      <c r="AY23" s="37">
        <f t="shared" si="20"/>
        <v>55616.680936317942</v>
      </c>
      <c r="AZ23" s="37">
        <f t="shared" si="21"/>
        <v>38796.5530925286</v>
      </c>
      <c r="BA23" s="37">
        <f t="shared" si="22"/>
        <v>33956.107753013719</v>
      </c>
      <c r="BB23" s="37">
        <f t="shared" si="23"/>
        <v>31361.636224374335</v>
      </c>
      <c r="BC23" s="37">
        <f t="shared" si="24"/>
        <v>31209.015874510449</v>
      </c>
      <c r="BD23" s="37">
        <f t="shared" si="25"/>
        <v>-146920.54536906688</v>
      </c>
      <c r="BE23" s="37">
        <f t="shared" si="26"/>
        <v>-11188.999333902882</v>
      </c>
    </row>
    <row r="24" spans="1:57" x14ac:dyDescent="0.25">
      <c r="A24" s="2">
        <f>'creep_res-40'!A24</f>
        <v>1000000</v>
      </c>
      <c r="B24" s="3">
        <f>'creep_res-40'!O24</f>
        <v>-8.0382091428571442E-4</v>
      </c>
      <c r="C24" s="2">
        <f>IF('Modell einstellen'!$B$2="Ja",creep_res0!O24,creep_res0!C24)</f>
        <v>-9.6031400000000009E-4</v>
      </c>
      <c r="D24" s="2">
        <f>IF('Modell einstellen'!$B$2="Ja",creep_res25!O24,creep_res25!C24)</f>
        <v>-1.1218572857142858E-3</v>
      </c>
      <c r="E24" s="2">
        <f>IF('Modell einstellen'!$B$2="Ja",creep_res50!O24,creep_res50!C24)</f>
        <v>-1.3359454857142859E-3</v>
      </c>
      <c r="F24" s="2">
        <f>IF('Modell einstellen'!$B$2="Ja",creep_res80!O24,creep_res80!C24)</f>
        <v>-1.8148498000000002E-3</v>
      </c>
      <c r="G24" s="2">
        <f>IF('Modell einstellen'!$B$2="Ja",creep_res125!O24,creep_res125!C24)</f>
        <v>-4.0335100000000006E-3</v>
      </c>
      <c r="H24" s="2">
        <f>IF('Modell einstellen'!$B$2="Ja",creep_res160!O24,creep_res160!C24)</f>
        <v>-5.7147317142857146E-3</v>
      </c>
      <c r="M24" s="9">
        <f t="shared" si="27"/>
        <v>-10</v>
      </c>
      <c r="N24" s="2">
        <f t="shared" si="4"/>
        <v>1000000</v>
      </c>
      <c r="O24" s="2">
        <f t="shared" si="5"/>
        <v>12440.582003127063</v>
      </c>
      <c r="P24" s="2">
        <f t="shared" si="6"/>
        <v>10413.260662658255</v>
      </c>
      <c r="Q24" s="2">
        <f t="shared" si="7"/>
        <v>8913.7897728524422</v>
      </c>
      <c r="R24" s="2">
        <f t="shared" si="8"/>
        <v>7485.3353725382967</v>
      </c>
      <c r="S24" s="2">
        <f t="shared" si="9"/>
        <v>5510.0978604400207</v>
      </c>
      <c r="T24" s="2">
        <f t="shared" si="10"/>
        <v>2479.2302485924165</v>
      </c>
      <c r="U24" s="2">
        <f t="shared" si="11"/>
        <v>1749.8634231598223</v>
      </c>
      <c r="Z24" s="2">
        <v>1000000</v>
      </c>
      <c r="AA24" s="3">
        <f>IF('Modell einstellen'!$B$2="Ja",'creep_res-40'!P24,'creep_res-40'!L24)</f>
        <v>0.45611858391200993</v>
      </c>
      <c r="AB24" s="2">
        <f>IF('Modell einstellen'!$B$2="Ja",creep_res0!P24,creep_res0!L24)</f>
        <v>0.44725885789142183</v>
      </c>
      <c r="AC24" s="2">
        <f>IF('Modell einstellen'!$B$2="Ja",creep_res25!P24,creep_res25!L24)</f>
        <v>0.45067991204890967</v>
      </c>
      <c r="AD24" s="2">
        <f>IF('Modell einstellen'!$B$2="Ja",creep_res50!P24,creep_res50!L24)</f>
        <v>0.45707301315887733</v>
      </c>
      <c r="AE24" s="2">
        <f>IF('Modell einstellen'!$B$2="Ja",creep_res80!P24,creep_res80!L24)</f>
        <v>0.47159269835206985</v>
      </c>
      <c r="AF24" s="2">
        <f>IF('Modell einstellen'!$B$2="Ja",creep_res125!P24,creep_res125!L24)</f>
        <v>0.51251415551928003</v>
      </c>
      <c r="AG24" s="2">
        <f>IF('Modell einstellen'!$B$2="Ja",creep_res160!P24,creep_res160!L24)</f>
        <v>0.52202235615510217</v>
      </c>
      <c r="AL24" s="2">
        <f t="shared" si="12"/>
        <v>1000000</v>
      </c>
      <c r="AM24" s="2">
        <f t="shared" si="13"/>
        <v>4271.8299665210579</v>
      </c>
      <c r="AN24" s="2">
        <f t="shared" si="14"/>
        <v>3597.5805592338243</v>
      </c>
      <c r="AO24" s="2">
        <f t="shared" si="15"/>
        <v>3072.2800042990852</v>
      </c>
      <c r="AP24" s="2">
        <f t="shared" si="16"/>
        <v>2568.6205512482802</v>
      </c>
      <c r="AQ24" s="2">
        <f t="shared" si="17"/>
        <v>1872.1545257089074</v>
      </c>
      <c r="AR24" s="2">
        <f t="shared" si="18"/>
        <v>819.57257707159806</v>
      </c>
      <c r="AS24" s="2">
        <f t="shared" si="19"/>
        <v>574.84813415628378</v>
      </c>
      <c r="AX24" s="2">
        <f t="shared" si="28"/>
        <v>1000000</v>
      </c>
      <c r="AY24" s="37">
        <f t="shared" si="20"/>
        <v>47250.76168227828</v>
      </c>
      <c r="AZ24" s="37">
        <f t="shared" si="21"/>
        <v>32906.823295623995</v>
      </c>
      <c r="BA24" s="37">
        <f t="shared" si="22"/>
        <v>30122.242082820478</v>
      </c>
      <c r="BB24" s="37">
        <f t="shared" si="23"/>
        <v>29062.27497495657</v>
      </c>
      <c r="BC24" s="37">
        <f t="shared" si="24"/>
        <v>32327.943526223095</v>
      </c>
      <c r="BD24" s="37">
        <f t="shared" si="25"/>
        <v>-33019.011214577105</v>
      </c>
      <c r="BE24" s="37">
        <f t="shared" si="26"/>
        <v>-13243.083610397513</v>
      </c>
    </row>
    <row r="25" spans="1:57" x14ac:dyDescent="0.25">
      <c r="A25" s="2">
        <f>'creep_res-40'!A25</f>
        <v>10000000</v>
      </c>
      <c r="B25" s="3">
        <f>'creep_res-40'!O25</f>
        <v>-9.0442820000000005E-4</v>
      </c>
      <c r="C25" s="2">
        <f>IF('Modell einstellen'!$B$2="Ja",creep_res0!O25,creep_res0!C25)</f>
        <v>-1.1084513428571429E-3</v>
      </c>
      <c r="D25" s="2">
        <f>IF('Modell einstellen'!$B$2="Ja",creep_res25!O25,creep_res25!C25)</f>
        <v>-1.3513724571428572E-3</v>
      </c>
      <c r="E25" s="2">
        <f>IF('Modell einstellen'!$B$2="Ja",creep_res50!O25,creep_res50!C25)</f>
        <v>-1.7043230571428571E-3</v>
      </c>
      <c r="F25" s="2">
        <f>IF('Modell einstellen'!$B$2="Ja",creep_res80!O25,creep_res80!C25)</f>
        <v>-2.464179485714286E-3</v>
      </c>
      <c r="G25" s="2">
        <f>IF('Modell einstellen'!$B$2="Ja",creep_res125!O25,creep_res125!C25)</f>
        <v>-4.9064134285714284E-3</v>
      </c>
      <c r="H25" s="2">
        <f>IF('Modell einstellen'!$B$2="Ja",creep_res160!O25,creep_res160!C25)</f>
        <v>-6.0956394285714291E-3</v>
      </c>
      <c r="M25" s="9">
        <f t="shared" si="27"/>
        <v>-10</v>
      </c>
      <c r="N25" s="2">
        <f t="shared" si="4"/>
        <v>10000000</v>
      </c>
      <c r="O25" s="2">
        <f t="shared" si="5"/>
        <v>11056.709642622818</v>
      </c>
      <c r="P25" s="2">
        <f t="shared" si="6"/>
        <v>9021.5958187429424</v>
      </c>
      <c r="Q25" s="2">
        <f t="shared" si="7"/>
        <v>7399.8844264907739</v>
      </c>
      <c r="R25" s="2">
        <f t="shared" si="8"/>
        <v>5867.432208987475</v>
      </c>
      <c r="S25" s="2">
        <f t="shared" si="9"/>
        <v>4058.1459499900525</v>
      </c>
      <c r="T25" s="2">
        <f t="shared" si="10"/>
        <v>2038.148669202473</v>
      </c>
      <c r="U25" s="2">
        <f t="shared" si="11"/>
        <v>1640.5169822099524</v>
      </c>
      <c r="Z25" s="2">
        <v>10000000</v>
      </c>
      <c r="AA25" s="3">
        <f>IF('Modell einstellen'!$B$2="Ja",'creep_res-40'!P25,'creep_res-40'!L25)</f>
        <v>0.45197586086514591</v>
      </c>
      <c r="AB25" s="2">
        <f>IF('Modell einstellen'!$B$2="Ja",creep_res0!P25,creep_res0!L25)</f>
        <v>0.4488808671722867</v>
      </c>
      <c r="AC25" s="2">
        <f>IF('Modell einstellen'!$B$2="Ja",creep_res25!P25,creep_res25!L25)</f>
        <v>0.45622970475983404</v>
      </c>
      <c r="AD25" s="2">
        <f>IF('Modell einstellen'!$B$2="Ja",creep_res50!P25,creep_res50!L25)</f>
        <v>0.46632160130204697</v>
      </c>
      <c r="AE25" s="2">
        <f>IF('Modell einstellen'!$B$2="Ja",creep_res80!P25,creep_res80!L25)</f>
        <v>0.48383582494605387</v>
      </c>
      <c r="AF25" s="2">
        <f>IF('Modell einstellen'!$B$2="Ja",creep_res125!P25,creep_res125!L25)</f>
        <v>0.5148750029625947</v>
      </c>
      <c r="AG25" s="2">
        <f>IF('Modell einstellen'!$B$2="Ja",creep_res160!P25,creep_res160!L25)</f>
        <v>0.51894258087444056</v>
      </c>
      <c r="AL25" s="2">
        <f t="shared" si="12"/>
        <v>10000000</v>
      </c>
      <c r="AM25" s="2">
        <f t="shared" si="13"/>
        <v>3807.4701999642007</v>
      </c>
      <c r="AN25" s="2">
        <f t="shared" si="14"/>
        <v>3113.2980023229825</v>
      </c>
      <c r="AO25" s="2">
        <f t="shared" si="15"/>
        <v>2540.7682600840731</v>
      </c>
      <c r="AP25" s="2">
        <f t="shared" si="16"/>
        <v>2000.7316961631682</v>
      </c>
      <c r="AQ25" s="2">
        <f t="shared" si="17"/>
        <v>1367.4511296212941</v>
      </c>
      <c r="AR25" s="2">
        <f t="shared" si="18"/>
        <v>672.71182943032534</v>
      </c>
      <c r="AS25" s="2">
        <f t="shared" si="19"/>
        <v>540.01941971549797</v>
      </c>
      <c r="AX25" s="2">
        <f t="shared" si="28"/>
        <v>10000000</v>
      </c>
      <c r="AY25" s="37">
        <f t="shared" si="20"/>
        <v>38372.055671055496</v>
      </c>
      <c r="AZ25" s="37">
        <f t="shared" si="21"/>
        <v>29413.630864815354</v>
      </c>
      <c r="BA25" s="37">
        <f t="shared" si="22"/>
        <v>28176.964864290905</v>
      </c>
      <c r="BB25" s="37">
        <f t="shared" si="23"/>
        <v>29036.575549063033</v>
      </c>
      <c r="BC25" s="37">
        <f t="shared" si="24"/>
        <v>41843.0050450708</v>
      </c>
      <c r="BD25" s="37">
        <f t="shared" si="25"/>
        <v>-22836.395106695516</v>
      </c>
      <c r="BE25" s="37">
        <f t="shared" si="26"/>
        <v>-14434.120611511818</v>
      </c>
    </row>
    <row r="26" spans="1:57" x14ac:dyDescent="0.25">
      <c r="A26" s="2">
        <f>'creep_res-40'!A26</f>
        <v>100000000</v>
      </c>
      <c r="B26" s="3">
        <f>'creep_res-40'!O26</f>
        <v>-1.0340307714285716E-3</v>
      </c>
      <c r="C26" s="2">
        <f>IF('Modell einstellen'!$B$2="Ja",creep_res0!O26,creep_res0!C26)</f>
        <v>-1.3287063714285715E-3</v>
      </c>
      <c r="D26" s="2">
        <f>IF('Modell einstellen'!$B$2="Ja",creep_res25!O26,creep_res25!C26)</f>
        <v>-1.7279395999999999E-3</v>
      </c>
      <c r="E26" s="2">
        <f>IF('Modell einstellen'!$B$2="Ja",creep_res50!O26,creep_res50!C26)</f>
        <v>-2.3040462857142857E-3</v>
      </c>
      <c r="F26" s="2">
        <f>IF('Modell einstellen'!$B$2="Ja",creep_res80!O26,creep_res80!C26)</f>
        <v>-3.3960300000000004E-3</v>
      </c>
      <c r="G26" s="2">
        <f>IF('Modell einstellen'!$B$2="Ja",creep_res125!O26,creep_res125!C26)</f>
        <v>-5.5716142857142863E-3</v>
      </c>
      <c r="H26" s="2">
        <f>IF('Modell einstellen'!$B$2="Ja",creep_res160!O26,creep_res160!C26)</f>
        <v>-6.2988837142857138E-3</v>
      </c>
      <c r="M26" s="9">
        <f t="shared" si="27"/>
        <v>-10</v>
      </c>
      <c r="N26" s="2">
        <f t="shared" si="4"/>
        <v>100000000</v>
      </c>
      <c r="O26" s="2">
        <f t="shared" si="5"/>
        <v>9670.892082045526</v>
      </c>
      <c r="P26" s="2">
        <f t="shared" si="6"/>
        <v>7526.1172935058657</v>
      </c>
      <c r="Q26" s="2">
        <f t="shared" si="7"/>
        <v>5787.2393224855778</v>
      </c>
      <c r="R26" s="2">
        <f t="shared" si="8"/>
        <v>4340.1905864490318</v>
      </c>
      <c r="S26" s="2">
        <f t="shared" si="9"/>
        <v>2944.6147413303179</v>
      </c>
      <c r="T26" s="2">
        <f t="shared" si="10"/>
        <v>1794.8119678062012</v>
      </c>
      <c r="U26" s="2">
        <f t="shared" si="11"/>
        <v>1587.5828882695905</v>
      </c>
      <c r="Z26" s="2">
        <v>100000000</v>
      </c>
      <c r="AA26" s="3">
        <f>IF('Modell einstellen'!$B$2="Ja",'creep_res-40'!P26,'creep_res-40'!L26)</f>
        <v>0.45058299867671792</v>
      </c>
      <c r="AB26" s="2">
        <f>IF('Modell einstellen'!$B$2="Ja",creep_res0!P26,creep_res0!L26)</f>
        <v>0.45450968496253596</v>
      </c>
      <c r="AC26" s="2">
        <f>IF('Modell einstellen'!$B$2="Ja",creep_res25!P26,creep_res25!L26)</f>
        <v>0.46582306134179358</v>
      </c>
      <c r="AD26" s="2">
        <f>IF('Modell einstellen'!$B$2="Ja",creep_res50!P26,creep_res50!L26)</f>
        <v>0.47876596477104505</v>
      </c>
      <c r="AE26" s="2">
        <f>IF('Modell einstellen'!$B$2="Ja",creep_res80!P26,creep_res80!L26)</f>
        <v>0.49653332189140181</v>
      </c>
      <c r="AF26" s="2">
        <f>IF('Modell einstellen'!$B$2="Ja",creep_res125!P26,creep_res125!L26)</f>
        <v>0.51520544186988637</v>
      </c>
      <c r="AG26" s="2">
        <f>IF('Modell einstellen'!$B$2="Ja",creep_res160!P26,creep_res160!L26)</f>
        <v>0.51801437107246184</v>
      </c>
      <c r="AL26" s="2">
        <f t="shared" si="12"/>
        <v>100000000</v>
      </c>
      <c r="AM26" s="2">
        <f t="shared" si="13"/>
        <v>3333.4500993282409</v>
      </c>
      <c r="AN26" s="2">
        <f t="shared" si="14"/>
        <v>2587.1664421745386</v>
      </c>
      <c r="AO26" s="2">
        <f t="shared" si="15"/>
        <v>1974.0579457073152</v>
      </c>
      <c r="AP26" s="2">
        <f t="shared" si="16"/>
        <v>1467.5042196825975</v>
      </c>
      <c r="AQ26" s="2">
        <f t="shared" si="17"/>
        <v>983.81195335121254</v>
      </c>
      <c r="AR26" s="2">
        <f t="shared" si="18"/>
        <v>592.26686963031818</v>
      </c>
      <c r="AS26" s="2">
        <f t="shared" si="19"/>
        <v>522.91431442377564</v>
      </c>
      <c r="AX26" s="2">
        <f t="shared" si="28"/>
        <v>100000000</v>
      </c>
      <c r="AY26" s="37">
        <f t="shared" si="20"/>
        <v>32616.615817362534</v>
      </c>
      <c r="AZ26" s="37">
        <f t="shared" si="21"/>
        <v>27574.064528195548</v>
      </c>
      <c r="BA26" s="37">
        <f t="shared" si="22"/>
        <v>28221.950968956324</v>
      </c>
      <c r="BB26" s="37">
        <f t="shared" si="23"/>
        <v>34066.30392866247</v>
      </c>
      <c r="BC26" s="37">
        <f t="shared" si="24"/>
        <v>141567.54915832213</v>
      </c>
      <c r="BD26" s="37">
        <f t="shared" si="25"/>
        <v>-19672.912535355055</v>
      </c>
      <c r="BE26" s="37">
        <f t="shared" si="26"/>
        <v>-14688.114671370091</v>
      </c>
    </row>
    <row r="27" spans="1:57" x14ac:dyDescent="0.25">
      <c r="A27" s="2">
        <f>'creep_res-40'!A27</f>
        <v>1000000000</v>
      </c>
      <c r="B27" s="3">
        <f>'creep_res-40'!O27</f>
        <v>-1.2221332857142858E-3</v>
      </c>
      <c r="C27" s="2">
        <f>IF('Modell einstellen'!$B$2="Ja",creep_res0!O27,creep_res0!C27)</f>
        <v>-1.6862730571428571E-3</v>
      </c>
      <c r="D27" s="2">
        <f>IF('Modell einstellen'!$B$2="Ja",creep_res25!O27,creep_res25!C27)</f>
        <v>-2.3361168857142858E-3</v>
      </c>
      <c r="E27" s="2">
        <f>IF('Modell einstellen'!$B$2="Ja",creep_res50!O27,creep_res50!C27)</f>
        <v>-3.1656362857142859E-3</v>
      </c>
      <c r="F27" s="2">
        <f>IF('Modell einstellen'!$B$2="Ja",creep_res80!O27,creep_res80!C27)</f>
        <v>-4.3980477142857143E-3</v>
      </c>
      <c r="G27" s="2">
        <f>IF('Modell einstellen'!$B$2="Ja",creep_res125!O27,creep_res125!C27)</f>
        <v>-5.9386188571428581E-3</v>
      </c>
      <c r="H27" s="2">
        <f>IF('Modell einstellen'!$B$2="Ja",creep_res160!O27,creep_res160!C27)</f>
        <v>-6.4397999999999999E-3</v>
      </c>
      <c r="M27" s="9">
        <f t="shared" si="27"/>
        <v>-10</v>
      </c>
      <c r="N27" s="2">
        <f t="shared" si="4"/>
        <v>1000000000</v>
      </c>
      <c r="O27" s="2">
        <f t="shared" si="5"/>
        <v>8182.4135852378968</v>
      </c>
      <c r="P27" s="2">
        <f t="shared" si="6"/>
        <v>5930.2376668127145</v>
      </c>
      <c r="Q27" s="2">
        <f t="shared" si="7"/>
        <v>4280.6077303543925</v>
      </c>
      <c r="R27" s="2">
        <f t="shared" si="8"/>
        <v>3158.9225980026404</v>
      </c>
      <c r="S27" s="2">
        <f t="shared" si="9"/>
        <v>2273.7361324021235</v>
      </c>
      <c r="T27" s="2">
        <f t="shared" si="10"/>
        <v>1683.8932149976572</v>
      </c>
      <c r="U27" s="2">
        <f t="shared" si="11"/>
        <v>1552.8432560017393</v>
      </c>
      <c r="Z27" s="2">
        <v>1000000000</v>
      </c>
      <c r="AA27" s="3">
        <f>IF('Modell einstellen'!$B$2="Ja",'creep_res-40'!P27,'creep_res-40'!L27)</f>
        <v>0.45391004231126064</v>
      </c>
      <c r="AB27" s="2">
        <f>IF('Modell einstellen'!$B$2="Ja",creep_res0!P27,creep_res0!L27)</f>
        <v>0.46385924245415805</v>
      </c>
      <c r="AC27" s="2">
        <f>IF('Modell einstellen'!$B$2="Ja",creep_res25!P27,creep_res25!L27)</f>
        <v>0.47834590370484276</v>
      </c>
      <c r="AD27" s="2">
        <f>IF('Modell einstellen'!$B$2="Ja",creep_res50!P27,creep_res50!L27)</f>
        <v>0.49171466047854784</v>
      </c>
      <c r="AE27" s="2">
        <f>IF('Modell einstellen'!$B$2="Ja",creep_res80!P27,creep_res80!L27)</f>
        <v>0.50529837687072454</v>
      </c>
      <c r="AF27" s="2">
        <f>IF('Modell einstellen'!$B$2="Ja",creep_res125!P27,creep_res125!L27)</f>
        <v>0.5139557220760228</v>
      </c>
      <c r="AG27" s="2">
        <f>IF('Modell einstellen'!$B$2="Ja",creep_res160!P27,creep_res160!L27)</f>
        <v>0.51561295160009402</v>
      </c>
      <c r="AL27" s="2">
        <f t="shared" si="12"/>
        <v>1000000000</v>
      </c>
      <c r="AM27" s="2">
        <f t="shared" si="13"/>
        <v>2813.9339254547094</v>
      </c>
      <c r="AN27" s="2">
        <f t="shared" si="14"/>
        <v>2025.5491425769458</v>
      </c>
      <c r="AO27" s="2">
        <f t="shared" si="15"/>
        <v>1447.7693345065175</v>
      </c>
      <c r="AP27" s="2">
        <f t="shared" si="16"/>
        <v>1058.8226695409851</v>
      </c>
      <c r="AQ27" s="2">
        <f t="shared" si="17"/>
        <v>755.24433140254177</v>
      </c>
      <c r="AR27" s="2">
        <f t="shared" si="18"/>
        <v>556.12366677692739</v>
      </c>
      <c r="AS27" s="2">
        <f t="shared" si="19"/>
        <v>512.28225991416207</v>
      </c>
      <c r="AX27" s="2">
        <f t="shared" si="28"/>
        <v>1000000000</v>
      </c>
      <c r="AY27" s="37">
        <f t="shared" si="20"/>
        <v>29588.562583402756</v>
      </c>
      <c r="AZ27" s="37">
        <f t="shared" si="21"/>
        <v>27347.875683433191</v>
      </c>
      <c r="BA27" s="37">
        <f t="shared" si="22"/>
        <v>32946.866588253128</v>
      </c>
      <c r="BB27" s="37">
        <f t="shared" si="23"/>
        <v>63544.420636467767</v>
      </c>
      <c r="BC27" s="37">
        <f t="shared" si="24"/>
        <v>-71523.040227827194</v>
      </c>
      <c r="BD27" s="37">
        <f t="shared" si="25"/>
        <v>-20109.949713634411</v>
      </c>
      <c r="BE27" s="37">
        <f t="shared" si="26"/>
        <v>-16576.443453015301</v>
      </c>
    </row>
    <row r="28" spans="1:57" x14ac:dyDescent="0.25">
      <c r="A28" s="2">
        <f>'creep_res-40'!A28</f>
        <v>10000000000</v>
      </c>
      <c r="B28" s="3">
        <f>'creep_res-40'!O28</f>
        <v>-1.5110083142857143E-3</v>
      </c>
      <c r="C28" s="2">
        <f>IF('Modell einstellen'!$B$2="Ja",creep_res0!O28,creep_res0!C28)</f>
        <v>-2.2753457428571428E-3</v>
      </c>
      <c r="D28" s="2">
        <f>IF('Modell einstellen'!$B$2="Ja",creep_res25!O28,creep_res25!C28)</f>
        <v>-3.210096E-3</v>
      </c>
      <c r="E28" s="2">
        <f>IF('Modell einstellen'!$B$2="Ja",creep_res50!O28,creep_res50!C28)</f>
        <v>-4.2048082857142864E-3</v>
      </c>
      <c r="F28" s="2">
        <f>IF('Modell einstellen'!$B$2="Ja",creep_res80!O28,creep_res80!C28)</f>
        <v>-5.2293177142857146E-3</v>
      </c>
      <c r="G28" s="2">
        <f>IF('Modell einstellen'!$B$2="Ja",creep_res125!O28,creep_res125!C28)</f>
        <v>-6.2464694285714285E-3</v>
      </c>
      <c r="H28" s="2">
        <f>IF('Modell einstellen'!$B$2="Ja",creep_res160!O28,creep_res160!C28)</f>
        <v>-6.7772074285714287E-3</v>
      </c>
      <c r="M28" s="9">
        <f t="shared" si="27"/>
        <v>-10</v>
      </c>
      <c r="N28" s="2">
        <f t="shared" si="4"/>
        <v>10000000000</v>
      </c>
      <c r="O28" s="2">
        <f t="shared" si="5"/>
        <v>6618.0972701842556</v>
      </c>
      <c r="P28" s="2">
        <f t="shared" si="6"/>
        <v>4394.9364756509658</v>
      </c>
      <c r="Q28" s="2">
        <f t="shared" si="7"/>
        <v>3115.1716334963194</v>
      </c>
      <c r="R28" s="2">
        <f t="shared" si="8"/>
        <v>2378.2297123925264</v>
      </c>
      <c r="S28" s="2">
        <f t="shared" si="9"/>
        <v>1912.2953598098456</v>
      </c>
      <c r="T28" s="2">
        <f t="shared" si="10"/>
        <v>1600.9043371380121</v>
      </c>
      <c r="U28" s="2">
        <f t="shared" si="11"/>
        <v>1475.5340020790695</v>
      </c>
      <c r="Z28" s="2">
        <v>10000000000</v>
      </c>
      <c r="AA28" s="3">
        <f>IF('Modell einstellen'!$B$2="Ja",'creep_res-40'!P28,'creep_res-40'!L28)</f>
        <v>0.46122257321038468</v>
      </c>
      <c r="AB28" s="2">
        <f>IF('Modell einstellen'!$B$2="Ja",creep_res0!P28,creep_res0!L28)</f>
        <v>0.47640147021424106</v>
      </c>
      <c r="AC28" s="2">
        <f>IF('Modell einstellen'!$B$2="Ja",creep_res25!P28,creep_res25!L28)</f>
        <v>0.49143015393576134</v>
      </c>
      <c r="AD28" s="2">
        <f>IF('Modell einstellen'!$B$2="Ja",creep_res50!P28,creep_res50!L28)</f>
        <v>0.50240444459876499</v>
      </c>
      <c r="AE28" s="2">
        <f>IF('Modell einstellen'!$B$2="Ja",creep_res80!P28,creep_res80!L28)</f>
        <v>0.50981945637048953</v>
      </c>
      <c r="AF28" s="2">
        <f>IF('Modell einstellen'!$B$2="Ja",creep_res125!P28,creep_res125!L28)</f>
        <v>0.5138482570474211</v>
      </c>
      <c r="AG28" s="2">
        <f>IF('Modell einstellen'!$B$2="Ja",creep_res160!P28,creep_res160!L28)</f>
        <v>0.51708301598812767</v>
      </c>
      <c r="AL28" s="2">
        <f t="shared" si="12"/>
        <v>10000000000</v>
      </c>
      <c r="AM28" s="2">
        <f t="shared" si="13"/>
        <v>2264.5753602217969</v>
      </c>
      <c r="AN28" s="2">
        <f t="shared" si="14"/>
        <v>1488.3947775442189</v>
      </c>
      <c r="AO28" s="2">
        <f t="shared" si="15"/>
        <v>1044.3571981147218</v>
      </c>
      <c r="AP28" s="2">
        <f t="shared" si="16"/>
        <v>791.47453302018846</v>
      </c>
      <c r="AQ28" s="2">
        <f t="shared" si="17"/>
        <v>633.28610309701617</v>
      </c>
      <c r="AR28" s="2">
        <f t="shared" si="18"/>
        <v>528.75323853804991</v>
      </c>
      <c r="AS28" s="2">
        <f t="shared" si="19"/>
        <v>486.30628203230003</v>
      </c>
      <c r="AX28" s="2">
        <f t="shared" si="28"/>
        <v>10000000000</v>
      </c>
      <c r="AY28" s="37">
        <f t="shared" si="20"/>
        <v>28444.801602791398</v>
      </c>
      <c r="AZ28" s="37">
        <f t="shared" si="21"/>
        <v>31039.620656814455</v>
      </c>
      <c r="BA28" s="37">
        <f t="shared" si="22"/>
        <v>60583.96712817868</v>
      </c>
      <c r="BB28" s="37">
        <f t="shared" si="23"/>
        <v>-164849.55358741846</v>
      </c>
      <c r="BC28" s="37">
        <f t="shared" si="24"/>
        <v>-32457.590448640276</v>
      </c>
      <c r="BD28" s="37">
        <f t="shared" si="25"/>
        <v>-19267.218149499204</v>
      </c>
      <c r="BE28" s="37">
        <f t="shared" si="26"/>
        <v>-14395.721098121998</v>
      </c>
    </row>
    <row r="29" spans="1:57" x14ac:dyDescent="0.25">
      <c r="A29" s="2">
        <f>'creep_res-40'!A29</f>
        <v>100000000000</v>
      </c>
      <c r="B29" s="3">
        <f>'creep_res-40'!O29</f>
        <v>-2.0067045714285713E-3</v>
      </c>
      <c r="C29" s="2">
        <f>IF('Modell einstellen'!$B$2="Ja",creep_res0!O29,creep_res0!C29)</f>
        <v>-3.1217257142857145E-3</v>
      </c>
      <c r="D29" s="2">
        <f>IF('Modell einstellen'!$B$2="Ja",creep_res25!O29,creep_res25!C29)</f>
        <v>-4.2436945714285712E-3</v>
      </c>
      <c r="E29" s="2">
        <f>IF('Modell einstellen'!$B$2="Ja",creep_res50!O29,creep_res50!C29)</f>
        <v>-5.0564605714285716E-3</v>
      </c>
      <c r="F29" s="2">
        <f>IF('Modell einstellen'!$B$2="Ja",creep_res80!O29,creep_res80!C29)</f>
        <v>-5.7320725714285724E-3</v>
      </c>
      <c r="G29" s="2">
        <f>IF('Modell einstellen'!$B$2="Ja",creep_res125!O29,creep_res125!C29)</f>
        <v>-6.358090857142857E-3</v>
      </c>
      <c r="H29" s="2">
        <f>IF('Modell einstellen'!$B$2="Ja",creep_res160!O29,creep_res160!C29)</f>
        <v>-6.9143051428571436E-3</v>
      </c>
      <c r="M29" s="9">
        <f t="shared" si="27"/>
        <v>-10</v>
      </c>
      <c r="N29" s="2">
        <f t="shared" si="4"/>
        <v>100000000000</v>
      </c>
      <c r="O29" s="2">
        <f t="shared" si="5"/>
        <v>4983.2945727935466</v>
      </c>
      <c r="P29" s="2">
        <f t="shared" si="6"/>
        <v>3203.3563852960447</v>
      </c>
      <c r="Q29" s="2">
        <f t="shared" si="7"/>
        <v>2356.4372580738441</v>
      </c>
      <c r="R29" s="2">
        <f t="shared" si="8"/>
        <v>1977.667947517439</v>
      </c>
      <c r="S29" s="2">
        <f t="shared" si="9"/>
        <v>1744.5696779634031</v>
      </c>
      <c r="T29" s="2">
        <f t="shared" si="10"/>
        <v>1572.7991663984669</v>
      </c>
      <c r="U29" s="2">
        <f t="shared" si="11"/>
        <v>1446.2769278168969</v>
      </c>
      <c r="Z29" s="2">
        <v>100000000000</v>
      </c>
      <c r="AA29" s="3">
        <f>IF('Modell einstellen'!$B$2="Ja",'creep_res-40'!P29,'creep_res-40'!L29)</f>
        <v>0.47286559086354235</v>
      </c>
      <c r="AB29" s="2">
        <f>IF('Modell einstellen'!$B$2="Ja",creep_res0!P29,creep_res0!L29)</f>
        <v>0.48953970514477341</v>
      </c>
      <c r="AC29" s="2">
        <f>IF('Modell einstellen'!$B$2="Ja",creep_res25!P29,creep_res25!L29)</f>
        <v>0.50204461328205197</v>
      </c>
      <c r="AD29" s="2">
        <f>IF('Modell einstellen'!$B$2="Ja",creep_res50!P29,creep_res50!L29)</f>
        <v>0.50782834429865453</v>
      </c>
      <c r="AE29" s="2">
        <f>IF('Modell einstellen'!$B$2="Ja",creep_res80!P29,creep_res80!L29)</f>
        <v>0.51110657855293817</v>
      </c>
      <c r="AF29" s="2">
        <f>IF('Modell einstellen'!$B$2="Ja",creep_res125!P29,creep_res125!L29)</f>
        <v>0.51946392892960958</v>
      </c>
      <c r="AG29" s="2">
        <f>IF('Modell einstellen'!$B$2="Ja",creep_res160!P29,creep_res160!L29)</f>
        <v>0.51549446059407766</v>
      </c>
      <c r="AL29" s="2">
        <f t="shared" si="12"/>
        <v>100000000000</v>
      </c>
      <c r="AM29" s="2">
        <f t="shared" si="13"/>
        <v>1691.7003845109305</v>
      </c>
      <c r="AN29" s="2">
        <f t="shared" si="14"/>
        <v>1075.2839868020503</v>
      </c>
      <c r="AO29" s="2">
        <f t="shared" si="15"/>
        <v>784.40987612375113</v>
      </c>
      <c r="AP29" s="2">
        <f t="shared" si="16"/>
        <v>655.80009654126911</v>
      </c>
      <c r="AQ29" s="2">
        <f t="shared" si="17"/>
        <v>577.24905136540178</v>
      </c>
      <c r="AR29" s="2">
        <f t="shared" si="18"/>
        <v>517.55067575260887</v>
      </c>
      <c r="AS29" s="2">
        <f t="shared" si="19"/>
        <v>477.16338311456207</v>
      </c>
      <c r="AX29" s="2">
        <f t="shared" si="28"/>
        <v>100000000000</v>
      </c>
      <c r="AY29" s="37">
        <f t="shared" si="20"/>
        <v>30608.703926029837</v>
      </c>
      <c r="AZ29" s="37">
        <f t="shared" si="21"/>
        <v>51039.931309002168</v>
      </c>
      <c r="BA29" s="37">
        <f t="shared" si="22"/>
        <v>-192085.0003567205</v>
      </c>
      <c r="BB29" s="37">
        <f t="shared" si="23"/>
        <v>-42104.857938209301</v>
      </c>
      <c r="BC29" s="37">
        <f t="shared" si="24"/>
        <v>-26179.224466654621</v>
      </c>
      <c r="BD29" s="37">
        <f t="shared" si="25"/>
        <v>-13467.640338584128</v>
      </c>
      <c r="BE29" s="37">
        <f t="shared" si="26"/>
        <v>-15556.924564917272</v>
      </c>
    </row>
    <row r="30" spans="1:57" x14ac:dyDescent="0.25">
      <c r="A30" s="2">
        <f>'creep_res-40'!A30</f>
        <v>1000000000000</v>
      </c>
      <c r="B30" s="3">
        <f>'creep_res-40'!O30</f>
        <v>-2.7355667999999999E-3</v>
      </c>
      <c r="C30" s="2">
        <f>IF('Modell einstellen'!$B$2="Ja",creep_res0!O30,creep_res0!C30)</f>
        <v>-4.1663445714285718E-3</v>
      </c>
      <c r="D30" s="2">
        <f>IF('Modell einstellen'!$B$2="Ja",creep_res25!O30,creep_res25!C30)</f>
        <v>-5.0913620000000003E-3</v>
      </c>
      <c r="E30" s="2">
        <f>IF('Modell einstellen'!$B$2="Ja",creep_res50!O30,creep_res50!C30)</f>
        <v>-5.6548028571428571E-3</v>
      </c>
      <c r="F30" s="2">
        <f>IF('Modell einstellen'!$B$2="Ja",creep_res80!O30,creep_res80!C30)</f>
        <v>-6.0948040000000005E-3</v>
      </c>
      <c r="G30" s="2">
        <f>IF('Modell einstellen'!$B$2="Ja",creep_res125!O30,creep_res125!C30)</f>
        <v>-6.6076685714285726E-3</v>
      </c>
      <c r="H30" s="2">
        <f>IF('Modell einstellen'!$B$2="Ja",creep_res160!O30,creep_res160!C30)</f>
        <v>-6.9280194285714298E-3</v>
      </c>
      <c r="M30" s="9">
        <f t="shared" si="27"/>
        <v>-10</v>
      </c>
      <c r="N30" s="2">
        <f t="shared" si="4"/>
        <v>1000000000000</v>
      </c>
      <c r="O30" s="2">
        <f t="shared" si="5"/>
        <v>3655.5495555802186</v>
      </c>
      <c r="P30" s="2">
        <f t="shared" si="6"/>
        <v>2400.1855412000077</v>
      </c>
      <c r="Q30" s="2">
        <f t="shared" si="7"/>
        <v>1964.1109785554434</v>
      </c>
      <c r="R30" s="2">
        <f t="shared" si="8"/>
        <v>1768.4082456329159</v>
      </c>
      <c r="S30" s="2">
        <f t="shared" si="9"/>
        <v>1640.7418515837423</v>
      </c>
      <c r="T30" s="2">
        <f t="shared" si="10"/>
        <v>1513.3930965060508</v>
      </c>
      <c r="U30" s="2">
        <f t="shared" si="11"/>
        <v>1443.4139660116425</v>
      </c>
      <c r="Z30" s="2">
        <v>1000000000000</v>
      </c>
      <c r="AA30" s="3">
        <f>IF('Modell einstellen'!$B$2="Ja",'creep_res-40'!P30,'creep_res-40'!L30)</f>
        <v>0.48557251723586398</v>
      </c>
      <c r="AB30" s="2">
        <f>IF('Modell einstellen'!$B$2="Ja",creep_res0!P30,creep_res0!L30)</f>
        <v>0.50085273791907747</v>
      </c>
      <c r="AC30" s="2">
        <f>IF('Modell einstellen'!$B$2="Ja",creep_res25!P30,creep_res25!L30)</f>
        <v>0.5075886570234055</v>
      </c>
      <c r="AD30" s="2">
        <f>IF('Modell einstellen'!$B$2="Ja",creep_res50!P30,creep_res50!L30)</f>
        <v>0.51034443034770449</v>
      </c>
      <c r="AE30" s="2">
        <f>IF('Modell einstellen'!$B$2="Ja",creep_res80!P30,creep_res80!L30)</f>
        <v>0.51202354380176018</v>
      </c>
      <c r="AF30" s="2">
        <f>IF('Modell einstellen'!$B$2="Ja",creep_res125!P30,creep_res125!L30)</f>
        <v>0.5141155471305201</v>
      </c>
      <c r="AG30" s="2">
        <f>IF('Modell einstellen'!$B$2="Ja",creep_res160!P30,creep_res160!L30)</f>
        <v>0.51547183058048163</v>
      </c>
      <c r="AL30" s="2">
        <f t="shared" si="12"/>
        <v>1000000000000</v>
      </c>
      <c r="AM30" s="2">
        <f t="shared" si="13"/>
        <v>1230.3504248927311</v>
      </c>
      <c r="AN30" s="2">
        <f t="shared" si="14"/>
        <v>799.60727676982128</v>
      </c>
      <c r="AO30" s="2">
        <f t="shared" si="15"/>
        <v>651.40811766035665</v>
      </c>
      <c r="AP30" s="2">
        <f t="shared" si="16"/>
        <v>585.43210743850034</v>
      </c>
      <c r="AQ30" s="2">
        <f t="shared" si="17"/>
        <v>542.56491517927657</v>
      </c>
      <c r="AR30" s="2">
        <f t="shared" si="18"/>
        <v>499.76142817308812</v>
      </c>
      <c r="AS30" s="2">
        <f t="shared" si="19"/>
        <v>476.22593072507385</v>
      </c>
      <c r="AX30" s="2">
        <f t="shared" si="28"/>
        <v>1000000000000</v>
      </c>
      <c r="AY30" s="37">
        <f t="shared" si="20"/>
        <v>42229.006211524982</v>
      </c>
      <c r="AZ30" s="37">
        <f t="shared" si="21"/>
        <v>-469113.5630113699</v>
      </c>
      <c r="BA30" s="37">
        <f t="shared" si="22"/>
        <v>-43136.991005074786</v>
      </c>
      <c r="BB30" s="37">
        <f t="shared" si="23"/>
        <v>-28492.115824520955</v>
      </c>
      <c r="BC30" s="37">
        <f t="shared" si="24"/>
        <v>-22743.458981196909</v>
      </c>
      <c r="BD30" s="37">
        <f t="shared" si="25"/>
        <v>-17869.104216700292</v>
      </c>
      <c r="BE30" s="37">
        <f t="shared" si="26"/>
        <v>-15548.838457342066</v>
      </c>
    </row>
    <row r="31" spans="1:57" x14ac:dyDescent="0.25">
      <c r="A31" s="2">
        <f>'creep_res-40'!A31</f>
        <v>10000000000000</v>
      </c>
      <c r="B31" s="3">
        <f>'creep_res-40'!O31</f>
        <v>-3.7568405714285716E-3</v>
      </c>
      <c r="C31" s="2">
        <f>IF('Modell einstellen'!$B$2="Ja",creep_res0!O31,creep_res0!C31)</f>
        <v>-5.0214025714285723E-3</v>
      </c>
      <c r="D31" s="2">
        <f>IF('Modell einstellen'!$B$2="Ja",creep_res25!O31,creep_res25!C31)</f>
        <v>-5.6714805714285716E-3</v>
      </c>
      <c r="E31" s="2">
        <f>IF('Modell einstellen'!$B$2="Ja",creep_res50!O31,creep_res50!C31)</f>
        <v>-6.0127154285714293E-3</v>
      </c>
      <c r="F31" s="2">
        <f>IF('Modell einstellen'!$B$2="Ja",creep_res80!O31,creep_res80!C31)</f>
        <v>-6.3178514285714285E-3</v>
      </c>
      <c r="G31" s="2">
        <f>IF('Modell einstellen'!$B$2="Ja",creep_res125!O31,creep_res125!C31)</f>
        <v>-6.8895494285714292E-3</v>
      </c>
      <c r="H31" s="2">
        <f>IF('Modell einstellen'!$B$2="Ja",creep_res160!O31,creep_res160!C31)</f>
        <v>-6.9320440000000001E-3</v>
      </c>
      <c r="M31" s="9">
        <f t="shared" si="27"/>
        <v>-10</v>
      </c>
      <c r="N31" s="2">
        <f t="shared" si="4"/>
        <v>10000000000000</v>
      </c>
      <c r="O31" s="2">
        <f t="shared" si="5"/>
        <v>2661.8111175788895</v>
      </c>
      <c r="P31" s="2">
        <f t="shared" si="6"/>
        <v>1991.4754608402236</v>
      </c>
      <c r="Q31" s="2">
        <f t="shared" si="7"/>
        <v>1763.2080149189565</v>
      </c>
      <c r="R31" s="2">
        <f t="shared" si="8"/>
        <v>1663.1420726285587</v>
      </c>
      <c r="S31" s="2">
        <f t="shared" si="9"/>
        <v>1582.8165814056135</v>
      </c>
      <c r="T31" s="2">
        <f t="shared" si="10"/>
        <v>1451.473728968301</v>
      </c>
      <c r="U31" s="2">
        <f t="shared" si="11"/>
        <v>1442.5759559518087</v>
      </c>
      <c r="Z31" s="2">
        <v>10000000000000</v>
      </c>
      <c r="AA31" s="3">
        <f>IF('Modell einstellen'!$B$2="Ja",'creep_res-40'!P31,'creep_res-40'!L31)</f>
        <v>0.49833434507506391</v>
      </c>
      <c r="AB31" s="2">
        <f>IF('Modell einstellen'!$B$2="Ja",creep_res0!P31,creep_res0!L31)</f>
        <v>0.50676640203371748</v>
      </c>
      <c r="AC31" s="2">
        <f>IF('Modell einstellen'!$B$2="Ja",creep_res25!P31,creep_res25!L31)</f>
        <v>0.51010993249331416</v>
      </c>
      <c r="AD31" s="2">
        <f>IF('Modell einstellen'!$B$2="Ja",creep_res50!P31,creep_res50!L31)</f>
        <v>0.5113163988089241</v>
      </c>
      <c r="AE31" s="2">
        <f>IF('Modell einstellen'!$B$2="Ja",creep_res80!P31,creep_res80!L31)</f>
        <v>0.51307827073218382</v>
      </c>
      <c r="AF31" s="2">
        <f>IF('Modell einstellen'!$B$2="Ja",creep_res125!P31,creep_res125!L31)</f>
        <v>0.51521146541492668</v>
      </c>
      <c r="AG31" s="2">
        <f>IF('Modell einstellen'!$B$2="Ja",creep_res160!P31,creep_res160!L31)</f>
        <v>0.51537303736510776</v>
      </c>
      <c r="AL31" s="2">
        <f t="shared" si="12"/>
        <v>10000000000000</v>
      </c>
      <c r="AM31" s="2">
        <f t="shared" si="13"/>
        <v>888.25672531905332</v>
      </c>
      <c r="AN31" s="2">
        <f t="shared" si="14"/>
        <v>660.84412890819806</v>
      </c>
      <c r="AO31" s="2">
        <f t="shared" si="15"/>
        <v>583.80121108393644</v>
      </c>
      <c r="AP31" s="2">
        <f t="shared" si="16"/>
        <v>550.22961238933465</v>
      </c>
      <c r="AQ31" s="2">
        <f t="shared" si="17"/>
        <v>523.04517618896307</v>
      </c>
      <c r="AR31" s="2">
        <f t="shared" si="18"/>
        <v>478.96737917397832</v>
      </c>
      <c r="AS31" s="2">
        <f t="shared" si="19"/>
        <v>475.98047490013522</v>
      </c>
      <c r="AX31" s="2">
        <f t="shared" si="28"/>
        <v>10000000000000</v>
      </c>
      <c r="AY31" s="37">
        <f t="shared" si="20"/>
        <v>266342.79382938251</v>
      </c>
      <c r="AZ31" s="37">
        <f t="shared" si="21"/>
        <v>-49053.038106922882</v>
      </c>
      <c r="BA31" s="37">
        <f t="shared" si="22"/>
        <v>-29067.25664892737</v>
      </c>
      <c r="BB31" s="37">
        <f t="shared" si="23"/>
        <v>-24494.572002844325</v>
      </c>
      <c r="BC31" s="37">
        <f t="shared" si="24"/>
        <v>-20171.073758124621</v>
      </c>
      <c r="BD31" s="37">
        <f t="shared" si="25"/>
        <v>-15903.286209624497</v>
      </c>
      <c r="BE31" s="37">
        <f t="shared" si="26"/>
        <v>-15639.676160397003</v>
      </c>
    </row>
    <row r="32" spans="1:57" x14ac:dyDescent="0.25">
      <c r="A32" s="2">
        <f>'creep_res-40'!A32</f>
        <v>100000000000000</v>
      </c>
      <c r="B32" s="3">
        <f>'creep_res-40'!O32</f>
        <v>-4.6848757142857146E-3</v>
      </c>
      <c r="C32" s="2">
        <f>IF('Modell einstellen'!$B$2="Ja",creep_res0!O32,creep_res0!C32)</f>
        <v>-5.6401380000000003E-3</v>
      </c>
      <c r="D32" s="2">
        <f>IF('Modell einstellen'!$B$2="Ja",creep_res25!O32,creep_res25!C32)</f>
        <v>-6.0295740000000002E-3</v>
      </c>
      <c r="E32" s="2">
        <f>IF('Modell einstellen'!$B$2="Ja",creep_res50!O32,creep_res50!C32)</f>
        <v>-6.2865677142857146E-3</v>
      </c>
      <c r="F32" s="2">
        <f>IF('Modell einstellen'!$B$2="Ja",creep_res80!O32,creep_res80!C32)</f>
        <v>-6.4428497142857144E-3</v>
      </c>
      <c r="G32" s="2">
        <f>IF('Modell einstellen'!$B$2="Ja",creep_res125!O32,creep_res125!C32)</f>
        <v>-6.9306028571428577E-3</v>
      </c>
      <c r="H32" s="2">
        <f>IF('Modell einstellen'!$B$2="Ja",creep_res160!O32,creep_res160!C32)</f>
        <v>-6.9347925714285724E-3</v>
      </c>
      <c r="M32" s="9">
        <v>-1</v>
      </c>
      <c r="N32" s="2">
        <f t="shared" si="4"/>
        <v>100000000000000</v>
      </c>
      <c r="O32" s="2">
        <f t="shared" si="5"/>
        <v>2134.5283439444802</v>
      </c>
      <c r="P32" s="2">
        <f t="shared" si="6"/>
        <v>1773.0062633219256</v>
      </c>
      <c r="Q32" s="2">
        <f t="shared" si="7"/>
        <v>1658.491959796828</v>
      </c>
      <c r="R32" s="2">
        <f t="shared" si="8"/>
        <v>1590.6931181661835</v>
      </c>
      <c r="S32" s="2">
        <f t="shared" si="9"/>
        <v>1552.1082197256635</v>
      </c>
      <c r="T32" s="2">
        <f t="shared" si="10"/>
        <v>1442.8759238013101</v>
      </c>
      <c r="U32" s="2">
        <f t="shared" si="11"/>
        <v>1442.004197962621</v>
      </c>
      <c r="Z32" s="2">
        <v>100000000000000</v>
      </c>
      <c r="AA32" s="3">
        <f>IF('Modell einstellen'!$B$2="Ja",'creep_res-40'!P32,'creep_res-40'!L32)</f>
        <v>0.50559271430588337</v>
      </c>
      <c r="AB32" s="2">
        <f>IF('Modell einstellen'!$B$2="Ja",creep_res0!P32,creep_res0!L32)</f>
        <v>0.50979522638833097</v>
      </c>
      <c r="AC32" s="2">
        <f>IF('Modell einstellen'!$B$2="Ja",creep_res25!P32,creep_res25!L32)</f>
        <v>0.51124057141397672</v>
      </c>
      <c r="AD32" s="2">
        <f>IF('Modell einstellen'!$B$2="Ja",creep_res50!P32,creep_res50!L32)</f>
        <v>0.51220909233823575</v>
      </c>
      <c r="AE32" s="2">
        <f>IF('Modell einstellen'!$B$2="Ja",creep_res80!P32,creep_res80!L32)</f>
        <v>0.51270569092452178</v>
      </c>
      <c r="AF32" s="2">
        <f>IF('Modell einstellen'!$B$2="Ja",creep_res125!P32,creep_res125!L32)</f>
        <v>0.51667832647829848</v>
      </c>
      <c r="AG32" s="2">
        <f>IF('Modell einstellen'!$B$2="Ja",creep_res160!P32,creep_res160!L32)</f>
        <v>0.51545132218188916</v>
      </c>
      <c r="AL32" s="2">
        <f t="shared" si="12"/>
        <v>100000000000000</v>
      </c>
      <c r="AM32" s="2">
        <f t="shared" si="13"/>
        <v>708.86645626754114</v>
      </c>
      <c r="AN32" s="2">
        <f t="shared" si="14"/>
        <v>587.16779346403064</v>
      </c>
      <c r="AO32" s="2">
        <f t="shared" si="15"/>
        <v>548.71871201984641</v>
      </c>
      <c r="AP32" s="2">
        <f t="shared" si="16"/>
        <v>525.95012363885235</v>
      </c>
      <c r="AQ32" s="2">
        <f t="shared" si="17"/>
        <v>513.02385818918287</v>
      </c>
      <c r="AR32" s="2">
        <f t="shared" si="18"/>
        <v>475.66972462501121</v>
      </c>
      <c r="AS32" s="2">
        <f t="shared" si="19"/>
        <v>475.76724400704541</v>
      </c>
      <c r="AX32" s="2">
        <f t="shared" si="28"/>
        <v>100000000000000</v>
      </c>
      <c r="AY32" s="37">
        <f t="shared" si="20"/>
        <v>-63610.38746722733</v>
      </c>
      <c r="AZ32" s="37">
        <f t="shared" si="21"/>
        <v>-30167.862606934468</v>
      </c>
      <c r="BA32" s="37">
        <f t="shared" si="22"/>
        <v>-24590.860771464442</v>
      </c>
      <c r="BB32" s="37">
        <f t="shared" si="23"/>
        <v>-21714.596986386121</v>
      </c>
      <c r="BC32" s="37">
        <f t="shared" si="24"/>
        <v>-20359.75098279411</v>
      </c>
      <c r="BD32" s="37">
        <f t="shared" si="25"/>
        <v>-14418.672097974508</v>
      </c>
      <c r="BE32" s="37">
        <f t="shared" si="26"/>
        <v>-15554.269735924026</v>
      </c>
    </row>
    <row r="33" spans="1:60" x14ac:dyDescent="0.25">
      <c r="A33" s="2">
        <f>'creep_res-40'!A33</f>
        <v>1000000000000000</v>
      </c>
      <c r="B33" s="3">
        <f>'creep_res-40'!O33</f>
        <v>-5.4542020000000009E-3</v>
      </c>
      <c r="C33" s="2">
        <f>IF('Modell einstellen'!$B$2="Ja",creep_res0!O33,creep_res0!C33)</f>
        <v>-5.9958525714285723E-3</v>
      </c>
      <c r="D33" s="2">
        <f>IF('Modell einstellen'!$B$2="Ja",creep_res25!O33,creep_res25!C33)</f>
        <v>-6.2946374285714288E-3</v>
      </c>
      <c r="E33" s="2">
        <f>IF('Modell einstellen'!$B$2="Ja",creep_res50!O33,creep_res50!C33)</f>
        <v>-6.4140320000000009E-3</v>
      </c>
      <c r="F33" s="2">
        <f>IF('Modell einstellen'!$B$2="Ja",creep_res80!O33,creep_res80!C33)</f>
        <v>-6.7568782857142864E-3</v>
      </c>
      <c r="G33" s="2">
        <f>IF('Modell einstellen'!$B$2="Ja",creep_res125!O33,creep_res125!C33)</f>
        <v>-6.9356111428571432E-3</v>
      </c>
      <c r="H33" s="2">
        <f>IF('Modell einstellen'!$B$2="Ja",creep_res160!O33,creep_res160!C33)</f>
        <v>-6.9376311428571442E-3</v>
      </c>
      <c r="M33" s="9">
        <f>M31</f>
        <v>-10</v>
      </c>
      <c r="N33" s="2">
        <f t="shared" si="4"/>
        <v>1000000000000000</v>
      </c>
      <c r="O33" s="2">
        <f t="shared" si="5"/>
        <v>1833.4487794914817</v>
      </c>
      <c r="P33" s="2">
        <f t="shared" si="6"/>
        <v>1667.8195270597521</v>
      </c>
      <c r="Q33" s="2">
        <f t="shared" si="7"/>
        <v>1588.6538523426129</v>
      </c>
      <c r="R33" s="2">
        <f t="shared" si="8"/>
        <v>1559.0817133434941</v>
      </c>
      <c r="S33" s="2">
        <f t="shared" si="9"/>
        <v>1479.9733807759237</v>
      </c>
      <c r="T33" s="2">
        <f t="shared" si="10"/>
        <v>1441.8340062647276</v>
      </c>
      <c r="U33" s="2">
        <f t="shared" si="11"/>
        <v>1441.4141937044049</v>
      </c>
      <c r="Z33" s="2">
        <v>1000000000000000</v>
      </c>
      <c r="AA33" s="3">
        <f>IF('Modell einstellen'!$B$2="Ja",'creep_res-40'!P33,'creep_res-40'!L33)</f>
        <v>0.50983684034542798</v>
      </c>
      <c r="AB33" s="2">
        <f>IF('Modell einstellen'!$B$2="Ja",creep_res0!P33,creep_res0!L33)</f>
        <v>0.51094623311999854</v>
      </c>
      <c r="AC33" s="2">
        <f>IF('Modell einstellen'!$B$2="Ja",creep_res25!P33,creep_res25!L33)</f>
        <v>0.51214101472586804</v>
      </c>
      <c r="AD33" s="2">
        <f>IF('Modell einstellen'!$B$2="Ja",creep_res50!P33,creep_res50!L33)</f>
        <v>0.51264241543273503</v>
      </c>
      <c r="AE33" s="2">
        <f>IF('Modell einstellen'!$B$2="Ja",creep_res80!P33,creep_res80!L33)</f>
        <v>0.51418250033806812</v>
      </c>
      <c r="AF33" s="2">
        <f>IF('Modell einstellen'!$B$2="Ja",creep_res125!P33,creep_res125!L33)</f>
        <v>0.5162885429521733</v>
      </c>
      <c r="AG33" s="2">
        <f>IF('Modell einstellen'!$B$2="Ja",creep_res160!P33,creep_res160!L33)</f>
        <v>0.51551013151504277</v>
      </c>
      <c r="AL33" s="2">
        <f t="shared" si="12"/>
        <v>1000000000000000</v>
      </c>
      <c r="AM33" s="2">
        <f t="shared" si="13"/>
        <v>607.16785102157667</v>
      </c>
      <c r="AN33" s="2">
        <f t="shared" si="14"/>
        <v>551.91226878266252</v>
      </c>
      <c r="AO33" s="2">
        <f t="shared" si="15"/>
        <v>525.29950476563715</v>
      </c>
      <c r="AP33" s="2">
        <f t="shared" si="16"/>
        <v>515.3503886433972</v>
      </c>
      <c r="AQ33" s="2">
        <f t="shared" si="17"/>
        <v>488.70376604058401</v>
      </c>
      <c r="AR33" s="2">
        <f t="shared" si="18"/>
        <v>475.44842733478526</v>
      </c>
      <c r="AS33" s="2">
        <f t="shared" si="19"/>
        <v>475.55412653805064</v>
      </c>
      <c r="AX33" s="2">
        <f>AL33</f>
        <v>1000000000000000</v>
      </c>
      <c r="AY33" s="37">
        <f t="shared" si="20"/>
        <v>-31064.324097111163</v>
      </c>
      <c r="AZ33" s="37">
        <f t="shared" si="21"/>
        <v>-25394.116691045081</v>
      </c>
      <c r="BA33" s="37">
        <f t="shared" si="22"/>
        <v>-21808.361824400279</v>
      </c>
      <c r="BB33" s="37">
        <f t="shared" si="23"/>
        <v>-20553.584368940563</v>
      </c>
      <c r="BC33" s="37">
        <f t="shared" si="24"/>
        <v>-17392.012991336898</v>
      </c>
      <c r="BD33" s="37">
        <f t="shared" si="25"/>
        <v>-14753.048717517431</v>
      </c>
      <c r="BE33" s="37">
        <f t="shared" si="26"/>
        <v>-15488.953057408791</v>
      </c>
    </row>
    <row r="34" spans="1:60" x14ac:dyDescent="0.25">
      <c r="A34" s="104" t="s">
        <v>4</v>
      </c>
      <c r="B34" s="104"/>
      <c r="C34" s="104"/>
      <c r="D34" s="104"/>
      <c r="E34" s="104"/>
      <c r="F34" s="104"/>
      <c r="G34" s="104"/>
      <c r="H34" s="104"/>
      <c r="I34" s="104"/>
      <c r="J34" s="104"/>
      <c r="K34" s="104"/>
      <c r="M34" s="104" t="s">
        <v>2</v>
      </c>
      <c r="N34" s="104"/>
      <c r="O34" s="104"/>
      <c r="P34" s="104"/>
      <c r="Q34" s="104"/>
      <c r="R34" s="104"/>
      <c r="S34" s="104"/>
      <c r="T34" s="104"/>
      <c r="U34" s="104"/>
      <c r="V34" s="104"/>
      <c r="W34" s="104"/>
      <c r="X34" s="104"/>
      <c r="Z34" s="105" t="s">
        <v>5</v>
      </c>
      <c r="AA34" s="105"/>
      <c r="AB34" s="105"/>
      <c r="AC34" s="105"/>
      <c r="AD34" s="105"/>
      <c r="AE34" s="105"/>
      <c r="AF34" s="105"/>
      <c r="AG34" s="105"/>
      <c r="AH34" s="105"/>
      <c r="AI34" s="105"/>
      <c r="AJ34" s="105"/>
      <c r="AL34" s="104" t="s">
        <v>3</v>
      </c>
      <c r="AM34" s="104"/>
      <c r="AN34" s="104"/>
      <c r="AO34" s="104"/>
      <c r="AP34" s="104"/>
      <c r="AQ34" s="104"/>
      <c r="AR34" s="104"/>
      <c r="AS34" s="104"/>
      <c r="AT34" s="104"/>
      <c r="AU34" s="104"/>
      <c r="AV34" s="104"/>
      <c r="AX34" s="104" t="s">
        <v>1</v>
      </c>
      <c r="AY34" s="104"/>
      <c r="AZ34" s="104"/>
      <c r="BA34" s="104"/>
      <c r="BB34" s="104"/>
      <c r="BC34" s="104"/>
      <c r="BD34" s="104"/>
      <c r="BE34" s="104"/>
      <c r="BF34" s="104"/>
      <c r="BG34" s="104"/>
      <c r="BH34" s="104"/>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107" zoomScale="120" zoomScaleNormal="120" zoomScaleSheetLayoutView="110" workbookViewId="0">
      <selection activeCell="C67" sqref="C67"/>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50</v>
      </c>
      <c r="D2" s="11">
        <f>1</f>
        <v>1</v>
      </c>
      <c r="E2" s="11">
        <f>D2+1</f>
        <v>2</v>
      </c>
      <c r="F2" s="11">
        <f t="shared" ref="F2:J2" si="0">E2+1</f>
        <v>3</v>
      </c>
      <c r="G2" s="11">
        <f t="shared" si="0"/>
        <v>4</v>
      </c>
      <c r="H2" s="11">
        <f t="shared" si="0"/>
        <v>5</v>
      </c>
      <c r="I2" s="11">
        <f t="shared" si="0"/>
        <v>6</v>
      </c>
      <c r="J2" s="11">
        <f t="shared" si="0"/>
        <v>7</v>
      </c>
    </row>
    <row r="3" spans="1:36" x14ac:dyDescent="0.25">
      <c r="A3" s="11" t="s">
        <v>111</v>
      </c>
      <c r="B3" s="35">
        <v>4</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5</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07" t="s">
        <v>26</v>
      </c>
      <c r="B15" s="107"/>
      <c r="C15" s="107"/>
      <c r="D15" s="67"/>
      <c r="E15" s="67"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7"/>
      <c r="E16" s="25" t="s">
        <v>23</v>
      </c>
      <c r="F16" s="26">
        <f>INDEX(Comparison!$AM$3:$AS$33,F14,$B$3)</f>
        <v>9521.3086452220268</v>
      </c>
      <c r="G16" s="26">
        <f>INDEX(Comparison!$AM$3:$AS$33,G14,$B$3)</f>
        <v>9264.9569626866305</v>
      </c>
      <c r="H16" s="26">
        <f>INDEX(Comparison!$AM$3:$AS$33,H14,$B$3)</f>
        <v>9040.3201170121174</v>
      </c>
      <c r="I16" s="26">
        <f>INDEX(Comparison!$AM$3:$AS$33,I14,$B$3)</f>
        <v>8795.6860246078559</v>
      </c>
      <c r="J16" s="26">
        <f>INDEX(Comparison!$AM$3:$AS$33,J14,$B$3)</f>
        <v>8532.6912536798991</v>
      </c>
      <c r="K16" s="26">
        <f>INDEX(Comparison!$AM$3:$AS$33,K14,$B$3)</f>
        <v>8244.2374276121209</v>
      </c>
      <c r="L16" s="26">
        <f>INDEX(Comparison!$AM$3:$AS$33,L14,$B$3)</f>
        <v>7958.2786468847135</v>
      </c>
      <c r="M16" s="26">
        <f>INDEX(Comparison!$AM$3:$AS$33,M14,$B$3)</f>
        <v>7687.376383967704</v>
      </c>
      <c r="N16" s="26">
        <f>INDEX(Comparison!$AM$3:$AS$33,N14,$B$3)</f>
        <v>7374.3712231841728</v>
      </c>
      <c r="O16" s="26">
        <f>INDEX(Comparison!$AM$3:$AS$33,O14,$B$3)</f>
        <v>7006.1552436770207</v>
      </c>
      <c r="P16" s="26">
        <f>INDEX(Comparison!$AM$3:$AS$33,P14,$B$3)</f>
        <v>6628.8785990090082</v>
      </c>
      <c r="Q16" s="26">
        <f>INDEX(Comparison!$AM$3:$AS$33,Q14,$B$3)</f>
        <v>6311.3720523241727</v>
      </c>
      <c r="R16" s="26">
        <f>INDEX(Comparison!$AM$3:$AS$33,R14,$B$3)</f>
        <v>6028.2349504089671</v>
      </c>
      <c r="S16" s="26">
        <f>INDEX(Comparison!$AM$3:$AS$33,S14,$B$3)</f>
        <v>5748.7087759518809</v>
      </c>
      <c r="T16" s="26">
        <f>INDEX(Comparison!$AM$3:$AS$33,T14,$B$3)</f>
        <v>5465.7818754747968</v>
      </c>
      <c r="U16" s="26">
        <f>INDEX(Comparison!$AM$3:$AS$33,U14,$B$3)</f>
        <v>5192.657072535425</v>
      </c>
      <c r="V16" s="26">
        <f>INDEX(Comparison!$AM$3:$AS$33,V14,$B$3)</f>
        <v>4882.9062343607484</v>
      </c>
      <c r="W16" s="26">
        <f>INDEX(Comparison!$AM$3:$AS$33,W14,$B$3)</f>
        <v>4501.5398610325774</v>
      </c>
      <c r="X16" s="26">
        <f>INDEX(Comparison!$AM$3:$AS$33,X14,$B$3)</f>
        <v>4066.6104281555185</v>
      </c>
      <c r="Y16" s="26">
        <f>INDEX(Comparison!$AM$3:$AS$33,Y14,$B$3)</f>
        <v>3597.5685781370817</v>
      </c>
      <c r="Z16" s="26">
        <f>INDEX(Comparison!$AM$3:$AS$33,Z14,$B$3)</f>
        <v>3102.4717339118838</v>
      </c>
      <c r="AA16" s="26">
        <f>INDEX(Comparison!$AM$3:$AS$33,AA14,$B$3)</f>
        <v>2568.6205512482802</v>
      </c>
      <c r="AB16" s="26">
        <f>INDEX(Comparison!$AM$3:$AS$33,AB14,$B$3)</f>
        <v>2000.7316961631682</v>
      </c>
      <c r="AC16" s="26">
        <f>INDEX(Comparison!$AM$3:$AS$33,AC14,$B$3)</f>
        <v>1467.5042196825975</v>
      </c>
      <c r="AD16" s="26">
        <f>INDEX(Comparison!$AM$3:$AS$33,AD14,$B$3)</f>
        <v>1058.8226695409851</v>
      </c>
      <c r="AE16" s="26">
        <f>INDEX(Comparison!$AM$3:$AS$33,AE14,$B$3)</f>
        <v>791.47453302018846</v>
      </c>
      <c r="AF16" s="26">
        <f>INDEX(Comparison!$AM$3:$AS$33,AF14,$B$3)</f>
        <v>655.80009654126911</v>
      </c>
      <c r="AG16" s="26">
        <f>INDEX(Comparison!$AM$3:$AS$33,AG14,$B$3)</f>
        <v>585.43210743850034</v>
      </c>
      <c r="AH16" s="26">
        <f>INDEX(Comparison!$AM$3:$AS$33,AH14,$B$3)</f>
        <v>550.22961238933465</v>
      </c>
      <c r="AI16" s="26">
        <f>INDEX(Comparison!$AM$3:$AS$33,AI14,$B$3)</f>
        <v>525.95012363885235</v>
      </c>
      <c r="AJ16" s="26">
        <f>INDEX(Comparison!$AM$3:$AS$33,AJ14,$B$3)</f>
        <v>515.3503886433972</v>
      </c>
    </row>
    <row r="17" spans="1:36" x14ac:dyDescent="0.25">
      <c r="A17" s="14" t="s">
        <v>20</v>
      </c>
      <c r="B17" s="14">
        <v>3.1569557247388066E-2</v>
      </c>
      <c r="C17" s="18">
        <f t="shared" ref="C17:C48" si="3">ABS(B17/$B$49)</f>
        <v>5.0460713134888202E-2</v>
      </c>
      <c r="D17" s="67"/>
      <c r="E17" s="66" t="s">
        <v>22</v>
      </c>
      <c r="F17" s="27">
        <f>($C$17+SUM(F18:F48))*$B$51</f>
        <v>9449.4265655192376</v>
      </c>
      <c r="G17" s="27">
        <f t="shared" ref="G17:M17" si="4">($C$17+SUM(G18:G48))*$B$51</f>
        <v>9357.9466205459739</v>
      </c>
      <c r="H17" s="27">
        <f t="shared" si="4"/>
        <v>9015.6870050661892</v>
      </c>
      <c r="I17" s="27">
        <f t="shared" si="4"/>
        <v>8799.7180611049407</v>
      </c>
      <c r="J17" s="27">
        <f t="shared" si="4"/>
        <v>8532.1268107240303</v>
      </c>
      <c r="K17" s="27">
        <f t="shared" si="4"/>
        <v>8244.2936583778446</v>
      </c>
      <c r="L17" s="27">
        <f t="shared" si="4"/>
        <v>7958.2841072236188</v>
      </c>
      <c r="M17" s="27">
        <f t="shared" si="4"/>
        <v>7687.3136337836158</v>
      </c>
      <c r="N17" s="27">
        <f t="shared" ref="N17" si="5">($C$17+SUM(N18:N48))*$B$51</f>
        <v>7374.5573301326149</v>
      </c>
      <c r="O17" s="27">
        <f t="shared" ref="O17" si="6">($C$17+SUM(O18:O48))*$B$51</f>
        <v>7005.811450551465</v>
      </c>
      <c r="P17" s="27">
        <f t="shared" ref="P17" si="7">($C$17+SUM(P18:P48))*$B$51</f>
        <v>6629.4800359729679</v>
      </c>
      <c r="Q17" s="27">
        <f t="shared" ref="Q17" si="8">($C$17+SUM(Q18:Q48))*$B$51</f>
        <v>6310.4809624462496</v>
      </c>
      <c r="R17" s="27">
        <f t="shared" ref="R17" si="9">($C$17+SUM(R18:R48))*$B$51</f>
        <v>6029.3303649530662</v>
      </c>
      <c r="S17" s="27">
        <f t="shared" ref="S17:T17" si="10">($C$17+SUM(S18:S48))*$B$51</f>
        <v>5747.5561695603137</v>
      </c>
      <c r="T17" s="27">
        <f t="shared" si="10"/>
        <v>5466.8115101676676</v>
      </c>
      <c r="U17" s="27">
        <f t="shared" ref="U17" si="11">($C$17+SUM(U18:U48))*$B$51</f>
        <v>5191.8525176245475</v>
      </c>
      <c r="V17" s="27">
        <f t="shared" ref="V17" si="12">($C$17+SUM(V18:V48))*$B$51</f>
        <v>4883.4512556550799</v>
      </c>
      <c r="W17" s="27">
        <f t="shared" ref="W17" si="13">($C$17+SUM(W18:W48))*$B$51</f>
        <v>4501.2289547787923</v>
      </c>
      <c r="X17" s="27">
        <f t="shared" ref="X17" si="14">($C$17+SUM(X18:X48))*$B$51</f>
        <v>4066.7674072357577</v>
      </c>
      <c r="Y17" s="27">
        <f t="shared" ref="Y17" si="15">($C$17+SUM(Y18:Y48))*$B$51</f>
        <v>3597.4912585472111</v>
      </c>
      <c r="Z17" s="27">
        <f t="shared" ref="Z17:AA17" si="16">($C$17+SUM(Z18:Z48))*$B$51</f>
        <v>3102.5240322338755</v>
      </c>
      <c r="AA17" s="27">
        <f t="shared" si="16"/>
        <v>2568.5540014530561</v>
      </c>
      <c r="AB17" s="27">
        <f t="shared" ref="AB17" si="17">($C$17+SUM(AB18:AB48))*$B$51</f>
        <v>2000.8433736398795</v>
      </c>
      <c r="AC17" s="27">
        <f t="shared" ref="AC17" si="18">($C$17+SUM(AC18:AC48))*$B$51</f>
        <v>1467.3712933423078</v>
      </c>
      <c r="AD17" s="27">
        <f t="shared" ref="AD17" si="19">($C$17+SUM(AD18:AD48))*$B$51</f>
        <v>1058.9374050712406</v>
      </c>
      <c r="AE17" s="27">
        <f t="shared" ref="AE17" si="20">($C$17+SUM(AE18:AE48))*$B$51</f>
        <v>791.37811582502013</v>
      </c>
      <c r="AF17" s="27">
        <f t="shared" ref="AF17" si="21">($C$17+SUM(AF18:AF48))*$B$51</f>
        <v>655.88973181856727</v>
      </c>
      <c r="AG17" s="27">
        <f t="shared" ref="AG17:AH17" si="22">($C$17+SUM(AG18:AG48))*$B$51</f>
        <v>585.36221447129253</v>
      </c>
      <c r="AH17" s="27">
        <f t="shared" si="22"/>
        <v>550.29313295028589</v>
      </c>
      <c r="AI17" s="27">
        <f t="shared" ref="AI17" si="23">($C$17+SUM(AI18:AI48))*$B$51</f>
        <v>525.85828614279797</v>
      </c>
      <c r="AJ17" s="27">
        <f t="shared" ref="AJ17" si="24">($C$17+SUM(AJ18:AJ48))*$B$51</f>
        <v>515.41709145297239</v>
      </c>
    </row>
    <row r="18" spans="1:36" x14ac:dyDescent="0.25">
      <c r="A18" s="3">
        <f>0.000000000000001/10^5</f>
        <v>1.0000000000000001E-20</v>
      </c>
      <c r="B18" s="17">
        <v>4.4610385581346751E-2</v>
      </c>
      <c r="C18" s="18">
        <f t="shared" si="3"/>
        <v>7.1305145397417183E-2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7">
        <v>2.6647152566535954E-2</v>
      </c>
      <c r="C19" s="18">
        <f t="shared" si="3"/>
        <v>4.2592751966225952E-2</v>
      </c>
      <c r="D19" s="17"/>
      <c r="F19" s="3">
        <f t="shared" si="25"/>
        <v>4.1515574742496335E-2</v>
      </c>
      <c r="G19" s="3">
        <f t="shared" si="25"/>
        <v>3.2967744492997733E-2</v>
      </c>
      <c r="H19" s="3">
        <f t="shared" si="25"/>
        <v>3.2875399979023262E-3</v>
      </c>
      <c r="I19" s="3">
        <f t="shared" si="25"/>
        <v>3.19660623802532E-13</v>
      </c>
      <c r="J19" s="3">
        <f t="shared" si="25"/>
        <v>2.4147385480180967E-113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7">
        <v>1.1380120960772219E-2</v>
      </c>
      <c r="C20" s="18">
        <f t="shared" si="3"/>
        <v>1.8189961130651151E-2</v>
      </c>
      <c r="D20" s="17"/>
      <c r="F20" s="3">
        <f t="shared" si="25"/>
        <v>1.8147977634502453E-2</v>
      </c>
      <c r="G20" s="3">
        <f t="shared" si="25"/>
        <v>1.7774459955672117E-2</v>
      </c>
      <c r="H20" s="3">
        <f t="shared" si="25"/>
        <v>1.4437041479681159E-2</v>
      </c>
      <c r="I20" s="3">
        <f t="shared" si="25"/>
        <v>1.8042474630441819E-3</v>
      </c>
      <c r="J20" s="3">
        <f t="shared" si="25"/>
        <v>1.6767761718665579E-12</v>
      </c>
      <c r="K20" s="3">
        <f t="shared" si="25"/>
        <v>8.0587001717274003E-103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7">
        <v>1.7663765482454342E-2</v>
      </c>
      <c r="C21" s="18">
        <f t="shared" si="3"/>
        <v>2.8233725164638263E-2</v>
      </c>
      <c r="D21" s="17"/>
      <c r="F21" s="3">
        <f t="shared" si="25"/>
        <v>2.8227840550207509E-2</v>
      </c>
      <c r="G21" s="3">
        <f t="shared" si="25"/>
        <v>2.8174934182202682E-2</v>
      </c>
      <c r="H21" s="3">
        <f t="shared" si="25"/>
        <v>2.7651293772773162E-2</v>
      </c>
      <c r="I21" s="3">
        <f t="shared" si="25"/>
        <v>2.2921388226964576E-2</v>
      </c>
      <c r="J21" s="3">
        <f t="shared" si="25"/>
        <v>3.511523057387824E-3</v>
      </c>
      <c r="K21" s="3">
        <f t="shared" si="25"/>
        <v>2.5005848673781842E-11</v>
      </c>
      <c r="L21" s="3">
        <f t="shared" si="25"/>
        <v>8.3849859833238226E-93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7">
        <v>1.8673436939194866E-2</v>
      </c>
      <c r="C22" s="18">
        <f t="shared" si="3"/>
        <v>2.9847581872853059E-2</v>
      </c>
      <c r="D22" s="17"/>
      <c r="F22" s="3">
        <f t="shared" si="25"/>
        <v>2.9847020635261356E-2</v>
      </c>
      <c r="G22" s="3">
        <f t="shared" si="25"/>
        <v>2.9841969971806416E-2</v>
      </c>
      <c r="H22" s="3">
        <f t="shared" si="25"/>
        <v>2.9791510319972257E-2</v>
      </c>
      <c r="I22" s="3">
        <f t="shared" si="25"/>
        <v>2.9291582787115529E-2</v>
      </c>
      <c r="J22" s="3">
        <f t="shared" si="25"/>
        <v>2.4731247700098272E-2</v>
      </c>
      <c r="K22" s="3">
        <f t="shared" si="25"/>
        <v>4.5527929786712065E-3</v>
      </c>
      <c r="L22" s="3">
        <f t="shared" si="25"/>
        <v>2.0351510996086298E-10</v>
      </c>
      <c r="M22" s="3">
        <f t="shared" si="25"/>
        <v>6.4831223800299146E-84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7">
        <v>1.8697023600191851E-2</v>
      </c>
      <c r="C23" s="18">
        <f t="shared" si="3"/>
        <v>2.9885282741606206E-2</v>
      </c>
      <c r="D23" s="17"/>
      <c r="F23" s="3">
        <f t="shared" si="25"/>
        <v>2.9885232048923516E-2</v>
      </c>
      <c r="G23" s="3">
        <f t="shared" si="25"/>
        <v>2.9884775818648714E-2</v>
      </c>
      <c r="H23" s="3">
        <f t="shared" si="25"/>
        <v>2.9880213898949706E-2</v>
      </c>
      <c r="I23" s="3">
        <f t="shared" si="25"/>
        <v>2.9834632985235181E-2</v>
      </c>
      <c r="J23" s="3">
        <f t="shared" si="25"/>
        <v>2.9382630639390121E-2</v>
      </c>
      <c r="K23" s="3">
        <f t="shared" si="25"/>
        <v>2.5222633919530998E-2</v>
      </c>
      <c r="L23" s="3">
        <f t="shared" si="25"/>
        <v>5.480094466142265E-3</v>
      </c>
      <c r="M23" s="3">
        <f t="shared" si="25"/>
        <v>1.2845887915778143E-9</v>
      </c>
      <c r="N23" s="3">
        <f t="shared" si="25"/>
        <v>6.4346504905667601E-76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7">
        <v>1.6417325581924953E-2</v>
      </c>
      <c r="C24" s="18">
        <f t="shared" si="3"/>
        <v>2.6241418279634488E-2</v>
      </c>
      <c r="D24" s="17"/>
      <c r="F24" s="3">
        <f t="shared" si="25"/>
        <v>2.6241414264296239E-2</v>
      </c>
      <c r="G24" s="3">
        <f t="shared" si="25"/>
        <v>2.6241378126279646E-2</v>
      </c>
      <c r="H24" s="3">
        <f t="shared" si="25"/>
        <v>2.6241016748850866E-2</v>
      </c>
      <c r="I24" s="3">
        <f t="shared" si="25"/>
        <v>2.6237403248266452E-2</v>
      </c>
      <c r="J24" s="3">
        <f t="shared" si="25"/>
        <v>2.6201295598818803E-2</v>
      </c>
      <c r="K24" s="3">
        <f t="shared" si="25"/>
        <v>2.5842940855984781E-2</v>
      </c>
      <c r="L24" s="3">
        <f t="shared" si="25"/>
        <v>2.2518196380557264E-2</v>
      </c>
      <c r="M24" s="3">
        <f t="shared" si="25"/>
        <v>5.681333565036791E-3</v>
      </c>
      <c r="N24" s="3">
        <f t="shared" si="25"/>
        <v>5.9376849558655597E-9</v>
      </c>
      <c r="O24" s="3">
        <f t="shared" si="25"/>
        <v>9.2317869778852511E-69</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7">
        <v>2.0593875011632731E-2</v>
      </c>
      <c r="C25" s="18">
        <f t="shared" si="3"/>
        <v>3.291720600179527E-2</v>
      </c>
      <c r="D25" s="17"/>
      <c r="F25" s="3">
        <f t="shared" si="25"/>
        <v>3.2917205547430738E-2</v>
      </c>
      <c r="G25" s="3">
        <f t="shared" si="25"/>
        <v>3.2917201458150275E-2</v>
      </c>
      <c r="H25" s="3">
        <f t="shared" si="25"/>
        <v>3.2917160565373554E-2</v>
      </c>
      <c r="I25" s="3">
        <f t="shared" si="25"/>
        <v>3.2916751640400331E-2</v>
      </c>
      <c r="J25" s="3">
        <f t="shared" si="25"/>
        <v>3.2912662670058504E-2</v>
      </c>
      <c r="K25" s="3">
        <f t="shared" si="25"/>
        <v>3.2871800892837651E-2</v>
      </c>
      <c r="L25" s="3">
        <f t="shared" si="25"/>
        <v>3.2465962946683448E-2</v>
      </c>
      <c r="M25" s="3">
        <f t="shared" si="25"/>
        <v>2.867320225751336E-2</v>
      </c>
      <c r="N25" s="3">
        <f t="shared" si="25"/>
        <v>8.2785693916759637E-3</v>
      </c>
      <c r="O25" s="3">
        <f t="shared" si="25"/>
        <v>3.3323165181627087E-8</v>
      </c>
      <c r="P25" s="3">
        <f t="shared" si="25"/>
        <v>3.7209665907118639E-62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7">
        <v>2.5070609074190627E-2</v>
      </c>
      <c r="C26" s="18">
        <f t="shared" si="3"/>
        <v>4.0072808202412338E-2</v>
      </c>
      <c r="D26" s="17"/>
      <c r="F26" s="3">
        <f t="shared" si="25"/>
        <v>4.0072808152514947E-2</v>
      </c>
      <c r="G26" s="3">
        <f t="shared" si="25"/>
        <v>4.0072807703438448E-2</v>
      </c>
      <c r="H26" s="3">
        <f t="shared" si="25"/>
        <v>4.0072803212673702E-2</v>
      </c>
      <c r="I26" s="3">
        <f t="shared" si="25"/>
        <v>4.0072758305053927E-2</v>
      </c>
      <c r="J26" s="3">
        <f t="shared" si="25"/>
        <v>4.0072309231624102E-2</v>
      </c>
      <c r="K26" s="3">
        <f t="shared" si="25"/>
        <v>4.0067818774105105E-2</v>
      </c>
      <c r="L26" s="3">
        <f t="shared" si="25"/>
        <v>4.0022941865369983E-2</v>
      </c>
      <c r="M26" s="3">
        <f t="shared" si="25"/>
        <v>3.9576927986161102E-2</v>
      </c>
      <c r="N26" s="3">
        <f t="shared" si="25"/>
        <v>3.5381220218762326E-2</v>
      </c>
      <c r="O26" s="3">
        <f t="shared" si="25"/>
        <v>1.1536659287033403E-2</v>
      </c>
      <c r="P26" s="3">
        <f t="shared" si="25"/>
        <v>1.567301927677057E-7</v>
      </c>
      <c r="Q26" s="3">
        <f t="shared" si="25"/>
        <v>3.3564383724415886E-56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7">
        <v>2.4878607215561833E-2</v>
      </c>
      <c r="C27" s="18">
        <f t="shared" si="3"/>
        <v>3.976591284009507E-2</v>
      </c>
      <c r="D27" s="17"/>
      <c r="F27" s="3">
        <f t="shared" si="25"/>
        <v>3.9765912835628386E-2</v>
      </c>
      <c r="G27" s="3">
        <f t="shared" si="25"/>
        <v>3.9765912795428189E-2</v>
      </c>
      <c r="H27" s="3">
        <f t="shared" si="25"/>
        <v>3.9765912393426299E-2</v>
      </c>
      <c r="I27" s="3">
        <f t="shared" si="25"/>
        <v>3.9765908373407564E-2</v>
      </c>
      <c r="J27" s="3">
        <f t="shared" si="25"/>
        <v>3.9765868173242583E-2</v>
      </c>
      <c r="K27" s="3">
        <f t="shared" si="25"/>
        <v>3.976546617382791E-2</v>
      </c>
      <c r="L27" s="3">
        <f t="shared" si="25"/>
        <v>3.9761446403187545E-2</v>
      </c>
      <c r="M27" s="3">
        <f t="shared" si="25"/>
        <v>3.9721271039062409E-2</v>
      </c>
      <c r="N27" s="3">
        <f t="shared" si="25"/>
        <v>3.9321743291290547E-2</v>
      </c>
      <c r="O27" s="3">
        <f t="shared" si="25"/>
        <v>3.5540949785542425E-2</v>
      </c>
      <c r="P27" s="3">
        <f t="shared" si="25"/>
        <v>1.2932774026777838E-2</v>
      </c>
      <c r="Q27" s="3">
        <f t="shared" si="25"/>
        <v>5.2640291551001563E-7</v>
      </c>
      <c r="R27" s="3">
        <f t="shared" si="25"/>
        <v>6.5702856779427215E-51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7">
        <v>1.8408653777251219E-2</v>
      </c>
      <c r="C28" s="18">
        <f t="shared" si="3"/>
        <v>2.9424353030171317E-2</v>
      </c>
      <c r="D28" s="17"/>
      <c r="F28" s="3">
        <f t="shared" si="25"/>
        <v>2.9424353029873174E-2</v>
      </c>
      <c r="G28" s="3">
        <f t="shared" si="25"/>
        <v>2.9424353027189862E-2</v>
      </c>
      <c r="H28" s="3">
        <f t="shared" si="25"/>
        <v>2.9424353000356774E-2</v>
      </c>
      <c r="I28" s="3">
        <f t="shared" si="25"/>
        <v>2.9424352732025892E-2</v>
      </c>
      <c r="J28" s="3">
        <f t="shared" si="25"/>
        <v>2.9424350048717206E-2</v>
      </c>
      <c r="K28" s="3">
        <f t="shared" si="25"/>
        <v>2.942432321564379E-2</v>
      </c>
      <c r="L28" s="3">
        <f t="shared" si="25"/>
        <v>2.9424054886255473E-2</v>
      </c>
      <c r="M28" s="3">
        <f t="shared" si="25"/>
        <v>2.9421371726952396E-2</v>
      </c>
      <c r="N28" s="3">
        <f t="shared" si="25"/>
        <v>2.939455358739056E-2</v>
      </c>
      <c r="O28" s="3">
        <f t="shared" si="25"/>
        <v>2.9127713010303837E-2</v>
      </c>
      <c r="P28" s="3">
        <f t="shared" si="25"/>
        <v>2.6588973206646774E-2</v>
      </c>
      <c r="Q28" s="3">
        <f t="shared" si="25"/>
        <v>1.0682019366943529E-2</v>
      </c>
      <c r="R28" s="3">
        <f t="shared" si="25"/>
        <v>1.1699607908649033E-6</v>
      </c>
      <c r="S28" s="3">
        <f t="shared" si="25"/>
        <v>2.9063691232809556E-46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7">
        <v>1.7875034498875064E-2</v>
      </c>
      <c r="C29" s="18">
        <f t="shared" si="3"/>
        <v>2.8571417110976157E-2</v>
      </c>
      <c r="D29" s="17"/>
      <c r="F29" s="3">
        <f t="shared" si="25"/>
        <v>2.8571417110950043E-2</v>
      </c>
      <c r="G29" s="3">
        <f t="shared" si="25"/>
        <v>2.8571417110715001E-2</v>
      </c>
      <c r="H29" s="3">
        <f t="shared" si="25"/>
        <v>2.85714171083646E-2</v>
      </c>
      <c r="I29" s="3">
        <f t="shared" si="25"/>
        <v>2.8571417084860582E-2</v>
      </c>
      <c r="J29" s="3">
        <f t="shared" si="25"/>
        <v>2.8571416849820404E-2</v>
      </c>
      <c r="K29" s="3">
        <f t="shared" si="25"/>
        <v>2.8571414499418725E-2</v>
      </c>
      <c r="L29" s="3">
        <f t="shared" si="25"/>
        <v>2.8571390995412553E-2</v>
      </c>
      <c r="M29" s="3">
        <f t="shared" si="25"/>
        <v>2.8571155956414306E-2</v>
      </c>
      <c r="N29" s="3">
        <f t="shared" si="25"/>
        <v>2.8568805672772764E-2</v>
      </c>
      <c r="O29" s="3">
        <f t="shared" si="25"/>
        <v>2.8545313467213999E-2</v>
      </c>
      <c r="P29" s="3">
        <f t="shared" si="25"/>
        <v>2.8311451268608481E-2</v>
      </c>
      <c r="Q29" s="3">
        <f t="shared" si="25"/>
        <v>2.607565877860642E-2</v>
      </c>
      <c r="R29" s="3">
        <f t="shared" si="25"/>
        <v>1.1454255334381666E-2</v>
      </c>
      <c r="S29" s="3">
        <f t="shared" si="25"/>
        <v>3.0639563031612092E-6</v>
      </c>
      <c r="T29" s="3">
        <f t="shared" si="25"/>
        <v>5.7469793918259548E-42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7">
        <v>1.8410217139780874E-2</v>
      </c>
      <c r="C30" s="18">
        <f t="shared" si="3"/>
        <v>2.9426851905512412E-2</v>
      </c>
      <c r="D30" s="17"/>
      <c r="F30" s="3">
        <f t="shared" si="25"/>
        <v>2.9426851905509983E-2</v>
      </c>
      <c r="G30" s="3">
        <f t="shared" si="25"/>
        <v>2.9426851905488147E-2</v>
      </c>
      <c r="H30" s="3">
        <f t="shared" si="25"/>
        <v>2.9426851905269776E-2</v>
      </c>
      <c r="I30" s="3">
        <f t="shared" si="25"/>
        <v>2.9426851903086037E-2</v>
      </c>
      <c r="J30" s="3">
        <f t="shared" si="25"/>
        <v>2.9426851881248644E-2</v>
      </c>
      <c r="K30" s="3">
        <f t="shared" si="25"/>
        <v>2.9426851662874749E-2</v>
      </c>
      <c r="L30" s="3">
        <f t="shared" si="25"/>
        <v>2.9426849479135882E-2</v>
      </c>
      <c r="M30" s="3">
        <f t="shared" si="25"/>
        <v>2.9426827641756113E-2</v>
      </c>
      <c r="N30" s="3">
        <f t="shared" si="25"/>
        <v>2.9426609268849699E-2</v>
      </c>
      <c r="O30" s="3">
        <f t="shared" si="25"/>
        <v>2.9424425628912138E-2</v>
      </c>
      <c r="P30" s="3">
        <f t="shared" si="25"/>
        <v>2.94025981397446E-2</v>
      </c>
      <c r="Q30" s="3">
        <f t="shared" si="25"/>
        <v>2.9185211827217752E-2</v>
      </c>
      <c r="R30" s="3">
        <f t="shared" si="25"/>
        <v>2.709781448867235E-2</v>
      </c>
      <c r="S30" s="3">
        <f t="shared" si="25"/>
        <v>1.290174399839515E-2</v>
      </c>
      <c r="T30" s="3">
        <f t="shared" si="25"/>
        <v>7.7230699687342252E-6</v>
      </c>
      <c r="U30" s="3">
        <f t="shared" si="25"/>
        <v>4.5625271501680853E-38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7">
        <v>1.7793319172116559E-2</v>
      </c>
      <c r="C31" s="18">
        <f t="shared" si="3"/>
        <v>2.8440803506547933E-2</v>
      </c>
      <c r="D31" s="17"/>
      <c r="F31" s="3">
        <f t="shared" si="25"/>
        <v>2.8440803506547721E-2</v>
      </c>
      <c r="G31" s="3">
        <f t="shared" si="25"/>
        <v>2.8440803506545816E-2</v>
      </c>
      <c r="H31" s="3">
        <f t="shared" si="25"/>
        <v>2.8440803506526776E-2</v>
      </c>
      <c r="I31" s="3">
        <f t="shared" si="25"/>
        <v>2.844080350633639E-2</v>
      </c>
      <c r="J31" s="3">
        <f t="shared" si="25"/>
        <v>2.8440803504432483E-2</v>
      </c>
      <c r="K31" s="3">
        <f t="shared" si="25"/>
        <v>2.8440803485393427E-2</v>
      </c>
      <c r="L31" s="3">
        <f t="shared" si="25"/>
        <v>2.8440803295002884E-2</v>
      </c>
      <c r="M31" s="3">
        <f t="shared" si="25"/>
        <v>2.8440801391097531E-2</v>
      </c>
      <c r="N31" s="3">
        <f t="shared" si="25"/>
        <v>2.8440782352050997E-2</v>
      </c>
      <c r="O31" s="3">
        <f t="shared" si="25"/>
        <v>2.8440591962286627E-2</v>
      </c>
      <c r="P31" s="3">
        <f t="shared" si="25"/>
        <v>2.8438688134739983E-2</v>
      </c>
      <c r="Q31" s="3">
        <f t="shared" si="25"/>
        <v>2.8419656867240694E-2</v>
      </c>
      <c r="R31" s="3">
        <f t="shared" si="25"/>
        <v>2.8230043256277097E-2</v>
      </c>
      <c r="S31" s="3">
        <f t="shared" si="25"/>
        <v>2.6402112619045154E-2</v>
      </c>
      <c r="T31" s="3">
        <f t="shared" si="25"/>
        <v>1.3517925087058133E-2</v>
      </c>
      <c r="U31" s="3">
        <f t="shared" si="25"/>
        <v>1.6734918311994419E-5</v>
      </c>
      <c r="V31" s="3">
        <f t="shared" si="26"/>
        <v>1.4150090287104289E-34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7">
        <v>1.6729465759702921E-2</v>
      </c>
      <c r="C32" s="18">
        <f t="shared" si="3"/>
        <v>2.6740342475666101E-2</v>
      </c>
      <c r="D32" s="17"/>
      <c r="F32" s="3">
        <f t="shared" si="25"/>
        <v>2.6740342475666083E-2</v>
      </c>
      <c r="G32" s="3">
        <f t="shared" si="25"/>
        <v>2.6740342475665924E-2</v>
      </c>
      <c r="H32" s="3">
        <f t="shared" si="25"/>
        <v>2.6740342475664307E-2</v>
      </c>
      <c r="I32" s="3">
        <f t="shared" si="25"/>
        <v>2.6740342475648157E-2</v>
      </c>
      <c r="J32" s="3">
        <f t="shared" si="25"/>
        <v>2.6740342475486678E-2</v>
      </c>
      <c r="K32" s="3">
        <f t="shared" si="25"/>
        <v>2.6740342473871886E-2</v>
      </c>
      <c r="L32" s="3">
        <f t="shared" si="25"/>
        <v>2.6740342457723946E-2</v>
      </c>
      <c r="M32" s="3">
        <f t="shared" si="25"/>
        <v>2.6740342296244571E-2</v>
      </c>
      <c r="N32" s="3">
        <f t="shared" si="25"/>
        <v>2.6740340681450852E-2</v>
      </c>
      <c r="O32" s="3">
        <f t="shared" si="25"/>
        <v>2.6740324533519034E-2</v>
      </c>
      <c r="P32" s="3">
        <f t="shared" si="25"/>
        <v>2.6740163054737184E-2</v>
      </c>
      <c r="Q32" s="3">
        <f t="shared" si="25"/>
        <v>2.673854832055007E-2</v>
      </c>
      <c r="R32" s="3">
        <f t="shared" si="25"/>
        <v>2.6722406340620106E-2</v>
      </c>
      <c r="S32" s="3">
        <f t="shared" si="25"/>
        <v>2.6561521539323809E-2</v>
      </c>
      <c r="T32" s="3">
        <f t="shared" si="25"/>
        <v>2.500499701564473E-2</v>
      </c>
      <c r="U32" s="3">
        <f t="shared" si="25"/>
        <v>1.3669901461452121E-2</v>
      </c>
      <c r="V32" s="3">
        <f t="shared" si="26"/>
        <v>3.2595012615392125E-5</v>
      </c>
      <c r="W32" s="3">
        <f t="shared" si="26"/>
        <v>1.9364614161534382E-31</v>
      </c>
      <c r="X32" s="3">
        <f t="shared" si="26"/>
        <v>1.060683455338954E-293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7">
        <v>2.2762835018356641E-2</v>
      </c>
      <c r="C33" s="18">
        <f t="shared" si="3"/>
        <v>3.6384067061729697E-2</v>
      </c>
      <c r="D33" s="17"/>
      <c r="F33" s="3">
        <f t="shared" si="25"/>
        <v>3.638406706172969E-2</v>
      </c>
      <c r="G33" s="3">
        <f t="shared" si="25"/>
        <v>3.6384067061729676E-2</v>
      </c>
      <c r="H33" s="3">
        <f t="shared" si="25"/>
        <v>3.6384067061729475E-2</v>
      </c>
      <c r="I33" s="3">
        <f t="shared" si="25"/>
        <v>3.6384067061727497E-2</v>
      </c>
      <c r="J33" s="3">
        <f t="shared" si="25"/>
        <v>3.6384067061707673E-2</v>
      </c>
      <c r="K33" s="3">
        <f t="shared" si="25"/>
        <v>3.638406706150947E-2</v>
      </c>
      <c r="L33" s="3">
        <f t="shared" si="25"/>
        <v>3.6384067059527452E-2</v>
      </c>
      <c r="M33" s="3">
        <f t="shared" si="25"/>
        <v>3.6384067039707257E-2</v>
      </c>
      <c r="N33" s="3">
        <f t="shared" si="25"/>
        <v>3.6384066841505303E-2</v>
      </c>
      <c r="O33" s="3">
        <f t="shared" si="25"/>
        <v>3.638406485948581E-2</v>
      </c>
      <c r="P33" s="3">
        <f t="shared" si="25"/>
        <v>3.6384045039296785E-2</v>
      </c>
      <c r="Q33" s="3">
        <f t="shared" si="25"/>
        <v>3.6383846838000417E-2</v>
      </c>
      <c r="R33" s="3">
        <f t="shared" si="25"/>
        <v>3.6381864884419107E-2</v>
      </c>
      <c r="S33" s="3">
        <f t="shared" si="25"/>
        <v>3.6362051285647193E-2</v>
      </c>
      <c r="T33" s="3">
        <f t="shared" si="25"/>
        <v>3.6164507807134684E-2</v>
      </c>
      <c r="U33" s="3">
        <f t="shared" ref="P33:AE48" si="27">$C33*EXP(-U$15/$A33)</f>
        <v>3.4247146899534169E-2</v>
      </c>
      <c r="V33" s="3">
        <f t="shared" si="27"/>
        <v>1.9862905435523215E-2</v>
      </c>
      <c r="W33" s="3">
        <f t="shared" si="27"/>
        <v>8.5551289222273296E-5</v>
      </c>
      <c r="X33" s="3">
        <f t="shared" si="27"/>
        <v>1.8795954899928915E-28</v>
      </c>
      <c r="Y33" s="3">
        <f t="shared" si="27"/>
        <v>4.9254141244605129E-265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7">
        <v>2.625405549669424E-2</v>
      </c>
      <c r="C34" s="18">
        <f t="shared" si="3"/>
        <v>4.1964426446168525E-2</v>
      </c>
      <c r="D34" s="17"/>
      <c r="F34" s="3">
        <f t="shared" ref="F34:O48" si="28">$C34*EXP(-F$15/$A34)</f>
        <v>4.1964426446168525E-2</v>
      </c>
      <c r="G34" s="3">
        <f t="shared" si="28"/>
        <v>4.1964426446168525E-2</v>
      </c>
      <c r="H34" s="3">
        <f t="shared" si="28"/>
        <v>4.1964426446168504E-2</v>
      </c>
      <c r="I34" s="3">
        <f t="shared" si="28"/>
        <v>4.1964426446168296E-2</v>
      </c>
      <c r="J34" s="3">
        <f t="shared" si="28"/>
        <v>4.1964426446166235E-2</v>
      </c>
      <c r="K34" s="3">
        <f t="shared" si="28"/>
        <v>4.1964426446145613E-2</v>
      </c>
      <c r="L34" s="3">
        <f t="shared" si="28"/>
        <v>4.1964426445939396E-2</v>
      </c>
      <c r="M34" s="3">
        <f t="shared" si="28"/>
        <v>4.1964426443877226E-2</v>
      </c>
      <c r="N34" s="3">
        <f t="shared" si="28"/>
        <v>4.196442642325552E-2</v>
      </c>
      <c r="O34" s="3">
        <f t="shared" si="28"/>
        <v>4.1964426217038463E-2</v>
      </c>
      <c r="P34" s="3">
        <f t="shared" si="27"/>
        <v>4.1964424154868001E-2</v>
      </c>
      <c r="Q34" s="3">
        <f t="shared" si="27"/>
        <v>4.1964403533168916E-2</v>
      </c>
      <c r="R34" s="3">
        <f t="shared" si="27"/>
        <v>4.1964197316735431E-2</v>
      </c>
      <c r="S34" s="3">
        <f t="shared" si="27"/>
        <v>4.1962135208134757E-2</v>
      </c>
      <c r="T34" s="3">
        <f t="shared" si="27"/>
        <v>4.1941519694534898E-2</v>
      </c>
      <c r="U34" s="3">
        <f t="shared" si="27"/>
        <v>4.1735920787365141E-2</v>
      </c>
      <c r="V34" s="3">
        <f t="shared" si="27"/>
        <v>3.9734556411501316E-2</v>
      </c>
      <c r="W34" s="3">
        <f t="shared" si="27"/>
        <v>2.4308158786036947E-2</v>
      </c>
      <c r="X34" s="3">
        <f t="shared" si="27"/>
        <v>1.7847977937102236E-4</v>
      </c>
      <c r="Y34" s="3">
        <f t="shared" si="27"/>
        <v>8.127529953588407E-26</v>
      </c>
      <c r="Z34" s="3">
        <f t="shared" si="27"/>
        <v>3.1164069337538813E-239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7">
        <v>3.0096967175408603E-2</v>
      </c>
      <c r="C35" s="18">
        <f t="shared" si="3"/>
        <v>4.8106928297009681E-2</v>
      </c>
      <c r="D35" s="17"/>
      <c r="F35" s="3">
        <f t="shared" si="28"/>
        <v>4.8106928297009681E-2</v>
      </c>
      <c r="G35" s="3">
        <f t="shared" si="28"/>
        <v>4.8106928297009681E-2</v>
      </c>
      <c r="H35" s="3">
        <f t="shared" si="28"/>
        <v>4.8106928297009681E-2</v>
      </c>
      <c r="I35" s="3">
        <f t="shared" si="28"/>
        <v>4.810692829700966E-2</v>
      </c>
      <c r="J35" s="3">
        <f t="shared" si="28"/>
        <v>4.8106928297009445E-2</v>
      </c>
      <c r="K35" s="3">
        <f t="shared" si="28"/>
        <v>4.8106928297007308E-2</v>
      </c>
      <c r="L35" s="3">
        <f t="shared" si="28"/>
        <v>4.8106928296985992E-2</v>
      </c>
      <c r="M35" s="3">
        <f t="shared" si="28"/>
        <v>4.8106928296772732E-2</v>
      </c>
      <c r="N35" s="3">
        <f t="shared" si="28"/>
        <v>4.8106928294640187E-2</v>
      </c>
      <c r="O35" s="3">
        <f t="shared" si="28"/>
        <v>4.8106928273314774E-2</v>
      </c>
      <c r="P35" s="3">
        <f t="shared" si="27"/>
        <v>4.8106928060060616E-2</v>
      </c>
      <c r="Q35" s="3">
        <f t="shared" si="27"/>
        <v>4.8106925927519126E-2</v>
      </c>
      <c r="R35" s="3">
        <f t="shared" si="27"/>
        <v>4.8106904602109368E-2</v>
      </c>
      <c r="S35" s="3">
        <f t="shared" si="27"/>
        <v>4.8106691348531752E-2</v>
      </c>
      <c r="T35" s="3">
        <f t="shared" si="27"/>
        <v>4.8104558864748244E-2</v>
      </c>
      <c r="U35" s="3">
        <f t="shared" si="27"/>
        <v>4.8083239225327867E-2</v>
      </c>
      <c r="V35" s="3">
        <f t="shared" si="27"/>
        <v>4.7870561820970943E-2</v>
      </c>
      <c r="W35" s="3">
        <f t="shared" si="27"/>
        <v>4.5794845524363297E-2</v>
      </c>
      <c r="X35" s="3">
        <f t="shared" si="27"/>
        <v>2.9396615859629268E-2</v>
      </c>
      <c r="Y35" s="3">
        <f t="shared" si="27"/>
        <v>3.492245176533724E-4</v>
      </c>
      <c r="Z35" s="3">
        <f t="shared" si="27"/>
        <v>1.9551433951870893E-23</v>
      </c>
      <c r="AA35" s="3">
        <f t="shared" si="27"/>
        <v>5.9144927666340336E-216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7">
        <v>2.8841568058868394E-2</v>
      </c>
      <c r="C36" s="18">
        <f t="shared" si="3"/>
        <v>4.6100301020196389E-2</v>
      </c>
      <c r="D36" s="17"/>
      <c r="F36" s="3">
        <f t="shared" si="28"/>
        <v>4.6100301020196389E-2</v>
      </c>
      <c r="G36" s="3">
        <f t="shared" si="28"/>
        <v>4.6100301020196389E-2</v>
      </c>
      <c r="H36" s="3">
        <f t="shared" si="28"/>
        <v>4.6100301020196389E-2</v>
      </c>
      <c r="I36" s="3">
        <f t="shared" si="28"/>
        <v>4.6100301020196389E-2</v>
      </c>
      <c r="J36" s="3">
        <f t="shared" si="28"/>
        <v>4.6100301020196369E-2</v>
      </c>
      <c r="K36" s="3">
        <f t="shared" si="28"/>
        <v>4.6100301020196181E-2</v>
      </c>
      <c r="L36" s="3">
        <f t="shared" si="28"/>
        <v>4.6100301020194343E-2</v>
      </c>
      <c r="M36" s="3">
        <f t="shared" si="28"/>
        <v>4.6100301020175906E-2</v>
      </c>
      <c r="N36" s="3">
        <f t="shared" si="28"/>
        <v>4.6100301019991553E-2</v>
      </c>
      <c r="O36" s="3">
        <f t="shared" si="28"/>
        <v>4.610030101814807E-2</v>
      </c>
      <c r="P36" s="3">
        <f t="shared" si="27"/>
        <v>4.6100300999713198E-2</v>
      </c>
      <c r="Q36" s="3">
        <f t="shared" si="27"/>
        <v>4.6100300815364433E-2</v>
      </c>
      <c r="R36" s="3">
        <f t="shared" si="27"/>
        <v>4.6100298971876848E-2</v>
      </c>
      <c r="S36" s="3">
        <f t="shared" si="27"/>
        <v>4.6100280537005087E-2</v>
      </c>
      <c r="T36" s="3">
        <f t="shared" si="27"/>
        <v>4.6100096188692923E-2</v>
      </c>
      <c r="U36" s="3">
        <f t="shared" si="27"/>
        <v>4.6098252746115745E-2</v>
      </c>
      <c r="V36" s="3">
        <f t="shared" si="27"/>
        <v>4.6079822374196965E-2</v>
      </c>
      <c r="W36" s="3">
        <f t="shared" si="27"/>
        <v>4.5895923441142308E-2</v>
      </c>
      <c r="X36" s="3">
        <f t="shared" si="27"/>
        <v>4.4096820163034005E-2</v>
      </c>
      <c r="Y36" s="3">
        <f t="shared" si="27"/>
        <v>2.9562345195803225E-2</v>
      </c>
      <c r="Z36" s="3">
        <f t="shared" si="27"/>
        <v>5.4206952004426292E-4</v>
      </c>
      <c r="AA36" s="3">
        <f t="shared" si="27"/>
        <v>2.3292496021112827E-21</v>
      </c>
      <c r="AB36" s="3">
        <f t="shared" si="27"/>
        <v>4.9983475302237904E-195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7">
        <v>3.8503912159134152E-2</v>
      </c>
      <c r="C37" s="18">
        <f t="shared" si="3"/>
        <v>6.1544571271861997E-2</v>
      </c>
      <c r="D37" s="17"/>
      <c r="F37" s="3">
        <f t="shared" si="28"/>
        <v>6.1544571271861997E-2</v>
      </c>
      <c r="G37" s="3">
        <f t="shared" si="28"/>
        <v>6.1544571271861997E-2</v>
      </c>
      <c r="H37" s="3">
        <f t="shared" si="28"/>
        <v>6.1544571271861997E-2</v>
      </c>
      <c r="I37" s="3">
        <f t="shared" si="28"/>
        <v>6.1544571271861997E-2</v>
      </c>
      <c r="J37" s="3">
        <f t="shared" si="28"/>
        <v>6.1544571271861997E-2</v>
      </c>
      <c r="K37" s="3">
        <f t="shared" si="28"/>
        <v>6.154457127186197E-2</v>
      </c>
      <c r="L37" s="3">
        <f t="shared" si="28"/>
        <v>6.1544571271861755E-2</v>
      </c>
      <c r="M37" s="3">
        <f t="shared" si="28"/>
        <v>6.1544571271859534E-2</v>
      </c>
      <c r="N37" s="3">
        <f t="shared" si="28"/>
        <v>6.154457127183733E-2</v>
      </c>
      <c r="O37" s="3">
        <f t="shared" si="28"/>
        <v>6.154457127161532E-2</v>
      </c>
      <c r="P37" s="3">
        <f t="shared" si="27"/>
        <v>6.1544571269395221E-2</v>
      </c>
      <c r="Q37" s="3">
        <f t="shared" si="27"/>
        <v>6.1544571247194202E-2</v>
      </c>
      <c r="R37" s="3">
        <f t="shared" si="27"/>
        <v>6.1544571025184069E-2</v>
      </c>
      <c r="S37" s="3">
        <f t="shared" si="27"/>
        <v>6.1544568805082731E-2</v>
      </c>
      <c r="T37" s="3">
        <f t="shared" si="27"/>
        <v>6.1544546604073797E-2</v>
      </c>
      <c r="U37" s="3">
        <f t="shared" si="27"/>
        <v>6.1544324594424882E-2</v>
      </c>
      <c r="V37" s="3">
        <f t="shared" si="27"/>
        <v>6.154210454198232E-2</v>
      </c>
      <c r="W37" s="3">
        <f t="shared" si="27"/>
        <v>6.1519908421626086E-2</v>
      </c>
      <c r="X37" s="3">
        <f t="shared" si="27"/>
        <v>6.1298387037753102E-2</v>
      </c>
      <c r="Y37" s="3">
        <f t="shared" si="27"/>
        <v>5.9126573760313217E-2</v>
      </c>
      <c r="Z37" s="3">
        <f t="shared" si="27"/>
        <v>4.122108114095252E-2</v>
      </c>
      <c r="AA37" s="3">
        <f t="shared" si="27"/>
        <v>1.1181138472272803E-3</v>
      </c>
      <c r="AB37" s="3">
        <f t="shared" si="27"/>
        <v>2.4107518236898731E-19</v>
      </c>
      <c r="AC37" s="3">
        <f t="shared" si="27"/>
        <v>5.2338019371804206E-176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7">
        <v>1.2855597260167688E-2</v>
      </c>
      <c r="C38" s="18">
        <f t="shared" si="3"/>
        <v>2.0548359308290503E-2</v>
      </c>
      <c r="D38" s="17"/>
      <c r="F38" s="3">
        <f t="shared" si="28"/>
        <v>2.0548359308290503E-2</v>
      </c>
      <c r="G38" s="3">
        <f t="shared" si="28"/>
        <v>2.0548359308290503E-2</v>
      </c>
      <c r="H38" s="3">
        <f t="shared" si="28"/>
        <v>2.0548359308290503E-2</v>
      </c>
      <c r="I38" s="3">
        <f t="shared" si="28"/>
        <v>2.0548359308290503E-2</v>
      </c>
      <c r="J38" s="3">
        <f t="shared" si="28"/>
        <v>2.0548359308290503E-2</v>
      </c>
      <c r="K38" s="3">
        <f t="shared" si="28"/>
        <v>2.0548359308290503E-2</v>
      </c>
      <c r="L38" s="3">
        <f t="shared" si="28"/>
        <v>2.0548359308290496E-2</v>
      </c>
      <c r="M38" s="3">
        <f t="shared" si="28"/>
        <v>2.0548359308290427E-2</v>
      </c>
      <c r="N38" s="3">
        <f t="shared" si="28"/>
        <v>2.054835930828976E-2</v>
      </c>
      <c r="O38" s="3">
        <f t="shared" si="28"/>
        <v>2.0548359308283071E-2</v>
      </c>
      <c r="P38" s="3">
        <f t="shared" si="27"/>
        <v>2.0548359308216208E-2</v>
      </c>
      <c r="Q38" s="3">
        <f t="shared" si="27"/>
        <v>2.0548359307547545E-2</v>
      </c>
      <c r="R38" s="3">
        <f t="shared" si="27"/>
        <v>2.0548359300860922E-2</v>
      </c>
      <c r="S38" s="3">
        <f t="shared" si="27"/>
        <v>2.0548359233994697E-2</v>
      </c>
      <c r="T38" s="3">
        <f t="shared" si="27"/>
        <v>2.0548358565332471E-2</v>
      </c>
      <c r="U38" s="3">
        <f t="shared" si="27"/>
        <v>2.0548351878711402E-2</v>
      </c>
      <c r="V38" s="3">
        <f t="shared" si="27"/>
        <v>2.0548285012620373E-2</v>
      </c>
      <c r="W38" s="3">
        <f t="shared" si="27"/>
        <v>2.0547616363677322E-2</v>
      </c>
      <c r="X38" s="3">
        <f t="shared" si="27"/>
        <v>2.0540931070824851E-2</v>
      </c>
      <c r="Y38" s="3">
        <f t="shared" si="27"/>
        <v>2.0474197656162495E-2</v>
      </c>
      <c r="Z38" s="3">
        <f t="shared" si="27"/>
        <v>1.9818672243383371E-2</v>
      </c>
      <c r="AA38" s="3">
        <f t="shared" si="27"/>
        <v>1.4313676379946854E-2</v>
      </c>
      <c r="AB38" s="3">
        <f t="shared" si="27"/>
        <v>5.5273578057079436E-4</v>
      </c>
      <c r="AC38" s="3">
        <f t="shared" si="27"/>
        <v>4.0755049847082891E-18</v>
      </c>
      <c r="AD38" s="3">
        <f t="shared" si="27"/>
        <v>1.9356192201677551E-159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7">
        <v>4.291705922371792E-2</v>
      </c>
      <c r="C39" s="18">
        <f t="shared" si="3"/>
        <v>6.8598536150208847E-2</v>
      </c>
      <c r="D39" s="17"/>
      <c r="F39" s="3">
        <f t="shared" si="28"/>
        <v>6.8598536150208847E-2</v>
      </c>
      <c r="G39" s="3">
        <f t="shared" si="28"/>
        <v>6.8598536150208847E-2</v>
      </c>
      <c r="H39" s="3">
        <f t="shared" si="28"/>
        <v>6.8598536150208847E-2</v>
      </c>
      <c r="I39" s="3">
        <f t="shared" si="28"/>
        <v>6.8598536150208847E-2</v>
      </c>
      <c r="J39" s="3">
        <f t="shared" si="28"/>
        <v>6.8598536150208847E-2</v>
      </c>
      <c r="K39" s="3">
        <f t="shared" si="28"/>
        <v>6.8598536150208847E-2</v>
      </c>
      <c r="L39" s="3">
        <f t="shared" si="28"/>
        <v>6.8598536150208833E-2</v>
      </c>
      <c r="M39" s="3">
        <f t="shared" si="28"/>
        <v>6.8598536150208778E-2</v>
      </c>
      <c r="N39" s="3">
        <f t="shared" si="28"/>
        <v>6.8598536150208167E-2</v>
      </c>
      <c r="O39" s="3">
        <f t="shared" si="28"/>
        <v>6.8598536150201991E-2</v>
      </c>
      <c r="P39" s="3">
        <f t="shared" si="27"/>
        <v>6.8598536150140249E-2</v>
      </c>
      <c r="Q39" s="3">
        <f t="shared" si="27"/>
        <v>6.8598536149522868E-2</v>
      </c>
      <c r="R39" s="3">
        <f t="shared" si="27"/>
        <v>6.8598536143348987E-2</v>
      </c>
      <c r="S39" s="3">
        <f t="shared" si="27"/>
        <v>6.8598536081610317E-2</v>
      </c>
      <c r="T39" s="3">
        <f t="shared" si="27"/>
        <v>6.8598535464223495E-2</v>
      </c>
      <c r="U39" s="3">
        <f t="shared" si="27"/>
        <v>6.8598529290355578E-2</v>
      </c>
      <c r="V39" s="3">
        <f t="shared" si="27"/>
        <v>6.8598467551706996E-2</v>
      </c>
      <c r="W39" s="3">
        <f t="shared" si="27"/>
        <v>6.8597850168277255E-2</v>
      </c>
      <c r="X39" s="3">
        <f t="shared" si="27"/>
        <v>6.8591676639575078E-2</v>
      </c>
      <c r="Y39" s="3">
        <f t="shared" si="27"/>
        <v>6.8529971901896483E-2</v>
      </c>
      <c r="Z39" s="3">
        <f t="shared" si="27"/>
        <v>6.7915969310950564E-2</v>
      </c>
      <c r="AA39" s="3">
        <f t="shared" si="27"/>
        <v>6.2070522331201403E-2</v>
      </c>
      <c r="AB39" s="3">
        <f t="shared" si="27"/>
        <v>2.5235991144117814E-2</v>
      </c>
      <c r="AC39" s="3">
        <f t="shared" si="27"/>
        <v>3.1143687230287597E-6</v>
      </c>
      <c r="AD39" s="3">
        <f t="shared" si="27"/>
        <v>2.551917663225888E-45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7">
        <v>2.654562332977696E-2</v>
      </c>
      <c r="C40" s="18">
        <f t="shared" si="3"/>
        <v>4.2430467850210242E-2</v>
      </c>
      <c r="D40" s="17"/>
      <c r="F40" s="3">
        <f t="shared" si="28"/>
        <v>4.2430467850210242E-2</v>
      </c>
      <c r="G40" s="3">
        <f t="shared" si="28"/>
        <v>4.2430467850210242E-2</v>
      </c>
      <c r="H40" s="3">
        <f t="shared" si="28"/>
        <v>4.2430467850210242E-2</v>
      </c>
      <c r="I40" s="3">
        <f t="shared" si="28"/>
        <v>4.2430467850210242E-2</v>
      </c>
      <c r="J40" s="3">
        <f t="shared" si="28"/>
        <v>4.2430467850210242E-2</v>
      </c>
      <c r="K40" s="3">
        <f t="shared" si="28"/>
        <v>4.2430467850210242E-2</v>
      </c>
      <c r="L40" s="3">
        <f t="shared" si="28"/>
        <v>4.2430467850210242E-2</v>
      </c>
      <c r="M40" s="3">
        <f t="shared" si="28"/>
        <v>4.2430467850210235E-2</v>
      </c>
      <c r="N40" s="3">
        <f t="shared" si="28"/>
        <v>4.24304678502102E-2</v>
      </c>
      <c r="O40" s="3">
        <f t="shared" si="28"/>
        <v>4.2430467850209819E-2</v>
      </c>
      <c r="P40" s="3">
        <f t="shared" si="27"/>
        <v>4.2430467850205995E-2</v>
      </c>
      <c r="Q40" s="3">
        <f t="shared" si="27"/>
        <v>4.2430467850167811E-2</v>
      </c>
      <c r="R40" s="3">
        <f t="shared" si="27"/>
        <v>4.2430467849785936E-2</v>
      </c>
      <c r="S40" s="3">
        <f t="shared" si="27"/>
        <v>4.2430467845967192E-2</v>
      </c>
      <c r="T40" s="3">
        <f t="shared" si="27"/>
        <v>4.2430467807779773E-2</v>
      </c>
      <c r="U40" s="3">
        <f t="shared" si="27"/>
        <v>4.2430467425905567E-2</v>
      </c>
      <c r="V40" s="3">
        <f t="shared" si="27"/>
        <v>4.2430463607163668E-2</v>
      </c>
      <c r="W40" s="3">
        <f t="shared" si="27"/>
        <v>4.2430425419763607E-2</v>
      </c>
      <c r="X40" s="3">
        <f t="shared" si="27"/>
        <v>4.2430043547653257E-2</v>
      </c>
      <c r="Y40" s="3">
        <f t="shared" si="27"/>
        <v>4.2426225015570487E-2</v>
      </c>
      <c r="Z40" s="3">
        <f t="shared" si="27"/>
        <v>4.2388058590523983E-2</v>
      </c>
      <c r="AA40" s="3">
        <f t="shared" si="27"/>
        <v>4.2008277641000069E-2</v>
      </c>
      <c r="AB40" s="3">
        <f t="shared" si="27"/>
        <v>3.8392674975642027E-2</v>
      </c>
      <c r="AC40" s="3">
        <f t="shared" si="27"/>
        <v>1.5609296801378195E-2</v>
      </c>
      <c r="AD40" s="3">
        <f t="shared" si="27"/>
        <v>1.9263402601889167E-6</v>
      </c>
      <c r="AE40" s="3">
        <f t="shared" si="27"/>
        <v>1.5784456410089159E-45</v>
      </c>
      <c r="AF40" s="3">
        <f t="shared" si="29"/>
        <v>0</v>
      </c>
      <c r="AG40" s="3">
        <f t="shared" si="29"/>
        <v>0</v>
      </c>
      <c r="AH40" s="3">
        <f t="shared" si="29"/>
        <v>0</v>
      </c>
      <c r="AI40" s="3">
        <f t="shared" si="29"/>
        <v>0</v>
      </c>
      <c r="AJ40" s="3">
        <f t="shared" si="29"/>
        <v>0</v>
      </c>
    </row>
    <row r="41" spans="1:36" x14ac:dyDescent="0.25">
      <c r="A41" s="3">
        <f t="shared" si="30"/>
        <v>1000000000</v>
      </c>
      <c r="B41" s="17">
        <v>2.6629669928275999E-2</v>
      </c>
      <c r="C41" s="18">
        <f t="shared" si="3"/>
        <v>4.2564807754428377E-2</v>
      </c>
      <c r="D41" s="17"/>
      <c r="F41" s="3">
        <f t="shared" si="28"/>
        <v>4.2564807754428377E-2</v>
      </c>
      <c r="G41" s="3">
        <f t="shared" si="28"/>
        <v>4.2564807754428377E-2</v>
      </c>
      <c r="H41" s="3">
        <f t="shared" si="28"/>
        <v>4.2564807754428377E-2</v>
      </c>
      <c r="I41" s="3">
        <f t="shared" si="28"/>
        <v>4.2564807754428377E-2</v>
      </c>
      <c r="J41" s="3">
        <f t="shared" si="28"/>
        <v>4.2564807754428377E-2</v>
      </c>
      <c r="K41" s="3">
        <f t="shared" si="28"/>
        <v>4.2564807754428377E-2</v>
      </c>
      <c r="L41" s="3">
        <f t="shared" si="28"/>
        <v>4.2564807754428377E-2</v>
      </c>
      <c r="M41" s="3">
        <f t="shared" si="28"/>
        <v>4.2564807754428377E-2</v>
      </c>
      <c r="N41" s="3">
        <f t="shared" si="28"/>
        <v>4.256480775442837E-2</v>
      </c>
      <c r="O41" s="3">
        <f t="shared" si="28"/>
        <v>4.2564807754428335E-2</v>
      </c>
      <c r="P41" s="3">
        <f t="shared" si="27"/>
        <v>4.2564807754427954E-2</v>
      </c>
      <c r="Q41" s="3">
        <f t="shared" si="27"/>
        <v>4.2564807754424117E-2</v>
      </c>
      <c r="R41" s="3">
        <f t="shared" si="27"/>
        <v>4.2564807754385814E-2</v>
      </c>
      <c r="S41" s="3">
        <f t="shared" si="27"/>
        <v>4.2564807754002731E-2</v>
      </c>
      <c r="T41" s="3">
        <f t="shared" si="27"/>
        <v>4.2564807750171893E-2</v>
      </c>
      <c r="U41" s="3">
        <f t="shared" si="27"/>
        <v>4.2564807711863571E-2</v>
      </c>
      <c r="V41" s="3">
        <f t="shared" si="27"/>
        <v>4.2564807328780305E-2</v>
      </c>
      <c r="W41" s="3">
        <f t="shared" si="27"/>
        <v>4.2564803497947813E-2</v>
      </c>
      <c r="X41" s="3">
        <f t="shared" si="27"/>
        <v>4.2564765189641904E-2</v>
      </c>
      <c r="Y41" s="3">
        <f t="shared" si="27"/>
        <v>4.2564382108479064E-2</v>
      </c>
      <c r="Z41" s="3">
        <f t="shared" si="27"/>
        <v>4.256055148646988E-2</v>
      </c>
      <c r="AA41" s="3">
        <f t="shared" si="27"/>
        <v>4.2522264221985469E-2</v>
      </c>
      <c r="AB41" s="3">
        <f t="shared" si="27"/>
        <v>4.2141280840837118E-2</v>
      </c>
      <c r="AC41" s="3">
        <f t="shared" si="27"/>
        <v>3.8514230747713964E-2</v>
      </c>
      <c r="AD41" s="3">
        <f t="shared" si="27"/>
        <v>1.5658717690268987E-2</v>
      </c>
      <c r="AE41" s="3">
        <f t="shared" si="27"/>
        <v>1.932439282404719E-6</v>
      </c>
      <c r="AF41" s="3">
        <f t="shared" si="29"/>
        <v>1.5834431875119441E-45</v>
      </c>
      <c r="AG41" s="3">
        <f t="shared" si="29"/>
        <v>0</v>
      </c>
      <c r="AH41" s="3">
        <f t="shared" si="29"/>
        <v>0</v>
      </c>
      <c r="AI41" s="3">
        <f t="shared" si="29"/>
        <v>0</v>
      </c>
      <c r="AJ41" s="3">
        <f t="shared" si="29"/>
        <v>0</v>
      </c>
    </row>
    <row r="42" spans="1:36" x14ac:dyDescent="0.25">
      <c r="A42" s="3">
        <f t="shared" si="30"/>
        <v>10000000000</v>
      </c>
      <c r="B42" s="17">
        <v>1.113266631532535E-2</v>
      </c>
      <c r="C42" s="18">
        <f t="shared" si="3"/>
        <v>1.7794430151868639E-2</v>
      </c>
      <c r="D42" s="17"/>
      <c r="F42" s="3">
        <f t="shared" si="28"/>
        <v>1.7794430151868639E-2</v>
      </c>
      <c r="G42" s="3">
        <f t="shared" si="28"/>
        <v>1.7794430151868639E-2</v>
      </c>
      <c r="H42" s="3">
        <f t="shared" si="28"/>
        <v>1.7794430151868639E-2</v>
      </c>
      <c r="I42" s="3">
        <f t="shared" si="28"/>
        <v>1.7794430151868639E-2</v>
      </c>
      <c r="J42" s="3">
        <f t="shared" si="28"/>
        <v>1.7794430151868639E-2</v>
      </c>
      <c r="K42" s="3">
        <f t="shared" si="28"/>
        <v>1.7794430151868639E-2</v>
      </c>
      <c r="L42" s="3">
        <f t="shared" si="28"/>
        <v>1.7794430151868639E-2</v>
      </c>
      <c r="M42" s="3">
        <f t="shared" si="28"/>
        <v>1.7794430151868639E-2</v>
      </c>
      <c r="N42" s="3">
        <f t="shared" si="28"/>
        <v>1.7794430151868639E-2</v>
      </c>
      <c r="O42" s="3">
        <f t="shared" si="28"/>
        <v>1.7794430151868636E-2</v>
      </c>
      <c r="P42" s="3">
        <f t="shared" si="27"/>
        <v>1.7794430151868622E-2</v>
      </c>
      <c r="Q42" s="3">
        <f t="shared" si="27"/>
        <v>1.7794430151868462E-2</v>
      </c>
      <c r="R42" s="3">
        <f t="shared" si="27"/>
        <v>1.7794430151866859E-2</v>
      </c>
      <c r="S42" s="3">
        <f t="shared" si="27"/>
        <v>1.7794430151850844E-2</v>
      </c>
      <c r="T42" s="3">
        <f t="shared" si="27"/>
        <v>1.7794430151690695E-2</v>
      </c>
      <c r="U42" s="3">
        <f t="shared" si="27"/>
        <v>1.7794430150089195E-2</v>
      </c>
      <c r="V42" s="3">
        <f t="shared" si="27"/>
        <v>1.779443013407421E-2</v>
      </c>
      <c r="W42" s="3">
        <f t="shared" si="27"/>
        <v>1.7794429973924338E-2</v>
      </c>
      <c r="X42" s="3">
        <f t="shared" si="27"/>
        <v>1.7794428372425713E-2</v>
      </c>
      <c r="Y42" s="3">
        <f t="shared" si="27"/>
        <v>1.7794412357447383E-2</v>
      </c>
      <c r="Z42" s="3">
        <f t="shared" si="27"/>
        <v>1.7794252208456839E-2</v>
      </c>
      <c r="AA42" s="3">
        <f t="shared" si="27"/>
        <v>1.7792650797822638E-2</v>
      </c>
      <c r="AB42" s="3">
        <f t="shared" si="27"/>
        <v>1.7776644615966852E-2</v>
      </c>
      <c r="AC42" s="3">
        <f t="shared" si="27"/>
        <v>1.7617372613518732E-2</v>
      </c>
      <c r="AD42" s="3">
        <f t="shared" si="27"/>
        <v>1.6101066234038047E-2</v>
      </c>
      <c r="AE42" s="3">
        <f t="shared" si="27"/>
        <v>6.5462050202336987E-3</v>
      </c>
      <c r="AF42" s="3">
        <f t="shared" si="29"/>
        <v>8.0786587905827896E-7</v>
      </c>
      <c r="AG42" s="3">
        <f t="shared" si="29"/>
        <v>6.6196632114947319E-46</v>
      </c>
      <c r="AH42" s="3">
        <f t="shared" si="29"/>
        <v>0</v>
      </c>
      <c r="AI42" s="3">
        <f t="shared" si="29"/>
        <v>0</v>
      </c>
      <c r="AJ42" s="3">
        <f t="shared" si="29"/>
        <v>0</v>
      </c>
    </row>
    <row r="43" spans="1:36" x14ac:dyDescent="0.25">
      <c r="A43" s="3">
        <f t="shared" si="30"/>
        <v>100000000000</v>
      </c>
      <c r="B43" s="17">
        <v>7.4113260093390601E-3</v>
      </c>
      <c r="C43" s="18">
        <f t="shared" si="3"/>
        <v>1.1846247724533283E-2</v>
      </c>
      <c r="D43" s="17"/>
      <c r="F43" s="3">
        <f t="shared" si="28"/>
        <v>1.1846247724533283E-2</v>
      </c>
      <c r="G43" s="3">
        <f t="shared" si="28"/>
        <v>1.1846247724533283E-2</v>
      </c>
      <c r="H43" s="3">
        <f t="shared" si="28"/>
        <v>1.1846247724533283E-2</v>
      </c>
      <c r="I43" s="3">
        <f t="shared" si="28"/>
        <v>1.1846247724533283E-2</v>
      </c>
      <c r="J43" s="3">
        <f t="shared" si="28"/>
        <v>1.1846247724533283E-2</v>
      </c>
      <c r="K43" s="3">
        <f t="shared" si="28"/>
        <v>1.1846247724533283E-2</v>
      </c>
      <c r="L43" s="3">
        <f t="shared" si="28"/>
        <v>1.1846247724533283E-2</v>
      </c>
      <c r="M43" s="3">
        <f t="shared" si="28"/>
        <v>1.1846247724533283E-2</v>
      </c>
      <c r="N43" s="3">
        <f t="shared" si="28"/>
        <v>1.1846247724533283E-2</v>
      </c>
      <c r="O43" s="3">
        <f t="shared" si="28"/>
        <v>1.1846247724533283E-2</v>
      </c>
      <c r="P43" s="3">
        <f t="shared" si="27"/>
        <v>1.1846247724533281E-2</v>
      </c>
      <c r="Q43" s="3">
        <f t="shared" si="27"/>
        <v>1.1846247724533271E-2</v>
      </c>
      <c r="R43" s="3">
        <f t="shared" si="27"/>
        <v>1.1846247724533165E-2</v>
      </c>
      <c r="S43" s="3">
        <f t="shared" si="27"/>
        <v>1.1846247724532098E-2</v>
      </c>
      <c r="T43" s="3">
        <f t="shared" si="27"/>
        <v>1.1846247724521437E-2</v>
      </c>
      <c r="U43" s="3">
        <f t="shared" si="27"/>
        <v>1.1846247724414821E-2</v>
      </c>
      <c r="V43" s="3">
        <f t="shared" si="27"/>
        <v>1.1846247723348658E-2</v>
      </c>
      <c r="W43" s="3">
        <f t="shared" si="27"/>
        <v>1.1846247712687035E-2</v>
      </c>
      <c r="X43" s="3">
        <f t="shared" si="27"/>
        <v>1.1846247606070807E-2</v>
      </c>
      <c r="Y43" s="3">
        <f t="shared" si="27"/>
        <v>1.184624653990857E-2</v>
      </c>
      <c r="Z43" s="3">
        <f t="shared" si="27"/>
        <v>1.1846235878291481E-2</v>
      </c>
      <c r="AA43" s="3">
        <f t="shared" si="27"/>
        <v>1.1846129262648348E-2</v>
      </c>
      <c r="AB43" s="3">
        <f t="shared" si="27"/>
        <v>1.1845063158990095E-2</v>
      </c>
      <c r="AC43" s="3">
        <f t="shared" si="27"/>
        <v>1.1834407397958732E-2</v>
      </c>
      <c r="AD43" s="3">
        <f t="shared" si="27"/>
        <v>1.1728375590225638E-2</v>
      </c>
      <c r="AE43" s="3">
        <f t="shared" si="27"/>
        <v>1.0718928204481056E-2</v>
      </c>
      <c r="AF43" s="3">
        <f t="shared" si="29"/>
        <v>4.3579909928797749E-3</v>
      </c>
      <c r="AG43" s="3">
        <f t="shared" si="29"/>
        <v>5.3781881464280708E-7</v>
      </c>
      <c r="AH43" s="3">
        <f t="shared" si="29"/>
        <v>4.4068941566027761E-46</v>
      </c>
      <c r="AI43" s="3">
        <f t="shared" si="29"/>
        <v>0</v>
      </c>
      <c r="AJ43" s="3">
        <f t="shared" si="29"/>
        <v>0</v>
      </c>
    </row>
    <row r="44" spans="1:36" x14ac:dyDescent="0.25">
      <c r="A44" s="3">
        <f t="shared" si="30"/>
        <v>1000000000000</v>
      </c>
      <c r="B44" s="17">
        <v>2.6525518277428499E-3</v>
      </c>
      <c r="C44" s="18">
        <f t="shared" si="3"/>
        <v>4.239833197731321E-3</v>
      </c>
      <c r="D44" s="17"/>
      <c r="F44" s="3">
        <f t="shared" si="28"/>
        <v>4.239833197731321E-3</v>
      </c>
      <c r="G44" s="3">
        <f t="shared" si="28"/>
        <v>4.239833197731321E-3</v>
      </c>
      <c r="H44" s="3">
        <f t="shared" si="28"/>
        <v>4.239833197731321E-3</v>
      </c>
      <c r="I44" s="3">
        <f t="shared" si="28"/>
        <v>4.239833197731321E-3</v>
      </c>
      <c r="J44" s="3">
        <f t="shared" si="28"/>
        <v>4.239833197731321E-3</v>
      </c>
      <c r="K44" s="3">
        <f t="shared" si="28"/>
        <v>4.239833197731321E-3</v>
      </c>
      <c r="L44" s="3">
        <f t="shared" si="28"/>
        <v>4.239833197731321E-3</v>
      </c>
      <c r="M44" s="3">
        <f t="shared" si="28"/>
        <v>4.239833197731321E-3</v>
      </c>
      <c r="N44" s="3">
        <f t="shared" si="28"/>
        <v>4.239833197731321E-3</v>
      </c>
      <c r="O44" s="3">
        <f t="shared" si="28"/>
        <v>4.239833197731321E-3</v>
      </c>
      <c r="P44" s="3">
        <f t="shared" si="27"/>
        <v>4.239833197731321E-3</v>
      </c>
      <c r="Q44" s="3">
        <f t="shared" si="27"/>
        <v>4.2398331977313202E-3</v>
      </c>
      <c r="R44" s="3">
        <f t="shared" si="27"/>
        <v>4.2398331977313167E-3</v>
      </c>
      <c r="S44" s="3">
        <f t="shared" si="27"/>
        <v>4.2398331977312785E-3</v>
      </c>
      <c r="T44" s="3">
        <f t="shared" si="27"/>
        <v>4.2398331977308969E-3</v>
      </c>
      <c r="U44" s="3">
        <f t="shared" si="27"/>
        <v>4.2398331977270814E-3</v>
      </c>
      <c r="V44" s="3">
        <f t="shared" si="27"/>
        <v>4.2398331976889227E-3</v>
      </c>
      <c r="W44" s="3">
        <f t="shared" si="27"/>
        <v>4.2398331973073373E-3</v>
      </c>
      <c r="X44" s="3">
        <f t="shared" si="27"/>
        <v>4.2398331934914877E-3</v>
      </c>
      <c r="Y44" s="3">
        <f t="shared" si="27"/>
        <v>4.2398331553329897E-3</v>
      </c>
      <c r="Z44" s="3">
        <f t="shared" si="27"/>
        <v>4.2398327737480229E-3</v>
      </c>
      <c r="AA44" s="3">
        <f t="shared" si="27"/>
        <v>4.2398289579002437E-3</v>
      </c>
      <c r="AB44" s="3">
        <f t="shared" si="27"/>
        <v>4.2397907996113348E-3</v>
      </c>
      <c r="AC44" s="3">
        <f t="shared" si="27"/>
        <v>4.2394092356100076E-3</v>
      </c>
      <c r="AD44" s="3">
        <f t="shared" si="27"/>
        <v>4.2355954837437265E-3</v>
      </c>
      <c r="AE44" s="3">
        <f t="shared" si="27"/>
        <v>4.1976461525380978E-3</v>
      </c>
      <c r="AF44" s="3">
        <f t="shared" si="29"/>
        <v>3.8363597235383544E-3</v>
      </c>
      <c r="AG44" s="3">
        <f t="shared" si="29"/>
        <v>1.5597474674415278E-3</v>
      </c>
      <c r="AH44" s="3">
        <f t="shared" si="29"/>
        <v>1.9248812938165353E-7</v>
      </c>
      <c r="AI44" s="3">
        <f t="shared" si="29"/>
        <v>1.5772501621215886E-46</v>
      </c>
      <c r="AJ44" s="3">
        <f t="shared" si="29"/>
        <v>0</v>
      </c>
    </row>
    <row r="45" spans="1:36" x14ac:dyDescent="0.25">
      <c r="A45" s="3">
        <f t="shared" si="30"/>
        <v>10000000000000</v>
      </c>
      <c r="B45" s="17">
        <v>1.9652912236412644E-3</v>
      </c>
      <c r="C45" s="18">
        <f t="shared" si="3"/>
        <v>3.1413173103933909E-3</v>
      </c>
      <c r="D45" s="17"/>
      <c r="F45" s="3">
        <f t="shared" si="28"/>
        <v>3.1413173103933909E-3</v>
      </c>
      <c r="G45" s="3">
        <f t="shared" si="28"/>
        <v>3.1413173103933909E-3</v>
      </c>
      <c r="H45" s="3">
        <f t="shared" si="28"/>
        <v>3.1413173103933909E-3</v>
      </c>
      <c r="I45" s="3">
        <f t="shared" si="28"/>
        <v>3.1413173103933909E-3</v>
      </c>
      <c r="J45" s="3">
        <f t="shared" si="28"/>
        <v>3.1413173103933909E-3</v>
      </c>
      <c r="K45" s="3">
        <f t="shared" si="28"/>
        <v>3.1413173103933909E-3</v>
      </c>
      <c r="L45" s="3">
        <f t="shared" si="28"/>
        <v>3.1413173103933909E-3</v>
      </c>
      <c r="M45" s="3">
        <f t="shared" si="28"/>
        <v>3.1413173103933909E-3</v>
      </c>
      <c r="N45" s="3">
        <f t="shared" si="28"/>
        <v>3.1413173103933909E-3</v>
      </c>
      <c r="O45" s="3">
        <f t="shared" si="28"/>
        <v>3.1413173103933909E-3</v>
      </c>
      <c r="P45" s="3">
        <f t="shared" si="27"/>
        <v>3.1413173103933909E-3</v>
      </c>
      <c r="Q45" s="3">
        <f t="shared" si="27"/>
        <v>3.1413173103933909E-3</v>
      </c>
      <c r="R45" s="3">
        <f t="shared" si="27"/>
        <v>3.1413173103933905E-3</v>
      </c>
      <c r="S45" s="3">
        <f t="shared" si="27"/>
        <v>3.1413173103933879E-3</v>
      </c>
      <c r="T45" s="3">
        <f t="shared" si="27"/>
        <v>3.1413173103933597E-3</v>
      </c>
      <c r="U45" s="3">
        <f t="shared" si="27"/>
        <v>3.1413173103930765E-3</v>
      </c>
      <c r="V45" s="3">
        <f t="shared" si="27"/>
        <v>3.1413173103902498E-3</v>
      </c>
      <c r="W45" s="3">
        <f t="shared" si="27"/>
        <v>3.1413173103619777E-3</v>
      </c>
      <c r="X45" s="3">
        <f t="shared" si="27"/>
        <v>3.141317310079259E-3</v>
      </c>
      <c r="Y45" s="3">
        <f t="shared" si="27"/>
        <v>3.1413173072520739E-3</v>
      </c>
      <c r="Z45" s="3">
        <f t="shared" si="27"/>
        <v>3.1413172789802181E-3</v>
      </c>
      <c r="AA45" s="3">
        <f t="shared" si="27"/>
        <v>3.1413169962616759E-3</v>
      </c>
      <c r="AB45" s="3">
        <f t="shared" si="27"/>
        <v>3.1413141690776513E-3</v>
      </c>
      <c r="AC45" s="3">
        <f t="shared" si="27"/>
        <v>3.1412858973773523E-3</v>
      </c>
      <c r="AD45" s="3">
        <f t="shared" si="27"/>
        <v>3.1410031943684144E-3</v>
      </c>
      <c r="AE45" s="3">
        <f t="shared" si="27"/>
        <v>3.138177563218231E-3</v>
      </c>
      <c r="AF45" s="3">
        <f t="shared" si="29"/>
        <v>3.1100606809083605E-3</v>
      </c>
      <c r="AG45" s="3">
        <f t="shared" si="29"/>
        <v>2.8423814443680208E-3</v>
      </c>
      <c r="AH45" s="3">
        <f t="shared" si="29"/>
        <v>1.1556260566896988E-3</v>
      </c>
      <c r="AI45" s="3">
        <f t="shared" si="29"/>
        <v>1.4261558525353778E-7</v>
      </c>
      <c r="AJ45" s="3">
        <f t="shared" si="29"/>
        <v>1.1685939059452842E-46</v>
      </c>
    </row>
    <row r="46" spans="1:36" x14ac:dyDescent="0.25">
      <c r="A46" s="3">
        <f t="shared" si="30"/>
        <v>100000000000000</v>
      </c>
      <c r="B46" s="17">
        <v>1.41215754749102E-3</v>
      </c>
      <c r="C46" s="18">
        <f t="shared" si="3"/>
        <v>2.257189619316161E-3</v>
      </c>
      <c r="D46" s="17"/>
      <c r="F46" s="3">
        <f t="shared" si="28"/>
        <v>2.257189619316161E-3</v>
      </c>
      <c r="G46" s="3">
        <f t="shared" si="28"/>
        <v>2.257189619316161E-3</v>
      </c>
      <c r="H46" s="3">
        <f t="shared" si="28"/>
        <v>2.257189619316161E-3</v>
      </c>
      <c r="I46" s="3">
        <f t="shared" si="28"/>
        <v>2.257189619316161E-3</v>
      </c>
      <c r="J46" s="3">
        <f t="shared" si="28"/>
        <v>2.257189619316161E-3</v>
      </c>
      <c r="K46" s="3">
        <f t="shared" si="28"/>
        <v>2.257189619316161E-3</v>
      </c>
      <c r="L46" s="3">
        <f t="shared" si="28"/>
        <v>2.257189619316161E-3</v>
      </c>
      <c r="M46" s="3">
        <f t="shared" si="28"/>
        <v>2.257189619316161E-3</v>
      </c>
      <c r="N46" s="3">
        <f t="shared" si="28"/>
        <v>2.257189619316161E-3</v>
      </c>
      <c r="O46" s="3">
        <f t="shared" si="28"/>
        <v>2.257189619316161E-3</v>
      </c>
      <c r="P46" s="3">
        <f t="shared" si="27"/>
        <v>2.257189619316161E-3</v>
      </c>
      <c r="Q46" s="3">
        <f t="shared" si="27"/>
        <v>2.257189619316161E-3</v>
      </c>
      <c r="R46" s="3">
        <f t="shared" si="27"/>
        <v>2.257189619316161E-3</v>
      </c>
      <c r="S46" s="3">
        <f t="shared" si="27"/>
        <v>2.2571896193161606E-3</v>
      </c>
      <c r="T46" s="3">
        <f t="shared" si="27"/>
        <v>2.2571896193161588E-3</v>
      </c>
      <c r="U46" s="3">
        <f t="shared" si="27"/>
        <v>2.2571896193161385E-3</v>
      </c>
      <c r="V46" s="3">
        <f t="shared" si="27"/>
        <v>2.2571896193159351E-3</v>
      </c>
      <c r="W46" s="3">
        <f t="shared" si="27"/>
        <v>2.2571896193139037E-3</v>
      </c>
      <c r="X46" s="3">
        <f t="shared" si="27"/>
        <v>2.2571896192935892E-3</v>
      </c>
      <c r="Y46" s="3">
        <f t="shared" si="27"/>
        <v>2.2571896190904418E-3</v>
      </c>
      <c r="Z46" s="3">
        <f t="shared" si="27"/>
        <v>2.2571896170589714E-3</v>
      </c>
      <c r="AA46" s="3">
        <f t="shared" si="27"/>
        <v>2.2571895967442648E-3</v>
      </c>
      <c r="AB46" s="3">
        <f t="shared" si="27"/>
        <v>2.2571893935972105E-3</v>
      </c>
      <c r="AC46" s="3">
        <f t="shared" si="27"/>
        <v>2.2571873621276702E-3</v>
      </c>
      <c r="AD46" s="3">
        <f t="shared" si="27"/>
        <v>2.2571670475328271E-3</v>
      </c>
      <c r="AE46" s="3">
        <f t="shared" si="27"/>
        <v>2.2569639116398013E-3</v>
      </c>
      <c r="AF46" s="3">
        <f t="shared" si="29"/>
        <v>2.2549335579155503E-3</v>
      </c>
      <c r="AG46" s="3">
        <f t="shared" si="29"/>
        <v>2.2347302073443135E-3</v>
      </c>
      <c r="AH46" s="3">
        <f t="shared" si="29"/>
        <v>2.0423896271596054E-3</v>
      </c>
      <c r="AI46" s="3">
        <f t="shared" si="29"/>
        <v>8.3037365577200996E-4</v>
      </c>
      <c r="AJ46" s="3">
        <f t="shared" si="29"/>
        <v>1.0247625017756364E-7</v>
      </c>
    </row>
    <row r="47" spans="1:36" x14ac:dyDescent="0.25">
      <c r="A47" s="3">
        <f t="shared" si="30"/>
        <v>1000000000000000</v>
      </c>
      <c r="B47" s="17">
        <v>2.2662822644530379E-4</v>
      </c>
      <c r="C47" s="18">
        <f t="shared" si="3"/>
        <v>3.6224207496198294E-4</v>
      </c>
      <c r="D47" s="17"/>
      <c r="F47" s="3">
        <f t="shared" si="28"/>
        <v>3.6224207496198294E-4</v>
      </c>
      <c r="G47" s="3">
        <f t="shared" si="28"/>
        <v>3.6224207496198294E-4</v>
      </c>
      <c r="H47" s="3">
        <f t="shared" si="28"/>
        <v>3.6224207496198294E-4</v>
      </c>
      <c r="I47" s="3">
        <f t="shared" si="28"/>
        <v>3.6224207496198294E-4</v>
      </c>
      <c r="J47" s="3">
        <f t="shared" si="28"/>
        <v>3.6224207496198294E-4</v>
      </c>
      <c r="K47" s="3">
        <f t="shared" si="28"/>
        <v>3.6224207496198294E-4</v>
      </c>
      <c r="L47" s="3">
        <f t="shared" si="28"/>
        <v>3.6224207496198294E-4</v>
      </c>
      <c r="M47" s="3">
        <f t="shared" si="28"/>
        <v>3.6224207496198294E-4</v>
      </c>
      <c r="N47" s="3">
        <f t="shared" si="28"/>
        <v>3.6224207496198294E-4</v>
      </c>
      <c r="O47" s="3">
        <f t="shared" si="28"/>
        <v>3.6224207496198294E-4</v>
      </c>
      <c r="P47" s="3">
        <f t="shared" si="27"/>
        <v>3.6224207496198294E-4</v>
      </c>
      <c r="Q47" s="3">
        <f t="shared" si="27"/>
        <v>3.6224207496198294E-4</v>
      </c>
      <c r="R47" s="3">
        <f t="shared" si="27"/>
        <v>3.6224207496198294E-4</v>
      </c>
      <c r="S47" s="3">
        <f t="shared" si="27"/>
        <v>3.6224207496198294E-4</v>
      </c>
      <c r="T47" s="3">
        <f t="shared" si="27"/>
        <v>3.6224207496198289E-4</v>
      </c>
      <c r="U47" s="3">
        <f t="shared" si="27"/>
        <v>3.6224207496198256E-4</v>
      </c>
      <c r="V47" s="3">
        <f t="shared" si="27"/>
        <v>3.6224207496197931E-4</v>
      </c>
      <c r="W47" s="3">
        <f t="shared" si="27"/>
        <v>3.6224207496194673E-4</v>
      </c>
      <c r="X47" s="3">
        <f t="shared" si="27"/>
        <v>3.6224207496162071E-4</v>
      </c>
      <c r="Y47" s="3">
        <f t="shared" si="27"/>
        <v>3.6224207495836051E-4</v>
      </c>
      <c r="Z47" s="3">
        <f t="shared" si="27"/>
        <v>3.6224207492575872E-4</v>
      </c>
      <c r="AA47" s="3">
        <f t="shared" si="27"/>
        <v>3.6224207459974086E-4</v>
      </c>
      <c r="AB47" s="3">
        <f t="shared" si="27"/>
        <v>3.6224207133956222E-4</v>
      </c>
      <c r="AC47" s="3">
        <f t="shared" si="27"/>
        <v>3.6224203873777729E-4</v>
      </c>
      <c r="AD47" s="3">
        <f t="shared" si="27"/>
        <v>3.6224171272008913E-4</v>
      </c>
      <c r="AE47" s="3">
        <f t="shared" si="27"/>
        <v>3.6223845255934538E-4</v>
      </c>
      <c r="AF47" s="3">
        <f t="shared" si="29"/>
        <v>3.6220585256563673E-4</v>
      </c>
      <c r="AG47" s="3">
        <f t="shared" si="29"/>
        <v>3.6188001394769985E-4</v>
      </c>
      <c r="AH47" s="3">
        <f t="shared" si="29"/>
        <v>3.5863770609306491E-4</v>
      </c>
      <c r="AI47" s="3">
        <f t="shared" si="29"/>
        <v>3.2777018381258913E-4</v>
      </c>
      <c r="AJ47" s="3">
        <f t="shared" si="29"/>
        <v>1.33261412105798E-4</v>
      </c>
    </row>
    <row r="48" spans="1:36" x14ac:dyDescent="0.25">
      <c r="A48" s="3">
        <f t="shared" si="30"/>
        <v>1E+16</v>
      </c>
      <c r="B48" s="17">
        <v>0</v>
      </c>
      <c r="C48" s="18">
        <f t="shared" si="3"/>
        <v>0</v>
      </c>
      <c r="D48" s="17"/>
      <c r="F48" s="3">
        <f t="shared" si="28"/>
        <v>0</v>
      </c>
      <c r="G48" s="3">
        <f t="shared" si="28"/>
        <v>0</v>
      </c>
      <c r="H48" s="3">
        <f t="shared" si="28"/>
        <v>0</v>
      </c>
      <c r="I48" s="3">
        <f t="shared" si="28"/>
        <v>0</v>
      </c>
      <c r="J48" s="3">
        <f t="shared" si="28"/>
        <v>0</v>
      </c>
      <c r="K48" s="3">
        <f t="shared" si="28"/>
        <v>0</v>
      </c>
      <c r="L48" s="3">
        <f t="shared" si="28"/>
        <v>0</v>
      </c>
      <c r="M48" s="3">
        <f t="shared" si="28"/>
        <v>0</v>
      </c>
      <c r="N48" s="3">
        <f t="shared" si="28"/>
        <v>0</v>
      </c>
      <c r="O48" s="3">
        <f t="shared" si="28"/>
        <v>0</v>
      </c>
      <c r="P48" s="3">
        <f t="shared" si="27"/>
        <v>0</v>
      </c>
      <c r="Q48" s="3">
        <f t="shared" si="27"/>
        <v>0</v>
      </c>
      <c r="R48" s="3">
        <f t="shared" si="27"/>
        <v>0</v>
      </c>
      <c r="S48" s="3">
        <f t="shared" si="27"/>
        <v>0</v>
      </c>
      <c r="T48" s="3">
        <f t="shared" si="27"/>
        <v>0</v>
      </c>
      <c r="U48" s="3">
        <f t="shared" si="27"/>
        <v>0</v>
      </c>
      <c r="V48" s="3">
        <f t="shared" si="27"/>
        <v>0</v>
      </c>
      <c r="W48" s="3">
        <f t="shared" si="27"/>
        <v>0</v>
      </c>
      <c r="X48" s="3">
        <f t="shared" si="27"/>
        <v>0</v>
      </c>
      <c r="Y48" s="3">
        <f t="shared" si="27"/>
        <v>0</v>
      </c>
      <c r="Z48" s="3">
        <f t="shared" si="27"/>
        <v>0</v>
      </c>
      <c r="AA48" s="3">
        <f t="shared" si="27"/>
        <v>0</v>
      </c>
      <c r="AB48" s="3">
        <f t="shared" si="27"/>
        <v>0</v>
      </c>
      <c r="AC48" s="3">
        <f t="shared" si="27"/>
        <v>0</v>
      </c>
      <c r="AD48" s="3">
        <f t="shared" si="27"/>
        <v>0</v>
      </c>
      <c r="AE48" s="3">
        <f t="shared" si="27"/>
        <v>0</v>
      </c>
      <c r="AF48" s="3">
        <f t="shared" si="29"/>
        <v>0</v>
      </c>
      <c r="AG48" s="3">
        <f t="shared" si="29"/>
        <v>0</v>
      </c>
      <c r="AH48" s="3">
        <f t="shared" si="29"/>
        <v>0</v>
      </c>
      <c r="AI48" s="3">
        <f t="shared" si="29"/>
        <v>0</v>
      </c>
      <c r="AJ48" s="3">
        <f t="shared" si="29"/>
        <v>0</v>
      </c>
    </row>
    <row r="49" spans="1:36" x14ac:dyDescent="0.25">
      <c r="B49" s="16">
        <f>SUM(B17:B48)</f>
        <v>0.6256264584093062</v>
      </c>
      <c r="C49" s="18">
        <f>SUM(C17:C48)</f>
        <v>1</v>
      </c>
      <c r="F49" s="3">
        <f t="shared" ref="F49:AJ49" si="31">F16-F17</f>
        <v>71.88207970278927</v>
      </c>
      <c r="G49" s="3">
        <f t="shared" si="31"/>
        <v>-92.989657859343424</v>
      </c>
      <c r="H49" s="3">
        <f t="shared" si="31"/>
        <v>24.633111945928249</v>
      </c>
      <c r="I49" s="3">
        <f t="shared" si="31"/>
        <v>-4.0320364970848459</v>
      </c>
      <c r="J49" s="3">
        <f t="shared" si="31"/>
        <v>0.56444295586879889</v>
      </c>
      <c r="K49" s="3">
        <f t="shared" si="31"/>
        <v>-5.6230765723739751E-2</v>
      </c>
      <c r="L49" s="3">
        <f t="shared" si="31"/>
        <v>-5.4603389053227147E-3</v>
      </c>
      <c r="M49" s="3">
        <f t="shared" si="31"/>
        <v>6.2750184088145033E-2</v>
      </c>
      <c r="N49" s="3">
        <f t="shared" si="31"/>
        <v>-0.18610694844210229</v>
      </c>
      <c r="O49" s="3">
        <f t="shared" si="31"/>
        <v>0.3437931255557487</v>
      </c>
      <c r="P49" s="3">
        <f t="shared" si="31"/>
        <v>-0.60143696395971347</v>
      </c>
      <c r="Q49" s="3">
        <f t="shared" si="31"/>
        <v>0.8910898779231502</v>
      </c>
      <c r="R49" s="3">
        <f t="shared" si="31"/>
        <v>-1.0954145440991852</v>
      </c>
      <c r="S49" s="3">
        <f t="shared" si="31"/>
        <v>1.152606391567133</v>
      </c>
      <c r="T49" s="3">
        <f t="shared" si="31"/>
        <v>-1.0296346928707862</v>
      </c>
      <c r="U49" s="3">
        <f t="shared" si="31"/>
        <v>0.80455491087741393</v>
      </c>
      <c r="V49" s="3">
        <f t="shared" si="31"/>
        <v>-0.54502129433149094</v>
      </c>
      <c r="W49" s="3">
        <f t="shared" si="31"/>
        <v>0.31090625378510595</v>
      </c>
      <c r="X49" s="3">
        <f t="shared" si="31"/>
        <v>-0.15697908023912532</v>
      </c>
      <c r="Y49" s="3">
        <f t="shared" si="31"/>
        <v>7.7319589870512573E-2</v>
      </c>
      <c r="Z49" s="3">
        <f t="shared" si="31"/>
        <v>-5.2298321991656849E-2</v>
      </c>
      <c r="AA49" s="3">
        <f t="shared" si="31"/>
        <v>6.6549795224091213E-2</v>
      </c>
      <c r="AB49" s="3">
        <f t="shared" si="31"/>
        <v>-0.11167747671129291</v>
      </c>
      <c r="AC49" s="3">
        <f t="shared" si="31"/>
        <v>0.13292634028971406</v>
      </c>
      <c r="AD49" s="3">
        <f t="shared" si="31"/>
        <v>-0.11473553025552974</v>
      </c>
      <c r="AE49" s="3">
        <f t="shared" si="31"/>
        <v>9.6417195168328362E-2</v>
      </c>
      <c r="AF49" s="3">
        <f t="shared" si="31"/>
        <v>-8.9635277298157234E-2</v>
      </c>
      <c r="AG49" s="3">
        <f t="shared" si="31"/>
        <v>6.9892967207806578E-2</v>
      </c>
      <c r="AH49" s="3">
        <f t="shared" si="31"/>
        <v>-6.3520560951246807E-2</v>
      </c>
      <c r="AI49" s="3">
        <f t="shared" si="31"/>
        <v>9.1837496054381518E-2</v>
      </c>
      <c r="AJ49" s="3">
        <f t="shared" si="31"/>
        <v>-6.6702809575190258E-2</v>
      </c>
    </row>
    <row r="50" spans="1:36" x14ac:dyDescent="0.25">
      <c r="F50" s="57">
        <f t="shared" ref="F50:AJ50" si="32">F49/F17</f>
        <v>7.6070308821791889E-3</v>
      </c>
      <c r="G50" s="57">
        <f t="shared" si="32"/>
        <v>-9.9369724609433708E-3</v>
      </c>
      <c r="H50" s="57">
        <f t="shared" si="32"/>
        <v>2.7322501249307071E-3</v>
      </c>
      <c r="I50" s="57">
        <f t="shared" si="32"/>
        <v>-4.5820064564415844E-4</v>
      </c>
      <c r="J50" s="57">
        <f t="shared" si="32"/>
        <v>6.6155012506301542E-5</v>
      </c>
      <c r="K50" s="57">
        <f t="shared" si="32"/>
        <v>-6.8205680260549786E-6</v>
      </c>
      <c r="L50" s="57">
        <f t="shared" si="32"/>
        <v>-6.8612012737349308E-7</v>
      </c>
      <c r="M50" s="57">
        <f t="shared" si="32"/>
        <v>8.1628234618105524E-6</v>
      </c>
      <c r="N50" s="57">
        <f t="shared" si="32"/>
        <v>-2.5236355229305075E-5</v>
      </c>
      <c r="O50" s="57">
        <f t="shared" si="32"/>
        <v>4.9072563254423138E-5</v>
      </c>
      <c r="P50" s="57">
        <f t="shared" si="32"/>
        <v>-9.0721589128587562E-5</v>
      </c>
      <c r="Q50" s="57">
        <f t="shared" si="32"/>
        <v>1.4120791794255258E-4</v>
      </c>
      <c r="R50" s="57">
        <f t="shared" si="32"/>
        <v>-1.816809625272063E-4</v>
      </c>
      <c r="S50" s="57">
        <f t="shared" si="32"/>
        <v>2.0053851716516708E-4</v>
      </c>
      <c r="T50" s="57">
        <f t="shared" si="32"/>
        <v>-1.8834281938489723E-4</v>
      </c>
      <c r="U50" s="57">
        <f t="shared" si="32"/>
        <v>1.5496490089928936E-4</v>
      </c>
      <c r="V50" s="57">
        <f t="shared" si="32"/>
        <v>-1.1160576113058392E-4</v>
      </c>
      <c r="W50" s="57">
        <f t="shared" si="32"/>
        <v>6.9071415142086469E-5</v>
      </c>
      <c r="X50" s="57">
        <f t="shared" si="32"/>
        <v>-3.8600456952571657E-5</v>
      </c>
      <c r="Y50" s="57">
        <f t="shared" si="32"/>
        <v>2.149264148642764E-5</v>
      </c>
      <c r="Z50" s="57">
        <f t="shared" si="32"/>
        <v>-1.6856701655909843E-5</v>
      </c>
      <c r="AA50" s="57">
        <f t="shared" si="32"/>
        <v>2.5909439780687245E-5</v>
      </c>
      <c r="AB50" s="57">
        <f t="shared" si="32"/>
        <v>-5.5815201820686397E-5</v>
      </c>
      <c r="AC50" s="57">
        <f t="shared" si="32"/>
        <v>9.058807466986821E-5</v>
      </c>
      <c r="AD50" s="57">
        <f t="shared" si="32"/>
        <v>-1.0834968120501026E-4</v>
      </c>
      <c r="AE50" s="57">
        <f t="shared" si="32"/>
        <v>1.2183454816388548E-4</v>
      </c>
      <c r="AF50" s="57">
        <f t="shared" si="32"/>
        <v>-1.3666211399533269E-4</v>
      </c>
      <c r="AG50" s="57">
        <f t="shared" si="32"/>
        <v>1.1940122795752181E-4</v>
      </c>
      <c r="AH50" s="57">
        <f t="shared" si="32"/>
        <v>-1.1543040817299337E-4</v>
      </c>
      <c r="AI50" s="57">
        <f t="shared" si="32"/>
        <v>1.7464305208160749E-4</v>
      </c>
      <c r="AJ50" s="57">
        <f t="shared" si="32"/>
        <v>-1.294152069873227E-4</v>
      </c>
    </row>
    <row r="51" spans="1:36" x14ac:dyDescent="0.25">
      <c r="A51" s="13" t="s">
        <v>21</v>
      </c>
      <c r="B51" s="3">
        <f>STUTT!D8</f>
        <v>10187.300999999999</v>
      </c>
      <c r="E51" s="11" t="s">
        <v>24</v>
      </c>
      <c r="F51" s="20">
        <f t="shared" ref="F51:AJ51" si="33">(F16-F17)^2</f>
        <v>5167.0333823981491</v>
      </c>
      <c r="G51" s="20">
        <f t="shared" si="33"/>
        <v>8647.0764687977498</v>
      </c>
      <c r="H51" s="20">
        <f t="shared" si="33"/>
        <v>606.79020414063302</v>
      </c>
      <c r="I51" s="20">
        <f t="shared" si="33"/>
        <v>16.257318313824236</v>
      </c>
      <c r="J51" s="20">
        <f t="shared" si="33"/>
        <v>0.31859585042990685</v>
      </c>
      <c r="K51" s="20">
        <f t="shared" si="33"/>
        <v>3.1618990138781054E-3</v>
      </c>
      <c r="L51" s="20">
        <f t="shared" si="33"/>
        <v>2.9815300960980863E-5</v>
      </c>
      <c r="M51" s="20">
        <f t="shared" si="33"/>
        <v>3.93758560309609E-3</v>
      </c>
      <c r="N51" s="20">
        <f t="shared" si="33"/>
        <v>3.4635796258431321E-2</v>
      </c>
      <c r="O51" s="20">
        <f t="shared" si="33"/>
        <v>0.11819371317939079</v>
      </c>
      <c r="P51" s="20">
        <f t="shared" si="33"/>
        <v>0.36172642161707769</v>
      </c>
      <c r="Q51" s="20">
        <f t="shared" si="33"/>
        <v>0.79404117053709478</v>
      </c>
      <c r="R51" s="20">
        <f t="shared" si="33"/>
        <v>1.1999330234240257</v>
      </c>
      <c r="S51" s="20">
        <f t="shared" si="33"/>
        <v>1.328501493881407</v>
      </c>
      <c r="T51" s="20">
        <f t="shared" si="33"/>
        <v>1.0601476007631183</v>
      </c>
      <c r="U51" s="20">
        <f t="shared" si="33"/>
        <v>0.64730860461696349</v>
      </c>
      <c r="V51" s="20">
        <f t="shared" si="33"/>
        <v>0.29704821127477365</v>
      </c>
      <c r="W51" s="20">
        <f t="shared" si="33"/>
        <v>9.6662698642688699E-2</v>
      </c>
      <c r="X51" s="20">
        <f t="shared" si="33"/>
        <v>2.4642431632721746E-2</v>
      </c>
      <c r="Y51" s="20">
        <f t="shared" si="33"/>
        <v>5.9783189777442708E-3</v>
      </c>
      <c r="Z51" s="20">
        <f t="shared" si="33"/>
        <v>2.7351144831430185E-3</v>
      </c>
      <c r="AA51" s="20">
        <f t="shared" si="33"/>
        <v>4.4288752443684739E-3</v>
      </c>
      <c r="AB51" s="20">
        <f t="shared" si="33"/>
        <v>1.2471858804601371E-2</v>
      </c>
      <c r="AC51" s="20">
        <f t="shared" si="33"/>
        <v>1.7669411942816859E-2</v>
      </c>
      <c r="AD51" s="20">
        <f t="shared" si="33"/>
        <v>1.3164241903017579E-2</v>
      </c>
      <c r="AE51" s="20">
        <f t="shared" si="33"/>
        <v>9.2962755241275223E-3</v>
      </c>
      <c r="AF51" s="20">
        <f t="shared" si="33"/>
        <v>8.0344829363175416E-3</v>
      </c>
      <c r="AG51" s="20">
        <f t="shared" si="33"/>
        <v>4.8850268651115256E-3</v>
      </c>
      <c r="AH51" s="20">
        <f t="shared" si="33"/>
        <v>4.034861663561061E-3</v>
      </c>
      <c r="AI51" s="20">
        <f t="shared" si="33"/>
        <v>8.4341256815385415E-3</v>
      </c>
      <c r="AJ51" s="20">
        <f t="shared" si="33"/>
        <v>4.4492648052240928E-3</v>
      </c>
    </row>
    <row r="52" spans="1:36" x14ac:dyDescent="0.25">
      <c r="A52" s="13"/>
    </row>
    <row r="53" spans="1:36" x14ac:dyDescent="0.25">
      <c r="E53" s="108" t="s">
        <v>25</v>
      </c>
      <c r="F53" s="108"/>
      <c r="G53" s="21">
        <f>SUM(F51:AJ51)</f>
        <v>14443.541521825364</v>
      </c>
      <c r="I53" s="3">
        <f>G53+C123</f>
        <v>14443.541521825364</v>
      </c>
      <c r="K53" s="3">
        <f>SUM(Z51:AJ51)</f>
        <v>8.9603539853827574E-2</v>
      </c>
    </row>
    <row r="55" spans="1:36" x14ac:dyDescent="0.25">
      <c r="E55" s="30" t="s">
        <v>30</v>
      </c>
      <c r="F55" s="31">
        <f t="shared" ref="F55:AJ55" si="34">ABS(F17-F16)/F16</f>
        <v>7.5496008354756002E-3</v>
      </c>
      <c r="G55" s="31">
        <f t="shared" si="34"/>
        <v>1.0036706941418809E-2</v>
      </c>
      <c r="H55" s="31">
        <f t="shared" si="34"/>
        <v>2.7248052753766475E-3</v>
      </c>
      <c r="I55" s="31">
        <f t="shared" si="34"/>
        <v>4.584106897181575E-4</v>
      </c>
      <c r="J55" s="31">
        <f t="shared" si="34"/>
        <v>6.6150636310129148E-5</v>
      </c>
      <c r="K55" s="31">
        <f t="shared" si="34"/>
        <v>6.8206145465204725E-6</v>
      </c>
      <c r="L55" s="31">
        <f t="shared" si="34"/>
        <v>6.8612059813464526E-7</v>
      </c>
      <c r="M55" s="31">
        <f t="shared" si="34"/>
        <v>8.1627568306675817E-6</v>
      </c>
      <c r="N55" s="31">
        <f t="shared" si="34"/>
        <v>2.5236992119003108E-5</v>
      </c>
      <c r="O55" s="31">
        <f t="shared" si="34"/>
        <v>4.907015525612543E-5</v>
      </c>
      <c r="P55" s="31">
        <f t="shared" si="34"/>
        <v>9.0729820282064893E-5</v>
      </c>
      <c r="Q55" s="31">
        <f t="shared" si="34"/>
        <v>1.4118798108170552E-4</v>
      </c>
      <c r="R55" s="31">
        <f t="shared" si="34"/>
        <v>1.8171397649736099E-4</v>
      </c>
      <c r="S55" s="31">
        <f t="shared" si="34"/>
        <v>2.0049830953147951E-4</v>
      </c>
      <c r="T55" s="31">
        <f t="shared" si="34"/>
        <v>1.883782990848578E-4</v>
      </c>
      <c r="U55" s="31">
        <f t="shared" si="34"/>
        <v>1.5494089049954783E-4</v>
      </c>
      <c r="V55" s="31">
        <f t="shared" si="34"/>
        <v>1.1161821836680078E-4</v>
      </c>
      <c r="W55" s="31">
        <f t="shared" si="34"/>
        <v>6.9066644611204061E-5</v>
      </c>
      <c r="X55" s="31">
        <f t="shared" si="34"/>
        <v>3.8601947005365326E-5</v>
      </c>
      <c r="Y55" s="31">
        <f t="shared" si="34"/>
        <v>2.1492179562717536E-5</v>
      </c>
      <c r="Z55" s="31">
        <f t="shared" si="34"/>
        <v>1.6856985809090442E-5</v>
      </c>
      <c r="AA55" s="31">
        <f t="shared" si="34"/>
        <v>2.5908768499010027E-5</v>
      </c>
      <c r="AB55" s="31">
        <f t="shared" si="34"/>
        <v>5.5818317331333533E-5</v>
      </c>
      <c r="AC55" s="31">
        <f t="shared" si="34"/>
        <v>9.0579869213912274E-5</v>
      </c>
      <c r="AD55" s="31">
        <f t="shared" si="34"/>
        <v>1.0836142213055303E-4</v>
      </c>
      <c r="AE55" s="31">
        <f t="shared" si="34"/>
        <v>1.2181970631500915E-4</v>
      </c>
      <c r="AF55" s="31">
        <f t="shared" si="34"/>
        <v>1.3668079308145776E-4</v>
      </c>
      <c r="AG55" s="31">
        <f t="shared" si="34"/>
        <v>1.1938697300634273E-4</v>
      </c>
      <c r="AH55" s="31">
        <f t="shared" si="34"/>
        <v>1.1544373389031734E-4</v>
      </c>
      <c r="AI55" s="31">
        <f t="shared" si="34"/>
        <v>1.7461255721168425E-4</v>
      </c>
      <c r="AJ55" s="31">
        <f t="shared" si="34"/>
        <v>1.2943195745088699E-4</v>
      </c>
    </row>
    <row r="56" spans="1:36" x14ac:dyDescent="0.25">
      <c r="E56" s="13" t="s">
        <v>31</v>
      </c>
      <c r="F56" s="32">
        <f>AVERAGE(F55:AJ55)</f>
        <v>7.489929151004032E-4</v>
      </c>
    </row>
    <row r="57" spans="1:36" x14ac:dyDescent="0.25">
      <c r="A57" s="42"/>
      <c r="B57" s="15"/>
      <c r="C57" s="15"/>
      <c r="D57" s="15"/>
      <c r="F57" s="60">
        <f>AVERAGE(S55:X55)</f>
        <v>1.2718405151654254E-4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09"/>
      <c r="D63" s="109"/>
      <c r="E63" s="109"/>
      <c r="F63" s="109"/>
      <c r="G63" s="109"/>
      <c r="H63" s="109"/>
      <c r="I63" s="109"/>
    </row>
    <row r="64" spans="1:36" x14ac:dyDescent="0.25">
      <c r="A64" s="42">
        <f>10^A65</f>
        <v>1.0000000000000001E-5</v>
      </c>
      <c r="B64" s="42">
        <f>10^B65</f>
        <v>100000</v>
      </c>
      <c r="C64" s="15"/>
      <c r="D64" s="15"/>
      <c r="E64" s="15"/>
      <c r="F64" s="15"/>
      <c r="G64" s="15"/>
      <c r="H64" s="15"/>
      <c r="I64" s="15"/>
    </row>
    <row r="65" spans="1:13" x14ac:dyDescent="0.25">
      <c r="A65" s="15">
        <v>-5</v>
      </c>
      <c r="B65" s="43">
        <v>5</v>
      </c>
      <c r="C65" s="15"/>
      <c r="D65" s="15"/>
      <c r="E65" s="15"/>
      <c r="F65" s="15"/>
      <c r="G65" s="15"/>
      <c r="H65" s="15"/>
      <c r="I65" s="15"/>
    </row>
    <row r="66" spans="1:13" x14ac:dyDescent="0.25">
      <c r="A66" s="15"/>
      <c r="B66" s="15"/>
      <c r="C66" s="15"/>
      <c r="D66" s="15"/>
      <c r="E66" s="15"/>
      <c r="F66" s="15"/>
      <c r="G66" s="15"/>
      <c r="H66" s="15"/>
      <c r="I66" s="15"/>
    </row>
    <row r="67" spans="1:13" x14ac:dyDescent="0.25">
      <c r="A67" s="15"/>
      <c r="B67" s="42"/>
      <c r="C67" s="42"/>
      <c r="D67" s="44"/>
      <c r="E67" s="74"/>
      <c r="F67" s="44"/>
      <c r="G67" s="45"/>
      <c r="H67" s="44"/>
      <c r="I67" s="44"/>
    </row>
    <row r="68" spans="1:13" x14ac:dyDescent="0.25">
      <c r="A68" s="15"/>
      <c r="B68" s="42"/>
      <c r="C68" s="42"/>
      <c r="D68" s="46"/>
      <c r="E68" s="74"/>
      <c r="F68" s="46"/>
      <c r="G68" s="46"/>
      <c r="H68" s="46"/>
      <c r="I68" s="46"/>
      <c r="L68" s="11" t="s">
        <v>28</v>
      </c>
      <c r="M68" s="11" t="s">
        <v>29</v>
      </c>
    </row>
    <row r="69" spans="1:13" x14ac:dyDescent="0.25">
      <c r="A69" s="15"/>
      <c r="B69" s="42"/>
      <c r="C69" s="42"/>
      <c r="D69" s="47"/>
      <c r="E69" s="74"/>
      <c r="F69" s="47"/>
      <c r="G69" s="47"/>
      <c r="H69" s="47"/>
      <c r="I69" s="47"/>
    </row>
    <row r="70" spans="1:13" x14ac:dyDescent="0.25">
      <c r="A70" s="15"/>
      <c r="B70" s="42"/>
      <c r="C70" s="42"/>
      <c r="D70" s="47"/>
      <c r="E70" s="74"/>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64"/>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5"/>
      <c r="E77" s="59"/>
      <c r="F77" s="47"/>
      <c r="G77" s="47"/>
      <c r="H77" s="47"/>
      <c r="I77" s="47"/>
    </row>
    <row r="78" spans="1:13" x14ac:dyDescent="0.25">
      <c r="A78" s="58"/>
      <c r="B78" s="58"/>
      <c r="C78" s="79"/>
      <c r="D78" s="59"/>
      <c r="E78" s="82"/>
      <c r="F78" s="47"/>
      <c r="G78" s="47"/>
      <c r="H78" s="47"/>
      <c r="I78" s="47"/>
    </row>
    <row r="79" spans="1:13" x14ac:dyDescent="0.25">
      <c r="A79" s="58"/>
      <c r="B79" s="58"/>
      <c r="C79" s="79"/>
      <c r="D79" s="58"/>
      <c r="E79" s="82"/>
      <c r="F79" s="15"/>
      <c r="G79" s="15"/>
      <c r="H79" s="15"/>
      <c r="I79" s="15"/>
    </row>
    <row r="80" spans="1:13" x14ac:dyDescent="0.25">
      <c r="A80" s="58"/>
      <c r="B80" s="58"/>
      <c r="C80" s="79"/>
      <c r="D80" s="58"/>
      <c r="E80" s="82"/>
      <c r="F80" s="15"/>
      <c r="G80" s="15"/>
      <c r="H80" s="15"/>
      <c r="I80" s="15"/>
    </row>
    <row r="81" spans="1:9" x14ac:dyDescent="0.25">
      <c r="A81" s="58"/>
      <c r="B81" s="58"/>
      <c r="C81" s="79"/>
      <c r="D81" s="58"/>
      <c r="E81" s="82"/>
      <c r="F81" s="15"/>
      <c r="G81" s="15"/>
      <c r="H81" s="15"/>
      <c r="I81" s="15"/>
    </row>
    <row r="82" spans="1:9" x14ac:dyDescent="0.25">
      <c r="A82" s="58"/>
      <c r="B82" s="58"/>
      <c r="C82" s="79"/>
      <c r="D82" s="40"/>
      <c r="E82" s="82"/>
    </row>
    <row r="83" spans="1:9" x14ac:dyDescent="0.25">
      <c r="A83" s="58"/>
      <c r="B83" s="58"/>
      <c r="C83" s="79"/>
      <c r="D83" s="40"/>
      <c r="E83" s="82"/>
    </row>
    <row r="84" spans="1:9" x14ac:dyDescent="0.25">
      <c r="A84" s="58"/>
      <c r="B84" s="58"/>
      <c r="C84" s="79"/>
      <c r="D84" s="40"/>
      <c r="E84" s="82"/>
    </row>
    <row r="85" spans="1:9" x14ac:dyDescent="0.25">
      <c r="A85" s="58"/>
      <c r="B85" s="58"/>
      <c r="C85" s="79"/>
      <c r="D85" s="40"/>
      <c r="E85" s="82"/>
      <c r="H85" s="23"/>
    </row>
    <row r="86" spans="1:9" x14ac:dyDescent="0.25">
      <c r="A86" s="58"/>
      <c r="B86" s="58"/>
      <c r="C86" s="79"/>
      <c r="E86" s="82"/>
      <c r="H86" s="3"/>
    </row>
    <row r="87" spans="1:9" x14ac:dyDescent="0.25">
      <c r="A87" s="58"/>
      <c r="B87" s="58"/>
      <c r="C87" s="79"/>
      <c r="E87" s="82"/>
      <c r="H87" s="3"/>
    </row>
    <row r="88" spans="1:9" x14ac:dyDescent="0.25">
      <c r="A88" s="58"/>
    </row>
    <row r="89" spans="1:9" x14ac:dyDescent="0.25">
      <c r="A89" s="58"/>
    </row>
    <row r="90" spans="1:9" x14ac:dyDescent="0.25">
      <c r="A90" s="58"/>
      <c r="C90" s="3"/>
      <c r="D90" s="57"/>
      <c r="E90" s="3"/>
    </row>
    <row r="91" spans="1:9" x14ac:dyDescent="0.25">
      <c r="A91" s="58"/>
      <c r="D91" s="76"/>
      <c r="E91" s="3"/>
    </row>
    <row r="92" spans="1:9" x14ac:dyDescent="0.25">
      <c r="A92" s="58"/>
      <c r="D92" s="76"/>
      <c r="E92" s="3"/>
    </row>
    <row r="93" spans="1:9" x14ac:dyDescent="0.25">
      <c r="A93" s="58"/>
      <c r="D93" s="76"/>
      <c r="E93" s="3"/>
    </row>
    <row r="94" spans="1:9" x14ac:dyDescent="0.25">
      <c r="A94" s="58"/>
      <c r="D94" s="76"/>
      <c r="E94" s="3"/>
    </row>
    <row r="95" spans="1:9" x14ac:dyDescent="0.25">
      <c r="A95" s="58"/>
      <c r="D95" s="3"/>
    </row>
    <row r="96" spans="1:9" x14ac:dyDescent="0.25">
      <c r="A96" s="58"/>
      <c r="D96" s="60"/>
      <c r="E96" s="3"/>
    </row>
    <row r="97" spans="1:9" x14ac:dyDescent="0.25">
      <c r="D97" s="57"/>
      <c r="E97" s="29"/>
      <c r="F97" s="3"/>
    </row>
    <row r="100" spans="1:9" x14ac:dyDescent="0.25">
      <c r="A100" s="110"/>
    </row>
    <row r="101" spans="1:9" x14ac:dyDescent="0.25">
      <c r="A101" s="11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-8.182560759440511</v>
      </c>
    </row>
    <row r="119" spans="1:14" x14ac:dyDescent="0.25">
      <c r="L119" s="11">
        <f>L118+1</f>
        <v>2</v>
      </c>
      <c r="M119" s="11">
        <f t="shared" ref="M119:M124" si="35">INDEX($B$125:$K$126,1,L119)</f>
        <v>0</v>
      </c>
      <c r="N119" s="11">
        <f t="shared" ref="N119:N124" si="36">IF(L119=$B$3,0,INDEX($B$125:$K$126,2,L119))</f>
        <v>-4.7521073951098307</v>
      </c>
    </row>
    <row r="120" spans="1:14" x14ac:dyDescent="0.25">
      <c r="L120" s="11">
        <f t="shared" ref="L120:L124" si="37">L119+1</f>
        <v>3</v>
      </c>
      <c r="M120" s="11">
        <f t="shared" si="35"/>
        <v>25</v>
      </c>
      <c r="N120" s="11">
        <f t="shared" si="36"/>
        <v>-2.2047123795352914</v>
      </c>
    </row>
    <row r="121" spans="1:14" x14ac:dyDescent="0.25">
      <c r="A121" s="3">
        <f>(A165+A204+A243+A282+A321+A360+A399)*10^9</f>
        <v>67973486108708.789</v>
      </c>
      <c r="L121" s="11">
        <f t="shared" si="37"/>
        <v>4</v>
      </c>
      <c r="M121" s="11">
        <f t="shared" si="35"/>
        <v>50</v>
      </c>
      <c r="N121" s="11">
        <f t="shared" si="36"/>
        <v>0</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2.8005690794340423</v>
      </c>
    </row>
    <row r="123" spans="1:14" x14ac:dyDescent="0.25">
      <c r="A123" s="108"/>
      <c r="B123" s="108"/>
      <c r="C123" s="3"/>
      <c r="D123" s="3"/>
      <c r="E123" s="3"/>
      <c r="F123" s="3"/>
      <c r="G123" s="3"/>
      <c r="H123" s="3"/>
      <c r="I123" s="3"/>
      <c r="J123" s="3"/>
      <c r="K123" s="3"/>
      <c r="L123" s="11">
        <f t="shared" si="37"/>
        <v>6</v>
      </c>
      <c r="M123" s="11">
        <f t="shared" si="35"/>
        <v>125</v>
      </c>
      <c r="N123" s="11">
        <f t="shared" si="36"/>
        <v>8.6264511517362088</v>
      </c>
    </row>
    <row r="124" spans="1:14" x14ac:dyDescent="0.25">
      <c r="B124" s="3"/>
      <c r="C124" s="3"/>
      <c r="D124" s="3"/>
      <c r="E124" s="3"/>
      <c r="F124" s="3"/>
      <c r="G124" s="3"/>
      <c r="H124" s="3"/>
      <c r="I124" s="3"/>
      <c r="J124" s="3"/>
      <c r="K124" s="3"/>
      <c r="L124" s="11">
        <f t="shared" si="37"/>
        <v>7</v>
      </c>
      <c r="M124" s="11">
        <f t="shared" si="35"/>
        <v>160</v>
      </c>
      <c r="N124" s="11">
        <f t="shared" si="36"/>
        <v>14.295562173308721</v>
      </c>
    </row>
    <row r="125" spans="1:14" x14ac:dyDescent="0.25">
      <c r="A125" s="65"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7" t="s">
        <v>40</v>
      </c>
      <c r="B126" s="3">
        <v>-8.182560759440511</v>
      </c>
      <c r="C126" s="3">
        <v>-4.7521073951098307</v>
      </c>
      <c r="D126" s="3">
        <v>-2.2047123795352914</v>
      </c>
      <c r="E126" s="3">
        <v>8.0890148012677469E-3</v>
      </c>
      <c r="F126" s="3">
        <v>2.8005690794340423</v>
      </c>
      <c r="G126" s="3">
        <v>8.6264511517362088</v>
      </c>
      <c r="H126" s="3">
        <v>14.295562173308721</v>
      </c>
      <c r="I126" s="3"/>
      <c r="J126" s="3"/>
      <c r="K126" s="3"/>
    </row>
    <row r="127" spans="1:14" x14ac:dyDescent="0.25">
      <c r="B127" s="38"/>
      <c r="C127" s="38"/>
      <c r="D127" s="38"/>
      <c r="E127" s="38"/>
      <c r="F127" s="38"/>
      <c r="G127" s="38"/>
      <c r="H127" s="38"/>
      <c r="I127" s="38"/>
      <c r="J127" s="38"/>
      <c r="K127" s="38"/>
    </row>
    <row r="128" spans="1:14" x14ac:dyDescent="0.25">
      <c r="A128" s="67" t="s">
        <v>27</v>
      </c>
      <c r="B128" s="11">
        <f>INDEX($D$1:$M$1,1,$B$122)</f>
        <v>-40</v>
      </c>
    </row>
    <row r="129" spans="1:33" x14ac:dyDescent="0.25">
      <c r="A129" s="68"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10218.668827091791</v>
      </c>
      <c r="C130" s="26">
        <f>INDEX(Comparison!$AM$3:$AS$33,G14,$B$122)</f>
        <v>10130.735990154546</v>
      </c>
      <c r="D130" s="26">
        <f>INDEX(Comparison!$AM$3:$AS$33,H14,$B$122)</f>
        <v>9815.5100842671618</v>
      </c>
      <c r="E130" s="26">
        <f>INDEX(Comparison!$AM$3:$AS$33,I14,$B$122)</f>
        <v>9602.7895017015398</v>
      </c>
      <c r="F130" s="26">
        <f>INDEX(Comparison!$AM$3:$AS$33,J14,$B$122)</f>
        <v>9403.9958104822508</v>
      </c>
      <c r="G130" s="26">
        <f>INDEX(Comparison!$AM$3:$AS$33,K14,$B$122)</f>
        <v>9185.6343104080297</v>
      </c>
      <c r="H130" s="26">
        <f>INDEX(Comparison!$AM$3:$AS$33,L14,$B$122)</f>
        <v>8956.3853461764484</v>
      </c>
      <c r="I130" s="26">
        <f>INDEX(Comparison!$AM$3:$AS$33,M14,$B$122)</f>
        <v>8694.0472851843733</v>
      </c>
      <c r="J130" s="26">
        <f>INDEX(Comparison!$AM$3:$AS$33,N14,$B$122)</f>
        <v>8422.2902852365987</v>
      </c>
      <c r="K130" s="26">
        <f>INDEX(Comparison!$AM$3:$AS$33,O14,$B$122)</f>
        <v>8119.1133122846923</v>
      </c>
      <c r="L130" s="26">
        <f>INDEX(Comparison!$AM$3:$AS$33,P14,$B$122)</f>
        <v>7848.6797155048253</v>
      </c>
      <c r="M130" s="26">
        <f>INDEX(Comparison!$AM$3:$AS$33,Q14,$B$122)</f>
        <v>7561.5718378512247</v>
      </c>
      <c r="N130" s="26">
        <f>INDEX(Comparison!$AM$3:$AS$33,R14,$B$122)</f>
        <v>7212.0886309644511</v>
      </c>
      <c r="O130" s="26">
        <f>INDEX(Comparison!$AM$3:$AS$33,S14,$B$122)</f>
        <v>6826.065675816817</v>
      </c>
      <c r="P130" s="26">
        <f>INDEX(Comparison!$AM$3:$AS$33,T14,$B$122)</f>
        <v>6468.6777640443843</v>
      </c>
      <c r="Q130" s="26">
        <f>INDEX(Comparison!$AM$3:$AS$33,U14,$B$122)</f>
        <v>6185.0814076350389</v>
      </c>
      <c r="R130" s="26">
        <f>INDEX(Comparison!$AM$3:$AS$33,V14,$B$122)</f>
        <v>5896.0070828362468</v>
      </c>
      <c r="S130" s="26">
        <f>INDEX(Comparison!$AM$3:$AS$33,W14,$B$122)</f>
        <v>5620.2326577203476</v>
      </c>
      <c r="T130" s="26">
        <f>INDEX(Comparison!$AM$3:$AS$33,X14,$B$122)</f>
        <v>5330.7810569019748</v>
      </c>
      <c r="U130" s="26">
        <f>INDEX(Comparison!$AM$3:$AS$33,Y14,$B$122)</f>
        <v>5056.458830124393</v>
      </c>
      <c r="V130" s="26">
        <f>INDEX(Comparison!$AM$3:$AS$33,Z14,$B$122)</f>
        <v>4685.6312280238881</v>
      </c>
      <c r="W130" s="26">
        <f>INDEX(Comparison!$AM$3:$AS$33,AA14,$B$122)</f>
        <v>4271.8299665210579</v>
      </c>
      <c r="X130" s="26">
        <f>INDEX(Comparison!$AM$3:$AS$33,AB14,$B$122)</f>
        <v>3807.4701999642007</v>
      </c>
      <c r="Y130" s="26">
        <f>INDEX(Comparison!$AM$3:$AS$33,AC14,$B$122)</f>
        <v>3333.4500993282409</v>
      </c>
      <c r="Z130" s="26">
        <f>INDEX(Comparison!$AM$3:$AS$33,AD14,$B$122)</f>
        <v>2813.9339254547094</v>
      </c>
      <c r="AA130" s="26">
        <f>INDEX(Comparison!$AM$3:$AS$33,AE14,$B$122)</f>
        <v>2264.5753602217969</v>
      </c>
      <c r="AB130" s="26">
        <f>INDEX(Comparison!$AM$3:$AS$33,AF14,$B$122)</f>
        <v>1691.7003845109305</v>
      </c>
      <c r="AC130" s="26">
        <f>INDEX(Comparison!$AM$3:$AS$33,AG14,$B$122)</f>
        <v>1230.3504248927311</v>
      </c>
      <c r="AD130" s="26">
        <f>INDEX(Comparison!$AM$3:$AS$33,AH14,$B$122)</f>
        <v>888.25672531905332</v>
      </c>
      <c r="AE130" s="26">
        <f>INDEX(Comparison!$AM$3:$AS$33,AI14,$B$122)</f>
        <v>708.86645626754114</v>
      </c>
      <c r="AF130" s="26">
        <f>INDEX(Comparison!$AM$3:$AS$33,AJ14,$B$122)</f>
        <v>607.16785102157667</v>
      </c>
    </row>
    <row r="131" spans="1:33" x14ac:dyDescent="0.25">
      <c r="A131" s="69" t="s">
        <v>22</v>
      </c>
      <c r="B131" s="27">
        <f>($C$17+SUM(B132:B162))*$B$51</f>
        <v>9460.8907764257401</v>
      </c>
      <c r="C131" s="27">
        <f t="shared" ref="C131:AF131" si="40">($C$17+SUM(C132:C162))*$B$51</f>
        <v>9460.8615763666457</v>
      </c>
      <c r="D131" s="27">
        <f t="shared" si="40"/>
        <v>9460.5696751785272</v>
      </c>
      <c r="E131" s="27">
        <f t="shared" si="40"/>
        <v>9457.6605794698662</v>
      </c>
      <c r="F131" s="27">
        <f t="shared" si="40"/>
        <v>9429.5380757470793</v>
      </c>
      <c r="G131" s="27">
        <f t="shared" si="40"/>
        <v>9225.6225247588263</v>
      </c>
      <c r="H131" s="27">
        <f t="shared" si="40"/>
        <v>8921.1353724440432</v>
      </c>
      <c r="I131" s="27">
        <f t="shared" si="40"/>
        <v>8697.8378841756439</v>
      </c>
      <c r="J131" s="27">
        <f t="shared" si="40"/>
        <v>8415.2329811423187</v>
      </c>
      <c r="K131" s="27">
        <f t="shared" si="40"/>
        <v>8123.9971657924107</v>
      </c>
      <c r="L131" s="27">
        <f t="shared" si="40"/>
        <v>7840.9326786917072</v>
      </c>
      <c r="M131" s="27">
        <f t="shared" si="40"/>
        <v>7559.2639907263638</v>
      </c>
      <c r="N131" s="27">
        <f t="shared" si="40"/>
        <v>7216.5220181461655</v>
      </c>
      <c r="O131" s="27">
        <f t="shared" si="40"/>
        <v>6828.8792655464231</v>
      </c>
      <c r="P131" s="27">
        <f t="shared" si="40"/>
        <v>6465.0542554418862</v>
      </c>
      <c r="Q131" s="27">
        <f t="shared" si="40"/>
        <v>6174.3256270154352</v>
      </c>
      <c r="R131" s="27">
        <f t="shared" si="40"/>
        <v>5893.0912274449893</v>
      </c>
      <c r="S131" s="27">
        <f t="shared" si="40"/>
        <v>5608.7101281733221</v>
      </c>
      <c r="T131" s="27">
        <f t="shared" si="40"/>
        <v>5331.9112777646087</v>
      </c>
      <c r="U131" s="27">
        <f t="shared" si="40"/>
        <v>5053.6489342822824</v>
      </c>
      <c r="V131" s="27">
        <f t="shared" si="40"/>
        <v>4706.5475366920018</v>
      </c>
      <c r="W131" s="27">
        <f t="shared" si="40"/>
        <v>4301.9979031323337</v>
      </c>
      <c r="X131" s="27">
        <f t="shared" si="40"/>
        <v>3850.0111340005228</v>
      </c>
      <c r="Y131" s="27">
        <f t="shared" si="40"/>
        <v>3383.9372765651633</v>
      </c>
      <c r="Z131" s="27">
        <f t="shared" si="40"/>
        <v>2855.7483928578431</v>
      </c>
      <c r="AA131" s="27">
        <f t="shared" si="40"/>
        <v>2375.2411883575178</v>
      </c>
      <c r="AB131" s="27">
        <f t="shared" si="40"/>
        <v>1708.60534287924</v>
      </c>
      <c r="AC131" s="27">
        <f t="shared" si="40"/>
        <v>1266.8627322792504</v>
      </c>
      <c r="AD131" s="27">
        <f t="shared" si="40"/>
        <v>896.74384958282917</v>
      </c>
      <c r="AE131" s="27">
        <f t="shared" si="40"/>
        <v>716.98739062205834</v>
      </c>
      <c r="AF131" s="27">
        <f t="shared" si="40"/>
        <v>611.8352021253105</v>
      </c>
    </row>
    <row r="132" spans="1:33" x14ac:dyDescent="0.25">
      <c r="B132" s="3">
        <f t="shared" ref="B132:Z133" si="41">$C18*EXP(-B$129/$A18/EXP(-$B$126))</f>
        <v>5.1907162010128781E-14</v>
      </c>
      <c r="C132" s="3">
        <f t="shared" ref="C132:AF132" si="42">$C18*EXP(-C$129/$A18/EXP(-$B$126))</f>
        <v>2.9797856172970102E-123</v>
      </c>
      <c r="D132" s="3">
        <f t="shared" si="42"/>
        <v>0</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4.2592447039794271E-2</v>
      </c>
      <c r="C133" s="3">
        <f t="shared" si="41"/>
        <v>4.2589702800142397E-2</v>
      </c>
      <c r="D133" s="3">
        <f t="shared" si="41"/>
        <v>4.2562270126398467E-2</v>
      </c>
      <c r="E133" s="3">
        <f t="shared" si="41"/>
        <v>4.2288913352522453E-2</v>
      </c>
      <c r="F133" s="3">
        <f t="shared" si="41"/>
        <v>3.9650068896092627E-2</v>
      </c>
      <c r="G133" s="3">
        <f t="shared" si="41"/>
        <v>2.0817000454150206E-2</v>
      </c>
      <c r="H133" s="3">
        <f t="shared" si="41"/>
        <v>3.3125329404546404E-5</v>
      </c>
      <c r="I133" s="3">
        <f t="shared" si="41"/>
        <v>3.4481070903178395E-33</v>
      </c>
      <c r="J133" s="3">
        <f t="shared" si="41"/>
        <v>0</v>
      </c>
      <c r="K133" s="3">
        <f t="shared" si="41"/>
        <v>0</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1.8189949383321753E-2</v>
      </c>
      <c r="C134" s="3">
        <f t="shared" si="44"/>
        <v>1.8189843657698563E-2</v>
      </c>
      <c r="D134" s="3">
        <f t="shared" si="44"/>
        <v>1.8188786435264136E-2</v>
      </c>
      <c r="E134" s="3">
        <f t="shared" si="44"/>
        <v>1.8178217589939698E-2</v>
      </c>
      <c r="F134" s="3">
        <f t="shared" si="44"/>
        <v>1.8072866313127944E-2</v>
      </c>
      <c r="G134" s="3">
        <f t="shared" si="44"/>
        <v>1.705235720544164E-2</v>
      </c>
      <c r="H134" s="3">
        <f t="shared" si="44"/>
        <v>9.5358250686593087E-3</v>
      </c>
      <c r="I134" s="3">
        <f t="shared" si="44"/>
        <v>2.8516539045815891E-5</v>
      </c>
      <c r="J134" s="3">
        <f t="shared" si="44"/>
        <v>1.6311061160329619E-30</v>
      </c>
      <c r="K134" s="3">
        <f t="shared" si="44"/>
        <v>6.1141518740988926E-283</v>
      </c>
      <c r="L134" s="3">
        <f t="shared" si="44"/>
        <v>0</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2.8233723519803494E-2</v>
      </c>
      <c r="C135" s="3">
        <f t="shared" si="47"/>
        <v>2.8233708716294912E-2</v>
      </c>
      <c r="D135" s="3">
        <f t="shared" si="47"/>
        <v>2.8233560681635947E-2</v>
      </c>
      <c r="E135" s="3">
        <f t="shared" si="47"/>
        <v>2.82320803777352E-2</v>
      </c>
      <c r="F135" s="3">
        <f t="shared" si="47"/>
        <v>2.8217281606787523E-2</v>
      </c>
      <c r="G135" s="3">
        <f t="shared" si="47"/>
        <v>2.8069719876452542E-2</v>
      </c>
      <c r="H135" s="3">
        <f t="shared" si="47"/>
        <v>2.6635885556256612E-2</v>
      </c>
      <c r="I135" s="3">
        <f t="shared" si="47"/>
        <v>1.5767315459467208E-2</v>
      </c>
      <c r="J135" s="3">
        <f t="shared" si="47"/>
        <v>8.330362905912258E-5</v>
      </c>
      <c r="K135" s="3">
        <f t="shared" si="47"/>
        <v>1.4116452451440004E-27</v>
      </c>
      <c r="L135" s="3">
        <f t="shared" si="47"/>
        <v>2.7563987909521119E-255</v>
      </c>
      <c r="M135" s="3">
        <f t="shared" si="47"/>
        <v>0</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2.9847581715993911E-2</v>
      </c>
      <c r="C136" s="3">
        <f t="shared" si="49"/>
        <v>2.9847580304261628E-2</v>
      </c>
      <c r="D136" s="3">
        <f t="shared" si="49"/>
        <v>2.9847566186942447E-2</v>
      </c>
      <c r="E136" s="3">
        <f t="shared" si="49"/>
        <v>2.9847425014117912E-2</v>
      </c>
      <c r="F136" s="3">
        <f t="shared" si="49"/>
        <v>2.9846013322596548E-2</v>
      </c>
      <c r="G136" s="3">
        <f t="shared" si="49"/>
        <v>2.9831900079138881E-2</v>
      </c>
      <c r="H136" s="3">
        <f t="shared" si="49"/>
        <v>2.9691134178405399E-2</v>
      </c>
      <c r="I136" s="3">
        <f t="shared" si="49"/>
        <v>2.8319495145416571E-2</v>
      </c>
      <c r="J136" s="3">
        <f t="shared" si="49"/>
        <v>1.7647073695631389E-2</v>
      </c>
      <c r="K136" s="3">
        <f t="shared" si="49"/>
        <v>1.5579181037223428E-4</v>
      </c>
      <c r="L136" s="3">
        <f t="shared" si="49"/>
        <v>4.4798541096945786E-25</v>
      </c>
      <c r="M136" s="3">
        <f t="shared" si="49"/>
        <v>1.7316349438383883E-230</v>
      </c>
      <c r="N136" s="3">
        <f t="shared" si="49"/>
        <v>0</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2.9885282727438334E-2</v>
      </c>
      <c r="C137" s="3">
        <f t="shared" si="51"/>
        <v>2.9885282599927475E-2</v>
      </c>
      <c r="D137" s="3">
        <f t="shared" si="51"/>
        <v>2.9885281324818932E-2</v>
      </c>
      <c r="E137" s="3">
        <f t="shared" si="51"/>
        <v>2.9885268573736485E-2</v>
      </c>
      <c r="F137" s="3">
        <f t="shared" si="51"/>
        <v>2.9885141063211242E-2</v>
      </c>
      <c r="G137" s="3">
        <f t="shared" si="51"/>
        <v>2.9883865987880912E-2</v>
      </c>
      <c r="H137" s="3">
        <f t="shared" si="51"/>
        <v>2.9871118226315052E-2</v>
      </c>
      <c r="I137" s="3">
        <f t="shared" si="51"/>
        <v>2.974393931264363E-2</v>
      </c>
      <c r="J137" s="3">
        <f t="shared" si="51"/>
        <v>2.8501554155925406E-2</v>
      </c>
      <c r="K137" s="3">
        <f t="shared" si="51"/>
        <v>1.860240524818816E-2</v>
      </c>
      <c r="L137" s="3">
        <f t="shared" si="51"/>
        <v>2.6096044856849498E-4</v>
      </c>
      <c r="M137" s="3">
        <f t="shared" si="51"/>
        <v>7.7024800311464576E-23</v>
      </c>
      <c r="N137" s="3">
        <f t="shared" si="51"/>
        <v>3.8653559197182525E-208</v>
      </c>
      <c r="O137" s="3">
        <f t="shared" si="51"/>
        <v>0</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2.6241418278512257E-2</v>
      </c>
      <c r="C138" s="3">
        <f t="shared" si="53"/>
        <v>2.6241418268412205E-2</v>
      </c>
      <c r="D138" s="3">
        <f t="shared" si="53"/>
        <v>2.6241418167411667E-2</v>
      </c>
      <c r="E138" s="3">
        <f t="shared" si="53"/>
        <v>2.6241417157406299E-2</v>
      </c>
      <c r="F138" s="3">
        <f t="shared" si="53"/>
        <v>2.624140705735474E-2</v>
      </c>
      <c r="G138" s="3">
        <f t="shared" si="53"/>
        <v>2.6241306057052983E-2</v>
      </c>
      <c r="H138" s="3">
        <f t="shared" si="53"/>
        <v>2.6240296075415826E-2</v>
      </c>
      <c r="I138" s="3">
        <f t="shared" si="53"/>
        <v>2.6230198396780143E-2</v>
      </c>
      <c r="J138" s="3">
        <f t="shared" si="53"/>
        <v>2.6129435079894757E-2</v>
      </c>
      <c r="K138" s="3">
        <f t="shared" si="53"/>
        <v>2.5142847962349717E-2</v>
      </c>
      <c r="L138" s="3">
        <f t="shared" si="53"/>
        <v>1.7110352545427292E-2</v>
      </c>
      <c r="M138" s="3">
        <f t="shared" si="53"/>
        <v>3.6450529794311381E-4</v>
      </c>
      <c r="N138" s="3">
        <f t="shared" si="53"/>
        <v>7.0170200217059419E-21</v>
      </c>
      <c r="O138" s="3">
        <f t="shared" si="53"/>
        <v>4.9050272306752837E-188</v>
      </c>
      <c r="P138" s="3">
        <f t="shared" si="53"/>
        <v>0</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3.2917206001668281E-2</v>
      </c>
      <c r="C139" s="3">
        <f t="shared" si="55"/>
        <v>3.291720600052539E-2</v>
      </c>
      <c r="D139" s="3">
        <f t="shared" si="55"/>
        <v>3.2917205989096449E-2</v>
      </c>
      <c r="E139" s="3">
        <f t="shared" si="55"/>
        <v>3.2917205874807051E-2</v>
      </c>
      <c r="F139" s="3">
        <f t="shared" si="55"/>
        <v>3.2917204731913091E-2</v>
      </c>
      <c r="G139" s="3">
        <f t="shared" si="55"/>
        <v>3.2917193302975711E-2</v>
      </c>
      <c r="H139" s="3">
        <f t="shared" si="55"/>
        <v>3.2917079013820169E-2</v>
      </c>
      <c r="I139" s="3">
        <f t="shared" si="55"/>
        <v>3.2915936144089268E-2</v>
      </c>
      <c r="J139" s="3">
        <f t="shared" si="55"/>
        <v>3.2904509628955532E-2</v>
      </c>
      <c r="K139" s="3">
        <f t="shared" si="55"/>
        <v>3.2790462415070228E-2</v>
      </c>
      <c r="L139" s="3">
        <f t="shared" si="55"/>
        <v>3.167150662929015E-2</v>
      </c>
      <c r="M139" s="3">
        <f t="shared" si="55"/>
        <v>2.2381054577343171E-2</v>
      </c>
      <c r="N139" s="3">
        <f t="shared" si="55"/>
        <v>6.9502235624737134E-4</v>
      </c>
      <c r="O139" s="3">
        <f t="shared" si="55"/>
        <v>5.7967030866098408E-19</v>
      </c>
      <c r="P139" s="3">
        <f t="shared" si="55"/>
        <v>9.440692903553915E-170</v>
      </c>
      <c r="Q139" s="3">
        <f t="shared" si="55"/>
        <v>0</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4.0072808202398391E-2</v>
      </c>
      <c r="C140" s="3">
        <f t="shared" si="57"/>
        <v>4.007280820227288E-2</v>
      </c>
      <c r="D140" s="3">
        <f t="shared" si="57"/>
        <v>4.007280820101778E-2</v>
      </c>
      <c r="E140" s="3">
        <f t="shared" si="57"/>
        <v>4.0072808188466751E-2</v>
      </c>
      <c r="F140" s="3">
        <f t="shared" si="57"/>
        <v>4.0072808062956454E-2</v>
      </c>
      <c r="G140" s="3">
        <f t="shared" si="57"/>
        <v>4.0072806807853537E-2</v>
      </c>
      <c r="H140" s="3">
        <f t="shared" si="57"/>
        <v>4.0072794256826486E-2</v>
      </c>
      <c r="I140" s="3">
        <f t="shared" si="57"/>
        <v>4.0072668746772212E-2</v>
      </c>
      <c r="J140" s="3">
        <f t="shared" si="57"/>
        <v>4.0071413667849963E-2</v>
      </c>
      <c r="K140" s="3">
        <f t="shared" si="57"/>
        <v>4.0058865040428375E-2</v>
      </c>
      <c r="L140" s="3">
        <f t="shared" si="57"/>
        <v>3.9933594695987715E-2</v>
      </c>
      <c r="M140" s="3">
        <f t="shared" si="57"/>
        <v>3.8702236079107076E-2</v>
      </c>
      <c r="N140" s="3">
        <f t="shared" si="57"/>
        <v>2.8295187591197059E-2</v>
      </c>
      <c r="O140" s="3">
        <f t="shared" si="57"/>
        <v>1.2344621419236837E-3</v>
      </c>
      <c r="P140" s="3">
        <f t="shared" si="57"/>
        <v>3.0841092704706767E-17</v>
      </c>
      <c r="Q140" s="3">
        <f t="shared" si="57"/>
        <v>2.9217938308865403E-153</v>
      </c>
      <c r="R140" s="3">
        <f t="shared" si="57"/>
        <v>0</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3.9765912840093821E-2</v>
      </c>
      <c r="C141" s="3">
        <f t="shared" si="59"/>
        <v>3.9765912840082587E-2</v>
      </c>
      <c r="D141" s="3">
        <f t="shared" si="59"/>
        <v>3.9765912839970233E-2</v>
      </c>
      <c r="E141" s="3">
        <f t="shared" si="59"/>
        <v>3.9765912838846694E-2</v>
      </c>
      <c r="F141" s="3">
        <f t="shared" si="59"/>
        <v>3.9765912827611334E-2</v>
      </c>
      <c r="G141" s="3">
        <f t="shared" si="59"/>
        <v>3.9765912715257701E-2</v>
      </c>
      <c r="H141" s="3">
        <f t="shared" si="59"/>
        <v>3.9765911591721395E-2</v>
      </c>
      <c r="I141" s="3">
        <f t="shared" si="59"/>
        <v>3.9765900356360087E-2</v>
      </c>
      <c r="J141" s="3">
        <f t="shared" si="59"/>
        <v>3.9765788002921597E-2</v>
      </c>
      <c r="K141" s="3">
        <f t="shared" si="59"/>
        <v>3.9764664485995728E-2</v>
      </c>
      <c r="L141" s="3">
        <f t="shared" si="59"/>
        <v>3.9753431062460862E-2</v>
      </c>
      <c r="M141" s="3">
        <f t="shared" si="59"/>
        <v>3.9641271217130972E-2</v>
      </c>
      <c r="N141" s="3">
        <f t="shared" si="59"/>
        <v>3.8536930829889814E-2</v>
      </c>
      <c r="O141" s="3">
        <f t="shared" si="59"/>
        <v>2.9051772077168348E-2</v>
      </c>
      <c r="P141" s="3">
        <f t="shared" si="59"/>
        <v>1.7223748540653484E-3</v>
      </c>
      <c r="Q141" s="3">
        <f t="shared" si="59"/>
        <v>9.2401316078970383E-16</v>
      </c>
      <c r="R141" s="3">
        <f t="shared" si="59"/>
        <v>1.824664249362699E-138</v>
      </c>
      <c r="S141" s="3">
        <f t="shared" si="59"/>
        <v>0</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2.9424353030171234E-2</v>
      </c>
      <c r="C142" s="3">
        <f t="shared" si="61"/>
        <v>2.9424353030170484E-2</v>
      </c>
      <c r="D142" s="3">
        <f t="shared" si="61"/>
        <v>2.9424353030162984E-2</v>
      </c>
      <c r="E142" s="3">
        <f t="shared" si="61"/>
        <v>2.9424353030087988E-2</v>
      </c>
      <c r="F142" s="3">
        <f t="shared" si="61"/>
        <v>2.9424353029338046E-2</v>
      </c>
      <c r="G142" s="3">
        <f t="shared" si="61"/>
        <v>2.942435302183859E-2</v>
      </c>
      <c r="H142" s="3">
        <f t="shared" si="61"/>
        <v>2.9424352946844045E-2</v>
      </c>
      <c r="I142" s="3">
        <f t="shared" si="61"/>
        <v>2.9424352196898606E-2</v>
      </c>
      <c r="J142" s="3">
        <f t="shared" si="61"/>
        <v>2.9424344697445263E-2</v>
      </c>
      <c r="K142" s="3">
        <f t="shared" si="61"/>
        <v>2.9424269703016946E-2</v>
      </c>
      <c r="L142" s="3">
        <f t="shared" si="61"/>
        <v>2.9423519769246412E-2</v>
      </c>
      <c r="M142" s="3">
        <f t="shared" si="61"/>
        <v>2.9416021482702979E-2</v>
      </c>
      <c r="N142" s="3">
        <f t="shared" si="61"/>
        <v>2.9341143634399037E-2</v>
      </c>
      <c r="O142" s="3">
        <f t="shared" si="61"/>
        <v>2.8602768501869553E-2</v>
      </c>
      <c r="P142" s="3">
        <f t="shared" si="61"/>
        <v>2.2167586328440802E-2</v>
      </c>
      <c r="Q142" s="3">
        <f t="shared" si="61"/>
        <v>1.7330926541789416E-3</v>
      </c>
      <c r="R142" s="3">
        <f t="shared" si="61"/>
        <v>1.4786163764306261E-14</v>
      </c>
      <c r="S142" s="3">
        <f t="shared" si="61"/>
        <v>3.0212928041476915E-125</v>
      </c>
      <c r="T142" s="3">
        <f t="shared" si="61"/>
        <v>0</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2.857141711097615E-2</v>
      </c>
      <c r="C143" s="3">
        <f t="shared" si="63"/>
        <v>2.8571417110976084E-2</v>
      </c>
      <c r="D143" s="3">
        <f t="shared" si="63"/>
        <v>2.8571417110975428E-2</v>
      </c>
      <c r="E143" s="3">
        <f t="shared" si="63"/>
        <v>2.8571417110968857E-2</v>
      </c>
      <c r="F143" s="3">
        <f t="shared" si="63"/>
        <v>2.8571417110903167E-2</v>
      </c>
      <c r="G143" s="3">
        <f t="shared" si="63"/>
        <v>2.8571417110246265E-2</v>
      </c>
      <c r="H143" s="3">
        <f t="shared" si="63"/>
        <v>2.8571417103677235E-2</v>
      </c>
      <c r="I143" s="3">
        <f t="shared" si="63"/>
        <v>2.8571417037986956E-2</v>
      </c>
      <c r="J143" s="3">
        <f t="shared" si="63"/>
        <v>2.8571416381084146E-2</v>
      </c>
      <c r="K143" s="3">
        <f t="shared" si="63"/>
        <v>2.8571409812056886E-2</v>
      </c>
      <c r="L143" s="3">
        <f t="shared" si="63"/>
        <v>2.8571344121867358E-2</v>
      </c>
      <c r="M143" s="3">
        <f t="shared" si="63"/>
        <v>2.8570687228278772E-2</v>
      </c>
      <c r="N143" s="3">
        <f t="shared" si="63"/>
        <v>2.8564119122993288E-2</v>
      </c>
      <c r="O143" s="3">
        <f t="shared" si="63"/>
        <v>2.8498521059558402E-2</v>
      </c>
      <c r="P143" s="3">
        <f t="shared" si="63"/>
        <v>2.7850769201054545E-2</v>
      </c>
      <c r="Q143" s="3">
        <f t="shared" si="63"/>
        <v>2.2130229107302786E-2</v>
      </c>
      <c r="R143" s="3">
        <f t="shared" si="63"/>
        <v>2.2206139698197408E-3</v>
      </c>
      <c r="S143" s="3">
        <f t="shared" si="63"/>
        <v>2.2979715266195037E-13</v>
      </c>
      <c r="T143" s="3">
        <f t="shared" si="63"/>
        <v>3.2363866338430919E-113</v>
      </c>
      <c r="U143" s="3">
        <f t="shared" si="63"/>
        <v>0</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2.9426851905512412E-2</v>
      </c>
      <c r="C144" s="3">
        <f t="shared" si="65"/>
        <v>2.9426851905512405E-2</v>
      </c>
      <c r="D144" s="3">
        <f t="shared" si="65"/>
        <v>2.9426851905512343E-2</v>
      </c>
      <c r="E144" s="3">
        <f t="shared" si="65"/>
        <v>2.9426851905511732E-2</v>
      </c>
      <c r="F144" s="3">
        <f t="shared" si="65"/>
        <v>2.9426851905505629E-2</v>
      </c>
      <c r="G144" s="3">
        <f t="shared" si="65"/>
        <v>2.9426851905444598E-2</v>
      </c>
      <c r="H144" s="3">
        <f t="shared" si="65"/>
        <v>2.9426851904834277E-2</v>
      </c>
      <c r="I144" s="3">
        <f t="shared" si="65"/>
        <v>2.9426851898731045E-2</v>
      </c>
      <c r="J144" s="3">
        <f t="shared" si="65"/>
        <v>2.9426851837698744E-2</v>
      </c>
      <c r="K144" s="3">
        <f t="shared" si="65"/>
        <v>2.9426851227375751E-2</v>
      </c>
      <c r="L144" s="3">
        <f t="shared" si="65"/>
        <v>2.9426845124146502E-2</v>
      </c>
      <c r="M144" s="3">
        <f t="shared" si="65"/>
        <v>2.942678409192364E-2</v>
      </c>
      <c r="N144" s="3">
        <f t="shared" si="65"/>
        <v>2.9426173776657023E-2</v>
      </c>
      <c r="O144" s="3">
        <f t="shared" si="65"/>
        <v>2.9420071320138463E-2</v>
      </c>
      <c r="P144" s="3">
        <f t="shared" si="65"/>
        <v>2.935911631632096E-2</v>
      </c>
      <c r="Q144" s="3">
        <f t="shared" si="65"/>
        <v>2.8756469328923815E-2</v>
      </c>
      <c r="R144" s="3">
        <f t="shared" si="65"/>
        <v>2.3370144507156049E-2</v>
      </c>
      <c r="S144" s="3">
        <f t="shared" si="65"/>
        <v>2.9371068467211802E-3</v>
      </c>
      <c r="T144" s="3">
        <f t="shared" si="65"/>
        <v>2.8873752147646378E-12</v>
      </c>
      <c r="U144" s="3">
        <f t="shared" si="65"/>
        <v>2.4340977177520148E-102</v>
      </c>
      <c r="V144" s="3">
        <f t="shared" si="65"/>
        <v>0</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2.8440803506547933E-2</v>
      </c>
      <c r="C145" s="3">
        <f t="shared" si="68"/>
        <v>2.8440803506547933E-2</v>
      </c>
      <c r="D145" s="3">
        <f t="shared" si="68"/>
        <v>2.8440803506547926E-2</v>
      </c>
      <c r="E145" s="3">
        <f t="shared" si="68"/>
        <v>2.8440803506547874E-2</v>
      </c>
      <c r="F145" s="3">
        <f t="shared" si="68"/>
        <v>2.8440803506547343E-2</v>
      </c>
      <c r="G145" s="3">
        <f t="shared" si="68"/>
        <v>2.8440803506542021E-2</v>
      </c>
      <c r="H145" s="3">
        <f t="shared" si="68"/>
        <v>2.844080350648881E-2</v>
      </c>
      <c r="I145" s="3">
        <f t="shared" si="68"/>
        <v>2.8440803505956694E-2</v>
      </c>
      <c r="J145" s="3">
        <f t="shared" si="68"/>
        <v>2.8440803500635558E-2</v>
      </c>
      <c r="K145" s="3">
        <f t="shared" si="68"/>
        <v>2.8440803447424196E-2</v>
      </c>
      <c r="L145" s="3">
        <f t="shared" si="68"/>
        <v>2.8440802915310568E-2</v>
      </c>
      <c r="M145" s="3">
        <f t="shared" si="68"/>
        <v>2.8440797594174828E-2</v>
      </c>
      <c r="N145" s="3">
        <f t="shared" si="68"/>
        <v>2.8440744382872186E-2</v>
      </c>
      <c r="O145" s="3">
        <f t="shared" si="68"/>
        <v>2.8440212275321293E-2</v>
      </c>
      <c r="P145" s="3">
        <f t="shared" si="68"/>
        <v>2.8434891747327596E-2</v>
      </c>
      <c r="Q145" s="3">
        <f t="shared" si="68"/>
        <v>2.8381741181029992E-2</v>
      </c>
      <c r="R145" s="3">
        <f t="shared" si="68"/>
        <v>2.7855669195165158E-2</v>
      </c>
      <c r="S145" s="3">
        <f t="shared" si="68"/>
        <v>2.3102512068751187E-2</v>
      </c>
      <c r="T145" s="3">
        <f t="shared" si="68"/>
        <v>3.5572574784512056E-3</v>
      </c>
      <c r="U145" s="3">
        <f t="shared" si="68"/>
        <v>2.6648713870769202E-11</v>
      </c>
      <c r="V145" s="3">
        <f t="shared" si="68"/>
        <v>1.4834939556341622E-92</v>
      </c>
      <c r="W145" s="3">
        <f t="shared" si="68"/>
        <v>0</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2.6740342475666101E-2</v>
      </c>
      <c r="C146" s="3">
        <f t="shared" si="70"/>
        <v>2.6740342475666101E-2</v>
      </c>
      <c r="D146" s="3">
        <f t="shared" si="70"/>
        <v>2.6740342475666101E-2</v>
      </c>
      <c r="E146" s="3">
        <f t="shared" si="70"/>
        <v>2.6740342475666094E-2</v>
      </c>
      <c r="F146" s="3">
        <f t="shared" si="70"/>
        <v>2.6740342475666048E-2</v>
      </c>
      <c r="G146" s="3">
        <f t="shared" si="70"/>
        <v>2.6740342475665597E-2</v>
      </c>
      <c r="H146" s="3">
        <f t="shared" si="70"/>
        <v>2.6740342475661087E-2</v>
      </c>
      <c r="I146" s="3">
        <f t="shared" si="70"/>
        <v>2.6740342475615957E-2</v>
      </c>
      <c r="J146" s="3">
        <f t="shared" si="70"/>
        <v>2.6740342475164644E-2</v>
      </c>
      <c r="K146" s="3">
        <f t="shared" si="70"/>
        <v>2.6740342470651532E-2</v>
      </c>
      <c r="L146" s="3">
        <f t="shared" si="70"/>
        <v>2.6740342425520418E-2</v>
      </c>
      <c r="M146" s="3">
        <f t="shared" si="70"/>
        <v>2.6740341974209252E-2</v>
      </c>
      <c r="N146" s="3">
        <f t="shared" si="70"/>
        <v>2.6740337461098027E-2</v>
      </c>
      <c r="O146" s="3">
        <f t="shared" si="70"/>
        <v>2.6740292330027667E-2</v>
      </c>
      <c r="P146" s="3">
        <f t="shared" si="70"/>
        <v>2.67398410235134E-2</v>
      </c>
      <c r="Q146" s="3">
        <f t="shared" si="70"/>
        <v>2.6735328377277903E-2</v>
      </c>
      <c r="R146" s="3">
        <f t="shared" si="70"/>
        <v>2.6690243779488445E-2</v>
      </c>
      <c r="S146" s="3">
        <f t="shared" si="70"/>
        <v>2.6243558232632257E-2</v>
      </c>
      <c r="T146" s="3">
        <f t="shared" si="70"/>
        <v>2.2167897188775324E-2</v>
      </c>
      <c r="U146" s="3">
        <f t="shared" si="70"/>
        <v>4.0996076926409029E-3</v>
      </c>
      <c r="V146" s="3">
        <f t="shared" si="70"/>
        <v>1.9183166989277117E-10</v>
      </c>
      <c r="W146" s="3">
        <f t="shared" si="70"/>
        <v>9.6538464514739295E-84</v>
      </c>
      <c r="X146" s="3">
        <f t="shared" si="70"/>
        <v>0</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3.6384067061729697E-2</v>
      </c>
      <c r="C147" s="3">
        <f t="shared" si="72"/>
        <v>3.6384067061729697E-2</v>
      </c>
      <c r="D147" s="3">
        <f t="shared" si="72"/>
        <v>3.6384067061729697E-2</v>
      </c>
      <c r="E147" s="3">
        <f t="shared" si="72"/>
        <v>3.6384067061729697E-2</v>
      </c>
      <c r="F147" s="3">
        <f t="shared" si="72"/>
        <v>3.638406706172969E-2</v>
      </c>
      <c r="G147" s="3">
        <f t="shared" si="72"/>
        <v>3.6384067061729634E-2</v>
      </c>
      <c r="H147" s="3">
        <f t="shared" si="72"/>
        <v>3.6384067061729086E-2</v>
      </c>
      <c r="I147" s="3">
        <f t="shared" si="72"/>
        <v>3.6384067061723542E-2</v>
      </c>
      <c r="J147" s="3">
        <f t="shared" si="72"/>
        <v>3.6384067061668149E-2</v>
      </c>
      <c r="K147" s="3">
        <f t="shared" si="72"/>
        <v>3.6384067061114203E-2</v>
      </c>
      <c r="L147" s="3">
        <f t="shared" si="72"/>
        <v>3.6384067055574752E-2</v>
      </c>
      <c r="M147" s="3">
        <f t="shared" si="72"/>
        <v>3.6384067000180209E-2</v>
      </c>
      <c r="N147" s="3">
        <f t="shared" si="72"/>
        <v>3.6384066446234826E-2</v>
      </c>
      <c r="O147" s="3">
        <f t="shared" si="72"/>
        <v>3.6384060906781458E-2</v>
      </c>
      <c r="P147" s="3">
        <f t="shared" si="72"/>
        <v>3.6384005512294211E-2</v>
      </c>
      <c r="Q147" s="3">
        <f t="shared" si="72"/>
        <v>3.638345157206023E-2</v>
      </c>
      <c r="R147" s="3">
        <f t="shared" si="72"/>
        <v>3.6377912633549746E-2</v>
      </c>
      <c r="S147" s="3">
        <f t="shared" si="72"/>
        <v>3.6322569605255352E-2</v>
      </c>
      <c r="T147" s="3">
        <f t="shared" si="72"/>
        <v>3.5773748995516962E-2</v>
      </c>
      <c r="U147" s="3">
        <f t="shared" si="72"/>
        <v>3.07215669644775E-2</v>
      </c>
      <c r="V147" s="3">
        <f t="shared" si="72"/>
        <v>6.7024323832036905E-3</v>
      </c>
      <c r="W147" s="3">
        <f t="shared" si="72"/>
        <v>1.6372810001227502E-9</v>
      </c>
      <c r="X147" s="3">
        <f t="shared" si="72"/>
        <v>1.2388850988535672E-75</v>
      </c>
      <c r="Y147" s="3">
        <f t="shared" si="72"/>
        <v>0</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4.1964426446168525E-2</v>
      </c>
      <c r="C148" s="3">
        <f t="shared" si="74"/>
        <v>4.1964426446168525E-2</v>
      </c>
      <c r="D148" s="3">
        <f t="shared" si="74"/>
        <v>4.1964426446168525E-2</v>
      </c>
      <c r="E148" s="3">
        <f t="shared" si="74"/>
        <v>4.1964426446168525E-2</v>
      </c>
      <c r="F148" s="3">
        <f t="shared" si="74"/>
        <v>4.1964426446168525E-2</v>
      </c>
      <c r="G148" s="3">
        <f t="shared" si="74"/>
        <v>4.1964426446168518E-2</v>
      </c>
      <c r="H148" s="3">
        <f t="shared" si="74"/>
        <v>4.1964426446168462E-2</v>
      </c>
      <c r="I148" s="3">
        <f t="shared" si="74"/>
        <v>4.1964426446167886E-2</v>
      </c>
      <c r="J148" s="3">
        <f t="shared" si="74"/>
        <v>4.196442644616212E-2</v>
      </c>
      <c r="K148" s="3">
        <f t="shared" si="74"/>
        <v>4.1964426446104486E-2</v>
      </c>
      <c r="L148" s="3">
        <f t="shared" si="74"/>
        <v>4.1964426445528134E-2</v>
      </c>
      <c r="M148" s="3">
        <f t="shared" si="74"/>
        <v>4.1964426439764675E-2</v>
      </c>
      <c r="N148" s="3">
        <f t="shared" si="74"/>
        <v>4.1964426382130035E-2</v>
      </c>
      <c r="O148" s="3">
        <f t="shared" si="74"/>
        <v>4.1964425805783634E-2</v>
      </c>
      <c r="P148" s="3">
        <f t="shared" si="74"/>
        <v>4.1964420042320046E-2</v>
      </c>
      <c r="Q148" s="3">
        <f t="shared" si="74"/>
        <v>4.1964362407727732E-2</v>
      </c>
      <c r="R148" s="3">
        <f t="shared" si="74"/>
        <v>4.1963786066158117E-2</v>
      </c>
      <c r="S148" s="3">
        <f t="shared" si="74"/>
        <v>4.195802308579747E-2</v>
      </c>
      <c r="T148" s="3">
        <f t="shared" si="74"/>
        <v>4.1900436793624277E-2</v>
      </c>
      <c r="U148" s="3">
        <f t="shared" si="74"/>
        <v>4.1328902985259507E-2</v>
      </c>
      <c r="V148" s="3">
        <f t="shared" si="74"/>
        <v>3.6025262319020486E-2</v>
      </c>
      <c r="W148" s="3">
        <f t="shared" si="74"/>
        <v>9.123046591107891E-3</v>
      </c>
      <c r="X148" s="3">
        <f t="shared" si="74"/>
        <v>9.8961735401974759E-9</v>
      </c>
      <c r="Y148" s="3">
        <f t="shared" si="74"/>
        <v>2.2322426398997329E-68</v>
      </c>
      <c r="Z148" s="3">
        <f t="shared" si="74"/>
        <v>0</v>
      </c>
      <c r="AA148" s="3">
        <f>$C34*EXP(-AA$129/$A34/EXP(-$B$126))</f>
        <v>0</v>
      </c>
      <c r="AB148" s="3">
        <f t="shared" si="67"/>
        <v>0</v>
      </c>
      <c r="AC148" s="3">
        <f t="shared" si="67"/>
        <v>0</v>
      </c>
      <c r="AD148" s="3">
        <f t="shared" si="67"/>
        <v>0</v>
      </c>
      <c r="AE148" s="3">
        <f t="shared" si="67"/>
        <v>0</v>
      </c>
      <c r="AF148" s="3">
        <f t="shared" si="67"/>
        <v>0</v>
      </c>
    </row>
    <row r="149" spans="1:32" x14ac:dyDescent="0.25">
      <c r="B149" s="3">
        <f t="shared" ref="B149:Z149" si="75">$C35*EXP(-B$129/$A35/EXP(-$B$126))</f>
        <v>4.8106928297009681E-2</v>
      </c>
      <c r="C149" s="3">
        <f t="shared" si="75"/>
        <v>4.8106928297009681E-2</v>
      </c>
      <c r="D149" s="3">
        <f t="shared" si="75"/>
        <v>4.8106928297009681E-2</v>
      </c>
      <c r="E149" s="3">
        <f t="shared" si="75"/>
        <v>4.8106928297009681E-2</v>
      </c>
      <c r="F149" s="3">
        <f t="shared" si="75"/>
        <v>4.8106928297009681E-2</v>
      </c>
      <c r="G149" s="3">
        <f t="shared" si="75"/>
        <v>4.8106928297009681E-2</v>
      </c>
      <c r="H149" s="3">
        <f t="shared" si="75"/>
        <v>4.8106928297009674E-2</v>
      </c>
      <c r="I149" s="3">
        <f t="shared" si="75"/>
        <v>4.8106928297009618E-2</v>
      </c>
      <c r="J149" s="3">
        <f t="shared" si="75"/>
        <v>4.8106928297009022E-2</v>
      </c>
      <c r="K149" s="3">
        <f t="shared" si="75"/>
        <v>4.8106928297003061E-2</v>
      </c>
      <c r="L149" s="3">
        <f t="shared" si="75"/>
        <v>4.8106928296943456E-2</v>
      </c>
      <c r="M149" s="3">
        <f t="shared" si="75"/>
        <v>4.810692829634744E-2</v>
      </c>
      <c r="N149" s="3">
        <f t="shared" si="75"/>
        <v>4.8106928290387305E-2</v>
      </c>
      <c r="O149" s="3">
        <f t="shared" si="75"/>
        <v>4.8106928230785898E-2</v>
      </c>
      <c r="P149" s="3">
        <f t="shared" si="75"/>
        <v>4.8106927634771819E-2</v>
      </c>
      <c r="Q149" s="3">
        <f t="shared" si="75"/>
        <v>4.8106921674631514E-2</v>
      </c>
      <c r="R149" s="3">
        <f t="shared" si="75"/>
        <v>4.810686207326903E-2</v>
      </c>
      <c r="S149" s="3">
        <f t="shared" si="75"/>
        <v>4.8106266063705487E-2</v>
      </c>
      <c r="T149" s="3">
        <f t="shared" si="75"/>
        <v>4.810030637418225E-2</v>
      </c>
      <c r="U149" s="3">
        <f t="shared" si="75"/>
        <v>4.8040750071553881E-2</v>
      </c>
      <c r="V149" s="3">
        <f t="shared" si="75"/>
        <v>4.7449227759271198E-2</v>
      </c>
      <c r="W149" s="3">
        <f t="shared" si="75"/>
        <v>4.1920151134932596E-2</v>
      </c>
      <c r="X149" s="3">
        <f t="shared" si="75"/>
        <v>1.2143943858283785E-2</v>
      </c>
      <c r="Y149" s="3">
        <f t="shared" si="75"/>
        <v>5.0550896427227921E-8</v>
      </c>
      <c r="Z149" s="3">
        <f t="shared" si="75"/>
        <v>7.8962332286173658E-62</v>
      </c>
      <c r="AA149" s="3">
        <f t="shared" ref="AA149" si="76">$C35*EXP(-AA$129/$A35/EXP(-$B$126))</f>
        <v>0</v>
      </c>
      <c r="AB149" s="3">
        <f t="shared" si="67"/>
        <v>0</v>
      </c>
      <c r="AC149" s="3">
        <f t="shared" si="67"/>
        <v>0</v>
      </c>
      <c r="AD149" s="3">
        <f t="shared" si="67"/>
        <v>0</v>
      </c>
      <c r="AE149" s="3">
        <f t="shared" si="67"/>
        <v>0</v>
      </c>
      <c r="AF149" s="3">
        <f t="shared" si="67"/>
        <v>0</v>
      </c>
    </row>
    <row r="150" spans="1:32" x14ac:dyDescent="0.25">
      <c r="B150" s="3">
        <f t="shared" ref="B150:Z150" si="77">$C36*EXP(-B$129/$A36/EXP(-$B$126))</f>
        <v>4.6100301020196389E-2</v>
      </c>
      <c r="C150" s="3">
        <f t="shared" si="77"/>
        <v>4.6100301020196389E-2</v>
      </c>
      <c r="D150" s="3">
        <f t="shared" si="77"/>
        <v>4.6100301020196389E-2</v>
      </c>
      <c r="E150" s="3">
        <f t="shared" si="77"/>
        <v>4.6100301020196389E-2</v>
      </c>
      <c r="F150" s="3">
        <f t="shared" si="77"/>
        <v>4.6100301020196389E-2</v>
      </c>
      <c r="G150" s="3">
        <f t="shared" si="77"/>
        <v>4.6100301020196389E-2</v>
      </c>
      <c r="H150" s="3">
        <f t="shared" si="77"/>
        <v>4.6100301020196389E-2</v>
      </c>
      <c r="I150" s="3">
        <f t="shared" si="77"/>
        <v>4.6100301020196383E-2</v>
      </c>
      <c r="J150" s="3">
        <f t="shared" si="77"/>
        <v>4.6100301020196334E-2</v>
      </c>
      <c r="K150" s="3">
        <f t="shared" si="77"/>
        <v>4.6100301020195814E-2</v>
      </c>
      <c r="L150" s="3">
        <f t="shared" si="77"/>
        <v>4.6100301020190665E-2</v>
      </c>
      <c r="M150" s="3">
        <f t="shared" si="77"/>
        <v>4.6100301020139144E-2</v>
      </c>
      <c r="N150" s="3">
        <f t="shared" si="77"/>
        <v>4.610030101962391E-2</v>
      </c>
      <c r="O150" s="3">
        <f t="shared" si="77"/>
        <v>4.6100301014471635E-2</v>
      </c>
      <c r="P150" s="3">
        <f t="shared" si="77"/>
        <v>4.6100300962948863E-2</v>
      </c>
      <c r="Q150" s="3">
        <f t="shared" si="77"/>
        <v>4.6100300447721121E-2</v>
      </c>
      <c r="R150" s="3">
        <f t="shared" si="77"/>
        <v>4.610029529544403E-2</v>
      </c>
      <c r="S150" s="3">
        <f t="shared" si="77"/>
        <v>4.610024377270476E-2</v>
      </c>
      <c r="T150" s="3">
        <f t="shared" si="77"/>
        <v>4.6099728548479157E-2</v>
      </c>
      <c r="U150" s="3">
        <f t="shared" si="77"/>
        <v>4.6094576622915384E-2</v>
      </c>
      <c r="V150" s="3">
        <f t="shared" si="77"/>
        <v>4.6043089023412198E-2</v>
      </c>
      <c r="W150" s="3">
        <f t="shared" si="77"/>
        <v>4.5531365590415415E-2</v>
      </c>
      <c r="X150" s="3">
        <f t="shared" si="77"/>
        <v>4.0716731593748126E-2</v>
      </c>
      <c r="Y150" s="3">
        <f t="shared" si="77"/>
        <v>1.3316657818244209E-2</v>
      </c>
      <c r="Z150" s="3">
        <f t="shared" si="77"/>
        <v>1.8647411417275991E-7</v>
      </c>
      <c r="AA150" s="3">
        <f t="shared" ref="AA150" si="78">$C36*EXP(-AA$129/$A36/EXP(-$B$126))</f>
        <v>5.4056967229763796E-56</v>
      </c>
      <c r="AB150" s="3">
        <f t="shared" si="67"/>
        <v>0</v>
      </c>
      <c r="AC150" s="3">
        <f t="shared" si="67"/>
        <v>0</v>
      </c>
      <c r="AD150" s="3">
        <f t="shared" si="67"/>
        <v>0</v>
      </c>
      <c r="AE150" s="3">
        <f t="shared" si="67"/>
        <v>0</v>
      </c>
      <c r="AF150" s="3">
        <f t="shared" si="67"/>
        <v>0</v>
      </c>
    </row>
    <row r="151" spans="1:32" x14ac:dyDescent="0.25">
      <c r="B151" s="3">
        <f t="shared" ref="B151:Z151" si="79">$C37*EXP(-B$129/$A37/EXP(-$B$126))</f>
        <v>6.1544571271861997E-2</v>
      </c>
      <c r="C151" s="3">
        <f t="shared" si="79"/>
        <v>6.1544571271861997E-2</v>
      </c>
      <c r="D151" s="3">
        <f t="shared" si="79"/>
        <v>6.1544571271861997E-2</v>
      </c>
      <c r="E151" s="3">
        <f t="shared" si="79"/>
        <v>6.1544571271861997E-2</v>
      </c>
      <c r="F151" s="3">
        <f t="shared" si="79"/>
        <v>6.1544571271861997E-2</v>
      </c>
      <c r="G151" s="3">
        <f t="shared" si="79"/>
        <v>6.1544571271861997E-2</v>
      </c>
      <c r="H151" s="3">
        <f t="shared" si="79"/>
        <v>6.1544571271861997E-2</v>
      </c>
      <c r="I151" s="3">
        <f t="shared" si="79"/>
        <v>6.1544571271861997E-2</v>
      </c>
      <c r="J151" s="3">
        <f t="shared" si="79"/>
        <v>6.1544571271861991E-2</v>
      </c>
      <c r="K151" s="3">
        <f t="shared" si="79"/>
        <v>6.1544571271861928E-2</v>
      </c>
      <c r="L151" s="3">
        <f t="shared" si="79"/>
        <v>6.1544571271861311E-2</v>
      </c>
      <c r="M151" s="3">
        <f t="shared" si="79"/>
        <v>6.15445712718551E-2</v>
      </c>
      <c r="N151" s="3">
        <f t="shared" si="79"/>
        <v>6.1544571271793053E-2</v>
      </c>
      <c r="O151" s="3">
        <f t="shared" si="79"/>
        <v>6.1544571271172563E-2</v>
      </c>
      <c r="P151" s="3">
        <f t="shared" si="79"/>
        <v>6.1544571264967707E-2</v>
      </c>
      <c r="Q151" s="3">
        <f t="shared" si="79"/>
        <v>6.1544571202919139E-2</v>
      </c>
      <c r="R151" s="3">
        <f t="shared" si="79"/>
        <v>6.1544570582433379E-2</v>
      </c>
      <c r="S151" s="3">
        <f t="shared" si="79"/>
        <v>6.1544564377576112E-2</v>
      </c>
      <c r="T151" s="3">
        <f t="shared" si="79"/>
        <v>6.1544502329037951E-2</v>
      </c>
      <c r="U151" s="3">
        <f t="shared" si="79"/>
        <v>6.1543881847096901E-2</v>
      </c>
      <c r="V151" s="3">
        <f t="shared" si="79"/>
        <v>6.1537677371734073E-2</v>
      </c>
      <c r="W151" s="3">
        <f t="shared" si="79"/>
        <v>6.1475667010039148E-2</v>
      </c>
      <c r="X151" s="3">
        <f t="shared" si="79"/>
        <v>6.085898979172609E-2</v>
      </c>
      <c r="Y151" s="3">
        <f t="shared" si="79"/>
        <v>5.5022413391296966E-2</v>
      </c>
      <c r="Z151" s="3">
        <f t="shared" si="79"/>
        <v>2.0076527532963913E-2</v>
      </c>
      <c r="AA151" s="3">
        <f t="shared" ref="AA151" si="80">$C37*EXP(-AA$129/$A37/EXP(-$B$126))</f>
        <v>8.3980456528223819E-7</v>
      </c>
      <c r="AB151" s="3">
        <f t="shared" si="67"/>
        <v>1.3774459161605679E-50</v>
      </c>
      <c r="AC151" s="3">
        <f t="shared" si="67"/>
        <v>0</v>
      </c>
      <c r="AD151" s="3">
        <f t="shared" si="67"/>
        <v>0</v>
      </c>
      <c r="AE151" s="3">
        <f t="shared" si="67"/>
        <v>0</v>
      </c>
      <c r="AF151" s="3">
        <f t="shared" si="67"/>
        <v>0</v>
      </c>
    </row>
    <row r="152" spans="1:32" x14ac:dyDescent="0.25">
      <c r="B152" s="3">
        <f t="shared" ref="B152:Z152" si="81">$C38*EXP(-B$129/$A38/EXP(-$B$126))</f>
        <v>2.0548359308290503E-2</v>
      </c>
      <c r="C152" s="3">
        <f t="shared" si="81"/>
        <v>2.0548359308290503E-2</v>
      </c>
      <c r="D152" s="3">
        <f t="shared" si="81"/>
        <v>2.0548359308290503E-2</v>
      </c>
      <c r="E152" s="3">
        <f t="shared" si="81"/>
        <v>2.0548359308290503E-2</v>
      </c>
      <c r="F152" s="3">
        <f t="shared" si="81"/>
        <v>2.0548359308290503E-2</v>
      </c>
      <c r="G152" s="3">
        <f t="shared" si="81"/>
        <v>2.0548359308290503E-2</v>
      </c>
      <c r="H152" s="3">
        <f t="shared" si="81"/>
        <v>2.0548359308290503E-2</v>
      </c>
      <c r="I152" s="3">
        <f t="shared" si="81"/>
        <v>2.0548359308290503E-2</v>
      </c>
      <c r="J152" s="3">
        <f t="shared" si="81"/>
        <v>2.0548359308290503E-2</v>
      </c>
      <c r="K152" s="3">
        <f t="shared" si="81"/>
        <v>2.0548359308290499E-2</v>
      </c>
      <c r="L152" s="3">
        <f t="shared" si="81"/>
        <v>2.0548359308290482E-2</v>
      </c>
      <c r="M152" s="3">
        <f t="shared" si="81"/>
        <v>2.0548359308290295E-2</v>
      </c>
      <c r="N152" s="3">
        <f t="shared" si="81"/>
        <v>2.0548359308288428E-2</v>
      </c>
      <c r="O152" s="3">
        <f t="shared" si="81"/>
        <v>2.0548359308269738E-2</v>
      </c>
      <c r="P152" s="3">
        <f t="shared" si="81"/>
        <v>2.0548359308082857E-2</v>
      </c>
      <c r="Q152" s="3">
        <f t="shared" si="81"/>
        <v>2.0548359306214046E-2</v>
      </c>
      <c r="R152" s="3">
        <f t="shared" si="81"/>
        <v>2.0548359287525915E-2</v>
      </c>
      <c r="S152" s="3">
        <f t="shared" si="81"/>
        <v>2.054835910064463E-2</v>
      </c>
      <c r="T152" s="3">
        <f t="shared" si="81"/>
        <v>2.054835723183188E-2</v>
      </c>
      <c r="U152" s="3">
        <f t="shared" si="81"/>
        <v>2.0548338543713702E-2</v>
      </c>
      <c r="V152" s="3">
        <f t="shared" si="81"/>
        <v>2.0548151663466702E-2</v>
      </c>
      <c r="W152" s="3">
        <f t="shared" si="81"/>
        <v>2.0546282954472889E-2</v>
      </c>
      <c r="X152" s="3">
        <f t="shared" si="81"/>
        <v>2.0527605209007385E-2</v>
      </c>
      <c r="Y152" s="3">
        <f t="shared" si="81"/>
        <v>2.0341759064796034E-2</v>
      </c>
      <c r="Z152" s="3">
        <f t="shared" si="81"/>
        <v>1.857336955450049E-2</v>
      </c>
      <c r="AA152" s="3">
        <f t="shared" ref="AA152" si="82">$C38*EXP(-AA$129/$A38/EXP(-$B$126))</f>
        <v>7.4801901698529809E-3</v>
      </c>
      <c r="AB152" s="3">
        <f t="shared" si="67"/>
        <v>8.3971523103438357E-7</v>
      </c>
      <c r="AC152" s="3">
        <f t="shared" si="67"/>
        <v>2.6688609403607818E-46</v>
      </c>
      <c r="AD152" s="3">
        <f t="shared" si="67"/>
        <v>0</v>
      </c>
      <c r="AE152" s="3">
        <f t="shared" si="67"/>
        <v>0</v>
      </c>
      <c r="AF152" s="3">
        <f t="shared" si="67"/>
        <v>0</v>
      </c>
    </row>
    <row r="153" spans="1:32" x14ac:dyDescent="0.25">
      <c r="B153" s="3">
        <f t="shared" ref="B153:Z153" si="83">$C39*EXP(-B$129/$A39/EXP(-$B$126))</f>
        <v>6.8598536150208847E-2</v>
      </c>
      <c r="C153" s="3">
        <f t="shared" si="83"/>
        <v>6.8598536150208847E-2</v>
      </c>
      <c r="D153" s="3">
        <f t="shared" si="83"/>
        <v>6.8598536150208847E-2</v>
      </c>
      <c r="E153" s="3">
        <f t="shared" si="83"/>
        <v>6.8598536150208847E-2</v>
      </c>
      <c r="F153" s="3">
        <f t="shared" si="83"/>
        <v>6.8598536150208847E-2</v>
      </c>
      <c r="G153" s="3">
        <f t="shared" si="83"/>
        <v>6.8598536150208847E-2</v>
      </c>
      <c r="H153" s="3">
        <f t="shared" si="83"/>
        <v>6.8598536150208847E-2</v>
      </c>
      <c r="I153" s="3">
        <f t="shared" si="83"/>
        <v>6.8598536150208847E-2</v>
      </c>
      <c r="J153" s="3">
        <f t="shared" si="83"/>
        <v>6.8598536150208847E-2</v>
      </c>
      <c r="K153" s="3">
        <f t="shared" si="83"/>
        <v>6.8598536150208847E-2</v>
      </c>
      <c r="L153" s="3">
        <f t="shared" si="83"/>
        <v>6.8598536150208819E-2</v>
      </c>
      <c r="M153" s="3">
        <f t="shared" si="83"/>
        <v>6.8598536150208653E-2</v>
      </c>
      <c r="N153" s="3">
        <f t="shared" si="83"/>
        <v>6.8598536150206932E-2</v>
      </c>
      <c r="O153" s="3">
        <f t="shared" si="83"/>
        <v>6.8598536150189682E-2</v>
      </c>
      <c r="P153" s="3">
        <f t="shared" si="83"/>
        <v>6.8598536150017125E-2</v>
      </c>
      <c r="Q153" s="3">
        <f t="shared" si="83"/>
        <v>6.8598536148291617E-2</v>
      </c>
      <c r="R153" s="3">
        <f t="shared" si="83"/>
        <v>6.8598536131036558E-2</v>
      </c>
      <c r="S153" s="3">
        <f t="shared" si="83"/>
        <v>6.8598535958486001E-2</v>
      </c>
      <c r="T153" s="3">
        <f t="shared" si="83"/>
        <v>6.8598534232980429E-2</v>
      </c>
      <c r="U153" s="3">
        <f t="shared" si="83"/>
        <v>6.8598516977927126E-2</v>
      </c>
      <c r="V153" s="3">
        <f t="shared" si="83"/>
        <v>6.8598344427632796E-2</v>
      </c>
      <c r="W153" s="3">
        <f t="shared" si="83"/>
        <v>6.8596618948560825E-2</v>
      </c>
      <c r="X153" s="3">
        <f t="shared" si="83"/>
        <v>6.8579366544749068E-2</v>
      </c>
      <c r="Y153" s="3">
        <f t="shared" si="83"/>
        <v>6.8407080975432327E-2</v>
      </c>
      <c r="Z153" s="3">
        <f t="shared" si="83"/>
        <v>6.6707851708105823E-2</v>
      </c>
      <c r="AA153" s="3">
        <f t="shared" ref="AA153" si="84">$C39*EXP(-AA$129/$A39/EXP(-$B$126))</f>
        <v>5.1872348671296045E-2</v>
      </c>
      <c r="AB153" s="3">
        <f t="shared" si="67"/>
        <v>4.1930060566918751E-3</v>
      </c>
      <c r="AC153" s="3">
        <f t="shared" si="67"/>
        <v>4.993686373908641E-14</v>
      </c>
      <c r="AD153" s="3">
        <f t="shared" si="67"/>
        <v>2.8666785580304765E-123</v>
      </c>
      <c r="AE153" s="3">
        <f t="shared" si="67"/>
        <v>0</v>
      </c>
      <c r="AF153" s="3">
        <f t="shared" si="67"/>
        <v>0</v>
      </c>
    </row>
    <row r="154" spans="1:32" x14ac:dyDescent="0.25">
      <c r="B154" s="3">
        <f t="shared" ref="B154:Z154" si="85">$C40*EXP(-B$129/$A40/EXP(-$B$126))</f>
        <v>4.2430467850210242E-2</v>
      </c>
      <c r="C154" s="3">
        <f t="shared" si="85"/>
        <v>4.2430467850210242E-2</v>
      </c>
      <c r="D154" s="3">
        <f t="shared" si="85"/>
        <v>4.2430467850210242E-2</v>
      </c>
      <c r="E154" s="3">
        <f t="shared" si="85"/>
        <v>4.2430467850210242E-2</v>
      </c>
      <c r="F154" s="3">
        <f t="shared" si="85"/>
        <v>4.2430467850210242E-2</v>
      </c>
      <c r="G154" s="3">
        <f t="shared" si="85"/>
        <v>4.2430467850210242E-2</v>
      </c>
      <c r="H154" s="3">
        <f t="shared" si="85"/>
        <v>4.2430467850210242E-2</v>
      </c>
      <c r="I154" s="3">
        <f t="shared" si="85"/>
        <v>4.2430467850210242E-2</v>
      </c>
      <c r="J154" s="3">
        <f t="shared" si="85"/>
        <v>4.2430467850210242E-2</v>
      </c>
      <c r="K154" s="3">
        <f t="shared" si="85"/>
        <v>4.2430467850210242E-2</v>
      </c>
      <c r="L154" s="3">
        <f t="shared" si="85"/>
        <v>4.2430467850210242E-2</v>
      </c>
      <c r="M154" s="3">
        <f t="shared" si="85"/>
        <v>4.2430467850210228E-2</v>
      </c>
      <c r="N154" s="3">
        <f t="shared" si="85"/>
        <v>4.2430467850210124E-2</v>
      </c>
      <c r="O154" s="3">
        <f t="shared" si="85"/>
        <v>4.2430467850209055E-2</v>
      </c>
      <c r="P154" s="3">
        <f t="shared" si="85"/>
        <v>4.2430467850198383E-2</v>
      </c>
      <c r="Q154" s="3">
        <f t="shared" si="85"/>
        <v>4.2430467850091656E-2</v>
      </c>
      <c r="R154" s="3">
        <f t="shared" si="85"/>
        <v>4.2430467849024371E-2</v>
      </c>
      <c r="S154" s="3">
        <f t="shared" si="85"/>
        <v>4.2430467838351547E-2</v>
      </c>
      <c r="T154" s="3">
        <f t="shared" si="85"/>
        <v>4.243046773162331E-2</v>
      </c>
      <c r="U154" s="3">
        <f t="shared" si="85"/>
        <v>4.243046666434093E-2</v>
      </c>
      <c r="V154" s="3">
        <f t="shared" si="85"/>
        <v>4.2430455991518665E-2</v>
      </c>
      <c r="W154" s="3">
        <f t="shared" si="85"/>
        <v>4.2430349263443592E-2</v>
      </c>
      <c r="X154" s="3">
        <f t="shared" si="85"/>
        <v>4.2429281997458074E-2</v>
      </c>
      <c r="Y154" s="3">
        <f t="shared" si="85"/>
        <v>4.2418610813984549E-2</v>
      </c>
      <c r="Z154" s="3">
        <f t="shared" si="85"/>
        <v>4.2312046480105149E-2</v>
      </c>
      <c r="AA154" s="3">
        <f t="shared" ref="AA154:AF154" si="86">$C40*EXP(-AA$129/$A40/EXP(-$B$126))</f>
        <v>4.1261016868634148E-2</v>
      </c>
      <c r="AB154" s="3">
        <f t="shared" si="86"/>
        <v>3.2084766616490283E-2</v>
      </c>
      <c r="AC154" s="3">
        <f t="shared" si="86"/>
        <v>2.5935131953054042E-3</v>
      </c>
      <c r="AD154" s="3">
        <f t="shared" si="86"/>
        <v>3.0887605047169575E-14</v>
      </c>
      <c r="AE154" s="3">
        <f t="shared" si="86"/>
        <v>1.7731356850976896E-123</v>
      </c>
      <c r="AF154" s="3">
        <f t="shared" si="86"/>
        <v>0</v>
      </c>
    </row>
    <row r="155" spans="1:32" x14ac:dyDescent="0.25">
      <c r="B155" s="3">
        <f t="shared" ref="B155:Z155" si="87">$C41*EXP(-B$129/$A41/EXP(-$B$126))</f>
        <v>4.2564807754428377E-2</v>
      </c>
      <c r="C155" s="3">
        <f t="shared" si="87"/>
        <v>4.2564807754428377E-2</v>
      </c>
      <c r="D155" s="3">
        <f t="shared" si="87"/>
        <v>4.2564807754428377E-2</v>
      </c>
      <c r="E155" s="3">
        <f t="shared" si="87"/>
        <v>4.2564807754428377E-2</v>
      </c>
      <c r="F155" s="3">
        <f t="shared" si="87"/>
        <v>4.2564807754428377E-2</v>
      </c>
      <c r="G155" s="3">
        <f t="shared" si="87"/>
        <v>4.2564807754428377E-2</v>
      </c>
      <c r="H155" s="3">
        <f t="shared" si="87"/>
        <v>4.2564807754428377E-2</v>
      </c>
      <c r="I155" s="3">
        <f t="shared" si="87"/>
        <v>4.2564807754428377E-2</v>
      </c>
      <c r="J155" s="3">
        <f t="shared" si="87"/>
        <v>4.2564807754428377E-2</v>
      </c>
      <c r="K155" s="3">
        <f t="shared" si="87"/>
        <v>4.2564807754428377E-2</v>
      </c>
      <c r="L155" s="3">
        <f t="shared" si="87"/>
        <v>4.2564807754428377E-2</v>
      </c>
      <c r="M155" s="3">
        <f t="shared" si="87"/>
        <v>4.2564807754428377E-2</v>
      </c>
      <c r="N155" s="3">
        <f t="shared" si="87"/>
        <v>4.2564807754428363E-2</v>
      </c>
      <c r="O155" s="3">
        <f t="shared" si="87"/>
        <v>4.2564807754428259E-2</v>
      </c>
      <c r="P155" s="3">
        <f t="shared" si="87"/>
        <v>4.2564807754427184E-2</v>
      </c>
      <c r="Q155" s="3">
        <f t="shared" si="87"/>
        <v>4.2564807754416484E-2</v>
      </c>
      <c r="R155" s="3">
        <f t="shared" si="87"/>
        <v>4.2564807754309417E-2</v>
      </c>
      <c r="S155" s="3">
        <f t="shared" si="87"/>
        <v>4.2564807753238752E-2</v>
      </c>
      <c r="T155" s="3">
        <f t="shared" si="87"/>
        <v>4.2564807742532136E-2</v>
      </c>
      <c r="U155" s="3">
        <f t="shared" si="87"/>
        <v>4.2564807635465989E-2</v>
      </c>
      <c r="V155" s="3">
        <f t="shared" si="87"/>
        <v>4.2564806564804464E-2</v>
      </c>
      <c r="W155" s="3">
        <f t="shared" si="87"/>
        <v>4.2564795858190771E-2</v>
      </c>
      <c r="X155" s="3">
        <f t="shared" si="87"/>
        <v>4.2564688792201925E-2</v>
      </c>
      <c r="Y155" s="3">
        <f t="shared" si="87"/>
        <v>4.2563618147125448E-2</v>
      </c>
      <c r="Z155" s="3">
        <f t="shared" si="87"/>
        <v>4.2552913177416746E-2</v>
      </c>
      <c r="AA155" s="3">
        <f t="shared" ref="AA155:AF155" si="88">$C41*EXP(-AA$129/$A41/EXP(-$B$126))</f>
        <v>4.2446011448190754E-2</v>
      </c>
      <c r="AB155" s="3">
        <f t="shared" si="88"/>
        <v>4.1391654152051413E-2</v>
      </c>
      <c r="AC155" s="3">
        <f t="shared" si="88"/>
        <v>3.2186350800980937E-2</v>
      </c>
      <c r="AD155" s="3">
        <f t="shared" si="88"/>
        <v>2.6017245663295411E-3</v>
      </c>
      <c r="AE155" s="3">
        <f t="shared" si="88"/>
        <v>3.0985398875845067E-14</v>
      </c>
      <c r="AF155" s="3">
        <f t="shared" si="88"/>
        <v>1.778749643419872E-123</v>
      </c>
    </row>
    <row r="156" spans="1:32" x14ac:dyDescent="0.25">
      <c r="B156" s="3">
        <f t="shared" ref="B156:Z156" si="89">$C42*EXP(-B$129/$A42/EXP(-$B$126))</f>
        <v>1.7794430151868639E-2</v>
      </c>
      <c r="C156" s="3">
        <f t="shared" si="89"/>
        <v>1.7794430151868639E-2</v>
      </c>
      <c r="D156" s="3">
        <f t="shared" si="89"/>
        <v>1.7794430151868639E-2</v>
      </c>
      <c r="E156" s="3">
        <f t="shared" si="89"/>
        <v>1.7794430151868639E-2</v>
      </c>
      <c r="F156" s="3">
        <f t="shared" si="89"/>
        <v>1.7794430151868639E-2</v>
      </c>
      <c r="G156" s="3">
        <f t="shared" si="89"/>
        <v>1.7794430151868639E-2</v>
      </c>
      <c r="H156" s="3">
        <f t="shared" si="89"/>
        <v>1.7794430151868639E-2</v>
      </c>
      <c r="I156" s="3">
        <f t="shared" si="89"/>
        <v>1.7794430151868639E-2</v>
      </c>
      <c r="J156" s="3">
        <f t="shared" si="89"/>
        <v>1.7794430151868639E-2</v>
      </c>
      <c r="K156" s="3">
        <f t="shared" si="89"/>
        <v>1.7794430151868639E-2</v>
      </c>
      <c r="L156" s="3">
        <f t="shared" si="89"/>
        <v>1.7794430151868639E-2</v>
      </c>
      <c r="M156" s="3">
        <f t="shared" si="89"/>
        <v>1.7794430151868639E-2</v>
      </c>
      <c r="N156" s="3">
        <f t="shared" si="89"/>
        <v>1.7794430151868639E-2</v>
      </c>
      <c r="O156" s="3">
        <f t="shared" si="89"/>
        <v>1.7794430151868632E-2</v>
      </c>
      <c r="P156" s="3">
        <f t="shared" si="89"/>
        <v>1.7794430151868591E-2</v>
      </c>
      <c r="Q156" s="3">
        <f t="shared" si="89"/>
        <v>1.7794430151868143E-2</v>
      </c>
      <c r="R156" s="3">
        <f t="shared" si="89"/>
        <v>1.7794430151863667E-2</v>
      </c>
      <c r="S156" s="3">
        <f t="shared" si="89"/>
        <v>1.7794430151818905E-2</v>
      </c>
      <c r="T156" s="3">
        <f t="shared" si="89"/>
        <v>1.7794430151371311E-2</v>
      </c>
      <c r="U156" s="3">
        <f t="shared" si="89"/>
        <v>1.7794430146895357E-2</v>
      </c>
      <c r="V156" s="3">
        <f t="shared" si="89"/>
        <v>1.7794430102135817E-2</v>
      </c>
      <c r="W156" s="3">
        <f t="shared" si="89"/>
        <v>1.7794429654540429E-2</v>
      </c>
      <c r="X156" s="3">
        <f t="shared" si="89"/>
        <v>1.7794425178587182E-2</v>
      </c>
      <c r="Y156" s="3">
        <f t="shared" si="89"/>
        <v>1.7794380419116608E-2</v>
      </c>
      <c r="Z156" s="3">
        <f t="shared" si="89"/>
        <v>1.7793932830603095E-2</v>
      </c>
      <c r="AA156" s="3">
        <f t="shared" ref="AA156:AF156" si="90">$C42*EXP(-AA$129/$A42/EXP(-$B$126))</f>
        <v>1.778945756463083E-2</v>
      </c>
      <c r="AB156" s="3">
        <f t="shared" si="90"/>
        <v>1.7744766763610403E-2</v>
      </c>
      <c r="AC156" s="3">
        <f t="shared" si="90"/>
        <v>1.7303987437893548E-2</v>
      </c>
      <c r="AD156" s="3">
        <f t="shared" si="90"/>
        <v>1.3455664465253217E-2</v>
      </c>
      <c r="AE156" s="3">
        <f t="shared" si="90"/>
        <v>1.0876639297198556E-3</v>
      </c>
      <c r="AF156" s="3">
        <f t="shared" si="90"/>
        <v>1.2953600523818897E-14</v>
      </c>
    </row>
    <row r="157" spans="1:32" x14ac:dyDescent="0.25">
      <c r="B157" s="3">
        <f t="shared" ref="B157:Z157" si="91">$C43*EXP(-B$129/$A43/EXP(-$B$126))</f>
        <v>1.1846247724533283E-2</v>
      </c>
      <c r="C157" s="3">
        <f t="shared" si="91"/>
        <v>1.1846247724533283E-2</v>
      </c>
      <c r="D157" s="3">
        <f t="shared" si="91"/>
        <v>1.1846247724533283E-2</v>
      </c>
      <c r="E157" s="3">
        <f t="shared" si="91"/>
        <v>1.1846247724533283E-2</v>
      </c>
      <c r="F157" s="3">
        <f t="shared" si="91"/>
        <v>1.1846247724533283E-2</v>
      </c>
      <c r="G157" s="3">
        <f t="shared" si="91"/>
        <v>1.1846247724533283E-2</v>
      </c>
      <c r="H157" s="3">
        <f t="shared" si="91"/>
        <v>1.1846247724533283E-2</v>
      </c>
      <c r="I157" s="3">
        <f t="shared" si="91"/>
        <v>1.1846247724533283E-2</v>
      </c>
      <c r="J157" s="3">
        <f t="shared" si="91"/>
        <v>1.1846247724533283E-2</v>
      </c>
      <c r="K157" s="3">
        <f t="shared" si="91"/>
        <v>1.1846247724533283E-2</v>
      </c>
      <c r="L157" s="3">
        <f t="shared" si="91"/>
        <v>1.1846247724533283E-2</v>
      </c>
      <c r="M157" s="3">
        <f t="shared" si="91"/>
        <v>1.1846247724533283E-2</v>
      </c>
      <c r="N157" s="3">
        <f t="shared" si="91"/>
        <v>1.1846247724533283E-2</v>
      </c>
      <c r="O157" s="3">
        <f t="shared" si="91"/>
        <v>1.1846247724533283E-2</v>
      </c>
      <c r="P157" s="3">
        <f t="shared" si="91"/>
        <v>1.184624772453328E-2</v>
      </c>
      <c r="Q157" s="3">
        <f t="shared" si="91"/>
        <v>1.184624772453325E-2</v>
      </c>
      <c r="R157" s="3">
        <f t="shared" si="91"/>
        <v>1.1846247724532952E-2</v>
      </c>
      <c r="S157" s="3">
        <f t="shared" si="91"/>
        <v>1.1846247724529973E-2</v>
      </c>
      <c r="T157" s="3">
        <f t="shared" si="91"/>
        <v>1.1846247724500174E-2</v>
      </c>
      <c r="U157" s="3">
        <f t="shared" si="91"/>
        <v>1.1846247724202197E-2</v>
      </c>
      <c r="V157" s="3">
        <f t="shared" si="91"/>
        <v>1.1846247721222431E-2</v>
      </c>
      <c r="W157" s="3">
        <f t="shared" si="91"/>
        <v>1.1846247691424758E-2</v>
      </c>
      <c r="X157" s="3">
        <f t="shared" si="91"/>
        <v>1.1846247393448044E-2</v>
      </c>
      <c r="Y157" s="3">
        <f t="shared" si="91"/>
        <v>1.1846244413681312E-2</v>
      </c>
      <c r="Z157" s="3">
        <f t="shared" si="91"/>
        <v>1.1846214616055206E-2</v>
      </c>
      <c r="AA157" s="3">
        <f t="shared" ref="AA157:AF157" si="92">$C43*EXP(-AA$129/$A43/EXP(-$B$126))</f>
        <v>1.1845916643916482E-2</v>
      </c>
      <c r="AB157" s="3">
        <f t="shared" si="92"/>
        <v>1.1842937334723202E-2</v>
      </c>
      <c r="AC157" s="3">
        <f t="shared" si="92"/>
        <v>1.1813185423851237E-2</v>
      </c>
      <c r="AD157" s="3">
        <f t="shared" si="92"/>
        <v>1.1519746351077878E-2</v>
      </c>
      <c r="AE157" s="3">
        <f t="shared" si="92"/>
        <v>8.9578105729252802E-3</v>
      </c>
      <c r="AF157" s="3">
        <f t="shared" si="92"/>
        <v>7.2408816930547828E-4</v>
      </c>
    </row>
    <row r="158" spans="1:32" x14ac:dyDescent="0.25">
      <c r="B158" s="3">
        <f t="shared" ref="B158:Z158" si="93">$C44*EXP(-B$129/$A44/EXP(-$B$126))</f>
        <v>4.239833197731321E-3</v>
      </c>
      <c r="C158" s="3">
        <f t="shared" si="93"/>
        <v>4.239833197731321E-3</v>
      </c>
      <c r="D158" s="3">
        <f t="shared" si="93"/>
        <v>4.239833197731321E-3</v>
      </c>
      <c r="E158" s="3">
        <f t="shared" si="93"/>
        <v>4.239833197731321E-3</v>
      </c>
      <c r="F158" s="3">
        <f t="shared" si="93"/>
        <v>4.239833197731321E-3</v>
      </c>
      <c r="G158" s="3">
        <f t="shared" si="93"/>
        <v>4.239833197731321E-3</v>
      </c>
      <c r="H158" s="3">
        <f t="shared" si="93"/>
        <v>4.239833197731321E-3</v>
      </c>
      <c r="I158" s="3">
        <f t="shared" si="93"/>
        <v>4.239833197731321E-3</v>
      </c>
      <c r="J158" s="3">
        <f t="shared" si="93"/>
        <v>4.239833197731321E-3</v>
      </c>
      <c r="K158" s="3">
        <f t="shared" si="93"/>
        <v>4.239833197731321E-3</v>
      </c>
      <c r="L158" s="3">
        <f t="shared" si="93"/>
        <v>4.239833197731321E-3</v>
      </c>
      <c r="M158" s="3">
        <f t="shared" si="93"/>
        <v>4.239833197731321E-3</v>
      </c>
      <c r="N158" s="3">
        <f t="shared" si="93"/>
        <v>4.239833197731321E-3</v>
      </c>
      <c r="O158" s="3">
        <f t="shared" si="93"/>
        <v>4.239833197731321E-3</v>
      </c>
      <c r="P158" s="3">
        <f t="shared" si="93"/>
        <v>4.239833197731321E-3</v>
      </c>
      <c r="Q158" s="3">
        <f t="shared" si="93"/>
        <v>4.2398331977313193E-3</v>
      </c>
      <c r="R158" s="3">
        <f t="shared" si="93"/>
        <v>4.2398331977313089E-3</v>
      </c>
      <c r="S158" s="3">
        <f t="shared" si="93"/>
        <v>4.2398331977312022E-3</v>
      </c>
      <c r="T158" s="3">
        <f t="shared" si="93"/>
        <v>4.2398331977301362E-3</v>
      </c>
      <c r="U158" s="3">
        <f t="shared" si="93"/>
        <v>4.2398331977194711E-3</v>
      </c>
      <c r="V158" s="3">
        <f t="shared" si="93"/>
        <v>4.2398331976128238E-3</v>
      </c>
      <c r="W158" s="3">
        <f t="shared" si="93"/>
        <v>4.2398331965463497E-3</v>
      </c>
      <c r="X158" s="3">
        <f t="shared" si="93"/>
        <v>4.2398331858816097E-3</v>
      </c>
      <c r="Y158" s="3">
        <f t="shared" si="93"/>
        <v>4.2398330792342053E-3</v>
      </c>
      <c r="Z158" s="3">
        <f t="shared" si="93"/>
        <v>4.2398320127603134E-3</v>
      </c>
      <c r="AA158" s="3">
        <f t="shared" ref="AA158:AF158" si="94">$C44*EXP(-AA$129/$A44/EXP(-$B$126))</f>
        <v>4.239821348036148E-3</v>
      </c>
      <c r="AB158" s="3">
        <f t="shared" si="94"/>
        <v>4.2397147022698988E-3</v>
      </c>
      <c r="AC158" s="3">
        <f t="shared" si="94"/>
        <v>4.2386483921337519E-3</v>
      </c>
      <c r="AD158" s="3">
        <f t="shared" si="94"/>
        <v>4.2280000296864885E-3</v>
      </c>
      <c r="AE158" s="3">
        <f t="shared" si="94"/>
        <v>4.1229766711356275E-3</v>
      </c>
      <c r="AF158" s="3">
        <f t="shared" si="94"/>
        <v>3.2060466342791714E-3</v>
      </c>
    </row>
    <row r="159" spans="1:32" x14ac:dyDescent="0.25">
      <c r="A159" s="11" t="s">
        <v>75</v>
      </c>
      <c r="B159" s="3">
        <f t="shared" ref="B159:Z159" si="95">$C45*EXP(-B$129/$A45/EXP(-$B$126))</f>
        <v>3.1413173103933909E-3</v>
      </c>
      <c r="C159" s="3">
        <f t="shared" si="95"/>
        <v>3.1413173103933909E-3</v>
      </c>
      <c r="D159" s="3">
        <f t="shared" si="95"/>
        <v>3.1413173103933909E-3</v>
      </c>
      <c r="E159" s="3">
        <f t="shared" si="95"/>
        <v>3.1413173103933909E-3</v>
      </c>
      <c r="F159" s="3">
        <f t="shared" si="95"/>
        <v>3.1413173103933909E-3</v>
      </c>
      <c r="G159" s="3">
        <f t="shared" si="95"/>
        <v>3.1413173103933909E-3</v>
      </c>
      <c r="H159" s="3">
        <f t="shared" si="95"/>
        <v>3.1413173103933909E-3</v>
      </c>
      <c r="I159" s="3">
        <f t="shared" si="95"/>
        <v>3.1413173103933909E-3</v>
      </c>
      <c r="J159" s="3">
        <f t="shared" si="95"/>
        <v>3.1413173103933909E-3</v>
      </c>
      <c r="K159" s="3">
        <f t="shared" si="95"/>
        <v>3.1413173103933909E-3</v>
      </c>
      <c r="L159" s="3">
        <f t="shared" si="95"/>
        <v>3.1413173103933909E-3</v>
      </c>
      <c r="M159" s="3">
        <f t="shared" si="95"/>
        <v>3.1413173103933909E-3</v>
      </c>
      <c r="N159" s="3">
        <f t="shared" si="95"/>
        <v>3.1413173103933909E-3</v>
      </c>
      <c r="O159" s="3">
        <f t="shared" si="95"/>
        <v>3.1413173103933909E-3</v>
      </c>
      <c r="P159" s="3">
        <f t="shared" si="95"/>
        <v>3.1413173103933909E-3</v>
      </c>
      <c r="Q159" s="3">
        <f t="shared" si="95"/>
        <v>3.1413173103933909E-3</v>
      </c>
      <c r="R159" s="3">
        <f t="shared" si="95"/>
        <v>3.1413173103933901E-3</v>
      </c>
      <c r="S159" s="3">
        <f t="shared" si="95"/>
        <v>3.1413173103933822E-3</v>
      </c>
      <c r="T159" s="3">
        <f t="shared" si="95"/>
        <v>3.1413173103933029E-3</v>
      </c>
      <c r="U159" s="3">
        <f t="shared" si="95"/>
        <v>3.1413173103925131E-3</v>
      </c>
      <c r="V159" s="3">
        <f t="shared" si="95"/>
        <v>3.1413173103846115E-3</v>
      </c>
      <c r="W159" s="3">
        <f t="shared" si="95"/>
        <v>3.1413173103055957E-3</v>
      </c>
      <c r="X159" s="3">
        <f t="shared" si="95"/>
        <v>3.1413173095154387E-3</v>
      </c>
      <c r="Y159" s="3">
        <f t="shared" si="95"/>
        <v>3.14131730161387E-3</v>
      </c>
      <c r="Z159" s="3">
        <f t="shared" si="95"/>
        <v>3.1413172225981819E-3</v>
      </c>
      <c r="AA159" s="3">
        <f t="shared" ref="AA159:AF159" si="96">$C45*EXP(-AA$129/$A45/EXP(-$B$126))</f>
        <v>3.1413164324414137E-3</v>
      </c>
      <c r="AB159" s="3">
        <f t="shared" si="96"/>
        <v>3.141308530884662E-3</v>
      </c>
      <c r="AC159" s="3">
        <f t="shared" si="96"/>
        <v>3.1412295164102767E-3</v>
      </c>
      <c r="AD159" s="3">
        <f t="shared" si="96"/>
        <v>3.1404394809695624E-3</v>
      </c>
      <c r="AE159" s="3">
        <f t="shared" si="96"/>
        <v>3.1325500467104905E-3</v>
      </c>
      <c r="AF159" s="3">
        <f t="shared" si="96"/>
        <v>3.0547376237151699E-3</v>
      </c>
    </row>
    <row r="160" spans="1:32" x14ac:dyDescent="0.25">
      <c r="B160" s="3">
        <f t="shared" ref="B160:Z160" si="97">$C46*EXP(-B$129/$A46/EXP(-$B$126))</f>
        <v>2.257189619316161E-3</v>
      </c>
      <c r="C160" s="3">
        <f t="shared" si="97"/>
        <v>2.257189619316161E-3</v>
      </c>
      <c r="D160" s="3">
        <f t="shared" si="97"/>
        <v>2.257189619316161E-3</v>
      </c>
      <c r="E160" s="3">
        <f t="shared" si="97"/>
        <v>2.257189619316161E-3</v>
      </c>
      <c r="F160" s="3">
        <f t="shared" si="97"/>
        <v>2.257189619316161E-3</v>
      </c>
      <c r="G160" s="3">
        <f t="shared" si="97"/>
        <v>2.257189619316161E-3</v>
      </c>
      <c r="H160" s="3">
        <f t="shared" si="97"/>
        <v>2.257189619316161E-3</v>
      </c>
      <c r="I160" s="3">
        <f t="shared" si="97"/>
        <v>2.257189619316161E-3</v>
      </c>
      <c r="J160" s="3">
        <f t="shared" si="97"/>
        <v>2.257189619316161E-3</v>
      </c>
      <c r="K160" s="3">
        <f t="shared" si="97"/>
        <v>2.257189619316161E-3</v>
      </c>
      <c r="L160" s="3">
        <f t="shared" si="97"/>
        <v>2.257189619316161E-3</v>
      </c>
      <c r="M160" s="3">
        <f t="shared" si="97"/>
        <v>2.257189619316161E-3</v>
      </c>
      <c r="N160" s="3">
        <f t="shared" si="97"/>
        <v>2.257189619316161E-3</v>
      </c>
      <c r="O160" s="3">
        <f t="shared" si="97"/>
        <v>2.257189619316161E-3</v>
      </c>
      <c r="P160" s="3">
        <f t="shared" si="97"/>
        <v>2.257189619316161E-3</v>
      </c>
      <c r="Q160" s="3">
        <f t="shared" si="97"/>
        <v>2.257189619316161E-3</v>
      </c>
      <c r="R160" s="3">
        <f t="shared" si="97"/>
        <v>2.257189619316161E-3</v>
      </c>
      <c r="S160" s="3">
        <f t="shared" si="97"/>
        <v>2.2571896193161601E-3</v>
      </c>
      <c r="T160" s="3">
        <f t="shared" si="97"/>
        <v>2.2571896193161549E-3</v>
      </c>
      <c r="U160" s="3">
        <f t="shared" si="97"/>
        <v>2.2571896193160977E-3</v>
      </c>
      <c r="V160" s="3">
        <f t="shared" si="97"/>
        <v>2.2571896193155304E-3</v>
      </c>
      <c r="W160" s="3">
        <f t="shared" si="97"/>
        <v>2.2571896193098523E-3</v>
      </c>
      <c r="X160" s="3">
        <f t="shared" si="97"/>
        <v>2.2571896192530761E-3</v>
      </c>
      <c r="Y160" s="3">
        <f t="shared" si="97"/>
        <v>2.2571896186853097E-3</v>
      </c>
      <c r="Z160" s="3">
        <f t="shared" si="97"/>
        <v>2.2571896130076474E-3</v>
      </c>
      <c r="AA160" s="3">
        <f t="shared" ref="AA160:AF160" si="98">$C46*EXP(-AA$129/$A46/EXP(-$B$126))</f>
        <v>2.2571895562310236E-3</v>
      </c>
      <c r="AB160" s="3">
        <f t="shared" si="98"/>
        <v>2.2571889884648675E-3</v>
      </c>
      <c r="AC160" s="3">
        <f t="shared" si="98"/>
        <v>2.2571833108111588E-3</v>
      </c>
      <c r="AD160" s="3">
        <f t="shared" si="98"/>
        <v>2.2571265350595443E-3</v>
      </c>
      <c r="AE160" s="3">
        <f t="shared" si="98"/>
        <v>2.2565588560830292E-3</v>
      </c>
      <c r="AF160" s="3">
        <f t="shared" si="98"/>
        <v>2.2508899129766026E-3</v>
      </c>
    </row>
    <row r="161" spans="1:34" x14ac:dyDescent="0.25">
      <c r="A161" s="11" t="s">
        <v>75</v>
      </c>
      <c r="B161" s="3">
        <f t="shared" ref="B161:Z161" si="99">$C47*EXP(-B$129/$A47/EXP(-$B$126))</f>
        <v>3.6224207496198294E-4</v>
      </c>
      <c r="C161" s="3">
        <f t="shared" si="99"/>
        <v>3.6224207496198294E-4</v>
      </c>
      <c r="D161" s="3">
        <f t="shared" si="99"/>
        <v>3.6224207496198294E-4</v>
      </c>
      <c r="E161" s="3">
        <f t="shared" si="99"/>
        <v>3.6224207496198294E-4</v>
      </c>
      <c r="F161" s="3">
        <f t="shared" si="99"/>
        <v>3.6224207496198294E-4</v>
      </c>
      <c r="G161" s="3">
        <f t="shared" si="99"/>
        <v>3.6224207496198294E-4</v>
      </c>
      <c r="H161" s="3">
        <f t="shared" si="99"/>
        <v>3.6224207496198294E-4</v>
      </c>
      <c r="I161" s="3">
        <f t="shared" si="99"/>
        <v>3.6224207496198294E-4</v>
      </c>
      <c r="J161" s="3">
        <f t="shared" si="99"/>
        <v>3.6224207496198294E-4</v>
      </c>
      <c r="K161" s="3">
        <f t="shared" si="99"/>
        <v>3.6224207496198294E-4</v>
      </c>
      <c r="L161" s="3">
        <f t="shared" si="99"/>
        <v>3.6224207496198294E-4</v>
      </c>
      <c r="M161" s="3">
        <f t="shared" si="99"/>
        <v>3.6224207496198294E-4</v>
      </c>
      <c r="N161" s="3">
        <f t="shared" si="99"/>
        <v>3.6224207496198294E-4</v>
      </c>
      <c r="O161" s="3">
        <f t="shared" si="99"/>
        <v>3.6224207496198294E-4</v>
      </c>
      <c r="P161" s="3">
        <f t="shared" si="99"/>
        <v>3.6224207496198294E-4</v>
      </c>
      <c r="Q161" s="3">
        <f t="shared" si="99"/>
        <v>3.6224207496198294E-4</v>
      </c>
      <c r="R161" s="3">
        <f t="shared" si="99"/>
        <v>3.6224207496198294E-4</v>
      </c>
      <c r="S161" s="3">
        <f t="shared" si="99"/>
        <v>3.6224207496198294E-4</v>
      </c>
      <c r="T161" s="3">
        <f t="shared" si="99"/>
        <v>3.6224207496198283E-4</v>
      </c>
      <c r="U161" s="3">
        <f t="shared" si="99"/>
        <v>3.6224207496198191E-4</v>
      </c>
      <c r="V161" s="3">
        <f t="shared" si="99"/>
        <v>3.6224207496197281E-4</v>
      </c>
      <c r="W161" s="3">
        <f t="shared" si="99"/>
        <v>3.6224207496188173E-4</v>
      </c>
      <c r="X161" s="3">
        <f t="shared" si="99"/>
        <v>3.6224207496097051E-4</v>
      </c>
      <c r="Y161" s="3">
        <f t="shared" si="99"/>
        <v>3.6224207495185883E-4</v>
      </c>
      <c r="Z161" s="3">
        <f t="shared" si="99"/>
        <v>3.6224207486074161E-4</v>
      </c>
      <c r="AA161" s="3">
        <f t="shared" ref="AA161:AF161" si="100">$C47*EXP(-AA$129/$A47/EXP(-$B$126))</f>
        <v>3.6224207394956948E-4</v>
      </c>
      <c r="AB161" s="3">
        <f t="shared" si="100"/>
        <v>3.6224206483784856E-4</v>
      </c>
      <c r="AC161" s="3">
        <f t="shared" si="100"/>
        <v>3.6224197372065187E-4</v>
      </c>
      <c r="AD161" s="3">
        <f t="shared" si="100"/>
        <v>3.6224106254994528E-4</v>
      </c>
      <c r="AE161" s="3">
        <f t="shared" si="100"/>
        <v>3.6223195096893481E-4</v>
      </c>
      <c r="AF161" s="3">
        <f t="shared" si="100"/>
        <v>3.6214084776315834E-4</v>
      </c>
    </row>
    <row r="162" spans="1:34" x14ac:dyDescent="0.25">
      <c r="B162" s="3">
        <f t="shared" ref="B162:Z162" si="101">$C48*EXP(-B$129/$A48/EXP(-$B$126))</f>
        <v>0</v>
      </c>
      <c r="C162" s="3">
        <f t="shared" si="101"/>
        <v>0</v>
      </c>
      <c r="D162" s="3">
        <f t="shared" si="101"/>
        <v>0</v>
      </c>
      <c r="E162" s="3">
        <f t="shared" si="101"/>
        <v>0</v>
      </c>
      <c r="F162" s="3">
        <f t="shared" si="101"/>
        <v>0</v>
      </c>
      <c r="G162" s="3">
        <f t="shared" si="101"/>
        <v>0</v>
      </c>
      <c r="H162" s="3">
        <f t="shared" si="101"/>
        <v>0</v>
      </c>
      <c r="I162" s="3">
        <f t="shared" si="101"/>
        <v>0</v>
      </c>
      <c r="J162" s="3">
        <f t="shared" si="101"/>
        <v>0</v>
      </c>
      <c r="K162" s="3">
        <f t="shared" si="101"/>
        <v>0</v>
      </c>
      <c r="L162" s="3">
        <f t="shared" si="101"/>
        <v>0</v>
      </c>
      <c r="M162" s="3">
        <f t="shared" si="101"/>
        <v>0</v>
      </c>
      <c r="N162" s="3">
        <f t="shared" si="101"/>
        <v>0</v>
      </c>
      <c r="O162" s="3">
        <f t="shared" si="101"/>
        <v>0</v>
      </c>
      <c r="P162" s="3">
        <f t="shared" si="101"/>
        <v>0</v>
      </c>
      <c r="Q162" s="3">
        <f t="shared" si="101"/>
        <v>0</v>
      </c>
      <c r="R162" s="3">
        <f t="shared" si="101"/>
        <v>0</v>
      </c>
      <c r="S162" s="3">
        <f t="shared" si="101"/>
        <v>0</v>
      </c>
      <c r="T162" s="3">
        <f t="shared" si="101"/>
        <v>0</v>
      </c>
      <c r="U162" s="3">
        <f t="shared" si="101"/>
        <v>0</v>
      </c>
      <c r="V162" s="3">
        <f t="shared" si="101"/>
        <v>0</v>
      </c>
      <c r="W162" s="3">
        <f t="shared" si="101"/>
        <v>0</v>
      </c>
      <c r="X162" s="3">
        <f t="shared" si="101"/>
        <v>0</v>
      </c>
      <c r="Y162" s="3">
        <f t="shared" si="101"/>
        <v>0</v>
      </c>
      <c r="Z162" s="3">
        <f t="shared" si="101"/>
        <v>0</v>
      </c>
      <c r="AA162" s="3">
        <f t="shared" ref="AA162:AF162" si="102">$C48*EXP(-AA$129/$A48/EXP(-$B$126))</f>
        <v>0</v>
      </c>
      <c r="AB162" s="3">
        <f t="shared" si="102"/>
        <v>0</v>
      </c>
      <c r="AC162" s="3">
        <f t="shared" si="102"/>
        <v>0</v>
      </c>
      <c r="AD162" s="3">
        <f t="shared" si="102"/>
        <v>0</v>
      </c>
      <c r="AE162" s="3">
        <f t="shared" si="102"/>
        <v>0</v>
      </c>
      <c r="AF162" s="3">
        <f t="shared" si="102"/>
        <v>0</v>
      </c>
    </row>
    <row r="163" spans="1:34" x14ac:dyDescent="0.25">
      <c r="A163" s="80">
        <f>AVERAGE(B163:AF163)</f>
        <v>3.998286662748727E-4</v>
      </c>
      <c r="B163" s="81">
        <f>IF($A$64&lt;=B129,IF($B$64&gt;=B129,ABS((B131-B130)/B130),0),0)</f>
        <v>0</v>
      </c>
      <c r="C163" s="81">
        <f t="shared" ref="C163:AF163" si="103">IF($A$64&lt;=C129,IF($B$64&gt;=C129,ABS((C131-C130)/C130),0),0)</f>
        <v>0</v>
      </c>
      <c r="D163" s="81">
        <f t="shared" si="103"/>
        <v>0</v>
      </c>
      <c r="E163" s="81">
        <f t="shared" si="103"/>
        <v>0</v>
      </c>
      <c r="F163" s="81">
        <f t="shared" si="103"/>
        <v>0</v>
      </c>
      <c r="G163" s="81">
        <f t="shared" si="103"/>
        <v>0</v>
      </c>
      <c r="H163" s="81">
        <f t="shared" si="103"/>
        <v>0</v>
      </c>
      <c r="I163" s="81">
        <f t="shared" si="103"/>
        <v>0</v>
      </c>
      <c r="J163" s="81">
        <f t="shared" si="103"/>
        <v>0</v>
      </c>
      <c r="K163" s="81">
        <f t="shared" si="103"/>
        <v>0</v>
      </c>
      <c r="L163" s="81">
        <f t="shared" si="103"/>
        <v>9.8704968146604293E-4</v>
      </c>
      <c r="M163" s="81">
        <f t="shared" si="103"/>
        <v>3.0520732651225456E-4</v>
      </c>
      <c r="N163" s="81">
        <f t="shared" si="103"/>
        <v>6.147161257392213E-4</v>
      </c>
      <c r="O163" s="81">
        <f t="shared" si="103"/>
        <v>4.1218321991450609E-4</v>
      </c>
      <c r="P163" s="81">
        <f t="shared" si="103"/>
        <v>5.6016217450791149E-4</v>
      </c>
      <c r="Q163" s="81">
        <f t="shared" si="103"/>
        <v>1.7389877207317668E-3</v>
      </c>
      <c r="R163" s="81">
        <f t="shared" si="103"/>
        <v>4.9454747090549257E-4</v>
      </c>
      <c r="S163" s="81">
        <f t="shared" si="103"/>
        <v>2.0501872873887675E-3</v>
      </c>
      <c r="T163" s="81">
        <f t="shared" si="103"/>
        <v>2.1201787328529713E-4</v>
      </c>
      <c r="U163" s="81">
        <f t="shared" si="103"/>
        <v>5.5570428564953589E-4</v>
      </c>
      <c r="V163" s="81">
        <f t="shared" si="103"/>
        <v>4.463925488420257E-3</v>
      </c>
      <c r="W163" s="81">
        <f t="shared" si="103"/>
        <v>0</v>
      </c>
      <c r="X163" s="81">
        <f t="shared" si="103"/>
        <v>0</v>
      </c>
      <c r="Y163" s="81">
        <f t="shared" si="103"/>
        <v>0</v>
      </c>
      <c r="Z163" s="81">
        <f t="shared" si="103"/>
        <v>0</v>
      </c>
      <c r="AA163" s="81">
        <f t="shared" si="103"/>
        <v>0</v>
      </c>
      <c r="AB163" s="81">
        <f t="shared" si="103"/>
        <v>0</v>
      </c>
      <c r="AC163" s="81">
        <f t="shared" si="103"/>
        <v>0</v>
      </c>
      <c r="AD163" s="81">
        <f t="shared" si="103"/>
        <v>0</v>
      </c>
      <c r="AE163" s="81">
        <f t="shared" si="103"/>
        <v>0</v>
      </c>
      <c r="AF163" s="81">
        <f t="shared" si="103"/>
        <v>0</v>
      </c>
    </row>
    <row r="164" spans="1:34" x14ac:dyDescent="0.25">
      <c r="B164" s="21">
        <f>(B131-B130)^2</f>
        <v>574227.57407124026</v>
      </c>
      <c r="C164" s="21">
        <f t="shared" ref="C164:AF164" si="104">(C131-C130)^2</f>
        <v>448731.73024768301</v>
      </c>
      <c r="D164" s="21">
        <f t="shared" si="104"/>
        <v>125982.6940040073</v>
      </c>
      <c r="E164" s="21">
        <f t="shared" si="104"/>
        <v>21062.404068127176</v>
      </c>
      <c r="F164" s="21">
        <f t="shared" si="104"/>
        <v>652.40731485886602</v>
      </c>
      <c r="G164" s="21">
        <f t="shared" si="104"/>
        <v>1599.0572869652572</v>
      </c>
      <c r="H164" s="21">
        <f t="shared" si="104"/>
        <v>1242.5606481352513</v>
      </c>
      <c r="I164" s="21">
        <f t="shared" si="104"/>
        <v>14.368640712621684</v>
      </c>
      <c r="J164" s="21">
        <f t="shared" si="104"/>
        <v>49.805541079140838</v>
      </c>
      <c r="K164" s="21">
        <f t="shared" si="104"/>
        <v>23.852025084853448</v>
      </c>
      <c r="L164" s="21">
        <f t="shared" si="104"/>
        <v>60.016579383805954</v>
      </c>
      <c r="M164" s="21">
        <f t="shared" si="104"/>
        <v>5.32615835172885</v>
      </c>
      <c r="N164" s="21">
        <f t="shared" si="104"/>
        <v>19.654921902989123</v>
      </c>
      <c r="O164" s="21">
        <f t="shared" si="104"/>
        <v>7.9162871665447287</v>
      </c>
      <c r="P164" s="21">
        <f t="shared" si="104"/>
        <v>13.129814592377569</v>
      </c>
      <c r="Q164" s="21">
        <f t="shared" si="104"/>
        <v>115.68681673704219</v>
      </c>
      <c r="R164" s="21">
        <f t="shared" si="104"/>
        <v>8.5022126627256451</v>
      </c>
      <c r="S164" s="21">
        <f t="shared" si="104"/>
        <v>132.76868716207434</v>
      </c>
      <c r="T164" s="21">
        <f t="shared" si="104"/>
        <v>1.2773991983329287</v>
      </c>
      <c r="U164" s="21">
        <f t="shared" si="104"/>
        <v>7.895514643510233</v>
      </c>
      <c r="V164" s="21">
        <f t="shared" si="104"/>
        <v>437.49196829981008</v>
      </c>
      <c r="W164" s="21">
        <f t="shared" si="104"/>
        <v>910.10439938195259</v>
      </c>
      <c r="X164" s="21">
        <f t="shared" si="104"/>
        <v>1809.7310686827116</v>
      </c>
      <c r="Y164" s="21">
        <f t="shared" si="104"/>
        <v>2548.9550653524188</v>
      </c>
      <c r="Z164" s="21">
        <f t="shared" si="104"/>
        <v>1748.4496842077288</v>
      </c>
      <c r="AA164" s="21">
        <f t="shared" si="104"/>
        <v>12246.925516964906</v>
      </c>
      <c r="AB164" s="21">
        <f t="shared" si="104"/>
        <v>285.77761743427766</v>
      </c>
      <c r="AC164" s="21">
        <f t="shared" si="104"/>
        <v>1333.1485906876717</v>
      </c>
      <c r="AD164" s="21">
        <f t="shared" si="104"/>
        <v>72.031278268772837</v>
      </c>
      <c r="AE164" s="21">
        <f t="shared" si="104"/>
        <v>65.949574790377739</v>
      </c>
      <c r="AF164" s="21">
        <f t="shared" si="104"/>
        <v>21.784166325525455</v>
      </c>
    </row>
    <row r="165" spans="1:34" x14ac:dyDescent="0.25">
      <c r="A165" s="72">
        <f>SUM(B165:AF165)</f>
        <v>809.66636010094169</v>
      </c>
      <c r="B165" s="60">
        <f>IF($A$64&lt;=B129,IF($B$64&gt;=B129,ABS(B164),0),0)</f>
        <v>0</v>
      </c>
      <c r="C165" s="60">
        <f t="shared" ref="C165:AF165" si="105">IF($A$64&lt;=C129,IF($B$64&gt;=C129,ABS(C164),0),0)</f>
        <v>0</v>
      </c>
      <c r="D165" s="60">
        <f t="shared" si="105"/>
        <v>0</v>
      </c>
      <c r="E165" s="60">
        <f t="shared" si="105"/>
        <v>0</v>
      </c>
      <c r="F165" s="60">
        <f t="shared" si="105"/>
        <v>0</v>
      </c>
      <c r="G165" s="60">
        <f t="shared" si="105"/>
        <v>0</v>
      </c>
      <c r="H165" s="60">
        <f t="shared" si="105"/>
        <v>0</v>
      </c>
      <c r="I165" s="60">
        <f t="shared" si="105"/>
        <v>0</v>
      </c>
      <c r="J165" s="60">
        <f t="shared" si="105"/>
        <v>0</v>
      </c>
      <c r="K165" s="60">
        <f t="shared" si="105"/>
        <v>0</v>
      </c>
      <c r="L165" s="60">
        <f t="shared" si="105"/>
        <v>60.016579383805954</v>
      </c>
      <c r="M165" s="60">
        <f t="shared" si="105"/>
        <v>5.32615835172885</v>
      </c>
      <c r="N165" s="60">
        <f t="shared" si="105"/>
        <v>19.654921902989123</v>
      </c>
      <c r="O165" s="60">
        <f t="shared" si="105"/>
        <v>7.9162871665447287</v>
      </c>
      <c r="P165" s="60">
        <f t="shared" si="105"/>
        <v>13.129814592377569</v>
      </c>
      <c r="Q165" s="60">
        <f t="shared" si="105"/>
        <v>115.68681673704219</v>
      </c>
      <c r="R165" s="60">
        <f t="shared" si="105"/>
        <v>8.5022126627256451</v>
      </c>
      <c r="S165" s="60">
        <f t="shared" si="105"/>
        <v>132.76868716207434</v>
      </c>
      <c r="T165" s="60">
        <f t="shared" si="105"/>
        <v>1.2773991983329287</v>
      </c>
      <c r="U165" s="60">
        <f t="shared" si="105"/>
        <v>7.895514643510233</v>
      </c>
      <c r="V165" s="60">
        <f t="shared" si="105"/>
        <v>437.49196829981008</v>
      </c>
      <c r="W165" s="60">
        <f t="shared" si="105"/>
        <v>0</v>
      </c>
      <c r="X165" s="60">
        <f t="shared" si="105"/>
        <v>0</v>
      </c>
      <c r="Y165" s="60">
        <f t="shared" si="105"/>
        <v>0</v>
      </c>
      <c r="Z165" s="60">
        <f t="shared" si="105"/>
        <v>0</v>
      </c>
      <c r="AA165" s="60">
        <f t="shared" si="105"/>
        <v>0</v>
      </c>
      <c r="AB165" s="60">
        <f t="shared" si="105"/>
        <v>0</v>
      </c>
      <c r="AC165" s="60">
        <f t="shared" si="105"/>
        <v>0</v>
      </c>
      <c r="AD165" s="60">
        <f t="shared" si="105"/>
        <v>0</v>
      </c>
      <c r="AE165" s="60">
        <f t="shared" si="105"/>
        <v>0</v>
      </c>
      <c r="AF165" s="60">
        <f t="shared" si="105"/>
        <v>0</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70" t="s">
        <v>27</v>
      </c>
      <c r="B167" s="11">
        <f>INDEX($D$1:$M$1,1,$C$122)</f>
        <v>0</v>
      </c>
    </row>
    <row r="168" spans="1:34" x14ac:dyDescent="0.25">
      <c r="A168" s="70"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10065.543251576082</v>
      </c>
      <c r="C169" s="26">
        <f>INDEX(Comparison!$AM$3:$AS$33,G$14,$C$122)</f>
        <v>9708.7484211633309</v>
      </c>
      <c r="D169" s="26">
        <f>INDEX(Comparison!$AM$3:$AS$33,H$14,$C$122)</f>
        <v>9504.080552546171</v>
      </c>
      <c r="E169" s="26">
        <f>INDEX(Comparison!$AM$3:$AS$33,I$14,$C$122)</f>
        <v>9297.6034614201999</v>
      </c>
      <c r="F169" s="26">
        <f>INDEX(Comparison!$AM$3:$AS$33,J$14,$C$122)</f>
        <v>9077.0448832845814</v>
      </c>
      <c r="G169" s="26">
        <f>INDEX(Comparison!$AM$3:$AS$33,K$14,$C$122)</f>
        <v>8833.9901329277236</v>
      </c>
      <c r="H169" s="26">
        <f>INDEX(Comparison!$AM$3:$AS$33,L$14,$C$122)</f>
        <v>8570.1980588932365</v>
      </c>
      <c r="I169" s="26">
        <f>INDEX(Comparison!$AM$3:$AS$33,M$14,$C$122)</f>
        <v>8282.9223634397895</v>
      </c>
      <c r="J169" s="26">
        <f>INDEX(Comparison!$AM$3:$AS$33,N$14,$C$122)</f>
        <v>7993.641154385381</v>
      </c>
      <c r="K169" s="26">
        <f>INDEX(Comparison!$AM$3:$AS$33,O$14,$C$122)</f>
        <v>7722.5102431706819</v>
      </c>
      <c r="L169" s="26">
        <f>INDEX(Comparison!$AM$3:$AS$33,P$14,$C$122)</f>
        <v>7411.9254661857585</v>
      </c>
      <c r="M169" s="26">
        <f>INDEX(Comparison!$AM$3:$AS$33,Q$14,$C$122)</f>
        <v>7044.5082173262499</v>
      </c>
      <c r="N169" s="26">
        <f>INDEX(Comparison!$AM$3:$AS$33,R$14,$C$122)</f>
        <v>6664.4913259208079</v>
      </c>
      <c r="O169" s="26">
        <f>INDEX(Comparison!$AM$3:$AS$33,S$14,$C$122)</f>
        <v>6341.2106146502829</v>
      </c>
      <c r="P169" s="26">
        <f>INDEX(Comparison!$AM$3:$AS$33,T$14,$C$122)</f>
        <v>6057.8856031721252</v>
      </c>
      <c r="Q169" s="26">
        <f>INDEX(Comparison!$AM$3:$AS$33,U$14,$C$122)</f>
        <v>5776.2920069159836</v>
      </c>
      <c r="R169" s="26">
        <f>INDEX(Comparison!$AM$3:$AS$33,V$14,$C$122)</f>
        <v>5493.3830678495879</v>
      </c>
      <c r="S169" s="26">
        <f>INDEX(Comparison!$AM$3:$AS$33,W$14,$C$122)</f>
        <v>5215.5329419319251</v>
      </c>
      <c r="T169" s="26">
        <f>INDEX(Comparison!$AM$3:$AS$33,X$14,$C$122)</f>
        <v>4897.7071873573095</v>
      </c>
      <c r="U169" s="26">
        <f>INDEX(Comparison!$AM$3:$AS$33,Y$14,$C$122)</f>
        <v>4495.7217042422935</v>
      </c>
      <c r="V169" s="26">
        <f>INDEX(Comparison!$AM$3:$AS$33,Z$14,$C$122)</f>
        <v>4059.1954090175182</v>
      </c>
      <c r="W169" s="26">
        <f>INDEX(Comparison!$AM$3:$AS$33,AA$14,$C$122)</f>
        <v>3597.5805592338243</v>
      </c>
      <c r="X169" s="26">
        <f>INDEX(Comparison!$AM$3:$AS$33,AB$14,$C$122)</f>
        <v>3113.2980023229825</v>
      </c>
      <c r="Y169" s="26">
        <f>INDEX(Comparison!$AM$3:$AS$33,AC$14,$C$122)</f>
        <v>2587.1664421745386</v>
      </c>
      <c r="Z169" s="26">
        <f>INDEX(Comparison!$AM$3:$AS$33,AD$14,$C$122)</f>
        <v>2025.5491425769458</v>
      </c>
      <c r="AA169" s="26">
        <f>INDEX(Comparison!$AM$3:$AS$33,AE$14,$C$122)</f>
        <v>1488.3947775442189</v>
      </c>
      <c r="AB169" s="26">
        <f>INDEX(Comparison!$AM$3:$AS$33,AF$14,$C$122)</f>
        <v>1075.2839868020503</v>
      </c>
      <c r="AC169" s="26">
        <f>INDEX(Comparison!$AM$3:$AS$33,AG$14,$C$122)</f>
        <v>799.60727676982128</v>
      </c>
      <c r="AD169" s="26">
        <f>INDEX(Comparison!$AM$3:$AS$33,AH$14,$C$122)</f>
        <v>660.84412890819806</v>
      </c>
      <c r="AE169" s="26">
        <f>INDEX(Comparison!$AM$3:$AS$33,AI$14,$C$122)</f>
        <v>587.16779346403064</v>
      </c>
      <c r="AF169" s="26">
        <f>INDEX(Comparison!$AM$3:$AS$33,AJ$14,$C$122)</f>
        <v>551.91226878266252</v>
      </c>
      <c r="AG169" s="26"/>
      <c r="AH169" s="26"/>
    </row>
    <row r="170" spans="1:34" x14ac:dyDescent="0.25">
      <c r="A170" s="71" t="s">
        <v>22</v>
      </c>
      <c r="B170" s="27">
        <f>($C$17+SUM(B171:B201))*$B$51</f>
        <v>9460.7938046630625</v>
      </c>
      <c r="C170" s="27">
        <f t="shared" ref="C170:AF170" si="106">($C$17+SUM(C171:C201))*$B$51</f>
        <v>9459.8928152832705</v>
      </c>
      <c r="D170" s="27">
        <f t="shared" si="106"/>
        <v>9450.9770252939488</v>
      </c>
      <c r="E170" s="27">
        <f t="shared" si="106"/>
        <v>9370.573985709294</v>
      </c>
      <c r="F170" s="27">
        <f t="shared" si="106"/>
        <v>9035.3313603848546</v>
      </c>
      <c r="G170" s="27">
        <f t="shared" si="106"/>
        <v>8814.1343525016455</v>
      </c>
      <c r="H170" s="27">
        <f t="shared" si="106"/>
        <v>8551.2313307543955</v>
      </c>
      <c r="I170" s="27">
        <f t="shared" si="106"/>
        <v>8264.5299917817792</v>
      </c>
      <c r="J170" s="27">
        <f t="shared" si="106"/>
        <v>7978.3950192312914</v>
      </c>
      <c r="K170" s="27">
        <f t="shared" si="106"/>
        <v>7707.0894117156149</v>
      </c>
      <c r="L170" s="27">
        <f t="shared" si="106"/>
        <v>7398.9111756514585</v>
      </c>
      <c r="M170" s="27">
        <f t="shared" si="106"/>
        <v>7033.6648083586197</v>
      </c>
      <c r="N170" s="27">
        <f t="shared" si="106"/>
        <v>6655.5186711980832</v>
      </c>
      <c r="O170" s="27">
        <f t="shared" si="106"/>
        <v>6330.3675768573667</v>
      </c>
      <c r="P170" s="27">
        <f t="shared" si="106"/>
        <v>6048.3393134620701</v>
      </c>
      <c r="Q170" s="27">
        <f t="shared" si="106"/>
        <v>5766.339962657059</v>
      </c>
      <c r="R170" s="27">
        <f t="shared" si="106"/>
        <v>5484.3957863088035</v>
      </c>
      <c r="S170" s="27">
        <f t="shared" si="106"/>
        <v>5208.7767721000619</v>
      </c>
      <c r="T170" s="27">
        <f t="shared" si="106"/>
        <v>4904.790305779984</v>
      </c>
      <c r="U170" s="27">
        <f t="shared" si="106"/>
        <v>4525.0049973985206</v>
      </c>
      <c r="V170" s="27">
        <f t="shared" si="106"/>
        <v>4092.7325584597643</v>
      </c>
      <c r="W170" s="27">
        <f t="shared" si="106"/>
        <v>3623.2727432166848</v>
      </c>
      <c r="X170" s="27">
        <f t="shared" si="106"/>
        <v>3132.7895812041879</v>
      </c>
      <c r="Y170" s="27">
        <f t="shared" si="106"/>
        <v>2593.5940205209213</v>
      </c>
      <c r="Z170" s="27">
        <f t="shared" si="106"/>
        <v>2048.0813191790717</v>
      </c>
      <c r="AA170" s="27">
        <f t="shared" si="106"/>
        <v>1496.4095695381714</v>
      </c>
      <c r="AB170" s="27">
        <f t="shared" si="106"/>
        <v>1084.7796757748154</v>
      </c>
      <c r="AC170" s="27">
        <f t="shared" si="106"/>
        <v>802.76630990366425</v>
      </c>
      <c r="AD170" s="27">
        <f t="shared" si="106"/>
        <v>662.99890455610443</v>
      </c>
      <c r="AE170" s="27">
        <f t="shared" si="106"/>
        <v>588.13496401788132</v>
      </c>
      <c r="AF170" s="27">
        <f t="shared" si="106"/>
        <v>552.31399865351216</v>
      </c>
      <c r="AG170" s="27"/>
      <c r="AH170" s="27"/>
    </row>
    <row r="171" spans="1:34" x14ac:dyDescent="0.25">
      <c r="B171" s="3">
        <f t="shared" ref="B171:AF171" si="107">$C18*EXP(-B$168/$A18/EXP(-$C$126))</f>
        <v>0</v>
      </c>
      <c r="C171" s="3">
        <f t="shared" si="107"/>
        <v>0</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4.2583333600048776E-2</v>
      </c>
      <c r="C172" s="3">
        <f t="shared" si="108"/>
        <v>4.2498661968279089E-2</v>
      </c>
      <c r="D172" s="3">
        <f t="shared" si="108"/>
        <v>4.1661150376226606E-2</v>
      </c>
      <c r="E172" s="3">
        <f t="shared" si="108"/>
        <v>3.4142181519081972E-2</v>
      </c>
      <c r="F172" s="3">
        <f t="shared" si="108"/>
        <v>4.6654265712828451E-3</v>
      </c>
      <c r="G172" s="3">
        <f t="shared" si="108"/>
        <v>1.0589910112047435E-11</v>
      </c>
      <c r="H172" s="3">
        <f t="shared" si="108"/>
        <v>3.8450449994495167E-98</v>
      </c>
      <c r="I172" s="3">
        <f t="shared" si="108"/>
        <v>0</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1.818959825157981E-2</v>
      </c>
      <c r="C173" s="3">
        <f t="shared" si="109"/>
        <v>1.8186332665685544E-2</v>
      </c>
      <c r="D173" s="3">
        <f t="shared" si="109"/>
        <v>1.8153709034339514E-2</v>
      </c>
      <c r="E173" s="3">
        <f t="shared" si="109"/>
        <v>1.7830674173470059E-2</v>
      </c>
      <c r="F173" s="3">
        <f t="shared" si="109"/>
        <v>1.4900186391938132E-2</v>
      </c>
      <c r="G173" s="3">
        <f t="shared" si="109"/>
        <v>2.4741787503485806E-3</v>
      </c>
      <c r="H173" s="3">
        <f t="shared" si="109"/>
        <v>3.9429819298222889E-11</v>
      </c>
      <c r="I173" s="3">
        <f t="shared" si="109"/>
        <v>4.1664092646066136E-89</v>
      </c>
      <c r="J173" s="3">
        <f t="shared" si="109"/>
        <v>0</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2.8233674354676812E-2</v>
      </c>
      <c r="C174" s="3">
        <f t="shared" si="110"/>
        <v>2.8233217069138481E-2</v>
      </c>
      <c r="D174" s="3">
        <f t="shared" si="110"/>
        <v>2.8228644621087713E-2</v>
      </c>
      <c r="E174" s="3">
        <f t="shared" si="110"/>
        <v>2.8182960849435636E-2</v>
      </c>
      <c r="F174" s="3">
        <f t="shared" si="110"/>
        <v>2.7730169728056059E-2</v>
      </c>
      <c r="G174" s="3">
        <f t="shared" si="110"/>
        <v>2.3583683186811404E-2</v>
      </c>
      <c r="H174" s="3">
        <f t="shared" si="110"/>
        <v>4.668772103655479E-3</v>
      </c>
      <c r="I174" s="3">
        <f t="shared" si="110"/>
        <v>4.3163147572264286E-10</v>
      </c>
      <c r="J174" s="3">
        <f t="shared" si="110"/>
        <v>1.9688717389384543E-80</v>
      </c>
      <c r="K174" s="3">
        <f t="shared" si="110"/>
        <v>0</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2.9847577027373329E-2</v>
      </c>
      <c r="C175" s="3">
        <f t="shared" si="111"/>
        <v>2.9847533418091151E-2</v>
      </c>
      <c r="D175" s="3">
        <f t="shared" si="111"/>
        <v>2.9847097328773761E-2</v>
      </c>
      <c r="E175" s="3">
        <f t="shared" si="111"/>
        <v>2.9842736786017589E-2</v>
      </c>
      <c r="F175" s="3">
        <f t="shared" si="111"/>
        <v>2.9799166381295379E-2</v>
      </c>
      <c r="G175" s="3">
        <f t="shared" si="111"/>
        <v>2.9366945758624412E-2</v>
      </c>
      <c r="H175" s="3">
        <f t="shared" si="111"/>
        <v>2.5374964385272689E-2</v>
      </c>
      <c r="I175" s="3">
        <f t="shared" si="111"/>
        <v>5.8867019060582903E-3</v>
      </c>
      <c r="J175" s="3">
        <f t="shared" si="111"/>
        <v>2.6578965531435351E-9</v>
      </c>
      <c r="K175" s="3">
        <f t="shared" si="111"/>
        <v>9.3583303132785316E-73</v>
      </c>
      <c r="L175" s="3">
        <f t="shared" si="111"/>
        <v>0</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2.9885282303951485E-2</v>
      </c>
      <c r="C176" s="3">
        <f t="shared" si="112"/>
        <v>2.9885278365059248E-2</v>
      </c>
      <c r="D176" s="3">
        <f t="shared" si="112"/>
        <v>2.9885238976165483E-2</v>
      </c>
      <c r="E176" s="3">
        <f t="shared" si="112"/>
        <v>2.9884845090083136E-2</v>
      </c>
      <c r="F176" s="3">
        <f t="shared" si="112"/>
        <v>2.988090651477536E-2</v>
      </c>
      <c r="G176" s="3">
        <f t="shared" si="112"/>
        <v>2.9841549299353093E-2</v>
      </c>
      <c r="H176" s="3">
        <f t="shared" si="112"/>
        <v>2.9450817042887194E-2</v>
      </c>
      <c r="I176" s="3">
        <f t="shared" si="112"/>
        <v>2.5814110010803568E-2</v>
      </c>
      <c r="J176" s="3">
        <f t="shared" si="112"/>
        <v>6.909637193144141E-3</v>
      </c>
      <c r="K176" s="3">
        <f t="shared" si="112"/>
        <v>1.3044760865387524E-8</v>
      </c>
      <c r="L176" s="3">
        <f t="shared" si="112"/>
        <v>7.5031719595258551E-66</v>
      </c>
      <c r="M176" s="3">
        <f t="shared" si="112"/>
        <v>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2.6241418244968135E-2</v>
      </c>
      <c r="C177" s="3">
        <f t="shared" si="113"/>
        <v>2.6241417932970964E-2</v>
      </c>
      <c r="D177" s="3">
        <f t="shared" si="113"/>
        <v>2.6241414812999457E-2</v>
      </c>
      <c r="E177" s="3">
        <f t="shared" si="113"/>
        <v>2.6241383613304792E-2</v>
      </c>
      <c r="F177" s="3">
        <f t="shared" si="113"/>
        <v>2.6241071618398351E-2</v>
      </c>
      <c r="G177" s="3">
        <f t="shared" si="113"/>
        <v>2.6237951873345829E-2</v>
      </c>
      <c r="H177" s="3">
        <f t="shared" si="113"/>
        <v>2.6206774815037592E-2</v>
      </c>
      <c r="I177" s="3">
        <f t="shared" si="113"/>
        <v>2.5897034511350333E-2</v>
      </c>
      <c r="J177" s="3">
        <f t="shared" si="113"/>
        <v>2.2994004982838646E-2</v>
      </c>
      <c r="K177" s="3">
        <f t="shared" si="113"/>
        <v>7.0026186655417662E-3</v>
      </c>
      <c r="L177" s="3">
        <f t="shared" si="113"/>
        <v>4.8052837347777049E-8</v>
      </c>
      <c r="M177" s="3">
        <f t="shared" si="113"/>
        <v>1.1125118065315457E-59</v>
      </c>
      <c r="N177" s="3">
        <f t="shared" si="113"/>
        <v>0</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3.2917205997872526E-2</v>
      </c>
      <c r="C178" s="3">
        <f t="shared" si="114"/>
        <v>3.2917205962567787E-2</v>
      </c>
      <c r="D178" s="3">
        <f t="shared" si="114"/>
        <v>3.2917205609520481E-2</v>
      </c>
      <c r="E178" s="3">
        <f t="shared" si="114"/>
        <v>3.2917202079047567E-2</v>
      </c>
      <c r="F178" s="3">
        <f t="shared" si="114"/>
        <v>3.2917166774339299E-2</v>
      </c>
      <c r="G178" s="3">
        <f t="shared" si="114"/>
        <v>3.2916813729339155E-2</v>
      </c>
      <c r="H178" s="3">
        <f t="shared" si="114"/>
        <v>3.2913283487588423E-2</v>
      </c>
      <c r="I178" s="3">
        <f t="shared" si="114"/>
        <v>3.2878001886885867E-2</v>
      </c>
      <c r="J178" s="3">
        <f t="shared" si="114"/>
        <v>3.2527259323118535E-2</v>
      </c>
      <c r="K178" s="3">
        <f t="shared" si="114"/>
        <v>2.9219180593569011E-2</v>
      </c>
      <c r="L178" s="3">
        <f t="shared" si="114"/>
        <v>9.9970908346410942E-3</v>
      </c>
      <c r="M178" s="3">
        <f t="shared" si="114"/>
        <v>2.197504096460875E-7</v>
      </c>
      <c r="N178" s="3">
        <f t="shared" si="114"/>
        <v>5.7874898842972859E-54</v>
      </c>
      <c r="O178" s="3">
        <f t="shared" si="114"/>
        <v>0</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4.0072808201981551E-2</v>
      </c>
      <c r="C179" s="3">
        <f t="shared" si="115"/>
        <v>4.0072808198104458E-2</v>
      </c>
      <c r="D179" s="3">
        <f t="shared" si="115"/>
        <v>4.007280815933352E-2</v>
      </c>
      <c r="E179" s="3">
        <f t="shared" si="115"/>
        <v>4.0072807771624135E-2</v>
      </c>
      <c r="F179" s="3">
        <f t="shared" si="115"/>
        <v>4.0072803894530502E-2</v>
      </c>
      <c r="G179" s="3">
        <f t="shared" si="115"/>
        <v>4.0072765123614802E-2</v>
      </c>
      <c r="H179" s="3">
        <f t="shared" si="115"/>
        <v>4.0072377416520893E-2</v>
      </c>
      <c r="I179" s="3">
        <f t="shared" si="115"/>
        <v>4.0068500551886141E-2</v>
      </c>
      <c r="J179" s="3">
        <f t="shared" si="115"/>
        <v>4.0029752528584713E-2</v>
      </c>
      <c r="K179" s="3">
        <f t="shared" si="115"/>
        <v>3.9644327236614714E-2</v>
      </c>
      <c r="L179" s="3">
        <f t="shared" si="115"/>
        <v>3.5988398672458274E-2</v>
      </c>
      <c r="M179" s="3">
        <f t="shared" si="115"/>
        <v>1.3676571134783481E-2</v>
      </c>
      <c r="N179" s="3">
        <f t="shared" si="115"/>
        <v>8.5925939002635209E-7</v>
      </c>
      <c r="O179" s="3">
        <f t="shared" si="115"/>
        <v>8.2336967606896329E-49</v>
      </c>
      <c r="P179" s="3">
        <f t="shared" si="115"/>
        <v>0</v>
      </c>
      <c r="Q179" s="3">
        <f t="shared" si="115"/>
        <v>0</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3.9765912840056504E-2</v>
      </c>
      <c r="C180" s="3">
        <f t="shared" si="116"/>
        <v>3.9765912839709441E-2</v>
      </c>
      <c r="D180" s="3">
        <f t="shared" si="116"/>
        <v>3.9765912836238766E-2</v>
      </c>
      <c r="E180" s="3">
        <f t="shared" si="116"/>
        <v>3.9765912801532001E-2</v>
      </c>
      <c r="F180" s="3">
        <f t="shared" si="116"/>
        <v>3.9765912454464397E-2</v>
      </c>
      <c r="G180" s="3">
        <f t="shared" si="116"/>
        <v>3.9765908983788484E-2</v>
      </c>
      <c r="H180" s="3">
        <f t="shared" si="116"/>
        <v>3.9765874277046039E-2</v>
      </c>
      <c r="I180" s="3">
        <f t="shared" si="116"/>
        <v>3.9765527211287566E-2</v>
      </c>
      <c r="J180" s="3">
        <f t="shared" si="116"/>
        <v>3.9762056720298769E-2</v>
      </c>
      <c r="K180" s="3">
        <f t="shared" si="116"/>
        <v>3.9727368464622589E-2</v>
      </c>
      <c r="L180" s="3">
        <f t="shared" si="116"/>
        <v>3.9382145963475723E-2</v>
      </c>
      <c r="M180" s="3">
        <f t="shared" si="116"/>
        <v>3.6090688599544542E-2</v>
      </c>
      <c r="N180" s="3">
        <f t="shared" si="116"/>
        <v>1.507832420255073E-2</v>
      </c>
      <c r="O180" s="3">
        <f t="shared" si="116"/>
        <v>2.44304891695306E-6</v>
      </c>
      <c r="P180" s="3">
        <f t="shared" si="116"/>
        <v>3.0459517706788253E-44</v>
      </c>
      <c r="Q180" s="3">
        <f t="shared" si="116"/>
        <v>0</v>
      </c>
      <c r="R180" s="3">
        <f t="shared" si="116"/>
        <v>0</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2.9424353030168743E-2</v>
      </c>
      <c r="C181" s="3">
        <f t="shared" si="117"/>
        <v>2.9424353030145577E-2</v>
      </c>
      <c r="D181" s="3">
        <f t="shared" si="117"/>
        <v>2.9424353029913912E-2</v>
      </c>
      <c r="E181" s="3">
        <f t="shared" si="117"/>
        <v>2.9424353027597282E-2</v>
      </c>
      <c r="F181" s="3">
        <f t="shared" si="117"/>
        <v>2.9424353004430984E-2</v>
      </c>
      <c r="G181" s="3">
        <f t="shared" si="117"/>
        <v>2.9424352772768003E-2</v>
      </c>
      <c r="H181" s="3">
        <f t="shared" si="117"/>
        <v>2.9424350456138299E-2</v>
      </c>
      <c r="I181" s="3">
        <f t="shared" si="117"/>
        <v>2.9424327289851275E-2</v>
      </c>
      <c r="J181" s="3">
        <f t="shared" si="117"/>
        <v>2.9424095627984169E-2</v>
      </c>
      <c r="K181" s="3">
        <f t="shared" si="117"/>
        <v>2.9421779109625616E-2</v>
      </c>
      <c r="L181" s="3">
        <f t="shared" si="117"/>
        <v>2.9398623954367126E-2</v>
      </c>
      <c r="M181" s="3">
        <f t="shared" si="117"/>
        <v>2.9168072319303358E-2</v>
      </c>
      <c r="N181" s="3">
        <f t="shared" si="117"/>
        <v>2.6959695216842095E-2</v>
      </c>
      <c r="O181" s="3">
        <f t="shared" si="117"/>
        <v>1.2268387319087951E-2</v>
      </c>
      <c r="P181" s="3">
        <f t="shared" si="117"/>
        <v>4.6721037826738639E-6</v>
      </c>
      <c r="Q181" s="3">
        <f t="shared" si="117"/>
        <v>2.997522903929975E-40</v>
      </c>
      <c r="R181" s="3">
        <f t="shared" si="117"/>
        <v>0</v>
      </c>
      <c r="S181" s="3">
        <f t="shared" si="117"/>
        <v>0</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2.8571417110975932E-2</v>
      </c>
      <c r="C182" s="3">
        <f t="shared" si="118"/>
        <v>2.8571417110973902E-2</v>
      </c>
      <c r="D182" s="3">
        <f t="shared" si="118"/>
        <v>2.8571417110953609E-2</v>
      </c>
      <c r="E182" s="3">
        <f t="shared" si="118"/>
        <v>2.8571417110750692E-2</v>
      </c>
      <c r="F182" s="3">
        <f t="shared" si="118"/>
        <v>2.8571417108721471E-2</v>
      </c>
      <c r="G182" s="3">
        <f t="shared" si="118"/>
        <v>2.8571417088429321E-2</v>
      </c>
      <c r="H182" s="3">
        <f t="shared" si="118"/>
        <v>2.8571416885507808E-2</v>
      </c>
      <c r="I182" s="3">
        <f t="shared" si="118"/>
        <v>2.8571414856292769E-2</v>
      </c>
      <c r="J182" s="3">
        <f t="shared" si="118"/>
        <v>2.8571394564150285E-2</v>
      </c>
      <c r="K182" s="3">
        <f t="shared" si="118"/>
        <v>2.8571191643518078E-2</v>
      </c>
      <c r="L182" s="3">
        <f t="shared" si="118"/>
        <v>2.8569162516459762E-2</v>
      </c>
      <c r="M182" s="3">
        <f t="shared" si="118"/>
        <v>2.8548879170165319E-2</v>
      </c>
      <c r="N182" s="3">
        <f t="shared" si="118"/>
        <v>2.8346836057673797E-2</v>
      </c>
      <c r="O182" s="3">
        <f t="shared" si="118"/>
        <v>2.6403401935047796E-2</v>
      </c>
      <c r="P182" s="3">
        <f t="shared" si="118"/>
        <v>1.29781514109797E-2</v>
      </c>
      <c r="Q182" s="3">
        <f t="shared" si="118"/>
        <v>1.0684207966873745E-5</v>
      </c>
      <c r="R182" s="3">
        <f t="shared" si="118"/>
        <v>1.5276972477250668E-36</v>
      </c>
      <c r="S182" s="3">
        <f t="shared" si="118"/>
        <v>0</v>
      </c>
      <c r="T182" s="3">
        <f t="shared" si="118"/>
        <v>0</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2.9426851905512391E-2</v>
      </c>
      <c r="C183" s="3">
        <f t="shared" si="119"/>
        <v>2.9426851905512204E-2</v>
      </c>
      <c r="D183" s="3">
        <f t="shared" si="119"/>
        <v>2.9426851905510316E-2</v>
      </c>
      <c r="E183" s="3">
        <f t="shared" si="119"/>
        <v>2.9426851905491463E-2</v>
      </c>
      <c r="F183" s="3">
        <f t="shared" si="119"/>
        <v>2.942685190530293E-2</v>
      </c>
      <c r="G183" s="3">
        <f t="shared" si="119"/>
        <v>2.9426851903417605E-2</v>
      </c>
      <c r="H183" s="3">
        <f t="shared" si="119"/>
        <v>2.9426851884564332E-2</v>
      </c>
      <c r="I183" s="3">
        <f t="shared" si="119"/>
        <v>2.9426851696031625E-2</v>
      </c>
      <c r="J183" s="3">
        <f t="shared" si="119"/>
        <v>2.9426849810704623E-2</v>
      </c>
      <c r="K183" s="3">
        <f t="shared" si="119"/>
        <v>2.9426830957441242E-2</v>
      </c>
      <c r="L183" s="3">
        <f t="shared" si="119"/>
        <v>2.9426642425471761E-2</v>
      </c>
      <c r="M183" s="3">
        <f t="shared" si="119"/>
        <v>2.9424757172209496E-2</v>
      </c>
      <c r="N183" s="3">
        <f t="shared" si="119"/>
        <v>2.9405911281266302E-2</v>
      </c>
      <c r="O183" s="3">
        <f t="shared" si="119"/>
        <v>2.9218114968047045E-2</v>
      </c>
      <c r="P183" s="3">
        <f t="shared" si="119"/>
        <v>2.7404867310882992E-2</v>
      </c>
      <c r="Q183" s="3">
        <f t="shared" si="119"/>
        <v>1.4440519053133124E-2</v>
      </c>
      <c r="R183" s="3">
        <f t="shared" si="119"/>
        <v>2.3830535762781284E-5</v>
      </c>
      <c r="S183" s="3">
        <f t="shared" si="119"/>
        <v>3.5697995541155243E-33</v>
      </c>
      <c r="T183" s="3">
        <f t="shared" si="119"/>
        <v>0</v>
      </c>
      <c r="U183" s="3">
        <f t="shared" si="119"/>
        <v>0</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2.8440803506547929E-2</v>
      </c>
      <c r="C184" s="3">
        <f t="shared" si="120"/>
        <v>2.8440803506547915E-2</v>
      </c>
      <c r="D184" s="3">
        <f t="shared" si="120"/>
        <v>2.8440803506547749E-2</v>
      </c>
      <c r="E184" s="3">
        <f t="shared" si="120"/>
        <v>2.8440803506546108E-2</v>
      </c>
      <c r="F184" s="3">
        <f t="shared" si="120"/>
        <v>2.844080350652967E-2</v>
      </c>
      <c r="G184" s="3">
        <f t="shared" si="120"/>
        <v>2.8440803506365298E-2</v>
      </c>
      <c r="H184" s="3">
        <f t="shared" si="120"/>
        <v>2.8440803504721564E-2</v>
      </c>
      <c r="I184" s="3">
        <f t="shared" si="120"/>
        <v>2.844080348828423E-2</v>
      </c>
      <c r="J184" s="3">
        <f t="shared" si="120"/>
        <v>2.8440803323910899E-2</v>
      </c>
      <c r="K184" s="3">
        <f t="shared" si="120"/>
        <v>2.8440801680177655E-2</v>
      </c>
      <c r="L184" s="3">
        <f t="shared" si="120"/>
        <v>2.8440785242850444E-2</v>
      </c>
      <c r="M184" s="3">
        <f t="shared" si="120"/>
        <v>2.8440620870100835E-2</v>
      </c>
      <c r="N184" s="3">
        <f t="shared" si="120"/>
        <v>2.8438977194853166E-2</v>
      </c>
      <c r="O184" s="3">
        <f t="shared" si="120"/>
        <v>2.8422545666102E-2</v>
      </c>
      <c r="P184" s="3">
        <f t="shared" si="120"/>
        <v>2.8258751635822463E-2</v>
      </c>
      <c r="Q184" s="3">
        <f t="shared" si="120"/>
        <v>2.667183941626311E-2</v>
      </c>
      <c r="R184" s="3">
        <f t="shared" si="120"/>
        <v>1.496417989095369E-2</v>
      </c>
      <c r="S184" s="3">
        <f t="shared" si="120"/>
        <v>4.6243686377881389E-5</v>
      </c>
      <c r="T184" s="3">
        <f t="shared" si="120"/>
        <v>3.6732265504556356E-30</v>
      </c>
      <c r="U184" s="3">
        <f t="shared" si="120"/>
        <v>3.6728263113139931E-281</v>
      </c>
      <c r="V184" s="3">
        <f t="shared" si="120"/>
        <v>0</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2.6740342475666101E-2</v>
      </c>
      <c r="C185" s="3">
        <f t="shared" si="121"/>
        <v>2.6740342475666097E-2</v>
      </c>
      <c r="D185" s="3">
        <f t="shared" si="121"/>
        <v>2.6740342475666087E-2</v>
      </c>
      <c r="E185" s="3">
        <f t="shared" si="121"/>
        <v>2.6740342475665948E-2</v>
      </c>
      <c r="F185" s="3">
        <f t="shared" si="121"/>
        <v>2.674034247566455E-2</v>
      </c>
      <c r="G185" s="3">
        <f t="shared" si="121"/>
        <v>2.6740342475650609E-2</v>
      </c>
      <c r="H185" s="3">
        <f t="shared" si="121"/>
        <v>2.6740342475511197E-2</v>
      </c>
      <c r="I185" s="3">
        <f t="shared" si="121"/>
        <v>2.6740342474117069E-2</v>
      </c>
      <c r="J185" s="3">
        <f t="shared" si="121"/>
        <v>2.6740342460175776E-2</v>
      </c>
      <c r="K185" s="3">
        <f t="shared" si="121"/>
        <v>2.6740342320762847E-2</v>
      </c>
      <c r="L185" s="3">
        <f t="shared" si="121"/>
        <v>2.6740340926633615E-2</v>
      </c>
      <c r="M185" s="3">
        <f t="shared" si="121"/>
        <v>2.6740326985345265E-2</v>
      </c>
      <c r="N185" s="3">
        <f t="shared" si="121"/>
        <v>2.6740187572861555E-2</v>
      </c>
      <c r="O185" s="3">
        <f t="shared" si="121"/>
        <v>2.6738793487999825E-2</v>
      </c>
      <c r="P185" s="3">
        <f t="shared" si="121"/>
        <v>2.672485663614866E-2</v>
      </c>
      <c r="Q185" s="3">
        <f t="shared" si="121"/>
        <v>2.6585887024340699E-2</v>
      </c>
      <c r="R185" s="3">
        <f t="shared" si="121"/>
        <v>2.5235322689045818E-2</v>
      </c>
      <c r="S185" s="3">
        <f t="shared" si="121"/>
        <v>1.4982557000821165E-2</v>
      </c>
      <c r="T185" s="3">
        <f t="shared" si="121"/>
        <v>8.1537370139237838E-5</v>
      </c>
      <c r="U185" s="3">
        <f t="shared" si="121"/>
        <v>1.8580795862936036E-27</v>
      </c>
      <c r="V185" s="3">
        <f t="shared" si="121"/>
        <v>7.0168215769124159E-254</v>
      </c>
      <c r="W185" s="3">
        <f t="shared" si="121"/>
        <v>0</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3.6384067061729697E-2</v>
      </c>
      <c r="C186" s="3">
        <f t="shared" si="122"/>
        <v>3.6384067061729697E-2</v>
      </c>
      <c r="D186" s="3">
        <f t="shared" si="122"/>
        <v>3.6384067061729697E-2</v>
      </c>
      <c r="E186" s="3">
        <f t="shared" si="122"/>
        <v>3.6384067061729676E-2</v>
      </c>
      <c r="F186" s="3">
        <f t="shared" si="122"/>
        <v>3.6384067061729509E-2</v>
      </c>
      <c r="G186" s="3">
        <f t="shared" si="122"/>
        <v>3.6384067061727796E-2</v>
      </c>
      <c r="H186" s="3">
        <f t="shared" si="122"/>
        <v>3.6384067061710684E-2</v>
      </c>
      <c r="I186" s="3">
        <f t="shared" si="122"/>
        <v>3.6384067061539571E-2</v>
      </c>
      <c r="J186" s="3">
        <f t="shared" si="122"/>
        <v>3.6384067059828391E-2</v>
      </c>
      <c r="K186" s="3">
        <f t="shared" si="122"/>
        <v>3.6384067042716663E-2</v>
      </c>
      <c r="L186" s="3">
        <f t="shared" si="122"/>
        <v>3.6384066871599362E-2</v>
      </c>
      <c r="M186" s="3">
        <f t="shared" si="122"/>
        <v>3.6384065160426422E-2</v>
      </c>
      <c r="N186" s="3">
        <f t="shared" si="122"/>
        <v>3.6384048048701399E-2</v>
      </c>
      <c r="O186" s="3">
        <f t="shared" si="122"/>
        <v>3.6383876931893856E-2</v>
      </c>
      <c r="P186" s="3">
        <f t="shared" si="122"/>
        <v>3.6382165808080361E-2</v>
      </c>
      <c r="Q186" s="3">
        <f t="shared" si="122"/>
        <v>3.6365058995373789E-2</v>
      </c>
      <c r="R186" s="3">
        <f t="shared" si="122"/>
        <v>3.6194432642023718E-2</v>
      </c>
      <c r="S186" s="3">
        <f t="shared" si="122"/>
        <v>3.4531587306718355E-2</v>
      </c>
      <c r="T186" s="3">
        <f t="shared" si="122"/>
        <v>2.1575666873532417E-2</v>
      </c>
      <c r="U186" s="3">
        <f t="shared" si="122"/>
        <v>1.9563253787289271E-4</v>
      </c>
      <c r="V186" s="3">
        <f t="shared" si="122"/>
        <v>7.3486861162975717E-25</v>
      </c>
      <c r="W186" s="3">
        <f t="shared" si="122"/>
        <v>4.1105107339562923E-229</v>
      </c>
      <c r="X186" s="3">
        <f t="shared" si="122"/>
        <v>0</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4.1964426446168525E-2</v>
      </c>
      <c r="C187" s="3">
        <f t="shared" si="123"/>
        <v>4.1964426446168525E-2</v>
      </c>
      <c r="D187" s="3">
        <f t="shared" si="123"/>
        <v>4.1964426446168525E-2</v>
      </c>
      <c r="E187" s="3">
        <f t="shared" si="123"/>
        <v>4.1964426446168525E-2</v>
      </c>
      <c r="F187" s="3">
        <f t="shared" si="123"/>
        <v>4.1964426446168504E-2</v>
      </c>
      <c r="G187" s="3">
        <f t="shared" si="123"/>
        <v>4.1964426446168331E-2</v>
      </c>
      <c r="H187" s="3">
        <f t="shared" si="123"/>
        <v>4.1964426446166547E-2</v>
      </c>
      <c r="I187" s="3">
        <f t="shared" si="123"/>
        <v>4.1964426446148742E-2</v>
      </c>
      <c r="J187" s="3">
        <f t="shared" si="123"/>
        <v>4.1964426445970704E-2</v>
      </c>
      <c r="K187" s="3">
        <f t="shared" si="123"/>
        <v>4.1964426444190329E-2</v>
      </c>
      <c r="L187" s="3">
        <f t="shared" si="123"/>
        <v>4.1964426426386627E-2</v>
      </c>
      <c r="M187" s="3">
        <f t="shared" si="123"/>
        <v>4.1964426248349507E-2</v>
      </c>
      <c r="N187" s="3">
        <f t="shared" si="123"/>
        <v>4.1964424467978365E-2</v>
      </c>
      <c r="O187" s="3">
        <f t="shared" si="123"/>
        <v>4.1964406664271141E-2</v>
      </c>
      <c r="P187" s="3">
        <f t="shared" si="123"/>
        <v>4.1964228627614279E-2</v>
      </c>
      <c r="Q187" s="3">
        <f t="shared" si="123"/>
        <v>4.1962448302588426E-2</v>
      </c>
      <c r="R187" s="3">
        <f t="shared" si="123"/>
        <v>4.1944649205949924E-2</v>
      </c>
      <c r="S187" s="3">
        <f t="shared" si="123"/>
        <v>4.1767072950291924E-2</v>
      </c>
      <c r="T187" s="3">
        <f t="shared" si="123"/>
        <v>4.0032137795112971E-2</v>
      </c>
      <c r="U187" s="3">
        <f t="shared" si="123"/>
        <v>2.6191248649357228E-2</v>
      </c>
      <c r="V187" s="3">
        <f t="shared" si="123"/>
        <v>3.7638335623237844E-4</v>
      </c>
      <c r="W187" s="3">
        <f t="shared" si="123"/>
        <v>1.4137495516885047E-22</v>
      </c>
      <c r="X187" s="3">
        <f t="shared" si="123"/>
        <v>7.9030217413451081E-207</v>
      </c>
      <c r="Y187" s="3">
        <f t="shared" si="123"/>
        <v>0</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4.8106928297009681E-2</v>
      </c>
      <c r="C188" s="3">
        <f t="shared" si="124"/>
        <v>4.8106928297009681E-2</v>
      </c>
      <c r="D188" s="3">
        <f t="shared" si="124"/>
        <v>4.8106928297009681E-2</v>
      </c>
      <c r="E188" s="3">
        <f t="shared" si="124"/>
        <v>4.8106928297009681E-2</v>
      </c>
      <c r="F188" s="3">
        <f t="shared" si="124"/>
        <v>4.8106928297009681E-2</v>
      </c>
      <c r="G188" s="3">
        <f t="shared" si="124"/>
        <v>4.810692829700966E-2</v>
      </c>
      <c r="H188" s="3">
        <f t="shared" si="124"/>
        <v>4.810692829700948E-2</v>
      </c>
      <c r="I188" s="3">
        <f t="shared" si="124"/>
        <v>4.8106928297007634E-2</v>
      </c>
      <c r="J188" s="3">
        <f t="shared" si="124"/>
        <v>4.8106928296989225E-2</v>
      </c>
      <c r="K188" s="3">
        <f t="shared" si="124"/>
        <v>4.8106928296805115E-2</v>
      </c>
      <c r="L188" s="3">
        <f t="shared" si="124"/>
        <v>4.8106928294963991E-2</v>
      </c>
      <c r="M188" s="3">
        <f t="shared" si="124"/>
        <v>4.8106928276552725E-2</v>
      </c>
      <c r="N188" s="3">
        <f t="shared" si="124"/>
        <v>4.8106928092440139E-2</v>
      </c>
      <c r="O188" s="3">
        <f t="shared" si="124"/>
        <v>4.8106926251314297E-2</v>
      </c>
      <c r="P188" s="3">
        <f t="shared" si="124"/>
        <v>4.810690784005979E-2</v>
      </c>
      <c r="Q188" s="3">
        <f t="shared" si="124"/>
        <v>4.8106723727902215E-2</v>
      </c>
      <c r="R188" s="3">
        <f t="shared" si="124"/>
        <v>4.8104882645080359E-2</v>
      </c>
      <c r="S188" s="3">
        <f t="shared" si="124"/>
        <v>4.808647569170113E-2</v>
      </c>
      <c r="T188" s="3">
        <f t="shared" si="124"/>
        <v>4.7902793093707693E-2</v>
      </c>
      <c r="U188" s="3">
        <f t="shared" si="124"/>
        <v>4.6104118338358868E-2</v>
      </c>
      <c r="V188" s="3">
        <f t="shared" si="124"/>
        <v>3.1443332371632972E-2</v>
      </c>
      <c r="W188" s="3">
        <f t="shared" si="124"/>
        <v>6.8456866751261363E-4</v>
      </c>
      <c r="X188" s="3">
        <f t="shared" si="124"/>
        <v>1.6379533581253473E-20</v>
      </c>
      <c r="Y188" s="3">
        <f t="shared" si="124"/>
        <v>1.0072717664617226E-186</v>
      </c>
      <c r="Z188" s="3">
        <f t="shared" si="124"/>
        <v>0</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4.6100301020196389E-2</v>
      </c>
      <c r="C189" s="3">
        <f t="shared" si="125"/>
        <v>4.6100301020196389E-2</v>
      </c>
      <c r="D189" s="3">
        <f t="shared" si="125"/>
        <v>4.6100301020196389E-2</v>
      </c>
      <c r="E189" s="3">
        <f t="shared" si="125"/>
        <v>4.6100301020196389E-2</v>
      </c>
      <c r="F189" s="3">
        <f t="shared" si="125"/>
        <v>4.6100301020196389E-2</v>
      </c>
      <c r="G189" s="3">
        <f t="shared" si="125"/>
        <v>4.6100301020196389E-2</v>
      </c>
      <c r="H189" s="3">
        <f t="shared" si="125"/>
        <v>4.6100301020196376E-2</v>
      </c>
      <c r="I189" s="3">
        <f t="shared" si="125"/>
        <v>4.6100301020196209E-2</v>
      </c>
      <c r="J189" s="3">
        <f t="shared" si="125"/>
        <v>4.610030102019462E-2</v>
      </c>
      <c r="K189" s="3">
        <f t="shared" si="125"/>
        <v>4.6100301020178709E-2</v>
      </c>
      <c r="L189" s="3">
        <f t="shared" si="125"/>
        <v>4.6100301020019545E-2</v>
      </c>
      <c r="M189" s="3">
        <f t="shared" si="125"/>
        <v>4.6100301018427978E-2</v>
      </c>
      <c r="N189" s="3">
        <f t="shared" si="125"/>
        <v>4.6100301002512258E-2</v>
      </c>
      <c r="O189" s="3">
        <f t="shared" si="125"/>
        <v>4.6100300843355091E-2</v>
      </c>
      <c r="P189" s="3">
        <f t="shared" si="125"/>
        <v>4.6100299251783425E-2</v>
      </c>
      <c r="Q189" s="3">
        <f t="shared" si="125"/>
        <v>4.6100283336069796E-2</v>
      </c>
      <c r="R189" s="3">
        <f t="shared" si="125"/>
        <v>4.6100124179235723E-2</v>
      </c>
      <c r="S189" s="3">
        <f t="shared" si="125"/>
        <v>4.6098532641115748E-2</v>
      </c>
      <c r="T189" s="3">
        <f t="shared" si="125"/>
        <v>4.6082620281604543E-2</v>
      </c>
      <c r="U189" s="3">
        <f t="shared" si="125"/>
        <v>4.592379846972007E-2</v>
      </c>
      <c r="V189" s="3">
        <f t="shared" si="125"/>
        <v>4.4365376712207548E-2</v>
      </c>
      <c r="W189" s="3">
        <f t="shared" si="125"/>
        <v>3.1412889339549208E-2</v>
      </c>
      <c r="X189" s="3">
        <f t="shared" si="125"/>
        <v>9.9482111166681176E-4</v>
      </c>
      <c r="Y189" s="3">
        <f t="shared" si="125"/>
        <v>1.0095226799245525E-18</v>
      </c>
      <c r="Z189" s="3">
        <f t="shared" si="125"/>
        <v>1.1690334867200404E-168</v>
      </c>
      <c r="AA189" s="3">
        <f t="shared" si="125"/>
        <v>0</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6.1544571271861997E-2</v>
      </c>
      <c r="C190" s="3">
        <f t="shared" si="126"/>
        <v>6.1544571271861997E-2</v>
      </c>
      <c r="D190" s="3">
        <f t="shared" si="126"/>
        <v>6.1544571271861997E-2</v>
      </c>
      <c r="E190" s="3">
        <f t="shared" si="126"/>
        <v>6.1544571271861997E-2</v>
      </c>
      <c r="F190" s="3">
        <f t="shared" si="126"/>
        <v>6.1544571271861997E-2</v>
      </c>
      <c r="G190" s="3">
        <f t="shared" si="126"/>
        <v>6.1544571271861997E-2</v>
      </c>
      <c r="H190" s="3">
        <f t="shared" si="126"/>
        <v>6.1544571271861997E-2</v>
      </c>
      <c r="I190" s="3">
        <f t="shared" si="126"/>
        <v>6.1544571271861977E-2</v>
      </c>
      <c r="J190" s="3">
        <f t="shared" si="126"/>
        <v>6.1544571271861782E-2</v>
      </c>
      <c r="K190" s="3">
        <f t="shared" si="126"/>
        <v>6.1544571271859867E-2</v>
      </c>
      <c r="L190" s="3">
        <f t="shared" si="126"/>
        <v>6.1544571271840702E-2</v>
      </c>
      <c r="M190" s="3">
        <f t="shared" si="126"/>
        <v>6.1544571271649022E-2</v>
      </c>
      <c r="N190" s="3">
        <f t="shared" si="126"/>
        <v>6.1544571269732312E-2</v>
      </c>
      <c r="O190" s="3">
        <f t="shared" si="126"/>
        <v>6.1544571250565103E-2</v>
      </c>
      <c r="P190" s="3">
        <f t="shared" si="126"/>
        <v>6.1544571058893056E-2</v>
      </c>
      <c r="Q190" s="3">
        <f t="shared" si="126"/>
        <v>6.1544569142172587E-2</v>
      </c>
      <c r="R190" s="3">
        <f t="shared" si="126"/>
        <v>6.1544549974971212E-2</v>
      </c>
      <c r="S190" s="3">
        <f t="shared" si="126"/>
        <v>6.1544358303285786E-2</v>
      </c>
      <c r="T190" s="3">
        <f t="shared" si="126"/>
        <v>6.1542441619262582E-2</v>
      </c>
      <c r="U190" s="3">
        <f t="shared" si="126"/>
        <v>6.152327806175862E-2</v>
      </c>
      <c r="V190" s="3">
        <f t="shared" si="126"/>
        <v>6.1331970381570053E-2</v>
      </c>
      <c r="W190" s="3">
        <f t="shared" si="126"/>
        <v>5.9451308353942904E-2</v>
      </c>
      <c r="X190" s="3">
        <f t="shared" si="126"/>
        <v>4.354180318042452E-2</v>
      </c>
      <c r="Y190" s="3">
        <f t="shared" si="126"/>
        <v>1.9335541867568453E-3</v>
      </c>
      <c r="Z190" s="3">
        <f t="shared" si="126"/>
        <v>5.7657488130333395E-17</v>
      </c>
      <c r="AA190" s="3">
        <f t="shared" si="126"/>
        <v>3.205157877496192E-152</v>
      </c>
      <c r="AB190" s="3">
        <f t="shared" si="126"/>
        <v>0</v>
      </c>
      <c r="AC190" s="3">
        <f t="shared" si="126"/>
        <v>0</v>
      </c>
      <c r="AD190" s="3">
        <f t="shared" si="126"/>
        <v>0</v>
      </c>
      <c r="AE190" s="3">
        <f t="shared" si="126"/>
        <v>0</v>
      </c>
      <c r="AF190" s="3">
        <f t="shared" si="126"/>
        <v>0</v>
      </c>
      <c r="AG190" s="3"/>
      <c r="AH190" s="3"/>
    </row>
    <row r="191" spans="2:34" x14ac:dyDescent="0.25">
      <c r="B191" s="3">
        <f t="shared" ref="B191:AF191" si="127">$C38*EXP(-B$168/$A38/EXP(-$C$126))</f>
        <v>2.0548359308290503E-2</v>
      </c>
      <c r="C191" s="3">
        <f t="shared" si="127"/>
        <v>2.0548359308290503E-2</v>
      </c>
      <c r="D191" s="3">
        <f t="shared" si="127"/>
        <v>2.0548359308290503E-2</v>
      </c>
      <c r="E191" s="3">
        <f t="shared" si="127"/>
        <v>2.0548359308290503E-2</v>
      </c>
      <c r="F191" s="3">
        <f t="shared" si="127"/>
        <v>2.0548359308290503E-2</v>
      </c>
      <c r="G191" s="3">
        <f t="shared" si="127"/>
        <v>2.0548359308290503E-2</v>
      </c>
      <c r="H191" s="3">
        <f t="shared" si="127"/>
        <v>2.0548359308290503E-2</v>
      </c>
      <c r="I191" s="3">
        <f t="shared" si="127"/>
        <v>2.0548359308290503E-2</v>
      </c>
      <c r="J191" s="3">
        <f t="shared" si="127"/>
        <v>2.0548359308290496E-2</v>
      </c>
      <c r="K191" s="3">
        <f t="shared" si="127"/>
        <v>2.054835930829044E-2</v>
      </c>
      <c r="L191" s="3">
        <f t="shared" si="127"/>
        <v>2.0548359308289861E-2</v>
      </c>
      <c r="M191" s="3">
        <f t="shared" si="127"/>
        <v>2.0548359308284088E-2</v>
      </c>
      <c r="N191" s="3">
        <f t="shared" si="127"/>
        <v>2.054835930822636E-2</v>
      </c>
      <c r="O191" s="3">
        <f t="shared" si="127"/>
        <v>2.0548359307649072E-2</v>
      </c>
      <c r="P191" s="3">
        <f t="shared" si="127"/>
        <v>2.0548359301876186E-2</v>
      </c>
      <c r="Q191" s="3">
        <f t="shared" si="127"/>
        <v>2.0548359244147354E-2</v>
      </c>
      <c r="R191" s="3">
        <f t="shared" si="127"/>
        <v>2.0548358666859032E-2</v>
      </c>
      <c r="S191" s="3">
        <f t="shared" si="127"/>
        <v>2.0548352893976704E-2</v>
      </c>
      <c r="T191" s="3">
        <f t="shared" si="127"/>
        <v>2.0548295165242616E-2</v>
      </c>
      <c r="U191" s="3">
        <f t="shared" si="127"/>
        <v>2.0547717886821762E-2</v>
      </c>
      <c r="V191" s="3">
        <f t="shared" si="127"/>
        <v>2.0541945994523001E-2</v>
      </c>
      <c r="W191" s="3">
        <f t="shared" si="127"/>
        <v>2.0484316169873139E-2</v>
      </c>
      <c r="X191" s="3">
        <f t="shared" si="127"/>
        <v>1.9916835832819633E-2</v>
      </c>
      <c r="Y191" s="3">
        <f t="shared" si="127"/>
        <v>1.5038657752719033E-2</v>
      </c>
      <c r="Z191" s="3">
        <f t="shared" si="127"/>
        <v>9.0593366329653514E-4</v>
      </c>
      <c r="AA191" s="3">
        <f t="shared" si="127"/>
        <v>5.7012438529429795E-16</v>
      </c>
      <c r="AB191" s="3">
        <f t="shared" si="127"/>
        <v>5.5552269912901885E-138</v>
      </c>
      <c r="AC191" s="3">
        <f t="shared" si="127"/>
        <v>0</v>
      </c>
      <c r="AD191" s="3">
        <f t="shared" si="127"/>
        <v>0</v>
      </c>
      <c r="AE191" s="3">
        <f t="shared" si="127"/>
        <v>0</v>
      </c>
      <c r="AF191" s="3">
        <f t="shared" si="127"/>
        <v>0</v>
      </c>
      <c r="AG191" s="3"/>
      <c r="AH191" s="3"/>
    </row>
    <row r="192" spans="2:34" x14ac:dyDescent="0.25">
      <c r="B192" s="3">
        <f t="shared" ref="B192:AF192" si="128">$C39*EXP(-B$168/$A39/EXP(-$C$126))</f>
        <v>6.8598536150208847E-2</v>
      </c>
      <c r="C192" s="3">
        <f t="shared" si="128"/>
        <v>6.8598536150208847E-2</v>
      </c>
      <c r="D192" s="3">
        <f t="shared" si="128"/>
        <v>6.8598536150208847E-2</v>
      </c>
      <c r="E192" s="3">
        <f t="shared" si="128"/>
        <v>6.8598536150208847E-2</v>
      </c>
      <c r="F192" s="3">
        <f t="shared" si="128"/>
        <v>6.8598536150208847E-2</v>
      </c>
      <c r="G192" s="3">
        <f t="shared" si="128"/>
        <v>6.8598536150208847E-2</v>
      </c>
      <c r="H192" s="3">
        <f t="shared" si="128"/>
        <v>6.8598536150208847E-2</v>
      </c>
      <c r="I192" s="3">
        <f t="shared" si="128"/>
        <v>6.8598536150208847E-2</v>
      </c>
      <c r="J192" s="3">
        <f t="shared" si="128"/>
        <v>6.8598536150208833E-2</v>
      </c>
      <c r="K192" s="3">
        <f t="shared" si="128"/>
        <v>6.8598536150208791E-2</v>
      </c>
      <c r="L192" s="3">
        <f t="shared" si="128"/>
        <v>6.859853615020825E-2</v>
      </c>
      <c r="M192" s="3">
        <f t="shared" si="128"/>
        <v>6.8598536150202921E-2</v>
      </c>
      <c r="N192" s="3">
        <f t="shared" si="128"/>
        <v>6.859853615014963E-2</v>
      </c>
      <c r="O192" s="3">
        <f t="shared" si="128"/>
        <v>6.8598536149616612E-2</v>
      </c>
      <c r="P192" s="3">
        <f t="shared" si="128"/>
        <v>6.8598536144286404E-2</v>
      </c>
      <c r="Q192" s="3">
        <f t="shared" si="128"/>
        <v>6.859853609098443E-2</v>
      </c>
      <c r="R192" s="3">
        <f t="shared" si="128"/>
        <v>6.8598535557964635E-2</v>
      </c>
      <c r="S192" s="3">
        <f t="shared" si="128"/>
        <v>6.8598530227766935E-2</v>
      </c>
      <c r="T192" s="3">
        <f t="shared" si="128"/>
        <v>6.8598476925812654E-2</v>
      </c>
      <c r="U192" s="3">
        <f t="shared" si="128"/>
        <v>6.8597943908547857E-2</v>
      </c>
      <c r="V192" s="3">
        <f t="shared" si="128"/>
        <v>6.8592613963682506E-2</v>
      </c>
      <c r="W192" s="3">
        <f t="shared" si="128"/>
        <v>6.8539337286746868E-2</v>
      </c>
      <c r="X192" s="3">
        <f t="shared" si="128"/>
        <v>6.8008841156016436E-2</v>
      </c>
      <c r="Y192" s="3">
        <f t="shared" si="128"/>
        <v>6.2924549204021407E-2</v>
      </c>
      <c r="Z192" s="3">
        <f t="shared" si="128"/>
        <v>2.8931269779817307E-2</v>
      </c>
      <c r="AA192" s="3">
        <f t="shared" si="128"/>
        <v>1.2213533174142187E-5</v>
      </c>
      <c r="AB192" s="3">
        <f t="shared" si="128"/>
        <v>2.1957330028349866E-39</v>
      </c>
      <c r="AC192" s="3">
        <f t="shared" si="128"/>
        <v>0</v>
      </c>
      <c r="AD192" s="3">
        <f t="shared" si="128"/>
        <v>0</v>
      </c>
      <c r="AE192" s="3">
        <f t="shared" si="128"/>
        <v>0</v>
      </c>
      <c r="AF192" s="3">
        <f t="shared" si="128"/>
        <v>0</v>
      </c>
      <c r="AG192" s="3"/>
      <c r="AH192" s="3"/>
    </row>
    <row r="193" spans="1:34" x14ac:dyDescent="0.25">
      <c r="B193" s="3">
        <f t="shared" ref="B193:AF193" si="129">$C40*EXP(-B$168/$A40/EXP(-$C$126))</f>
        <v>4.2430467850210242E-2</v>
      </c>
      <c r="C193" s="3">
        <f t="shared" si="129"/>
        <v>4.2430467850210242E-2</v>
      </c>
      <c r="D193" s="3">
        <f t="shared" si="129"/>
        <v>4.2430467850210242E-2</v>
      </c>
      <c r="E193" s="3">
        <f t="shared" si="129"/>
        <v>4.2430467850210242E-2</v>
      </c>
      <c r="F193" s="3">
        <f t="shared" si="129"/>
        <v>4.2430467850210242E-2</v>
      </c>
      <c r="G193" s="3">
        <f t="shared" si="129"/>
        <v>4.2430467850210242E-2</v>
      </c>
      <c r="H193" s="3">
        <f t="shared" si="129"/>
        <v>4.2430467850210242E-2</v>
      </c>
      <c r="I193" s="3">
        <f t="shared" si="129"/>
        <v>4.2430467850210242E-2</v>
      </c>
      <c r="J193" s="3">
        <f t="shared" si="129"/>
        <v>4.2430467850210242E-2</v>
      </c>
      <c r="K193" s="3">
        <f t="shared" si="129"/>
        <v>4.2430467850210235E-2</v>
      </c>
      <c r="L193" s="3">
        <f t="shared" si="129"/>
        <v>4.2430467850210207E-2</v>
      </c>
      <c r="M193" s="3">
        <f t="shared" si="129"/>
        <v>4.2430467850209874E-2</v>
      </c>
      <c r="N193" s="3">
        <f t="shared" si="129"/>
        <v>4.2430467850206578E-2</v>
      </c>
      <c r="O193" s="3">
        <f t="shared" si="129"/>
        <v>4.2430467850173612E-2</v>
      </c>
      <c r="P193" s="3">
        <f t="shared" si="129"/>
        <v>4.2430467849843924E-2</v>
      </c>
      <c r="Q193" s="3">
        <f t="shared" si="129"/>
        <v>4.2430467846547013E-2</v>
      </c>
      <c r="R193" s="3">
        <f t="shared" si="129"/>
        <v>4.2430467813577975E-2</v>
      </c>
      <c r="S193" s="3">
        <f t="shared" si="129"/>
        <v>4.2430467483887568E-2</v>
      </c>
      <c r="T193" s="3">
        <f t="shared" si="129"/>
        <v>4.2430464186983659E-2</v>
      </c>
      <c r="U193" s="3">
        <f t="shared" si="129"/>
        <v>4.24304312179586E-2</v>
      </c>
      <c r="V193" s="3">
        <f t="shared" si="129"/>
        <v>4.2430101529117019E-2</v>
      </c>
      <c r="W193" s="3">
        <f t="shared" si="129"/>
        <v>4.2426804781592296E-2</v>
      </c>
      <c r="X193" s="3">
        <f t="shared" si="129"/>
        <v>4.2393851391407215E-2</v>
      </c>
      <c r="Y193" s="3">
        <f t="shared" si="129"/>
        <v>4.206572195479167E-2</v>
      </c>
      <c r="Z193" s="3">
        <f t="shared" si="129"/>
        <v>3.8920918897510245E-2</v>
      </c>
      <c r="AA193" s="3">
        <f t="shared" si="129"/>
        <v>1.7894949092941544E-2</v>
      </c>
      <c r="AB193" s="3">
        <f t="shared" si="129"/>
        <v>7.5544750043669641E-6</v>
      </c>
      <c r="AC193" s="3">
        <f t="shared" si="129"/>
        <v>1.3581336251903658E-39</v>
      </c>
      <c r="AD193" s="3">
        <f t="shared" si="129"/>
        <v>0</v>
      </c>
      <c r="AE193" s="3">
        <f t="shared" si="129"/>
        <v>0</v>
      </c>
      <c r="AF193" s="3">
        <f t="shared" si="129"/>
        <v>0</v>
      </c>
      <c r="AG193" s="3"/>
      <c r="AH193" s="3"/>
    </row>
    <row r="194" spans="1:34" x14ac:dyDescent="0.25">
      <c r="B194" s="3">
        <f t="shared" ref="B194:AF194" si="130">$C41*EXP(-B$168/$A41/EXP(-$C$126))</f>
        <v>4.2564807754428377E-2</v>
      </c>
      <c r="C194" s="3">
        <f t="shared" si="130"/>
        <v>4.2564807754428377E-2</v>
      </c>
      <c r="D194" s="3">
        <f t="shared" si="130"/>
        <v>4.2564807754428377E-2</v>
      </c>
      <c r="E194" s="3">
        <f t="shared" si="130"/>
        <v>4.2564807754428377E-2</v>
      </c>
      <c r="F194" s="3">
        <f t="shared" si="130"/>
        <v>4.2564807754428377E-2</v>
      </c>
      <c r="G194" s="3">
        <f t="shared" si="130"/>
        <v>4.2564807754428377E-2</v>
      </c>
      <c r="H194" s="3">
        <f t="shared" si="130"/>
        <v>4.2564807754428377E-2</v>
      </c>
      <c r="I194" s="3">
        <f t="shared" si="130"/>
        <v>4.2564807754428377E-2</v>
      </c>
      <c r="J194" s="3">
        <f t="shared" si="130"/>
        <v>4.2564807754428377E-2</v>
      </c>
      <c r="K194" s="3">
        <f t="shared" si="130"/>
        <v>4.2564807754428377E-2</v>
      </c>
      <c r="L194" s="3">
        <f t="shared" si="130"/>
        <v>4.256480775442837E-2</v>
      </c>
      <c r="M194" s="3">
        <f t="shared" si="130"/>
        <v>4.2564807754428342E-2</v>
      </c>
      <c r="N194" s="3">
        <f t="shared" si="130"/>
        <v>4.2564807754428009E-2</v>
      </c>
      <c r="O194" s="3">
        <f t="shared" si="130"/>
        <v>4.2564807754424699E-2</v>
      </c>
      <c r="P194" s="3">
        <f t="shared" si="130"/>
        <v>4.2564807754391629E-2</v>
      </c>
      <c r="Q194" s="3">
        <f t="shared" si="130"/>
        <v>4.25648077540609E-2</v>
      </c>
      <c r="R194" s="3">
        <f t="shared" si="130"/>
        <v>4.2564807750753553E-2</v>
      </c>
      <c r="S194" s="3">
        <f t="shared" si="130"/>
        <v>4.2564807717680127E-2</v>
      </c>
      <c r="T194" s="3">
        <f t="shared" si="130"/>
        <v>4.2564807386945881E-2</v>
      </c>
      <c r="U194" s="3">
        <f t="shared" si="130"/>
        <v>4.2564804079603578E-2</v>
      </c>
      <c r="V194" s="3">
        <f t="shared" si="130"/>
        <v>4.2564771006194671E-2</v>
      </c>
      <c r="W194" s="3">
        <f t="shared" si="130"/>
        <v>4.2564440273519029E-2</v>
      </c>
      <c r="X194" s="3">
        <f t="shared" si="130"/>
        <v>4.2561133088099813E-2</v>
      </c>
      <c r="Y194" s="3">
        <f t="shared" si="130"/>
        <v>4.2528075363564788E-2</v>
      </c>
      <c r="Z194" s="3">
        <f t="shared" si="130"/>
        <v>4.219890703015363E-2</v>
      </c>
      <c r="AA194" s="3">
        <f t="shared" si="130"/>
        <v>3.9044147152622388E-2</v>
      </c>
      <c r="AB194" s="3">
        <f t="shared" si="130"/>
        <v>1.7951606628644919E-2</v>
      </c>
      <c r="AC194" s="3">
        <f t="shared" si="130"/>
        <v>7.5783933701056517E-6</v>
      </c>
      <c r="AD194" s="3">
        <f t="shared" si="130"/>
        <v>1.3624336376664854E-39</v>
      </c>
      <c r="AE194" s="3">
        <f t="shared" si="130"/>
        <v>0</v>
      </c>
      <c r="AF194" s="3">
        <f t="shared" si="130"/>
        <v>0</v>
      </c>
      <c r="AG194" s="3"/>
      <c r="AH194" s="3"/>
    </row>
    <row r="195" spans="1:34" x14ac:dyDescent="0.25">
      <c r="B195" s="3">
        <f t="shared" ref="B195:AF195" si="131">$C42*EXP(-B$168/$A42/EXP(-$C$126))</f>
        <v>1.7794430151868639E-2</v>
      </c>
      <c r="C195" s="3">
        <f t="shared" si="131"/>
        <v>1.7794430151868639E-2</v>
      </c>
      <c r="D195" s="3">
        <f t="shared" si="131"/>
        <v>1.7794430151868639E-2</v>
      </c>
      <c r="E195" s="3">
        <f t="shared" si="131"/>
        <v>1.7794430151868639E-2</v>
      </c>
      <c r="F195" s="3">
        <f t="shared" si="131"/>
        <v>1.7794430151868639E-2</v>
      </c>
      <c r="G195" s="3">
        <f t="shared" si="131"/>
        <v>1.7794430151868639E-2</v>
      </c>
      <c r="H195" s="3">
        <f t="shared" si="131"/>
        <v>1.7794430151868639E-2</v>
      </c>
      <c r="I195" s="3">
        <f t="shared" si="131"/>
        <v>1.7794430151868639E-2</v>
      </c>
      <c r="J195" s="3">
        <f t="shared" si="131"/>
        <v>1.7794430151868639E-2</v>
      </c>
      <c r="K195" s="3">
        <f t="shared" si="131"/>
        <v>1.7794430151868639E-2</v>
      </c>
      <c r="L195" s="3">
        <f t="shared" si="131"/>
        <v>1.7794430151868639E-2</v>
      </c>
      <c r="M195" s="3">
        <f t="shared" si="131"/>
        <v>1.7794430151868636E-2</v>
      </c>
      <c r="N195" s="3">
        <f t="shared" si="131"/>
        <v>1.7794430151868622E-2</v>
      </c>
      <c r="O195" s="3">
        <f t="shared" si="131"/>
        <v>1.7794430151868487E-2</v>
      </c>
      <c r="P195" s="3">
        <f t="shared" si="131"/>
        <v>1.7794430151867102E-2</v>
      </c>
      <c r="Q195" s="3">
        <f t="shared" si="131"/>
        <v>1.7794430151853276E-2</v>
      </c>
      <c r="R195" s="3">
        <f t="shared" si="131"/>
        <v>1.7794430151715012E-2</v>
      </c>
      <c r="S195" s="3">
        <f t="shared" si="131"/>
        <v>1.7794430150332361E-2</v>
      </c>
      <c r="T195" s="3">
        <f t="shared" si="131"/>
        <v>1.7794430136505852E-2</v>
      </c>
      <c r="U195" s="3">
        <f t="shared" si="131"/>
        <v>1.7794429998240751E-2</v>
      </c>
      <c r="V195" s="3">
        <f t="shared" si="131"/>
        <v>1.7794428615589806E-2</v>
      </c>
      <c r="W195" s="3">
        <f t="shared" si="131"/>
        <v>1.7794414789086277E-2</v>
      </c>
      <c r="X195" s="3">
        <f t="shared" si="131"/>
        <v>1.7794276524641866E-2</v>
      </c>
      <c r="Y195" s="3">
        <f t="shared" si="131"/>
        <v>1.7792893939284474E-2</v>
      </c>
      <c r="Z195" s="3">
        <f t="shared" si="131"/>
        <v>1.777907399268417E-2</v>
      </c>
      <c r="AA195" s="3">
        <f t="shared" si="131"/>
        <v>1.7641463529343537E-2</v>
      </c>
      <c r="AB195" s="3">
        <f t="shared" si="131"/>
        <v>1.6322600429796073E-2</v>
      </c>
      <c r="AC195" s="3">
        <f t="shared" si="131"/>
        <v>7.5047586755283809E-3</v>
      </c>
      <c r="AD195" s="3">
        <f t="shared" si="131"/>
        <v>3.1681851417195577E-6</v>
      </c>
      <c r="AE195" s="3">
        <f t="shared" si="131"/>
        <v>5.6957217666489525E-40</v>
      </c>
      <c r="AF195" s="3">
        <f t="shared" si="131"/>
        <v>0</v>
      </c>
      <c r="AG195" s="3"/>
      <c r="AH195" s="3"/>
    </row>
    <row r="196" spans="1:34" x14ac:dyDescent="0.25">
      <c r="B196" s="3">
        <f t="shared" ref="B196:AF196" si="132">$C43*EXP(-B$168/$A43/EXP(-$C$126))</f>
        <v>1.1846247724533283E-2</v>
      </c>
      <c r="C196" s="3">
        <f t="shared" si="132"/>
        <v>1.1846247724533283E-2</v>
      </c>
      <c r="D196" s="3">
        <f t="shared" si="132"/>
        <v>1.1846247724533283E-2</v>
      </c>
      <c r="E196" s="3">
        <f t="shared" si="132"/>
        <v>1.1846247724533283E-2</v>
      </c>
      <c r="F196" s="3">
        <f t="shared" si="132"/>
        <v>1.1846247724533283E-2</v>
      </c>
      <c r="G196" s="3">
        <f t="shared" si="132"/>
        <v>1.1846247724533283E-2</v>
      </c>
      <c r="H196" s="3">
        <f t="shared" si="132"/>
        <v>1.1846247724533283E-2</v>
      </c>
      <c r="I196" s="3">
        <f t="shared" si="132"/>
        <v>1.1846247724533283E-2</v>
      </c>
      <c r="J196" s="3">
        <f t="shared" si="132"/>
        <v>1.1846247724533283E-2</v>
      </c>
      <c r="K196" s="3">
        <f t="shared" si="132"/>
        <v>1.1846247724533283E-2</v>
      </c>
      <c r="L196" s="3">
        <f t="shared" si="132"/>
        <v>1.1846247724533283E-2</v>
      </c>
      <c r="M196" s="3">
        <f t="shared" si="132"/>
        <v>1.1846247724533283E-2</v>
      </c>
      <c r="N196" s="3">
        <f t="shared" si="132"/>
        <v>1.1846247724533281E-2</v>
      </c>
      <c r="O196" s="3">
        <f t="shared" si="132"/>
        <v>1.1846247724533273E-2</v>
      </c>
      <c r="P196" s="3">
        <f t="shared" si="132"/>
        <v>1.1846247724533181E-2</v>
      </c>
      <c r="Q196" s="3">
        <f t="shared" si="132"/>
        <v>1.184624772453226E-2</v>
      </c>
      <c r="R196" s="3">
        <f t="shared" si="132"/>
        <v>1.1846247724523057E-2</v>
      </c>
      <c r="S196" s="3">
        <f t="shared" si="132"/>
        <v>1.1846247724431009E-2</v>
      </c>
      <c r="T196" s="3">
        <f t="shared" si="132"/>
        <v>1.1846247723510539E-2</v>
      </c>
      <c r="U196" s="3">
        <f t="shared" si="132"/>
        <v>1.1846247714305846E-2</v>
      </c>
      <c r="V196" s="3">
        <f t="shared" si="132"/>
        <v>1.1846247622258919E-2</v>
      </c>
      <c r="W196" s="3">
        <f t="shared" si="132"/>
        <v>1.184624670178968E-2</v>
      </c>
      <c r="X196" s="3">
        <f t="shared" si="132"/>
        <v>1.1846237497101212E-2</v>
      </c>
      <c r="Y196" s="3">
        <f t="shared" si="132"/>
        <v>1.1846145450609922E-2</v>
      </c>
      <c r="Z196" s="3">
        <f t="shared" si="132"/>
        <v>1.1845225025032694E-2</v>
      </c>
      <c r="AA196" s="3">
        <f t="shared" si="132"/>
        <v>1.183602470169726E-2</v>
      </c>
      <c r="AB196" s="3">
        <f t="shared" si="132"/>
        <v>1.1744413583818909E-2</v>
      </c>
      <c r="AC196" s="3">
        <f t="shared" si="132"/>
        <v>1.0866409688294082E-2</v>
      </c>
      <c r="AD196" s="3">
        <f t="shared" si="132"/>
        <v>4.9961268567970153E-3</v>
      </c>
      <c r="AE196" s="3">
        <f t="shared" si="132"/>
        <v>2.1091490823635188E-6</v>
      </c>
      <c r="AF196" s="3">
        <f t="shared" si="132"/>
        <v>3.7918006051266744E-40</v>
      </c>
      <c r="AG196" s="3"/>
      <c r="AH196" s="3"/>
    </row>
    <row r="197" spans="1:34" x14ac:dyDescent="0.25">
      <c r="B197" s="3">
        <f t="shared" ref="B197:AF197" si="133">$C44*EXP(-B$168/$A44/EXP(-$C$126))</f>
        <v>4.239833197731321E-3</v>
      </c>
      <c r="C197" s="3">
        <f t="shared" si="133"/>
        <v>4.239833197731321E-3</v>
      </c>
      <c r="D197" s="3">
        <f t="shared" si="133"/>
        <v>4.239833197731321E-3</v>
      </c>
      <c r="E197" s="3">
        <f t="shared" si="133"/>
        <v>4.239833197731321E-3</v>
      </c>
      <c r="F197" s="3">
        <f t="shared" si="133"/>
        <v>4.239833197731321E-3</v>
      </c>
      <c r="G197" s="3">
        <f t="shared" si="133"/>
        <v>4.239833197731321E-3</v>
      </c>
      <c r="H197" s="3">
        <f t="shared" si="133"/>
        <v>4.239833197731321E-3</v>
      </c>
      <c r="I197" s="3">
        <f t="shared" si="133"/>
        <v>4.239833197731321E-3</v>
      </c>
      <c r="J197" s="3">
        <f t="shared" si="133"/>
        <v>4.239833197731321E-3</v>
      </c>
      <c r="K197" s="3">
        <f t="shared" si="133"/>
        <v>4.239833197731321E-3</v>
      </c>
      <c r="L197" s="3">
        <f t="shared" si="133"/>
        <v>4.239833197731321E-3</v>
      </c>
      <c r="M197" s="3">
        <f t="shared" si="133"/>
        <v>4.239833197731321E-3</v>
      </c>
      <c r="N197" s="3">
        <f t="shared" si="133"/>
        <v>4.239833197731321E-3</v>
      </c>
      <c r="O197" s="3">
        <f t="shared" si="133"/>
        <v>4.2398331977313202E-3</v>
      </c>
      <c r="P197" s="3">
        <f t="shared" si="133"/>
        <v>4.2398331977313176E-3</v>
      </c>
      <c r="Q197" s="3">
        <f t="shared" si="133"/>
        <v>4.2398331977312846E-3</v>
      </c>
      <c r="R197" s="3">
        <f t="shared" si="133"/>
        <v>4.239833197730955E-3</v>
      </c>
      <c r="S197" s="3">
        <f t="shared" si="133"/>
        <v>4.2398331977276608E-3</v>
      </c>
      <c r="T197" s="3">
        <f t="shared" si="133"/>
        <v>4.2398331976947166E-3</v>
      </c>
      <c r="U197" s="3">
        <f t="shared" si="133"/>
        <v>4.2398331973652762E-3</v>
      </c>
      <c r="V197" s="3">
        <f t="shared" si="133"/>
        <v>4.2398331940708689E-3</v>
      </c>
      <c r="W197" s="3">
        <f t="shared" si="133"/>
        <v>4.2398331611267978E-3</v>
      </c>
      <c r="X197" s="3">
        <f t="shared" si="133"/>
        <v>4.2398328316861069E-3</v>
      </c>
      <c r="Y197" s="3">
        <f t="shared" si="133"/>
        <v>4.2398295372806007E-3</v>
      </c>
      <c r="Z197" s="3">
        <f t="shared" si="133"/>
        <v>4.2397965933663262E-3</v>
      </c>
      <c r="AA197" s="3">
        <f t="shared" si="133"/>
        <v>4.2394671683020253E-3</v>
      </c>
      <c r="AB197" s="3">
        <f t="shared" si="133"/>
        <v>4.2361743250984643E-3</v>
      </c>
      <c r="AC197" s="3">
        <f t="shared" si="133"/>
        <v>4.203386233215368E-3</v>
      </c>
      <c r="AD197" s="3">
        <f t="shared" si="133"/>
        <v>3.8891441077299974E-3</v>
      </c>
      <c r="AE197" s="3">
        <f t="shared" si="133"/>
        <v>1.7881395864832446E-3</v>
      </c>
      <c r="AF197" s="3">
        <f t="shared" si="133"/>
        <v>7.5487534165352868E-7</v>
      </c>
      <c r="AG197" s="3"/>
      <c r="AH197" s="3"/>
    </row>
    <row r="198" spans="1:34" x14ac:dyDescent="0.25">
      <c r="B198" s="3">
        <f t="shared" ref="B198:AF198" si="134">$C45*EXP(-B$168/$A45/EXP(-$C$126))</f>
        <v>3.1413173103933909E-3</v>
      </c>
      <c r="C198" s="3">
        <f t="shared" si="134"/>
        <v>3.1413173103933909E-3</v>
      </c>
      <c r="D198" s="3">
        <f t="shared" si="134"/>
        <v>3.1413173103933909E-3</v>
      </c>
      <c r="E198" s="3">
        <f t="shared" si="134"/>
        <v>3.1413173103933909E-3</v>
      </c>
      <c r="F198" s="3">
        <f t="shared" si="134"/>
        <v>3.1413173103933909E-3</v>
      </c>
      <c r="G198" s="3">
        <f t="shared" si="134"/>
        <v>3.1413173103933909E-3</v>
      </c>
      <c r="H198" s="3">
        <f t="shared" si="134"/>
        <v>3.1413173103933909E-3</v>
      </c>
      <c r="I198" s="3">
        <f t="shared" si="134"/>
        <v>3.1413173103933909E-3</v>
      </c>
      <c r="J198" s="3">
        <f t="shared" si="134"/>
        <v>3.1413173103933909E-3</v>
      </c>
      <c r="K198" s="3">
        <f t="shared" si="134"/>
        <v>3.1413173103933909E-3</v>
      </c>
      <c r="L198" s="3">
        <f t="shared" si="134"/>
        <v>3.1413173103933909E-3</v>
      </c>
      <c r="M198" s="3">
        <f t="shared" si="134"/>
        <v>3.1413173103933909E-3</v>
      </c>
      <c r="N198" s="3">
        <f t="shared" si="134"/>
        <v>3.1413173103933909E-3</v>
      </c>
      <c r="O198" s="3">
        <f t="shared" si="134"/>
        <v>3.1413173103933909E-3</v>
      </c>
      <c r="P198" s="3">
        <f t="shared" si="134"/>
        <v>3.1413173103933905E-3</v>
      </c>
      <c r="Q198" s="3">
        <f t="shared" si="134"/>
        <v>3.1413173103933883E-3</v>
      </c>
      <c r="R198" s="3">
        <f t="shared" si="134"/>
        <v>3.1413173103933636E-3</v>
      </c>
      <c r="S198" s="3">
        <f t="shared" si="134"/>
        <v>3.1413173103931194E-3</v>
      </c>
      <c r="T198" s="3">
        <f t="shared" si="134"/>
        <v>3.1413173103906791E-3</v>
      </c>
      <c r="U198" s="3">
        <f t="shared" si="134"/>
        <v>3.1413173103662707E-3</v>
      </c>
      <c r="V198" s="3">
        <f t="shared" si="134"/>
        <v>3.141317310122186E-3</v>
      </c>
      <c r="W198" s="3">
        <f t="shared" si="134"/>
        <v>3.1413173076813403E-3</v>
      </c>
      <c r="X198" s="3">
        <f t="shared" si="134"/>
        <v>3.141317283272885E-3</v>
      </c>
      <c r="Y198" s="3">
        <f t="shared" si="134"/>
        <v>3.1413170391883425E-3</v>
      </c>
      <c r="Z198" s="3">
        <f t="shared" si="134"/>
        <v>3.1413145983439595E-3</v>
      </c>
      <c r="AA198" s="3">
        <f t="shared" si="134"/>
        <v>3.1412901900044437E-3</v>
      </c>
      <c r="AB198" s="3">
        <f t="shared" si="134"/>
        <v>3.1410461170400831E-3</v>
      </c>
      <c r="AC198" s="3">
        <f t="shared" si="134"/>
        <v>3.1386064301766247E-3</v>
      </c>
      <c r="AD198" s="3">
        <f t="shared" si="134"/>
        <v>3.1143135403850523E-3</v>
      </c>
      <c r="AE198" s="3">
        <f t="shared" si="134"/>
        <v>2.8814897045392907E-3</v>
      </c>
      <c r="AF198" s="3">
        <f t="shared" si="134"/>
        <v>1.3248431186927683E-3</v>
      </c>
      <c r="AG198" s="3"/>
      <c r="AH198" s="3"/>
    </row>
    <row r="199" spans="1:34" x14ac:dyDescent="0.25">
      <c r="B199" s="3">
        <f t="shared" ref="B199:AF199" si="135">$C46*EXP(-B$168/$A46/EXP(-$C$126))</f>
        <v>2.257189619316161E-3</v>
      </c>
      <c r="C199" s="3">
        <f t="shared" si="135"/>
        <v>2.257189619316161E-3</v>
      </c>
      <c r="D199" s="3">
        <f t="shared" si="135"/>
        <v>2.257189619316161E-3</v>
      </c>
      <c r="E199" s="3">
        <f t="shared" si="135"/>
        <v>2.257189619316161E-3</v>
      </c>
      <c r="F199" s="3">
        <f t="shared" si="135"/>
        <v>2.257189619316161E-3</v>
      </c>
      <c r="G199" s="3">
        <f t="shared" si="135"/>
        <v>2.257189619316161E-3</v>
      </c>
      <c r="H199" s="3">
        <f t="shared" si="135"/>
        <v>2.257189619316161E-3</v>
      </c>
      <c r="I199" s="3">
        <f t="shared" si="135"/>
        <v>2.257189619316161E-3</v>
      </c>
      <c r="J199" s="3">
        <f t="shared" si="135"/>
        <v>2.257189619316161E-3</v>
      </c>
      <c r="K199" s="3">
        <f t="shared" si="135"/>
        <v>2.257189619316161E-3</v>
      </c>
      <c r="L199" s="3">
        <f t="shared" si="135"/>
        <v>2.257189619316161E-3</v>
      </c>
      <c r="M199" s="3">
        <f t="shared" si="135"/>
        <v>2.257189619316161E-3</v>
      </c>
      <c r="N199" s="3">
        <f t="shared" si="135"/>
        <v>2.257189619316161E-3</v>
      </c>
      <c r="O199" s="3">
        <f t="shared" si="135"/>
        <v>2.257189619316161E-3</v>
      </c>
      <c r="P199" s="3">
        <f t="shared" si="135"/>
        <v>2.257189619316161E-3</v>
      </c>
      <c r="Q199" s="3">
        <f t="shared" si="135"/>
        <v>2.2571896193161606E-3</v>
      </c>
      <c r="R199" s="3">
        <f t="shared" si="135"/>
        <v>2.2571896193161588E-3</v>
      </c>
      <c r="S199" s="3">
        <f t="shared" si="135"/>
        <v>2.2571896193161415E-3</v>
      </c>
      <c r="T199" s="3">
        <f t="shared" si="135"/>
        <v>2.2571896193159659E-3</v>
      </c>
      <c r="U199" s="3">
        <f t="shared" si="135"/>
        <v>2.2571896193142125E-3</v>
      </c>
      <c r="V199" s="3">
        <f t="shared" si="135"/>
        <v>2.2571896192966736E-3</v>
      </c>
      <c r="W199" s="3">
        <f t="shared" si="135"/>
        <v>2.2571896191212869E-3</v>
      </c>
      <c r="X199" s="3">
        <f t="shared" si="135"/>
        <v>2.2571896173674204E-3</v>
      </c>
      <c r="Y199" s="3">
        <f t="shared" si="135"/>
        <v>2.2571895998287554E-3</v>
      </c>
      <c r="Z199" s="3">
        <f t="shared" si="135"/>
        <v>2.2571894244421131E-3</v>
      </c>
      <c r="AA199" s="3">
        <f t="shared" si="135"/>
        <v>2.2571876705764385E-3</v>
      </c>
      <c r="AB199" s="3">
        <f t="shared" si="135"/>
        <v>2.2571701319946476E-3</v>
      </c>
      <c r="AC199" s="3">
        <f t="shared" si="135"/>
        <v>2.2569947536717739E-3</v>
      </c>
      <c r="AD199" s="3">
        <f t="shared" si="135"/>
        <v>2.2552417197314076E-3</v>
      </c>
      <c r="AE199" s="3">
        <f t="shared" si="135"/>
        <v>2.2377860941951697E-3</v>
      </c>
      <c r="AF199" s="3">
        <f t="shared" si="135"/>
        <v>2.0704908185279654E-3</v>
      </c>
      <c r="AG199" s="3"/>
      <c r="AH199" s="3"/>
    </row>
    <row r="200" spans="1:34" x14ac:dyDescent="0.25">
      <c r="B200" s="3">
        <f t="shared" ref="B200:AF200" si="136">$C47*EXP(-B$168/$A47/EXP(-$C$126))</f>
        <v>3.6224207496198294E-4</v>
      </c>
      <c r="C200" s="3">
        <f t="shared" si="136"/>
        <v>3.6224207496198294E-4</v>
      </c>
      <c r="D200" s="3">
        <f t="shared" si="136"/>
        <v>3.6224207496198294E-4</v>
      </c>
      <c r="E200" s="3">
        <f t="shared" si="136"/>
        <v>3.6224207496198294E-4</v>
      </c>
      <c r="F200" s="3">
        <f t="shared" si="136"/>
        <v>3.6224207496198294E-4</v>
      </c>
      <c r="G200" s="3">
        <f t="shared" si="136"/>
        <v>3.6224207496198294E-4</v>
      </c>
      <c r="H200" s="3">
        <f t="shared" si="136"/>
        <v>3.6224207496198294E-4</v>
      </c>
      <c r="I200" s="3">
        <f t="shared" si="136"/>
        <v>3.6224207496198294E-4</v>
      </c>
      <c r="J200" s="3">
        <f t="shared" si="136"/>
        <v>3.6224207496198294E-4</v>
      </c>
      <c r="K200" s="3">
        <f t="shared" si="136"/>
        <v>3.6224207496198294E-4</v>
      </c>
      <c r="L200" s="3">
        <f t="shared" si="136"/>
        <v>3.6224207496198294E-4</v>
      </c>
      <c r="M200" s="3">
        <f t="shared" si="136"/>
        <v>3.6224207496198294E-4</v>
      </c>
      <c r="N200" s="3">
        <f t="shared" si="136"/>
        <v>3.6224207496198294E-4</v>
      </c>
      <c r="O200" s="3">
        <f t="shared" si="136"/>
        <v>3.6224207496198294E-4</v>
      </c>
      <c r="P200" s="3">
        <f t="shared" si="136"/>
        <v>3.6224207496198294E-4</v>
      </c>
      <c r="Q200" s="3">
        <f t="shared" si="136"/>
        <v>3.6224207496198294E-4</v>
      </c>
      <c r="R200" s="3">
        <f t="shared" si="136"/>
        <v>3.6224207496198289E-4</v>
      </c>
      <c r="S200" s="3">
        <f t="shared" si="136"/>
        <v>3.6224207496198262E-4</v>
      </c>
      <c r="T200" s="3">
        <f t="shared" si="136"/>
        <v>3.622420749619798E-4</v>
      </c>
      <c r="U200" s="3">
        <f t="shared" si="136"/>
        <v>3.6224207496195166E-4</v>
      </c>
      <c r="V200" s="3">
        <f t="shared" si="136"/>
        <v>3.622420749616702E-4</v>
      </c>
      <c r="W200" s="3">
        <f t="shared" si="136"/>
        <v>3.6224207495885556E-4</v>
      </c>
      <c r="X200" s="3">
        <f t="shared" si="136"/>
        <v>3.6224207493070886E-4</v>
      </c>
      <c r="Y200" s="3">
        <f t="shared" si="136"/>
        <v>3.622420746492419E-4</v>
      </c>
      <c r="Z200" s="3">
        <f t="shared" si="136"/>
        <v>3.6224207183457256E-4</v>
      </c>
      <c r="AA200" s="3">
        <f t="shared" si="136"/>
        <v>3.6224204368788049E-4</v>
      </c>
      <c r="AB200" s="3">
        <f t="shared" si="136"/>
        <v>3.6224176222107956E-4</v>
      </c>
      <c r="AC200" s="3">
        <f t="shared" si="136"/>
        <v>3.622389475650996E-4</v>
      </c>
      <c r="AD200" s="3">
        <f t="shared" si="136"/>
        <v>3.6221080220813121E-4</v>
      </c>
      <c r="AE200" s="3">
        <f t="shared" si="136"/>
        <v>3.619294688869947E-4</v>
      </c>
      <c r="AF200" s="3">
        <f t="shared" si="136"/>
        <v>3.591281260313059E-4</v>
      </c>
      <c r="AG200" s="3"/>
      <c r="AH200" s="3"/>
    </row>
    <row r="201" spans="1:34" x14ac:dyDescent="0.25">
      <c r="B201" s="3">
        <f t="shared" ref="B201:AF201" si="137">$C48*EXP(-B$168/$A48/EXP(-$C$126))</f>
        <v>0</v>
      </c>
      <c r="C201" s="3">
        <f t="shared" si="137"/>
        <v>0</v>
      </c>
      <c r="D201" s="3">
        <f t="shared" si="137"/>
        <v>0</v>
      </c>
      <c r="E201" s="3">
        <f t="shared" si="137"/>
        <v>0</v>
      </c>
      <c r="F201" s="3">
        <f t="shared" si="137"/>
        <v>0</v>
      </c>
      <c r="G201" s="3">
        <f t="shared" si="137"/>
        <v>0</v>
      </c>
      <c r="H201" s="3">
        <f t="shared" si="137"/>
        <v>0</v>
      </c>
      <c r="I201" s="3">
        <f t="shared" si="137"/>
        <v>0</v>
      </c>
      <c r="J201" s="3">
        <f t="shared" si="137"/>
        <v>0</v>
      </c>
      <c r="K201" s="3">
        <f t="shared" si="137"/>
        <v>0</v>
      </c>
      <c r="L201" s="3">
        <f t="shared" si="137"/>
        <v>0</v>
      </c>
      <c r="M201" s="3">
        <f t="shared" si="137"/>
        <v>0</v>
      </c>
      <c r="N201" s="3">
        <f t="shared" si="137"/>
        <v>0</v>
      </c>
      <c r="O201" s="3">
        <f t="shared" si="137"/>
        <v>0</v>
      </c>
      <c r="P201" s="3">
        <f t="shared" si="137"/>
        <v>0</v>
      </c>
      <c r="Q201" s="3">
        <f t="shared" si="137"/>
        <v>0</v>
      </c>
      <c r="R201" s="3">
        <f t="shared" si="137"/>
        <v>0</v>
      </c>
      <c r="S201" s="3">
        <f t="shared" si="137"/>
        <v>0</v>
      </c>
      <c r="T201" s="3">
        <f t="shared" si="137"/>
        <v>0</v>
      </c>
      <c r="U201" s="3">
        <f t="shared" si="137"/>
        <v>0</v>
      </c>
      <c r="V201" s="3">
        <f t="shared" si="137"/>
        <v>0</v>
      </c>
      <c r="W201" s="3">
        <f t="shared" si="137"/>
        <v>0</v>
      </c>
      <c r="X201" s="3">
        <f t="shared" si="137"/>
        <v>0</v>
      </c>
      <c r="Y201" s="3">
        <f t="shared" si="137"/>
        <v>0</v>
      </c>
      <c r="Z201" s="3">
        <f t="shared" si="137"/>
        <v>0</v>
      </c>
      <c r="AA201" s="3">
        <f t="shared" si="137"/>
        <v>0</v>
      </c>
      <c r="AB201" s="3">
        <f t="shared" si="137"/>
        <v>0</v>
      </c>
      <c r="AC201" s="3">
        <f t="shared" si="137"/>
        <v>0</v>
      </c>
      <c r="AD201" s="3">
        <f t="shared" si="137"/>
        <v>0</v>
      </c>
      <c r="AE201" s="3">
        <f t="shared" si="137"/>
        <v>0</v>
      </c>
      <c r="AF201" s="3">
        <f t="shared" si="137"/>
        <v>0</v>
      </c>
      <c r="AG201" s="3"/>
      <c r="AH201" s="3"/>
    </row>
    <row r="202" spans="1:34" x14ac:dyDescent="0.25">
      <c r="A202" s="80">
        <f>AVERAGE(B202:AF202)</f>
        <v>9.2914164081812575E-4</v>
      </c>
      <c r="B202" s="81">
        <f>IF($A$64&lt;=B168,IF($B$64&gt;=B168,ABS((B170-B169)/B169),0),0)</f>
        <v>0</v>
      </c>
      <c r="C202" s="81">
        <f t="shared" ref="C202:AF202" si="138">IF($A$64&lt;=C168,IF($B$64&gt;=C168,ABS((C170-C169)/C169),0),0)</f>
        <v>0</v>
      </c>
      <c r="D202" s="81">
        <f t="shared" si="138"/>
        <v>0</v>
      </c>
      <c r="E202" s="81">
        <f t="shared" si="138"/>
        <v>0</v>
      </c>
      <c r="F202" s="81">
        <f t="shared" si="138"/>
        <v>0</v>
      </c>
      <c r="G202" s="81">
        <f t="shared" si="138"/>
        <v>0</v>
      </c>
      <c r="H202" s="81">
        <f t="shared" si="138"/>
        <v>0</v>
      </c>
      <c r="I202" s="81">
        <f t="shared" si="138"/>
        <v>0</v>
      </c>
      <c r="J202" s="81">
        <f t="shared" si="138"/>
        <v>0</v>
      </c>
      <c r="K202" s="81">
        <f t="shared" si="138"/>
        <v>0</v>
      </c>
      <c r="L202" s="81">
        <f t="shared" si="138"/>
        <v>1.7558582575705911E-3</v>
      </c>
      <c r="M202" s="81">
        <f t="shared" si="138"/>
        <v>1.5392712497602659E-3</v>
      </c>
      <c r="N202" s="81">
        <f t="shared" si="138"/>
        <v>1.3463375198383858E-3</v>
      </c>
      <c r="O202" s="81">
        <f t="shared" si="138"/>
        <v>1.7099318177297622E-3</v>
      </c>
      <c r="P202" s="81">
        <f t="shared" si="138"/>
        <v>1.5758451604065214E-3</v>
      </c>
      <c r="Q202" s="81">
        <f t="shared" si="138"/>
        <v>1.7229122501094098E-3</v>
      </c>
      <c r="R202" s="81">
        <f t="shared" si="138"/>
        <v>1.6360194491775117E-3</v>
      </c>
      <c r="S202" s="81">
        <f t="shared" si="138"/>
        <v>1.2953939524654955E-3</v>
      </c>
      <c r="T202" s="81">
        <f t="shared" si="138"/>
        <v>1.4462110844352817E-3</v>
      </c>
      <c r="U202" s="81">
        <f t="shared" si="138"/>
        <v>6.5135911612577086E-3</v>
      </c>
      <c r="V202" s="81">
        <f t="shared" si="138"/>
        <v>8.2620189626109678E-3</v>
      </c>
      <c r="W202" s="81">
        <f t="shared" si="138"/>
        <v>0</v>
      </c>
      <c r="X202" s="81">
        <f t="shared" si="138"/>
        <v>0</v>
      </c>
      <c r="Y202" s="81">
        <f t="shared" si="138"/>
        <v>0</v>
      </c>
      <c r="Z202" s="81">
        <f t="shared" si="138"/>
        <v>0</v>
      </c>
      <c r="AA202" s="81">
        <f t="shared" si="138"/>
        <v>0</v>
      </c>
      <c r="AB202" s="81">
        <f t="shared" si="138"/>
        <v>0</v>
      </c>
      <c r="AC202" s="81">
        <f t="shared" si="138"/>
        <v>0</v>
      </c>
      <c r="AD202" s="81">
        <f t="shared" si="138"/>
        <v>0</v>
      </c>
      <c r="AE202" s="81">
        <f t="shared" si="138"/>
        <v>0</v>
      </c>
      <c r="AF202" s="81">
        <f t="shared" si="138"/>
        <v>0</v>
      </c>
    </row>
    <row r="203" spans="1:34" x14ac:dyDescent="0.25">
      <c r="B203" s="21">
        <f>(B170-B169)^2</f>
        <v>365721.89354160323</v>
      </c>
      <c r="C203" s="21">
        <f t="shared" ref="C203:AF203" si="139">(C170-C169)^2</f>
        <v>61929.112577931985</v>
      </c>
      <c r="D203" s="21">
        <f t="shared" si="139"/>
        <v>2819.9846066275049</v>
      </c>
      <c r="E203" s="21">
        <f t="shared" si="139"/>
        <v>5324.6974150252718</v>
      </c>
      <c r="F203" s="21">
        <f t="shared" si="139"/>
        <v>1740.0179927060271</v>
      </c>
      <c r="G203" s="21">
        <f t="shared" si="139"/>
        <v>394.25201632862729</v>
      </c>
      <c r="H203" s="21">
        <f t="shared" si="139"/>
        <v>359.73677629270537</v>
      </c>
      <c r="I203" s="21">
        <f t="shared" si="139"/>
        <v>338.27933520637811</v>
      </c>
      <c r="J203" s="21">
        <f t="shared" si="139"/>
        <v>232.44463713676802</v>
      </c>
      <c r="K203" s="21">
        <f t="shared" si="139"/>
        <v>237.80204276558214</v>
      </c>
      <c r="L203" s="21">
        <f t="shared" si="139"/>
        <v>169.371758111171</v>
      </c>
      <c r="M203" s="21">
        <f t="shared" si="139"/>
        <v>117.57951803928388</v>
      </c>
      <c r="N203" s="21">
        <f t="shared" si="139"/>
        <v>80.508532773233071</v>
      </c>
      <c r="O203" s="21">
        <f t="shared" si="139"/>
        <v>117.57146857860947</v>
      </c>
      <c r="P203" s="21">
        <f t="shared" si="139"/>
        <v>91.131647228304544</v>
      </c>
      <c r="Q203" s="21">
        <f t="shared" si="139"/>
        <v>99.043184931594411</v>
      </c>
      <c r="R203" s="21">
        <f t="shared" si="139"/>
        <v>80.771229493323148</v>
      </c>
      <c r="S203" s="21">
        <f t="shared" si="139"/>
        <v>45.645830796978281</v>
      </c>
      <c r="T203" s="21">
        <f t="shared" si="139"/>
        <v>50.170566589630731</v>
      </c>
      <c r="U203" s="21">
        <f t="shared" si="139"/>
        <v>857.51125807353378</v>
      </c>
      <c r="V203" s="21">
        <f t="shared" si="139"/>
        <v>1124.740392711549</v>
      </c>
      <c r="W203" s="21">
        <f t="shared" si="139"/>
        <v>660.08831780915716</v>
      </c>
      <c r="X203" s="21">
        <f t="shared" si="139"/>
        <v>379.92164728225396</v>
      </c>
      <c r="Y203" s="21">
        <f t="shared" si="139"/>
        <v>41.313763398887616</v>
      </c>
      <c r="Z203" s="21">
        <f t="shared" si="139"/>
        <v>507.6989824293899</v>
      </c>
      <c r="AA203" s="21">
        <f t="shared" si="139"/>
        <v>64.236890706324857</v>
      </c>
      <c r="AB203" s="21">
        <f t="shared" si="139"/>
        <v>90.168109067491542</v>
      </c>
      <c r="AC203" s="21">
        <f t="shared" si="139"/>
        <v>9.9794903407177227</v>
      </c>
      <c r="AD203" s="21">
        <f t="shared" si="139"/>
        <v>4.6430580928103442</v>
      </c>
      <c r="AE203" s="21">
        <f t="shared" si="139"/>
        <v>0.9354188802358282</v>
      </c>
      <c r="AF203" s="21">
        <f t="shared" si="139"/>
        <v>0.16138688913286484</v>
      </c>
      <c r="AG203" s="3"/>
      <c r="AH203" s="3"/>
    </row>
    <row r="204" spans="1:34" x14ac:dyDescent="0.25">
      <c r="A204" s="72">
        <f>SUM(B204:AF204)</f>
        <v>2834.0453873272118</v>
      </c>
      <c r="B204" s="60">
        <f>IF($A$64&lt;=B168,IF($B$64&gt;=B168,ABS(B203),0),0)</f>
        <v>0</v>
      </c>
      <c r="C204" s="60">
        <f t="shared" ref="C204" si="140">IF($A$64&lt;=C168,IF($B$64&gt;=C168,ABS(C203),0),0)</f>
        <v>0</v>
      </c>
      <c r="D204" s="60">
        <f t="shared" ref="D204" si="141">IF($A$64&lt;=D168,IF($B$64&gt;=D168,ABS(D203),0),0)</f>
        <v>0</v>
      </c>
      <c r="E204" s="60">
        <f t="shared" ref="E204" si="142">IF($A$64&lt;=E168,IF($B$64&gt;=E168,ABS(E203),0),0)</f>
        <v>0</v>
      </c>
      <c r="F204" s="60">
        <f t="shared" ref="F204" si="143">IF($A$64&lt;=F168,IF($B$64&gt;=F168,ABS(F203),0),0)</f>
        <v>0</v>
      </c>
      <c r="G204" s="60">
        <f t="shared" ref="G204" si="144">IF($A$64&lt;=G168,IF($B$64&gt;=G168,ABS(G203),0),0)</f>
        <v>0</v>
      </c>
      <c r="H204" s="60">
        <f t="shared" ref="H204" si="145">IF($A$64&lt;=H168,IF($B$64&gt;=H168,ABS(H203),0),0)</f>
        <v>0</v>
      </c>
      <c r="I204" s="60">
        <f t="shared" ref="I204" si="146">IF($A$64&lt;=I168,IF($B$64&gt;=I168,ABS(I203),0),0)</f>
        <v>0</v>
      </c>
      <c r="J204" s="60">
        <f t="shared" ref="J204" si="147">IF($A$64&lt;=J168,IF($B$64&gt;=J168,ABS(J203),0),0)</f>
        <v>0</v>
      </c>
      <c r="K204" s="60">
        <f t="shared" ref="K204" si="148">IF($A$64&lt;=K168,IF($B$64&gt;=K168,ABS(K203),0),0)</f>
        <v>0</v>
      </c>
      <c r="L204" s="60">
        <f t="shared" ref="L204" si="149">IF($A$64&lt;=L168,IF($B$64&gt;=L168,ABS(L203),0),0)</f>
        <v>169.371758111171</v>
      </c>
      <c r="M204" s="60">
        <f t="shared" ref="M204" si="150">IF($A$64&lt;=M168,IF($B$64&gt;=M168,ABS(M203),0),0)</f>
        <v>117.57951803928388</v>
      </c>
      <c r="N204" s="60">
        <f t="shared" ref="N204" si="151">IF($A$64&lt;=N168,IF($B$64&gt;=N168,ABS(N203),0),0)</f>
        <v>80.508532773233071</v>
      </c>
      <c r="O204" s="60">
        <f t="shared" ref="O204" si="152">IF($A$64&lt;=O168,IF($B$64&gt;=O168,ABS(O203),0),0)</f>
        <v>117.57146857860947</v>
      </c>
      <c r="P204" s="60">
        <f t="shared" ref="P204" si="153">IF($A$64&lt;=P168,IF($B$64&gt;=P168,ABS(P203),0),0)</f>
        <v>91.131647228304544</v>
      </c>
      <c r="Q204" s="60">
        <f t="shared" ref="Q204" si="154">IF($A$64&lt;=Q168,IF($B$64&gt;=Q168,ABS(Q203),0),0)</f>
        <v>99.043184931594411</v>
      </c>
      <c r="R204" s="60">
        <f t="shared" ref="R204" si="155">IF($A$64&lt;=R168,IF($B$64&gt;=R168,ABS(R203),0),0)</f>
        <v>80.771229493323148</v>
      </c>
      <c r="S204" s="60">
        <f t="shared" ref="S204" si="156">IF($A$64&lt;=S168,IF($B$64&gt;=S168,ABS(S203),0),0)</f>
        <v>45.645830796978281</v>
      </c>
      <c r="T204" s="60">
        <f t="shared" ref="T204" si="157">IF($A$64&lt;=T168,IF($B$64&gt;=T168,ABS(T203),0),0)</f>
        <v>50.170566589630731</v>
      </c>
      <c r="U204" s="60">
        <f t="shared" ref="U204" si="158">IF($A$64&lt;=U168,IF($B$64&gt;=U168,ABS(U203),0),0)</f>
        <v>857.51125807353378</v>
      </c>
      <c r="V204" s="60">
        <f t="shared" ref="V204" si="159">IF($A$64&lt;=V168,IF($B$64&gt;=V168,ABS(V203),0),0)</f>
        <v>1124.740392711549</v>
      </c>
      <c r="W204" s="60">
        <f t="shared" ref="W204" si="160">IF($A$64&lt;=W168,IF($B$64&gt;=W168,ABS(W203),0),0)</f>
        <v>0</v>
      </c>
      <c r="X204" s="60">
        <f t="shared" ref="X204" si="161">IF($A$64&lt;=X168,IF($B$64&gt;=X168,ABS(X203),0),0)</f>
        <v>0</v>
      </c>
      <c r="Y204" s="60">
        <f t="shared" ref="Y204" si="162">IF($A$64&lt;=Y168,IF($B$64&gt;=Y168,ABS(Y203),0),0)</f>
        <v>0</v>
      </c>
      <c r="Z204" s="60">
        <f t="shared" ref="Z204" si="163">IF($A$64&lt;=Z168,IF($B$64&gt;=Z168,ABS(Z203),0),0)</f>
        <v>0</v>
      </c>
      <c r="AA204" s="60">
        <f t="shared" ref="AA204" si="164">IF($A$64&lt;=AA168,IF($B$64&gt;=AA168,ABS(AA203),0),0)</f>
        <v>0</v>
      </c>
      <c r="AB204" s="60">
        <f t="shared" ref="AB204" si="165">IF($A$64&lt;=AB168,IF($B$64&gt;=AB168,ABS(AB203),0),0)</f>
        <v>0</v>
      </c>
      <c r="AC204" s="60">
        <f t="shared" ref="AC204" si="166">IF($A$64&lt;=AC168,IF($B$64&gt;=AC168,ABS(AC203),0),0)</f>
        <v>0</v>
      </c>
      <c r="AD204" s="60">
        <f t="shared" ref="AD204" si="167">IF($A$64&lt;=AD168,IF($B$64&gt;=AD168,ABS(AD203),0),0)</f>
        <v>0</v>
      </c>
      <c r="AE204" s="60">
        <f t="shared" ref="AE204" si="168">IF($A$64&lt;=AE168,IF($B$64&gt;=AE168,ABS(AE203),0),0)</f>
        <v>0</v>
      </c>
      <c r="AF204" s="60">
        <f t="shared" ref="AF204" si="169">IF($A$64&lt;=AF168,IF($B$64&gt;=AF168,ABS(AF203),0),0)</f>
        <v>0</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70" t="s">
        <v>27</v>
      </c>
      <c r="B206" s="11">
        <f>INDEX($D$1:$M$1,1,$D$122)</f>
        <v>25</v>
      </c>
    </row>
    <row r="207" spans="1:34" x14ac:dyDescent="0.25">
      <c r="A207" s="70"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9730.0167223959397</v>
      </c>
      <c r="C208" s="26">
        <f>INDEX(Comparison!$AM$3:$AS$33,G$14,$D$122)</f>
        <v>9476.1525473419642</v>
      </c>
      <c r="D208" s="26">
        <f>INDEX(Comparison!$AM$3:$AS$33,H$14,$D$122)</f>
        <v>9264.0506360514537</v>
      </c>
      <c r="E208" s="26">
        <f>INDEX(Comparison!$AM$3:$AS$33,I$14,$D$122)</f>
        <v>9042.8661048910981</v>
      </c>
      <c r="F208" s="26">
        <f>INDEX(Comparison!$AM$3:$AS$33,J$14,$D$122)</f>
        <v>8796.5318501985184</v>
      </c>
      <c r="G208" s="26">
        <f>INDEX(Comparison!$AM$3:$AS$33,K$14,$D$122)</f>
        <v>8532.9278199977016</v>
      </c>
      <c r="H208" s="26">
        <f>INDEX(Comparison!$AM$3:$AS$33,L$14,$D$122)</f>
        <v>8242.1892422663423</v>
      </c>
      <c r="I208" s="26">
        <f>INDEX(Comparison!$AM$3:$AS$33,M$14,$D$122)</f>
        <v>7957.4855284258747</v>
      </c>
      <c r="J208" s="26">
        <f>INDEX(Comparison!$AM$3:$AS$33,N$14,$D$122)</f>
        <v>7685.4052187432317</v>
      </c>
      <c r="K208" s="26">
        <f>INDEX(Comparison!$AM$3:$AS$33,O$14,$D$122)</f>
        <v>7368.9543787655439</v>
      </c>
      <c r="L208" s="26">
        <f>INDEX(Comparison!$AM$3:$AS$33,P$14,$D$122)</f>
        <v>6998.3812744112274</v>
      </c>
      <c r="M208" s="26">
        <f>INDEX(Comparison!$AM$3:$AS$33,Q$14,$D$122)</f>
        <v>6621.5844226341051</v>
      </c>
      <c r="N208" s="26">
        <f>INDEX(Comparison!$AM$3:$AS$33,R$14,$D$122)</f>
        <v>6307.1591705971805</v>
      </c>
      <c r="O208" s="26">
        <f>INDEX(Comparison!$AM$3:$AS$33,S$14,$D$122)</f>
        <v>6022.8689849680577</v>
      </c>
      <c r="P208" s="26">
        <f>INDEX(Comparison!$AM$3:$AS$33,T$14,$D$122)</f>
        <v>5743.6712365645317</v>
      </c>
      <c r="Q208" s="26">
        <f>INDEX(Comparison!$AM$3:$AS$33,U$14,$D$122)</f>
        <v>5459.2543435964462</v>
      </c>
      <c r="R208" s="26">
        <f>INDEX(Comparison!$AM$3:$AS$33,V$14,$D$122)</f>
        <v>5186.1259100095131</v>
      </c>
      <c r="S208" s="26">
        <f>INDEX(Comparison!$AM$3:$AS$33,W$14,$D$122)</f>
        <v>4865.5108844814831</v>
      </c>
      <c r="T208" s="26">
        <f>INDEX(Comparison!$AM$3:$AS$33,X$14,$D$122)</f>
        <v>4471.3145751722259</v>
      </c>
      <c r="U208" s="26">
        <f>INDEX(Comparison!$AM$3:$AS$33,Y$14,$D$122)</f>
        <v>4031.2545236434685</v>
      </c>
      <c r="V208" s="26">
        <f>INDEX(Comparison!$AM$3:$AS$33,Z$14,$D$122)</f>
        <v>3565.3464541885878</v>
      </c>
      <c r="W208" s="26">
        <f>INDEX(Comparison!$AM$3:$AS$33,AA$14,$D$122)</f>
        <v>3072.2800042990852</v>
      </c>
      <c r="X208" s="26">
        <f>INDEX(Comparison!$AM$3:$AS$33,AB$14,$D$122)</f>
        <v>2540.7682600840731</v>
      </c>
      <c r="Y208" s="26">
        <f>INDEX(Comparison!$AM$3:$AS$33,AC$14,$D$122)</f>
        <v>1974.0579457073152</v>
      </c>
      <c r="Z208" s="26">
        <f>INDEX(Comparison!$AM$3:$AS$33,AD$14,$D$122)</f>
        <v>1447.7693345065175</v>
      </c>
      <c r="AA208" s="26">
        <f>INDEX(Comparison!$AM$3:$AS$33,AE$14,$D$122)</f>
        <v>1044.3571981147218</v>
      </c>
      <c r="AB208" s="26">
        <f>INDEX(Comparison!$AM$3:$AS$33,AF$14,$D$122)</f>
        <v>784.40987612375113</v>
      </c>
      <c r="AC208" s="26">
        <f>INDEX(Comparison!$AM$3:$AS$33,AG$14,$D$122)</f>
        <v>651.40811766035665</v>
      </c>
      <c r="AD208" s="26">
        <f>INDEX(Comparison!$AM$3:$AS$33,AH$14,$D$122)</f>
        <v>583.80121108393644</v>
      </c>
      <c r="AE208" s="26">
        <f>INDEX(Comparison!$AM$3:$AS$33,AI$14,$D$122)</f>
        <v>548.71871201984641</v>
      </c>
      <c r="AF208" s="26">
        <f>INDEX(Comparison!$AM$3:$AS$33,AJ$14,$D$122)</f>
        <v>525.29950476563715</v>
      </c>
      <c r="AG208" s="26"/>
      <c r="AH208" s="26"/>
    </row>
    <row r="209" spans="1:34" x14ac:dyDescent="0.25">
      <c r="A209" s="71" t="s">
        <v>22</v>
      </c>
      <c r="B209" s="27">
        <f>($C$17+SUM(B210:B240))*$B$51</f>
        <v>9459.6154790024193</v>
      </c>
      <c r="C209" s="27">
        <f t="shared" ref="C209:AF209" si="170">($C$17+SUM(C210:C240))*$B$51</f>
        <v>9448.2633661785767</v>
      </c>
      <c r="D209" s="27">
        <f t="shared" si="170"/>
        <v>9348.7185999104495</v>
      </c>
      <c r="E209" s="27">
        <f t="shared" si="170"/>
        <v>9003.8112323710375</v>
      </c>
      <c r="F209" s="27">
        <f t="shared" si="170"/>
        <v>8790.24538548081</v>
      </c>
      <c r="G209" s="27">
        <f t="shared" si="170"/>
        <v>8519.8322366389821</v>
      </c>
      <c r="H209" s="27">
        <f t="shared" si="170"/>
        <v>8231.230075857371</v>
      </c>
      <c r="I209" s="27">
        <f t="shared" si="170"/>
        <v>7945.2416911375803</v>
      </c>
      <c r="J209" s="27">
        <f t="shared" si="170"/>
        <v>7674.2052362309578</v>
      </c>
      <c r="K209" s="27">
        <f t="shared" si="170"/>
        <v>7358.3162686108526</v>
      </c>
      <c r="L209" s="27">
        <f t="shared" si="170"/>
        <v>6987.1907166198907</v>
      </c>
      <c r="M209" s="27">
        <f t="shared" si="170"/>
        <v>6612.0020784577164</v>
      </c>
      <c r="N209" s="27">
        <f t="shared" si="170"/>
        <v>6296.9491485846165</v>
      </c>
      <c r="O209" s="27">
        <f t="shared" si="170"/>
        <v>6016.2836381567449</v>
      </c>
      <c r="P209" s="27">
        <f t="shared" si="170"/>
        <v>5734.5916971261131</v>
      </c>
      <c r="Q209" s="27">
        <f t="shared" si="170"/>
        <v>5454.6197161970331</v>
      </c>
      <c r="R209" s="27">
        <f t="shared" si="170"/>
        <v>5180.047157163749</v>
      </c>
      <c r="S209" s="27">
        <f t="shared" si="170"/>
        <v>4868.538920503448</v>
      </c>
      <c r="T209" s="27">
        <f t="shared" si="170"/>
        <v>4484.7078230894585</v>
      </c>
      <c r="U209" s="27">
        <f t="shared" si="170"/>
        <v>4048.8768190054298</v>
      </c>
      <c r="V209" s="27">
        <f t="shared" si="170"/>
        <v>3579.9968449024186</v>
      </c>
      <c r="W209" s="27">
        <f t="shared" si="170"/>
        <v>3082.0349291258608</v>
      </c>
      <c r="X209" s="27">
        <f t="shared" si="170"/>
        <v>2552.4304038811615</v>
      </c>
      <c r="Y209" s="27">
        <f t="shared" si="170"/>
        <v>1969.5123336674831</v>
      </c>
      <c r="Z209" s="27">
        <f t="shared" si="170"/>
        <v>1447.602007617556</v>
      </c>
      <c r="AA209" s="27">
        <f t="shared" si="170"/>
        <v>1041.5321503269599</v>
      </c>
      <c r="AB209" s="27">
        <f t="shared" si="170"/>
        <v>783.68467263409764</v>
      </c>
      <c r="AC209" s="27">
        <f t="shared" si="170"/>
        <v>651.1116181221247</v>
      </c>
      <c r="AD209" s="27">
        <f t="shared" si="170"/>
        <v>583.48609161447519</v>
      </c>
      <c r="AE209" s="27">
        <f t="shared" si="170"/>
        <v>548.92493345424305</v>
      </c>
      <c r="AF209" s="27">
        <f t="shared" si="170"/>
        <v>524.99661685749959</v>
      </c>
      <c r="AG209" s="27"/>
      <c r="AH209" s="27"/>
    </row>
    <row r="210" spans="1:34" x14ac:dyDescent="0.25">
      <c r="B210" s="3">
        <f t="shared" ref="B210:AF210" si="171">$C18*EXP(-B$207/$A18/EXP(-$D$126))</f>
        <v>0</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4.2472600268928254E-2</v>
      </c>
      <c r="C211" s="3">
        <f t="shared" si="172"/>
        <v>4.1406373167224952E-2</v>
      </c>
      <c r="D211" s="3">
        <f t="shared" si="172"/>
        <v>3.211076164704986E-2</v>
      </c>
      <c r="E211" s="3">
        <f t="shared" si="172"/>
        <v>2.5262990434273113E-3</v>
      </c>
      <c r="F211" s="3">
        <f t="shared" si="172"/>
        <v>2.295230282048079E-14</v>
      </c>
      <c r="G211" s="3">
        <f t="shared" si="172"/>
        <v>8.7951113074774727E-125</v>
      </c>
      <c r="H211" s="3">
        <f t="shared" si="172"/>
        <v>0</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1.8185326335787108E-2</v>
      </c>
      <c r="C212" s="3">
        <f t="shared" si="173"/>
        <v>1.8143666288393312E-2</v>
      </c>
      <c r="D212" s="3">
        <f t="shared" si="173"/>
        <v>1.773227895948969E-2</v>
      </c>
      <c r="E212" s="3">
        <f t="shared" si="173"/>
        <v>1.409806827641398E-2</v>
      </c>
      <c r="F212" s="3">
        <f t="shared" si="173"/>
        <v>1.4226895965533948E-3</v>
      </c>
      <c r="G212" s="3">
        <f t="shared" si="173"/>
        <v>1.5581727968131685E-13</v>
      </c>
      <c r="H212" s="3">
        <f t="shared" si="173"/>
        <v>3.869637121705833E-113</v>
      </c>
      <c r="I212" s="3">
        <f t="shared" si="173"/>
        <v>0</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2.8233076135996217E-2</v>
      </c>
      <c r="C213" s="3">
        <f t="shared" si="174"/>
        <v>2.8227235549562284E-2</v>
      </c>
      <c r="D213" s="3">
        <f t="shared" si="174"/>
        <v>2.816889609742813E-2</v>
      </c>
      <c r="E213" s="3">
        <f t="shared" si="174"/>
        <v>2.7592092238213468E-2</v>
      </c>
      <c r="F213" s="3">
        <f t="shared" si="174"/>
        <v>2.2435341581062449E-2</v>
      </c>
      <c r="G213" s="3">
        <f t="shared" si="174"/>
        <v>2.8340872447762322E-3</v>
      </c>
      <c r="H213" s="3">
        <f t="shared" si="174"/>
        <v>2.9323682536722911E-12</v>
      </c>
      <c r="I213" s="3">
        <f t="shared" si="174"/>
        <v>4.1235517141008916E-102</v>
      </c>
      <c r="J213" s="3">
        <f t="shared" si="174"/>
        <v>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2.984751997779643E-2</v>
      </c>
      <c r="C214" s="3">
        <f t="shared" si="175"/>
        <v>2.9846962928062583E-2</v>
      </c>
      <c r="D214" s="3">
        <f t="shared" si="175"/>
        <v>2.9841393002489745E-2</v>
      </c>
      <c r="E214" s="3">
        <f t="shared" si="175"/>
        <v>2.9785750883863638E-2</v>
      </c>
      <c r="F214" s="3">
        <f t="shared" si="175"/>
        <v>2.9235004148328844E-2</v>
      </c>
      <c r="G214" s="3">
        <f t="shared" si="175"/>
        <v>2.4257678095966614E-2</v>
      </c>
      <c r="H214" s="3">
        <f t="shared" si="175"/>
        <v>3.7524068185300907E-3</v>
      </c>
      <c r="I214" s="3">
        <f t="shared" si="175"/>
        <v>2.943857576936425E-11</v>
      </c>
      <c r="J214" s="3">
        <f t="shared" si="175"/>
        <v>2.6000732415683098E-92</v>
      </c>
      <c r="K214" s="3">
        <f t="shared" si="175"/>
        <v>0</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2.9885277151099381E-2</v>
      </c>
      <c r="C215" s="3">
        <f t="shared" si="176"/>
        <v>2.9885226836585007E-2</v>
      </c>
      <c r="D215" s="3">
        <f t="shared" si="176"/>
        <v>2.9884723696100252E-2</v>
      </c>
      <c r="E215" s="3">
        <f t="shared" si="176"/>
        <v>2.9879692757120539E-2</v>
      </c>
      <c r="F215" s="3">
        <f t="shared" si="176"/>
        <v>2.9829429925099661E-2</v>
      </c>
      <c r="G215" s="3">
        <f t="shared" si="176"/>
        <v>2.9331428510505641E-2</v>
      </c>
      <c r="H215" s="3">
        <f t="shared" si="176"/>
        <v>2.4786535358238434E-2</v>
      </c>
      <c r="I215" s="3">
        <f t="shared" si="176"/>
        <v>4.6030101840499943E-3</v>
      </c>
      <c r="J215" s="3">
        <f t="shared" si="176"/>
        <v>2.245448178005967E-10</v>
      </c>
      <c r="K215" s="3">
        <f t="shared" si="176"/>
        <v>1.7136181154472849E-83</v>
      </c>
      <c r="L215" s="3">
        <f t="shared" si="176"/>
        <v>0</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2.6241417836813961E-2</v>
      </c>
      <c r="C216" s="3">
        <f t="shared" si="177"/>
        <v>2.6241413851429553E-2</v>
      </c>
      <c r="D216" s="3">
        <f t="shared" si="177"/>
        <v>2.6241373997618746E-2</v>
      </c>
      <c r="E216" s="3">
        <f t="shared" si="177"/>
        <v>2.6240975462839676E-2</v>
      </c>
      <c r="F216" s="3">
        <f t="shared" si="177"/>
        <v>2.6236990447929816E-2</v>
      </c>
      <c r="G216" s="3">
        <f t="shared" si="177"/>
        <v>2.6197173568216155E-2</v>
      </c>
      <c r="H216" s="3">
        <f t="shared" si="177"/>
        <v>2.5802313090106062E-2</v>
      </c>
      <c r="I216" s="3">
        <f t="shared" si="177"/>
        <v>2.2166681085906678E-2</v>
      </c>
      <c r="J216" s="3">
        <f t="shared" si="177"/>
        <v>4.85423722754916E-3</v>
      </c>
      <c r="K216" s="3">
        <f t="shared" si="177"/>
        <v>1.23118759604563E-9</v>
      </c>
      <c r="L216" s="3">
        <f t="shared" si="177"/>
        <v>1.3563025550497264E-75</v>
      </c>
      <c r="M216" s="3">
        <f t="shared" si="177"/>
        <v>0</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3.2917205951686936E-2</v>
      </c>
      <c r="C217" s="3">
        <f t="shared" si="178"/>
        <v>3.2917205500711894E-2</v>
      </c>
      <c r="D217" s="3">
        <f t="shared" si="178"/>
        <v>3.291720099096182E-2</v>
      </c>
      <c r="E217" s="3">
        <f t="shared" si="178"/>
        <v>3.2917155893495101E-2</v>
      </c>
      <c r="F217" s="3">
        <f t="shared" si="178"/>
        <v>3.2916704922226044E-2</v>
      </c>
      <c r="G217" s="3">
        <f t="shared" si="178"/>
        <v>3.2912195549333029E-2</v>
      </c>
      <c r="H217" s="3">
        <f t="shared" si="178"/>
        <v>3.2867135782942751E-2</v>
      </c>
      <c r="I217" s="3">
        <f t="shared" si="178"/>
        <v>3.2419917219963949E-2</v>
      </c>
      <c r="J217" s="3">
        <f t="shared" si="178"/>
        <v>2.8269122487739537E-2</v>
      </c>
      <c r="K217" s="3">
        <f t="shared" si="178"/>
        <v>7.1831773253092307E-3</v>
      </c>
      <c r="L217" s="3">
        <f t="shared" si="178"/>
        <v>8.0604481385262642E-9</v>
      </c>
      <c r="M217" s="3">
        <f t="shared" si="178"/>
        <v>2.5514390140604323E-68</v>
      </c>
      <c r="N217" s="3">
        <f t="shared" si="178"/>
        <v>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4.0072808196909546E-2</v>
      </c>
      <c r="C218" s="3">
        <f t="shared" si="179"/>
        <v>4.0072808147384377E-2</v>
      </c>
      <c r="D218" s="3">
        <f t="shared" si="179"/>
        <v>4.0072807652132753E-2</v>
      </c>
      <c r="E218" s="3">
        <f t="shared" si="179"/>
        <v>4.0072802699616827E-2</v>
      </c>
      <c r="F218" s="3">
        <f t="shared" si="179"/>
        <v>4.0072753174491216E-2</v>
      </c>
      <c r="G218" s="3">
        <f t="shared" si="179"/>
        <v>4.0072257926601525E-2</v>
      </c>
      <c r="H218" s="3">
        <f t="shared" si="179"/>
        <v>4.0067305784326726E-2</v>
      </c>
      <c r="I218" s="3">
        <f t="shared" si="179"/>
        <v>4.0017818008404635E-2</v>
      </c>
      <c r="J218" s="3">
        <f t="shared" si="179"/>
        <v>3.9526289596643067E-2</v>
      </c>
      <c r="K218" s="3">
        <f t="shared" si="179"/>
        <v>3.4931117742890747E-2</v>
      </c>
      <c r="L218" s="3">
        <f t="shared" si="179"/>
        <v>1.0150252039864411E-2</v>
      </c>
      <c r="M218" s="3">
        <f t="shared" si="179"/>
        <v>4.3563249059253562E-8</v>
      </c>
      <c r="N218" s="3">
        <f t="shared" si="179"/>
        <v>9.2375038193257118E-62</v>
      </c>
      <c r="O218" s="3">
        <f t="shared" si="179"/>
        <v>0</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3.9765912839602471E-2</v>
      </c>
      <c r="C219" s="3">
        <f t="shared" si="180"/>
        <v>3.9765912835169108E-2</v>
      </c>
      <c r="D219" s="3">
        <f t="shared" si="180"/>
        <v>3.9765912790835439E-2</v>
      </c>
      <c r="E219" s="3">
        <f t="shared" si="180"/>
        <v>3.9765912347498739E-2</v>
      </c>
      <c r="F219" s="3">
        <f t="shared" si="180"/>
        <v>3.9765907914132051E-2</v>
      </c>
      <c r="G219" s="3">
        <f t="shared" si="180"/>
        <v>3.9765863580492375E-2</v>
      </c>
      <c r="H219" s="3">
        <f t="shared" si="180"/>
        <v>3.9765420246814009E-2</v>
      </c>
      <c r="I219" s="3">
        <f t="shared" si="180"/>
        <v>3.9760987181861475E-2</v>
      </c>
      <c r="J219" s="3">
        <f t="shared" si="180"/>
        <v>3.9716683704239662E-2</v>
      </c>
      <c r="K219" s="3">
        <f t="shared" si="180"/>
        <v>3.9276354943299938E-2</v>
      </c>
      <c r="L219" s="3">
        <f t="shared" si="180"/>
        <v>3.513283165573465E-2</v>
      </c>
      <c r="M219" s="3">
        <f t="shared" si="180"/>
        <v>1.1522134502310247E-2</v>
      </c>
      <c r="N219" s="3">
        <f t="shared" si="180"/>
        <v>1.6585585196781261E-7</v>
      </c>
      <c r="O219" s="3">
        <f t="shared" si="180"/>
        <v>6.3344569482434894E-56</v>
      </c>
      <c r="P219" s="3">
        <f t="shared" si="180"/>
        <v>0</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2.9424353030138437E-2</v>
      </c>
      <c r="C220" s="3">
        <f t="shared" si="181"/>
        <v>2.9424353029842514E-2</v>
      </c>
      <c r="D220" s="3">
        <f t="shared" si="181"/>
        <v>2.9424353026883305E-2</v>
      </c>
      <c r="E220" s="3">
        <f t="shared" si="181"/>
        <v>2.9424352997291171E-2</v>
      </c>
      <c r="F220" s="3">
        <f t="shared" si="181"/>
        <v>2.9424352701369866E-2</v>
      </c>
      <c r="G220" s="3">
        <f t="shared" si="181"/>
        <v>2.9424349742156949E-2</v>
      </c>
      <c r="H220" s="3">
        <f t="shared" si="181"/>
        <v>2.9424320150044175E-2</v>
      </c>
      <c r="I220" s="3">
        <f t="shared" si="181"/>
        <v>2.9424024230553267E-2</v>
      </c>
      <c r="J220" s="3">
        <f t="shared" si="181"/>
        <v>2.9421065199322177E-2</v>
      </c>
      <c r="K220" s="3">
        <f t="shared" si="181"/>
        <v>2.9391491248721622E-2</v>
      </c>
      <c r="L220" s="3">
        <f t="shared" si="181"/>
        <v>2.9097381841742063E-2</v>
      </c>
      <c r="M220" s="3">
        <f t="shared" si="181"/>
        <v>2.6313391658696755E-2</v>
      </c>
      <c r="N220" s="3">
        <f t="shared" si="181"/>
        <v>9.6251165474504873E-3</v>
      </c>
      <c r="O220" s="3">
        <f t="shared" si="181"/>
        <v>4.1276005966887338E-7</v>
      </c>
      <c r="P220" s="3">
        <f t="shared" si="181"/>
        <v>8.6818916740973858E-51</v>
      </c>
      <c r="Q220" s="3">
        <f t="shared" si="181"/>
        <v>0</v>
      </c>
      <c r="R220" s="3">
        <f t="shared" si="181"/>
        <v>0</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2.8571417110973277E-2</v>
      </c>
      <c r="C221" s="3">
        <f t="shared" si="182"/>
        <v>2.8571417110947354E-2</v>
      </c>
      <c r="D221" s="3">
        <f t="shared" si="182"/>
        <v>2.8571417110688148E-2</v>
      </c>
      <c r="E221" s="3">
        <f t="shared" si="182"/>
        <v>2.8571417108096072E-2</v>
      </c>
      <c r="F221" s="3">
        <f t="shared" si="182"/>
        <v>2.8571417082175313E-2</v>
      </c>
      <c r="G221" s="3">
        <f t="shared" si="182"/>
        <v>2.8571416822967741E-2</v>
      </c>
      <c r="H221" s="3">
        <f t="shared" si="182"/>
        <v>2.8571414230892128E-2</v>
      </c>
      <c r="I221" s="3">
        <f t="shared" si="182"/>
        <v>2.8571388310148934E-2</v>
      </c>
      <c r="J221" s="3">
        <f t="shared" si="182"/>
        <v>2.8571129104010377E-2</v>
      </c>
      <c r="K221" s="3">
        <f t="shared" si="182"/>
        <v>2.8568537171958012E-2</v>
      </c>
      <c r="L221" s="3">
        <f t="shared" si="182"/>
        <v>2.8542630780416051E-2</v>
      </c>
      <c r="M221" s="3">
        <f t="shared" si="182"/>
        <v>2.8284855433754068E-2</v>
      </c>
      <c r="N221" s="3">
        <f t="shared" si="182"/>
        <v>2.5831736422047415E-2</v>
      </c>
      <c r="O221" s="3">
        <f t="shared" si="182"/>
        <v>1.0426774314186819E-2</v>
      </c>
      <c r="P221" s="3">
        <f t="shared" si="182"/>
        <v>1.1970538866560141E-6</v>
      </c>
      <c r="Q221" s="3">
        <f t="shared" si="182"/>
        <v>4.7615788197805138E-46</v>
      </c>
      <c r="R221" s="3">
        <f t="shared" si="182"/>
        <v>0</v>
      </c>
      <c r="S221" s="3">
        <f t="shared" si="182"/>
        <v>0</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2.9426851905512145E-2</v>
      </c>
      <c r="C222" s="3">
        <f t="shared" si="183"/>
        <v>2.9426851905509737E-2</v>
      </c>
      <c r="D222" s="3">
        <f t="shared" si="183"/>
        <v>2.9426851905485656E-2</v>
      </c>
      <c r="E222" s="3">
        <f t="shared" si="183"/>
        <v>2.9426851905244824E-2</v>
      </c>
      <c r="F222" s="3">
        <f t="shared" si="183"/>
        <v>2.9426851902836549E-2</v>
      </c>
      <c r="G222" s="3">
        <f t="shared" si="183"/>
        <v>2.9426851878753785E-2</v>
      </c>
      <c r="H222" s="3">
        <f t="shared" si="183"/>
        <v>2.9426851637926164E-2</v>
      </c>
      <c r="I222" s="3">
        <f t="shared" si="183"/>
        <v>2.942684922965003E-2</v>
      </c>
      <c r="J222" s="3">
        <f t="shared" si="183"/>
        <v>2.9426825146899548E-2</v>
      </c>
      <c r="K222" s="3">
        <f t="shared" si="183"/>
        <v>2.9426584320478726E-2</v>
      </c>
      <c r="L222" s="3">
        <f t="shared" si="183"/>
        <v>2.9424176164667405E-2</v>
      </c>
      <c r="M222" s="3">
        <f t="shared" si="183"/>
        <v>2.9400105442963047E-2</v>
      </c>
      <c r="N222" s="3">
        <f t="shared" si="183"/>
        <v>2.9160478592648371E-2</v>
      </c>
      <c r="O222" s="3">
        <f t="shared" si="183"/>
        <v>2.6869045733342711E-2</v>
      </c>
      <c r="P222" s="3">
        <f t="shared" si="183"/>
        <v>1.1852997500727941E-2</v>
      </c>
      <c r="Q222" s="3">
        <f t="shared" si="183"/>
        <v>3.3081690614798262E-6</v>
      </c>
      <c r="R222" s="3">
        <f t="shared" si="183"/>
        <v>9.4881758438671985E-42</v>
      </c>
      <c r="S222" s="3">
        <f t="shared" si="183"/>
        <v>0</v>
      </c>
      <c r="T222" s="3">
        <f t="shared" si="183"/>
        <v>0</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2.8440803506547912E-2</v>
      </c>
      <c r="C223" s="3">
        <f t="shared" si="184"/>
        <v>2.84408035065477E-2</v>
      </c>
      <c r="D223" s="3">
        <f t="shared" si="184"/>
        <v>2.8440803506545598E-2</v>
      </c>
      <c r="E223" s="3">
        <f t="shared" si="184"/>
        <v>2.8440803506524601E-2</v>
      </c>
      <c r="F223" s="3">
        <f t="shared" si="184"/>
        <v>2.8440803506314637E-2</v>
      </c>
      <c r="G223" s="3">
        <f t="shared" si="184"/>
        <v>2.8440803504214966E-2</v>
      </c>
      <c r="H223" s="3">
        <f t="shared" si="184"/>
        <v>2.8440803483218272E-2</v>
      </c>
      <c r="I223" s="3">
        <f t="shared" si="184"/>
        <v>2.8440803273251318E-2</v>
      </c>
      <c r="J223" s="3">
        <f t="shared" si="184"/>
        <v>2.8440801173581848E-2</v>
      </c>
      <c r="K223" s="3">
        <f t="shared" si="184"/>
        <v>2.8440780176895705E-2</v>
      </c>
      <c r="L223" s="3">
        <f t="shared" si="184"/>
        <v>2.8440570210886824E-2</v>
      </c>
      <c r="M223" s="3">
        <f t="shared" si="184"/>
        <v>2.8438470636050962E-2</v>
      </c>
      <c r="N223" s="3">
        <f t="shared" si="184"/>
        <v>2.8417483410661765E-2</v>
      </c>
      <c r="O223" s="3">
        <f t="shared" si="184"/>
        <v>2.82084611301982E-2</v>
      </c>
      <c r="P223" s="3">
        <f t="shared" si="184"/>
        <v>2.6200959052188468E-2</v>
      </c>
      <c r="Q223" s="3">
        <f t="shared" si="184"/>
        <v>1.2522617838876237E-2</v>
      </c>
      <c r="R223" s="3">
        <f t="shared" si="184"/>
        <v>7.7888710601567491E-6</v>
      </c>
      <c r="S223" s="3">
        <f t="shared" si="184"/>
        <v>6.7494500465775649E-38</v>
      </c>
      <c r="T223" s="3">
        <f t="shared" si="184"/>
        <v>0</v>
      </c>
      <c r="U223" s="3">
        <f t="shared" si="184"/>
        <v>0</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2.6740342475666097E-2</v>
      </c>
      <c r="C224" s="3">
        <f t="shared" si="185"/>
        <v>2.674034247566608E-2</v>
      </c>
      <c r="D224" s="3">
        <f t="shared" si="185"/>
        <v>2.6740342475665903E-2</v>
      </c>
      <c r="E224" s="3">
        <f t="shared" si="185"/>
        <v>2.6740342475664119E-2</v>
      </c>
      <c r="F224" s="3">
        <f t="shared" si="185"/>
        <v>2.6740342475646314E-2</v>
      </c>
      <c r="G224" s="3">
        <f t="shared" si="185"/>
        <v>2.6740342475468231E-2</v>
      </c>
      <c r="H224" s="3">
        <f t="shared" si="185"/>
        <v>2.6740342473687402E-2</v>
      </c>
      <c r="I224" s="3">
        <f t="shared" si="185"/>
        <v>2.6740342455879092E-2</v>
      </c>
      <c r="J224" s="3">
        <f t="shared" si="185"/>
        <v>2.6740342277796016E-2</v>
      </c>
      <c r="K224" s="3">
        <f t="shared" si="185"/>
        <v>2.6740340496965338E-2</v>
      </c>
      <c r="L224" s="3">
        <f t="shared" si="185"/>
        <v>2.6740322688665063E-2</v>
      </c>
      <c r="M224" s="3">
        <f t="shared" si="185"/>
        <v>2.674014460631461E-2</v>
      </c>
      <c r="N224" s="3">
        <f t="shared" si="185"/>
        <v>2.6738363848037325E-2</v>
      </c>
      <c r="O224" s="3">
        <f t="shared" si="185"/>
        <v>2.6720562786383375E-2</v>
      </c>
      <c r="P224" s="3">
        <f t="shared" si="185"/>
        <v>2.6543202677726922E-2</v>
      </c>
      <c r="Q224" s="3">
        <f t="shared" si="185"/>
        <v>2.4833077620549909E-2</v>
      </c>
      <c r="R224" s="3">
        <f t="shared" si="185"/>
        <v>1.2758592703991038E-2</v>
      </c>
      <c r="S224" s="3">
        <f t="shared" si="185"/>
        <v>1.6350274527768276E-5</v>
      </c>
      <c r="T224" s="3">
        <f t="shared" si="185"/>
        <v>1.9532048943909176E-34</v>
      </c>
      <c r="U224" s="3">
        <f t="shared" si="185"/>
        <v>0</v>
      </c>
      <c r="V224" s="3">
        <f t="shared" si="185"/>
        <v>0</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3.6384067061729697E-2</v>
      </c>
      <c r="C225" s="3">
        <f t="shared" si="186"/>
        <v>3.638406706172969E-2</v>
      </c>
      <c r="D225" s="3">
        <f t="shared" si="186"/>
        <v>3.6384067061729676E-2</v>
      </c>
      <c r="E225" s="3">
        <f t="shared" si="186"/>
        <v>3.6384067061729454E-2</v>
      </c>
      <c r="F225" s="3">
        <f t="shared" si="186"/>
        <v>3.6384067061727268E-2</v>
      </c>
      <c r="G225" s="3">
        <f t="shared" si="186"/>
        <v>3.6384067061705411E-2</v>
      </c>
      <c r="H225" s="3">
        <f t="shared" si="186"/>
        <v>3.6384067061486829E-2</v>
      </c>
      <c r="I225" s="3">
        <f t="shared" si="186"/>
        <v>3.6384067059301015E-2</v>
      </c>
      <c r="J225" s="3">
        <f t="shared" si="186"/>
        <v>3.638406703744286E-2</v>
      </c>
      <c r="K225" s="3">
        <f t="shared" si="186"/>
        <v>3.6384066818861298E-2</v>
      </c>
      <c r="L225" s="3">
        <f t="shared" si="186"/>
        <v>3.6384064633045804E-2</v>
      </c>
      <c r="M225" s="3">
        <f t="shared" si="186"/>
        <v>3.6384042774898095E-2</v>
      </c>
      <c r="N225" s="3">
        <f t="shared" si="186"/>
        <v>3.6383824194143231E-2</v>
      </c>
      <c r="O225" s="3">
        <f t="shared" si="186"/>
        <v>3.6381638458816271E-2</v>
      </c>
      <c r="P225" s="3">
        <f t="shared" si="186"/>
        <v>3.6359788326112308E-2</v>
      </c>
      <c r="Q225" s="3">
        <f t="shared" si="186"/>
        <v>3.6142007453212437E-2</v>
      </c>
      <c r="R225" s="3">
        <f t="shared" si="186"/>
        <v>3.4034668108490415E-2</v>
      </c>
      <c r="S225" s="3">
        <f t="shared" si="186"/>
        <v>1.8664398899690821E-2</v>
      </c>
      <c r="T225" s="3">
        <f t="shared" si="186"/>
        <v>4.5913339882871155E-5</v>
      </c>
      <c r="U225" s="3">
        <f t="shared" si="186"/>
        <v>3.725526590472569E-31</v>
      </c>
      <c r="V225" s="3">
        <f t="shared" si="186"/>
        <v>4.6097299423625682E-292</v>
      </c>
      <c r="W225" s="3">
        <f t="shared" si="186"/>
        <v>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4.1964426446168525E-2</v>
      </c>
      <c r="C226" s="3">
        <f t="shared" si="187"/>
        <v>4.1964426446168525E-2</v>
      </c>
      <c r="D226" s="3">
        <f t="shared" si="187"/>
        <v>4.1964426446168518E-2</v>
      </c>
      <c r="E226" s="3">
        <f t="shared" si="187"/>
        <v>4.1964426446168504E-2</v>
      </c>
      <c r="F226" s="3">
        <f t="shared" si="187"/>
        <v>4.1964426446168275E-2</v>
      </c>
      <c r="G226" s="3">
        <f t="shared" si="187"/>
        <v>4.1964426446165999E-2</v>
      </c>
      <c r="H226" s="3">
        <f t="shared" si="187"/>
        <v>4.1964426446143253E-2</v>
      </c>
      <c r="I226" s="3">
        <f t="shared" si="187"/>
        <v>4.1964426445915838E-2</v>
      </c>
      <c r="J226" s="3">
        <f t="shared" si="187"/>
        <v>4.1964426443641623E-2</v>
      </c>
      <c r="K226" s="3">
        <f t="shared" si="187"/>
        <v>4.196442642089955E-2</v>
      </c>
      <c r="L226" s="3">
        <f t="shared" si="187"/>
        <v>4.1964426193478767E-2</v>
      </c>
      <c r="M226" s="3">
        <f t="shared" si="187"/>
        <v>4.1964423919270986E-2</v>
      </c>
      <c r="N226" s="3">
        <f t="shared" si="187"/>
        <v>4.1964401177199975E-2</v>
      </c>
      <c r="O226" s="3">
        <f t="shared" si="187"/>
        <v>4.1964173757167746E-2</v>
      </c>
      <c r="P226" s="3">
        <f t="shared" si="187"/>
        <v>4.1961899624630199E-2</v>
      </c>
      <c r="Q226" s="3">
        <f t="shared" si="187"/>
        <v>4.1939165076371264E-2</v>
      </c>
      <c r="R226" s="3">
        <f t="shared" si="187"/>
        <v>4.1712495948476438E-2</v>
      </c>
      <c r="S226" s="3">
        <f t="shared" si="187"/>
        <v>3.9512103370047319E-2</v>
      </c>
      <c r="T226" s="3">
        <f t="shared" si="187"/>
        <v>2.2981050015542411E-2</v>
      </c>
      <c r="U226" s="3">
        <f t="shared" si="187"/>
        <v>1.0180451843038754E-4</v>
      </c>
      <c r="V226" s="3">
        <f t="shared" si="187"/>
        <v>2.9630495457769181E-28</v>
      </c>
      <c r="W226" s="3">
        <f t="shared" si="187"/>
        <v>1.2925802304064376E-263</v>
      </c>
      <c r="X226" s="3">
        <f t="shared" si="187"/>
        <v>0</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4.8106928297009681E-2</v>
      </c>
      <c r="C227" s="3">
        <f t="shared" si="188"/>
        <v>4.8106928297009681E-2</v>
      </c>
      <c r="D227" s="3">
        <f t="shared" si="188"/>
        <v>4.8106928297009681E-2</v>
      </c>
      <c r="E227" s="3">
        <f t="shared" si="188"/>
        <v>4.8106928297009681E-2</v>
      </c>
      <c r="F227" s="3">
        <f t="shared" si="188"/>
        <v>4.8106928297009653E-2</v>
      </c>
      <c r="G227" s="3">
        <f t="shared" si="188"/>
        <v>4.8106928297009417E-2</v>
      </c>
      <c r="H227" s="3">
        <f t="shared" si="188"/>
        <v>4.8106928297007072E-2</v>
      </c>
      <c r="I227" s="3">
        <f t="shared" si="188"/>
        <v>4.8106928296983549E-2</v>
      </c>
      <c r="J227" s="3">
        <f t="shared" si="188"/>
        <v>4.8106928296748369E-2</v>
      </c>
      <c r="K227" s="3">
        <f t="shared" si="188"/>
        <v>4.8106928294396556E-2</v>
      </c>
      <c r="L227" s="3">
        <f t="shared" si="188"/>
        <v>4.810692827087841E-2</v>
      </c>
      <c r="M227" s="3">
        <f t="shared" si="188"/>
        <v>4.8106928035696953E-2</v>
      </c>
      <c r="N227" s="3">
        <f t="shared" si="188"/>
        <v>4.8106925683882418E-2</v>
      </c>
      <c r="O227" s="3">
        <f t="shared" si="188"/>
        <v>4.8106902165743468E-2</v>
      </c>
      <c r="P227" s="3">
        <f t="shared" si="188"/>
        <v>4.8106666984986335E-2</v>
      </c>
      <c r="Q227" s="3">
        <f t="shared" si="188"/>
        <v>4.8104315240649238E-2</v>
      </c>
      <c r="R227" s="3">
        <f t="shared" si="188"/>
        <v>4.8080804119561435E-2</v>
      </c>
      <c r="S227" s="3">
        <f t="shared" si="188"/>
        <v>4.7846323994902476E-2</v>
      </c>
      <c r="T227" s="3">
        <f t="shared" si="188"/>
        <v>4.5563504617670329E-2</v>
      </c>
      <c r="U227" s="3">
        <f t="shared" si="188"/>
        <v>2.7944900492325495E-2</v>
      </c>
      <c r="V227" s="3">
        <f t="shared" si="188"/>
        <v>2.1045392428035487E-4</v>
      </c>
      <c r="W227" s="3">
        <f t="shared" si="188"/>
        <v>1.235098620794848E-25</v>
      </c>
      <c r="X227" s="3">
        <f t="shared" si="188"/>
        <v>5.9861517335086488E-238</v>
      </c>
      <c r="Y227" s="3">
        <f t="shared" si="188"/>
        <v>0</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4.6100301020196389E-2</v>
      </c>
      <c r="C228" s="3">
        <f t="shared" si="189"/>
        <v>4.6100301020196389E-2</v>
      </c>
      <c r="D228" s="3">
        <f t="shared" si="189"/>
        <v>4.6100301020196389E-2</v>
      </c>
      <c r="E228" s="3">
        <f t="shared" si="189"/>
        <v>4.6100301020196389E-2</v>
      </c>
      <c r="F228" s="3">
        <f t="shared" si="189"/>
        <v>4.6100301020196389E-2</v>
      </c>
      <c r="G228" s="3">
        <f t="shared" si="189"/>
        <v>4.6100301020196369E-2</v>
      </c>
      <c r="H228" s="3">
        <f t="shared" si="189"/>
        <v>4.6100301020196167E-2</v>
      </c>
      <c r="I228" s="3">
        <f t="shared" si="189"/>
        <v>4.6100301020194134E-2</v>
      </c>
      <c r="J228" s="3">
        <f t="shared" si="189"/>
        <v>4.6100301020173796E-2</v>
      </c>
      <c r="K228" s="3">
        <f t="shared" si="189"/>
        <v>4.6100301019970494E-2</v>
      </c>
      <c r="L228" s="3">
        <f t="shared" si="189"/>
        <v>4.610030101793746E-2</v>
      </c>
      <c r="M228" s="3">
        <f t="shared" si="189"/>
        <v>4.6100300997607063E-2</v>
      </c>
      <c r="N228" s="3">
        <f t="shared" si="189"/>
        <v>4.610030079430312E-2</v>
      </c>
      <c r="O228" s="3">
        <f t="shared" si="189"/>
        <v>4.6100298761263717E-2</v>
      </c>
      <c r="P228" s="3">
        <f t="shared" si="189"/>
        <v>4.6100278430874678E-2</v>
      </c>
      <c r="Q228" s="3">
        <f t="shared" si="189"/>
        <v>4.610007512747738E-2</v>
      </c>
      <c r="R228" s="3">
        <f t="shared" si="189"/>
        <v>4.6098042142815286E-2</v>
      </c>
      <c r="S228" s="3">
        <f t="shared" si="189"/>
        <v>4.6077717226476848E-2</v>
      </c>
      <c r="T228" s="3">
        <f t="shared" si="189"/>
        <v>4.5874960287810976E-2</v>
      </c>
      <c r="U228" s="3">
        <f t="shared" si="189"/>
        <v>4.389581958987486E-2</v>
      </c>
      <c r="V228" s="3">
        <f t="shared" si="189"/>
        <v>2.8242151068499331E-2</v>
      </c>
      <c r="W228" s="3">
        <f t="shared" si="189"/>
        <v>3.4327633654131662E-4</v>
      </c>
      <c r="X228" s="3">
        <f t="shared" si="189"/>
        <v>2.4160438741379701E-23</v>
      </c>
      <c r="Y228" s="3">
        <f t="shared" si="189"/>
        <v>7.2063328067110005E-215</v>
      </c>
      <c r="Z228" s="3">
        <f t="shared" si="189"/>
        <v>0</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6.1544571271861997E-2</v>
      </c>
      <c r="C229" s="3">
        <f t="shared" si="190"/>
        <v>6.1544571271861997E-2</v>
      </c>
      <c r="D229" s="3">
        <f t="shared" si="190"/>
        <v>6.1544571271861997E-2</v>
      </c>
      <c r="E229" s="3">
        <f t="shared" si="190"/>
        <v>6.1544571271861997E-2</v>
      </c>
      <c r="F229" s="3">
        <f t="shared" si="190"/>
        <v>6.1544571271861997E-2</v>
      </c>
      <c r="G229" s="3">
        <f t="shared" si="190"/>
        <v>6.1544571271861997E-2</v>
      </c>
      <c r="H229" s="3">
        <f t="shared" si="190"/>
        <v>6.154457127186197E-2</v>
      </c>
      <c r="I229" s="3">
        <f t="shared" si="190"/>
        <v>6.1544571271861727E-2</v>
      </c>
      <c r="J229" s="3">
        <f t="shared" si="190"/>
        <v>6.1544571271859277E-2</v>
      </c>
      <c r="K229" s="3">
        <f t="shared" si="190"/>
        <v>6.1544571271834797E-2</v>
      </c>
      <c r="L229" s="3">
        <f t="shared" si="190"/>
        <v>6.1544571271589958E-2</v>
      </c>
      <c r="M229" s="3">
        <f t="shared" si="190"/>
        <v>6.1544571269141576E-2</v>
      </c>
      <c r="N229" s="3">
        <f t="shared" si="190"/>
        <v>6.15445712446578E-2</v>
      </c>
      <c r="O229" s="3">
        <f t="shared" si="190"/>
        <v>6.1544570999820046E-2</v>
      </c>
      <c r="P229" s="3">
        <f t="shared" si="190"/>
        <v>6.1544568551442566E-2</v>
      </c>
      <c r="Q229" s="3">
        <f t="shared" si="190"/>
        <v>6.1544544067673124E-2</v>
      </c>
      <c r="R229" s="3">
        <f t="shared" si="190"/>
        <v>6.1544299230514403E-2</v>
      </c>
      <c r="S229" s="3">
        <f t="shared" si="190"/>
        <v>6.1541850912497281E-2</v>
      </c>
      <c r="T229" s="3">
        <f t="shared" si="190"/>
        <v>6.151737308854955E-2</v>
      </c>
      <c r="U229" s="3">
        <f t="shared" si="190"/>
        <v>6.1273129683850583E-2</v>
      </c>
      <c r="V229" s="3">
        <f t="shared" si="190"/>
        <v>5.8883400176520391E-2</v>
      </c>
      <c r="W229" s="3">
        <f t="shared" si="190"/>
        <v>3.9556790247533551E-2</v>
      </c>
      <c r="X229" s="3">
        <f t="shared" si="190"/>
        <v>7.4046185099895195E-4</v>
      </c>
      <c r="Y229" s="3">
        <f t="shared" si="190"/>
        <v>3.9112819821000736E-21</v>
      </c>
      <c r="Z229" s="3">
        <f t="shared" si="190"/>
        <v>6.6142943397894535E-194</v>
      </c>
      <c r="AA229" s="3">
        <f t="shared" si="190"/>
        <v>0</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2.0548359308290503E-2</v>
      </c>
      <c r="C230" s="3">
        <f t="shared" si="191"/>
        <v>2.0548359308290503E-2</v>
      </c>
      <c r="D230" s="3">
        <f t="shared" si="191"/>
        <v>2.0548359308290503E-2</v>
      </c>
      <c r="E230" s="3">
        <f t="shared" si="191"/>
        <v>2.0548359308290503E-2</v>
      </c>
      <c r="F230" s="3">
        <f t="shared" si="191"/>
        <v>2.0548359308290503E-2</v>
      </c>
      <c r="G230" s="3">
        <f t="shared" si="191"/>
        <v>2.0548359308290503E-2</v>
      </c>
      <c r="H230" s="3">
        <f t="shared" si="191"/>
        <v>2.0548359308290503E-2</v>
      </c>
      <c r="I230" s="3">
        <f t="shared" si="191"/>
        <v>2.0548359308290493E-2</v>
      </c>
      <c r="J230" s="3">
        <f t="shared" si="191"/>
        <v>2.054835930829042E-2</v>
      </c>
      <c r="K230" s="3">
        <f t="shared" si="191"/>
        <v>2.0548359308289684E-2</v>
      </c>
      <c r="L230" s="3">
        <f t="shared" si="191"/>
        <v>2.0548359308282308E-2</v>
      </c>
      <c r="M230" s="3">
        <f t="shared" si="191"/>
        <v>2.0548359308208568E-2</v>
      </c>
      <c r="N230" s="3">
        <f t="shared" si="191"/>
        <v>2.0548359307471155E-2</v>
      </c>
      <c r="O230" s="3">
        <f t="shared" si="191"/>
        <v>2.0548359300096995E-2</v>
      </c>
      <c r="P230" s="3">
        <f t="shared" si="191"/>
        <v>2.0548359226355426E-2</v>
      </c>
      <c r="Q230" s="3">
        <f t="shared" si="191"/>
        <v>2.0548358488939746E-2</v>
      </c>
      <c r="R230" s="3">
        <f t="shared" si="191"/>
        <v>2.054835111478439E-2</v>
      </c>
      <c r="S230" s="3">
        <f t="shared" si="191"/>
        <v>2.0548277373376365E-2</v>
      </c>
      <c r="T230" s="3">
        <f t="shared" si="191"/>
        <v>2.0547539973850858E-2</v>
      </c>
      <c r="U230" s="3">
        <f t="shared" si="191"/>
        <v>2.0540167433874663E-2</v>
      </c>
      <c r="V230" s="3">
        <f t="shared" si="191"/>
        <v>2.0466587368951007E-2</v>
      </c>
      <c r="W230" s="3">
        <f t="shared" si="191"/>
        <v>1.9745129064466852E-2</v>
      </c>
      <c r="X230" s="3">
        <f t="shared" si="191"/>
        <v>1.379130642073575E-2</v>
      </c>
      <c r="Y230" s="3">
        <f t="shared" si="191"/>
        <v>3.8111822608309534E-4</v>
      </c>
      <c r="Z230" s="3">
        <f t="shared" si="191"/>
        <v>9.8992621010839255E-20</v>
      </c>
      <c r="AA230" s="3">
        <f t="shared" si="191"/>
        <v>1.3836742880489773E-175</v>
      </c>
      <c r="AB230" s="3">
        <f t="shared" si="191"/>
        <v>0</v>
      </c>
      <c r="AC230" s="3">
        <f t="shared" si="191"/>
        <v>0</v>
      </c>
      <c r="AD230" s="3">
        <f t="shared" si="191"/>
        <v>0</v>
      </c>
      <c r="AE230" s="3">
        <f t="shared" si="191"/>
        <v>0</v>
      </c>
      <c r="AF230" s="3">
        <f t="shared" si="191"/>
        <v>0</v>
      </c>
      <c r="AG230" s="3"/>
      <c r="AH230" s="3"/>
    </row>
    <row r="231" spans="2:34" x14ac:dyDescent="0.25">
      <c r="B231" s="3">
        <f t="shared" ref="B231:AF231" si="192">$C39*EXP(-B$207/$A39/EXP(-$D$126))</f>
        <v>6.8598536150208847E-2</v>
      </c>
      <c r="C231" s="3">
        <f t="shared" si="192"/>
        <v>6.8598536150208847E-2</v>
      </c>
      <c r="D231" s="3">
        <f t="shared" si="192"/>
        <v>6.8598536150208847E-2</v>
      </c>
      <c r="E231" s="3">
        <f t="shared" si="192"/>
        <v>6.8598536150208847E-2</v>
      </c>
      <c r="F231" s="3">
        <f t="shared" si="192"/>
        <v>6.8598536150208847E-2</v>
      </c>
      <c r="G231" s="3">
        <f t="shared" si="192"/>
        <v>6.8598536150208847E-2</v>
      </c>
      <c r="H231" s="3">
        <f t="shared" si="192"/>
        <v>6.8598536150208847E-2</v>
      </c>
      <c r="I231" s="3">
        <f t="shared" si="192"/>
        <v>6.8598536150208833E-2</v>
      </c>
      <c r="J231" s="3">
        <f t="shared" si="192"/>
        <v>6.8598536150208778E-2</v>
      </c>
      <c r="K231" s="3">
        <f t="shared" si="192"/>
        <v>6.8598536150208098E-2</v>
      </c>
      <c r="L231" s="3">
        <f t="shared" si="192"/>
        <v>6.8598536150201284E-2</v>
      </c>
      <c r="M231" s="3">
        <f t="shared" si="192"/>
        <v>6.8598536150133199E-2</v>
      </c>
      <c r="N231" s="3">
        <f t="shared" si="192"/>
        <v>6.8598536149452327E-2</v>
      </c>
      <c r="O231" s="3">
        <f t="shared" si="192"/>
        <v>6.8598536142643649E-2</v>
      </c>
      <c r="P231" s="3">
        <f t="shared" si="192"/>
        <v>6.8598536074556848E-2</v>
      </c>
      <c r="Q231" s="3">
        <f t="shared" si="192"/>
        <v>6.859853539368882E-2</v>
      </c>
      <c r="R231" s="3">
        <f t="shared" si="192"/>
        <v>6.8598528585009019E-2</v>
      </c>
      <c r="S231" s="3">
        <f t="shared" si="192"/>
        <v>6.8598460498248165E-2</v>
      </c>
      <c r="T231" s="3">
        <f t="shared" si="192"/>
        <v>6.859777963435644E-2</v>
      </c>
      <c r="U231" s="3">
        <f t="shared" si="192"/>
        <v>6.8590971367107928E-2</v>
      </c>
      <c r="V231" s="3">
        <f t="shared" si="192"/>
        <v>6.8522925847847679E-2</v>
      </c>
      <c r="W231" s="3">
        <f t="shared" si="192"/>
        <v>6.7846172369745161E-2</v>
      </c>
      <c r="X231" s="3">
        <f t="shared" si="192"/>
        <v>6.1435568282145664E-2</v>
      </c>
      <c r="Y231" s="3">
        <f t="shared" si="192"/>
        <v>2.2770111887162974E-2</v>
      </c>
      <c r="Z231" s="3">
        <f t="shared" si="192"/>
        <v>1.1138276951411199E-6</v>
      </c>
      <c r="AA231" s="3">
        <f t="shared" si="192"/>
        <v>8.736681214340966E-50</v>
      </c>
      <c r="AB231" s="3">
        <f t="shared" si="192"/>
        <v>0</v>
      </c>
      <c r="AC231" s="3">
        <f t="shared" si="192"/>
        <v>0</v>
      </c>
      <c r="AD231" s="3">
        <f t="shared" si="192"/>
        <v>0</v>
      </c>
      <c r="AE231" s="3">
        <f t="shared" si="192"/>
        <v>0</v>
      </c>
      <c r="AF231" s="3">
        <f t="shared" si="192"/>
        <v>0</v>
      </c>
      <c r="AG231" s="3"/>
      <c r="AH231" s="3"/>
    </row>
    <row r="232" spans="2:34" x14ac:dyDescent="0.25">
      <c r="B232" s="3">
        <f t="shared" ref="B232:AF232" si="193">$C40*EXP(-B$207/$A40/EXP(-$D$126))</f>
        <v>4.2430467850210242E-2</v>
      </c>
      <c r="C232" s="3">
        <f t="shared" si="193"/>
        <v>4.2430467850210242E-2</v>
      </c>
      <c r="D232" s="3">
        <f t="shared" si="193"/>
        <v>4.2430467850210242E-2</v>
      </c>
      <c r="E232" s="3">
        <f t="shared" si="193"/>
        <v>4.2430467850210242E-2</v>
      </c>
      <c r="F232" s="3">
        <f t="shared" si="193"/>
        <v>4.2430467850210242E-2</v>
      </c>
      <c r="G232" s="3">
        <f t="shared" si="193"/>
        <v>4.2430467850210242E-2</v>
      </c>
      <c r="H232" s="3">
        <f t="shared" si="193"/>
        <v>4.2430467850210242E-2</v>
      </c>
      <c r="I232" s="3">
        <f t="shared" si="193"/>
        <v>4.2430467850210242E-2</v>
      </c>
      <c r="J232" s="3">
        <f t="shared" si="193"/>
        <v>4.2430467850210235E-2</v>
      </c>
      <c r="K232" s="3">
        <f t="shared" si="193"/>
        <v>4.2430467850210193E-2</v>
      </c>
      <c r="L232" s="3">
        <f t="shared" si="193"/>
        <v>4.2430467850209777E-2</v>
      </c>
      <c r="M232" s="3">
        <f t="shared" si="193"/>
        <v>4.2430467850205565E-2</v>
      </c>
      <c r="N232" s="3">
        <f t="shared" si="193"/>
        <v>4.2430467850163453E-2</v>
      </c>
      <c r="O232" s="3">
        <f t="shared" si="193"/>
        <v>4.2430467849742311E-2</v>
      </c>
      <c r="P232" s="3">
        <f t="shared" si="193"/>
        <v>4.2430467845530916E-2</v>
      </c>
      <c r="Q232" s="3">
        <f t="shared" si="193"/>
        <v>4.2430467803416971E-2</v>
      </c>
      <c r="R232" s="3">
        <f t="shared" si="193"/>
        <v>4.2430467382277536E-2</v>
      </c>
      <c r="S232" s="3">
        <f t="shared" si="193"/>
        <v>4.2430463170883455E-2</v>
      </c>
      <c r="T232" s="3">
        <f t="shared" si="193"/>
        <v>4.2430421056965581E-2</v>
      </c>
      <c r="U232" s="3">
        <f t="shared" si="193"/>
        <v>4.2429999920085858E-2</v>
      </c>
      <c r="V232" s="3">
        <f t="shared" si="193"/>
        <v>4.2425788781178003E-2</v>
      </c>
      <c r="W232" s="3">
        <f t="shared" si="193"/>
        <v>4.2383700372600294E-2</v>
      </c>
      <c r="X232" s="3">
        <f t="shared" si="193"/>
        <v>4.1965105919910074E-2</v>
      </c>
      <c r="Y232" s="3">
        <f t="shared" si="193"/>
        <v>3.7999934854980745E-2</v>
      </c>
      <c r="Z232" s="3">
        <f t="shared" si="193"/>
        <v>1.4084068765817493E-2</v>
      </c>
      <c r="AA232" s="3">
        <f t="shared" si="193"/>
        <v>6.8893933984063855E-7</v>
      </c>
      <c r="AB232" s="3">
        <f t="shared" si="193"/>
        <v>5.4039268501431648E-50</v>
      </c>
      <c r="AC232" s="3">
        <f t="shared" si="193"/>
        <v>0</v>
      </c>
      <c r="AD232" s="3">
        <f t="shared" si="193"/>
        <v>0</v>
      </c>
      <c r="AE232" s="3">
        <f t="shared" si="193"/>
        <v>0</v>
      </c>
      <c r="AF232" s="3">
        <f t="shared" si="193"/>
        <v>0</v>
      </c>
      <c r="AG232" s="3"/>
      <c r="AH232" s="3"/>
    </row>
    <row r="233" spans="2:34" x14ac:dyDescent="0.25">
      <c r="B233" s="3">
        <f t="shared" ref="B233:AF233" si="194">$C41*EXP(-B$207/$A41/EXP(-$D$126))</f>
        <v>4.2564807754428377E-2</v>
      </c>
      <c r="C233" s="3">
        <f t="shared" si="194"/>
        <v>4.2564807754428377E-2</v>
      </c>
      <c r="D233" s="3">
        <f t="shared" si="194"/>
        <v>4.2564807754428377E-2</v>
      </c>
      <c r="E233" s="3">
        <f t="shared" si="194"/>
        <v>4.2564807754428377E-2</v>
      </c>
      <c r="F233" s="3">
        <f t="shared" si="194"/>
        <v>4.2564807754428377E-2</v>
      </c>
      <c r="G233" s="3">
        <f t="shared" si="194"/>
        <v>4.2564807754428377E-2</v>
      </c>
      <c r="H233" s="3">
        <f t="shared" si="194"/>
        <v>4.2564807754428377E-2</v>
      </c>
      <c r="I233" s="3">
        <f t="shared" si="194"/>
        <v>4.2564807754428377E-2</v>
      </c>
      <c r="J233" s="3">
        <f t="shared" si="194"/>
        <v>4.2564807754428377E-2</v>
      </c>
      <c r="K233" s="3">
        <f t="shared" si="194"/>
        <v>4.256480775442837E-2</v>
      </c>
      <c r="L233" s="3">
        <f t="shared" si="194"/>
        <v>4.2564807754428328E-2</v>
      </c>
      <c r="M233" s="3">
        <f t="shared" si="194"/>
        <v>4.2564807754427912E-2</v>
      </c>
      <c r="N233" s="3">
        <f t="shared" si="194"/>
        <v>4.2564807754423686E-2</v>
      </c>
      <c r="O233" s="3">
        <f t="shared" si="194"/>
        <v>4.2564807754381435E-2</v>
      </c>
      <c r="P233" s="3">
        <f t="shared" si="194"/>
        <v>4.2564807753958968E-2</v>
      </c>
      <c r="Q233" s="3">
        <f t="shared" si="194"/>
        <v>4.2564807749734236E-2</v>
      </c>
      <c r="R233" s="3">
        <f t="shared" si="194"/>
        <v>4.2564807707486954E-2</v>
      </c>
      <c r="S233" s="3">
        <f t="shared" si="194"/>
        <v>4.256480728501414E-2</v>
      </c>
      <c r="T233" s="3">
        <f t="shared" si="194"/>
        <v>4.2564803060286281E-2</v>
      </c>
      <c r="U233" s="3">
        <f t="shared" si="194"/>
        <v>4.256476081303074E-2</v>
      </c>
      <c r="V233" s="3">
        <f t="shared" si="194"/>
        <v>4.2564338342781602E-2</v>
      </c>
      <c r="W233" s="3">
        <f t="shared" si="194"/>
        <v>4.2560113870907461E-2</v>
      </c>
      <c r="X233" s="3">
        <f t="shared" si="194"/>
        <v>4.2517892205425845E-2</v>
      </c>
      <c r="Y233" s="3">
        <f t="shared" si="194"/>
        <v>4.2097972432947044E-2</v>
      </c>
      <c r="Z233" s="3">
        <f t="shared" si="194"/>
        <v>3.8120247165152173E-2</v>
      </c>
      <c r="AA233" s="3">
        <f t="shared" si="194"/>
        <v>1.4128660601469199E-2</v>
      </c>
      <c r="AB233" s="3">
        <f t="shared" si="194"/>
        <v>6.9112060367334072E-7</v>
      </c>
      <c r="AC233" s="3">
        <f t="shared" si="194"/>
        <v>5.4210363248256702E-50</v>
      </c>
      <c r="AD233" s="3">
        <f t="shared" si="194"/>
        <v>0</v>
      </c>
      <c r="AE233" s="3">
        <f t="shared" si="194"/>
        <v>0</v>
      </c>
      <c r="AF233" s="3">
        <f t="shared" si="194"/>
        <v>0</v>
      </c>
      <c r="AG233" s="3"/>
      <c r="AH233" s="3"/>
    </row>
    <row r="234" spans="2:34" x14ac:dyDescent="0.25">
      <c r="B234" s="3">
        <f t="shared" ref="B234:AF234" si="195">$C42*EXP(-B$207/$A42/EXP(-$D$126))</f>
        <v>1.7794430151868639E-2</v>
      </c>
      <c r="C234" s="3">
        <f t="shared" si="195"/>
        <v>1.7794430151868639E-2</v>
      </c>
      <c r="D234" s="3">
        <f t="shared" si="195"/>
        <v>1.7794430151868639E-2</v>
      </c>
      <c r="E234" s="3">
        <f t="shared" si="195"/>
        <v>1.7794430151868639E-2</v>
      </c>
      <c r="F234" s="3">
        <f t="shared" si="195"/>
        <v>1.7794430151868639E-2</v>
      </c>
      <c r="G234" s="3">
        <f t="shared" si="195"/>
        <v>1.7794430151868639E-2</v>
      </c>
      <c r="H234" s="3">
        <f t="shared" si="195"/>
        <v>1.7794430151868639E-2</v>
      </c>
      <c r="I234" s="3">
        <f t="shared" si="195"/>
        <v>1.7794430151868639E-2</v>
      </c>
      <c r="J234" s="3">
        <f t="shared" si="195"/>
        <v>1.7794430151868639E-2</v>
      </c>
      <c r="K234" s="3">
        <f t="shared" si="195"/>
        <v>1.7794430151868639E-2</v>
      </c>
      <c r="L234" s="3">
        <f t="shared" si="195"/>
        <v>1.7794430151868636E-2</v>
      </c>
      <c r="M234" s="3">
        <f t="shared" si="195"/>
        <v>1.7794430151868618E-2</v>
      </c>
      <c r="N234" s="3">
        <f t="shared" si="195"/>
        <v>1.7794430151868445E-2</v>
      </c>
      <c r="O234" s="3">
        <f t="shared" si="195"/>
        <v>1.7794430151866679E-2</v>
      </c>
      <c r="P234" s="3">
        <f t="shared" si="195"/>
        <v>1.7794430151849016E-2</v>
      </c>
      <c r="Q234" s="3">
        <f t="shared" si="195"/>
        <v>1.77944301516724E-2</v>
      </c>
      <c r="R234" s="3">
        <f t="shared" si="195"/>
        <v>1.779443014990623E-2</v>
      </c>
      <c r="S234" s="3">
        <f t="shared" si="195"/>
        <v>1.7794430132244542E-2</v>
      </c>
      <c r="T234" s="3">
        <f t="shared" si="195"/>
        <v>1.7794429955627678E-2</v>
      </c>
      <c r="U234" s="3">
        <f t="shared" si="195"/>
        <v>1.7794428189459126E-2</v>
      </c>
      <c r="V234" s="3">
        <f t="shared" si="195"/>
        <v>1.7794410527783262E-2</v>
      </c>
      <c r="W234" s="3">
        <f t="shared" si="195"/>
        <v>1.7794233911988755E-2</v>
      </c>
      <c r="X234" s="3">
        <f t="shared" si="195"/>
        <v>1.7792467850454383E-2</v>
      </c>
      <c r="Y234" s="3">
        <f t="shared" si="195"/>
        <v>1.7774816872640913E-2</v>
      </c>
      <c r="Z234" s="3">
        <f t="shared" si="195"/>
        <v>1.7599267317621833E-2</v>
      </c>
      <c r="AA234" s="3">
        <f t="shared" si="195"/>
        <v>1.5936359432557209E-2</v>
      </c>
      <c r="AB234" s="3">
        <f t="shared" si="195"/>
        <v>5.906557023886606E-3</v>
      </c>
      <c r="AC234" s="3">
        <f t="shared" si="195"/>
        <v>2.8892641497489378E-7</v>
      </c>
      <c r="AD234" s="3">
        <f t="shared" si="195"/>
        <v>2.266291270229385E-50</v>
      </c>
      <c r="AE234" s="3">
        <f t="shared" si="195"/>
        <v>0</v>
      </c>
      <c r="AF234" s="3">
        <f t="shared" si="195"/>
        <v>0</v>
      </c>
      <c r="AG234" s="3"/>
      <c r="AH234" s="3"/>
    </row>
    <row r="235" spans="2:34" x14ac:dyDescent="0.25">
      <c r="B235" s="3">
        <f t="shared" ref="B235:AF235" si="196">$C43*EXP(-B$207/$A43/EXP(-$D$126))</f>
        <v>1.1846247724533283E-2</v>
      </c>
      <c r="C235" s="3">
        <f t="shared" si="196"/>
        <v>1.1846247724533283E-2</v>
      </c>
      <c r="D235" s="3">
        <f t="shared" si="196"/>
        <v>1.1846247724533283E-2</v>
      </c>
      <c r="E235" s="3">
        <f t="shared" si="196"/>
        <v>1.1846247724533283E-2</v>
      </c>
      <c r="F235" s="3">
        <f t="shared" si="196"/>
        <v>1.1846247724533283E-2</v>
      </c>
      <c r="G235" s="3">
        <f t="shared" si="196"/>
        <v>1.1846247724533283E-2</v>
      </c>
      <c r="H235" s="3">
        <f t="shared" si="196"/>
        <v>1.1846247724533283E-2</v>
      </c>
      <c r="I235" s="3">
        <f t="shared" si="196"/>
        <v>1.1846247724533283E-2</v>
      </c>
      <c r="J235" s="3">
        <f t="shared" si="196"/>
        <v>1.1846247724533283E-2</v>
      </c>
      <c r="K235" s="3">
        <f t="shared" si="196"/>
        <v>1.1846247724533283E-2</v>
      </c>
      <c r="L235" s="3">
        <f t="shared" si="196"/>
        <v>1.1846247724533283E-2</v>
      </c>
      <c r="M235" s="3">
        <f t="shared" si="196"/>
        <v>1.1846247724533281E-2</v>
      </c>
      <c r="N235" s="3">
        <f t="shared" si="196"/>
        <v>1.1846247724533269E-2</v>
      </c>
      <c r="O235" s="3">
        <f t="shared" si="196"/>
        <v>1.1846247724533153E-2</v>
      </c>
      <c r="P235" s="3">
        <f t="shared" si="196"/>
        <v>1.1846247724531977E-2</v>
      </c>
      <c r="Q235" s="3">
        <f t="shared" si="196"/>
        <v>1.1846247724520219E-2</v>
      </c>
      <c r="R235" s="3">
        <f t="shared" si="196"/>
        <v>1.1846247724402641E-2</v>
      </c>
      <c r="S235" s="3">
        <f t="shared" si="196"/>
        <v>1.1846247723226852E-2</v>
      </c>
      <c r="T235" s="3">
        <f t="shared" si="196"/>
        <v>1.1846247711468976E-2</v>
      </c>
      <c r="U235" s="3">
        <f t="shared" si="196"/>
        <v>1.184624759389021E-2</v>
      </c>
      <c r="V235" s="3">
        <f t="shared" si="196"/>
        <v>1.1846246418102618E-2</v>
      </c>
      <c r="W235" s="3">
        <f t="shared" si="196"/>
        <v>1.1846234660233119E-2</v>
      </c>
      <c r="X235" s="3">
        <f t="shared" si="196"/>
        <v>1.184611708217999E-2</v>
      </c>
      <c r="Y235" s="3">
        <f t="shared" si="196"/>
        <v>1.1844941365831989E-2</v>
      </c>
      <c r="Z235" s="3">
        <f t="shared" si="196"/>
        <v>1.1833190618324253E-2</v>
      </c>
      <c r="AA235" s="3">
        <f t="shared" si="196"/>
        <v>1.171632239051707E-2</v>
      </c>
      <c r="AB235" s="3">
        <f t="shared" si="196"/>
        <v>1.0609278299673477E-2</v>
      </c>
      <c r="AC235" s="3">
        <f t="shared" si="196"/>
        <v>3.9321595076027204E-3</v>
      </c>
      <c r="AD235" s="3">
        <f t="shared" si="196"/>
        <v>1.9234636100973813E-7</v>
      </c>
      <c r="AE235" s="3">
        <f t="shared" si="196"/>
        <v>1.5087332144921324E-50</v>
      </c>
      <c r="AF235" s="3">
        <f t="shared" si="196"/>
        <v>0</v>
      </c>
      <c r="AG235" s="3"/>
      <c r="AH235" s="3"/>
    </row>
    <row r="236" spans="2:34" x14ac:dyDescent="0.25">
      <c r="B236" s="3">
        <f t="shared" ref="B236:AF236" si="197">$C44*EXP(-B$207/$A44/EXP(-$D$126))</f>
        <v>4.239833197731321E-3</v>
      </c>
      <c r="C236" s="3">
        <f t="shared" si="197"/>
        <v>4.239833197731321E-3</v>
      </c>
      <c r="D236" s="3">
        <f t="shared" si="197"/>
        <v>4.239833197731321E-3</v>
      </c>
      <c r="E236" s="3">
        <f t="shared" si="197"/>
        <v>4.239833197731321E-3</v>
      </c>
      <c r="F236" s="3">
        <f t="shared" si="197"/>
        <v>4.239833197731321E-3</v>
      </c>
      <c r="G236" s="3">
        <f t="shared" si="197"/>
        <v>4.239833197731321E-3</v>
      </c>
      <c r="H236" s="3">
        <f t="shared" si="197"/>
        <v>4.239833197731321E-3</v>
      </c>
      <c r="I236" s="3">
        <f t="shared" si="197"/>
        <v>4.239833197731321E-3</v>
      </c>
      <c r="J236" s="3">
        <f t="shared" si="197"/>
        <v>4.239833197731321E-3</v>
      </c>
      <c r="K236" s="3">
        <f t="shared" si="197"/>
        <v>4.239833197731321E-3</v>
      </c>
      <c r="L236" s="3">
        <f t="shared" si="197"/>
        <v>4.239833197731321E-3</v>
      </c>
      <c r="M236" s="3">
        <f t="shared" si="197"/>
        <v>4.239833197731321E-3</v>
      </c>
      <c r="N236" s="3">
        <f t="shared" si="197"/>
        <v>4.2398331977313202E-3</v>
      </c>
      <c r="O236" s="3">
        <f t="shared" si="197"/>
        <v>4.2398331977313167E-3</v>
      </c>
      <c r="P236" s="3">
        <f t="shared" si="197"/>
        <v>4.2398331977312742E-3</v>
      </c>
      <c r="Q236" s="3">
        <f t="shared" si="197"/>
        <v>4.2398331977308535E-3</v>
      </c>
      <c r="R236" s="3">
        <f t="shared" si="197"/>
        <v>4.2398331977266451E-3</v>
      </c>
      <c r="S236" s="3">
        <f t="shared" si="197"/>
        <v>4.2398331976845633E-3</v>
      </c>
      <c r="T236" s="3">
        <f t="shared" si="197"/>
        <v>4.2398331972637428E-3</v>
      </c>
      <c r="U236" s="3">
        <f t="shared" si="197"/>
        <v>4.2398331930555378E-3</v>
      </c>
      <c r="V236" s="3">
        <f t="shared" si="197"/>
        <v>4.2398331509734908E-3</v>
      </c>
      <c r="W236" s="3">
        <f t="shared" si="197"/>
        <v>4.2398327301530437E-3</v>
      </c>
      <c r="X236" s="3">
        <f t="shared" si="197"/>
        <v>4.239828521950869E-3</v>
      </c>
      <c r="Y236" s="3">
        <f t="shared" si="197"/>
        <v>4.2397864401588475E-3</v>
      </c>
      <c r="Z236" s="3">
        <f t="shared" si="197"/>
        <v>4.2393656452101606E-3</v>
      </c>
      <c r="AA236" s="3">
        <f t="shared" si="197"/>
        <v>4.2351599920328878E-3</v>
      </c>
      <c r="AB236" s="3">
        <f t="shared" si="197"/>
        <v>4.1933322501572258E-3</v>
      </c>
      <c r="AC236" s="3">
        <f t="shared" si="197"/>
        <v>3.7971154567171847E-3</v>
      </c>
      <c r="AD236" s="3">
        <f t="shared" si="197"/>
        <v>1.4073401811935929E-3</v>
      </c>
      <c r="AE236" s="3">
        <f t="shared" si="197"/>
        <v>6.8841755282813038E-8</v>
      </c>
      <c r="AF236" s="3">
        <f t="shared" si="197"/>
        <v>5.3998340386518063E-51</v>
      </c>
      <c r="AG236" s="3"/>
      <c r="AH236" s="3"/>
    </row>
    <row r="237" spans="2:34" x14ac:dyDescent="0.25">
      <c r="B237" s="3">
        <f t="shared" ref="B237:AF237" si="198">$C45*EXP(-B$207/$A45/EXP(-$D$126))</f>
        <v>3.1413173103933909E-3</v>
      </c>
      <c r="C237" s="3">
        <f t="shared" si="198"/>
        <v>3.1413173103933909E-3</v>
      </c>
      <c r="D237" s="3">
        <f t="shared" si="198"/>
        <v>3.1413173103933909E-3</v>
      </c>
      <c r="E237" s="3">
        <f t="shared" si="198"/>
        <v>3.1413173103933909E-3</v>
      </c>
      <c r="F237" s="3">
        <f t="shared" si="198"/>
        <v>3.1413173103933909E-3</v>
      </c>
      <c r="G237" s="3">
        <f t="shared" si="198"/>
        <v>3.1413173103933909E-3</v>
      </c>
      <c r="H237" s="3">
        <f t="shared" si="198"/>
        <v>3.1413173103933909E-3</v>
      </c>
      <c r="I237" s="3">
        <f t="shared" si="198"/>
        <v>3.1413173103933909E-3</v>
      </c>
      <c r="J237" s="3">
        <f t="shared" si="198"/>
        <v>3.1413173103933909E-3</v>
      </c>
      <c r="K237" s="3">
        <f t="shared" si="198"/>
        <v>3.1413173103933909E-3</v>
      </c>
      <c r="L237" s="3">
        <f t="shared" si="198"/>
        <v>3.1413173103933909E-3</v>
      </c>
      <c r="M237" s="3">
        <f t="shared" si="198"/>
        <v>3.1413173103933909E-3</v>
      </c>
      <c r="N237" s="3">
        <f t="shared" si="198"/>
        <v>3.1413173103933909E-3</v>
      </c>
      <c r="O237" s="3">
        <f t="shared" si="198"/>
        <v>3.1413173103933905E-3</v>
      </c>
      <c r="P237" s="3">
        <f t="shared" si="198"/>
        <v>3.1413173103933874E-3</v>
      </c>
      <c r="Q237" s="3">
        <f t="shared" si="198"/>
        <v>3.1413173103933562E-3</v>
      </c>
      <c r="R237" s="3">
        <f t="shared" si="198"/>
        <v>3.1413173103930444E-3</v>
      </c>
      <c r="S237" s="3">
        <f t="shared" si="198"/>
        <v>3.1413173103899267E-3</v>
      </c>
      <c r="T237" s="3">
        <f t="shared" si="198"/>
        <v>3.1413173103587481E-3</v>
      </c>
      <c r="U237" s="3">
        <f t="shared" si="198"/>
        <v>3.1413173100469593E-3</v>
      </c>
      <c r="V237" s="3">
        <f t="shared" si="198"/>
        <v>3.1413173069290757E-3</v>
      </c>
      <c r="W237" s="3">
        <f t="shared" si="198"/>
        <v>3.1413172757502402E-3</v>
      </c>
      <c r="X237" s="3">
        <f t="shared" si="198"/>
        <v>3.1413169639618998E-3</v>
      </c>
      <c r="Y237" s="3">
        <f t="shared" si="198"/>
        <v>3.1413138460802E-3</v>
      </c>
      <c r="Z237" s="3">
        <f t="shared" si="198"/>
        <v>3.141282667433408E-3</v>
      </c>
      <c r="AA237" s="3">
        <f t="shared" si="198"/>
        <v>3.1409708979852273E-3</v>
      </c>
      <c r="AB237" s="3">
        <f t="shared" si="198"/>
        <v>3.1378549048526791E-3</v>
      </c>
      <c r="AC237" s="3">
        <f t="shared" si="198"/>
        <v>3.1068644853052803E-3</v>
      </c>
      <c r="AD237" s="3">
        <f t="shared" si="198"/>
        <v>2.8133051366573771E-3</v>
      </c>
      <c r="AE237" s="3">
        <f t="shared" si="198"/>
        <v>1.0427066034487326E-3</v>
      </c>
      <c r="AF237" s="3">
        <f t="shared" si="198"/>
        <v>5.1005260693623709E-8</v>
      </c>
      <c r="AG237" s="3"/>
      <c r="AH237" s="3"/>
    </row>
    <row r="238" spans="2:34" x14ac:dyDescent="0.25">
      <c r="B238" s="3">
        <f t="shared" ref="B238:AF238" si="199">$C46*EXP(-B$207/$A46/EXP(-$D$126))</f>
        <v>2.257189619316161E-3</v>
      </c>
      <c r="C238" s="3">
        <f t="shared" si="199"/>
        <v>2.257189619316161E-3</v>
      </c>
      <c r="D238" s="3">
        <f t="shared" si="199"/>
        <v>2.257189619316161E-3</v>
      </c>
      <c r="E238" s="3">
        <f t="shared" si="199"/>
        <v>2.257189619316161E-3</v>
      </c>
      <c r="F238" s="3">
        <f t="shared" si="199"/>
        <v>2.257189619316161E-3</v>
      </c>
      <c r="G238" s="3">
        <f t="shared" si="199"/>
        <v>2.257189619316161E-3</v>
      </c>
      <c r="H238" s="3">
        <f t="shared" si="199"/>
        <v>2.257189619316161E-3</v>
      </c>
      <c r="I238" s="3">
        <f t="shared" si="199"/>
        <v>2.257189619316161E-3</v>
      </c>
      <c r="J238" s="3">
        <f t="shared" si="199"/>
        <v>2.257189619316161E-3</v>
      </c>
      <c r="K238" s="3">
        <f t="shared" si="199"/>
        <v>2.257189619316161E-3</v>
      </c>
      <c r="L238" s="3">
        <f t="shared" si="199"/>
        <v>2.257189619316161E-3</v>
      </c>
      <c r="M238" s="3">
        <f t="shared" si="199"/>
        <v>2.257189619316161E-3</v>
      </c>
      <c r="N238" s="3">
        <f t="shared" si="199"/>
        <v>2.257189619316161E-3</v>
      </c>
      <c r="O238" s="3">
        <f t="shared" si="199"/>
        <v>2.257189619316161E-3</v>
      </c>
      <c r="P238" s="3">
        <f t="shared" si="199"/>
        <v>2.2571896193161606E-3</v>
      </c>
      <c r="Q238" s="3">
        <f t="shared" si="199"/>
        <v>2.2571896193161584E-3</v>
      </c>
      <c r="R238" s="3">
        <f t="shared" si="199"/>
        <v>2.2571896193161363E-3</v>
      </c>
      <c r="S238" s="3">
        <f t="shared" si="199"/>
        <v>2.2571896193159121E-3</v>
      </c>
      <c r="T238" s="3">
        <f t="shared" si="199"/>
        <v>2.2571896193136717E-3</v>
      </c>
      <c r="U238" s="3">
        <f t="shared" si="199"/>
        <v>2.2571896192912682E-3</v>
      </c>
      <c r="V238" s="3">
        <f t="shared" si="199"/>
        <v>2.257189619067233E-3</v>
      </c>
      <c r="W238" s="3">
        <f t="shared" si="199"/>
        <v>2.2571896168268818E-3</v>
      </c>
      <c r="X238" s="3">
        <f t="shared" si="199"/>
        <v>2.2571895944233683E-3</v>
      </c>
      <c r="Y238" s="3">
        <f t="shared" si="199"/>
        <v>2.2571893703882471E-3</v>
      </c>
      <c r="Z238" s="3">
        <f t="shared" si="199"/>
        <v>2.2571871300382565E-3</v>
      </c>
      <c r="AA238" s="3">
        <f t="shared" si="199"/>
        <v>2.2571647266606508E-3</v>
      </c>
      <c r="AB238" s="3">
        <f t="shared" si="199"/>
        <v>2.2569407051141088E-3</v>
      </c>
      <c r="AC238" s="3">
        <f t="shared" si="199"/>
        <v>2.2547017121510682E-3</v>
      </c>
      <c r="AD238" s="3">
        <f t="shared" si="199"/>
        <v>2.2324335849965146E-3</v>
      </c>
      <c r="AE238" s="3">
        <f t="shared" si="199"/>
        <v>2.0214968826681909E-3</v>
      </c>
      <c r="AF238" s="3">
        <f t="shared" si="199"/>
        <v>7.4923552406176686E-4</v>
      </c>
      <c r="AG238" s="3"/>
      <c r="AH238" s="3"/>
    </row>
    <row r="239" spans="2:34" x14ac:dyDescent="0.25">
      <c r="B239" s="3">
        <f t="shared" ref="B239:AF239" si="200">$C47*EXP(-B$207/$A47/EXP(-$D$126))</f>
        <v>3.6224207496198294E-4</v>
      </c>
      <c r="C239" s="3">
        <f t="shared" si="200"/>
        <v>3.6224207496198294E-4</v>
      </c>
      <c r="D239" s="3">
        <f t="shared" si="200"/>
        <v>3.6224207496198294E-4</v>
      </c>
      <c r="E239" s="3">
        <f t="shared" si="200"/>
        <v>3.6224207496198294E-4</v>
      </c>
      <c r="F239" s="3">
        <f t="shared" si="200"/>
        <v>3.6224207496198294E-4</v>
      </c>
      <c r="G239" s="3">
        <f t="shared" si="200"/>
        <v>3.6224207496198294E-4</v>
      </c>
      <c r="H239" s="3">
        <f t="shared" si="200"/>
        <v>3.6224207496198294E-4</v>
      </c>
      <c r="I239" s="3">
        <f t="shared" si="200"/>
        <v>3.6224207496198294E-4</v>
      </c>
      <c r="J239" s="3">
        <f t="shared" si="200"/>
        <v>3.6224207496198294E-4</v>
      </c>
      <c r="K239" s="3">
        <f t="shared" si="200"/>
        <v>3.6224207496198294E-4</v>
      </c>
      <c r="L239" s="3">
        <f t="shared" si="200"/>
        <v>3.6224207496198294E-4</v>
      </c>
      <c r="M239" s="3">
        <f t="shared" si="200"/>
        <v>3.6224207496198294E-4</v>
      </c>
      <c r="N239" s="3">
        <f t="shared" si="200"/>
        <v>3.6224207496198294E-4</v>
      </c>
      <c r="O239" s="3">
        <f t="shared" si="200"/>
        <v>3.6224207496198294E-4</v>
      </c>
      <c r="P239" s="3">
        <f t="shared" si="200"/>
        <v>3.6224207496198294E-4</v>
      </c>
      <c r="Q239" s="3">
        <f t="shared" si="200"/>
        <v>3.6224207496198289E-4</v>
      </c>
      <c r="R239" s="3">
        <f t="shared" si="200"/>
        <v>3.6224207496198256E-4</v>
      </c>
      <c r="S239" s="3">
        <f t="shared" si="200"/>
        <v>3.6224207496197899E-4</v>
      </c>
      <c r="T239" s="3">
        <f t="shared" si="200"/>
        <v>3.6224207496194299E-4</v>
      </c>
      <c r="U239" s="3">
        <f t="shared" si="200"/>
        <v>3.6224207496158347E-4</v>
      </c>
      <c r="V239" s="3">
        <f t="shared" si="200"/>
        <v>3.6224207495798809E-4</v>
      </c>
      <c r="W239" s="3">
        <f t="shared" si="200"/>
        <v>3.622420749220341E-4</v>
      </c>
      <c r="X239" s="3">
        <f t="shared" si="200"/>
        <v>3.6224207456249429E-4</v>
      </c>
      <c r="Y239" s="3">
        <f t="shared" si="200"/>
        <v>3.6224207096709622E-4</v>
      </c>
      <c r="Z239" s="3">
        <f t="shared" si="200"/>
        <v>3.622420350131176E-4</v>
      </c>
      <c r="AA239" s="3">
        <f t="shared" si="200"/>
        <v>3.6224167547352809E-4</v>
      </c>
      <c r="AB239" s="3">
        <f t="shared" si="200"/>
        <v>3.6223808009725996E-4</v>
      </c>
      <c r="AC239" s="3">
        <f t="shared" si="200"/>
        <v>3.6220212829721573E-4</v>
      </c>
      <c r="AD239" s="3">
        <f t="shared" si="200"/>
        <v>3.618428064884424E-4</v>
      </c>
      <c r="AE239" s="3">
        <f t="shared" si="200"/>
        <v>3.58269135709101E-4</v>
      </c>
      <c r="AF239" s="3">
        <f t="shared" si="200"/>
        <v>3.244172394912727E-4</v>
      </c>
      <c r="AG239" s="3"/>
      <c r="AH239" s="3"/>
    </row>
    <row r="240" spans="2:34" x14ac:dyDescent="0.25">
      <c r="B240" s="3">
        <f t="shared" ref="B240:AF240" si="201">$C48*EXP(-B$207/$A48/EXP(-$D$126))</f>
        <v>0</v>
      </c>
      <c r="C240" s="3">
        <f t="shared" si="201"/>
        <v>0</v>
      </c>
      <c r="D240" s="3">
        <f t="shared" si="201"/>
        <v>0</v>
      </c>
      <c r="E240" s="3">
        <f t="shared" si="201"/>
        <v>0</v>
      </c>
      <c r="F240" s="3">
        <f t="shared" si="201"/>
        <v>0</v>
      </c>
      <c r="G240" s="3">
        <f t="shared" si="201"/>
        <v>0</v>
      </c>
      <c r="H240" s="3">
        <f t="shared" si="201"/>
        <v>0</v>
      </c>
      <c r="I240" s="3">
        <f t="shared" si="201"/>
        <v>0</v>
      </c>
      <c r="J240" s="3">
        <f t="shared" si="201"/>
        <v>0</v>
      </c>
      <c r="K240" s="3">
        <f t="shared" si="201"/>
        <v>0</v>
      </c>
      <c r="L240" s="3">
        <f t="shared" si="201"/>
        <v>0</v>
      </c>
      <c r="M240" s="3">
        <f t="shared" si="201"/>
        <v>0</v>
      </c>
      <c r="N240" s="3">
        <f t="shared" si="201"/>
        <v>0</v>
      </c>
      <c r="O240" s="3">
        <f t="shared" si="201"/>
        <v>0</v>
      </c>
      <c r="P240" s="3">
        <f t="shared" si="201"/>
        <v>0</v>
      </c>
      <c r="Q240" s="3">
        <f t="shared" si="201"/>
        <v>0</v>
      </c>
      <c r="R240" s="3">
        <f t="shared" si="201"/>
        <v>0</v>
      </c>
      <c r="S240" s="3">
        <f t="shared" si="201"/>
        <v>0</v>
      </c>
      <c r="T240" s="3">
        <f t="shared" si="201"/>
        <v>0</v>
      </c>
      <c r="U240" s="3">
        <f t="shared" si="201"/>
        <v>0</v>
      </c>
      <c r="V240" s="3">
        <f t="shared" si="201"/>
        <v>0</v>
      </c>
      <c r="W240" s="3">
        <f t="shared" si="201"/>
        <v>0</v>
      </c>
      <c r="X240" s="3">
        <f t="shared" si="201"/>
        <v>0</v>
      </c>
      <c r="Y240" s="3">
        <f t="shared" si="201"/>
        <v>0</v>
      </c>
      <c r="Z240" s="3">
        <f t="shared" si="201"/>
        <v>0</v>
      </c>
      <c r="AA240" s="3">
        <f t="shared" si="201"/>
        <v>0</v>
      </c>
      <c r="AB240" s="3">
        <f t="shared" si="201"/>
        <v>0</v>
      </c>
      <c r="AC240" s="3">
        <f t="shared" si="201"/>
        <v>0</v>
      </c>
      <c r="AD240" s="3">
        <f t="shared" si="201"/>
        <v>0</v>
      </c>
      <c r="AE240" s="3">
        <f t="shared" si="201"/>
        <v>0</v>
      </c>
      <c r="AF240" s="3">
        <f t="shared" si="201"/>
        <v>0</v>
      </c>
      <c r="AG240" s="3"/>
      <c r="AH240" s="3"/>
    </row>
    <row r="241" spans="1:34" x14ac:dyDescent="0.25">
      <c r="A241" s="80">
        <f>AVERAGE(B241:AF241)</f>
        <v>6.9220799409723142E-4</v>
      </c>
      <c r="B241" s="81">
        <f>IF($A$64&lt;=B207,IF($B$64&gt;=B207,ABS((B209-B208)/B208),0),0)</f>
        <v>0</v>
      </c>
      <c r="C241" s="81">
        <f t="shared" ref="C241:AF241" si="202">IF($A$64&lt;=C207,IF($B$64&gt;=C207,ABS((C209-C208)/C208),0),0)</f>
        <v>0</v>
      </c>
      <c r="D241" s="81">
        <f t="shared" si="202"/>
        <v>0</v>
      </c>
      <c r="E241" s="81">
        <f t="shared" si="202"/>
        <v>0</v>
      </c>
      <c r="F241" s="81">
        <f t="shared" si="202"/>
        <v>0</v>
      </c>
      <c r="G241" s="81">
        <f t="shared" si="202"/>
        <v>0</v>
      </c>
      <c r="H241" s="81">
        <f t="shared" si="202"/>
        <v>0</v>
      </c>
      <c r="I241" s="81">
        <f t="shared" si="202"/>
        <v>0</v>
      </c>
      <c r="J241" s="81">
        <f t="shared" si="202"/>
        <v>0</v>
      </c>
      <c r="K241" s="81">
        <f t="shared" si="202"/>
        <v>0</v>
      </c>
      <c r="L241" s="81">
        <f t="shared" si="202"/>
        <v>1.5990208810505464E-3</v>
      </c>
      <c r="M241" s="81">
        <f t="shared" si="202"/>
        <v>1.4471376584181306E-3</v>
      </c>
      <c r="N241" s="81">
        <f t="shared" si="202"/>
        <v>1.618798850068858E-3</v>
      </c>
      <c r="O241" s="81">
        <f t="shared" si="202"/>
        <v>1.0933903473159645E-3</v>
      </c>
      <c r="P241" s="81">
        <f t="shared" si="202"/>
        <v>1.5807902410252389E-3</v>
      </c>
      <c r="Q241" s="81">
        <f t="shared" si="202"/>
        <v>8.4894879551626634E-4</v>
      </c>
      <c r="R241" s="81">
        <f t="shared" si="202"/>
        <v>1.172118253826367E-3</v>
      </c>
      <c r="S241" s="81">
        <f t="shared" si="202"/>
        <v>6.2234698346330089E-4</v>
      </c>
      <c r="T241" s="81">
        <f t="shared" si="202"/>
        <v>2.9953714264706541E-3</v>
      </c>
      <c r="U241" s="81">
        <f t="shared" si="202"/>
        <v>4.3714171999326293E-3</v>
      </c>
      <c r="V241" s="81">
        <f t="shared" si="202"/>
        <v>4.1091071799262162E-3</v>
      </c>
      <c r="W241" s="81">
        <f t="shared" si="202"/>
        <v>0</v>
      </c>
      <c r="X241" s="81">
        <f t="shared" si="202"/>
        <v>0</v>
      </c>
      <c r="Y241" s="81">
        <f t="shared" si="202"/>
        <v>0</v>
      </c>
      <c r="Z241" s="81">
        <f t="shared" si="202"/>
        <v>0</v>
      </c>
      <c r="AA241" s="81">
        <f t="shared" si="202"/>
        <v>0</v>
      </c>
      <c r="AB241" s="81">
        <f t="shared" si="202"/>
        <v>0</v>
      </c>
      <c r="AC241" s="81">
        <f t="shared" si="202"/>
        <v>0</v>
      </c>
      <c r="AD241" s="81">
        <f t="shared" si="202"/>
        <v>0</v>
      </c>
      <c r="AE241" s="81">
        <f t="shared" si="202"/>
        <v>0</v>
      </c>
      <c r="AF241" s="81">
        <f t="shared" si="202"/>
        <v>0</v>
      </c>
    </row>
    <row r="242" spans="1:34" x14ac:dyDescent="0.25">
      <c r="B242" s="21">
        <f>(B209-B208)^2</f>
        <v>73116.832428761874</v>
      </c>
      <c r="C242" s="21">
        <f t="shared" ref="C242:AF242" si="203">(C209-C208)^2</f>
        <v>777.80642596425082</v>
      </c>
      <c r="D242" s="21">
        <f t="shared" si="203"/>
        <v>7168.6641040282175</v>
      </c>
      <c r="E242" s="21">
        <f t="shared" si="203"/>
        <v>1525.2830675581845</v>
      </c>
      <c r="F242" s="21">
        <f t="shared" si="203"/>
        <v>39.519638646993066</v>
      </c>
      <c r="G242" s="21">
        <f t="shared" si="203"/>
        <v>171.4943035051717</v>
      </c>
      <c r="H242" s="21">
        <f t="shared" si="203"/>
        <v>120.10332837952302</v>
      </c>
      <c r="I242" s="21">
        <f t="shared" si="203"/>
        <v>149.91155154222699</v>
      </c>
      <c r="J242" s="21">
        <f t="shared" si="203"/>
        <v>125.43960827524099</v>
      </c>
      <c r="K242" s="21">
        <f t="shared" si="203"/>
        <v>113.16938766334565</v>
      </c>
      <c r="L242" s="21">
        <f t="shared" si="203"/>
        <v>125.22858368124623</v>
      </c>
      <c r="M242" s="21">
        <f t="shared" si="203"/>
        <v>91.8213199147702</v>
      </c>
      <c r="N242" s="21">
        <f t="shared" si="203"/>
        <v>104.24454949704078</v>
      </c>
      <c r="O242" s="21">
        <f t="shared" si="203"/>
        <v>43.36679262526733</v>
      </c>
      <c r="P242" s="21">
        <f t="shared" si="203"/>
        <v>82.438036413798358</v>
      </c>
      <c r="Q242" s="21">
        <f t="shared" si="203"/>
        <v>21.479771131391079</v>
      </c>
      <c r="R242" s="21">
        <f t="shared" si="203"/>
        <v>36.951236159884282</v>
      </c>
      <c r="S242" s="21">
        <f t="shared" si="203"/>
        <v>9.1690021503170662</v>
      </c>
      <c r="T242" s="21">
        <f t="shared" si="203"/>
        <v>179.37908977245689</v>
      </c>
      <c r="U242" s="21">
        <f t="shared" si="203"/>
        <v>310.54529382420196</v>
      </c>
      <c r="V242" s="21">
        <f t="shared" si="203"/>
        <v>214.63394806789981</v>
      </c>
      <c r="W242" s="21">
        <f t="shared" si="203"/>
        <v>95.158558376041995</v>
      </c>
      <c r="X242" s="21">
        <f t="shared" si="203"/>
        <v>136.00559794396855</v>
      </c>
      <c r="Y242" s="21">
        <f t="shared" si="203"/>
        <v>20.662588816666744</v>
      </c>
      <c r="Z242" s="21">
        <f t="shared" si="203"/>
        <v>2.7998287769533278E-2</v>
      </c>
      <c r="AA242" s="21">
        <f t="shared" si="203"/>
        <v>7.9808950031380226</v>
      </c>
      <c r="AB242" s="21">
        <f t="shared" si="203"/>
        <v>0.52592010140560697</v>
      </c>
      <c r="AC242" s="21">
        <f t="shared" si="203"/>
        <v>8.7911976171762982E-2</v>
      </c>
      <c r="AD242" s="21">
        <f t="shared" si="203"/>
        <v>9.9300280033540522E-2</v>
      </c>
      <c r="AE242" s="21">
        <f t="shared" si="203"/>
        <v>4.2527280004607232E-2</v>
      </c>
      <c r="AF242" s="21">
        <f t="shared" si="203"/>
        <v>9.1741084895949107E-2</v>
      </c>
      <c r="AG242" s="3"/>
      <c r="AH242" s="3"/>
    </row>
    <row r="243" spans="1:34" x14ac:dyDescent="0.25">
      <c r="A243" s="72">
        <f>SUM(B243:AF243)</f>
        <v>1219.2576232382739</v>
      </c>
      <c r="B243" s="60">
        <f>IF($A$64&lt;=B207,IF($B$64&gt;=B207,ABS(B242),0),0)</f>
        <v>0</v>
      </c>
      <c r="C243" s="60">
        <f t="shared" ref="C243" si="204">IF($A$64&lt;=C207,IF($B$64&gt;=C207,ABS(C242),0),0)</f>
        <v>0</v>
      </c>
      <c r="D243" s="60">
        <f t="shared" ref="D243" si="205">IF($A$64&lt;=D207,IF($B$64&gt;=D207,ABS(D242),0),0)</f>
        <v>0</v>
      </c>
      <c r="E243" s="60">
        <f t="shared" ref="E243" si="206">IF($A$64&lt;=E207,IF($B$64&gt;=E207,ABS(E242),0),0)</f>
        <v>0</v>
      </c>
      <c r="F243" s="60">
        <f t="shared" ref="F243" si="207">IF($A$64&lt;=F207,IF($B$64&gt;=F207,ABS(F242),0),0)</f>
        <v>0</v>
      </c>
      <c r="G243" s="60">
        <f t="shared" ref="G243" si="208">IF($A$64&lt;=G207,IF($B$64&gt;=G207,ABS(G242),0),0)</f>
        <v>0</v>
      </c>
      <c r="H243" s="60">
        <f t="shared" ref="H243" si="209">IF($A$64&lt;=H207,IF($B$64&gt;=H207,ABS(H242),0),0)</f>
        <v>0</v>
      </c>
      <c r="I243" s="60">
        <f t="shared" ref="I243" si="210">IF($A$64&lt;=I207,IF($B$64&gt;=I207,ABS(I242),0),0)</f>
        <v>0</v>
      </c>
      <c r="J243" s="60">
        <f t="shared" ref="J243" si="211">IF($A$64&lt;=J207,IF($B$64&gt;=J207,ABS(J242),0),0)</f>
        <v>0</v>
      </c>
      <c r="K243" s="60">
        <f t="shared" ref="K243" si="212">IF($A$64&lt;=K207,IF($B$64&gt;=K207,ABS(K242),0),0)</f>
        <v>0</v>
      </c>
      <c r="L243" s="60">
        <f t="shared" ref="L243" si="213">IF($A$64&lt;=L207,IF($B$64&gt;=L207,ABS(L242),0),0)</f>
        <v>125.22858368124623</v>
      </c>
      <c r="M243" s="60">
        <f t="shared" ref="M243" si="214">IF($A$64&lt;=M207,IF($B$64&gt;=M207,ABS(M242),0),0)</f>
        <v>91.8213199147702</v>
      </c>
      <c r="N243" s="60">
        <f t="shared" ref="N243" si="215">IF($A$64&lt;=N207,IF($B$64&gt;=N207,ABS(N242),0),0)</f>
        <v>104.24454949704078</v>
      </c>
      <c r="O243" s="60">
        <f t="shared" ref="O243" si="216">IF($A$64&lt;=O207,IF($B$64&gt;=O207,ABS(O242),0),0)</f>
        <v>43.36679262526733</v>
      </c>
      <c r="P243" s="60">
        <f t="shared" ref="P243" si="217">IF($A$64&lt;=P207,IF($B$64&gt;=P207,ABS(P242),0),0)</f>
        <v>82.438036413798358</v>
      </c>
      <c r="Q243" s="60">
        <f t="shared" ref="Q243" si="218">IF($A$64&lt;=Q207,IF($B$64&gt;=Q207,ABS(Q242),0),0)</f>
        <v>21.479771131391079</v>
      </c>
      <c r="R243" s="60">
        <f t="shared" ref="R243" si="219">IF($A$64&lt;=R207,IF($B$64&gt;=R207,ABS(R242),0),0)</f>
        <v>36.951236159884282</v>
      </c>
      <c r="S243" s="60">
        <f t="shared" ref="S243" si="220">IF($A$64&lt;=S207,IF($B$64&gt;=S207,ABS(S242),0),0)</f>
        <v>9.1690021503170662</v>
      </c>
      <c r="T243" s="60">
        <f t="shared" ref="T243" si="221">IF($A$64&lt;=T207,IF($B$64&gt;=T207,ABS(T242),0),0)</f>
        <v>179.37908977245689</v>
      </c>
      <c r="U243" s="60">
        <f t="shared" ref="U243" si="222">IF($A$64&lt;=U207,IF($B$64&gt;=U207,ABS(U242),0),0)</f>
        <v>310.54529382420196</v>
      </c>
      <c r="V243" s="60">
        <f t="shared" ref="V243" si="223">IF($A$64&lt;=V207,IF($B$64&gt;=V207,ABS(V242),0),0)</f>
        <v>214.63394806789981</v>
      </c>
      <c r="W243" s="60">
        <f t="shared" ref="W243" si="224">IF($A$64&lt;=W207,IF($B$64&gt;=W207,ABS(W242),0),0)</f>
        <v>0</v>
      </c>
      <c r="X243" s="60">
        <f t="shared" ref="X243" si="225">IF($A$64&lt;=X207,IF($B$64&gt;=X207,ABS(X242),0),0)</f>
        <v>0</v>
      </c>
      <c r="Y243" s="60">
        <f t="shared" ref="Y243" si="226">IF($A$64&lt;=Y207,IF($B$64&gt;=Y207,ABS(Y242),0),0)</f>
        <v>0</v>
      </c>
      <c r="Z243" s="60">
        <f t="shared" ref="Z243" si="227">IF($A$64&lt;=Z207,IF($B$64&gt;=Z207,ABS(Z242),0),0)</f>
        <v>0</v>
      </c>
      <c r="AA243" s="60">
        <f t="shared" ref="AA243" si="228">IF($A$64&lt;=AA207,IF($B$64&gt;=AA207,ABS(AA242),0),0)</f>
        <v>0</v>
      </c>
      <c r="AB243" s="60">
        <f t="shared" ref="AB243" si="229">IF($A$64&lt;=AB207,IF($B$64&gt;=AB207,ABS(AB242),0),0)</f>
        <v>0</v>
      </c>
      <c r="AC243" s="60">
        <f t="shared" ref="AC243" si="230">IF($A$64&lt;=AC207,IF($B$64&gt;=AC207,ABS(AC242),0),0)</f>
        <v>0</v>
      </c>
      <c r="AD243" s="60">
        <f t="shared" ref="AD243" si="231">IF($A$64&lt;=AD207,IF($B$64&gt;=AD207,ABS(AD242),0),0)</f>
        <v>0</v>
      </c>
      <c r="AE243" s="60">
        <f t="shared" ref="AE243" si="232">IF($A$64&lt;=AE207,IF($B$64&gt;=AE207,ABS(AE242),0),0)</f>
        <v>0</v>
      </c>
      <c r="AF243" s="60">
        <f t="shared" ref="AF243" si="233">IF($A$64&lt;=AF207,IF($B$64&gt;=AF207,ABS(AF242),0),0)</f>
        <v>0</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70" t="s">
        <v>27</v>
      </c>
      <c r="B245" s="11">
        <f>INDEX($D$1:$M$1,1,$E$122)</f>
        <v>50</v>
      </c>
    </row>
    <row r="246" spans="1:34" x14ac:dyDescent="0.25">
      <c r="A246" s="70"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9521.3086452220268</v>
      </c>
      <c r="C247" s="26">
        <f>INDEX(Comparison!$AM$3:$AS$33,G$14,$E$122)</f>
        <v>9264.9569626866305</v>
      </c>
      <c r="D247" s="26">
        <f>INDEX(Comparison!$AM$3:$AS$33,H$14,$E$122)</f>
        <v>9040.3201170121174</v>
      </c>
      <c r="E247" s="26">
        <f>INDEX(Comparison!$AM$3:$AS$33,I$14,$E$122)</f>
        <v>8795.6860246078559</v>
      </c>
      <c r="F247" s="26">
        <f>INDEX(Comparison!$AM$3:$AS$33,J$14,$E$122)</f>
        <v>8532.6912536798991</v>
      </c>
      <c r="G247" s="26">
        <f>INDEX(Comparison!$AM$3:$AS$33,K$14,$E$122)</f>
        <v>8244.2374276121209</v>
      </c>
      <c r="H247" s="26">
        <f>INDEX(Comparison!$AM$3:$AS$33,L$14,$E$122)</f>
        <v>7958.2786468847135</v>
      </c>
      <c r="I247" s="26">
        <f>INDEX(Comparison!$AM$3:$AS$33,M$14,$E$122)</f>
        <v>7687.376383967704</v>
      </c>
      <c r="J247" s="26">
        <f>INDEX(Comparison!$AM$3:$AS$33,N$14,$E$122)</f>
        <v>7374.3712231841728</v>
      </c>
      <c r="K247" s="26">
        <f>INDEX(Comparison!$AM$3:$AS$33,O$14,$E$122)</f>
        <v>7006.1552436770207</v>
      </c>
      <c r="L247" s="26">
        <f>INDEX(Comparison!$AM$3:$AS$33,P$14,$E$122)</f>
        <v>6628.8785990090082</v>
      </c>
      <c r="M247" s="26">
        <f>INDEX(Comparison!$AM$3:$AS$33,Q$14,$E$122)</f>
        <v>6311.3720523241727</v>
      </c>
      <c r="N247" s="26">
        <f>INDEX(Comparison!$AM$3:$AS$33,R$14,$E$122)</f>
        <v>6028.2349504089671</v>
      </c>
      <c r="O247" s="26">
        <f>INDEX(Comparison!$AM$3:$AS$33,S$14,$E$122)</f>
        <v>5748.7087759518809</v>
      </c>
      <c r="P247" s="26">
        <f>INDEX(Comparison!$AM$3:$AS$33,T$14,$E$122)</f>
        <v>5465.7818754747968</v>
      </c>
      <c r="Q247" s="26">
        <f>INDEX(Comparison!$AM$3:$AS$33,U$14,$E$122)</f>
        <v>5192.657072535425</v>
      </c>
      <c r="R247" s="26">
        <f>INDEX(Comparison!$AM$3:$AS$33,V$14,$E$122)</f>
        <v>4882.9062343607484</v>
      </c>
      <c r="S247" s="26">
        <f>INDEX(Comparison!$AM$3:$AS$33,W$14,$E$122)</f>
        <v>4501.5398610325774</v>
      </c>
      <c r="T247" s="26">
        <f>INDEX(Comparison!$AM$3:$AS$33,X$14,$E$122)</f>
        <v>4066.6104281555185</v>
      </c>
      <c r="U247" s="26">
        <f>INDEX(Comparison!$AM$3:$AS$33,Y$14,$E$122)</f>
        <v>3597.5685781370817</v>
      </c>
      <c r="V247" s="26">
        <f>INDEX(Comparison!$AM$3:$AS$33,Z$14,$E$122)</f>
        <v>3102.4717339118838</v>
      </c>
      <c r="W247" s="26">
        <f>INDEX(Comparison!$AM$3:$AS$33,AA$14,$E$122)</f>
        <v>2568.6205512482802</v>
      </c>
      <c r="X247" s="26">
        <f>INDEX(Comparison!$AM$3:$AS$33,AB$14,$E$122)</f>
        <v>2000.7316961631682</v>
      </c>
      <c r="Y247" s="26">
        <f>INDEX(Comparison!$AM$3:$AS$33,AC$14,$E$122)</f>
        <v>1467.5042196825975</v>
      </c>
      <c r="Z247" s="26">
        <f>INDEX(Comparison!$AM$3:$AS$33,AD$14,$E$122)</f>
        <v>1058.8226695409851</v>
      </c>
      <c r="AA247" s="26">
        <f>INDEX(Comparison!$AM$3:$AS$33,AE$14,$E$122)</f>
        <v>791.47453302018846</v>
      </c>
      <c r="AB247" s="26">
        <f>INDEX(Comparison!$AM$3:$AS$33,AF$14,$E$122)</f>
        <v>655.80009654126911</v>
      </c>
      <c r="AC247" s="26">
        <f>INDEX(Comparison!$AM$3:$AS$33,AG$14,$E$122)</f>
        <v>585.43210743850034</v>
      </c>
      <c r="AD247" s="26">
        <f>INDEX(Comparison!$AM$3:$AS$33,AH$14,$E$122)</f>
        <v>550.22961238933465</v>
      </c>
      <c r="AE247" s="26">
        <f>INDEX(Comparison!$AM$3:$AS$33,AI$14,$E$122)</f>
        <v>525.95012363885235</v>
      </c>
      <c r="AF247" s="26">
        <f>INDEX(Comparison!$AM$3:$AS$33,AJ$14,$E$122)</f>
        <v>515.3503886433972</v>
      </c>
      <c r="AG247" s="26"/>
      <c r="AH247" s="26"/>
    </row>
    <row r="248" spans="1:34" x14ac:dyDescent="0.25">
      <c r="A248" s="71" t="s">
        <v>22</v>
      </c>
      <c r="B248" s="27">
        <f>($C$17+SUM(B249:B279))*$B$51</f>
        <v>9449.3345787817252</v>
      </c>
      <c r="C248" s="27">
        <f t="shared" ref="C248:AF248" si="234">($C$17+SUM(C249:C279))*$B$51</f>
        <v>9357.2092775102719</v>
      </c>
      <c r="D248" s="27">
        <f t="shared" si="234"/>
        <v>9014.6689019134119</v>
      </c>
      <c r="E248" s="27">
        <f t="shared" si="234"/>
        <v>8798.931212004094</v>
      </c>
      <c r="F248" s="27">
        <f t="shared" si="234"/>
        <v>8531.096836118606</v>
      </c>
      <c r="G248" s="27">
        <f t="shared" si="234"/>
        <v>8243.2000463054392</v>
      </c>
      <c r="H248" s="27">
        <f t="shared" si="234"/>
        <v>7957.1937614182762</v>
      </c>
      <c r="I248" s="27">
        <f t="shared" si="234"/>
        <v>7686.2267843933014</v>
      </c>
      <c r="J248" s="27">
        <f t="shared" si="234"/>
        <v>7373.2135558529262</v>
      </c>
      <c r="K248" s="27">
        <f t="shared" si="234"/>
        <v>7004.2718932326197</v>
      </c>
      <c r="L248" s="27">
        <f t="shared" si="234"/>
        <v>6628.0369898073441</v>
      </c>
      <c r="M248" s="27">
        <f t="shared" si="234"/>
        <v>6309.3696667804334</v>
      </c>
      <c r="N248" s="27">
        <f t="shared" si="234"/>
        <v>6028.2625075207516</v>
      </c>
      <c r="O248" s="27">
        <f t="shared" si="234"/>
        <v>5746.4974760838277</v>
      </c>
      <c r="P248" s="27">
        <f t="shared" si="234"/>
        <v>5465.8179966756488</v>
      </c>
      <c r="Q248" s="27">
        <f t="shared" si="234"/>
        <v>5190.8932124839857</v>
      </c>
      <c r="R248" s="27">
        <f t="shared" si="234"/>
        <v>4882.2404598575276</v>
      </c>
      <c r="S248" s="27">
        <f t="shared" si="234"/>
        <v>4499.8857936504455</v>
      </c>
      <c r="T248" s="27">
        <f t="shared" si="234"/>
        <v>4065.3092989515403</v>
      </c>
      <c r="U248" s="27">
        <f t="shared" si="234"/>
        <v>3596.05868545882</v>
      </c>
      <c r="V248" s="27">
        <f t="shared" si="234"/>
        <v>3100.8441701982492</v>
      </c>
      <c r="W248" s="27">
        <f t="shared" si="234"/>
        <v>2567.2098054504577</v>
      </c>
      <c r="X248" s="27">
        <f t="shared" si="234"/>
        <v>1998.2468996516477</v>
      </c>
      <c r="Y248" s="27">
        <f t="shared" si="234"/>
        <v>1465.7484166988263</v>
      </c>
      <c r="Z248" s="27">
        <f t="shared" si="234"/>
        <v>1057.5022809948548</v>
      </c>
      <c r="AA248" s="27">
        <f t="shared" si="234"/>
        <v>790.74474114371901</v>
      </c>
      <c r="AB248" s="27">
        <f t="shared" si="234"/>
        <v>655.49548085933418</v>
      </c>
      <c r="AC248" s="27">
        <f t="shared" si="234"/>
        <v>585.20787011210507</v>
      </c>
      <c r="AD248" s="27">
        <f t="shared" si="234"/>
        <v>550.18056291892958</v>
      </c>
      <c r="AE248" s="27">
        <f t="shared" si="234"/>
        <v>525.78703557461199</v>
      </c>
      <c r="AF248" s="27">
        <f t="shared" si="234"/>
        <v>515.4060286994137</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4.1506938573916949E-2</v>
      </c>
      <c r="C250" s="3">
        <f t="shared" si="236"/>
        <v>3.2899228369405405E-2</v>
      </c>
      <c r="D250" s="3">
        <f t="shared" si="236"/>
        <v>3.2198512483762876E-3</v>
      </c>
      <c r="E250" s="3">
        <f t="shared" si="236"/>
        <v>2.5961917994906158E-13</v>
      </c>
      <c r="F250" s="3">
        <f t="shared" si="236"/>
        <v>3.0154103888199849E-114</v>
      </c>
      <c r="G250" s="3">
        <f t="shared" si="236"/>
        <v>0</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1.8147637049136932E-2</v>
      </c>
      <c r="C251" s="3">
        <f t="shared" si="237"/>
        <v>1.7771124482244043E-2</v>
      </c>
      <c r="D251" s="3">
        <f t="shared" si="237"/>
        <v>1.4409972457739209E-2</v>
      </c>
      <c r="E251" s="3">
        <f t="shared" si="237"/>
        <v>1.7707023675918631E-3</v>
      </c>
      <c r="F251" s="3">
        <f t="shared" si="237"/>
        <v>1.3898557893604444E-12</v>
      </c>
      <c r="G251" s="3">
        <f t="shared" si="237"/>
        <v>1.2337053983828518E-103</v>
      </c>
      <c r="H251" s="3">
        <f t="shared" si="237"/>
        <v>0</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2.8227792761454113E-2</v>
      </c>
      <c r="C252" s="3">
        <f t="shared" si="238"/>
        <v>2.8174457193989033E-2</v>
      </c>
      <c r="D252" s="3">
        <f t="shared" si="238"/>
        <v>2.7646612897077004E-2</v>
      </c>
      <c r="E252" s="3">
        <f t="shared" si="238"/>
        <v>2.2882615909536257E-2</v>
      </c>
      <c r="F252" s="3">
        <f t="shared" si="238"/>
        <v>3.4525745389717829E-3</v>
      </c>
      <c r="G252" s="3">
        <f t="shared" si="238"/>
        <v>2.1111397810441059E-11</v>
      </c>
      <c r="H252" s="3">
        <f t="shared" si="238"/>
        <v>1.5426103768024391E-93</v>
      </c>
      <c r="I252" s="3">
        <f t="shared" si="238"/>
        <v>0</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2.9847016077034268E-2</v>
      </c>
      <c r="C253" s="3">
        <f t="shared" si="239"/>
        <v>2.9841924397280239E-2</v>
      </c>
      <c r="D253" s="3">
        <f t="shared" si="239"/>
        <v>2.9791055348454821E-2</v>
      </c>
      <c r="E253" s="3">
        <f t="shared" si="239"/>
        <v>2.9287109727543045E-2</v>
      </c>
      <c r="F253" s="3">
        <f t="shared" si="239"/>
        <v>2.4693507043846808E-2</v>
      </c>
      <c r="G253" s="3">
        <f t="shared" si="239"/>
        <v>4.4837911083912387E-3</v>
      </c>
      <c r="H253" s="3">
        <f t="shared" si="239"/>
        <v>1.7469132734473873E-10</v>
      </c>
      <c r="I253" s="3">
        <f t="shared" si="239"/>
        <v>1.4077679632861175E-84</v>
      </c>
      <c r="J253" s="3">
        <f t="shared" si="239"/>
        <v>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2.9885231637207063E-2</v>
      </c>
      <c r="C254" s="3">
        <f t="shared" si="240"/>
        <v>2.9884771701547266E-2</v>
      </c>
      <c r="D254" s="3">
        <f t="shared" si="240"/>
        <v>2.9880172734245543E-2</v>
      </c>
      <c r="E254" s="3">
        <f t="shared" si="240"/>
        <v>2.9834221968690604E-2</v>
      </c>
      <c r="F254" s="3">
        <f t="shared" si="240"/>
        <v>2.9378582994942424E-2</v>
      </c>
      <c r="G254" s="3">
        <f t="shared" si="240"/>
        <v>2.5187909666527654E-2</v>
      </c>
      <c r="H254" s="3">
        <f t="shared" si="240"/>
        <v>5.4051151409493549E-3</v>
      </c>
      <c r="I254" s="3">
        <f t="shared" si="240"/>
        <v>1.1192656541999616E-9</v>
      </c>
      <c r="J254" s="3">
        <f t="shared" si="240"/>
        <v>1.6226148674439632E-76</v>
      </c>
      <c r="K254" s="3">
        <f t="shared" si="240"/>
        <v>0</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2.6241414231684392E-2</v>
      </c>
      <c r="C255" s="3">
        <f t="shared" si="241"/>
        <v>2.6241377800161603E-2</v>
      </c>
      <c r="D255" s="3">
        <f t="shared" si="241"/>
        <v>2.6241013487715559E-2</v>
      </c>
      <c r="E255" s="3">
        <f t="shared" si="241"/>
        <v>2.6237370641422366E-2</v>
      </c>
      <c r="F255" s="3">
        <f t="shared" si="241"/>
        <v>2.6200969980931032E-2</v>
      </c>
      <c r="G255" s="3">
        <f t="shared" si="241"/>
        <v>2.5839729391420662E-2</v>
      </c>
      <c r="H255" s="3">
        <f t="shared" si="241"/>
        <v>2.2490228989543264E-2</v>
      </c>
      <c r="I255" s="3">
        <f t="shared" si="241"/>
        <v>5.6111649919307321E-3</v>
      </c>
      <c r="J255" s="3">
        <f t="shared" si="241"/>
        <v>5.2437823267085128E-9</v>
      </c>
      <c r="K255" s="3">
        <f t="shared" si="241"/>
        <v>2.6641631732596086E-69</v>
      </c>
      <c r="L255" s="3">
        <f t="shared" si="241"/>
        <v>0</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3.2917205543740474E-2</v>
      </c>
      <c r="C256" s="3">
        <f t="shared" si="242"/>
        <v>3.2917201421247613E-2</v>
      </c>
      <c r="D256" s="3">
        <f t="shared" si="242"/>
        <v>3.2917160196347404E-2</v>
      </c>
      <c r="E256" s="3">
        <f t="shared" si="242"/>
        <v>3.2916747950184871E-2</v>
      </c>
      <c r="F256" s="3">
        <f t="shared" si="242"/>
        <v>3.2912625772506567E-2</v>
      </c>
      <c r="G256" s="3">
        <f t="shared" si="242"/>
        <v>3.2871432377268438E-2</v>
      </c>
      <c r="H256" s="3">
        <f t="shared" si="242"/>
        <v>3.2462323471833698E-2</v>
      </c>
      <c r="I256" s="3">
        <f t="shared" si="242"/>
        <v>2.8641075450827308E-2</v>
      </c>
      <c r="J256" s="3">
        <f t="shared" si="242"/>
        <v>8.1862786871752802E-3</v>
      </c>
      <c r="K256" s="3">
        <f t="shared" si="242"/>
        <v>2.9789181120152008E-8</v>
      </c>
      <c r="L256" s="3">
        <f t="shared" si="242"/>
        <v>1.2127714411319658E-62</v>
      </c>
      <c r="M256" s="3">
        <f t="shared" si="242"/>
        <v>0</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4.0072808152109687E-2</v>
      </c>
      <c r="C257" s="3">
        <f t="shared" si="243"/>
        <v>4.0072807699385871E-2</v>
      </c>
      <c r="D257" s="3">
        <f t="shared" si="243"/>
        <v>4.0072803172147953E-2</v>
      </c>
      <c r="E257" s="3">
        <f t="shared" si="243"/>
        <v>4.0072757899796856E-2</v>
      </c>
      <c r="F257" s="3">
        <f t="shared" si="243"/>
        <v>4.0072305179098974E-2</v>
      </c>
      <c r="G257" s="3">
        <f t="shared" si="243"/>
        <v>4.0067778253413462E-2</v>
      </c>
      <c r="H257" s="3">
        <f t="shared" si="243"/>
        <v>4.0022537114136905E-2</v>
      </c>
      <c r="I257" s="3">
        <f t="shared" si="243"/>
        <v>3.9572925761265539E-2</v>
      </c>
      <c r="J257" s="3">
        <f t="shared" si="243"/>
        <v>3.5345457165298404E-2</v>
      </c>
      <c r="K257" s="3">
        <f t="shared" si="243"/>
        <v>1.1420576649025665E-2</v>
      </c>
      <c r="L257" s="3">
        <f t="shared" si="243"/>
        <v>1.4165513722154512E-7</v>
      </c>
      <c r="M257" s="3">
        <f t="shared" si="243"/>
        <v>1.2208864995235193E-56</v>
      </c>
      <c r="N257" s="3">
        <f t="shared" si="243"/>
        <v>0</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3.9765912835592103E-2</v>
      </c>
      <c r="C258" s="3">
        <f t="shared" si="244"/>
        <v>3.9765912795065417E-2</v>
      </c>
      <c r="D258" s="3">
        <f t="shared" si="244"/>
        <v>3.9765912389798534E-2</v>
      </c>
      <c r="E258" s="3">
        <f t="shared" si="244"/>
        <v>3.9765908337129938E-2</v>
      </c>
      <c r="F258" s="3">
        <f t="shared" si="244"/>
        <v>3.9765867810466683E-2</v>
      </c>
      <c r="G258" s="3">
        <f t="shared" si="244"/>
        <v>3.9765462546105752E-2</v>
      </c>
      <c r="H258" s="3">
        <f t="shared" si="244"/>
        <v>3.9761410129648012E-2</v>
      </c>
      <c r="I258" s="3">
        <f t="shared" si="244"/>
        <v>3.9720908671666166E-2</v>
      </c>
      <c r="J258" s="3">
        <f t="shared" si="244"/>
        <v>3.9318156212523575E-2</v>
      </c>
      <c r="K258" s="3">
        <f t="shared" si="244"/>
        <v>3.5508541287446523E-2</v>
      </c>
      <c r="L258" s="3">
        <f t="shared" si="244"/>
        <v>1.2815327503600475E-2</v>
      </c>
      <c r="M258" s="3">
        <f t="shared" si="244"/>
        <v>4.8050563679085264E-7</v>
      </c>
      <c r="N258" s="3">
        <f t="shared" si="244"/>
        <v>2.6386771771171272E-51</v>
      </c>
      <c r="O258" s="3">
        <f t="shared" si="244"/>
        <v>0</v>
      </c>
      <c r="P258" s="3">
        <f t="shared" si="244"/>
        <v>0</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2.9424353029870749E-2</v>
      </c>
      <c r="C259" s="3">
        <f t="shared" si="245"/>
        <v>2.9424353027165649E-2</v>
      </c>
      <c r="D259" s="3">
        <f t="shared" si="245"/>
        <v>2.9424353000114624E-2</v>
      </c>
      <c r="E259" s="3">
        <f t="shared" si="245"/>
        <v>2.9424352729604409E-2</v>
      </c>
      <c r="F259" s="3">
        <f t="shared" si="245"/>
        <v>2.9424350024502378E-2</v>
      </c>
      <c r="G259" s="3">
        <f t="shared" si="245"/>
        <v>2.9424322973495707E-2</v>
      </c>
      <c r="H259" s="3">
        <f t="shared" si="245"/>
        <v>2.9424052464796839E-2</v>
      </c>
      <c r="I259" s="3">
        <f t="shared" si="245"/>
        <v>2.9421347514583127E-2</v>
      </c>
      <c r="J259" s="3">
        <f t="shared" si="245"/>
        <v>2.9394311685294064E-2</v>
      </c>
      <c r="K259" s="3">
        <f t="shared" si="245"/>
        <v>2.9125316037717171E-2</v>
      </c>
      <c r="L259" s="3">
        <f t="shared" si="245"/>
        <v>2.6567100756910093E-2</v>
      </c>
      <c r="M259" s="3">
        <f t="shared" si="245"/>
        <v>1.0594472195486442E-2</v>
      </c>
      <c r="N259" s="3">
        <f t="shared" si="245"/>
        <v>1.0775339251789797E-6</v>
      </c>
      <c r="O259" s="3">
        <f t="shared" si="245"/>
        <v>1.2762836958114438E-46</v>
      </c>
      <c r="P259" s="3">
        <f t="shared" si="245"/>
        <v>0</v>
      </c>
      <c r="Q259" s="3">
        <f t="shared" si="245"/>
        <v>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2.8571417110949827E-2</v>
      </c>
      <c r="C260" s="3">
        <f t="shared" si="246"/>
        <v>2.8571417110712878E-2</v>
      </c>
      <c r="D260" s="3">
        <f t="shared" si="246"/>
        <v>2.8571417108343388E-2</v>
      </c>
      <c r="E260" s="3">
        <f t="shared" si="246"/>
        <v>2.8571417084648474E-2</v>
      </c>
      <c r="F260" s="3">
        <f t="shared" si="246"/>
        <v>2.857141684769934E-2</v>
      </c>
      <c r="G260" s="3">
        <f t="shared" si="246"/>
        <v>2.8571414478208126E-2</v>
      </c>
      <c r="H260" s="3">
        <f t="shared" si="246"/>
        <v>2.8571390783306765E-2</v>
      </c>
      <c r="I260" s="3">
        <f t="shared" si="246"/>
        <v>2.8571153835373925E-2</v>
      </c>
      <c r="J260" s="3">
        <f t="shared" si="246"/>
        <v>2.8568784464120818E-2</v>
      </c>
      <c r="K260" s="3">
        <f t="shared" si="246"/>
        <v>2.8545101555801769E-2</v>
      </c>
      <c r="L260" s="3">
        <f t="shared" si="246"/>
        <v>2.8309349585889907E-2</v>
      </c>
      <c r="M260" s="3">
        <f t="shared" si="246"/>
        <v>2.6056308142916158E-2</v>
      </c>
      <c r="N260" s="3">
        <f t="shared" si="246"/>
        <v>1.1369537087546497E-2</v>
      </c>
      <c r="O260" s="3">
        <f t="shared" si="246"/>
        <v>2.8447348537625234E-6</v>
      </c>
      <c r="P260" s="3">
        <f t="shared" si="246"/>
        <v>2.7354696762471756E-42</v>
      </c>
      <c r="Q260" s="3">
        <f t="shared" si="246"/>
        <v>0</v>
      </c>
      <c r="R260" s="3">
        <f t="shared" si="246"/>
        <v>0</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2.9426851905509966E-2</v>
      </c>
      <c r="C261" s="3">
        <f t="shared" si="247"/>
        <v>2.9426851905487952E-2</v>
      </c>
      <c r="D261" s="3">
        <f t="shared" si="247"/>
        <v>2.9426851905267802E-2</v>
      </c>
      <c r="E261" s="3">
        <f t="shared" si="247"/>
        <v>2.942685190306633E-2</v>
      </c>
      <c r="F261" s="3">
        <f t="shared" si="247"/>
        <v>2.9426851881051583E-2</v>
      </c>
      <c r="G261" s="3">
        <f t="shared" si="247"/>
        <v>2.9426851660904089E-2</v>
      </c>
      <c r="H261" s="3">
        <f t="shared" si="247"/>
        <v>2.9426849459429291E-2</v>
      </c>
      <c r="I261" s="3">
        <f t="shared" si="247"/>
        <v>2.942682744469035E-2</v>
      </c>
      <c r="J261" s="3">
        <f t="shared" si="247"/>
        <v>2.9426607298206765E-2</v>
      </c>
      <c r="K261" s="3">
        <f t="shared" si="247"/>
        <v>2.9424405923951086E-2</v>
      </c>
      <c r="L261" s="3">
        <f t="shared" si="247"/>
        <v>2.9402401236901857E-2</v>
      </c>
      <c r="M261" s="3">
        <f t="shared" si="247"/>
        <v>2.9183257415579648E-2</v>
      </c>
      <c r="N261" s="3">
        <f t="shared" si="247"/>
        <v>2.707967368236705E-2</v>
      </c>
      <c r="O261" s="3">
        <f t="shared" si="247"/>
        <v>1.28156321778725E-2</v>
      </c>
      <c r="P261" s="3">
        <f t="shared" si="247"/>
        <v>7.2228086514194438E-6</v>
      </c>
      <c r="Q261" s="3">
        <f t="shared" si="247"/>
        <v>2.3354300454465006E-38</v>
      </c>
      <c r="R261" s="3">
        <f t="shared" si="247"/>
        <v>0</v>
      </c>
      <c r="S261" s="3">
        <f t="shared" si="247"/>
        <v>0</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2.8440803506547718E-2</v>
      </c>
      <c r="C262" s="3">
        <f t="shared" si="248"/>
        <v>2.8440803506545802E-2</v>
      </c>
      <c r="D262" s="3">
        <f t="shared" si="248"/>
        <v>2.8440803506526606E-2</v>
      </c>
      <c r="E262" s="3">
        <f t="shared" si="248"/>
        <v>2.8440803506334669E-2</v>
      </c>
      <c r="F262" s="3">
        <f t="shared" si="248"/>
        <v>2.8440803504415302E-2</v>
      </c>
      <c r="G262" s="3">
        <f t="shared" si="248"/>
        <v>2.8440803485221617E-2</v>
      </c>
      <c r="H262" s="3">
        <f t="shared" si="248"/>
        <v>2.8440803293284755E-2</v>
      </c>
      <c r="I262" s="3">
        <f t="shared" si="248"/>
        <v>2.8440801373916226E-2</v>
      </c>
      <c r="J262" s="3">
        <f t="shared" si="248"/>
        <v>2.8440782180238058E-2</v>
      </c>
      <c r="K262" s="3">
        <f t="shared" si="248"/>
        <v>2.8440590244168812E-2</v>
      </c>
      <c r="L262" s="3">
        <f t="shared" si="248"/>
        <v>2.84386709547166E-2</v>
      </c>
      <c r="M262" s="3">
        <f t="shared" si="248"/>
        <v>2.8419485182442888E-2</v>
      </c>
      <c r="N262" s="3">
        <f t="shared" si="248"/>
        <v>2.8228337909327352E-2</v>
      </c>
      <c r="O262" s="3">
        <f t="shared" si="248"/>
        <v>2.6386167717989531E-2</v>
      </c>
      <c r="P262" s="3">
        <f t="shared" si="248"/>
        <v>1.3436508439489615E-2</v>
      </c>
      <c r="Q262" s="3">
        <f t="shared" si="248"/>
        <v>1.5753880093763722E-5</v>
      </c>
      <c r="R262" s="3">
        <f t="shared" si="248"/>
        <v>7.7339008404187206E-35</v>
      </c>
      <c r="S262" s="3">
        <f t="shared" si="248"/>
        <v>0</v>
      </c>
      <c r="T262" s="3">
        <f t="shared" si="248"/>
        <v>0</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2.6740342475666083E-2</v>
      </c>
      <c r="C263" s="3">
        <f t="shared" si="249"/>
        <v>2.674034247566592E-2</v>
      </c>
      <c r="D263" s="3">
        <f t="shared" si="249"/>
        <v>2.6740342475664293E-2</v>
      </c>
      <c r="E263" s="3">
        <f t="shared" si="249"/>
        <v>2.6740342475648011E-2</v>
      </c>
      <c r="F263" s="3">
        <f t="shared" si="249"/>
        <v>2.6740342475485221E-2</v>
      </c>
      <c r="G263" s="3">
        <f t="shared" si="249"/>
        <v>2.6740342473857311E-2</v>
      </c>
      <c r="H263" s="3">
        <f t="shared" si="249"/>
        <v>2.6740342457578226E-2</v>
      </c>
      <c r="I263" s="3">
        <f t="shared" si="249"/>
        <v>2.6740342294787341E-2</v>
      </c>
      <c r="J263" s="3">
        <f t="shared" si="249"/>
        <v>2.6740340666878561E-2</v>
      </c>
      <c r="K263" s="3">
        <f t="shared" si="249"/>
        <v>2.6740324387796208E-2</v>
      </c>
      <c r="L263" s="3">
        <f t="shared" si="249"/>
        <v>2.6740161597517752E-2</v>
      </c>
      <c r="M263" s="3">
        <f t="shared" si="249"/>
        <v>2.6738533749239301E-2</v>
      </c>
      <c r="N263" s="3">
        <f t="shared" si="249"/>
        <v>2.6722260715836083E-2</v>
      </c>
      <c r="O263" s="3">
        <f t="shared" si="249"/>
        <v>2.6560074094458833E-2</v>
      </c>
      <c r="P263" s="3">
        <f t="shared" si="249"/>
        <v>2.4991374121220527E-2</v>
      </c>
      <c r="Q263" s="3">
        <f t="shared" si="249"/>
        <v>1.3595609216852629E-2</v>
      </c>
      <c r="R263" s="3">
        <f t="shared" si="249"/>
        <v>3.0866262385274138E-5</v>
      </c>
      <c r="S263" s="3">
        <f t="shared" si="249"/>
        <v>1.1228913860764317E-31</v>
      </c>
      <c r="T263" s="3">
        <f t="shared" si="249"/>
        <v>4.5590548409135973E-296</v>
      </c>
      <c r="U263" s="3">
        <f t="shared" si="249"/>
        <v>0</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3.638406706172969E-2</v>
      </c>
      <c r="C264" s="3">
        <f t="shared" si="250"/>
        <v>3.6384067061729676E-2</v>
      </c>
      <c r="D264" s="3">
        <f t="shared" si="250"/>
        <v>3.6384067061729475E-2</v>
      </c>
      <c r="E264" s="3">
        <f t="shared" si="250"/>
        <v>3.6384067061727476E-2</v>
      </c>
      <c r="F264" s="3">
        <f t="shared" si="250"/>
        <v>3.6384067061707499E-2</v>
      </c>
      <c r="G264" s="3">
        <f t="shared" si="250"/>
        <v>3.6384067061507687E-2</v>
      </c>
      <c r="H264" s="3">
        <f t="shared" si="250"/>
        <v>3.638406705950957E-2</v>
      </c>
      <c r="I264" s="3">
        <f t="shared" si="250"/>
        <v>3.6384067039528394E-2</v>
      </c>
      <c r="J264" s="3">
        <f t="shared" si="250"/>
        <v>3.6384066839716678E-2</v>
      </c>
      <c r="K264" s="3">
        <f t="shared" si="250"/>
        <v>3.6384064841599582E-2</v>
      </c>
      <c r="L264" s="3">
        <f t="shared" si="250"/>
        <v>3.6384044860434624E-2</v>
      </c>
      <c r="M264" s="3">
        <f t="shared" si="250"/>
        <v>3.6383845049388547E-2</v>
      </c>
      <c r="N264" s="3">
        <f t="shared" si="250"/>
        <v>3.6381846999278662E-2</v>
      </c>
      <c r="O264" s="3">
        <f t="shared" si="250"/>
        <v>3.6361872532040825E-2</v>
      </c>
      <c r="P264" s="3">
        <f t="shared" si="250"/>
        <v>3.6162730021514877E-2</v>
      </c>
      <c r="Q264" s="3">
        <f t="shared" si="250"/>
        <v>3.4230315308998845E-2</v>
      </c>
      <c r="R264" s="3">
        <f t="shared" si="250"/>
        <v>1.9765499991110453E-2</v>
      </c>
      <c r="S264" s="3">
        <f t="shared" si="250"/>
        <v>8.1447330891639089E-5</v>
      </c>
      <c r="T264" s="3">
        <f t="shared" si="250"/>
        <v>1.1496545828909745E-28</v>
      </c>
      <c r="U264" s="3">
        <f t="shared" si="250"/>
        <v>3.6097120364534604E-267</v>
      </c>
      <c r="V264" s="3">
        <f t="shared" si="250"/>
        <v>0</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4.1964426446168525E-2</v>
      </c>
      <c r="C265" s="3">
        <f t="shared" si="251"/>
        <v>4.1964426446168525E-2</v>
      </c>
      <c r="D265" s="3">
        <f t="shared" si="251"/>
        <v>4.1964426446168504E-2</v>
      </c>
      <c r="E265" s="3">
        <f t="shared" si="251"/>
        <v>4.1964426446168289E-2</v>
      </c>
      <c r="F265" s="3">
        <f t="shared" si="251"/>
        <v>4.1964426446166214E-2</v>
      </c>
      <c r="G265" s="3">
        <f t="shared" si="251"/>
        <v>4.1964426446145425E-2</v>
      </c>
      <c r="H265" s="3">
        <f t="shared" si="251"/>
        <v>4.1964426445937529E-2</v>
      </c>
      <c r="I265" s="3">
        <f t="shared" si="251"/>
        <v>4.1964426443858616E-2</v>
      </c>
      <c r="J265" s="3">
        <f t="shared" si="251"/>
        <v>4.1964426423069426E-2</v>
      </c>
      <c r="K265" s="3">
        <f t="shared" si="251"/>
        <v>4.1964426215177514E-2</v>
      </c>
      <c r="L265" s="3">
        <f t="shared" si="251"/>
        <v>4.1964424136258477E-2</v>
      </c>
      <c r="M265" s="3">
        <f t="shared" si="251"/>
        <v>4.1964403347073728E-2</v>
      </c>
      <c r="N265" s="3">
        <f t="shared" si="251"/>
        <v>4.1964195455792705E-2</v>
      </c>
      <c r="O265" s="3">
        <f t="shared" si="251"/>
        <v>4.1962116599625697E-2</v>
      </c>
      <c r="P265" s="3">
        <f t="shared" si="251"/>
        <v>4.1941333701236858E-2</v>
      </c>
      <c r="Q265" s="3">
        <f t="shared" si="251"/>
        <v>4.1734070008779954E-2</v>
      </c>
      <c r="R265" s="3">
        <f t="shared" si="251"/>
        <v>3.971693964604156E-2</v>
      </c>
      <c r="S265" s="3">
        <f t="shared" si="251"/>
        <v>2.4200600578525071E-2</v>
      </c>
      <c r="T265" s="3">
        <f t="shared" si="251"/>
        <v>1.7073785190230696E-4</v>
      </c>
      <c r="U265" s="3">
        <f t="shared" si="251"/>
        <v>5.2163473884747756E-26</v>
      </c>
      <c r="V265" s="3">
        <f t="shared" si="251"/>
        <v>3.6960125282649906E-241</v>
      </c>
      <c r="W265" s="3">
        <f t="shared" si="251"/>
        <v>0</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4.8106928297009681E-2</v>
      </c>
      <c r="C266" s="3">
        <f t="shared" si="252"/>
        <v>4.8106928297009681E-2</v>
      </c>
      <c r="D266" s="3">
        <f t="shared" si="252"/>
        <v>4.8106928297009681E-2</v>
      </c>
      <c r="E266" s="3">
        <f t="shared" si="252"/>
        <v>4.810692829700966E-2</v>
      </c>
      <c r="F266" s="3">
        <f t="shared" si="252"/>
        <v>4.8106928297009438E-2</v>
      </c>
      <c r="G266" s="3">
        <f t="shared" si="252"/>
        <v>4.8106928297007294E-2</v>
      </c>
      <c r="H266" s="3">
        <f t="shared" si="252"/>
        <v>4.8106928296985797E-2</v>
      </c>
      <c r="I266" s="3">
        <f t="shared" si="252"/>
        <v>4.810692829677081E-2</v>
      </c>
      <c r="J266" s="3">
        <f t="shared" si="252"/>
        <v>4.8106928294620946E-2</v>
      </c>
      <c r="K266" s="3">
        <f t="shared" si="252"/>
        <v>4.810692827312233E-2</v>
      </c>
      <c r="L266" s="3">
        <f t="shared" si="252"/>
        <v>4.8106928058136163E-2</v>
      </c>
      <c r="M266" s="3">
        <f t="shared" si="252"/>
        <v>4.8106925908274548E-2</v>
      </c>
      <c r="N266" s="3">
        <f t="shared" si="252"/>
        <v>4.8106904409663719E-2</v>
      </c>
      <c r="O266" s="3">
        <f t="shared" si="252"/>
        <v>4.8106689424083811E-2</v>
      </c>
      <c r="P266" s="3">
        <f t="shared" si="252"/>
        <v>4.810453962112541E-2</v>
      </c>
      <c r="Q266" s="3">
        <f t="shared" si="252"/>
        <v>4.8083046874732333E-2</v>
      </c>
      <c r="R266" s="3">
        <f t="shared" si="252"/>
        <v>4.7868646857364729E-2</v>
      </c>
      <c r="S266" s="3">
        <f t="shared" si="252"/>
        <v>4.5776529533379816E-2</v>
      </c>
      <c r="T266" s="3">
        <f t="shared" si="252"/>
        <v>2.9279253280922558E-2</v>
      </c>
      <c r="U266" s="3">
        <f t="shared" si="252"/>
        <v>3.3552997076216775E-4</v>
      </c>
      <c r="V266" s="3">
        <f t="shared" si="252"/>
        <v>1.3105226865307378E-23</v>
      </c>
      <c r="W266" s="3">
        <f t="shared" si="252"/>
        <v>1.0828711611632007E-217</v>
      </c>
      <c r="X266" s="3">
        <f t="shared" si="252"/>
        <v>0</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4.6100301020196389E-2</v>
      </c>
      <c r="C267" s="3">
        <f t="shared" si="253"/>
        <v>4.6100301020196389E-2</v>
      </c>
      <c r="D267" s="3">
        <f t="shared" si="253"/>
        <v>4.6100301020196389E-2</v>
      </c>
      <c r="E267" s="3">
        <f t="shared" si="253"/>
        <v>4.6100301020196389E-2</v>
      </c>
      <c r="F267" s="3">
        <f t="shared" si="253"/>
        <v>4.6100301020196369E-2</v>
      </c>
      <c r="G267" s="3">
        <f t="shared" si="253"/>
        <v>4.6100301020196181E-2</v>
      </c>
      <c r="H267" s="3">
        <f t="shared" si="253"/>
        <v>4.6100301020194329E-2</v>
      </c>
      <c r="I267" s="3">
        <f t="shared" si="253"/>
        <v>4.6100301020175739E-2</v>
      </c>
      <c r="J267" s="3">
        <f t="shared" si="253"/>
        <v>4.6100301019989895E-2</v>
      </c>
      <c r="K267" s="3">
        <f t="shared" si="253"/>
        <v>4.610030101813143E-2</v>
      </c>
      <c r="L267" s="3">
        <f t="shared" si="253"/>
        <v>4.6100300999546831E-2</v>
      </c>
      <c r="M267" s="3">
        <f t="shared" si="253"/>
        <v>4.6100300813700826E-2</v>
      </c>
      <c r="N267" s="3">
        <f t="shared" si="253"/>
        <v>4.6100298955240766E-2</v>
      </c>
      <c r="O267" s="3">
        <f t="shared" si="253"/>
        <v>4.6100280370644349E-2</v>
      </c>
      <c r="P267" s="3">
        <f t="shared" si="253"/>
        <v>4.6100094525092193E-2</v>
      </c>
      <c r="Q267" s="3">
        <f t="shared" si="253"/>
        <v>4.6098236110776417E-2</v>
      </c>
      <c r="R267" s="3">
        <f t="shared" si="253"/>
        <v>4.607965608758284E-2</v>
      </c>
      <c r="S267" s="3">
        <f t="shared" si="253"/>
        <v>4.5894267238191545E-2</v>
      </c>
      <c r="T267" s="3">
        <f t="shared" si="253"/>
        <v>4.4080909942765041E-2</v>
      </c>
      <c r="U267" s="3">
        <f t="shared" si="253"/>
        <v>2.945585667747283E-2</v>
      </c>
      <c r="V267" s="3">
        <f t="shared" si="253"/>
        <v>5.2285676254095847E-4</v>
      </c>
      <c r="W267" s="3">
        <f t="shared" si="253"/>
        <v>1.623653840034414E-21</v>
      </c>
      <c r="X267" s="3">
        <f t="shared" si="253"/>
        <v>1.3539436482493317E-196</v>
      </c>
      <c r="Y267" s="3">
        <f t="shared" si="253"/>
        <v>0</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6.1544571271861997E-2</v>
      </c>
      <c r="C268" s="3">
        <f t="shared" si="254"/>
        <v>6.1544571271861997E-2</v>
      </c>
      <c r="D268" s="3">
        <f t="shared" si="254"/>
        <v>6.1544571271861997E-2</v>
      </c>
      <c r="E268" s="3">
        <f t="shared" si="254"/>
        <v>6.1544571271861997E-2</v>
      </c>
      <c r="F268" s="3">
        <f t="shared" si="254"/>
        <v>6.1544571271861997E-2</v>
      </c>
      <c r="G268" s="3">
        <f t="shared" si="254"/>
        <v>6.154457127186197E-2</v>
      </c>
      <c r="H268" s="3">
        <f t="shared" si="254"/>
        <v>6.1544571271861755E-2</v>
      </c>
      <c r="I268" s="3">
        <f t="shared" si="254"/>
        <v>6.1544571271859513E-2</v>
      </c>
      <c r="J268" s="3">
        <f t="shared" si="254"/>
        <v>6.1544571271837129E-2</v>
      </c>
      <c r="K268" s="3">
        <f t="shared" si="254"/>
        <v>6.1544571271613314E-2</v>
      </c>
      <c r="L268" s="3">
        <f t="shared" si="254"/>
        <v>6.1544571269375188E-2</v>
      </c>
      <c r="M268" s="3">
        <f t="shared" si="254"/>
        <v>6.1544571246993862E-2</v>
      </c>
      <c r="N268" s="3">
        <f t="shared" si="254"/>
        <v>6.1544571023180589E-2</v>
      </c>
      <c r="O268" s="3">
        <f t="shared" si="254"/>
        <v>6.1544568785048E-2</v>
      </c>
      <c r="P268" s="3">
        <f t="shared" si="254"/>
        <v>6.1544546403726516E-2</v>
      </c>
      <c r="Q268" s="3">
        <f t="shared" si="254"/>
        <v>6.1544322590959363E-2</v>
      </c>
      <c r="R268" s="3">
        <f t="shared" si="254"/>
        <v>6.1542084508052805E-2</v>
      </c>
      <c r="S268" s="3">
        <f t="shared" si="254"/>
        <v>6.1519708154879733E-2</v>
      </c>
      <c r="T268" s="3">
        <f t="shared" si="254"/>
        <v>6.1296391610741768E-2</v>
      </c>
      <c r="U268" s="3">
        <f t="shared" si="254"/>
        <v>5.9107329292943094E-2</v>
      </c>
      <c r="V268" s="3">
        <f t="shared" si="254"/>
        <v>4.1087111450288386E-2</v>
      </c>
      <c r="W268" s="3">
        <f t="shared" si="254"/>
        <v>1.0823017108150042E-3</v>
      </c>
      <c r="X268" s="3">
        <f t="shared" si="254"/>
        <v>1.7409074883275228E-19</v>
      </c>
      <c r="Y268" s="3">
        <f t="shared" si="254"/>
        <v>2.0185949271235426E-177</v>
      </c>
      <c r="Z268" s="3">
        <f t="shared" si="254"/>
        <v>0</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2.0548359308290503E-2</v>
      </c>
      <c r="C269" s="3">
        <f t="shared" si="255"/>
        <v>2.0548359308290503E-2</v>
      </c>
      <c r="D269" s="3">
        <f t="shared" si="255"/>
        <v>2.0548359308290503E-2</v>
      </c>
      <c r="E269" s="3">
        <f t="shared" si="255"/>
        <v>2.0548359308290503E-2</v>
      </c>
      <c r="F269" s="3">
        <f t="shared" si="255"/>
        <v>2.0548359308290503E-2</v>
      </c>
      <c r="G269" s="3">
        <f t="shared" si="255"/>
        <v>2.0548359308290503E-2</v>
      </c>
      <c r="H269" s="3">
        <f t="shared" si="255"/>
        <v>2.0548359308290496E-2</v>
      </c>
      <c r="I269" s="3">
        <f t="shared" si="255"/>
        <v>2.0548359308290427E-2</v>
      </c>
      <c r="J269" s="3">
        <f t="shared" si="255"/>
        <v>2.0548359308289754E-2</v>
      </c>
      <c r="K269" s="3">
        <f t="shared" si="255"/>
        <v>2.0548359308283012E-2</v>
      </c>
      <c r="L269" s="3">
        <f t="shared" si="255"/>
        <v>2.0548359308215604E-2</v>
      </c>
      <c r="M269" s="3">
        <f t="shared" si="255"/>
        <v>2.0548359307541512E-2</v>
      </c>
      <c r="N269" s="3">
        <f t="shared" si="255"/>
        <v>2.0548359300800581E-2</v>
      </c>
      <c r="O269" s="3">
        <f t="shared" si="255"/>
        <v>2.0548359233391281E-2</v>
      </c>
      <c r="P269" s="3">
        <f t="shared" si="255"/>
        <v>2.0548358559298301E-2</v>
      </c>
      <c r="Q269" s="3">
        <f t="shared" si="255"/>
        <v>2.0548351818369715E-2</v>
      </c>
      <c r="R269" s="3">
        <f t="shared" si="255"/>
        <v>2.0548284409205468E-2</v>
      </c>
      <c r="S269" s="3">
        <f t="shared" si="255"/>
        <v>2.0547610329725415E-2</v>
      </c>
      <c r="T269" s="3">
        <f t="shared" si="255"/>
        <v>2.0540870751017314E-2</v>
      </c>
      <c r="U269" s="3">
        <f t="shared" si="255"/>
        <v>2.0473596425703171E-2</v>
      </c>
      <c r="V269" s="3">
        <f t="shared" si="255"/>
        <v>1.9812853204625978E-2</v>
      </c>
      <c r="W269" s="3">
        <f t="shared" si="255"/>
        <v>1.4271704913690427E-2</v>
      </c>
      <c r="X269" s="3">
        <f t="shared" si="255"/>
        <v>5.3674031222024419E-4</v>
      </c>
      <c r="Y269" s="3">
        <f t="shared" si="255"/>
        <v>3.0384198459329062E-18</v>
      </c>
      <c r="Z269" s="3">
        <f t="shared" si="255"/>
        <v>1.0267943730072738E-160</v>
      </c>
      <c r="AA269" s="3">
        <f t="shared" si="255"/>
        <v>0</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6.8598536150208847E-2</v>
      </c>
      <c r="C270" s="3">
        <f t="shared" si="256"/>
        <v>6.8598536150208847E-2</v>
      </c>
      <c r="D270" s="3">
        <f t="shared" si="256"/>
        <v>6.8598536150208847E-2</v>
      </c>
      <c r="E270" s="3">
        <f t="shared" si="256"/>
        <v>6.8598536150208847E-2</v>
      </c>
      <c r="F270" s="3">
        <f t="shared" si="256"/>
        <v>6.8598536150208847E-2</v>
      </c>
      <c r="G270" s="3">
        <f t="shared" si="256"/>
        <v>6.8598536150208847E-2</v>
      </c>
      <c r="H270" s="3">
        <f t="shared" si="256"/>
        <v>6.8598536150208833E-2</v>
      </c>
      <c r="I270" s="3">
        <f t="shared" si="256"/>
        <v>6.8598536150208778E-2</v>
      </c>
      <c r="J270" s="3">
        <f t="shared" si="256"/>
        <v>6.8598536150208153E-2</v>
      </c>
      <c r="K270" s="3">
        <f t="shared" si="256"/>
        <v>6.8598536150201936E-2</v>
      </c>
      <c r="L270" s="3">
        <f t="shared" si="256"/>
        <v>6.8598536150139694E-2</v>
      </c>
      <c r="M270" s="3">
        <f t="shared" si="256"/>
        <v>6.8598536149517289E-2</v>
      </c>
      <c r="N270" s="3">
        <f t="shared" si="256"/>
        <v>6.8598536143293282E-2</v>
      </c>
      <c r="O270" s="3">
        <f t="shared" si="256"/>
        <v>6.8598536081053166E-2</v>
      </c>
      <c r="P270" s="3">
        <f t="shared" si="256"/>
        <v>6.8598535458652035E-2</v>
      </c>
      <c r="Q270" s="3">
        <f t="shared" si="256"/>
        <v>6.859852923464109E-2</v>
      </c>
      <c r="R270" s="3">
        <f t="shared" si="256"/>
        <v>6.8598466994562637E-2</v>
      </c>
      <c r="S270" s="3">
        <f t="shared" si="256"/>
        <v>6.8597844596884075E-2</v>
      </c>
      <c r="T270" s="3">
        <f t="shared" si="256"/>
        <v>6.8591620930677555E-2</v>
      </c>
      <c r="U270" s="3">
        <f t="shared" si="256"/>
        <v>6.8529415316110107E-2</v>
      </c>
      <c r="V270" s="3">
        <f t="shared" si="256"/>
        <v>6.79104535226593E-2</v>
      </c>
      <c r="W270" s="3">
        <f t="shared" si="256"/>
        <v>6.2020130241283417E-2</v>
      </c>
      <c r="X270" s="3">
        <f t="shared" si="256"/>
        <v>2.5031859068873695E-2</v>
      </c>
      <c r="Y270" s="3">
        <f t="shared" si="256"/>
        <v>2.8714245968584882E-6</v>
      </c>
      <c r="Z270" s="3">
        <f t="shared" si="256"/>
        <v>1.1327668434282896E-45</v>
      </c>
      <c r="AA270" s="3">
        <f t="shared" si="256"/>
        <v>0</v>
      </c>
      <c r="AB270" s="3">
        <f t="shared" si="256"/>
        <v>0</v>
      </c>
      <c r="AC270" s="3">
        <f t="shared" si="256"/>
        <v>0</v>
      </c>
      <c r="AD270" s="3">
        <f t="shared" si="256"/>
        <v>0</v>
      </c>
      <c r="AE270" s="3">
        <f t="shared" si="256"/>
        <v>0</v>
      </c>
      <c r="AF270" s="3">
        <f t="shared" si="256"/>
        <v>0</v>
      </c>
      <c r="AG270" s="3"/>
      <c r="AH270" s="3"/>
    </row>
    <row r="271" spans="2:34" x14ac:dyDescent="0.25">
      <c r="B271" s="3">
        <f t="shared" ref="B271:AF271" si="257">$C40*EXP(-B$246/$A40/EXP(-$E$126))</f>
        <v>4.2430467850210242E-2</v>
      </c>
      <c r="C271" s="3">
        <f t="shared" si="257"/>
        <v>4.2430467850210242E-2</v>
      </c>
      <c r="D271" s="3">
        <f t="shared" si="257"/>
        <v>4.2430467850210242E-2</v>
      </c>
      <c r="E271" s="3">
        <f t="shared" si="257"/>
        <v>4.2430467850210242E-2</v>
      </c>
      <c r="F271" s="3">
        <f t="shared" si="257"/>
        <v>4.2430467850210242E-2</v>
      </c>
      <c r="G271" s="3">
        <f t="shared" si="257"/>
        <v>4.2430467850210242E-2</v>
      </c>
      <c r="H271" s="3">
        <f t="shared" si="257"/>
        <v>4.2430467850210242E-2</v>
      </c>
      <c r="I271" s="3">
        <f t="shared" si="257"/>
        <v>4.2430467850210235E-2</v>
      </c>
      <c r="J271" s="3">
        <f t="shared" si="257"/>
        <v>4.24304678502102E-2</v>
      </c>
      <c r="K271" s="3">
        <f t="shared" si="257"/>
        <v>4.2430467850209812E-2</v>
      </c>
      <c r="L271" s="3">
        <f t="shared" si="257"/>
        <v>4.2430467850205968E-2</v>
      </c>
      <c r="M271" s="3">
        <f t="shared" si="257"/>
        <v>4.2430467850167471E-2</v>
      </c>
      <c r="N271" s="3">
        <f t="shared" si="257"/>
        <v>4.2430467849782487E-2</v>
      </c>
      <c r="O271" s="3">
        <f t="shared" si="257"/>
        <v>4.2430467845932733E-2</v>
      </c>
      <c r="P271" s="3">
        <f t="shared" si="257"/>
        <v>4.243046780743516E-2</v>
      </c>
      <c r="Q271" s="3">
        <f t="shared" si="257"/>
        <v>4.2430467422459435E-2</v>
      </c>
      <c r="R271" s="3">
        <f t="shared" si="257"/>
        <v>4.2430463572702415E-2</v>
      </c>
      <c r="S271" s="3">
        <f t="shared" si="257"/>
        <v>4.2430425075151365E-2</v>
      </c>
      <c r="T271" s="3">
        <f t="shared" si="257"/>
        <v>4.2430040101561942E-2</v>
      </c>
      <c r="U271" s="3">
        <f t="shared" si="257"/>
        <v>4.2426190557771276E-2</v>
      </c>
      <c r="V271" s="3">
        <f t="shared" si="257"/>
        <v>4.2387714323770774E-2</v>
      </c>
      <c r="W271" s="3">
        <f t="shared" si="257"/>
        <v>4.2004865943157881E-2</v>
      </c>
      <c r="X271" s="3">
        <f t="shared" si="257"/>
        <v>3.836150579811777E-2</v>
      </c>
      <c r="Y271" s="3">
        <f t="shared" si="257"/>
        <v>1.5483034348242507E-2</v>
      </c>
      <c r="Z271" s="3">
        <f t="shared" si="257"/>
        <v>1.7760712673886419E-6</v>
      </c>
      <c r="AA271" s="3">
        <f t="shared" si="257"/>
        <v>7.006538306681032E-46</v>
      </c>
      <c r="AB271" s="3">
        <f t="shared" si="257"/>
        <v>0</v>
      </c>
      <c r="AC271" s="3">
        <f t="shared" si="257"/>
        <v>0</v>
      </c>
      <c r="AD271" s="3">
        <f t="shared" si="257"/>
        <v>0</v>
      </c>
      <c r="AE271" s="3">
        <f t="shared" si="257"/>
        <v>0</v>
      </c>
      <c r="AF271" s="3">
        <f t="shared" si="257"/>
        <v>0</v>
      </c>
      <c r="AG271" s="3"/>
      <c r="AH271" s="3"/>
    </row>
    <row r="272" spans="2:34" x14ac:dyDescent="0.25">
      <c r="B272" s="3">
        <f t="shared" ref="B272:AF272" si="258">$C41*EXP(-B$246/$A41/EXP(-$E$126))</f>
        <v>4.2564807754428377E-2</v>
      </c>
      <c r="C272" s="3">
        <f t="shared" si="258"/>
        <v>4.2564807754428377E-2</v>
      </c>
      <c r="D272" s="3">
        <f t="shared" si="258"/>
        <v>4.2564807754428377E-2</v>
      </c>
      <c r="E272" s="3">
        <f t="shared" si="258"/>
        <v>4.2564807754428377E-2</v>
      </c>
      <c r="F272" s="3">
        <f t="shared" si="258"/>
        <v>4.2564807754428377E-2</v>
      </c>
      <c r="G272" s="3">
        <f t="shared" si="258"/>
        <v>4.2564807754428377E-2</v>
      </c>
      <c r="H272" s="3">
        <f t="shared" si="258"/>
        <v>4.2564807754428377E-2</v>
      </c>
      <c r="I272" s="3">
        <f t="shared" si="258"/>
        <v>4.2564807754428377E-2</v>
      </c>
      <c r="J272" s="3">
        <f t="shared" si="258"/>
        <v>4.256480775442837E-2</v>
      </c>
      <c r="K272" s="3">
        <f t="shared" si="258"/>
        <v>4.2564807754428335E-2</v>
      </c>
      <c r="L272" s="3">
        <f t="shared" si="258"/>
        <v>4.2564807754427947E-2</v>
      </c>
      <c r="M272" s="3">
        <f t="shared" si="258"/>
        <v>4.2564807754424089E-2</v>
      </c>
      <c r="N272" s="3">
        <f t="shared" si="258"/>
        <v>4.2564807754385467E-2</v>
      </c>
      <c r="O272" s="3">
        <f t="shared" si="258"/>
        <v>4.2564807753999269E-2</v>
      </c>
      <c r="P272" s="3">
        <f t="shared" si="258"/>
        <v>4.256480775013733E-2</v>
      </c>
      <c r="Q272" s="3">
        <f t="shared" si="258"/>
        <v>4.2564807711517869E-2</v>
      </c>
      <c r="R272" s="3">
        <f t="shared" si="258"/>
        <v>4.2564807325323264E-2</v>
      </c>
      <c r="S272" s="3">
        <f t="shared" si="258"/>
        <v>4.2564803463377453E-2</v>
      </c>
      <c r="T272" s="3">
        <f t="shared" si="258"/>
        <v>4.2564764843938577E-2</v>
      </c>
      <c r="U272" s="3">
        <f t="shared" si="258"/>
        <v>4.2564378651477018E-2</v>
      </c>
      <c r="V272" s="3">
        <f t="shared" si="258"/>
        <v>4.2560516919573181E-2</v>
      </c>
      <c r="W272" s="3">
        <f t="shared" si="258"/>
        <v>4.2521918865242807E-2</v>
      </c>
      <c r="X272" s="3">
        <f t="shared" si="258"/>
        <v>4.2137858341154064E-2</v>
      </c>
      <c r="Y272" s="3">
        <f t="shared" si="258"/>
        <v>3.8482962884869104E-2</v>
      </c>
      <c r="Z272" s="3">
        <f t="shared" si="258"/>
        <v>1.5532055475199954E-2</v>
      </c>
      <c r="AA272" s="3">
        <f t="shared" si="258"/>
        <v>1.7816945201132613E-6</v>
      </c>
      <c r="AB272" s="3">
        <f t="shared" si="258"/>
        <v>7.028721839710719E-46</v>
      </c>
      <c r="AC272" s="3">
        <f t="shared" si="258"/>
        <v>0</v>
      </c>
      <c r="AD272" s="3">
        <f t="shared" si="258"/>
        <v>0</v>
      </c>
      <c r="AE272" s="3">
        <f t="shared" si="258"/>
        <v>0</v>
      </c>
      <c r="AF272" s="3">
        <f t="shared" si="258"/>
        <v>0</v>
      </c>
      <c r="AG272" s="3"/>
      <c r="AH272" s="3"/>
    </row>
    <row r="273" spans="1:34" x14ac:dyDescent="0.25">
      <c r="B273" s="3">
        <f t="shared" ref="B273:AF273" si="259">$C42*EXP(-B$246/$A42/EXP(-$E$126))</f>
        <v>1.7794430151868639E-2</v>
      </c>
      <c r="C273" s="3">
        <f t="shared" si="259"/>
        <v>1.7794430151868639E-2</v>
      </c>
      <c r="D273" s="3">
        <f t="shared" si="259"/>
        <v>1.7794430151868639E-2</v>
      </c>
      <c r="E273" s="3">
        <f t="shared" si="259"/>
        <v>1.7794430151868639E-2</v>
      </c>
      <c r="F273" s="3">
        <f t="shared" si="259"/>
        <v>1.7794430151868639E-2</v>
      </c>
      <c r="G273" s="3">
        <f t="shared" si="259"/>
        <v>1.7794430151868639E-2</v>
      </c>
      <c r="H273" s="3">
        <f t="shared" si="259"/>
        <v>1.7794430151868639E-2</v>
      </c>
      <c r="I273" s="3">
        <f t="shared" si="259"/>
        <v>1.7794430151868639E-2</v>
      </c>
      <c r="J273" s="3">
        <f t="shared" si="259"/>
        <v>1.7794430151868639E-2</v>
      </c>
      <c r="K273" s="3">
        <f t="shared" si="259"/>
        <v>1.7794430151868636E-2</v>
      </c>
      <c r="L273" s="3">
        <f t="shared" si="259"/>
        <v>1.7794430151868622E-2</v>
      </c>
      <c r="M273" s="3">
        <f t="shared" si="259"/>
        <v>1.7794430151868459E-2</v>
      </c>
      <c r="N273" s="3">
        <f t="shared" si="259"/>
        <v>1.7794430151866845E-2</v>
      </c>
      <c r="O273" s="3">
        <f t="shared" si="259"/>
        <v>1.7794430151850702E-2</v>
      </c>
      <c r="P273" s="3">
        <f t="shared" si="259"/>
        <v>1.7794430151689248E-2</v>
      </c>
      <c r="Q273" s="3">
        <f t="shared" si="259"/>
        <v>1.7794430150074744E-2</v>
      </c>
      <c r="R273" s="3">
        <f t="shared" si="259"/>
        <v>1.7794430133929687E-2</v>
      </c>
      <c r="S273" s="3">
        <f t="shared" si="259"/>
        <v>1.7794429972479105E-2</v>
      </c>
      <c r="T273" s="3">
        <f t="shared" si="259"/>
        <v>1.7794428357973398E-2</v>
      </c>
      <c r="U273" s="3">
        <f t="shared" si="259"/>
        <v>1.7794412212924385E-2</v>
      </c>
      <c r="V273" s="3">
        <f t="shared" si="259"/>
        <v>1.7794250763239892E-2</v>
      </c>
      <c r="W273" s="3">
        <f t="shared" si="259"/>
        <v>1.7792636346959087E-2</v>
      </c>
      <c r="X273" s="3">
        <f t="shared" si="259"/>
        <v>1.7776500237858289E-2</v>
      </c>
      <c r="Y273" s="3">
        <f t="shared" si="259"/>
        <v>1.761594182045827E-2</v>
      </c>
      <c r="Z273" s="3">
        <f t="shared" si="259"/>
        <v>1.6087994548043338E-2</v>
      </c>
      <c r="AA273" s="3">
        <f t="shared" si="259"/>
        <v>6.4932532495613083E-3</v>
      </c>
      <c r="AB273" s="3">
        <f t="shared" si="259"/>
        <v>7.4484627942021146E-7</v>
      </c>
      <c r="AC273" s="3">
        <f t="shared" si="259"/>
        <v>2.9383922172333484E-46</v>
      </c>
      <c r="AD273" s="3">
        <f t="shared" si="259"/>
        <v>0</v>
      </c>
      <c r="AE273" s="3">
        <f t="shared" si="259"/>
        <v>0</v>
      </c>
      <c r="AF273" s="3">
        <f t="shared" si="259"/>
        <v>0</v>
      </c>
      <c r="AG273" s="3"/>
      <c r="AH273" s="3"/>
    </row>
    <row r="274" spans="1:34" x14ac:dyDescent="0.25">
      <c r="B274" s="3">
        <f t="shared" ref="B274:AF274" si="260">$C43*EXP(-B$246/$A43/EXP(-$E$126))</f>
        <v>1.1846247724533283E-2</v>
      </c>
      <c r="C274" s="3">
        <f t="shared" si="260"/>
        <v>1.1846247724533283E-2</v>
      </c>
      <c r="D274" s="3">
        <f t="shared" si="260"/>
        <v>1.1846247724533283E-2</v>
      </c>
      <c r="E274" s="3">
        <f t="shared" si="260"/>
        <v>1.1846247724533283E-2</v>
      </c>
      <c r="F274" s="3">
        <f t="shared" si="260"/>
        <v>1.1846247724533283E-2</v>
      </c>
      <c r="G274" s="3">
        <f t="shared" si="260"/>
        <v>1.1846247724533283E-2</v>
      </c>
      <c r="H274" s="3">
        <f t="shared" si="260"/>
        <v>1.1846247724533283E-2</v>
      </c>
      <c r="I274" s="3">
        <f t="shared" si="260"/>
        <v>1.1846247724533283E-2</v>
      </c>
      <c r="J274" s="3">
        <f t="shared" si="260"/>
        <v>1.1846247724533283E-2</v>
      </c>
      <c r="K274" s="3">
        <f t="shared" si="260"/>
        <v>1.1846247724533283E-2</v>
      </c>
      <c r="L274" s="3">
        <f t="shared" si="260"/>
        <v>1.1846247724533281E-2</v>
      </c>
      <c r="M274" s="3">
        <f t="shared" si="260"/>
        <v>1.1846247724533271E-2</v>
      </c>
      <c r="N274" s="3">
        <f t="shared" si="260"/>
        <v>1.1846247724533163E-2</v>
      </c>
      <c r="O274" s="3">
        <f t="shared" si="260"/>
        <v>1.184624772453209E-2</v>
      </c>
      <c r="P274" s="3">
        <f t="shared" si="260"/>
        <v>1.1846247724521341E-2</v>
      </c>
      <c r="Q274" s="3">
        <f t="shared" si="260"/>
        <v>1.1846247724413858E-2</v>
      </c>
      <c r="R274" s="3">
        <f t="shared" si="260"/>
        <v>1.1846247723339037E-2</v>
      </c>
      <c r="S274" s="3">
        <f t="shared" si="260"/>
        <v>1.1846247712590822E-2</v>
      </c>
      <c r="T274" s="3">
        <f t="shared" si="260"/>
        <v>1.1846247605108676E-2</v>
      </c>
      <c r="U274" s="3">
        <f t="shared" si="260"/>
        <v>1.1846246530287263E-2</v>
      </c>
      <c r="V274" s="3">
        <f t="shared" si="260"/>
        <v>1.1846235782078496E-2</v>
      </c>
      <c r="W274" s="3">
        <f t="shared" si="260"/>
        <v>1.1846128300527177E-2</v>
      </c>
      <c r="X274" s="3">
        <f t="shared" si="260"/>
        <v>1.1845053538647773E-2</v>
      </c>
      <c r="Y274" s="3">
        <f t="shared" si="260"/>
        <v>1.1834311281430953E-2</v>
      </c>
      <c r="Z274" s="3">
        <f t="shared" si="260"/>
        <v>1.1727423071437898E-2</v>
      </c>
      <c r="AA274" s="3">
        <f t="shared" si="260"/>
        <v>1.071022601906972E-2</v>
      </c>
      <c r="AB274" s="3">
        <f t="shared" si="260"/>
        <v>4.3227395244436282E-3</v>
      </c>
      <c r="AC274" s="3">
        <f t="shared" si="260"/>
        <v>4.9586491207655619E-7</v>
      </c>
      <c r="AD274" s="3">
        <f t="shared" si="260"/>
        <v>1.9561695328316815E-46</v>
      </c>
      <c r="AE274" s="3">
        <f t="shared" si="260"/>
        <v>0</v>
      </c>
      <c r="AF274" s="3">
        <f t="shared" si="260"/>
        <v>0</v>
      </c>
      <c r="AG274" s="3"/>
      <c r="AH274" s="3"/>
    </row>
    <row r="275" spans="1:34" x14ac:dyDescent="0.25">
      <c r="B275" s="3">
        <f t="shared" ref="B275:AF275" si="261">$C44*EXP(-B$246/$A44/EXP(-$E$126))</f>
        <v>4.239833197731321E-3</v>
      </c>
      <c r="C275" s="3">
        <f t="shared" si="261"/>
        <v>4.239833197731321E-3</v>
      </c>
      <c r="D275" s="3">
        <f t="shared" si="261"/>
        <v>4.239833197731321E-3</v>
      </c>
      <c r="E275" s="3">
        <f t="shared" si="261"/>
        <v>4.239833197731321E-3</v>
      </c>
      <c r="F275" s="3">
        <f t="shared" si="261"/>
        <v>4.239833197731321E-3</v>
      </c>
      <c r="G275" s="3">
        <f t="shared" si="261"/>
        <v>4.239833197731321E-3</v>
      </c>
      <c r="H275" s="3">
        <f t="shared" si="261"/>
        <v>4.239833197731321E-3</v>
      </c>
      <c r="I275" s="3">
        <f t="shared" si="261"/>
        <v>4.239833197731321E-3</v>
      </c>
      <c r="J275" s="3">
        <f t="shared" si="261"/>
        <v>4.239833197731321E-3</v>
      </c>
      <c r="K275" s="3">
        <f t="shared" si="261"/>
        <v>4.239833197731321E-3</v>
      </c>
      <c r="L275" s="3">
        <f t="shared" si="261"/>
        <v>4.239833197731321E-3</v>
      </c>
      <c r="M275" s="3">
        <f t="shared" si="261"/>
        <v>4.2398331977313202E-3</v>
      </c>
      <c r="N275" s="3">
        <f t="shared" si="261"/>
        <v>4.2398331977313167E-3</v>
      </c>
      <c r="O275" s="3">
        <f t="shared" si="261"/>
        <v>4.2398331977312785E-3</v>
      </c>
      <c r="P275" s="3">
        <f t="shared" si="261"/>
        <v>4.2398331977308934E-3</v>
      </c>
      <c r="Q275" s="3">
        <f t="shared" si="261"/>
        <v>4.2398331977270467E-3</v>
      </c>
      <c r="R275" s="3">
        <f t="shared" si="261"/>
        <v>4.2398331976885783E-3</v>
      </c>
      <c r="S275" s="3">
        <f t="shared" si="261"/>
        <v>4.2398331973038947E-3</v>
      </c>
      <c r="T275" s="3">
        <f t="shared" si="261"/>
        <v>4.2398331934570526E-3</v>
      </c>
      <c r="U275" s="3">
        <f t="shared" si="261"/>
        <v>4.2398331549886375E-3</v>
      </c>
      <c r="V275" s="3">
        <f t="shared" si="261"/>
        <v>4.2398327703045066E-3</v>
      </c>
      <c r="W275" s="3">
        <f t="shared" si="261"/>
        <v>4.2398289234651188E-3</v>
      </c>
      <c r="X275" s="3">
        <f t="shared" si="261"/>
        <v>4.2397904552632024E-3</v>
      </c>
      <c r="Y275" s="3">
        <f t="shared" si="261"/>
        <v>4.2394057924398411E-3</v>
      </c>
      <c r="Z275" s="3">
        <f t="shared" si="261"/>
        <v>4.2355610831423885E-3</v>
      </c>
      <c r="AA275" s="3">
        <f t="shared" si="261"/>
        <v>4.1973052411481268E-3</v>
      </c>
      <c r="AB275" s="3">
        <f t="shared" si="261"/>
        <v>3.8332451664686599E-3</v>
      </c>
      <c r="AC275" s="3">
        <f t="shared" si="261"/>
        <v>1.5471307849594601E-3</v>
      </c>
      <c r="AD275" s="3">
        <f t="shared" si="261"/>
        <v>1.7747261113393058E-7</v>
      </c>
      <c r="AE275" s="3">
        <f t="shared" si="261"/>
        <v>7.0012317136623886E-47</v>
      </c>
      <c r="AF275" s="3">
        <f t="shared" si="261"/>
        <v>0</v>
      </c>
      <c r="AG275" s="3"/>
      <c r="AH275" s="3"/>
    </row>
    <row r="276" spans="1:34" x14ac:dyDescent="0.25">
      <c r="B276" s="3">
        <f t="shared" ref="B276:AF276" si="262">$C45*EXP(-B$246/$A45/EXP(-$E$126))</f>
        <v>3.1413173103933909E-3</v>
      </c>
      <c r="C276" s="3">
        <f t="shared" si="262"/>
        <v>3.1413173103933909E-3</v>
      </c>
      <c r="D276" s="3">
        <f t="shared" si="262"/>
        <v>3.1413173103933909E-3</v>
      </c>
      <c r="E276" s="3">
        <f t="shared" si="262"/>
        <v>3.1413173103933909E-3</v>
      </c>
      <c r="F276" s="3">
        <f t="shared" si="262"/>
        <v>3.1413173103933909E-3</v>
      </c>
      <c r="G276" s="3">
        <f t="shared" si="262"/>
        <v>3.1413173103933909E-3</v>
      </c>
      <c r="H276" s="3">
        <f t="shared" si="262"/>
        <v>3.1413173103933909E-3</v>
      </c>
      <c r="I276" s="3">
        <f t="shared" si="262"/>
        <v>3.1413173103933909E-3</v>
      </c>
      <c r="J276" s="3">
        <f t="shared" si="262"/>
        <v>3.1413173103933909E-3</v>
      </c>
      <c r="K276" s="3">
        <f t="shared" si="262"/>
        <v>3.1413173103933909E-3</v>
      </c>
      <c r="L276" s="3">
        <f t="shared" si="262"/>
        <v>3.1413173103933909E-3</v>
      </c>
      <c r="M276" s="3">
        <f t="shared" si="262"/>
        <v>3.1413173103933909E-3</v>
      </c>
      <c r="N276" s="3">
        <f t="shared" si="262"/>
        <v>3.1413173103933905E-3</v>
      </c>
      <c r="O276" s="3">
        <f t="shared" si="262"/>
        <v>3.1413173103933879E-3</v>
      </c>
      <c r="P276" s="3">
        <f t="shared" si="262"/>
        <v>3.1413173103933593E-3</v>
      </c>
      <c r="Q276" s="3">
        <f t="shared" si="262"/>
        <v>3.1413173103930743E-3</v>
      </c>
      <c r="R276" s="3">
        <f t="shared" si="262"/>
        <v>3.1413173103902242E-3</v>
      </c>
      <c r="S276" s="3">
        <f t="shared" si="262"/>
        <v>3.1413173103617222E-3</v>
      </c>
      <c r="T276" s="3">
        <f t="shared" si="262"/>
        <v>3.141317310076708E-3</v>
      </c>
      <c r="U276" s="3">
        <f t="shared" si="262"/>
        <v>3.1413173072265604E-3</v>
      </c>
      <c r="V276" s="3">
        <f t="shared" si="262"/>
        <v>3.1413172787250858E-3</v>
      </c>
      <c r="W276" s="3">
        <f t="shared" si="262"/>
        <v>3.1413169937103548E-3</v>
      </c>
      <c r="X276" s="3">
        <f t="shared" si="262"/>
        <v>3.1413141435644655E-3</v>
      </c>
      <c r="Y276" s="3">
        <f t="shared" si="262"/>
        <v>3.1412856422477994E-3</v>
      </c>
      <c r="Z276" s="3">
        <f t="shared" si="262"/>
        <v>3.1410006433034219E-3</v>
      </c>
      <c r="AA276" s="3">
        <f t="shared" si="262"/>
        <v>3.138152075610716E-3</v>
      </c>
      <c r="AB276" s="3">
        <f t="shared" si="262"/>
        <v>3.1098080976578683E-3</v>
      </c>
      <c r="AC276" s="3">
        <f t="shared" si="262"/>
        <v>2.8400738507479519E-3</v>
      </c>
      <c r="AD276" s="3">
        <f t="shared" si="262"/>
        <v>1.1462782825598433E-3</v>
      </c>
      <c r="AE276" s="3">
        <f t="shared" si="262"/>
        <v>1.3149049962013617E-7</v>
      </c>
      <c r="AF276" s="3">
        <f t="shared" si="262"/>
        <v>5.1872536844069847E-47</v>
      </c>
      <c r="AG276" s="3"/>
      <c r="AH276" s="3"/>
    </row>
    <row r="277" spans="1:34" x14ac:dyDescent="0.25">
      <c r="B277" s="3">
        <f t="shared" ref="B277:AF277" si="263">$C46*EXP(-B$246/$A46/EXP(-$E$126))</f>
        <v>2.257189619316161E-3</v>
      </c>
      <c r="C277" s="3">
        <f t="shared" si="263"/>
        <v>2.257189619316161E-3</v>
      </c>
      <c r="D277" s="3">
        <f t="shared" si="263"/>
        <v>2.257189619316161E-3</v>
      </c>
      <c r="E277" s="3">
        <f t="shared" si="263"/>
        <v>2.257189619316161E-3</v>
      </c>
      <c r="F277" s="3">
        <f t="shared" si="263"/>
        <v>2.257189619316161E-3</v>
      </c>
      <c r="G277" s="3">
        <f t="shared" si="263"/>
        <v>2.257189619316161E-3</v>
      </c>
      <c r="H277" s="3">
        <f t="shared" si="263"/>
        <v>2.257189619316161E-3</v>
      </c>
      <c r="I277" s="3">
        <f t="shared" si="263"/>
        <v>2.257189619316161E-3</v>
      </c>
      <c r="J277" s="3">
        <f t="shared" si="263"/>
        <v>2.257189619316161E-3</v>
      </c>
      <c r="K277" s="3">
        <f t="shared" si="263"/>
        <v>2.257189619316161E-3</v>
      </c>
      <c r="L277" s="3">
        <f t="shared" si="263"/>
        <v>2.257189619316161E-3</v>
      </c>
      <c r="M277" s="3">
        <f t="shared" si="263"/>
        <v>2.257189619316161E-3</v>
      </c>
      <c r="N277" s="3">
        <f t="shared" si="263"/>
        <v>2.257189619316161E-3</v>
      </c>
      <c r="O277" s="3">
        <f t="shared" si="263"/>
        <v>2.2571896193161606E-3</v>
      </c>
      <c r="P277" s="3">
        <f t="shared" si="263"/>
        <v>2.2571896193161588E-3</v>
      </c>
      <c r="Q277" s="3">
        <f t="shared" si="263"/>
        <v>2.257189619316138E-3</v>
      </c>
      <c r="R277" s="3">
        <f t="shared" si="263"/>
        <v>2.2571896193159333E-3</v>
      </c>
      <c r="S277" s="3">
        <f t="shared" si="263"/>
        <v>2.2571896193138855E-3</v>
      </c>
      <c r="T277" s="3">
        <f t="shared" si="263"/>
        <v>2.2571896192934058E-3</v>
      </c>
      <c r="U277" s="3">
        <f t="shared" si="263"/>
        <v>2.2571896190886091E-3</v>
      </c>
      <c r="V277" s="3">
        <f t="shared" si="263"/>
        <v>2.2571896170406388E-3</v>
      </c>
      <c r="W277" s="3">
        <f t="shared" si="263"/>
        <v>2.2571895965609401E-3</v>
      </c>
      <c r="X277" s="3">
        <f t="shared" si="263"/>
        <v>2.2571893917639621E-3</v>
      </c>
      <c r="Y277" s="3">
        <f t="shared" si="263"/>
        <v>2.2571873437952027E-3</v>
      </c>
      <c r="Z277" s="3">
        <f t="shared" si="263"/>
        <v>2.2571668642098063E-3</v>
      </c>
      <c r="AA277" s="3">
        <f t="shared" si="263"/>
        <v>2.2569620785752456E-3</v>
      </c>
      <c r="AB277" s="3">
        <f t="shared" si="263"/>
        <v>2.2549152438270902E-3</v>
      </c>
      <c r="AC277" s="3">
        <f t="shared" si="263"/>
        <v>2.2345487139659977E-3</v>
      </c>
      <c r="AD277" s="3">
        <f t="shared" si="263"/>
        <v>2.0407315086538483E-3</v>
      </c>
      <c r="AE277" s="3">
        <f t="shared" si="263"/>
        <v>8.2365682437780102E-4</v>
      </c>
      <c r="AF277" s="3">
        <f t="shared" si="263"/>
        <v>9.4482333828319464E-8</v>
      </c>
      <c r="AG277" s="3"/>
      <c r="AH277" s="3"/>
    </row>
    <row r="278" spans="1:34" x14ac:dyDescent="0.25">
      <c r="B278" s="3">
        <f t="shared" ref="B278:AF278" si="264">$C47*EXP(-B$246/$A47/EXP(-$E$126))</f>
        <v>3.6224207496198294E-4</v>
      </c>
      <c r="C278" s="3">
        <f t="shared" si="264"/>
        <v>3.6224207496198294E-4</v>
      </c>
      <c r="D278" s="3">
        <f t="shared" si="264"/>
        <v>3.6224207496198294E-4</v>
      </c>
      <c r="E278" s="3">
        <f t="shared" si="264"/>
        <v>3.6224207496198294E-4</v>
      </c>
      <c r="F278" s="3">
        <f t="shared" si="264"/>
        <v>3.6224207496198294E-4</v>
      </c>
      <c r="G278" s="3">
        <f t="shared" si="264"/>
        <v>3.6224207496198294E-4</v>
      </c>
      <c r="H278" s="3">
        <f t="shared" si="264"/>
        <v>3.6224207496198294E-4</v>
      </c>
      <c r="I278" s="3">
        <f t="shared" si="264"/>
        <v>3.6224207496198294E-4</v>
      </c>
      <c r="J278" s="3">
        <f t="shared" si="264"/>
        <v>3.6224207496198294E-4</v>
      </c>
      <c r="K278" s="3">
        <f t="shared" si="264"/>
        <v>3.6224207496198294E-4</v>
      </c>
      <c r="L278" s="3">
        <f t="shared" si="264"/>
        <v>3.6224207496198294E-4</v>
      </c>
      <c r="M278" s="3">
        <f t="shared" si="264"/>
        <v>3.6224207496198294E-4</v>
      </c>
      <c r="N278" s="3">
        <f t="shared" si="264"/>
        <v>3.6224207496198294E-4</v>
      </c>
      <c r="O278" s="3">
        <f t="shared" si="264"/>
        <v>3.6224207496198294E-4</v>
      </c>
      <c r="P278" s="3">
        <f t="shared" si="264"/>
        <v>3.6224207496198289E-4</v>
      </c>
      <c r="Q278" s="3">
        <f t="shared" si="264"/>
        <v>3.6224207496198256E-4</v>
      </c>
      <c r="R278" s="3">
        <f t="shared" si="264"/>
        <v>3.6224207496197926E-4</v>
      </c>
      <c r="S278" s="3">
        <f t="shared" si="264"/>
        <v>3.6224207496194641E-4</v>
      </c>
      <c r="T278" s="3">
        <f t="shared" si="264"/>
        <v>3.6224207496161778E-4</v>
      </c>
      <c r="U278" s="3">
        <f t="shared" si="264"/>
        <v>3.6224207495833108E-4</v>
      </c>
      <c r="V278" s="3">
        <f t="shared" si="264"/>
        <v>3.6224207492546452E-4</v>
      </c>
      <c r="W278" s="3">
        <f t="shared" si="264"/>
        <v>3.6224207459679882E-4</v>
      </c>
      <c r="X278" s="3">
        <f t="shared" si="264"/>
        <v>3.6224207131014153E-4</v>
      </c>
      <c r="Y278" s="3">
        <f t="shared" si="264"/>
        <v>3.6224203844357084E-4</v>
      </c>
      <c r="Z278" s="3">
        <f t="shared" si="264"/>
        <v>3.6224170977802738E-4</v>
      </c>
      <c r="AA278" s="3">
        <f t="shared" si="264"/>
        <v>3.6223842313899408E-4</v>
      </c>
      <c r="AB278" s="3">
        <f t="shared" si="264"/>
        <v>3.6220555838870874E-4</v>
      </c>
      <c r="AC278" s="3">
        <f t="shared" si="264"/>
        <v>3.6187707483556323E-4</v>
      </c>
      <c r="AD278" s="3">
        <f t="shared" si="264"/>
        <v>3.5860857936955429E-4</v>
      </c>
      <c r="AE278" s="3">
        <f t="shared" si="264"/>
        <v>3.2750408286877906E-4</v>
      </c>
      <c r="AF278" s="3">
        <f t="shared" si="264"/>
        <v>1.3218347035000297E-4</v>
      </c>
      <c r="AG278" s="3"/>
      <c r="AH278" s="3"/>
    </row>
    <row r="279" spans="1:34" x14ac:dyDescent="0.25">
      <c r="B279" s="3">
        <f t="shared" ref="B279:AF279" si="265">$C48*EXP(-B$246/$A48/EXP(-$E$126))</f>
        <v>0</v>
      </c>
      <c r="C279" s="3">
        <f t="shared" si="265"/>
        <v>0</v>
      </c>
      <c r="D279" s="3">
        <f t="shared" si="265"/>
        <v>0</v>
      </c>
      <c r="E279" s="3">
        <f t="shared" si="265"/>
        <v>0</v>
      </c>
      <c r="F279" s="3">
        <f t="shared" si="265"/>
        <v>0</v>
      </c>
      <c r="G279" s="3">
        <f t="shared" si="265"/>
        <v>0</v>
      </c>
      <c r="H279" s="3">
        <f t="shared" si="265"/>
        <v>0</v>
      </c>
      <c r="I279" s="3">
        <f t="shared" si="265"/>
        <v>0</v>
      </c>
      <c r="J279" s="3">
        <f t="shared" si="265"/>
        <v>0</v>
      </c>
      <c r="K279" s="3">
        <f t="shared" si="265"/>
        <v>0</v>
      </c>
      <c r="L279" s="3">
        <f t="shared" si="265"/>
        <v>0</v>
      </c>
      <c r="M279" s="3">
        <f t="shared" si="265"/>
        <v>0</v>
      </c>
      <c r="N279" s="3">
        <f t="shared" si="265"/>
        <v>0</v>
      </c>
      <c r="O279" s="3">
        <f t="shared" si="265"/>
        <v>0</v>
      </c>
      <c r="P279" s="3">
        <f t="shared" si="265"/>
        <v>0</v>
      </c>
      <c r="Q279" s="3">
        <f t="shared" si="265"/>
        <v>0</v>
      </c>
      <c r="R279" s="3">
        <f t="shared" si="265"/>
        <v>0</v>
      </c>
      <c r="S279" s="3">
        <f t="shared" si="265"/>
        <v>0</v>
      </c>
      <c r="T279" s="3">
        <f t="shared" si="265"/>
        <v>0</v>
      </c>
      <c r="U279" s="3">
        <f t="shared" si="265"/>
        <v>0</v>
      </c>
      <c r="V279" s="3">
        <f t="shared" si="265"/>
        <v>0</v>
      </c>
      <c r="W279" s="3">
        <f t="shared" si="265"/>
        <v>0</v>
      </c>
      <c r="X279" s="3">
        <f t="shared" si="265"/>
        <v>0</v>
      </c>
      <c r="Y279" s="3">
        <f t="shared" si="265"/>
        <v>0</v>
      </c>
      <c r="Z279" s="3">
        <f t="shared" si="265"/>
        <v>0</v>
      </c>
      <c r="AA279" s="3">
        <f t="shared" si="265"/>
        <v>0</v>
      </c>
      <c r="AB279" s="3">
        <f t="shared" si="265"/>
        <v>0</v>
      </c>
      <c r="AC279" s="3">
        <f t="shared" si="265"/>
        <v>0</v>
      </c>
      <c r="AD279" s="3">
        <f t="shared" si="265"/>
        <v>0</v>
      </c>
      <c r="AE279" s="3">
        <f t="shared" si="265"/>
        <v>0</v>
      </c>
      <c r="AF279" s="3">
        <f t="shared" si="265"/>
        <v>0</v>
      </c>
      <c r="AG279" s="3"/>
      <c r="AH279" s="3"/>
    </row>
    <row r="280" spans="1:34" x14ac:dyDescent="0.25">
      <c r="A280" s="80">
        <f>AVERAGE(B280:AF280)</f>
        <v>8.9298503954827915E-4</v>
      </c>
      <c r="B280" s="81">
        <f>IF($D$61&lt;=B246,IF($E$61&gt;=B246,ABS((B248-B247)/B247),0),0)</f>
        <v>7.5592619798560533E-3</v>
      </c>
      <c r="C280" s="81">
        <f t="shared" ref="C280:AF280" si="266">IF($D$61&lt;=C246,IF($E$61&gt;=C246,ABS((C248-C247)/C247),0),0)</f>
        <v>9.9571228657807289E-3</v>
      </c>
      <c r="D280" s="81">
        <f t="shared" si="266"/>
        <v>2.8374233176140444E-3</v>
      </c>
      <c r="E280" s="81">
        <f t="shared" si="266"/>
        <v>3.6895216440867236E-4</v>
      </c>
      <c r="F280" s="81">
        <f t="shared" si="266"/>
        <v>1.8685986799363676E-4</v>
      </c>
      <c r="G280" s="81">
        <f t="shared" si="266"/>
        <v>1.2583108089624472E-4</v>
      </c>
      <c r="H280" s="81">
        <f t="shared" si="266"/>
        <v>1.3632162362924805E-4</v>
      </c>
      <c r="I280" s="81">
        <f t="shared" si="266"/>
        <v>1.4954381273696069E-4</v>
      </c>
      <c r="J280" s="81">
        <f t="shared" si="266"/>
        <v>1.5698522575144911E-4</v>
      </c>
      <c r="K280" s="81">
        <f t="shared" si="266"/>
        <v>2.6881369009068226E-4</v>
      </c>
      <c r="L280" s="81">
        <f t="shared" si="266"/>
        <v>1.2696102200302156E-4</v>
      </c>
      <c r="M280" s="81">
        <f t="shared" si="266"/>
        <v>3.1726628174328329E-4</v>
      </c>
      <c r="N280" s="81">
        <f t="shared" si="266"/>
        <v>4.5713400375424891E-6</v>
      </c>
      <c r="O280" s="81">
        <f t="shared" si="266"/>
        <v>3.8466026967717175E-4</v>
      </c>
      <c r="P280" s="81">
        <f t="shared" si="266"/>
        <v>6.608606357687201E-6</v>
      </c>
      <c r="Q280" s="81">
        <f t="shared" si="266"/>
        <v>3.3968352363734694E-4</v>
      </c>
      <c r="R280" s="81">
        <f t="shared" si="266"/>
        <v>1.3634800081470467E-4</v>
      </c>
      <c r="S280" s="81">
        <f t="shared" si="266"/>
        <v>3.6744479293635652E-4</v>
      </c>
      <c r="T280" s="81">
        <f t="shared" si="266"/>
        <v>3.1995422894943602E-4</v>
      </c>
      <c r="U280" s="81">
        <f t="shared" si="266"/>
        <v>4.1969809482922632E-4</v>
      </c>
      <c r="V280" s="81">
        <f t="shared" si="266"/>
        <v>5.2460226981097715E-4</v>
      </c>
      <c r="W280" s="81">
        <f t="shared" si="266"/>
        <v>5.4922312177909814E-4</v>
      </c>
      <c r="X280" s="81">
        <f t="shared" si="266"/>
        <v>1.2419438929695578E-3</v>
      </c>
      <c r="Y280" s="81">
        <f t="shared" si="266"/>
        <v>1.1964551516935168E-3</v>
      </c>
      <c r="Z280" s="81">
        <f t="shared" si="266"/>
        <v>0</v>
      </c>
      <c r="AA280" s="81">
        <f t="shared" si="266"/>
        <v>0</v>
      </c>
      <c r="AB280" s="81">
        <f t="shared" si="266"/>
        <v>0</v>
      </c>
      <c r="AC280" s="81">
        <f t="shared" si="266"/>
        <v>0</v>
      </c>
      <c r="AD280" s="81">
        <f t="shared" si="266"/>
        <v>0</v>
      </c>
      <c r="AE280" s="81">
        <f t="shared" si="266"/>
        <v>0</v>
      </c>
      <c r="AF280" s="81">
        <f t="shared" si="266"/>
        <v>0</v>
      </c>
    </row>
    <row r="281" spans="1:34" x14ac:dyDescent="0.25">
      <c r="B281" s="21">
        <f>(B248-B247)^2</f>
        <v>5180.2662399529509</v>
      </c>
      <c r="C281" s="21">
        <f t="shared" ref="C281:AF281" si="267">(C248-C247)^2</f>
        <v>8510.4895903202523</v>
      </c>
      <c r="D281" s="21">
        <f t="shared" si="267"/>
        <v>657.9848360400573</v>
      </c>
      <c r="E281" s="21">
        <f t="shared" si="267"/>
        <v>10.531241236703137</v>
      </c>
      <c r="F281" s="21">
        <f t="shared" si="267"/>
        <v>2.5421673597597882</v>
      </c>
      <c r="G281" s="21">
        <f t="shared" si="267"/>
        <v>1.0761599754526505</v>
      </c>
      <c r="H281" s="21">
        <f t="shared" si="267"/>
        <v>1.1769764752868765</v>
      </c>
      <c r="I281" s="21">
        <f t="shared" si="267"/>
        <v>1.32157918146664</v>
      </c>
      <c r="J281" s="21">
        <f t="shared" si="267"/>
        <v>1.3401936498355262</v>
      </c>
      <c r="K281" s="21">
        <f t="shared" si="267"/>
        <v>3.547008896425456</v>
      </c>
      <c r="L281" s="21">
        <f t="shared" si="267"/>
        <v>0.7083060483257535</v>
      </c>
      <c r="M281" s="21">
        <f t="shared" si="267"/>
        <v>4.0095478657763923</v>
      </c>
      <c r="N281" s="21">
        <f t="shared" si="267"/>
        <v>7.5939440990439183E-4</v>
      </c>
      <c r="O281" s="21">
        <f t="shared" si="267"/>
        <v>4.8898471064519873</v>
      </c>
      <c r="P281" s="21">
        <f t="shared" si="267"/>
        <v>1.3047411509901077E-3</v>
      </c>
      <c r="Q281" s="21">
        <f t="shared" si="267"/>
        <v>3.1112022810631812</v>
      </c>
      <c r="R281" s="21">
        <f t="shared" si="267"/>
        <v>0.4432556891388309</v>
      </c>
      <c r="S281" s="21">
        <f t="shared" si="267"/>
        <v>2.7359389046325795</v>
      </c>
      <c r="T281" s="21">
        <f t="shared" si="267"/>
        <v>1.6929372054450347</v>
      </c>
      <c r="U281" s="21">
        <f t="shared" si="267"/>
        <v>2.2797758998680533</v>
      </c>
      <c r="V281" s="21">
        <f t="shared" si="267"/>
        <v>2.6489636419399596</v>
      </c>
      <c r="W281" s="21">
        <f t="shared" si="267"/>
        <v>1.9902037060739222</v>
      </c>
      <c r="X281" s="21">
        <f t="shared" si="267"/>
        <v>6.1742137036643046</v>
      </c>
      <c r="Y281" s="21">
        <f t="shared" si="267"/>
        <v>3.0828441178199131</v>
      </c>
      <c r="Z281" s="21">
        <f t="shared" si="267"/>
        <v>1.7434259127520579</v>
      </c>
      <c r="AA281" s="21">
        <f t="shared" si="267"/>
        <v>0.53259618296079902</v>
      </c>
      <c r="AB281" s="21">
        <f t="shared" si="267"/>
        <v>9.2790713680684561E-2</v>
      </c>
      <c r="AC281" s="21">
        <f t="shared" si="267"/>
        <v>5.0282378548898228E-2</v>
      </c>
      <c r="AD281" s="21">
        <f t="shared" si="267"/>
        <v>2.4058505470174584E-3</v>
      </c>
      <c r="AE281" s="21">
        <f t="shared" si="267"/>
        <v>2.6597716697666283E-2</v>
      </c>
      <c r="AF281" s="21">
        <f t="shared" si="267"/>
        <v>3.0958158335192844E-3</v>
      </c>
      <c r="AG281" s="3"/>
      <c r="AH281" s="3"/>
    </row>
    <row r="282" spans="1:34" s="3" customFormat="1" x14ac:dyDescent="0.25">
      <c r="A282" s="72">
        <f>SUM(B282:AF282)</f>
        <v>14404.04509339395</v>
      </c>
      <c r="B282" s="21">
        <f>IF($D$61&lt;=B246,IF($E$61&gt;=B246,ABS(B281),0),0)</f>
        <v>5180.2662399529509</v>
      </c>
      <c r="C282" s="21">
        <f t="shared" ref="C282:AF282" si="268">IF($D$61&lt;=C246,IF($E$61&gt;=C246,ABS(C281),0),0)</f>
        <v>8510.4895903202523</v>
      </c>
      <c r="D282" s="21">
        <f t="shared" si="268"/>
        <v>657.9848360400573</v>
      </c>
      <c r="E282" s="21">
        <f t="shared" si="268"/>
        <v>10.531241236703137</v>
      </c>
      <c r="F282" s="21">
        <f t="shared" si="268"/>
        <v>2.5421673597597882</v>
      </c>
      <c r="G282" s="21">
        <f t="shared" si="268"/>
        <v>1.0761599754526505</v>
      </c>
      <c r="H282" s="21">
        <f t="shared" si="268"/>
        <v>1.1769764752868765</v>
      </c>
      <c r="I282" s="21">
        <f t="shared" si="268"/>
        <v>1.32157918146664</v>
      </c>
      <c r="J282" s="21">
        <f t="shared" si="268"/>
        <v>1.3401936498355262</v>
      </c>
      <c r="K282" s="21">
        <f t="shared" si="268"/>
        <v>3.547008896425456</v>
      </c>
      <c r="L282" s="21">
        <f t="shared" si="268"/>
        <v>0.7083060483257535</v>
      </c>
      <c r="M282" s="21">
        <f t="shared" si="268"/>
        <v>4.0095478657763923</v>
      </c>
      <c r="N282" s="21">
        <f t="shared" si="268"/>
        <v>7.5939440990439183E-4</v>
      </c>
      <c r="O282" s="21">
        <f t="shared" si="268"/>
        <v>4.8898471064519873</v>
      </c>
      <c r="P282" s="21">
        <f t="shared" si="268"/>
        <v>1.3047411509901077E-3</v>
      </c>
      <c r="Q282" s="21">
        <f t="shared" si="268"/>
        <v>3.1112022810631812</v>
      </c>
      <c r="R282" s="21">
        <f t="shared" si="268"/>
        <v>0.4432556891388309</v>
      </c>
      <c r="S282" s="21">
        <f t="shared" si="268"/>
        <v>2.7359389046325795</v>
      </c>
      <c r="T282" s="21">
        <f t="shared" si="268"/>
        <v>1.6929372054450347</v>
      </c>
      <c r="U282" s="21">
        <f t="shared" si="268"/>
        <v>2.2797758998680533</v>
      </c>
      <c r="V282" s="21">
        <f t="shared" si="268"/>
        <v>2.6489636419399596</v>
      </c>
      <c r="W282" s="21">
        <f t="shared" si="268"/>
        <v>1.9902037060739222</v>
      </c>
      <c r="X282" s="21">
        <f t="shared" si="268"/>
        <v>6.1742137036643046</v>
      </c>
      <c r="Y282" s="21">
        <f t="shared" si="268"/>
        <v>3.0828441178199131</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70" t="s">
        <v>27</v>
      </c>
      <c r="B284" s="11">
        <f>INDEX($D$1:$M$1,1,$F$122)</f>
        <v>80</v>
      </c>
    </row>
    <row r="285" spans="1:34" x14ac:dyDescent="0.25">
      <c r="A285" s="70"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9259.9030429946288</v>
      </c>
      <c r="C286" s="26">
        <f>INDEX(Comparison!$AM$3:$AS$33,G$14,$F$122)</f>
        <v>8975.4373156175916</v>
      </c>
      <c r="D286" s="26">
        <f>INDEX(Comparison!$AM$3:$AS$33,H$14,$F$122)</f>
        <v>8718.1797337443004</v>
      </c>
      <c r="E286" s="26">
        <f>INDEX(Comparison!$AM$3:$AS$33,I$14,$F$122)</f>
        <v>8453.8665906134283</v>
      </c>
      <c r="F286" s="26">
        <f>INDEX(Comparison!$AM$3:$AS$33,J$14,$F$122)</f>
        <v>8157.4497816903277</v>
      </c>
      <c r="G286" s="26">
        <f>INDEX(Comparison!$AM$3:$AS$33,K$14,$F$122)</f>
        <v>7881.4803699008435</v>
      </c>
      <c r="H286" s="26">
        <f>INDEX(Comparison!$AM$3:$AS$33,L$14,$F$122)</f>
        <v>7606.797789198542</v>
      </c>
      <c r="I286" s="26">
        <f>INDEX(Comparison!$AM$3:$AS$33,M$14,$F$122)</f>
        <v>7278.8872759198184</v>
      </c>
      <c r="J286" s="26">
        <f>INDEX(Comparison!$AM$3:$AS$33,N$14,$F$122)</f>
        <v>6902.9128773701668</v>
      </c>
      <c r="K286" s="26">
        <f>INDEX(Comparison!$AM$3:$AS$33,O$14,$F$122)</f>
        <v>6533.8294095397778</v>
      </c>
      <c r="L286" s="26">
        <f>INDEX(Comparison!$AM$3:$AS$33,P$14,$F$122)</f>
        <v>6236.0805337275306</v>
      </c>
      <c r="M286" s="26">
        <f>INDEX(Comparison!$AM$3:$AS$33,Q$14,$F$122)</f>
        <v>5950.4123980915811</v>
      </c>
      <c r="N286" s="26">
        <f>INDEX(Comparison!$AM$3:$AS$33,R$14,$F$122)</f>
        <v>5675.5372968728034</v>
      </c>
      <c r="O286" s="26">
        <f>INDEX(Comparison!$AM$3:$AS$33,S$14,$F$122)</f>
        <v>5389.077424650558</v>
      </c>
      <c r="P286" s="26">
        <f>INDEX(Comparison!$AM$3:$AS$33,T$14,$F$122)</f>
        <v>5123.5437168709832</v>
      </c>
      <c r="Q286" s="26">
        <f>INDEX(Comparison!$AM$3:$AS$33,U$14,$F$122)</f>
        <v>4799.280908658001</v>
      </c>
      <c r="R286" s="26">
        <f>INDEX(Comparison!$AM$3:$AS$33,V$14,$F$122)</f>
        <v>4430.6662258617935</v>
      </c>
      <c r="S286" s="26">
        <f>INDEX(Comparison!$AM$3:$AS$33,W$14,$F$122)</f>
        <v>3990.4031488339651</v>
      </c>
      <c r="T286" s="26">
        <f>INDEX(Comparison!$AM$3:$AS$33,X$14,$F$122)</f>
        <v>3512.6173919241392</v>
      </c>
      <c r="U286" s="26">
        <f>INDEX(Comparison!$AM$3:$AS$33,Y$14,$F$122)</f>
        <v>2997.1269883218743</v>
      </c>
      <c r="V286" s="26">
        <f>INDEX(Comparison!$AM$3:$AS$33,Z$14,$F$122)</f>
        <v>2450.4999019800034</v>
      </c>
      <c r="W286" s="26">
        <f>INDEX(Comparison!$AM$3:$AS$33,AA$14,$F$122)</f>
        <v>1872.1545257089074</v>
      </c>
      <c r="X286" s="26">
        <f>INDEX(Comparison!$AM$3:$AS$33,AB$14,$F$122)</f>
        <v>1367.4511296212941</v>
      </c>
      <c r="Y286" s="26">
        <f>INDEX(Comparison!$AM$3:$AS$33,AC$14,$F$122)</f>
        <v>983.81195335121254</v>
      </c>
      <c r="Z286" s="26">
        <f>INDEX(Comparison!$AM$3:$AS$33,AD$14,$F$122)</f>
        <v>755.24433140254177</v>
      </c>
      <c r="AA286" s="26">
        <f>INDEX(Comparison!$AM$3:$AS$33,AE$14,$F$122)</f>
        <v>633.28610309701617</v>
      </c>
      <c r="AB286" s="26">
        <f>INDEX(Comparison!$AM$3:$AS$33,AF$14,$F$122)</f>
        <v>577.24905136540178</v>
      </c>
      <c r="AC286" s="26">
        <f>INDEX(Comparison!$AM$3:$AS$33,AG$14,$F$122)</f>
        <v>542.56491517927657</v>
      </c>
      <c r="AD286" s="26">
        <f>INDEX(Comparison!$AM$3:$AS$33,AH$14,$F$122)</f>
        <v>523.04517618896307</v>
      </c>
      <c r="AE286" s="26">
        <f>INDEX(Comparison!$AM$3:$AS$33,AI$14,$F$122)</f>
        <v>513.02385818918287</v>
      </c>
      <c r="AF286" s="26">
        <f>INDEX(Comparison!$AM$3:$AS$33,AJ$14,$F$122)</f>
        <v>488.70376604058401</v>
      </c>
      <c r="AG286" s="26"/>
      <c r="AH286" s="26"/>
    </row>
    <row r="287" spans="1:34" x14ac:dyDescent="0.25">
      <c r="A287" s="71" t="s">
        <v>22</v>
      </c>
      <c r="B287" s="27">
        <f>($C$17+SUM(B288:B318))*$B$51</f>
        <v>9303.6628035237936</v>
      </c>
      <c r="C287" s="27">
        <f t="shared" ref="C287:AF287" si="269">($C$17+SUM(C288:C318))*$B$51</f>
        <v>8964.0617717913246</v>
      </c>
      <c r="D287" s="27">
        <f t="shared" si="269"/>
        <v>8752.1200839041612</v>
      </c>
      <c r="E287" s="27">
        <f t="shared" si="269"/>
        <v>8473.3219818100933</v>
      </c>
      <c r="F287" s="27">
        <f t="shared" si="269"/>
        <v>8182.1279786894256</v>
      </c>
      <c r="G287" s="27">
        <f t="shared" si="269"/>
        <v>7896.2734093062872</v>
      </c>
      <c r="H287" s="27">
        <f t="shared" si="269"/>
        <v>7622.5558353025754</v>
      </c>
      <c r="I287" s="27">
        <f t="shared" si="269"/>
        <v>7293.8833944239659</v>
      </c>
      <c r="J287" s="27">
        <f t="shared" si="269"/>
        <v>6913.4585906342008</v>
      </c>
      <c r="K287" s="27">
        <f t="shared" si="269"/>
        <v>6542.5237300230265</v>
      </c>
      <c r="L287" s="27">
        <f t="shared" si="269"/>
        <v>6241.2917688693024</v>
      </c>
      <c r="M287" s="27">
        <f t="shared" si="269"/>
        <v>5961.5008677149799</v>
      </c>
      <c r="N287" s="27">
        <f t="shared" si="269"/>
        <v>5679.3491538426006</v>
      </c>
      <c r="O287" s="27">
        <f t="shared" si="269"/>
        <v>5401.830983365985</v>
      </c>
      <c r="P287" s="27">
        <f t="shared" si="269"/>
        <v>5127.7048857711961</v>
      </c>
      <c r="Q287" s="27">
        <f t="shared" si="269"/>
        <v>4801.9720036631252</v>
      </c>
      <c r="R287" s="27">
        <f t="shared" si="269"/>
        <v>4410.7201979572255</v>
      </c>
      <c r="S287" s="27">
        <f t="shared" si="269"/>
        <v>3969.0418236734918</v>
      </c>
      <c r="T287" s="27">
        <f t="shared" si="269"/>
        <v>3502.6500341506758</v>
      </c>
      <c r="U287" s="27">
        <f t="shared" si="269"/>
        <v>2992.1835658493969</v>
      </c>
      <c r="V287" s="27">
        <f t="shared" si="269"/>
        <v>2485.1052822157094</v>
      </c>
      <c r="W287" s="27">
        <f t="shared" si="269"/>
        <v>1846.1692717483979</v>
      </c>
      <c r="X287" s="27">
        <f t="shared" si="269"/>
        <v>1365.9614242286914</v>
      </c>
      <c r="Y287" s="27">
        <f t="shared" si="269"/>
        <v>972.00782097633999</v>
      </c>
      <c r="Z287" s="27">
        <f t="shared" si="269"/>
        <v>752.52285499504001</v>
      </c>
      <c r="AA287" s="27">
        <f t="shared" si="269"/>
        <v>632.10744528906184</v>
      </c>
      <c r="AB287" s="27">
        <f t="shared" si="269"/>
        <v>575.84183261303428</v>
      </c>
      <c r="AC287" s="27">
        <f t="shared" si="269"/>
        <v>543.36875302360249</v>
      </c>
      <c r="AD287" s="27">
        <f t="shared" si="269"/>
        <v>521.62535278629855</v>
      </c>
      <c r="AE287" s="27">
        <f t="shared" si="269"/>
        <v>514.77045790862837</v>
      </c>
      <c r="AF287" s="27">
        <f t="shared" si="269"/>
        <v>514.05847364349802</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2.79441356349782E-2</v>
      </c>
      <c r="C289" s="3">
        <f t="shared" si="271"/>
        <v>6.2934023058559298E-4</v>
      </c>
      <c r="D289" s="3">
        <f t="shared" si="271"/>
        <v>2.1126795961493729E-20</v>
      </c>
      <c r="E289" s="3">
        <f t="shared" si="271"/>
        <v>3.8398571566380868E-185</v>
      </c>
      <c r="F289" s="3">
        <f t="shared" si="271"/>
        <v>0</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1.7511348347381609E-2</v>
      </c>
      <c r="C290" s="3">
        <f t="shared" si="272"/>
        <v>1.2436836775092573E-2</v>
      </c>
      <c r="D290" s="3">
        <f t="shared" si="272"/>
        <v>4.0608168842409868E-4</v>
      </c>
      <c r="E290" s="3">
        <f t="shared" si="272"/>
        <v>5.5930425346416993E-19</v>
      </c>
      <c r="F290" s="3">
        <f t="shared" si="272"/>
        <v>1.3740270474350527E-167</v>
      </c>
      <c r="G290" s="3">
        <f t="shared" si="272"/>
        <v>0</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2.8137055454275198E-2</v>
      </c>
      <c r="C291" s="3">
        <f t="shared" si="273"/>
        <v>2.7281787353478502E-2</v>
      </c>
      <c r="D291" s="3">
        <f t="shared" si="273"/>
        <v>2.0036162694485153E-2</v>
      </c>
      <c r="E291" s="3">
        <f t="shared" si="273"/>
        <v>9.1460137420406598E-4</v>
      </c>
      <c r="F291" s="3">
        <f t="shared" si="273"/>
        <v>3.5925667837579814E-17</v>
      </c>
      <c r="G291" s="3">
        <f t="shared" si="273"/>
        <v>3.1414840281991756E-151</v>
      </c>
      <c r="H291" s="3">
        <f t="shared" si="273"/>
        <v>0</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2.9838348606787347E-2</v>
      </c>
      <c r="C292" s="3">
        <f t="shared" si="274"/>
        <v>2.9755377639051051E-2</v>
      </c>
      <c r="D292" s="3">
        <f t="shared" si="274"/>
        <v>2.893825206730755E-2</v>
      </c>
      <c r="E292" s="3">
        <f t="shared" si="274"/>
        <v>2.1904865110273924E-2</v>
      </c>
      <c r="F292" s="3">
        <f t="shared" si="274"/>
        <v>1.3527684381792668E-3</v>
      </c>
      <c r="G292" s="3">
        <f t="shared" si="274"/>
        <v>1.0915716586729979E-15</v>
      </c>
      <c r="H292" s="3">
        <f t="shared" si="274"/>
        <v>1.2774389171075594E-136</v>
      </c>
      <c r="I292" s="3">
        <f t="shared" si="274"/>
        <v>0</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2.9884448654744961E-2</v>
      </c>
      <c r="C293" s="3">
        <f t="shared" si="275"/>
        <v>2.9876942920472865E-2</v>
      </c>
      <c r="D293" s="3">
        <f t="shared" si="275"/>
        <v>2.9801989181775526E-2</v>
      </c>
      <c r="E293" s="3">
        <f t="shared" si="275"/>
        <v>2.9062716550792966E-2</v>
      </c>
      <c r="F293" s="3">
        <f t="shared" si="275"/>
        <v>2.2607146120730469E-2</v>
      </c>
      <c r="G293" s="3">
        <f t="shared" si="275"/>
        <v>1.8337540779977764E-3</v>
      </c>
      <c r="H293" s="3">
        <f t="shared" si="275"/>
        <v>2.2609689882584845E-14</v>
      </c>
      <c r="I293" s="3">
        <f t="shared" si="275"/>
        <v>1.8358184678388259E-123</v>
      </c>
      <c r="J293" s="3">
        <f t="shared" si="275"/>
        <v>0</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2.6241352211305954E-2</v>
      </c>
      <c r="C294" s="3">
        <f t="shared" si="276"/>
        <v>2.624075760383443E-2</v>
      </c>
      <c r="D294" s="3">
        <f t="shared" si="276"/>
        <v>2.6234812270101236E-2</v>
      </c>
      <c r="E294" s="3">
        <f t="shared" si="276"/>
        <v>2.6175432968887E-2</v>
      </c>
      <c r="F294" s="3">
        <f t="shared" si="276"/>
        <v>2.5588981871130026E-2</v>
      </c>
      <c r="G294" s="3">
        <f t="shared" si="276"/>
        <v>2.0400665352599844E-2</v>
      </c>
      <c r="H294" s="3">
        <f t="shared" si="276"/>
        <v>2.1162042594382495E-3</v>
      </c>
      <c r="I294" s="3">
        <f t="shared" si="276"/>
        <v>3.0527420405167894E-13</v>
      </c>
      <c r="J294" s="3">
        <f t="shared" si="276"/>
        <v>1.191284089212966E-111</v>
      </c>
      <c r="K294" s="3">
        <f t="shared" si="276"/>
        <v>0</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3.2917198525678613E-2</v>
      </c>
      <c r="C295" s="3">
        <f t="shared" si="277"/>
        <v>3.2917131240705083E-2</v>
      </c>
      <c r="D295" s="3">
        <f t="shared" si="277"/>
        <v>3.2916458398534208E-2</v>
      </c>
      <c r="E295" s="3">
        <f t="shared" si="277"/>
        <v>3.2909730733206237E-2</v>
      </c>
      <c r="F295" s="3">
        <f t="shared" si="277"/>
        <v>3.2842529660830455E-2</v>
      </c>
      <c r="G295" s="3">
        <f t="shared" si="277"/>
        <v>3.217802017639685E-2</v>
      </c>
      <c r="H295" s="3">
        <f t="shared" si="277"/>
        <v>2.6229288391364552E-2</v>
      </c>
      <c r="I295" s="3">
        <f t="shared" si="277"/>
        <v>3.3967094046232255E-3</v>
      </c>
      <c r="J295" s="3">
        <f t="shared" si="277"/>
        <v>4.5058553797561093E-12</v>
      </c>
      <c r="K295" s="3">
        <f t="shared" si="277"/>
        <v>7.6026639827898931E-101</v>
      </c>
      <c r="L295" s="3">
        <f t="shared" si="277"/>
        <v>0</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4.0072807381400309E-2</v>
      </c>
      <c r="C296" s="3">
        <f t="shared" si="278"/>
        <v>4.0072799992292851E-2</v>
      </c>
      <c r="D296" s="3">
        <f t="shared" si="278"/>
        <v>4.007272610129315E-2</v>
      </c>
      <c r="E296" s="3">
        <f t="shared" si="278"/>
        <v>4.0071987198789863E-2</v>
      </c>
      <c r="F296" s="3">
        <f t="shared" si="278"/>
        <v>4.0064598923071244E-2</v>
      </c>
      <c r="G296" s="3">
        <f t="shared" si="278"/>
        <v>3.9990791046223939E-2</v>
      </c>
      <c r="H296" s="3">
        <f t="shared" si="278"/>
        <v>3.9260149475470525E-2</v>
      </c>
      <c r="I296" s="3">
        <f t="shared" si="278"/>
        <v>3.2649120565620492E-2</v>
      </c>
      <c r="J296" s="3">
        <f t="shared" si="278"/>
        <v>5.1649589772456983E-3</v>
      </c>
      <c r="K296" s="3">
        <f t="shared" si="278"/>
        <v>5.0701494950756058E-11</v>
      </c>
      <c r="L296" s="3">
        <f t="shared" si="278"/>
        <v>4.2126914227226285E-91</v>
      </c>
      <c r="M296" s="3">
        <f t="shared" si="278"/>
        <v>0</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3.9765912766600152E-2</v>
      </c>
      <c r="C297" s="3">
        <f t="shared" si="279"/>
        <v>3.9765912105145927E-2</v>
      </c>
      <c r="D297" s="3">
        <f t="shared" si="279"/>
        <v>3.9765905490604256E-2</v>
      </c>
      <c r="E297" s="3">
        <f t="shared" si="279"/>
        <v>3.9765839345248029E-2</v>
      </c>
      <c r="F297" s="3">
        <f t="shared" si="279"/>
        <v>3.9765177897737113E-2</v>
      </c>
      <c r="G297" s="3">
        <f t="shared" si="279"/>
        <v>3.9758564027720204E-2</v>
      </c>
      <c r="H297" s="3">
        <f t="shared" si="279"/>
        <v>3.969248579955905E-2</v>
      </c>
      <c r="I297" s="3">
        <f t="shared" si="279"/>
        <v>3.903771366644055E-2</v>
      </c>
      <c r="J297" s="3">
        <f t="shared" si="279"/>
        <v>3.3055606983678799E-2</v>
      </c>
      <c r="K297" s="3">
        <f t="shared" si="279"/>
        <v>6.2640145309827457E-3</v>
      </c>
      <c r="L297" s="3">
        <f t="shared" si="279"/>
        <v>3.7404939664750747E-10</v>
      </c>
      <c r="M297" s="3">
        <f t="shared" si="279"/>
        <v>2.1562096182413853E-82</v>
      </c>
      <c r="N297" s="3">
        <f t="shared" si="279"/>
        <v>0</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2.942435302526563E-2</v>
      </c>
      <c r="C298" s="3">
        <f t="shared" si="280"/>
        <v>2.9424352981114447E-2</v>
      </c>
      <c r="D298" s="3">
        <f t="shared" si="280"/>
        <v>2.9424352539602606E-2</v>
      </c>
      <c r="E298" s="3">
        <f t="shared" si="280"/>
        <v>2.9424348124484575E-2</v>
      </c>
      <c r="F298" s="3">
        <f t="shared" si="280"/>
        <v>2.9424303973340671E-2</v>
      </c>
      <c r="G298" s="3">
        <f t="shared" si="280"/>
        <v>2.9423862465545327E-2</v>
      </c>
      <c r="H298" s="3">
        <f t="shared" si="280"/>
        <v>2.9419447751937628E-2</v>
      </c>
      <c r="I298" s="3">
        <f t="shared" si="280"/>
        <v>2.9375337030214631E-2</v>
      </c>
      <c r="J298" s="3">
        <f t="shared" si="280"/>
        <v>2.893785111259491E-2</v>
      </c>
      <c r="K298" s="3">
        <f t="shared" si="280"/>
        <v>2.4905798805507168E-2</v>
      </c>
      <c r="L298" s="3">
        <f t="shared" si="280"/>
        <v>5.5544677765851517E-3</v>
      </c>
      <c r="M298" s="3">
        <f t="shared" si="280"/>
        <v>1.6906831070169429E-9</v>
      </c>
      <c r="N298" s="3">
        <f t="shared" si="280"/>
        <v>1.1541435531897568E-74</v>
      </c>
      <c r="O298" s="3">
        <f t="shared" si="280"/>
        <v>0</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2.8571417110546449E-2</v>
      </c>
      <c r="C299" s="3">
        <f t="shared" si="281"/>
        <v>2.8571417106679098E-2</v>
      </c>
      <c r="D299" s="3">
        <f t="shared" si="281"/>
        <v>2.8571417068005568E-2</v>
      </c>
      <c r="E299" s="3">
        <f t="shared" si="281"/>
        <v>2.8571416681270279E-2</v>
      </c>
      <c r="F299" s="3">
        <f t="shared" si="281"/>
        <v>2.857141281391766E-2</v>
      </c>
      <c r="G299" s="3">
        <f t="shared" si="281"/>
        <v>2.8571374140420252E-2</v>
      </c>
      <c r="H299" s="3">
        <f t="shared" si="281"/>
        <v>2.8570987408325296E-2</v>
      </c>
      <c r="I299" s="3">
        <f t="shared" si="281"/>
        <v>2.8567120375270871E-2</v>
      </c>
      <c r="J299" s="3">
        <f t="shared" si="281"/>
        <v>2.8528478819829003E-2</v>
      </c>
      <c r="K299" s="3">
        <f t="shared" si="281"/>
        <v>2.8144926416460877E-2</v>
      </c>
      <c r="L299" s="3">
        <f t="shared" si="281"/>
        <v>2.4581882731778179E-2</v>
      </c>
      <c r="M299" s="3">
        <f t="shared" si="281"/>
        <v>6.3498781611999672E-3</v>
      </c>
      <c r="N299" s="3">
        <f t="shared" si="281"/>
        <v>8.3997795852364738E-9</v>
      </c>
      <c r="O299" s="3">
        <f t="shared" si="281"/>
        <v>1.3781385076947469E-67</v>
      </c>
      <c r="P299" s="3">
        <f t="shared" si="281"/>
        <v>0</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2.9426851905472489E-2</v>
      </c>
      <c r="C300" s="3">
        <f t="shared" si="282"/>
        <v>2.9426851905113176E-2</v>
      </c>
      <c r="D300" s="3">
        <f t="shared" si="282"/>
        <v>2.942685190152005E-2</v>
      </c>
      <c r="E300" s="3">
        <f t="shared" si="282"/>
        <v>2.9426851865588792E-2</v>
      </c>
      <c r="F300" s="3">
        <f t="shared" si="282"/>
        <v>2.9426851506276216E-2</v>
      </c>
      <c r="G300" s="3">
        <f t="shared" si="282"/>
        <v>2.9426847913150696E-2</v>
      </c>
      <c r="H300" s="3">
        <f t="shared" si="282"/>
        <v>2.9426811981919626E-2</v>
      </c>
      <c r="I300" s="3">
        <f t="shared" si="282"/>
        <v>2.9426452672021954E-2</v>
      </c>
      <c r="J300" s="3">
        <f t="shared" si="282"/>
        <v>2.9422859814336701E-2</v>
      </c>
      <c r="K300" s="3">
        <f t="shared" si="282"/>
        <v>2.9386955355731239E-2</v>
      </c>
      <c r="L300" s="3">
        <f t="shared" si="282"/>
        <v>2.9030311733659293E-2</v>
      </c>
      <c r="M300" s="3">
        <f t="shared" si="282"/>
        <v>2.5693470009446995E-2</v>
      </c>
      <c r="N300" s="3">
        <f t="shared" si="282"/>
        <v>7.5776297670717609E-3</v>
      </c>
      <c r="O300" s="3">
        <f t="shared" si="282"/>
        <v>3.7725898461802022E-8</v>
      </c>
      <c r="P300" s="3">
        <f t="shared" si="282"/>
        <v>3.5294065119233059E-61</v>
      </c>
      <c r="Q300" s="3">
        <f t="shared" si="282"/>
        <v>0</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2.8440803506544453E-2</v>
      </c>
      <c r="C301" s="3">
        <f t="shared" si="283"/>
        <v>2.8440803506513124E-2</v>
      </c>
      <c r="D301" s="3">
        <f t="shared" si="283"/>
        <v>2.8440803506199857E-2</v>
      </c>
      <c r="E301" s="3">
        <f t="shared" si="283"/>
        <v>2.8440803503067168E-2</v>
      </c>
      <c r="F301" s="3">
        <f t="shared" si="283"/>
        <v>2.8440803471740293E-2</v>
      </c>
      <c r="G301" s="3">
        <f t="shared" si="283"/>
        <v>2.8440803158471549E-2</v>
      </c>
      <c r="H301" s="3">
        <f t="shared" si="283"/>
        <v>2.8440800025784287E-2</v>
      </c>
      <c r="I301" s="3">
        <f t="shared" si="283"/>
        <v>2.8440768698930644E-2</v>
      </c>
      <c r="J301" s="3">
        <f t="shared" si="283"/>
        <v>2.8440455432292022E-2</v>
      </c>
      <c r="K301" s="3">
        <f t="shared" si="283"/>
        <v>2.8437322955679169E-2</v>
      </c>
      <c r="L301" s="3">
        <f t="shared" si="283"/>
        <v>2.8406017159157217E-2</v>
      </c>
      <c r="M301" s="3">
        <f t="shared" si="283"/>
        <v>2.809484844632678E-2</v>
      </c>
      <c r="N301" s="3">
        <f t="shared" si="283"/>
        <v>2.5164608610045089E-2</v>
      </c>
      <c r="O301" s="3">
        <f t="shared" si="283"/>
        <v>8.3642122389629373E-3</v>
      </c>
      <c r="P301" s="3">
        <f t="shared" si="283"/>
        <v>1.3764919842746372E-7</v>
      </c>
      <c r="Q301" s="3">
        <f t="shared" si="283"/>
        <v>2.005672917313953E-55</v>
      </c>
      <c r="R301" s="3">
        <f t="shared" si="283"/>
        <v>0</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2.6740342475665806E-2</v>
      </c>
      <c r="C302" s="3">
        <f t="shared" si="284"/>
        <v>2.6740342475663148E-2</v>
      </c>
      <c r="D302" s="3">
        <f t="shared" si="284"/>
        <v>2.6740342475636579E-2</v>
      </c>
      <c r="E302" s="3">
        <f t="shared" si="284"/>
        <v>2.6740342475370878E-2</v>
      </c>
      <c r="F302" s="3">
        <f t="shared" si="284"/>
        <v>2.67403424727139E-2</v>
      </c>
      <c r="G302" s="3">
        <f t="shared" si="284"/>
        <v>2.6740342446144066E-2</v>
      </c>
      <c r="H302" s="3">
        <f t="shared" si="284"/>
        <v>2.6740342180445777E-2</v>
      </c>
      <c r="I302" s="3">
        <f t="shared" si="284"/>
        <v>2.6740339523463004E-2</v>
      </c>
      <c r="J302" s="3">
        <f t="shared" si="284"/>
        <v>2.6740312953649814E-2</v>
      </c>
      <c r="K302" s="3">
        <f t="shared" si="284"/>
        <v>2.6740047256969927E-2</v>
      </c>
      <c r="L302" s="3">
        <f t="shared" si="284"/>
        <v>2.6737390435367325E-2</v>
      </c>
      <c r="M302" s="3">
        <f t="shared" si="284"/>
        <v>2.6710836733633496E-2</v>
      </c>
      <c r="N302" s="3">
        <f t="shared" si="284"/>
        <v>2.6446745823624523E-2</v>
      </c>
      <c r="O302" s="3">
        <f t="shared" si="284"/>
        <v>2.3945269340974924E-2</v>
      </c>
      <c r="P302" s="3">
        <f t="shared" si="284"/>
        <v>8.865323295533075E-3</v>
      </c>
      <c r="Q302" s="3">
        <f t="shared" si="284"/>
        <v>4.2898597293577016E-7</v>
      </c>
      <c r="R302" s="3">
        <f t="shared" si="284"/>
        <v>3.0194527034572593E-50</v>
      </c>
      <c r="S302" s="3">
        <f t="shared" si="284"/>
        <v>0</v>
      </c>
      <c r="T302" s="3">
        <f t="shared" si="284"/>
        <v>0</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3.6384067061729662E-2</v>
      </c>
      <c r="C303" s="3">
        <f t="shared" si="285"/>
        <v>3.6384067061729336E-2</v>
      </c>
      <c r="D303" s="3">
        <f t="shared" si="285"/>
        <v>3.6384067061726075E-2</v>
      </c>
      <c r="E303" s="3">
        <f t="shared" si="285"/>
        <v>3.6384067061693462E-2</v>
      </c>
      <c r="F303" s="3">
        <f t="shared" si="285"/>
        <v>3.6384067061367341E-2</v>
      </c>
      <c r="G303" s="3">
        <f t="shared" si="285"/>
        <v>3.6384067058106123E-2</v>
      </c>
      <c r="H303" s="3">
        <f t="shared" si="285"/>
        <v>3.638406702549396E-2</v>
      </c>
      <c r="I303" s="3">
        <f t="shared" si="285"/>
        <v>3.638406669937231E-2</v>
      </c>
      <c r="J303" s="3">
        <f t="shared" si="285"/>
        <v>3.6384063438155964E-2</v>
      </c>
      <c r="K303" s="3">
        <f t="shared" si="285"/>
        <v>3.6384030826008606E-2</v>
      </c>
      <c r="L303" s="3">
        <f t="shared" si="285"/>
        <v>3.6383704706142744E-2</v>
      </c>
      <c r="M303" s="3">
        <f t="shared" si="285"/>
        <v>3.6380443668250335E-2</v>
      </c>
      <c r="N303" s="3">
        <f t="shared" si="285"/>
        <v>3.634784936061447E-2</v>
      </c>
      <c r="O303" s="3">
        <f t="shared" si="285"/>
        <v>3.6023508095915049E-2</v>
      </c>
      <c r="P303" s="3">
        <f t="shared" si="285"/>
        <v>3.2935089299764998E-2</v>
      </c>
      <c r="Q303" s="3">
        <f t="shared" si="285"/>
        <v>1.3439628431465771E-2</v>
      </c>
      <c r="R303" s="3">
        <f t="shared" si="285"/>
        <v>1.7205663585309739E-6</v>
      </c>
      <c r="S303" s="3">
        <f t="shared" si="285"/>
        <v>2.0347594748880207E-45</v>
      </c>
      <c r="T303" s="3">
        <f t="shared" si="285"/>
        <v>0</v>
      </c>
      <c r="U303" s="3">
        <f t="shared" si="285"/>
        <v>0</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4.1964426446168518E-2</v>
      </c>
      <c r="C304" s="3">
        <f t="shared" si="286"/>
        <v>4.196442644616849E-2</v>
      </c>
      <c r="D304" s="3">
        <f t="shared" si="286"/>
        <v>4.196442644616815E-2</v>
      </c>
      <c r="E304" s="3">
        <f t="shared" si="286"/>
        <v>4.1964426446164757E-2</v>
      </c>
      <c r="F304" s="3">
        <f t="shared" si="286"/>
        <v>4.1964426446130826E-2</v>
      </c>
      <c r="G304" s="3">
        <f t="shared" si="286"/>
        <v>4.1964426445791514E-2</v>
      </c>
      <c r="H304" s="3">
        <f t="shared" si="286"/>
        <v>4.1964426442398416E-2</v>
      </c>
      <c r="I304" s="3">
        <f t="shared" si="286"/>
        <v>4.1964426408467446E-2</v>
      </c>
      <c r="J304" s="3">
        <f t="shared" si="286"/>
        <v>4.1964426069157748E-2</v>
      </c>
      <c r="K304" s="3">
        <f t="shared" si="286"/>
        <v>4.1964422676060938E-2</v>
      </c>
      <c r="L304" s="3">
        <f t="shared" si="286"/>
        <v>4.196438874510787E-2</v>
      </c>
      <c r="M304" s="3">
        <f t="shared" si="286"/>
        <v>4.1964049437086141E-2</v>
      </c>
      <c r="N304" s="3">
        <f t="shared" si="286"/>
        <v>4.1960656507758515E-2</v>
      </c>
      <c r="O304" s="3">
        <f t="shared" si="286"/>
        <v>4.1926742298936073E-2</v>
      </c>
      <c r="P304" s="3">
        <f t="shared" si="286"/>
        <v>4.1589104153031943E-2</v>
      </c>
      <c r="Q304" s="3">
        <f t="shared" si="286"/>
        <v>3.8358713255757106E-2</v>
      </c>
      <c r="R304" s="3">
        <f t="shared" si="286"/>
        <v>1.7088686312494283E-2</v>
      </c>
      <c r="S304" s="3">
        <f t="shared" si="286"/>
        <v>5.262052200281194E-6</v>
      </c>
      <c r="T304" s="3">
        <f t="shared" si="286"/>
        <v>4.0329226721387726E-41</v>
      </c>
      <c r="U304" s="3">
        <f t="shared" si="286"/>
        <v>0</v>
      </c>
      <c r="V304" s="3">
        <f t="shared" si="286"/>
        <v>0</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4.8106928297009681E-2</v>
      </c>
      <c r="C305" s="3">
        <f t="shared" si="287"/>
        <v>4.8106928297009674E-2</v>
      </c>
      <c r="D305" s="3">
        <f t="shared" si="287"/>
        <v>4.8106928297009646E-2</v>
      </c>
      <c r="E305" s="3">
        <f t="shared" si="287"/>
        <v>4.8106928297009292E-2</v>
      </c>
      <c r="F305" s="3">
        <f t="shared" si="287"/>
        <v>4.8106928297005781E-2</v>
      </c>
      <c r="G305" s="3">
        <f t="shared" si="287"/>
        <v>4.8106928296970691E-2</v>
      </c>
      <c r="H305" s="3">
        <f t="shared" si="287"/>
        <v>4.8106928296619805E-2</v>
      </c>
      <c r="I305" s="3">
        <f t="shared" si="287"/>
        <v>4.8106928293110925E-2</v>
      </c>
      <c r="J305" s="3">
        <f t="shared" si="287"/>
        <v>4.8106928258022062E-2</v>
      </c>
      <c r="K305" s="3">
        <f t="shared" si="287"/>
        <v>4.8106927907133515E-2</v>
      </c>
      <c r="L305" s="3">
        <f t="shared" si="287"/>
        <v>4.8106924398248145E-2</v>
      </c>
      <c r="M305" s="3">
        <f t="shared" si="287"/>
        <v>4.8106889309408554E-2</v>
      </c>
      <c r="N305" s="3">
        <f t="shared" si="287"/>
        <v>4.810653842242027E-2</v>
      </c>
      <c r="O305" s="3">
        <f t="shared" si="287"/>
        <v>4.8103029693297834E-2</v>
      </c>
      <c r="P305" s="3">
        <f t="shared" si="287"/>
        <v>4.8067956474313674E-2</v>
      </c>
      <c r="Q305" s="3">
        <f t="shared" si="287"/>
        <v>4.7718627718141657E-2</v>
      </c>
      <c r="R305" s="3">
        <f t="shared" si="287"/>
        <v>4.4361968764270919E-2</v>
      </c>
      <c r="S305" s="3">
        <f t="shared" si="287"/>
        <v>2.1391412887984722E-2</v>
      </c>
      <c r="T305" s="3">
        <f t="shared" si="287"/>
        <v>1.4538716132469425E-5</v>
      </c>
      <c r="U305" s="3">
        <f t="shared" si="287"/>
        <v>3.0576792353383152E-37</v>
      </c>
      <c r="V305" s="3">
        <f t="shared" si="287"/>
        <v>0</v>
      </c>
      <c r="W305" s="3">
        <f t="shared" si="287"/>
        <v>0</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4.6100301020196389E-2</v>
      </c>
      <c r="C306" s="3">
        <f t="shared" si="288"/>
        <v>4.6100301020196389E-2</v>
      </c>
      <c r="D306" s="3">
        <f t="shared" si="288"/>
        <v>4.6100301020196383E-2</v>
      </c>
      <c r="E306" s="3">
        <f t="shared" si="288"/>
        <v>4.6100301020196355E-2</v>
      </c>
      <c r="F306" s="3">
        <f t="shared" si="288"/>
        <v>4.6100301020196049E-2</v>
      </c>
      <c r="G306" s="3">
        <f t="shared" si="288"/>
        <v>4.6100301020193024E-2</v>
      </c>
      <c r="H306" s="3">
        <f t="shared" si="288"/>
        <v>4.6100301020162687E-2</v>
      </c>
      <c r="I306" s="3">
        <f t="shared" si="288"/>
        <v>4.610030101985936E-2</v>
      </c>
      <c r="J306" s="3">
        <f t="shared" si="288"/>
        <v>4.6100301016826085E-2</v>
      </c>
      <c r="K306" s="3">
        <f t="shared" si="288"/>
        <v>4.6100300986493321E-2</v>
      </c>
      <c r="L306" s="3">
        <f t="shared" si="288"/>
        <v>4.6100300683165729E-2</v>
      </c>
      <c r="M306" s="3">
        <f t="shared" si="288"/>
        <v>4.6100297649889883E-2</v>
      </c>
      <c r="N306" s="3">
        <f t="shared" si="288"/>
        <v>4.6100267317142389E-2</v>
      </c>
      <c r="O306" s="3">
        <f t="shared" si="288"/>
        <v>4.6099963990765179E-2</v>
      </c>
      <c r="P306" s="3">
        <f t="shared" si="288"/>
        <v>4.6096930836759885E-2</v>
      </c>
      <c r="Q306" s="3">
        <f t="shared" si="288"/>
        <v>4.6066610270715756E-2</v>
      </c>
      <c r="R306" s="3">
        <f t="shared" si="288"/>
        <v>4.5764499344232316E-2</v>
      </c>
      <c r="S306" s="3">
        <f t="shared" si="288"/>
        <v>4.2850244601632559E-2</v>
      </c>
      <c r="T306" s="3">
        <f t="shared" si="288"/>
        <v>2.2192140977317792E-2</v>
      </c>
      <c r="U306" s="3">
        <f t="shared" si="288"/>
        <v>3.0807621891090252E-5</v>
      </c>
      <c r="V306" s="3">
        <f t="shared" si="288"/>
        <v>8.1893211706238888E-34</v>
      </c>
      <c r="W306" s="3">
        <f t="shared" si="288"/>
        <v>0</v>
      </c>
      <c r="X306" s="3">
        <f t="shared" si="288"/>
        <v>0</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6.1544571271861997E-2</v>
      </c>
      <c r="C307" s="3">
        <f t="shared" si="289"/>
        <v>6.1544571271861997E-2</v>
      </c>
      <c r="D307" s="3">
        <f t="shared" si="289"/>
        <v>6.1544571271861997E-2</v>
      </c>
      <c r="E307" s="3">
        <f t="shared" si="289"/>
        <v>6.1544571271861991E-2</v>
      </c>
      <c r="F307" s="3">
        <f t="shared" si="289"/>
        <v>6.1544571271861956E-2</v>
      </c>
      <c r="G307" s="3">
        <f t="shared" si="289"/>
        <v>6.1544571271861595E-2</v>
      </c>
      <c r="H307" s="3">
        <f t="shared" si="289"/>
        <v>6.1544571271857938E-2</v>
      </c>
      <c r="I307" s="3">
        <f t="shared" si="289"/>
        <v>6.1544571271821412E-2</v>
      </c>
      <c r="J307" s="3">
        <f t="shared" si="289"/>
        <v>6.1544571271456114E-2</v>
      </c>
      <c r="K307" s="3">
        <f t="shared" si="289"/>
        <v>6.1544571267803161E-2</v>
      </c>
      <c r="L307" s="3">
        <f t="shared" si="289"/>
        <v>6.154457123127359E-2</v>
      </c>
      <c r="M307" s="3">
        <f t="shared" si="289"/>
        <v>6.1544570865977942E-2</v>
      </c>
      <c r="N307" s="3">
        <f t="shared" si="289"/>
        <v>6.1544567213021539E-2</v>
      </c>
      <c r="O307" s="3">
        <f t="shared" si="289"/>
        <v>6.1544530683469434E-2</v>
      </c>
      <c r="P307" s="3">
        <f t="shared" si="289"/>
        <v>6.1544165389140905E-2</v>
      </c>
      <c r="Q307" s="3">
        <f t="shared" si="289"/>
        <v>6.1540512565103629E-2</v>
      </c>
      <c r="R307" s="3">
        <f t="shared" si="289"/>
        <v>6.150399624691931E-2</v>
      </c>
      <c r="S307" s="3">
        <f t="shared" si="289"/>
        <v>6.1140022669806865E-2</v>
      </c>
      <c r="T307" s="3">
        <f t="shared" si="289"/>
        <v>5.7616675814207777E-2</v>
      </c>
      <c r="U307" s="3">
        <f t="shared" si="289"/>
        <v>3.1825425954822122E-2</v>
      </c>
      <c r="V307" s="3">
        <f t="shared" si="289"/>
        <v>8.4146197238548889E-5</v>
      </c>
      <c r="W307" s="3">
        <f t="shared" si="289"/>
        <v>1.4048733809922059E-30</v>
      </c>
      <c r="X307" s="3">
        <f t="shared" si="289"/>
        <v>2.3640904098301104E-288</v>
      </c>
      <c r="Y307" s="3">
        <f t="shared" si="289"/>
        <v>0</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2.0548359308290503E-2</v>
      </c>
      <c r="C308" s="3">
        <f t="shared" si="290"/>
        <v>2.0548359308290503E-2</v>
      </c>
      <c r="D308" s="3">
        <f t="shared" si="290"/>
        <v>2.0548359308290503E-2</v>
      </c>
      <c r="E308" s="3">
        <f t="shared" si="290"/>
        <v>2.0548359308290503E-2</v>
      </c>
      <c r="F308" s="3">
        <f t="shared" si="290"/>
        <v>2.0548359308290499E-2</v>
      </c>
      <c r="G308" s="3">
        <f t="shared" si="290"/>
        <v>2.0548359308290493E-2</v>
      </c>
      <c r="H308" s="3">
        <f t="shared" si="290"/>
        <v>2.0548359308290378E-2</v>
      </c>
      <c r="I308" s="3">
        <f t="shared" si="290"/>
        <v>2.0548359308289282E-2</v>
      </c>
      <c r="J308" s="3">
        <f t="shared" si="290"/>
        <v>2.0548359308278277E-2</v>
      </c>
      <c r="K308" s="3">
        <f t="shared" si="290"/>
        <v>2.0548359308168257E-2</v>
      </c>
      <c r="L308" s="3">
        <f t="shared" si="290"/>
        <v>2.054835930706804E-2</v>
      </c>
      <c r="M308" s="3">
        <f t="shared" si="290"/>
        <v>2.0548359296065865E-2</v>
      </c>
      <c r="N308" s="3">
        <f t="shared" si="290"/>
        <v>2.0548359186044127E-2</v>
      </c>
      <c r="O308" s="3">
        <f t="shared" si="290"/>
        <v>2.0548358085826796E-2</v>
      </c>
      <c r="P308" s="3">
        <f t="shared" si="290"/>
        <v>2.0548347083656722E-2</v>
      </c>
      <c r="Q308" s="3">
        <f t="shared" si="290"/>
        <v>2.0548237062279966E-2</v>
      </c>
      <c r="R308" s="3">
        <f t="shared" si="290"/>
        <v>2.0547136880911518E-2</v>
      </c>
      <c r="S308" s="3">
        <f t="shared" si="290"/>
        <v>2.0536138306495425E-2</v>
      </c>
      <c r="T308" s="3">
        <f t="shared" si="290"/>
        <v>2.0426475848368399E-2</v>
      </c>
      <c r="U308" s="3">
        <f t="shared" si="290"/>
        <v>1.9361548482621265E-2</v>
      </c>
      <c r="V308" s="3">
        <f t="shared" si="290"/>
        <v>1.1334608381648457E-2</v>
      </c>
      <c r="W308" s="3">
        <f t="shared" si="290"/>
        <v>5.3588405486753653E-5</v>
      </c>
      <c r="X308" s="3">
        <f t="shared" si="290"/>
        <v>2.9902946798026431E-28</v>
      </c>
      <c r="Y308" s="3">
        <f t="shared" si="290"/>
        <v>8.7527700894060388E-261</v>
      </c>
      <c r="Z308" s="3">
        <f t="shared" si="290"/>
        <v>0</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6.8598536150208847E-2</v>
      </c>
      <c r="C309" s="3">
        <f t="shared" si="291"/>
        <v>6.8598536150208847E-2</v>
      </c>
      <c r="D309" s="3">
        <f t="shared" si="291"/>
        <v>6.8598536150208847E-2</v>
      </c>
      <c r="E309" s="3">
        <f t="shared" si="291"/>
        <v>6.8598536150208847E-2</v>
      </c>
      <c r="F309" s="3">
        <f t="shared" si="291"/>
        <v>6.8598536150208847E-2</v>
      </c>
      <c r="G309" s="3">
        <f t="shared" si="291"/>
        <v>6.8598536150208833E-2</v>
      </c>
      <c r="H309" s="3">
        <f t="shared" si="291"/>
        <v>6.8598536150208736E-2</v>
      </c>
      <c r="I309" s="3">
        <f t="shared" si="291"/>
        <v>6.8598536150207723E-2</v>
      </c>
      <c r="J309" s="3">
        <f t="shared" si="291"/>
        <v>6.8598536150197564E-2</v>
      </c>
      <c r="K309" s="3">
        <f t="shared" si="291"/>
        <v>6.8598536150095979E-2</v>
      </c>
      <c r="L309" s="3">
        <f t="shared" si="291"/>
        <v>6.8598536149080125E-2</v>
      </c>
      <c r="M309" s="3">
        <f t="shared" si="291"/>
        <v>6.859853613892164E-2</v>
      </c>
      <c r="N309" s="3">
        <f t="shared" si="291"/>
        <v>6.859853603733676E-2</v>
      </c>
      <c r="O309" s="3">
        <f t="shared" si="291"/>
        <v>6.8598535021488008E-2</v>
      </c>
      <c r="P309" s="3">
        <f t="shared" si="291"/>
        <v>6.8598524863001331E-2</v>
      </c>
      <c r="Q309" s="3">
        <f t="shared" si="291"/>
        <v>6.8598423278217191E-2</v>
      </c>
      <c r="R309" s="3">
        <f t="shared" si="291"/>
        <v>6.8597407438649699E-2</v>
      </c>
      <c r="S309" s="3">
        <f t="shared" si="291"/>
        <v>6.8587249870306094E-2</v>
      </c>
      <c r="T309" s="3">
        <f t="shared" si="291"/>
        <v>6.8485756874697837E-2</v>
      </c>
      <c r="U309" s="3">
        <f t="shared" si="291"/>
        <v>6.7479050574109758E-2</v>
      </c>
      <c r="V309" s="3">
        <f t="shared" si="291"/>
        <v>5.8191024122196733E-2</v>
      </c>
      <c r="W309" s="3">
        <f t="shared" si="291"/>
        <v>1.3235073923475553E-2</v>
      </c>
      <c r="X309" s="3">
        <f t="shared" si="291"/>
        <v>4.90264084972616E-9</v>
      </c>
      <c r="Y309" s="3">
        <f t="shared" si="291"/>
        <v>2.3848834572505948E-73</v>
      </c>
      <c r="Z309" s="3">
        <f t="shared" si="291"/>
        <v>0</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4.2430467850210242E-2</v>
      </c>
      <c r="C310" s="3">
        <f t="shared" si="292"/>
        <v>4.2430467850210242E-2</v>
      </c>
      <c r="D310" s="3">
        <f t="shared" si="292"/>
        <v>4.2430467850210242E-2</v>
      </c>
      <c r="E310" s="3">
        <f t="shared" si="292"/>
        <v>4.2430467850210242E-2</v>
      </c>
      <c r="F310" s="3">
        <f t="shared" si="292"/>
        <v>4.2430467850210242E-2</v>
      </c>
      <c r="G310" s="3">
        <f t="shared" si="292"/>
        <v>4.2430467850210242E-2</v>
      </c>
      <c r="H310" s="3">
        <f t="shared" si="292"/>
        <v>4.2430467850210235E-2</v>
      </c>
      <c r="I310" s="3">
        <f t="shared" si="292"/>
        <v>4.2430467850210173E-2</v>
      </c>
      <c r="J310" s="3">
        <f t="shared" si="292"/>
        <v>4.2430467850209548E-2</v>
      </c>
      <c r="K310" s="3">
        <f t="shared" si="292"/>
        <v>4.2430467850203261E-2</v>
      </c>
      <c r="L310" s="3">
        <f t="shared" si="292"/>
        <v>4.243046785014043E-2</v>
      </c>
      <c r="M310" s="3">
        <f t="shared" si="292"/>
        <v>4.2430467849512085E-2</v>
      </c>
      <c r="N310" s="3">
        <f t="shared" si="292"/>
        <v>4.2430467843228729E-2</v>
      </c>
      <c r="O310" s="3">
        <f t="shared" si="292"/>
        <v>4.2430467780395116E-2</v>
      </c>
      <c r="P310" s="3">
        <f t="shared" si="292"/>
        <v>4.2430467152059004E-2</v>
      </c>
      <c r="Q310" s="3">
        <f t="shared" si="292"/>
        <v>4.2430460868698353E-2</v>
      </c>
      <c r="R310" s="3">
        <f t="shared" si="292"/>
        <v>4.2430398035143015E-2</v>
      </c>
      <c r="S310" s="3">
        <f t="shared" si="292"/>
        <v>4.2429769704707285E-2</v>
      </c>
      <c r="T310" s="3">
        <f t="shared" si="292"/>
        <v>4.2423486912081858E-2</v>
      </c>
      <c r="U310" s="3">
        <f t="shared" si="292"/>
        <v>4.2360710130989215E-2</v>
      </c>
      <c r="V310" s="3">
        <f t="shared" si="292"/>
        <v>4.1738028923504346E-2</v>
      </c>
      <c r="W310" s="3">
        <f t="shared" si="292"/>
        <v>3.59930767732594E-2</v>
      </c>
      <c r="X310" s="3">
        <f t="shared" si="292"/>
        <v>8.1863318099897348E-3</v>
      </c>
      <c r="Y310" s="3">
        <f t="shared" si="292"/>
        <v>3.0324458309129667E-9</v>
      </c>
      <c r="Z310" s="3">
        <f t="shared" si="292"/>
        <v>1.4751294493776386E-73</v>
      </c>
      <c r="AA310" s="3">
        <f t="shared" si="292"/>
        <v>0</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4.2564807754428377E-2</v>
      </c>
      <c r="C311" s="3">
        <f t="shared" si="293"/>
        <v>4.2564807754428377E-2</v>
      </c>
      <c r="D311" s="3">
        <f t="shared" si="293"/>
        <v>4.2564807754428377E-2</v>
      </c>
      <c r="E311" s="3">
        <f t="shared" si="293"/>
        <v>4.2564807754428377E-2</v>
      </c>
      <c r="F311" s="3">
        <f t="shared" si="293"/>
        <v>4.2564807754428377E-2</v>
      </c>
      <c r="G311" s="3">
        <f t="shared" si="293"/>
        <v>4.2564807754428377E-2</v>
      </c>
      <c r="H311" s="3">
        <f t="shared" si="293"/>
        <v>4.2564807754428377E-2</v>
      </c>
      <c r="I311" s="3">
        <f t="shared" si="293"/>
        <v>4.256480775442837E-2</v>
      </c>
      <c r="J311" s="3">
        <f t="shared" si="293"/>
        <v>4.2564807754428308E-2</v>
      </c>
      <c r="K311" s="3">
        <f t="shared" si="293"/>
        <v>4.2564807754427676E-2</v>
      </c>
      <c r="L311" s="3">
        <f t="shared" si="293"/>
        <v>4.2564807754421376E-2</v>
      </c>
      <c r="M311" s="3">
        <f t="shared" si="293"/>
        <v>4.2564807754358343E-2</v>
      </c>
      <c r="N311" s="3">
        <f t="shared" si="293"/>
        <v>4.2564807753728014E-2</v>
      </c>
      <c r="O311" s="3">
        <f t="shared" si="293"/>
        <v>4.2564807747424764E-2</v>
      </c>
      <c r="P311" s="3">
        <f t="shared" si="293"/>
        <v>4.2564807684392206E-2</v>
      </c>
      <c r="Q311" s="3">
        <f t="shared" si="293"/>
        <v>4.2564807054066706E-2</v>
      </c>
      <c r="R311" s="3">
        <f t="shared" si="293"/>
        <v>4.256480075081219E-2</v>
      </c>
      <c r="S311" s="3">
        <f t="shared" si="293"/>
        <v>4.2564737718318348E-2</v>
      </c>
      <c r="T311" s="3">
        <f t="shared" si="293"/>
        <v>4.2564107398513781E-2</v>
      </c>
      <c r="U311" s="3">
        <f t="shared" si="293"/>
        <v>4.2557804713820174E-2</v>
      </c>
      <c r="V311" s="3">
        <f t="shared" si="293"/>
        <v>4.2494829173977351E-2</v>
      </c>
      <c r="W311" s="3">
        <f t="shared" si="293"/>
        <v>4.1870176483781822E-2</v>
      </c>
      <c r="X311" s="3">
        <f t="shared" si="293"/>
        <v>3.6107035132222243E-2</v>
      </c>
      <c r="Y311" s="3">
        <f t="shared" si="293"/>
        <v>8.2122507094733385E-3</v>
      </c>
      <c r="Z311" s="3">
        <f t="shared" si="293"/>
        <v>3.042046914830063E-9</v>
      </c>
      <c r="AA311" s="3">
        <f t="shared" si="293"/>
        <v>1.4797998845384841E-73</v>
      </c>
      <c r="AB311" s="3">
        <f t="shared" si="293"/>
        <v>0</v>
      </c>
      <c r="AC311" s="3">
        <f t="shared" si="293"/>
        <v>0</v>
      </c>
      <c r="AD311" s="3">
        <f t="shared" si="293"/>
        <v>0</v>
      </c>
      <c r="AE311" s="3">
        <f t="shared" si="293"/>
        <v>0</v>
      </c>
      <c r="AF311" s="3">
        <f t="shared" si="293"/>
        <v>0</v>
      </c>
      <c r="AG311" s="3"/>
      <c r="AH311" s="3"/>
    </row>
    <row r="312" spans="1:34" x14ac:dyDescent="0.25">
      <c r="B312" s="3">
        <f t="shared" ref="B312:AF312" si="294">$C42*EXP(-B$285/$A42/EXP(-$F$126))</f>
        <v>1.7794430151868639E-2</v>
      </c>
      <c r="C312" s="3">
        <f t="shared" si="294"/>
        <v>1.7794430151868639E-2</v>
      </c>
      <c r="D312" s="3">
        <f t="shared" si="294"/>
        <v>1.7794430151868639E-2</v>
      </c>
      <c r="E312" s="3">
        <f t="shared" si="294"/>
        <v>1.7794430151868639E-2</v>
      </c>
      <c r="F312" s="3">
        <f t="shared" si="294"/>
        <v>1.7794430151868639E-2</v>
      </c>
      <c r="G312" s="3">
        <f t="shared" si="294"/>
        <v>1.7794430151868639E-2</v>
      </c>
      <c r="H312" s="3">
        <f t="shared" si="294"/>
        <v>1.7794430151868639E-2</v>
      </c>
      <c r="I312" s="3">
        <f t="shared" si="294"/>
        <v>1.7794430151868639E-2</v>
      </c>
      <c r="J312" s="3">
        <f t="shared" si="294"/>
        <v>1.7794430151868636E-2</v>
      </c>
      <c r="K312" s="3">
        <f t="shared" si="294"/>
        <v>1.7794430151868608E-2</v>
      </c>
      <c r="L312" s="3">
        <f t="shared" si="294"/>
        <v>1.7794430151868348E-2</v>
      </c>
      <c r="M312" s="3">
        <f t="shared" si="294"/>
        <v>1.7794430151865711E-2</v>
      </c>
      <c r="N312" s="3">
        <f t="shared" si="294"/>
        <v>1.779443015183936E-2</v>
      </c>
      <c r="O312" s="3">
        <f t="shared" si="294"/>
        <v>1.7794430151575849E-2</v>
      </c>
      <c r="P312" s="3">
        <f t="shared" si="294"/>
        <v>1.7794430148940742E-2</v>
      </c>
      <c r="Q312" s="3">
        <f t="shared" si="294"/>
        <v>1.7794430122589668E-2</v>
      </c>
      <c r="R312" s="3">
        <f t="shared" si="294"/>
        <v>1.7794429859078951E-2</v>
      </c>
      <c r="S312" s="3">
        <f t="shared" si="294"/>
        <v>1.7794427223971964E-2</v>
      </c>
      <c r="T312" s="3">
        <f t="shared" si="294"/>
        <v>1.7794400872923572E-2</v>
      </c>
      <c r="U312" s="3">
        <f t="shared" si="294"/>
        <v>1.7794137364585877E-2</v>
      </c>
      <c r="V312" s="3">
        <f t="shared" si="294"/>
        <v>1.7791502495818307E-2</v>
      </c>
      <c r="W312" s="3">
        <f t="shared" si="294"/>
        <v>1.776517525732884E-2</v>
      </c>
      <c r="X312" s="3">
        <f t="shared" si="294"/>
        <v>1.7504036085057944E-2</v>
      </c>
      <c r="Y312" s="3">
        <f t="shared" si="294"/>
        <v>1.5094726102329231E-2</v>
      </c>
      <c r="Z312" s="3">
        <f t="shared" si="294"/>
        <v>3.4331723634803356E-3</v>
      </c>
      <c r="AA312" s="3">
        <f t="shared" si="294"/>
        <v>1.2717428833921912E-9</v>
      </c>
      <c r="AB312" s="3">
        <f t="shared" si="294"/>
        <v>6.1863772147364555E-74</v>
      </c>
      <c r="AC312" s="3">
        <f t="shared" si="294"/>
        <v>0</v>
      </c>
      <c r="AD312" s="3">
        <f t="shared" si="294"/>
        <v>0</v>
      </c>
      <c r="AE312" s="3">
        <f t="shared" si="294"/>
        <v>0</v>
      </c>
      <c r="AF312" s="3">
        <f t="shared" si="294"/>
        <v>0</v>
      </c>
      <c r="AG312" s="3"/>
      <c r="AH312" s="3"/>
    </row>
    <row r="313" spans="1:34" x14ac:dyDescent="0.25">
      <c r="B313" s="3">
        <f t="shared" ref="B313:AF313" si="295">$C43*EXP(-B$285/$A43/EXP(-$F$126))</f>
        <v>1.1846247724533283E-2</v>
      </c>
      <c r="C313" s="3">
        <f t="shared" si="295"/>
        <v>1.1846247724533283E-2</v>
      </c>
      <c r="D313" s="3">
        <f t="shared" si="295"/>
        <v>1.1846247724533283E-2</v>
      </c>
      <c r="E313" s="3">
        <f t="shared" si="295"/>
        <v>1.1846247724533283E-2</v>
      </c>
      <c r="F313" s="3">
        <f t="shared" si="295"/>
        <v>1.1846247724533283E-2</v>
      </c>
      <c r="G313" s="3">
        <f t="shared" si="295"/>
        <v>1.1846247724533283E-2</v>
      </c>
      <c r="H313" s="3">
        <f t="shared" si="295"/>
        <v>1.1846247724533283E-2</v>
      </c>
      <c r="I313" s="3">
        <f t="shared" si="295"/>
        <v>1.1846247724533283E-2</v>
      </c>
      <c r="J313" s="3">
        <f t="shared" si="295"/>
        <v>1.1846247724533283E-2</v>
      </c>
      <c r="K313" s="3">
        <f t="shared" si="295"/>
        <v>1.1846247724533281E-2</v>
      </c>
      <c r="L313" s="3">
        <f t="shared" si="295"/>
        <v>1.1846247724533264E-2</v>
      </c>
      <c r="M313" s="3">
        <f t="shared" si="295"/>
        <v>1.1846247724533089E-2</v>
      </c>
      <c r="N313" s="3">
        <f t="shared" si="295"/>
        <v>1.1846247724531333E-2</v>
      </c>
      <c r="O313" s="3">
        <f t="shared" si="295"/>
        <v>1.1846247724513792E-2</v>
      </c>
      <c r="P313" s="3">
        <f t="shared" si="295"/>
        <v>1.1846247724338364E-2</v>
      </c>
      <c r="Q313" s="3">
        <f t="shared" si="295"/>
        <v>1.1846247722584101E-2</v>
      </c>
      <c r="R313" s="3">
        <f t="shared" si="295"/>
        <v>1.1846247705041458E-2</v>
      </c>
      <c r="S313" s="3">
        <f t="shared" si="295"/>
        <v>1.1846247529615033E-2</v>
      </c>
      <c r="T313" s="3">
        <f t="shared" si="295"/>
        <v>1.1846245775350926E-2</v>
      </c>
      <c r="U313" s="3">
        <f t="shared" si="295"/>
        <v>1.1846228232724139E-2</v>
      </c>
      <c r="V313" s="3">
        <f t="shared" si="295"/>
        <v>1.1846052807885062E-2</v>
      </c>
      <c r="W313" s="3">
        <f t="shared" si="295"/>
        <v>1.1844298702365759E-2</v>
      </c>
      <c r="X313" s="3">
        <f t="shared" si="295"/>
        <v>1.1826771926493345E-2</v>
      </c>
      <c r="Y313" s="3">
        <f t="shared" si="295"/>
        <v>1.165292430682255E-2</v>
      </c>
      <c r="Z313" s="3">
        <f t="shared" si="295"/>
        <v>1.0048979552368126E-2</v>
      </c>
      <c r="AA313" s="3">
        <f t="shared" si="295"/>
        <v>2.2855584557473787E-3</v>
      </c>
      <c r="AB313" s="3">
        <f t="shared" si="295"/>
        <v>8.4663465533871491E-10</v>
      </c>
      <c r="AC313" s="3">
        <f t="shared" si="295"/>
        <v>4.118443601605326E-74</v>
      </c>
      <c r="AD313" s="3">
        <f t="shared" si="295"/>
        <v>0</v>
      </c>
      <c r="AE313" s="3">
        <f t="shared" si="295"/>
        <v>0</v>
      </c>
      <c r="AF313" s="3">
        <f t="shared" si="295"/>
        <v>0</v>
      </c>
      <c r="AG313" s="3"/>
      <c r="AH313" s="3"/>
    </row>
    <row r="314" spans="1:34" x14ac:dyDescent="0.25">
      <c r="B314" s="3">
        <f t="shared" ref="B314:AF314" si="296">$C44*EXP(-B$285/$A44/EXP(-$F$126))</f>
        <v>4.239833197731321E-3</v>
      </c>
      <c r="C314" s="3">
        <f t="shared" si="296"/>
        <v>4.239833197731321E-3</v>
      </c>
      <c r="D314" s="3">
        <f t="shared" si="296"/>
        <v>4.239833197731321E-3</v>
      </c>
      <c r="E314" s="3">
        <f t="shared" si="296"/>
        <v>4.239833197731321E-3</v>
      </c>
      <c r="F314" s="3">
        <f t="shared" si="296"/>
        <v>4.239833197731321E-3</v>
      </c>
      <c r="G314" s="3">
        <f t="shared" si="296"/>
        <v>4.239833197731321E-3</v>
      </c>
      <c r="H314" s="3">
        <f t="shared" si="296"/>
        <v>4.239833197731321E-3</v>
      </c>
      <c r="I314" s="3">
        <f t="shared" si="296"/>
        <v>4.239833197731321E-3</v>
      </c>
      <c r="J314" s="3">
        <f t="shared" si="296"/>
        <v>4.239833197731321E-3</v>
      </c>
      <c r="K314" s="3">
        <f t="shared" si="296"/>
        <v>4.239833197731321E-3</v>
      </c>
      <c r="L314" s="3">
        <f t="shared" si="296"/>
        <v>4.2398331977313202E-3</v>
      </c>
      <c r="M314" s="3">
        <f t="shared" si="296"/>
        <v>4.2398331977313141E-3</v>
      </c>
      <c r="N314" s="3">
        <f t="shared" si="296"/>
        <v>4.2398331977312517E-3</v>
      </c>
      <c r="O314" s="3">
        <f t="shared" si="296"/>
        <v>4.2398331977306237E-3</v>
      </c>
      <c r="P314" s="3">
        <f t="shared" si="296"/>
        <v>4.2398331977243449E-3</v>
      </c>
      <c r="Q314" s="3">
        <f t="shared" si="296"/>
        <v>4.2398331976615583E-3</v>
      </c>
      <c r="R314" s="3">
        <f t="shared" si="296"/>
        <v>4.2398331970336985E-3</v>
      </c>
      <c r="S314" s="3">
        <f t="shared" si="296"/>
        <v>4.2398331907550959E-3</v>
      </c>
      <c r="T314" s="3">
        <f t="shared" si="296"/>
        <v>4.239833127969073E-3</v>
      </c>
      <c r="U314" s="3">
        <f t="shared" si="296"/>
        <v>4.2398325001088959E-3</v>
      </c>
      <c r="V314" s="3">
        <f t="shared" si="296"/>
        <v>4.2398262215122334E-3</v>
      </c>
      <c r="W314" s="3">
        <f t="shared" si="296"/>
        <v>4.2397634360569801E-3</v>
      </c>
      <c r="X314" s="3">
        <f t="shared" si="296"/>
        <v>4.2391356326388855E-3</v>
      </c>
      <c r="Y314" s="3">
        <f t="shared" si="296"/>
        <v>4.2328627091004758E-3</v>
      </c>
      <c r="Z314" s="3">
        <f t="shared" si="296"/>
        <v>4.1706417488127454E-3</v>
      </c>
      <c r="AA314" s="3">
        <f t="shared" si="296"/>
        <v>3.5965816434192625E-3</v>
      </c>
      <c r="AB314" s="3">
        <f t="shared" si="296"/>
        <v>8.1801316681608138E-4</v>
      </c>
      <c r="AC314" s="3">
        <f t="shared" si="296"/>
        <v>3.0301491252972431E-10</v>
      </c>
      <c r="AD314" s="3">
        <f t="shared" si="296"/>
        <v>1.4740122198278911E-74</v>
      </c>
      <c r="AE314" s="3">
        <f t="shared" si="296"/>
        <v>0</v>
      </c>
      <c r="AF314" s="3">
        <f t="shared" si="296"/>
        <v>0</v>
      </c>
      <c r="AG314" s="3"/>
      <c r="AH314" s="3"/>
    </row>
    <row r="315" spans="1:34" x14ac:dyDescent="0.25">
      <c r="B315" s="3">
        <f t="shared" ref="B315:AF315" si="297">$C45*EXP(-B$285/$A45/EXP(-$F$126))</f>
        <v>3.1413173103933909E-3</v>
      </c>
      <c r="C315" s="3">
        <f t="shared" si="297"/>
        <v>3.1413173103933909E-3</v>
      </c>
      <c r="D315" s="3">
        <f t="shared" si="297"/>
        <v>3.1413173103933909E-3</v>
      </c>
      <c r="E315" s="3">
        <f t="shared" si="297"/>
        <v>3.1413173103933909E-3</v>
      </c>
      <c r="F315" s="3">
        <f t="shared" si="297"/>
        <v>3.1413173103933909E-3</v>
      </c>
      <c r="G315" s="3">
        <f t="shared" si="297"/>
        <v>3.1413173103933909E-3</v>
      </c>
      <c r="H315" s="3">
        <f t="shared" si="297"/>
        <v>3.1413173103933909E-3</v>
      </c>
      <c r="I315" s="3">
        <f t="shared" si="297"/>
        <v>3.1413173103933909E-3</v>
      </c>
      <c r="J315" s="3">
        <f t="shared" si="297"/>
        <v>3.1413173103933909E-3</v>
      </c>
      <c r="K315" s="3">
        <f t="shared" si="297"/>
        <v>3.1413173103933909E-3</v>
      </c>
      <c r="L315" s="3">
        <f t="shared" si="297"/>
        <v>3.1413173103933909E-3</v>
      </c>
      <c r="M315" s="3">
        <f t="shared" si="297"/>
        <v>3.1413173103933905E-3</v>
      </c>
      <c r="N315" s="3">
        <f t="shared" si="297"/>
        <v>3.1413173103933857E-3</v>
      </c>
      <c r="O315" s="3">
        <f t="shared" si="297"/>
        <v>3.1413173103933393E-3</v>
      </c>
      <c r="P315" s="3">
        <f t="shared" si="297"/>
        <v>3.141317310392874E-3</v>
      </c>
      <c r="Q315" s="3">
        <f t="shared" si="297"/>
        <v>3.1413173103882223E-3</v>
      </c>
      <c r="R315" s="3">
        <f t="shared" si="297"/>
        <v>3.1413173103417035E-3</v>
      </c>
      <c r="S315" s="3">
        <f t="shared" si="297"/>
        <v>3.1413173098765183E-3</v>
      </c>
      <c r="T315" s="3">
        <f t="shared" si="297"/>
        <v>3.1413173052246648E-3</v>
      </c>
      <c r="U315" s="3">
        <f t="shared" si="297"/>
        <v>3.1413172587061318E-3</v>
      </c>
      <c r="V315" s="3">
        <f t="shared" si="297"/>
        <v>3.1413167935208401E-3</v>
      </c>
      <c r="W315" s="3">
        <f t="shared" si="297"/>
        <v>3.1413121416717076E-3</v>
      </c>
      <c r="X315" s="3">
        <f t="shared" si="297"/>
        <v>3.1412656235592661E-3</v>
      </c>
      <c r="Y315" s="3">
        <f t="shared" si="297"/>
        <v>3.1408004803206496E-3</v>
      </c>
      <c r="Z315" s="3">
        <f t="shared" si="297"/>
        <v>3.136152834439551E-3</v>
      </c>
      <c r="AA315" s="3">
        <f t="shared" si="297"/>
        <v>3.0900529596318031E-3</v>
      </c>
      <c r="AB315" s="3">
        <f t="shared" si="297"/>
        <v>2.6647284569500168E-3</v>
      </c>
      <c r="AC315" s="3">
        <f t="shared" si="297"/>
        <v>6.0607075826097419E-4</v>
      </c>
      <c r="AD315" s="3">
        <f t="shared" si="297"/>
        <v>2.2450552784630611E-10</v>
      </c>
      <c r="AE315" s="3">
        <f t="shared" si="297"/>
        <v>1.0921043083379735E-74</v>
      </c>
      <c r="AF315" s="3">
        <f t="shared" si="297"/>
        <v>0</v>
      </c>
      <c r="AG315" s="3"/>
      <c r="AH315" s="3"/>
    </row>
    <row r="316" spans="1:34" x14ac:dyDescent="0.25">
      <c r="B316" s="3">
        <f t="shared" ref="B316:AF316" si="298">$C46*EXP(-B$285/$A46/EXP(-$F$126))</f>
        <v>2.257189619316161E-3</v>
      </c>
      <c r="C316" s="3">
        <f t="shared" si="298"/>
        <v>2.257189619316161E-3</v>
      </c>
      <c r="D316" s="3">
        <f t="shared" si="298"/>
        <v>2.257189619316161E-3</v>
      </c>
      <c r="E316" s="3">
        <f t="shared" si="298"/>
        <v>2.257189619316161E-3</v>
      </c>
      <c r="F316" s="3">
        <f t="shared" si="298"/>
        <v>2.257189619316161E-3</v>
      </c>
      <c r="G316" s="3">
        <f t="shared" si="298"/>
        <v>2.257189619316161E-3</v>
      </c>
      <c r="H316" s="3">
        <f t="shared" si="298"/>
        <v>2.257189619316161E-3</v>
      </c>
      <c r="I316" s="3">
        <f t="shared" si="298"/>
        <v>2.257189619316161E-3</v>
      </c>
      <c r="J316" s="3">
        <f t="shared" si="298"/>
        <v>2.257189619316161E-3</v>
      </c>
      <c r="K316" s="3">
        <f t="shared" si="298"/>
        <v>2.257189619316161E-3</v>
      </c>
      <c r="L316" s="3">
        <f t="shared" si="298"/>
        <v>2.257189619316161E-3</v>
      </c>
      <c r="M316" s="3">
        <f t="shared" si="298"/>
        <v>2.257189619316161E-3</v>
      </c>
      <c r="N316" s="3">
        <f t="shared" si="298"/>
        <v>2.2571896193161606E-3</v>
      </c>
      <c r="O316" s="3">
        <f t="shared" si="298"/>
        <v>2.2571896193161571E-3</v>
      </c>
      <c r="P316" s="3">
        <f t="shared" si="298"/>
        <v>2.2571896193161237E-3</v>
      </c>
      <c r="Q316" s="3">
        <f t="shared" si="298"/>
        <v>2.2571896193157898E-3</v>
      </c>
      <c r="R316" s="3">
        <f t="shared" si="298"/>
        <v>2.257189619312447E-3</v>
      </c>
      <c r="S316" s="3">
        <f t="shared" si="298"/>
        <v>2.257189619279021E-3</v>
      </c>
      <c r="T316" s="3">
        <f t="shared" si="298"/>
        <v>2.2571896189447628E-3</v>
      </c>
      <c r="U316" s="3">
        <f t="shared" si="298"/>
        <v>2.2571896156021792E-3</v>
      </c>
      <c r="V316" s="3">
        <f t="shared" si="298"/>
        <v>2.2571895821763459E-3</v>
      </c>
      <c r="W316" s="3">
        <f t="shared" si="298"/>
        <v>2.257189247918037E-3</v>
      </c>
      <c r="X316" s="3">
        <f t="shared" si="298"/>
        <v>2.2571859053376686E-3</v>
      </c>
      <c r="Y316" s="3">
        <f t="shared" si="298"/>
        <v>2.2571524798062313E-3</v>
      </c>
      <c r="Z316" s="3">
        <f t="shared" si="298"/>
        <v>2.2568182517146511E-3</v>
      </c>
      <c r="AA316" s="3">
        <f t="shared" si="298"/>
        <v>2.253478691587324E-3</v>
      </c>
      <c r="AB316" s="3">
        <f t="shared" si="298"/>
        <v>2.2203536842779563E-3</v>
      </c>
      <c r="AC316" s="3">
        <f t="shared" si="298"/>
        <v>1.9147372955362824E-3</v>
      </c>
      <c r="AD316" s="3">
        <f t="shared" si="298"/>
        <v>4.3549138432832408E-4</v>
      </c>
      <c r="AE316" s="3">
        <f t="shared" si="298"/>
        <v>1.6131816587172991E-10</v>
      </c>
      <c r="AF316" s="3">
        <f t="shared" si="298"/>
        <v>7.8473018304611321E-75</v>
      </c>
      <c r="AG316" s="3"/>
      <c r="AH316" s="3"/>
    </row>
    <row r="317" spans="1:34" x14ac:dyDescent="0.25">
      <c r="B317" s="3">
        <f t="shared" ref="B317:AF317" si="299">$C47*EXP(-B$285/$A47/EXP(-$F$126))</f>
        <v>3.6224207496198294E-4</v>
      </c>
      <c r="C317" s="3">
        <f t="shared" si="299"/>
        <v>3.6224207496198294E-4</v>
      </c>
      <c r="D317" s="3">
        <f t="shared" si="299"/>
        <v>3.6224207496198294E-4</v>
      </c>
      <c r="E317" s="3">
        <f t="shared" si="299"/>
        <v>3.6224207496198294E-4</v>
      </c>
      <c r="F317" s="3">
        <f t="shared" si="299"/>
        <v>3.6224207496198294E-4</v>
      </c>
      <c r="G317" s="3">
        <f t="shared" si="299"/>
        <v>3.6224207496198294E-4</v>
      </c>
      <c r="H317" s="3">
        <f t="shared" si="299"/>
        <v>3.6224207496198294E-4</v>
      </c>
      <c r="I317" s="3">
        <f t="shared" si="299"/>
        <v>3.6224207496198294E-4</v>
      </c>
      <c r="J317" s="3">
        <f t="shared" si="299"/>
        <v>3.6224207496198294E-4</v>
      </c>
      <c r="K317" s="3">
        <f t="shared" si="299"/>
        <v>3.6224207496198294E-4</v>
      </c>
      <c r="L317" s="3">
        <f t="shared" si="299"/>
        <v>3.6224207496198294E-4</v>
      </c>
      <c r="M317" s="3">
        <f t="shared" si="299"/>
        <v>3.6224207496198294E-4</v>
      </c>
      <c r="N317" s="3">
        <f t="shared" si="299"/>
        <v>3.6224207496198294E-4</v>
      </c>
      <c r="O317" s="3">
        <f t="shared" si="299"/>
        <v>3.6224207496198289E-4</v>
      </c>
      <c r="P317" s="3">
        <f t="shared" si="299"/>
        <v>3.6224207496198235E-4</v>
      </c>
      <c r="Q317" s="3">
        <f t="shared" si="299"/>
        <v>3.6224207496197698E-4</v>
      </c>
      <c r="R317" s="3">
        <f t="shared" si="299"/>
        <v>3.6224207496192337E-4</v>
      </c>
      <c r="S317" s="3">
        <f t="shared" si="299"/>
        <v>3.622420749613869E-4</v>
      </c>
      <c r="T317" s="3">
        <f t="shared" si="299"/>
        <v>3.622420749560226E-4</v>
      </c>
      <c r="U317" s="3">
        <f t="shared" si="299"/>
        <v>3.6224207490237963E-4</v>
      </c>
      <c r="V317" s="3">
        <f t="shared" si="299"/>
        <v>3.6224207436594952E-4</v>
      </c>
      <c r="W317" s="3">
        <f t="shared" si="299"/>
        <v>3.622420690016491E-4</v>
      </c>
      <c r="X317" s="3">
        <f t="shared" si="299"/>
        <v>3.6224201535864879E-4</v>
      </c>
      <c r="Y317" s="3">
        <f t="shared" si="299"/>
        <v>3.6224147892908261E-4</v>
      </c>
      <c r="Z317" s="3">
        <f t="shared" si="299"/>
        <v>3.622361146771115E-4</v>
      </c>
      <c r="AA317" s="3">
        <f t="shared" si="299"/>
        <v>3.6218247652621422E-4</v>
      </c>
      <c r="AB317" s="3">
        <f t="shared" si="299"/>
        <v>3.6164653165936261E-4</v>
      </c>
      <c r="AC317" s="3">
        <f t="shared" si="299"/>
        <v>3.563305089033695E-4</v>
      </c>
      <c r="AD317" s="3">
        <f t="shared" si="299"/>
        <v>3.0728406909486466E-4</v>
      </c>
      <c r="AE317" s="3">
        <f t="shared" si="299"/>
        <v>6.9889255797194158E-5</v>
      </c>
      <c r="AF317" s="3">
        <f t="shared" si="299"/>
        <v>2.5888931365961467E-11</v>
      </c>
      <c r="AG317" s="3"/>
      <c r="AH317" s="3"/>
    </row>
    <row r="318" spans="1:34" x14ac:dyDescent="0.25">
      <c r="B318" s="3">
        <f t="shared" ref="B318:AF318" si="300">$C48*EXP(-B$285/$A48/EXP(-$F$126))</f>
        <v>0</v>
      </c>
      <c r="C318" s="3">
        <f t="shared" si="300"/>
        <v>0</v>
      </c>
      <c r="D318" s="3">
        <f t="shared" si="300"/>
        <v>0</v>
      </c>
      <c r="E318" s="3">
        <f t="shared" si="300"/>
        <v>0</v>
      </c>
      <c r="F318" s="3">
        <f t="shared" si="300"/>
        <v>0</v>
      </c>
      <c r="G318" s="3">
        <f t="shared" si="300"/>
        <v>0</v>
      </c>
      <c r="H318" s="3">
        <f t="shared" si="300"/>
        <v>0</v>
      </c>
      <c r="I318" s="3">
        <f t="shared" si="300"/>
        <v>0</v>
      </c>
      <c r="J318" s="3">
        <f t="shared" si="300"/>
        <v>0</v>
      </c>
      <c r="K318" s="3">
        <f t="shared" si="300"/>
        <v>0</v>
      </c>
      <c r="L318" s="3">
        <f t="shared" si="300"/>
        <v>0</v>
      </c>
      <c r="M318" s="3">
        <f t="shared" si="300"/>
        <v>0</v>
      </c>
      <c r="N318" s="3">
        <f t="shared" si="300"/>
        <v>0</v>
      </c>
      <c r="O318" s="3">
        <f t="shared" si="300"/>
        <v>0</v>
      </c>
      <c r="P318" s="3">
        <f t="shared" si="300"/>
        <v>0</v>
      </c>
      <c r="Q318" s="3">
        <f t="shared" si="300"/>
        <v>0</v>
      </c>
      <c r="R318" s="3">
        <f t="shared" si="300"/>
        <v>0</v>
      </c>
      <c r="S318" s="3">
        <f t="shared" si="300"/>
        <v>0</v>
      </c>
      <c r="T318" s="3">
        <f t="shared" si="300"/>
        <v>0</v>
      </c>
      <c r="U318" s="3">
        <f t="shared" si="300"/>
        <v>0</v>
      </c>
      <c r="V318" s="3">
        <f t="shared" si="300"/>
        <v>0</v>
      </c>
      <c r="W318" s="3">
        <f t="shared" si="300"/>
        <v>0</v>
      </c>
      <c r="X318" s="3">
        <f t="shared" si="300"/>
        <v>0</v>
      </c>
      <c r="Y318" s="3">
        <f t="shared" si="300"/>
        <v>0</v>
      </c>
      <c r="Z318" s="3">
        <f t="shared" si="300"/>
        <v>0</v>
      </c>
      <c r="AA318" s="3">
        <f t="shared" si="300"/>
        <v>0</v>
      </c>
      <c r="AB318" s="3">
        <f t="shared" si="300"/>
        <v>0</v>
      </c>
      <c r="AC318" s="3">
        <f t="shared" si="300"/>
        <v>0</v>
      </c>
      <c r="AD318" s="3">
        <f t="shared" si="300"/>
        <v>0</v>
      </c>
      <c r="AE318" s="3">
        <f t="shared" si="300"/>
        <v>0</v>
      </c>
      <c r="AF318" s="3">
        <f t="shared" si="300"/>
        <v>0</v>
      </c>
      <c r="AG318" s="3"/>
      <c r="AH318" s="3"/>
    </row>
    <row r="319" spans="1:34" x14ac:dyDescent="0.25">
      <c r="A319" s="80">
        <f>AVERAGE(B319:AF319)</f>
        <v>1.1475465766203183E-3</v>
      </c>
      <c r="B319" s="81">
        <f>IF($A$64&lt;=B285,IF($B$64&gt;=B285,ABS((B287-B286)/B286),0),0)</f>
        <v>0</v>
      </c>
      <c r="C319" s="81">
        <f t="shared" ref="C319:AF319" si="301">IF($A$64&lt;=C285,IF($B$64&gt;=C285,ABS((C287-C286)/C286),0),0)</f>
        <v>0</v>
      </c>
      <c r="D319" s="81">
        <f t="shared" si="301"/>
        <v>0</v>
      </c>
      <c r="E319" s="81">
        <f t="shared" si="301"/>
        <v>0</v>
      </c>
      <c r="F319" s="81">
        <f t="shared" si="301"/>
        <v>0</v>
      </c>
      <c r="G319" s="81">
        <f t="shared" si="301"/>
        <v>0</v>
      </c>
      <c r="H319" s="81">
        <f t="shared" si="301"/>
        <v>0</v>
      </c>
      <c r="I319" s="81">
        <f t="shared" si="301"/>
        <v>0</v>
      </c>
      <c r="J319" s="81">
        <f t="shared" si="301"/>
        <v>0</v>
      </c>
      <c r="K319" s="81">
        <f t="shared" si="301"/>
        <v>0</v>
      </c>
      <c r="L319" s="81">
        <f t="shared" si="301"/>
        <v>8.3565873044568449E-4</v>
      </c>
      <c r="M319" s="81">
        <f t="shared" si="301"/>
        <v>1.8634791812001384E-3</v>
      </c>
      <c r="N319" s="81">
        <f t="shared" si="301"/>
        <v>6.7162926969002701E-4</v>
      </c>
      <c r="O319" s="81">
        <f t="shared" si="301"/>
        <v>2.3665569652219342E-3</v>
      </c>
      <c r="P319" s="81">
        <f t="shared" si="301"/>
        <v>8.1216617446063758E-4</v>
      </c>
      <c r="Q319" s="81">
        <f t="shared" si="301"/>
        <v>5.6072879590553552E-4</v>
      </c>
      <c r="R319" s="81">
        <f t="shared" si="301"/>
        <v>4.5018123432866569E-3</v>
      </c>
      <c r="S319" s="81">
        <f t="shared" si="301"/>
        <v>5.3531746953225413E-3</v>
      </c>
      <c r="T319" s="81">
        <f t="shared" si="301"/>
        <v>2.837587092855416E-3</v>
      </c>
      <c r="U319" s="81">
        <f t="shared" si="301"/>
        <v>1.6493870602543946E-3</v>
      </c>
      <c r="V319" s="81">
        <f t="shared" si="301"/>
        <v>1.41217635665869E-2</v>
      </c>
      <c r="W319" s="81">
        <f t="shared" si="301"/>
        <v>0</v>
      </c>
      <c r="X319" s="81">
        <f t="shared" si="301"/>
        <v>0</v>
      </c>
      <c r="Y319" s="81">
        <f t="shared" si="301"/>
        <v>0</v>
      </c>
      <c r="Z319" s="81">
        <f t="shared" si="301"/>
        <v>0</v>
      </c>
      <c r="AA319" s="81">
        <f t="shared" si="301"/>
        <v>0</v>
      </c>
      <c r="AB319" s="81">
        <f t="shared" si="301"/>
        <v>0</v>
      </c>
      <c r="AC319" s="81">
        <f t="shared" si="301"/>
        <v>0</v>
      </c>
      <c r="AD319" s="81">
        <f t="shared" si="301"/>
        <v>0</v>
      </c>
      <c r="AE319" s="81">
        <f t="shared" si="301"/>
        <v>0</v>
      </c>
      <c r="AF319" s="81">
        <f t="shared" si="301"/>
        <v>0</v>
      </c>
    </row>
    <row r="320" spans="1:34" x14ac:dyDescent="0.25">
      <c r="B320" s="21">
        <f>(B287-B286)^2</f>
        <v>1914.9166415698539</v>
      </c>
      <c r="C320" s="21">
        <f t="shared" ref="C320:AF320" si="302">(C287-C286)^2</f>
        <v>129.4029973433201</v>
      </c>
      <c r="D320" s="21">
        <f t="shared" si="302"/>
        <v>1151.9473689739648</v>
      </c>
      <c r="E320" s="21">
        <f t="shared" si="302"/>
        <v>378.51224661527016</v>
      </c>
      <c r="F320" s="21">
        <f t="shared" si="302"/>
        <v>609.01340712628769</v>
      </c>
      <c r="G320" s="21">
        <f t="shared" si="302"/>
        <v>218.83401485101243</v>
      </c>
      <c r="H320" s="21">
        <f t="shared" si="302"/>
        <v>248.31601701684167</v>
      </c>
      <c r="I320" s="21">
        <f t="shared" si="302"/>
        <v>224.88357019043474</v>
      </c>
      <c r="J320" s="21">
        <f t="shared" si="302"/>
        <v>111.21206824722307</v>
      </c>
      <c r="K320" s="21">
        <f t="shared" si="302"/>
        <v>75.591208665437961</v>
      </c>
      <c r="L320" s="21">
        <f t="shared" si="302"/>
        <v>27.156971702837296</v>
      </c>
      <c r="M320" s="21">
        <f t="shared" si="302"/>
        <v>122.95415858903905</v>
      </c>
      <c r="N320" s="21">
        <f t="shared" si="302"/>
        <v>14.53025355819142</v>
      </c>
      <c r="O320" s="21">
        <f t="shared" si="302"/>
        <v>162.65325990784555</v>
      </c>
      <c r="P320" s="21">
        <f t="shared" si="302"/>
        <v>17.315326616099387</v>
      </c>
      <c r="Q320" s="21">
        <f t="shared" si="302"/>
        <v>7.2419923266045538</v>
      </c>
      <c r="R320" s="21">
        <f t="shared" si="302"/>
        <v>397.84402916980241</v>
      </c>
      <c r="S320" s="21">
        <f t="shared" si="302"/>
        <v>456.30621261147269</v>
      </c>
      <c r="T320" s="21">
        <f t="shared" si="302"/>
        <v>99.348220984221086</v>
      </c>
      <c r="U320" s="21">
        <f t="shared" si="302"/>
        <v>24.43742574139381</v>
      </c>
      <c r="V320" s="21">
        <f t="shared" si="302"/>
        <v>1197.53234125779</v>
      </c>
      <c r="W320" s="21">
        <f t="shared" si="302"/>
        <v>675.2334233921722</v>
      </c>
      <c r="X320" s="21">
        <f t="shared" si="302"/>
        <v>2.2192221567494839</v>
      </c>
      <c r="Y320" s="21">
        <f t="shared" si="302"/>
        <v>139.33754112351431</v>
      </c>
      <c r="Z320" s="21">
        <f t="shared" si="302"/>
        <v>7.4064338365887314</v>
      </c>
      <c r="AA320" s="21">
        <f t="shared" si="302"/>
        <v>1.3892342282516905</v>
      </c>
      <c r="AB320" s="21">
        <f t="shared" si="302"/>
        <v>1.9802646170147387</v>
      </c>
      <c r="AC320" s="21">
        <f t="shared" si="302"/>
        <v>0.646155279970552</v>
      </c>
      <c r="AD320" s="21">
        <f t="shared" si="302"/>
        <v>2.0158984947538543</v>
      </c>
      <c r="AE320" s="21">
        <f t="shared" si="302"/>
        <v>3.0506105799670942</v>
      </c>
      <c r="AF320" s="21">
        <f t="shared" si="302"/>
        <v>642.86119762926523</v>
      </c>
      <c r="AG320" s="3"/>
      <c r="AH320" s="3"/>
    </row>
    <row r="321" spans="1:34" x14ac:dyDescent="0.25">
      <c r="A321" s="72">
        <f>SUM(B321:AF321)</f>
        <v>2527.3201924652976</v>
      </c>
      <c r="B321" s="60">
        <f>IF($A$64&lt;=B285,IF($B$64&gt;=B285,ABS(B320),0),0)</f>
        <v>0</v>
      </c>
      <c r="C321" s="60">
        <f t="shared" ref="C321" si="303">IF($A$64&lt;=C285,IF($B$64&gt;=C285,ABS(C320),0),0)</f>
        <v>0</v>
      </c>
      <c r="D321" s="60">
        <f t="shared" ref="D321" si="304">IF($A$64&lt;=D285,IF($B$64&gt;=D285,ABS(D320),0),0)</f>
        <v>0</v>
      </c>
      <c r="E321" s="60">
        <f t="shared" ref="E321" si="305">IF($A$64&lt;=E285,IF($B$64&gt;=E285,ABS(E320),0),0)</f>
        <v>0</v>
      </c>
      <c r="F321" s="60">
        <f t="shared" ref="F321" si="306">IF($A$64&lt;=F285,IF($B$64&gt;=F285,ABS(F320),0),0)</f>
        <v>0</v>
      </c>
      <c r="G321" s="60">
        <f t="shared" ref="G321" si="307">IF($A$64&lt;=G285,IF($B$64&gt;=G285,ABS(G320),0),0)</f>
        <v>0</v>
      </c>
      <c r="H321" s="60">
        <f t="shared" ref="H321" si="308">IF($A$64&lt;=H285,IF($B$64&gt;=H285,ABS(H320),0),0)</f>
        <v>0</v>
      </c>
      <c r="I321" s="60">
        <f t="shared" ref="I321" si="309">IF($A$64&lt;=I285,IF($B$64&gt;=I285,ABS(I320),0),0)</f>
        <v>0</v>
      </c>
      <c r="J321" s="60">
        <f t="shared" ref="J321" si="310">IF($A$64&lt;=J285,IF($B$64&gt;=J285,ABS(J320),0),0)</f>
        <v>0</v>
      </c>
      <c r="K321" s="60">
        <f t="shared" ref="K321" si="311">IF($A$64&lt;=K285,IF($B$64&gt;=K285,ABS(K320),0),0)</f>
        <v>0</v>
      </c>
      <c r="L321" s="60">
        <f t="shared" ref="L321" si="312">IF($A$64&lt;=L285,IF($B$64&gt;=L285,ABS(L320),0),0)</f>
        <v>27.156971702837296</v>
      </c>
      <c r="M321" s="60">
        <f t="shared" ref="M321" si="313">IF($A$64&lt;=M285,IF($B$64&gt;=M285,ABS(M320),0),0)</f>
        <v>122.95415858903905</v>
      </c>
      <c r="N321" s="60">
        <f t="shared" ref="N321" si="314">IF($A$64&lt;=N285,IF($B$64&gt;=N285,ABS(N320),0),0)</f>
        <v>14.53025355819142</v>
      </c>
      <c r="O321" s="60">
        <f t="shared" ref="O321" si="315">IF($A$64&lt;=O285,IF($B$64&gt;=O285,ABS(O320),0),0)</f>
        <v>162.65325990784555</v>
      </c>
      <c r="P321" s="60">
        <f t="shared" ref="P321" si="316">IF($A$64&lt;=P285,IF($B$64&gt;=P285,ABS(P320),0),0)</f>
        <v>17.315326616099387</v>
      </c>
      <c r="Q321" s="60">
        <f t="shared" ref="Q321" si="317">IF($A$64&lt;=Q285,IF($B$64&gt;=Q285,ABS(Q320),0),0)</f>
        <v>7.2419923266045538</v>
      </c>
      <c r="R321" s="60">
        <f t="shared" ref="R321" si="318">IF($A$64&lt;=R285,IF($B$64&gt;=R285,ABS(R320),0),0)</f>
        <v>397.84402916980241</v>
      </c>
      <c r="S321" s="60">
        <f t="shared" ref="S321" si="319">IF($A$64&lt;=S285,IF($B$64&gt;=S285,ABS(S320),0),0)</f>
        <v>456.30621261147269</v>
      </c>
      <c r="T321" s="60">
        <f t="shared" ref="T321" si="320">IF($A$64&lt;=T285,IF($B$64&gt;=T285,ABS(T320),0),0)</f>
        <v>99.348220984221086</v>
      </c>
      <c r="U321" s="60">
        <f t="shared" ref="U321" si="321">IF($A$64&lt;=U285,IF($B$64&gt;=U285,ABS(U320),0),0)</f>
        <v>24.43742574139381</v>
      </c>
      <c r="V321" s="60">
        <f t="shared" ref="V321" si="322">IF($A$64&lt;=V285,IF($B$64&gt;=V285,ABS(V320),0),0)</f>
        <v>1197.53234125779</v>
      </c>
      <c r="W321" s="60">
        <f t="shared" ref="W321" si="323">IF($A$64&lt;=W285,IF($B$64&gt;=W285,ABS(W320),0),0)</f>
        <v>0</v>
      </c>
      <c r="X321" s="60">
        <f t="shared" ref="X321" si="324">IF($A$64&lt;=X285,IF($B$64&gt;=X285,ABS(X320),0),0)</f>
        <v>0</v>
      </c>
      <c r="Y321" s="60">
        <f t="shared" ref="Y321" si="325">IF($A$64&lt;=Y285,IF($B$64&gt;=Y285,ABS(Y320),0),0)</f>
        <v>0</v>
      </c>
      <c r="Z321" s="60">
        <f t="shared" ref="Z321" si="326">IF($A$64&lt;=Z285,IF($B$64&gt;=Z285,ABS(Z320),0),0)</f>
        <v>0</v>
      </c>
      <c r="AA321" s="60">
        <f t="shared" ref="AA321" si="327">IF($A$64&lt;=AA285,IF($B$64&gt;=AA285,ABS(AA320),0),0)</f>
        <v>0</v>
      </c>
      <c r="AB321" s="60">
        <f t="shared" ref="AB321" si="328">IF($A$64&lt;=AB285,IF($B$64&gt;=AB285,ABS(AB320),0),0)</f>
        <v>0</v>
      </c>
      <c r="AC321" s="60">
        <f t="shared" ref="AC321" si="329">IF($A$64&lt;=AC285,IF($B$64&gt;=AC285,ABS(AC320),0),0)</f>
        <v>0</v>
      </c>
      <c r="AD321" s="60">
        <f t="shared" ref="AD321" si="330">IF($A$64&lt;=AD285,IF($B$64&gt;=AD285,ABS(AD320),0),0)</f>
        <v>0</v>
      </c>
      <c r="AE321" s="60">
        <f t="shared" ref="AE321" si="331">IF($A$64&lt;=AE285,IF($B$64&gt;=AE285,ABS(AE320),0),0)</f>
        <v>0</v>
      </c>
      <c r="AF321" s="60">
        <f t="shared" ref="AF321" si="332">IF($A$64&lt;=AF285,IF($B$64&gt;=AF285,ABS(AF320),0),0)</f>
        <v>0</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7" t="s">
        <v>27</v>
      </c>
      <c r="B323" s="11">
        <f>INDEX($D$1:$M$1,1,G122)</f>
        <v>125</v>
      </c>
    </row>
    <row r="324" spans="1:34" x14ac:dyDescent="0.25">
      <c r="A324" s="77"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8600.88026028485</v>
      </c>
      <c r="C325" s="26">
        <f>INDEX(Comparison!$AM$3:$AS$33,G$14,$G$122)</f>
        <v>8258.5143784911779</v>
      </c>
      <c r="D325" s="26">
        <f>INDEX(Comparison!$AM$3:$AS$33,H$14,$G$122)</f>
        <v>7962.1526037178537</v>
      </c>
      <c r="E325" s="26">
        <f>INDEX(Comparison!$AM$3:$AS$33,I$14,$G$122)</f>
        <v>7694.1164691736458</v>
      </c>
      <c r="F325" s="26">
        <f>INDEX(Comparison!$AM$3:$AS$33,J$14,$G$122)</f>
        <v>7392.1118529421537</v>
      </c>
      <c r="G325" s="26">
        <f>INDEX(Comparison!$AM$3:$AS$33,K$14,$G$122)</f>
        <v>7031.7099177768096</v>
      </c>
      <c r="H325" s="26">
        <f>INDEX(Comparison!$AM$3:$AS$33,L$14,$G$122)</f>
        <v>6653.2341038317008</v>
      </c>
      <c r="I325" s="26">
        <f>INDEX(Comparison!$AM$3:$AS$33,M$14,$G$122)</f>
        <v>6325.3637954371716</v>
      </c>
      <c r="J325" s="26">
        <f>INDEX(Comparison!$AM$3:$AS$33,N$14,$G$122)</f>
        <v>6045.8980186697399</v>
      </c>
      <c r="K325" s="26">
        <f>INDEX(Comparison!$AM$3:$AS$33,O$14,$G$122)</f>
        <v>5765.1058423358591</v>
      </c>
      <c r="L325" s="26">
        <f>INDEX(Comparison!$AM$3:$AS$33,P$14,$G$122)</f>
        <v>5486.9816625574504</v>
      </c>
      <c r="M325" s="26">
        <f>INDEX(Comparison!$AM$3:$AS$33,Q$14,$G$122)</f>
        <v>5211.1575946368548</v>
      </c>
      <c r="N325" s="26">
        <f>INDEX(Comparison!$AM$3:$AS$33,R$14,$G$122)</f>
        <v>4923.9623445747775</v>
      </c>
      <c r="O325" s="26">
        <f>INDEX(Comparison!$AM$3:$AS$33,S$14,$G$122)</f>
        <v>4584.0172032140918</v>
      </c>
      <c r="P325" s="26">
        <f>INDEX(Comparison!$AM$3:$AS$33,T$14,$G$122)</f>
        <v>4221.1859974432145</v>
      </c>
      <c r="Q325" s="26">
        <f>INDEX(Comparison!$AM$3:$AS$33,U$14,$G$122)</f>
        <v>3789.937412973562</v>
      </c>
      <c r="R325" s="26">
        <f>INDEX(Comparison!$AM$3:$AS$33,V$14,$G$122)</f>
        <v>3283.8683924627298</v>
      </c>
      <c r="S325" s="26">
        <f>INDEX(Comparison!$AM$3:$AS$33,W$14,$G$122)</f>
        <v>2714.7098539050189</v>
      </c>
      <c r="T325" s="26">
        <f>INDEX(Comparison!$AM$3:$AS$33,X$14,$G$122)</f>
        <v>2120.3389527808267</v>
      </c>
      <c r="U325" s="26">
        <f>INDEX(Comparison!$AM$3:$AS$33,Y$14,$G$122)</f>
        <v>1549.2251736201158</v>
      </c>
      <c r="V325" s="26">
        <f>INDEX(Comparison!$AM$3:$AS$33,Z$14,$G$122)</f>
        <v>1115.0562509241029</v>
      </c>
      <c r="W325" s="26">
        <f>INDEX(Comparison!$AM$3:$AS$33,AA$14,$G$122)</f>
        <v>819.57257707159806</v>
      </c>
      <c r="X325" s="26">
        <f>INDEX(Comparison!$AM$3:$AS$33,AB$14,$G$122)</f>
        <v>672.71182943032534</v>
      </c>
      <c r="Y325" s="26">
        <f>INDEX(Comparison!$AM$3:$AS$33,AC$14,$G$122)</f>
        <v>592.26686963031818</v>
      </c>
      <c r="Z325" s="26">
        <f>INDEX(Comparison!$AM$3:$AS$33,AD$14,$G$122)</f>
        <v>556.12366677692739</v>
      </c>
      <c r="AA325" s="26">
        <f>INDEX(Comparison!$AM$3:$AS$33,AE$14,$G$122)</f>
        <v>528.75323853804991</v>
      </c>
      <c r="AB325" s="26">
        <f>INDEX(Comparison!$AM$3:$AS$33,AF$14,$G$122)</f>
        <v>517.55067575260887</v>
      </c>
      <c r="AC325" s="26">
        <f>INDEX(Comparison!$AM$3:$AS$33,AG$14,$G$122)</f>
        <v>499.76142817308812</v>
      </c>
      <c r="AD325" s="26">
        <f>INDEX(Comparison!$AM$3:$AS$33,AH$14,$G$122)</f>
        <v>478.96737917397832</v>
      </c>
      <c r="AE325" s="26">
        <f>INDEX(Comparison!$AM$3:$AS$33,AI$14,$G$122)</f>
        <v>475.66972462501121</v>
      </c>
      <c r="AF325" s="26">
        <f>INDEX(Comparison!$AM$3:$AS$33,AJ$14,$G$122)</f>
        <v>475.44842733478526</v>
      </c>
      <c r="AG325" s="26"/>
      <c r="AH325" s="26"/>
    </row>
    <row r="326" spans="1:34" x14ac:dyDescent="0.25">
      <c r="A326" s="78" t="s">
        <v>22</v>
      </c>
      <c r="B326" s="27">
        <f>($C$17+SUM(B327:B357))*$B$51</f>
        <v>8610.5966910255192</v>
      </c>
      <c r="C326" s="27">
        <f t="shared" ref="C326:AF326" si="333">($C$17+SUM(C327:C357))*$B$51</f>
        <v>8326.4904747262954</v>
      </c>
      <c r="D326" s="27">
        <f t="shared" si="333"/>
        <v>8039.0095673587994</v>
      </c>
      <c r="E326" s="27">
        <f t="shared" si="333"/>
        <v>7764.1622433444072</v>
      </c>
      <c r="F326" s="27">
        <f t="shared" si="333"/>
        <v>7468.1122728085893</v>
      </c>
      <c r="G326" s="27">
        <f t="shared" si="333"/>
        <v>7112.188002143911</v>
      </c>
      <c r="H326" s="27">
        <f t="shared" si="333"/>
        <v>6728.3462419942962</v>
      </c>
      <c r="I326" s="27">
        <f t="shared" si="333"/>
        <v>6384.9228632317399</v>
      </c>
      <c r="J326" s="27">
        <f t="shared" si="333"/>
        <v>6099.796949701491</v>
      </c>
      <c r="K326" s="27">
        <f t="shared" si="333"/>
        <v>5817.0505358996907</v>
      </c>
      <c r="L326" s="27">
        <f t="shared" si="333"/>
        <v>5532.1683094982764</v>
      </c>
      <c r="M326" s="27">
        <f t="shared" si="333"/>
        <v>5254.9800760750322</v>
      </c>
      <c r="N326" s="27">
        <f t="shared" si="333"/>
        <v>4962.7493148518161</v>
      </c>
      <c r="O326" s="27">
        <f t="shared" si="333"/>
        <v>4591.9814634093045</v>
      </c>
      <c r="P326" s="27">
        <f t="shared" si="333"/>
        <v>4168.2699309920472</v>
      </c>
      <c r="Q326" s="27">
        <f t="shared" si="333"/>
        <v>3702.188843213793</v>
      </c>
      <c r="R326" s="27">
        <f t="shared" si="333"/>
        <v>3224.385717527522</v>
      </c>
      <c r="S326" s="27">
        <f t="shared" si="333"/>
        <v>2680.192922837196</v>
      </c>
      <c r="T326" s="27">
        <f t="shared" si="333"/>
        <v>2185.7555153239514</v>
      </c>
      <c r="U326" s="27">
        <f t="shared" si="333"/>
        <v>1577.0284967409264</v>
      </c>
      <c r="V326" s="27">
        <f t="shared" si="333"/>
        <v>1157.2524908132661</v>
      </c>
      <c r="W326" s="27">
        <f t="shared" si="333"/>
        <v>835.23628021300078</v>
      </c>
      <c r="X326" s="27">
        <f t="shared" si="333"/>
        <v>683.18040993124873</v>
      </c>
      <c r="Y326" s="27">
        <f t="shared" si="333"/>
        <v>596.06370904062749</v>
      </c>
      <c r="Z326" s="27">
        <f t="shared" si="333"/>
        <v>557.96012597932975</v>
      </c>
      <c r="AA326" s="27">
        <f t="shared" si="333"/>
        <v>530.83430063986509</v>
      </c>
      <c r="AB326" s="27">
        <f t="shared" si="333"/>
        <v>516.25817718159351</v>
      </c>
      <c r="AC326" s="27">
        <f t="shared" si="333"/>
        <v>514.07243349528721</v>
      </c>
      <c r="AD326" s="27">
        <f t="shared" si="333"/>
        <v>514.05847337975968</v>
      </c>
      <c r="AE326" s="27">
        <f t="shared" si="333"/>
        <v>514.05847337975968</v>
      </c>
      <c r="AF326" s="27">
        <f t="shared" si="333"/>
        <v>514.05847337975968</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3.8405870943749548E-64</v>
      </c>
      <c r="C328" s="3">
        <f t="shared" si="335"/>
        <v>0</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4.6011055037297311E-8</v>
      </c>
      <c r="C329" s="3">
        <f t="shared" si="336"/>
        <v>1.9504551958106262E-58</v>
      </c>
      <c r="D329" s="3">
        <f t="shared" si="336"/>
        <v>0</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8.8282569399864546E-3</v>
      </c>
      <c r="C330" s="3">
        <f t="shared" si="337"/>
        <v>2.5225280218024977E-7</v>
      </c>
      <c r="D330" s="3">
        <f t="shared" si="337"/>
        <v>9.1505320785515546E-53</v>
      </c>
      <c r="E330" s="3">
        <f t="shared" si="337"/>
        <v>0</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2.687593509183505E-2</v>
      </c>
      <c r="C331" s="3">
        <f t="shared" si="338"/>
        <v>1.0458116276397754E-2</v>
      </c>
      <c r="D331" s="3">
        <f t="shared" si="338"/>
        <v>8.3243875677734347E-7</v>
      </c>
      <c r="E331" s="3">
        <f t="shared" si="338"/>
        <v>8.4984661714516099E-48</v>
      </c>
      <c r="F331" s="3">
        <f t="shared" si="338"/>
        <v>0</v>
      </c>
      <c r="G331" s="3">
        <f t="shared" si="338"/>
        <v>0</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2.9603889863265027E-2</v>
      </c>
      <c r="C332" s="3">
        <f t="shared" si="339"/>
        <v>2.7187637899049148E-2</v>
      </c>
      <c r="D332" s="3">
        <f t="shared" si="339"/>
        <v>1.1603752310871306E-2</v>
      </c>
      <c r="E332" s="3">
        <f t="shared" si="339"/>
        <v>2.3273847186389824E-6</v>
      </c>
      <c r="F332" s="3">
        <f t="shared" si="339"/>
        <v>2.4522540675614541E-43</v>
      </c>
      <c r="G332" s="3">
        <f t="shared" si="339"/>
        <v>0</v>
      </c>
      <c r="H332" s="3">
        <f t="shared" si="339"/>
        <v>0</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2.6219033284652239E-2</v>
      </c>
      <c r="C333" s="3">
        <f t="shared" si="340"/>
        <v>2.6018425666959777E-2</v>
      </c>
      <c r="D333" s="3">
        <f t="shared" si="340"/>
        <v>2.409486022540935E-2</v>
      </c>
      <c r="E333" s="3">
        <f t="shared" si="340"/>
        <v>1.1177852607427397E-2</v>
      </c>
      <c r="F333" s="3">
        <f t="shared" si="340"/>
        <v>5.1605745020953101E-6</v>
      </c>
      <c r="G333" s="3">
        <f t="shared" si="340"/>
        <v>2.2703603216960428E-39</v>
      </c>
      <c r="H333" s="3">
        <f t="shared" si="340"/>
        <v>0</v>
      </c>
      <c r="I333" s="3">
        <f t="shared" si="340"/>
        <v>0</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3.2914671994631356E-2</v>
      </c>
      <c r="C334" s="3">
        <f t="shared" si="341"/>
        <v>3.289187470654939E-2</v>
      </c>
      <c r="D334" s="3">
        <f t="shared" si="341"/>
        <v>3.2664768463164885E-2</v>
      </c>
      <c r="E334" s="3">
        <f t="shared" si="341"/>
        <v>3.0478188658696774E-2</v>
      </c>
      <c r="F334" s="3">
        <f t="shared" si="341"/>
        <v>1.5243505139637348E-2</v>
      </c>
      <c r="G334" s="3">
        <f t="shared" si="341"/>
        <v>1.4929378437707722E-5</v>
      </c>
      <c r="H334" s="3">
        <f t="shared" si="341"/>
        <v>1.2123013272183522E-35</v>
      </c>
      <c r="I334" s="3">
        <f t="shared" si="341"/>
        <v>0</v>
      </c>
      <c r="J334" s="3">
        <f t="shared" si="341"/>
        <v>0</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4.0072529913149448E-2</v>
      </c>
      <c r="C335" s="3">
        <f t="shared" si="342"/>
        <v>4.0070025396749066E-2</v>
      </c>
      <c r="D335" s="3">
        <f t="shared" si="342"/>
        <v>4.0044988840348857E-2</v>
      </c>
      <c r="E335" s="3">
        <f t="shared" si="342"/>
        <v>3.9795482049476999E-2</v>
      </c>
      <c r="F335" s="3">
        <f t="shared" si="342"/>
        <v>3.738433825745191E-2</v>
      </c>
      <c r="G335" s="3">
        <f t="shared" si="342"/>
        <v>2.0010086951198026E-2</v>
      </c>
      <c r="H335" s="3">
        <f t="shared" si="342"/>
        <v>3.8622622396282012E-5</v>
      </c>
      <c r="I335" s="3">
        <f t="shared" si="342"/>
        <v>2.7718490870073352E-32</v>
      </c>
      <c r="J335" s="3">
        <f t="shared" si="342"/>
        <v>1.0047264021238845E-303</v>
      </c>
      <c r="K335" s="3">
        <f t="shared" si="342"/>
        <v>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3.9765887928267352E-2</v>
      </c>
      <c r="C336" s="3">
        <f t="shared" si="343"/>
        <v>3.9765663722520127E-2</v>
      </c>
      <c r="D336" s="3">
        <f t="shared" si="343"/>
        <v>3.9763421734572493E-2</v>
      </c>
      <c r="E336" s="3">
        <f t="shared" si="343"/>
        <v>3.9741008806100243E-2</v>
      </c>
      <c r="F336" s="3">
        <f t="shared" si="343"/>
        <v>3.9517573173913301E-2</v>
      </c>
      <c r="G336" s="3">
        <f t="shared" si="343"/>
        <v>3.735115662835075E-2</v>
      </c>
      <c r="H336" s="3">
        <f t="shared" si="343"/>
        <v>2.1254061952058572E-2</v>
      </c>
      <c r="I336" s="3">
        <f t="shared" si="343"/>
        <v>7.5652069850898394E-5</v>
      </c>
      <c r="J336" s="3">
        <f t="shared" si="343"/>
        <v>2.4695029099261568E-29</v>
      </c>
      <c r="K336" s="3">
        <f t="shared" si="343"/>
        <v>3.3923200242542087E-274</v>
      </c>
      <c r="L336" s="3">
        <f t="shared" si="343"/>
        <v>0</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2.9424351367339702E-2</v>
      </c>
      <c r="C337" s="3">
        <f t="shared" si="344"/>
        <v>2.9424336401859406E-2</v>
      </c>
      <c r="D337" s="3">
        <f t="shared" si="344"/>
        <v>2.9424186747475052E-2</v>
      </c>
      <c r="E337" s="3">
        <f t="shared" si="344"/>
        <v>2.9422690245494331E-2</v>
      </c>
      <c r="F337" s="3">
        <f t="shared" si="344"/>
        <v>2.9407729411179473E-2</v>
      </c>
      <c r="G337" s="3">
        <f t="shared" si="344"/>
        <v>2.9258538830686756E-2</v>
      </c>
      <c r="H337" s="3">
        <f t="shared" si="344"/>
        <v>2.7807633704532327E-2</v>
      </c>
      <c r="I337" s="3">
        <f t="shared" si="344"/>
        <v>1.6721607986719497E-2</v>
      </c>
      <c r="J337" s="3">
        <f t="shared" si="344"/>
        <v>1.0337560764887714E-4</v>
      </c>
      <c r="K337" s="3">
        <f t="shared" si="344"/>
        <v>8.429822903527512E-27</v>
      </c>
      <c r="L337" s="3">
        <f t="shared" si="344"/>
        <v>1.0960294061920066E-247</v>
      </c>
      <c r="M337" s="3">
        <f t="shared" si="344"/>
        <v>0</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2.8571416965323056E-2</v>
      </c>
      <c r="C338" s="3">
        <f t="shared" si="345"/>
        <v>2.8571415654445185E-2</v>
      </c>
      <c r="D338" s="3">
        <f t="shared" si="345"/>
        <v>2.8571402545669783E-2</v>
      </c>
      <c r="E338" s="3">
        <f t="shared" si="345"/>
        <v>2.8571271458246551E-2</v>
      </c>
      <c r="F338" s="3">
        <f t="shared" si="345"/>
        <v>2.856996061709282E-2</v>
      </c>
      <c r="G338" s="3">
        <f t="shared" si="345"/>
        <v>2.8556855512854716E-2</v>
      </c>
      <c r="H338" s="3">
        <f t="shared" si="345"/>
        <v>2.8426134639636599E-2</v>
      </c>
      <c r="I338" s="3">
        <f t="shared" si="345"/>
        <v>2.7151389144795979E-2</v>
      </c>
      <c r="J338" s="3">
        <f t="shared" si="345"/>
        <v>1.7160680661484677E-2</v>
      </c>
      <c r="K338" s="3">
        <f t="shared" si="345"/>
        <v>1.7456576024591029E-4</v>
      </c>
      <c r="L338" s="3">
        <f t="shared" si="345"/>
        <v>2.0711168806837482E-24</v>
      </c>
      <c r="M338" s="3">
        <f t="shared" si="345"/>
        <v>1.1446166289935531E-223</v>
      </c>
      <c r="N338" s="3">
        <f t="shared" si="345"/>
        <v>0</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2.94268518919799E-2</v>
      </c>
      <c r="C339" s="3">
        <f t="shared" si="346"/>
        <v>2.9426851770187317E-2</v>
      </c>
      <c r="D339" s="3">
        <f t="shared" si="346"/>
        <v>2.942685055226147E-2</v>
      </c>
      <c r="E339" s="3">
        <f t="shared" si="346"/>
        <v>2.9426838373005793E-2</v>
      </c>
      <c r="F339" s="3">
        <f t="shared" si="346"/>
        <v>2.9426716580726268E-2</v>
      </c>
      <c r="G339" s="3">
        <f t="shared" si="346"/>
        <v>2.9425498685654871E-2</v>
      </c>
      <c r="H339" s="3">
        <f t="shared" si="346"/>
        <v>2.9413322506899275E-2</v>
      </c>
      <c r="I339" s="3">
        <f t="shared" si="346"/>
        <v>2.929183749116402E-2</v>
      </c>
      <c r="J339" s="3">
        <f t="shared" si="346"/>
        <v>2.8104245328447047E-2</v>
      </c>
      <c r="K339" s="3">
        <f t="shared" si="346"/>
        <v>1.8579115989317403E-2</v>
      </c>
      <c r="L339" s="3">
        <f t="shared" si="346"/>
        <v>2.9618034033018932E-4</v>
      </c>
      <c r="M339" s="3">
        <f t="shared" si="346"/>
        <v>3.1395546389112384E-22</v>
      </c>
      <c r="N339" s="3">
        <f t="shared" si="346"/>
        <v>5.623234878397598E-202</v>
      </c>
      <c r="O339" s="3">
        <f t="shared" si="346"/>
        <v>0</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2.8440803505368092E-2</v>
      </c>
      <c r="C340" s="3">
        <f t="shared" si="347"/>
        <v>2.8440803494749537E-2</v>
      </c>
      <c r="D340" s="3">
        <f t="shared" si="347"/>
        <v>2.8440803388563966E-2</v>
      </c>
      <c r="E340" s="3">
        <f t="shared" si="347"/>
        <v>2.844080232670828E-2</v>
      </c>
      <c r="F340" s="3">
        <f t="shared" si="347"/>
        <v>2.8440791708153605E-2</v>
      </c>
      <c r="G340" s="3">
        <f t="shared" si="347"/>
        <v>2.8440685522824905E-2</v>
      </c>
      <c r="H340" s="3">
        <f t="shared" si="347"/>
        <v>2.8439623691342369E-2</v>
      </c>
      <c r="I340" s="3">
        <f t="shared" si="347"/>
        <v>2.8429007556661012E-2</v>
      </c>
      <c r="J340" s="3">
        <f t="shared" si="347"/>
        <v>2.8323063923380035E-2</v>
      </c>
      <c r="K340" s="3">
        <f t="shared" si="347"/>
        <v>2.7285101170181507E-2</v>
      </c>
      <c r="L340" s="3">
        <f t="shared" si="347"/>
        <v>1.8783604162696518E-2</v>
      </c>
      <c r="M340" s="3">
        <f t="shared" si="347"/>
        <v>4.4906842353042872E-4</v>
      </c>
      <c r="N340" s="3">
        <f t="shared" si="347"/>
        <v>2.7393556998616848E-20</v>
      </c>
      <c r="O340" s="3">
        <f t="shared" si="347"/>
        <v>1.9543733188441375E-182</v>
      </c>
      <c r="P340" s="3">
        <f t="shared" si="347"/>
        <v>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2.6740342475566031E-2</v>
      </c>
      <c r="C341" s="3">
        <f t="shared" si="348"/>
        <v>2.6740342474665422E-2</v>
      </c>
      <c r="D341" s="3">
        <f t="shared" si="348"/>
        <v>2.6740342465659313E-2</v>
      </c>
      <c r="E341" s="3">
        <f t="shared" si="348"/>
        <v>2.6740342375598223E-2</v>
      </c>
      <c r="F341" s="3">
        <f t="shared" si="348"/>
        <v>2.6740341474987338E-2</v>
      </c>
      <c r="G341" s="3">
        <f t="shared" si="348"/>
        <v>2.6740332468880149E-2</v>
      </c>
      <c r="H341" s="3">
        <f t="shared" si="348"/>
        <v>2.6740242407975099E-2</v>
      </c>
      <c r="I341" s="3">
        <f t="shared" si="348"/>
        <v>2.6739341815607227E-2</v>
      </c>
      <c r="J341" s="3">
        <f t="shared" si="348"/>
        <v>2.6730337559982068E-2</v>
      </c>
      <c r="K341" s="3">
        <f t="shared" si="348"/>
        <v>2.6640461601409513E-2</v>
      </c>
      <c r="L341" s="3">
        <f t="shared" si="348"/>
        <v>2.5758156034136843E-2</v>
      </c>
      <c r="M341" s="3">
        <f t="shared" si="348"/>
        <v>1.8392679801976407E-2</v>
      </c>
      <c r="N341" s="3">
        <f t="shared" si="348"/>
        <v>6.3379296798241687E-4</v>
      </c>
      <c r="O341" s="3">
        <f t="shared" si="348"/>
        <v>1.4961373907370295E-18</v>
      </c>
      <c r="P341" s="3">
        <f t="shared" si="348"/>
        <v>8.0391860755901696E-165</v>
      </c>
      <c r="Q341" s="3">
        <f t="shared" si="348"/>
        <v>0</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3.6384067061717415E-2</v>
      </c>
      <c r="C342" s="3">
        <f t="shared" si="349"/>
        <v>3.6384067061606871E-2</v>
      </c>
      <c r="D342" s="3">
        <f t="shared" si="349"/>
        <v>3.638406706050145E-2</v>
      </c>
      <c r="E342" s="3">
        <f t="shared" si="349"/>
        <v>3.638406704944723E-2</v>
      </c>
      <c r="F342" s="3">
        <f t="shared" si="349"/>
        <v>3.6384066938905037E-2</v>
      </c>
      <c r="G342" s="3">
        <f t="shared" si="349"/>
        <v>3.6384065833483144E-2</v>
      </c>
      <c r="H342" s="3">
        <f t="shared" si="349"/>
        <v>3.6384054779266053E-2</v>
      </c>
      <c r="I342" s="3">
        <f t="shared" si="349"/>
        <v>3.6383944237279822E-2</v>
      </c>
      <c r="J342" s="3">
        <f t="shared" si="349"/>
        <v>3.6382838835888998E-2</v>
      </c>
      <c r="K342" s="3">
        <f t="shared" si="349"/>
        <v>3.637178666892317E-2</v>
      </c>
      <c r="L342" s="3">
        <f t="shared" si="349"/>
        <v>3.6261449486048383E-2</v>
      </c>
      <c r="M342" s="3">
        <f t="shared" si="349"/>
        <v>3.5176320622167238E-2</v>
      </c>
      <c r="N342" s="3">
        <f t="shared" si="349"/>
        <v>2.5959894289452952E-2</v>
      </c>
      <c r="O342" s="3">
        <f t="shared" si="349"/>
        <v>1.244021840879412E-3</v>
      </c>
      <c r="P342" s="3">
        <f t="shared" si="349"/>
        <v>7.9447248435174763E-17</v>
      </c>
      <c r="Q342" s="3">
        <f t="shared" si="349"/>
        <v>8.9657662857470756E-149</v>
      </c>
      <c r="R342" s="3">
        <f t="shared" si="349"/>
        <v>0</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4.1964426446167248E-2</v>
      </c>
      <c r="C343" s="3">
        <f t="shared" si="350"/>
        <v>4.1964426446155743E-2</v>
      </c>
      <c r="D343" s="3">
        <f t="shared" si="350"/>
        <v>4.1964426446040731E-2</v>
      </c>
      <c r="E343" s="3">
        <f t="shared" si="350"/>
        <v>4.196442644489061E-2</v>
      </c>
      <c r="F343" s="3">
        <f t="shared" si="350"/>
        <v>4.1964426433389372E-2</v>
      </c>
      <c r="G343" s="3">
        <f t="shared" si="350"/>
        <v>4.1964426318376956E-2</v>
      </c>
      <c r="H343" s="3">
        <f t="shared" si="350"/>
        <v>4.1964425168252863E-2</v>
      </c>
      <c r="I343" s="3">
        <f t="shared" si="350"/>
        <v>4.1964413667013645E-2</v>
      </c>
      <c r="J343" s="3">
        <f t="shared" si="350"/>
        <v>4.196429865479484E-2</v>
      </c>
      <c r="K343" s="3">
        <f t="shared" si="350"/>
        <v>4.1963148549943492E-2</v>
      </c>
      <c r="L343" s="3">
        <f t="shared" si="350"/>
        <v>4.1951649234922207E-2</v>
      </c>
      <c r="M343" s="3">
        <f t="shared" si="350"/>
        <v>4.1836829258267802E-2</v>
      </c>
      <c r="N343" s="3">
        <f t="shared" si="350"/>
        <v>4.0705772518551543E-2</v>
      </c>
      <c r="O343" s="3">
        <f t="shared" si="350"/>
        <v>3.0947700622251828E-2</v>
      </c>
      <c r="P343" s="3">
        <f t="shared" si="350"/>
        <v>1.9968812742162125E-3</v>
      </c>
      <c r="Q343" s="3">
        <f t="shared" si="350"/>
        <v>2.4979907077425764E-15</v>
      </c>
      <c r="R343" s="3">
        <f t="shared" si="350"/>
        <v>2.3441022928013122E-134</v>
      </c>
      <c r="S343" s="3">
        <f t="shared" si="350"/>
        <v>0</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4.8106928297009549E-2</v>
      </c>
      <c r="C344" s="3">
        <f t="shared" si="351"/>
        <v>4.8106928297008363E-2</v>
      </c>
      <c r="D344" s="3">
        <f t="shared" si="351"/>
        <v>4.8106928296996469E-2</v>
      </c>
      <c r="E344" s="3">
        <f t="shared" si="351"/>
        <v>4.810692829687753E-2</v>
      </c>
      <c r="F344" s="3">
        <f t="shared" si="351"/>
        <v>4.8106928295688155E-2</v>
      </c>
      <c r="G344" s="3">
        <f t="shared" si="351"/>
        <v>4.810692828379444E-2</v>
      </c>
      <c r="H344" s="3">
        <f t="shared" si="351"/>
        <v>4.810692816485726E-2</v>
      </c>
      <c r="I344" s="3">
        <f t="shared" si="351"/>
        <v>4.8106926975485485E-2</v>
      </c>
      <c r="J344" s="3">
        <f t="shared" si="351"/>
        <v>4.8106915081769314E-2</v>
      </c>
      <c r="K344" s="3">
        <f t="shared" si="351"/>
        <v>4.8106796144769357E-2</v>
      </c>
      <c r="L344" s="3">
        <f t="shared" si="351"/>
        <v>4.8105606790942668E-2</v>
      </c>
      <c r="M344" s="3">
        <f t="shared" si="351"/>
        <v>4.8093714869810421E-2</v>
      </c>
      <c r="N344" s="3">
        <f t="shared" si="351"/>
        <v>4.7974957224123829E-2</v>
      </c>
      <c r="O344" s="3">
        <f t="shared" si="351"/>
        <v>4.6803390507820952E-2</v>
      </c>
      <c r="P344" s="3">
        <f t="shared" si="351"/>
        <v>3.6551441146695111E-2</v>
      </c>
      <c r="Q344" s="3">
        <f t="shared" si="351"/>
        <v>3.0844405422008597E-3</v>
      </c>
      <c r="R344" s="3">
        <f t="shared" si="351"/>
        <v>5.6480090299855458E-14</v>
      </c>
      <c r="S344" s="3">
        <f t="shared" si="351"/>
        <v>2.3937851985232705E-121</v>
      </c>
      <c r="T344" s="3">
        <f t="shared" si="351"/>
        <v>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4.6100301020196383E-2</v>
      </c>
      <c r="C345" s="3">
        <f t="shared" si="352"/>
        <v>4.6100301020196278E-2</v>
      </c>
      <c r="D345" s="3">
        <f t="shared" si="352"/>
        <v>4.6100301020195252E-2</v>
      </c>
      <c r="E345" s="3">
        <f t="shared" si="352"/>
        <v>4.6100301020184968E-2</v>
      </c>
      <c r="F345" s="3">
        <f t="shared" si="352"/>
        <v>4.6100301020082154E-2</v>
      </c>
      <c r="G345" s="3">
        <f t="shared" si="352"/>
        <v>4.6100301019053991E-2</v>
      </c>
      <c r="H345" s="3">
        <f t="shared" si="352"/>
        <v>4.6100301008772396E-2</v>
      </c>
      <c r="I345" s="3">
        <f t="shared" si="352"/>
        <v>4.610030090595648E-2</v>
      </c>
      <c r="J345" s="3">
        <f t="shared" si="352"/>
        <v>4.6100299877797304E-2</v>
      </c>
      <c r="K345" s="3">
        <f t="shared" si="352"/>
        <v>4.6100289596206837E-2</v>
      </c>
      <c r="L345" s="3">
        <f t="shared" si="352"/>
        <v>4.6100186780428223E-2</v>
      </c>
      <c r="M345" s="3">
        <f t="shared" si="352"/>
        <v>4.609915863525392E-2</v>
      </c>
      <c r="N345" s="3">
        <f t="shared" si="352"/>
        <v>4.6088878444582725E-2</v>
      </c>
      <c r="O345" s="3">
        <f t="shared" si="352"/>
        <v>4.5986202541054039E-2</v>
      </c>
      <c r="P345" s="3">
        <f t="shared" si="352"/>
        <v>4.497194046387009E-2</v>
      </c>
      <c r="Q345" s="3">
        <f t="shared" si="352"/>
        <v>3.5981761426876216E-2</v>
      </c>
      <c r="R345" s="3">
        <f t="shared" si="352"/>
        <v>3.868034562813811E-3</v>
      </c>
      <c r="S345" s="3">
        <f t="shared" si="352"/>
        <v>7.9720425829051796E-13</v>
      </c>
      <c r="T345" s="3">
        <f t="shared" si="352"/>
        <v>1.1024584930260055E-109</v>
      </c>
      <c r="U345" s="3">
        <f t="shared" si="352"/>
        <v>0</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6.1544571271861997E-2</v>
      </c>
      <c r="C346" s="3">
        <f t="shared" si="353"/>
        <v>6.1544571271861984E-2</v>
      </c>
      <c r="D346" s="3">
        <f t="shared" si="353"/>
        <v>6.1544571271861859E-2</v>
      </c>
      <c r="E346" s="3">
        <f t="shared" si="353"/>
        <v>6.1544571271860624E-2</v>
      </c>
      <c r="F346" s="3">
        <f t="shared" si="353"/>
        <v>6.1544571271848245E-2</v>
      </c>
      <c r="G346" s="3">
        <f t="shared" si="353"/>
        <v>6.154457127172442E-2</v>
      </c>
      <c r="H346" s="3">
        <f t="shared" si="353"/>
        <v>6.1544571270486216E-2</v>
      </c>
      <c r="I346" s="3">
        <f t="shared" si="353"/>
        <v>6.1544571258104148E-2</v>
      </c>
      <c r="J346" s="3">
        <f t="shared" si="353"/>
        <v>6.1544571134283542E-2</v>
      </c>
      <c r="K346" s="3">
        <f t="shared" si="353"/>
        <v>6.1544569896077456E-2</v>
      </c>
      <c r="L346" s="3">
        <f t="shared" si="353"/>
        <v>6.1544557514017925E-2</v>
      </c>
      <c r="M346" s="3">
        <f t="shared" si="353"/>
        <v>6.154443369355965E-2</v>
      </c>
      <c r="N346" s="3">
        <f t="shared" si="353"/>
        <v>6.1543195502677964E-2</v>
      </c>
      <c r="O346" s="3">
        <f t="shared" si="353"/>
        <v>6.1530814963868558E-2</v>
      </c>
      <c r="P346" s="3">
        <f t="shared" si="353"/>
        <v>6.1407146474582383E-2</v>
      </c>
      <c r="Q346" s="3">
        <f t="shared" si="353"/>
        <v>6.0184050101477017E-2</v>
      </c>
      <c r="R346" s="3">
        <f t="shared" si="353"/>
        <v>4.9216003809145932E-2</v>
      </c>
      <c r="S346" s="3">
        <f t="shared" si="353"/>
        <v>6.5819672629409357E-3</v>
      </c>
      <c r="T346" s="3">
        <f t="shared" si="353"/>
        <v>1.2046182066401215E-11</v>
      </c>
      <c r="U346" s="3">
        <f t="shared" si="353"/>
        <v>5.0790965924573184E-99</v>
      </c>
      <c r="V346" s="3">
        <f t="shared" si="353"/>
        <v>0</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2.0548359308290503E-2</v>
      </c>
      <c r="C347" s="3">
        <f t="shared" si="354"/>
        <v>2.0548359308290503E-2</v>
      </c>
      <c r="D347" s="3">
        <f t="shared" si="354"/>
        <v>2.0548359308290499E-2</v>
      </c>
      <c r="E347" s="3">
        <f t="shared" si="354"/>
        <v>2.0548359308290461E-2</v>
      </c>
      <c r="F347" s="3">
        <f t="shared" si="354"/>
        <v>2.0548359308290087E-2</v>
      </c>
      <c r="G347" s="3">
        <f t="shared" si="354"/>
        <v>2.054835930828636E-2</v>
      </c>
      <c r="H347" s="3">
        <f t="shared" si="354"/>
        <v>2.0548359308249067E-2</v>
      </c>
      <c r="I347" s="3">
        <f t="shared" si="354"/>
        <v>2.0548359307876136E-2</v>
      </c>
      <c r="J347" s="3">
        <f t="shared" si="354"/>
        <v>2.0548359304146838E-2</v>
      </c>
      <c r="K347" s="3">
        <f t="shared" si="354"/>
        <v>2.0548359266853871E-2</v>
      </c>
      <c r="L347" s="3">
        <f t="shared" si="354"/>
        <v>2.0548358893924212E-2</v>
      </c>
      <c r="M347" s="3">
        <f t="shared" si="354"/>
        <v>2.0548355164627961E-2</v>
      </c>
      <c r="N347" s="3">
        <f t="shared" si="354"/>
        <v>2.0548317871702703E-2</v>
      </c>
      <c r="O347" s="3">
        <f t="shared" si="354"/>
        <v>2.0547944946172621E-2</v>
      </c>
      <c r="P347" s="3">
        <f t="shared" si="354"/>
        <v>2.0544216063098045E-2</v>
      </c>
      <c r="Q347" s="3">
        <f t="shared" si="354"/>
        <v>2.0506964429994355E-2</v>
      </c>
      <c r="R347" s="3">
        <f t="shared" si="354"/>
        <v>2.0138143005431292E-2</v>
      </c>
      <c r="S347" s="3">
        <f t="shared" si="354"/>
        <v>1.6795767140310811E-2</v>
      </c>
      <c r="T347" s="3">
        <f t="shared" si="354"/>
        <v>2.73529447343536E-3</v>
      </c>
      <c r="U347" s="3">
        <f t="shared" si="354"/>
        <v>3.5896038254179452E-11</v>
      </c>
      <c r="V347" s="3">
        <f t="shared" si="354"/>
        <v>5.4383960629054912E-90</v>
      </c>
      <c r="W347" s="3">
        <f t="shared" si="354"/>
        <v>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6.8598536150208847E-2</v>
      </c>
      <c r="C348" s="3">
        <f t="shared" si="355"/>
        <v>6.8598536150208847E-2</v>
      </c>
      <c r="D348" s="3">
        <f t="shared" si="355"/>
        <v>6.8598536150208833E-2</v>
      </c>
      <c r="E348" s="3">
        <f t="shared" si="355"/>
        <v>6.8598536150208805E-2</v>
      </c>
      <c r="F348" s="3">
        <f t="shared" si="355"/>
        <v>6.8598536150208472E-2</v>
      </c>
      <c r="G348" s="3">
        <f t="shared" si="355"/>
        <v>6.8598536150205031E-2</v>
      </c>
      <c r="H348" s="3">
        <f t="shared" si="355"/>
        <v>6.8598536150170586E-2</v>
      </c>
      <c r="I348" s="3">
        <f t="shared" si="355"/>
        <v>6.8598536149826264E-2</v>
      </c>
      <c r="J348" s="3">
        <f t="shared" si="355"/>
        <v>6.8598536146382935E-2</v>
      </c>
      <c r="K348" s="3">
        <f t="shared" si="355"/>
        <v>6.8598536111949729E-2</v>
      </c>
      <c r="L348" s="3">
        <f t="shared" si="355"/>
        <v>6.8598535767617652E-2</v>
      </c>
      <c r="M348" s="3">
        <f t="shared" si="355"/>
        <v>6.8598532324296912E-2</v>
      </c>
      <c r="N348" s="3">
        <f t="shared" si="355"/>
        <v>6.859849789109905E-2</v>
      </c>
      <c r="O348" s="3">
        <f t="shared" si="355"/>
        <v>6.859815356007111E-2</v>
      </c>
      <c r="P348" s="3">
        <f t="shared" si="355"/>
        <v>6.8594710344850832E-2</v>
      </c>
      <c r="Q348" s="3">
        <f t="shared" si="355"/>
        <v>6.8560287696796424E-2</v>
      </c>
      <c r="R348" s="3">
        <f t="shared" si="355"/>
        <v>6.8217009868322104E-2</v>
      </c>
      <c r="S348" s="3">
        <f t="shared" si="355"/>
        <v>6.4877358336411964E-2</v>
      </c>
      <c r="T348" s="3">
        <f t="shared" si="355"/>
        <v>3.9273349852411911E-2</v>
      </c>
      <c r="U348" s="3">
        <f t="shared" si="355"/>
        <v>2.59505059401E-4</v>
      </c>
      <c r="V348" s="3">
        <f t="shared" si="355"/>
        <v>4.1174151686011287E-26</v>
      </c>
      <c r="W348" s="3">
        <f t="shared" si="355"/>
        <v>4.163062847424123E-244</v>
      </c>
      <c r="X348" s="3">
        <f t="shared" si="355"/>
        <v>0</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4.2430467850210242E-2</v>
      </c>
      <c r="C349" s="3">
        <f t="shared" si="356"/>
        <v>4.2430467850210242E-2</v>
      </c>
      <c r="D349" s="3">
        <f t="shared" si="356"/>
        <v>4.2430467850210242E-2</v>
      </c>
      <c r="E349" s="3">
        <f t="shared" si="356"/>
        <v>4.2430467850210235E-2</v>
      </c>
      <c r="F349" s="3">
        <f t="shared" si="356"/>
        <v>4.2430467850210221E-2</v>
      </c>
      <c r="G349" s="3">
        <f t="shared" si="356"/>
        <v>4.2430467850210006E-2</v>
      </c>
      <c r="H349" s="3">
        <f t="shared" si="356"/>
        <v>4.2430467850207876E-2</v>
      </c>
      <c r="I349" s="3">
        <f t="shared" si="356"/>
        <v>4.2430467850186573E-2</v>
      </c>
      <c r="J349" s="3">
        <f t="shared" si="356"/>
        <v>4.2430467849973598E-2</v>
      </c>
      <c r="K349" s="3">
        <f t="shared" si="356"/>
        <v>4.2430467847843788E-2</v>
      </c>
      <c r="L349" s="3">
        <f t="shared" si="356"/>
        <v>4.2430467826545713E-2</v>
      </c>
      <c r="M349" s="3">
        <f t="shared" si="356"/>
        <v>4.2430467613564907E-2</v>
      </c>
      <c r="N349" s="3">
        <f t="shared" si="356"/>
        <v>4.2430465483756924E-2</v>
      </c>
      <c r="O349" s="3">
        <f t="shared" si="356"/>
        <v>4.2430444185682988E-2</v>
      </c>
      <c r="P349" s="3">
        <f t="shared" si="356"/>
        <v>4.2430231205531653E-2</v>
      </c>
      <c r="Q349" s="3">
        <f t="shared" si="356"/>
        <v>4.242810146281549E-2</v>
      </c>
      <c r="R349" s="3">
        <f t="shared" si="356"/>
        <v>4.2406809914284575E-2</v>
      </c>
      <c r="S349" s="3">
        <f t="shared" si="356"/>
        <v>4.2194481201717357E-2</v>
      </c>
      <c r="T349" s="3">
        <f t="shared" si="356"/>
        <v>4.0128796058738009E-2</v>
      </c>
      <c r="U349" s="3">
        <f t="shared" si="356"/>
        <v>2.4291868337160565E-2</v>
      </c>
      <c r="V349" s="3">
        <f t="shared" si="356"/>
        <v>1.6051247880524206E-4</v>
      </c>
      <c r="W349" s="3">
        <f t="shared" si="356"/>
        <v>2.546757726065067E-26</v>
      </c>
      <c r="X349" s="3">
        <f t="shared" si="356"/>
        <v>2.574992328105185E-244</v>
      </c>
      <c r="Y349" s="3">
        <f t="shared" si="356"/>
        <v>0</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4.2564807754428377E-2</v>
      </c>
      <c r="C350" s="3">
        <f t="shared" si="357"/>
        <v>4.2564807754428377E-2</v>
      </c>
      <c r="D350" s="3">
        <f t="shared" si="357"/>
        <v>4.2564807754428377E-2</v>
      </c>
      <c r="E350" s="3">
        <f t="shared" si="357"/>
        <v>4.2564807754428377E-2</v>
      </c>
      <c r="F350" s="3">
        <f t="shared" si="357"/>
        <v>4.256480775442837E-2</v>
      </c>
      <c r="G350" s="3">
        <f t="shared" si="357"/>
        <v>4.2564807754428356E-2</v>
      </c>
      <c r="H350" s="3">
        <f t="shared" si="357"/>
        <v>4.2564807754428141E-2</v>
      </c>
      <c r="I350" s="3">
        <f t="shared" si="357"/>
        <v>4.2564807754426004E-2</v>
      </c>
      <c r="J350" s="3">
        <f t="shared" si="357"/>
        <v>4.2564807754404632E-2</v>
      </c>
      <c r="K350" s="3">
        <f t="shared" si="357"/>
        <v>4.2564807754190984E-2</v>
      </c>
      <c r="L350" s="3">
        <f t="shared" si="357"/>
        <v>4.2564807752054429E-2</v>
      </c>
      <c r="M350" s="3">
        <f t="shared" si="357"/>
        <v>4.2564807730688922E-2</v>
      </c>
      <c r="N350" s="3">
        <f t="shared" si="357"/>
        <v>4.2564807517033794E-2</v>
      </c>
      <c r="O350" s="3">
        <f t="shared" si="357"/>
        <v>4.2564805380482587E-2</v>
      </c>
      <c r="P350" s="3">
        <f t="shared" si="357"/>
        <v>4.2564784014976417E-2</v>
      </c>
      <c r="Q350" s="3">
        <f t="shared" si="357"/>
        <v>4.2564570360504608E-2</v>
      </c>
      <c r="R350" s="3">
        <f t="shared" si="357"/>
        <v>4.2562433874769878E-2</v>
      </c>
      <c r="S350" s="3">
        <f t="shared" si="357"/>
        <v>4.2541074914665744E-2</v>
      </c>
      <c r="T350" s="3">
        <f t="shared" si="357"/>
        <v>4.2328073944158551E-2</v>
      </c>
      <c r="U350" s="3">
        <f t="shared" si="357"/>
        <v>4.0255848596502879E-2</v>
      </c>
      <c r="V350" s="3">
        <f t="shared" si="357"/>
        <v>2.4368779279486587E-2</v>
      </c>
      <c r="W350" s="3">
        <f t="shared" si="357"/>
        <v>1.6102068039058955E-4</v>
      </c>
      <c r="X350" s="3">
        <f t="shared" si="357"/>
        <v>2.5548210637165438E-26</v>
      </c>
      <c r="Y350" s="3">
        <f t="shared" si="357"/>
        <v>2.5831450598624986E-244</v>
      </c>
      <c r="Z350" s="3">
        <f t="shared" si="357"/>
        <v>0</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1.7794430151868639E-2</v>
      </c>
      <c r="C351" s="3">
        <f t="shared" si="358"/>
        <v>1.7794430151868639E-2</v>
      </c>
      <c r="D351" s="3">
        <f t="shared" si="358"/>
        <v>1.7794430151868639E-2</v>
      </c>
      <c r="E351" s="3">
        <f t="shared" si="358"/>
        <v>1.7794430151868639E-2</v>
      </c>
      <c r="F351" s="3">
        <f t="shared" si="358"/>
        <v>1.7794430151868639E-2</v>
      </c>
      <c r="G351" s="3">
        <f t="shared" si="358"/>
        <v>1.7794430151868636E-2</v>
      </c>
      <c r="H351" s="3">
        <f t="shared" si="358"/>
        <v>1.7794430151868629E-2</v>
      </c>
      <c r="I351" s="3">
        <f t="shared" si="358"/>
        <v>1.7794430151868542E-2</v>
      </c>
      <c r="J351" s="3">
        <f t="shared" si="358"/>
        <v>1.7794430151867647E-2</v>
      </c>
      <c r="K351" s="3">
        <f t="shared" si="358"/>
        <v>1.7794430151858713E-2</v>
      </c>
      <c r="L351" s="3">
        <f t="shared" si="358"/>
        <v>1.7794430151769396E-2</v>
      </c>
      <c r="M351" s="3">
        <f t="shared" si="358"/>
        <v>1.77944301508762E-2</v>
      </c>
      <c r="N351" s="3">
        <f t="shared" si="358"/>
        <v>1.7794430141944241E-2</v>
      </c>
      <c r="O351" s="3">
        <f t="shared" si="358"/>
        <v>1.7794430052624651E-2</v>
      </c>
      <c r="P351" s="3">
        <f t="shared" si="358"/>
        <v>1.7794429159428762E-2</v>
      </c>
      <c r="Q351" s="3">
        <f t="shared" si="358"/>
        <v>1.7794420227472359E-2</v>
      </c>
      <c r="R351" s="3">
        <f t="shared" si="358"/>
        <v>1.7794330908154927E-2</v>
      </c>
      <c r="S351" s="3">
        <f t="shared" si="358"/>
        <v>1.7793437739638897E-2</v>
      </c>
      <c r="T351" s="3">
        <f t="shared" si="358"/>
        <v>1.7784508519850514E-2</v>
      </c>
      <c r="U351" s="3">
        <f t="shared" si="358"/>
        <v>1.7695462401896976E-2</v>
      </c>
      <c r="V351" s="3">
        <f t="shared" si="358"/>
        <v>1.682915826114929E-2</v>
      </c>
      <c r="W351" s="3">
        <f t="shared" si="358"/>
        <v>1.0187489704567357E-2</v>
      </c>
      <c r="X351" s="3">
        <f t="shared" si="358"/>
        <v>6.7315498445276348E-5</v>
      </c>
      <c r="Y351" s="3">
        <f t="shared" si="358"/>
        <v>1.0680556865453486E-26</v>
      </c>
      <c r="Z351" s="3">
        <f t="shared" si="358"/>
        <v>1.0798966743855568E-244</v>
      </c>
      <c r="AA351" s="3">
        <f t="shared" si="358"/>
        <v>0</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1.1846247724533283E-2</v>
      </c>
      <c r="C352" s="3">
        <f t="shared" si="359"/>
        <v>1.1846247724533283E-2</v>
      </c>
      <c r="D352" s="3">
        <f t="shared" si="359"/>
        <v>1.1846247724533283E-2</v>
      </c>
      <c r="E352" s="3">
        <f t="shared" si="359"/>
        <v>1.1846247724533283E-2</v>
      </c>
      <c r="F352" s="3">
        <f t="shared" si="359"/>
        <v>1.1846247724533283E-2</v>
      </c>
      <c r="G352" s="3">
        <f t="shared" si="359"/>
        <v>1.1846247724533283E-2</v>
      </c>
      <c r="H352" s="3">
        <f t="shared" si="359"/>
        <v>1.1846247724533281E-2</v>
      </c>
      <c r="I352" s="3">
        <f t="shared" si="359"/>
        <v>1.1846247724533276E-2</v>
      </c>
      <c r="J352" s="3">
        <f t="shared" si="359"/>
        <v>1.1846247724533217E-2</v>
      </c>
      <c r="K352" s="3">
        <f t="shared" si="359"/>
        <v>1.1846247724532622E-2</v>
      </c>
      <c r="L352" s="3">
        <f t="shared" si="359"/>
        <v>1.1846247724526675E-2</v>
      </c>
      <c r="M352" s="3">
        <f t="shared" si="359"/>
        <v>1.1846247724467214E-2</v>
      </c>
      <c r="N352" s="3">
        <f t="shared" si="359"/>
        <v>1.1846247723872588E-2</v>
      </c>
      <c r="O352" s="3">
        <f t="shared" si="359"/>
        <v>1.1846247717926335E-2</v>
      </c>
      <c r="P352" s="3">
        <f t="shared" si="359"/>
        <v>1.1846247658463795E-2</v>
      </c>
      <c r="Q352" s="3">
        <f t="shared" si="359"/>
        <v>1.1846247063838418E-2</v>
      </c>
      <c r="R352" s="3">
        <f t="shared" si="359"/>
        <v>1.1846241117586287E-2</v>
      </c>
      <c r="S352" s="3">
        <f t="shared" si="359"/>
        <v>1.1846181655229141E-2</v>
      </c>
      <c r="T352" s="3">
        <f t="shared" si="359"/>
        <v>1.1845587048073401E-2</v>
      </c>
      <c r="U352" s="3">
        <f t="shared" si="359"/>
        <v>1.183964261778273E-2</v>
      </c>
      <c r="V352" s="3">
        <f t="shared" si="359"/>
        <v>1.1780362137138912E-2</v>
      </c>
      <c r="W352" s="3">
        <f t="shared" si="359"/>
        <v>1.1203639344191907E-2</v>
      </c>
      <c r="X352" s="3">
        <f t="shared" si="359"/>
        <v>6.782095616518745E-3</v>
      </c>
      <c r="Y352" s="3">
        <f t="shared" si="359"/>
        <v>4.4813802042401331E-5</v>
      </c>
      <c r="Z352" s="3">
        <f t="shared" si="359"/>
        <v>7.1103441573733125E-27</v>
      </c>
      <c r="AA352" s="3">
        <f t="shared" si="359"/>
        <v>7.18917291112442E-245</v>
      </c>
      <c r="AB352" s="3">
        <f t="shared" si="359"/>
        <v>0</v>
      </c>
      <c r="AC352" s="3">
        <f t="shared" si="359"/>
        <v>0</v>
      </c>
      <c r="AD352" s="3">
        <f t="shared" si="359"/>
        <v>0</v>
      </c>
      <c r="AE352" s="3">
        <f t="shared" si="359"/>
        <v>0</v>
      </c>
      <c r="AF352" s="3">
        <f t="shared" si="359"/>
        <v>0</v>
      </c>
      <c r="AG352" s="3"/>
      <c r="AH352" s="3"/>
    </row>
    <row r="353" spans="1:34" x14ac:dyDescent="0.25">
      <c r="B353" s="3">
        <f t="shared" ref="B353:AF353" si="360">$C44*EXP(-B$363/$A44/EXP(-$G$126))</f>
        <v>4.239833197731321E-3</v>
      </c>
      <c r="C353" s="3">
        <f t="shared" si="360"/>
        <v>4.239833197731321E-3</v>
      </c>
      <c r="D353" s="3">
        <f t="shared" si="360"/>
        <v>4.239833197731321E-3</v>
      </c>
      <c r="E353" s="3">
        <f t="shared" si="360"/>
        <v>4.239833197731321E-3</v>
      </c>
      <c r="F353" s="3">
        <f t="shared" si="360"/>
        <v>4.239833197731321E-3</v>
      </c>
      <c r="G353" s="3">
        <f t="shared" si="360"/>
        <v>4.239833197731321E-3</v>
      </c>
      <c r="H353" s="3">
        <f t="shared" si="360"/>
        <v>4.239833197731321E-3</v>
      </c>
      <c r="I353" s="3">
        <f t="shared" si="360"/>
        <v>4.2398331977313202E-3</v>
      </c>
      <c r="J353" s="3">
        <f t="shared" si="360"/>
        <v>4.2398331977313184E-3</v>
      </c>
      <c r="K353" s="3">
        <f t="shared" si="360"/>
        <v>4.2398331977312976E-3</v>
      </c>
      <c r="L353" s="3">
        <f t="shared" si="360"/>
        <v>4.2398331977310851E-3</v>
      </c>
      <c r="M353" s="3">
        <f t="shared" si="360"/>
        <v>4.2398331977289557E-3</v>
      </c>
      <c r="N353" s="3">
        <f t="shared" si="360"/>
        <v>4.239833197707675E-3</v>
      </c>
      <c r="O353" s="3">
        <f t="shared" si="360"/>
        <v>4.2398331974948548E-3</v>
      </c>
      <c r="P353" s="3">
        <f t="shared" si="360"/>
        <v>4.2398331953666605E-3</v>
      </c>
      <c r="Q353" s="3">
        <f t="shared" si="360"/>
        <v>4.2398331740847103E-3</v>
      </c>
      <c r="R353" s="3">
        <f t="shared" si="360"/>
        <v>4.2398329612652191E-3</v>
      </c>
      <c r="S353" s="3">
        <f t="shared" si="360"/>
        <v>4.2398308330708935E-3</v>
      </c>
      <c r="T353" s="3">
        <f t="shared" si="360"/>
        <v>4.2398095511863923E-3</v>
      </c>
      <c r="U353" s="3">
        <f t="shared" si="360"/>
        <v>4.2395967382166536E-3</v>
      </c>
      <c r="V353" s="3">
        <f t="shared" si="360"/>
        <v>4.2374691959371023E-3</v>
      </c>
      <c r="W353" s="3">
        <f t="shared" si="360"/>
        <v>4.2162524059749431E-3</v>
      </c>
      <c r="X353" s="3">
        <f t="shared" si="360"/>
        <v>4.0098403419792641E-3</v>
      </c>
      <c r="Y353" s="3">
        <f t="shared" si="360"/>
        <v>2.4273470227668343E-3</v>
      </c>
      <c r="Z353" s="3">
        <f t="shared" si="360"/>
        <v>1.6039091029849162E-5</v>
      </c>
      <c r="AA353" s="3">
        <f t="shared" si="360"/>
        <v>2.5448288695916178E-27</v>
      </c>
      <c r="AB353" s="3">
        <f t="shared" si="360"/>
        <v>2.573042087385263E-245</v>
      </c>
      <c r="AC353" s="3">
        <f t="shared" si="360"/>
        <v>0</v>
      </c>
      <c r="AD353" s="3">
        <f t="shared" si="360"/>
        <v>0</v>
      </c>
      <c r="AE353" s="3">
        <f t="shared" si="360"/>
        <v>0</v>
      </c>
      <c r="AF353" s="3">
        <f t="shared" si="360"/>
        <v>0</v>
      </c>
      <c r="AG353" s="3"/>
      <c r="AH353" s="3"/>
    </row>
    <row r="354" spans="1:34" x14ac:dyDescent="0.25">
      <c r="B354" s="3">
        <f t="shared" ref="B354:AF354" si="361">$C45*EXP(-B$363/$A45/EXP(-$G$126))</f>
        <v>3.1413173103933909E-3</v>
      </c>
      <c r="C354" s="3">
        <f t="shared" si="361"/>
        <v>3.1413173103933909E-3</v>
      </c>
      <c r="D354" s="3">
        <f t="shared" si="361"/>
        <v>3.1413173103933909E-3</v>
      </c>
      <c r="E354" s="3">
        <f t="shared" si="361"/>
        <v>3.1413173103933909E-3</v>
      </c>
      <c r="F354" s="3">
        <f t="shared" si="361"/>
        <v>3.1413173103933909E-3</v>
      </c>
      <c r="G354" s="3">
        <f t="shared" si="361"/>
        <v>3.1413173103933909E-3</v>
      </c>
      <c r="H354" s="3">
        <f t="shared" si="361"/>
        <v>3.1413173103933909E-3</v>
      </c>
      <c r="I354" s="3">
        <f t="shared" si="361"/>
        <v>3.1413173103933909E-3</v>
      </c>
      <c r="J354" s="3">
        <f t="shared" si="361"/>
        <v>3.1413173103933905E-3</v>
      </c>
      <c r="K354" s="3">
        <f t="shared" si="361"/>
        <v>3.1413173103933892E-3</v>
      </c>
      <c r="L354" s="3">
        <f t="shared" si="361"/>
        <v>3.1413173103933736E-3</v>
      </c>
      <c r="M354" s="3">
        <f t="shared" si="361"/>
        <v>3.1413173103932157E-3</v>
      </c>
      <c r="N354" s="3">
        <f t="shared" si="361"/>
        <v>3.1413173103916388E-3</v>
      </c>
      <c r="O354" s="3">
        <f t="shared" si="361"/>
        <v>3.1413173103758711E-3</v>
      </c>
      <c r="P354" s="3">
        <f t="shared" si="361"/>
        <v>3.1413173102181917E-3</v>
      </c>
      <c r="Q354" s="3">
        <f t="shared" si="361"/>
        <v>3.1413173086414E-3</v>
      </c>
      <c r="R354" s="3">
        <f t="shared" si="361"/>
        <v>3.1413172928734783E-3</v>
      </c>
      <c r="S354" s="3">
        <f t="shared" si="361"/>
        <v>3.1413171351942675E-3</v>
      </c>
      <c r="T354" s="3">
        <f t="shared" si="361"/>
        <v>3.1413155584025959E-3</v>
      </c>
      <c r="U354" s="3">
        <f t="shared" si="361"/>
        <v>3.1412997905294125E-3</v>
      </c>
      <c r="V354" s="3">
        <f t="shared" si="361"/>
        <v>3.1411421161506013E-3</v>
      </c>
      <c r="W354" s="3">
        <f t="shared" si="361"/>
        <v>3.1395658075838101E-3</v>
      </c>
      <c r="X354" s="3">
        <f t="shared" si="361"/>
        <v>3.1238461633263962E-3</v>
      </c>
      <c r="Y354" s="3">
        <f t="shared" si="361"/>
        <v>2.9709142531628998E-3</v>
      </c>
      <c r="Z354" s="3">
        <f t="shared" si="361"/>
        <v>1.7984356613437976E-3</v>
      </c>
      <c r="AA354" s="3">
        <f t="shared" si="361"/>
        <v>1.1883456717589806E-5</v>
      </c>
      <c r="AB354" s="3">
        <f t="shared" si="361"/>
        <v>1.8854786514513213E-27</v>
      </c>
      <c r="AC354" s="3">
        <f t="shared" si="361"/>
        <v>1.9063819901686319E-245</v>
      </c>
      <c r="AD354" s="3">
        <f t="shared" si="361"/>
        <v>0</v>
      </c>
      <c r="AE354" s="3">
        <f t="shared" si="361"/>
        <v>0</v>
      </c>
      <c r="AF354" s="3">
        <f t="shared" si="361"/>
        <v>0</v>
      </c>
      <c r="AG354" s="3"/>
      <c r="AH354" s="3"/>
    </row>
    <row r="355" spans="1:34" x14ac:dyDescent="0.25">
      <c r="B355" s="3">
        <f t="shared" ref="B355:AF355" si="362">$C46*EXP(-B$363/$A46/EXP(-$G$126))</f>
        <v>2.257189619316161E-3</v>
      </c>
      <c r="C355" s="3">
        <f t="shared" si="362"/>
        <v>2.257189619316161E-3</v>
      </c>
      <c r="D355" s="3">
        <f t="shared" si="362"/>
        <v>2.257189619316161E-3</v>
      </c>
      <c r="E355" s="3">
        <f t="shared" si="362"/>
        <v>2.257189619316161E-3</v>
      </c>
      <c r="F355" s="3">
        <f t="shared" si="362"/>
        <v>2.257189619316161E-3</v>
      </c>
      <c r="G355" s="3">
        <f t="shared" si="362"/>
        <v>2.257189619316161E-3</v>
      </c>
      <c r="H355" s="3">
        <f t="shared" si="362"/>
        <v>2.257189619316161E-3</v>
      </c>
      <c r="I355" s="3">
        <f t="shared" si="362"/>
        <v>2.257189619316161E-3</v>
      </c>
      <c r="J355" s="3">
        <f t="shared" si="362"/>
        <v>2.257189619316161E-3</v>
      </c>
      <c r="K355" s="3">
        <f t="shared" si="362"/>
        <v>2.2571896193161606E-3</v>
      </c>
      <c r="L355" s="3">
        <f t="shared" si="362"/>
        <v>2.2571896193161597E-3</v>
      </c>
      <c r="M355" s="3">
        <f t="shared" si="362"/>
        <v>2.2571896193161484E-3</v>
      </c>
      <c r="N355" s="3">
        <f t="shared" si="362"/>
        <v>2.2571896193160352E-3</v>
      </c>
      <c r="O355" s="3">
        <f t="shared" si="362"/>
        <v>2.257189619314902E-3</v>
      </c>
      <c r="P355" s="3">
        <f t="shared" si="362"/>
        <v>2.2571896193035721E-3</v>
      </c>
      <c r="Q355" s="3">
        <f t="shared" si="362"/>
        <v>2.2571896191902717E-3</v>
      </c>
      <c r="R355" s="3">
        <f t="shared" si="362"/>
        <v>2.25718961805727E-3</v>
      </c>
      <c r="S355" s="3">
        <f t="shared" si="362"/>
        <v>2.2571896067272498E-3</v>
      </c>
      <c r="T355" s="3">
        <f t="shared" si="362"/>
        <v>2.2571894934270502E-3</v>
      </c>
      <c r="U355" s="3">
        <f t="shared" si="362"/>
        <v>2.2571883604253695E-3</v>
      </c>
      <c r="V355" s="3">
        <f t="shared" si="362"/>
        <v>2.2571770304398407E-3</v>
      </c>
      <c r="W355" s="3">
        <f t="shared" si="362"/>
        <v>2.2570637337124113E-3</v>
      </c>
      <c r="X355" s="3">
        <f t="shared" si="362"/>
        <v>2.2559310791658528E-3</v>
      </c>
      <c r="Y355" s="3">
        <f t="shared" si="362"/>
        <v>2.2446357484713756E-3</v>
      </c>
      <c r="Z355" s="3">
        <f t="shared" si="362"/>
        <v>2.1347467159495365E-3</v>
      </c>
      <c r="AA355" s="3">
        <f t="shared" si="362"/>
        <v>1.2922636921657716E-3</v>
      </c>
      <c r="AB355" s="3">
        <f t="shared" si="362"/>
        <v>8.5388429420323376E-6</v>
      </c>
      <c r="AC355" s="3">
        <f t="shared" si="362"/>
        <v>1.3548083236981835E-27</v>
      </c>
      <c r="AD355" s="3">
        <f t="shared" si="362"/>
        <v>1.3698283915549562E-245</v>
      </c>
      <c r="AE355" s="3">
        <f t="shared" si="362"/>
        <v>0</v>
      </c>
      <c r="AF355" s="3">
        <f t="shared" si="362"/>
        <v>0</v>
      </c>
      <c r="AG355" s="3"/>
      <c r="AH355" s="3"/>
    </row>
    <row r="356" spans="1:34" x14ac:dyDescent="0.25">
      <c r="B356" s="3">
        <f t="shared" ref="B356:AF356" si="363">$C47*EXP(-B$363/$A47/EXP(-$G$126))</f>
        <v>3.6224207496198294E-4</v>
      </c>
      <c r="C356" s="3">
        <f t="shared" si="363"/>
        <v>3.6224207496198294E-4</v>
      </c>
      <c r="D356" s="3">
        <f t="shared" si="363"/>
        <v>3.6224207496198294E-4</v>
      </c>
      <c r="E356" s="3">
        <f t="shared" si="363"/>
        <v>3.6224207496198294E-4</v>
      </c>
      <c r="F356" s="3">
        <f t="shared" si="363"/>
        <v>3.6224207496198294E-4</v>
      </c>
      <c r="G356" s="3">
        <f t="shared" si="363"/>
        <v>3.6224207496198294E-4</v>
      </c>
      <c r="H356" s="3">
        <f t="shared" si="363"/>
        <v>3.6224207496198294E-4</v>
      </c>
      <c r="I356" s="3">
        <f t="shared" si="363"/>
        <v>3.6224207496198294E-4</v>
      </c>
      <c r="J356" s="3">
        <f t="shared" si="363"/>
        <v>3.6224207496198294E-4</v>
      </c>
      <c r="K356" s="3">
        <f t="shared" si="363"/>
        <v>3.6224207496198294E-4</v>
      </c>
      <c r="L356" s="3">
        <f t="shared" si="363"/>
        <v>3.6224207496198289E-4</v>
      </c>
      <c r="M356" s="3">
        <f t="shared" si="363"/>
        <v>3.6224207496198273E-4</v>
      </c>
      <c r="N356" s="3">
        <f t="shared" si="363"/>
        <v>3.6224207496198094E-4</v>
      </c>
      <c r="O356" s="3">
        <f t="shared" si="363"/>
        <v>3.6224207496196278E-4</v>
      </c>
      <c r="P356" s="3">
        <f t="shared" si="363"/>
        <v>3.622420749617809E-4</v>
      </c>
      <c r="Q356" s="3">
        <f t="shared" si="363"/>
        <v>3.6224207495996264E-4</v>
      </c>
      <c r="R356" s="3">
        <f t="shared" si="363"/>
        <v>3.6224207494177981E-4</v>
      </c>
      <c r="S356" s="3">
        <f t="shared" si="363"/>
        <v>3.6224207475995146E-4</v>
      </c>
      <c r="T356" s="3">
        <f t="shared" si="363"/>
        <v>3.6224207294166825E-4</v>
      </c>
      <c r="U356" s="3">
        <f t="shared" si="363"/>
        <v>3.6224205475883639E-4</v>
      </c>
      <c r="V356" s="3">
        <f t="shared" si="363"/>
        <v>3.6224187293056802E-4</v>
      </c>
      <c r="W356" s="3">
        <f t="shared" si="363"/>
        <v>3.6224005465290449E-4</v>
      </c>
      <c r="X356" s="3">
        <f t="shared" si="363"/>
        <v>3.6222187237823901E-4</v>
      </c>
      <c r="Y356" s="3">
        <f t="shared" si="363"/>
        <v>3.6204009981927925E-4</v>
      </c>
      <c r="Z356" s="3">
        <f t="shared" si="363"/>
        <v>3.6022738369072082E-4</v>
      </c>
      <c r="AA356" s="3">
        <f t="shared" si="363"/>
        <v>3.4259198841172974E-4</v>
      </c>
      <c r="AB356" s="3">
        <f t="shared" si="363"/>
        <v>2.0738722048083038E-4</v>
      </c>
      <c r="AC356" s="3">
        <f t="shared" si="363"/>
        <v>1.3703448565536873E-6</v>
      </c>
      <c r="AD356" s="3">
        <f t="shared" si="363"/>
        <v>2.174246125147781E-28</v>
      </c>
      <c r="AE356" s="3">
        <f t="shared" si="363"/>
        <v>2.1983508813452491E-246</v>
      </c>
      <c r="AF356" s="3">
        <f t="shared" si="363"/>
        <v>0</v>
      </c>
      <c r="AG356" s="3"/>
      <c r="AH356" s="3"/>
    </row>
    <row r="357" spans="1:34" x14ac:dyDescent="0.25">
      <c r="B357" s="3">
        <f t="shared" ref="B357:AF357" si="364">$C48*EXP(-B$363/$A48/EXP(-$G$126))</f>
        <v>0</v>
      </c>
      <c r="C357" s="3">
        <f t="shared" si="364"/>
        <v>0</v>
      </c>
      <c r="D357" s="3">
        <f t="shared" si="364"/>
        <v>0</v>
      </c>
      <c r="E357" s="3">
        <f t="shared" si="364"/>
        <v>0</v>
      </c>
      <c r="F357" s="3">
        <f t="shared" si="364"/>
        <v>0</v>
      </c>
      <c r="G357" s="3">
        <f t="shared" si="364"/>
        <v>0</v>
      </c>
      <c r="H357" s="3">
        <f t="shared" si="364"/>
        <v>0</v>
      </c>
      <c r="I357" s="3">
        <f t="shared" si="364"/>
        <v>0</v>
      </c>
      <c r="J357" s="3">
        <f t="shared" si="364"/>
        <v>0</v>
      </c>
      <c r="K357" s="3">
        <f t="shared" si="364"/>
        <v>0</v>
      </c>
      <c r="L357" s="3">
        <f t="shared" si="364"/>
        <v>0</v>
      </c>
      <c r="M357" s="3">
        <f t="shared" si="364"/>
        <v>0</v>
      </c>
      <c r="N357" s="3">
        <f t="shared" si="364"/>
        <v>0</v>
      </c>
      <c r="O357" s="3">
        <f t="shared" si="364"/>
        <v>0</v>
      </c>
      <c r="P357" s="3">
        <f t="shared" si="364"/>
        <v>0</v>
      </c>
      <c r="Q357" s="3">
        <f t="shared" si="364"/>
        <v>0</v>
      </c>
      <c r="R357" s="3">
        <f t="shared" si="364"/>
        <v>0</v>
      </c>
      <c r="S357" s="3">
        <f t="shared" si="364"/>
        <v>0</v>
      </c>
      <c r="T357" s="3">
        <f t="shared" si="364"/>
        <v>0</v>
      </c>
      <c r="U357" s="3">
        <f t="shared" si="364"/>
        <v>0</v>
      </c>
      <c r="V357" s="3">
        <f t="shared" si="364"/>
        <v>0</v>
      </c>
      <c r="W357" s="3">
        <f t="shared" si="364"/>
        <v>0</v>
      </c>
      <c r="X357" s="3">
        <f t="shared" si="364"/>
        <v>0</v>
      </c>
      <c r="Y357" s="3">
        <f t="shared" si="364"/>
        <v>0</v>
      </c>
      <c r="Z357" s="3">
        <f t="shared" si="364"/>
        <v>0</v>
      </c>
      <c r="AA357" s="3">
        <f t="shared" si="364"/>
        <v>0</v>
      </c>
      <c r="AB357" s="3">
        <f t="shared" si="364"/>
        <v>0</v>
      </c>
      <c r="AC357" s="3">
        <f t="shared" si="364"/>
        <v>0</v>
      </c>
      <c r="AD357" s="3">
        <f t="shared" si="364"/>
        <v>0</v>
      </c>
      <c r="AE357" s="3">
        <f t="shared" si="364"/>
        <v>0</v>
      </c>
      <c r="AF357" s="3">
        <f t="shared" si="364"/>
        <v>0</v>
      </c>
      <c r="AG357" s="3"/>
      <c r="AH357" s="3"/>
    </row>
    <row r="358" spans="1:34" x14ac:dyDescent="0.25">
      <c r="A358" s="80">
        <f>AVERAGE(B358:AF358)</f>
        <v>5.7876522397296336E-3</v>
      </c>
      <c r="B358" s="81">
        <f>IF($A$64&lt;=B324,IF($B$64&gt;=B324,ABS((B326-B325)/B325),0),0)</f>
        <v>0</v>
      </c>
      <c r="C358" s="81">
        <f t="shared" ref="C358:AF358" si="365">IF($A$64&lt;=C324,IF($B$64&gt;=C324,ABS((C326-C325)/C325),0),0)</f>
        <v>0</v>
      </c>
      <c r="D358" s="81">
        <f t="shared" si="365"/>
        <v>0</v>
      </c>
      <c r="E358" s="81">
        <f t="shared" si="365"/>
        <v>0</v>
      </c>
      <c r="F358" s="81">
        <f t="shared" si="365"/>
        <v>0</v>
      </c>
      <c r="G358" s="81">
        <f t="shared" si="365"/>
        <v>0</v>
      </c>
      <c r="H358" s="81">
        <f t="shared" si="365"/>
        <v>0</v>
      </c>
      <c r="I358" s="81">
        <f t="shared" si="365"/>
        <v>0</v>
      </c>
      <c r="J358" s="81">
        <f t="shared" si="365"/>
        <v>0</v>
      </c>
      <c r="K358" s="81">
        <f t="shared" si="365"/>
        <v>0</v>
      </c>
      <c r="L358" s="81">
        <f t="shared" si="365"/>
        <v>8.2352465744827651E-3</v>
      </c>
      <c r="M358" s="81">
        <f t="shared" si="365"/>
        <v>8.4093563939186978E-3</v>
      </c>
      <c r="N358" s="81">
        <f t="shared" si="365"/>
        <v>7.8771866157291096E-3</v>
      </c>
      <c r="O358" s="81">
        <f t="shared" si="365"/>
        <v>1.73739753629821E-3</v>
      </c>
      <c r="P358" s="81">
        <f t="shared" si="365"/>
        <v>1.253582914451502E-2</v>
      </c>
      <c r="Q358" s="81">
        <f t="shared" si="365"/>
        <v>2.3153039271675467E-2</v>
      </c>
      <c r="R358" s="81">
        <f t="shared" si="365"/>
        <v>1.8113598910277549E-2</v>
      </c>
      <c r="S358" s="81">
        <f t="shared" si="365"/>
        <v>1.2714777241542593E-2</v>
      </c>
      <c r="T358" s="81">
        <f t="shared" si="365"/>
        <v>3.0851936412020713E-2</v>
      </c>
      <c r="U358" s="81">
        <f t="shared" si="365"/>
        <v>1.7946599109180353E-2</v>
      </c>
      <c r="V358" s="81">
        <f t="shared" si="365"/>
        <v>3.7842252221978172E-2</v>
      </c>
      <c r="W358" s="81">
        <f t="shared" si="365"/>
        <v>0</v>
      </c>
      <c r="X358" s="81">
        <f t="shared" si="365"/>
        <v>0</v>
      </c>
      <c r="Y358" s="81">
        <f t="shared" si="365"/>
        <v>0</v>
      </c>
      <c r="Z358" s="81">
        <f t="shared" si="365"/>
        <v>0</v>
      </c>
      <c r="AA358" s="81">
        <f t="shared" si="365"/>
        <v>0</v>
      </c>
      <c r="AB358" s="81">
        <f t="shared" si="365"/>
        <v>0</v>
      </c>
      <c r="AC358" s="81">
        <f t="shared" si="365"/>
        <v>0</v>
      </c>
      <c r="AD358" s="81">
        <f t="shared" si="365"/>
        <v>0</v>
      </c>
      <c r="AE358" s="81">
        <f t="shared" si="365"/>
        <v>0</v>
      </c>
      <c r="AF358" s="81">
        <f t="shared" si="365"/>
        <v>0</v>
      </c>
    </row>
    <row r="359" spans="1:34" x14ac:dyDescent="0.25">
      <c r="B359" s="21">
        <f>(B326-B325)^2</f>
        <v>94.409026338222176</v>
      </c>
      <c r="C359" s="21">
        <f t="shared" ref="C359:AF359" si="366">(C326-C325)^2</f>
        <v>4620.7496593659471</v>
      </c>
      <c r="D359" s="21">
        <f t="shared" si="366"/>
        <v>5906.9928601056417</v>
      </c>
      <c r="E359" s="21">
        <f t="shared" si="366"/>
        <v>4906.4104791813097</v>
      </c>
      <c r="F359" s="21">
        <f t="shared" si="366"/>
        <v>5776.0638198744919</v>
      </c>
      <c r="G359" s="21">
        <f t="shared" si="366"/>
        <v>6476.7220633983025</v>
      </c>
      <c r="H359" s="21">
        <f t="shared" si="366"/>
        <v>5641.8332993568092</v>
      </c>
      <c r="I359" s="21">
        <f t="shared" si="366"/>
        <v>3547.2825565579906</v>
      </c>
      <c r="J359" s="21">
        <f t="shared" si="366"/>
        <v>2905.0947663654606</v>
      </c>
      <c r="K359" s="21">
        <f t="shared" si="366"/>
        <v>2698.2511894403688</v>
      </c>
      <c r="L359" s="21">
        <f t="shared" si="366"/>
        <v>2041.8330617548593</v>
      </c>
      <c r="M359" s="21">
        <f t="shared" si="366"/>
        <v>1920.4098793994044</v>
      </c>
      <c r="N359" s="21">
        <f t="shared" si="366"/>
        <v>1504.429063271873</v>
      </c>
      <c r="O359" s="21">
        <f t="shared" si="366"/>
        <v>63.429440457050603</v>
      </c>
      <c r="P359" s="21">
        <f t="shared" si="366"/>
        <v>2800.110088664359</v>
      </c>
      <c r="Q359" s="21">
        <f t="shared" si="366"/>
        <v>7699.8114948850462</v>
      </c>
      <c r="R359" s="21">
        <f t="shared" si="366"/>
        <v>3538.1886174475981</v>
      </c>
      <c r="S359" s="21">
        <f t="shared" si="366"/>
        <v>1191.4185303408412</v>
      </c>
      <c r="T359" s="21">
        <f t="shared" si="366"/>
        <v>4279.3266549585396</v>
      </c>
      <c r="U359" s="21">
        <f t="shared" si="366"/>
        <v>773.02477656019835</v>
      </c>
      <c r="V359" s="21">
        <f t="shared" si="366"/>
        <v>1780.5226607838144</v>
      </c>
      <c r="W359" s="21">
        <f t="shared" si="366"/>
        <v>245.35159610198946</v>
      </c>
      <c r="X359" s="21">
        <f t="shared" si="366"/>
        <v>109.59117770431351</v>
      </c>
      <c r="Y359" s="21">
        <f t="shared" si="366"/>
        <v>14.415989507677898</v>
      </c>
      <c r="Z359" s="21">
        <f t="shared" si="366"/>
        <v>3.372582402088284</v>
      </c>
      <c r="AA359" s="21">
        <f t="shared" si="366"/>
        <v>4.3308194716114059</v>
      </c>
      <c r="AB359" s="21">
        <f t="shared" si="366"/>
        <v>1.670552556076742</v>
      </c>
      <c r="AC359" s="21">
        <f t="shared" si="366"/>
        <v>204.8048733320108</v>
      </c>
      <c r="AD359" s="21">
        <f t="shared" si="366"/>
        <v>1231.3848925590221</v>
      </c>
      <c r="AE359" s="21">
        <f t="shared" si="366"/>
        <v>1473.6960309552016</v>
      </c>
      <c r="AF359" s="21">
        <f t="shared" si="366"/>
        <v>1490.7356555950441</v>
      </c>
      <c r="AG359" s="3"/>
      <c r="AH359" s="3"/>
    </row>
    <row r="360" spans="1:34" x14ac:dyDescent="0.25">
      <c r="A360" s="72">
        <f>SUM(B360:AF360)</f>
        <v>27592.504268523586</v>
      </c>
      <c r="B360" s="60">
        <f>IF($A$64&lt;=B324,IF($B$64&gt;=B324,ABS(B359),0),0)</f>
        <v>0</v>
      </c>
      <c r="C360" s="60">
        <f t="shared" ref="C360:AF360" si="367">IF($A$64&lt;=C324,IF($B$64&gt;=C324,ABS(C359),0),0)</f>
        <v>0</v>
      </c>
      <c r="D360" s="60">
        <f t="shared" si="367"/>
        <v>0</v>
      </c>
      <c r="E360" s="60">
        <f t="shared" si="367"/>
        <v>0</v>
      </c>
      <c r="F360" s="60">
        <f t="shared" si="367"/>
        <v>0</v>
      </c>
      <c r="G360" s="60">
        <f t="shared" si="367"/>
        <v>0</v>
      </c>
      <c r="H360" s="60">
        <f t="shared" si="367"/>
        <v>0</v>
      </c>
      <c r="I360" s="60">
        <f t="shared" si="367"/>
        <v>0</v>
      </c>
      <c r="J360" s="60">
        <f t="shared" si="367"/>
        <v>0</v>
      </c>
      <c r="K360" s="60">
        <f t="shared" si="367"/>
        <v>0</v>
      </c>
      <c r="L360" s="60">
        <f t="shared" si="367"/>
        <v>2041.8330617548593</v>
      </c>
      <c r="M360" s="60">
        <f t="shared" si="367"/>
        <v>1920.4098793994044</v>
      </c>
      <c r="N360" s="60">
        <f t="shared" si="367"/>
        <v>1504.429063271873</v>
      </c>
      <c r="O360" s="60">
        <f t="shared" si="367"/>
        <v>63.429440457050603</v>
      </c>
      <c r="P360" s="60">
        <f t="shared" si="367"/>
        <v>2800.110088664359</v>
      </c>
      <c r="Q360" s="60">
        <f t="shared" si="367"/>
        <v>7699.8114948850462</v>
      </c>
      <c r="R360" s="60">
        <f t="shared" si="367"/>
        <v>3538.1886174475981</v>
      </c>
      <c r="S360" s="60">
        <f t="shared" si="367"/>
        <v>1191.4185303408412</v>
      </c>
      <c r="T360" s="60">
        <f t="shared" si="367"/>
        <v>4279.3266549585396</v>
      </c>
      <c r="U360" s="60">
        <f t="shared" si="367"/>
        <v>773.02477656019835</v>
      </c>
      <c r="V360" s="60">
        <f t="shared" si="367"/>
        <v>1780.5226607838144</v>
      </c>
      <c r="W360" s="60">
        <f t="shared" si="367"/>
        <v>0</v>
      </c>
      <c r="X360" s="60">
        <f t="shared" si="367"/>
        <v>0</v>
      </c>
      <c r="Y360" s="60">
        <f t="shared" si="367"/>
        <v>0</v>
      </c>
      <c r="Z360" s="60">
        <f t="shared" si="367"/>
        <v>0</v>
      </c>
      <c r="AA360" s="60">
        <f t="shared" si="367"/>
        <v>0</v>
      </c>
      <c r="AB360" s="60">
        <f t="shared" si="367"/>
        <v>0</v>
      </c>
      <c r="AC360" s="60">
        <f t="shared" si="367"/>
        <v>0</v>
      </c>
      <c r="AD360" s="60">
        <f t="shared" si="367"/>
        <v>0</v>
      </c>
      <c r="AE360" s="60">
        <f t="shared" si="367"/>
        <v>0</v>
      </c>
      <c r="AF360" s="60">
        <f t="shared" si="367"/>
        <v>0</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70" t="s">
        <v>27</v>
      </c>
      <c r="B362" s="11">
        <f>INDEX($D$1:$M$1,1,$H$122)</f>
        <v>160</v>
      </c>
    </row>
    <row r="363" spans="1:34" x14ac:dyDescent="0.25">
      <c r="A363" s="70"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7885.0238799750496</v>
      </c>
      <c r="C364" s="26">
        <f>INDEX(Comparison!$AM$3:$AS$33,G$14,$H$122)</f>
        <v>7533.2051738552464</v>
      </c>
      <c r="D364" s="26">
        <f>INDEX(Comparison!$AM$3:$AS$33,H$14,$H$122)</f>
        <v>7191.2405725815324</v>
      </c>
      <c r="E364" s="26">
        <f>INDEX(Comparison!$AM$3:$AS$33,I$14,$H$122)</f>
        <v>6812.4631092957497</v>
      </c>
      <c r="F364" s="26">
        <f>INDEX(Comparison!$AM$3:$AS$33,J$14,$H$122)</f>
        <v>6451.9725248759578</v>
      </c>
      <c r="G364" s="26">
        <f>INDEX(Comparison!$AM$3:$AS$33,K$14,$H$122)</f>
        <v>6166.1047060884439</v>
      </c>
      <c r="H364" s="26">
        <f>INDEX(Comparison!$AM$3:$AS$33,L$14,$H$122)</f>
        <v>5881.0552739751101</v>
      </c>
      <c r="I364" s="26">
        <f>INDEX(Comparison!$AM$3:$AS$33,M$14,$H$122)</f>
        <v>5609.3504910949478</v>
      </c>
      <c r="J364" s="26">
        <f>INDEX(Comparison!$AM$3:$AS$33,N$14,$H$122)</f>
        <v>5323.5276590267758</v>
      </c>
      <c r="K364" s="26">
        <f>INDEX(Comparison!$AM$3:$AS$33,O$14,$H$122)</f>
        <v>5061.2818561056738</v>
      </c>
      <c r="L364" s="26">
        <f>INDEX(Comparison!$AM$3:$AS$33,P$14,$H$122)</f>
        <v>4733.4087396901623</v>
      </c>
      <c r="M364" s="26">
        <f>INDEX(Comparison!$AM$3:$AS$33,Q$14,$H$122)</f>
        <v>4393.7824312927287</v>
      </c>
      <c r="N364" s="26">
        <f>INDEX(Comparison!$AM$3:$AS$33,R$14,$H$122)</f>
        <v>4006.1265808261332</v>
      </c>
      <c r="O364" s="26">
        <f>INDEX(Comparison!$AM$3:$AS$33,S$14,$H$122)</f>
        <v>3576.233277328839</v>
      </c>
      <c r="P364" s="26">
        <f>INDEX(Comparison!$AM$3:$AS$33,T$14,$H$122)</f>
        <v>3059.5283871610445</v>
      </c>
      <c r="Q364" s="26">
        <f>INDEX(Comparison!$AM$3:$AS$33,U$14,$H$122)</f>
        <v>2469.5512794279489</v>
      </c>
      <c r="R364" s="26">
        <f>INDEX(Comparison!$AM$3:$AS$33,V$14,$H$122)</f>
        <v>1842.799668868907</v>
      </c>
      <c r="S364" s="26">
        <f>INDEX(Comparison!$AM$3:$AS$33,W$14,$H$122)</f>
        <v>1328.7737512423464</v>
      </c>
      <c r="T364" s="26">
        <f>INDEX(Comparison!$AM$3:$AS$33,X$14,$H$122)</f>
        <v>948.83583319405307</v>
      </c>
      <c r="U364" s="26">
        <f>INDEX(Comparison!$AM$3:$AS$33,Y$14,$H$122)</f>
        <v>739.39486681916139</v>
      </c>
      <c r="V364" s="26">
        <f>INDEX(Comparison!$AM$3:$AS$33,Z$14,$H$122)</f>
        <v>624.14790659062351</v>
      </c>
      <c r="W364" s="26">
        <f>INDEX(Comparison!$AM$3:$AS$33,AA$14,$H$122)</f>
        <v>574.84813415628378</v>
      </c>
      <c r="X364" s="26">
        <f>INDEX(Comparison!$AM$3:$AS$33,AB$14,$H$122)</f>
        <v>540.01941971549797</v>
      </c>
      <c r="Y364" s="26">
        <f>INDEX(Comparison!$AM$3:$AS$33,AC$14,$H$122)</f>
        <v>522.91431442377564</v>
      </c>
      <c r="Z364" s="26">
        <f>INDEX(Comparison!$AM$3:$AS$33,AD$14,$H$122)</f>
        <v>512.28225991416207</v>
      </c>
      <c r="AA364" s="26">
        <f>INDEX(Comparison!$AM$3:$AS$33,AE$14,$H$122)</f>
        <v>486.30628203230003</v>
      </c>
      <c r="AB364" s="26">
        <f>INDEX(Comparison!$AM$3:$AS$33,AF$14,$H$122)</f>
        <v>477.16338311456207</v>
      </c>
      <c r="AC364" s="26">
        <f>INDEX(Comparison!$AM$3:$AS$33,AG$14,$H$122)</f>
        <v>476.22593072507385</v>
      </c>
      <c r="AD364" s="26">
        <f>INDEX(Comparison!$AM$3:$AS$33,AH$14,$H$122)</f>
        <v>475.98047490013522</v>
      </c>
      <c r="AE364" s="26">
        <f>INDEX(Comparison!$AM$3:$AS$33,AI$14,$H$122)</f>
        <v>475.76724400704541</v>
      </c>
      <c r="AF364" s="26">
        <f>INDEX(Comparison!$AM$3:$AS$33,AJ$14,$H$122)</f>
        <v>475.55412653805064</v>
      </c>
      <c r="AG364" s="26"/>
      <c r="AH364" s="26"/>
    </row>
    <row r="365" spans="1:34" x14ac:dyDescent="0.25">
      <c r="A365" s="71" t="s">
        <v>22</v>
      </c>
      <c r="B365" s="27">
        <f>($C$17+SUM(B366:B396))*$B$51</f>
        <v>7898.3040549539883</v>
      </c>
      <c r="C365" s="27">
        <f t="shared" ref="C365:AF365" si="368">($C$17+SUM(C366:C396))*$B$51</f>
        <v>7624.7830656031165</v>
      </c>
      <c r="D365" s="27">
        <f t="shared" si="368"/>
        <v>7296.6624047409487</v>
      </c>
      <c r="E365" s="27">
        <f t="shared" si="368"/>
        <v>6916.613667938308</v>
      </c>
      <c r="F365" s="27">
        <f t="shared" si="368"/>
        <v>6545.4920880821055</v>
      </c>
      <c r="G365" s="27">
        <f t="shared" si="368"/>
        <v>6243.7419952721648</v>
      </c>
      <c r="H365" s="27">
        <f t="shared" si="368"/>
        <v>5963.9534854732574</v>
      </c>
      <c r="I365" s="27">
        <f t="shared" si="368"/>
        <v>5681.8515543438543</v>
      </c>
      <c r="J365" s="27">
        <f t="shared" si="368"/>
        <v>5404.2564451689286</v>
      </c>
      <c r="K365" s="27">
        <f t="shared" si="368"/>
        <v>5130.164597236203</v>
      </c>
      <c r="L365" s="27">
        <f t="shared" si="368"/>
        <v>4805.1192493419539</v>
      </c>
      <c r="M365" s="27">
        <f t="shared" si="368"/>
        <v>4414.2453194102118</v>
      </c>
      <c r="N365" s="27">
        <f t="shared" si="368"/>
        <v>3972.8576047968909</v>
      </c>
      <c r="O365" s="27">
        <f t="shared" si="368"/>
        <v>3506.3617922683084</v>
      </c>
      <c r="P365" s="27">
        <f t="shared" si="368"/>
        <v>2996.4732285825862</v>
      </c>
      <c r="Q365" s="27">
        <f t="shared" si="368"/>
        <v>2488.3129143370838</v>
      </c>
      <c r="R365" s="27">
        <f t="shared" si="368"/>
        <v>1851.4354284886383</v>
      </c>
      <c r="S365" s="27">
        <f t="shared" si="368"/>
        <v>1369.5692539270356</v>
      </c>
      <c r="T365" s="27">
        <f t="shared" si="368"/>
        <v>974.97686086233205</v>
      </c>
      <c r="U365" s="27">
        <f t="shared" si="368"/>
        <v>753.87396519623826</v>
      </c>
      <c r="V365" s="27">
        <f t="shared" si="368"/>
        <v>632.91557673392174</v>
      </c>
      <c r="W365" s="27">
        <f t="shared" si="368"/>
        <v>576.17534888840748</v>
      </c>
      <c r="X365" s="27">
        <f t="shared" si="368"/>
        <v>543.61015903393059</v>
      </c>
      <c r="Y365" s="27">
        <f t="shared" si="368"/>
        <v>521.7661725605567</v>
      </c>
      <c r="Z365" s="27">
        <f t="shared" si="368"/>
        <v>514.79158636647855</v>
      </c>
      <c r="AA365" s="27">
        <f t="shared" si="368"/>
        <v>514.05847373308427</v>
      </c>
      <c r="AB365" s="27">
        <f t="shared" si="368"/>
        <v>514.05847337975968</v>
      </c>
      <c r="AC365" s="27">
        <f t="shared" si="368"/>
        <v>514.05847337975968</v>
      </c>
      <c r="AD365" s="27">
        <f t="shared" si="368"/>
        <v>514.05847337975968</v>
      </c>
      <c r="AE365" s="27">
        <f t="shared" si="368"/>
        <v>514.05847337975968</v>
      </c>
      <c r="AF365" s="27">
        <f t="shared" si="368"/>
        <v>514.05847337975968</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1.394503785634411E-148</v>
      </c>
      <c r="C369" s="3">
        <f t="shared" si="372"/>
        <v>0</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1.8917309411073401E-15</v>
      </c>
      <c r="C370" s="3">
        <f t="shared" si="373"/>
        <v>3.1218447573794401E-134</v>
      </c>
      <c r="D370" s="3">
        <f t="shared" si="373"/>
        <v>0</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1.9270078383432452E-3</v>
      </c>
      <c r="C371" s="3">
        <f t="shared" si="374"/>
        <v>3.7129447859286009E-14</v>
      </c>
      <c r="D371" s="3">
        <f t="shared" si="374"/>
        <v>2.6185965363058318E-121</v>
      </c>
      <c r="E371" s="3">
        <f t="shared" si="374"/>
        <v>0</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2.0492155110811389E-2</v>
      </c>
      <c r="C372" s="3">
        <f t="shared" si="375"/>
        <v>2.2130468643295461E-3</v>
      </c>
      <c r="D372" s="3">
        <f t="shared" si="375"/>
        <v>4.7755167623238711E-13</v>
      </c>
      <c r="E372" s="3">
        <f t="shared" si="375"/>
        <v>1.0454854754449379E-109</v>
      </c>
      <c r="F372" s="3">
        <f t="shared" si="375"/>
        <v>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3.2191011389263127E-2</v>
      </c>
      <c r="C373" s="3">
        <f t="shared" si="376"/>
        <v>2.6335376336794787E-2</v>
      </c>
      <c r="D373" s="3">
        <f t="shared" si="376"/>
        <v>3.5366216432237683E-3</v>
      </c>
      <c r="E373" s="3">
        <f t="shared" si="376"/>
        <v>6.7465122819712219E-12</v>
      </c>
      <c r="F373" s="3">
        <f t="shared" si="376"/>
        <v>4.3051319301050851E-99</v>
      </c>
      <c r="G373" s="3">
        <f t="shared" si="376"/>
        <v>0</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3.9992247233453126E-2</v>
      </c>
      <c r="C374" s="3">
        <f t="shared" si="377"/>
        <v>3.9274447641504236E-2</v>
      </c>
      <c r="D374" s="3">
        <f t="shared" si="377"/>
        <v>3.2768220556716299E-2</v>
      </c>
      <c r="E374" s="3">
        <f t="shared" si="377"/>
        <v>5.3564934881891501E-3</v>
      </c>
      <c r="F374" s="3">
        <f t="shared" si="377"/>
        <v>7.2972262692554468E-11</v>
      </c>
      <c r="G374" s="3">
        <f t="shared" si="377"/>
        <v>1.6066827421497888E-89</v>
      </c>
      <c r="H374" s="3">
        <f t="shared" si="377"/>
        <v>0</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3.9758694622949085E-2</v>
      </c>
      <c r="C375" s="3">
        <f t="shared" si="378"/>
        <v>3.969378960064332E-2</v>
      </c>
      <c r="D375" s="3">
        <f t="shared" si="378"/>
        <v>3.9050538496226229E-2</v>
      </c>
      <c r="E375" s="3">
        <f t="shared" si="378"/>
        <v>3.3164363303340952E-2</v>
      </c>
      <c r="F375" s="3">
        <f t="shared" si="378"/>
        <v>6.4731852194954516E-3</v>
      </c>
      <c r="G375" s="3">
        <f t="shared" si="378"/>
        <v>5.1949543022898275E-10</v>
      </c>
      <c r="H375" s="3">
        <f t="shared" si="378"/>
        <v>5.7572980042341606E-81</v>
      </c>
      <c r="I375" s="3">
        <f t="shared" si="378"/>
        <v>0</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2.942387118405481E-2</v>
      </c>
      <c r="C376" s="3">
        <f t="shared" si="379"/>
        <v>2.9419534924067577E-2</v>
      </c>
      <c r="D376" s="3">
        <f t="shared" si="379"/>
        <v>2.93762074560849E-2</v>
      </c>
      <c r="E376" s="3">
        <f t="shared" si="379"/>
        <v>2.8946426882495883E-2</v>
      </c>
      <c r="F376" s="3">
        <f t="shared" si="379"/>
        <v>2.4979705972584962E-2</v>
      </c>
      <c r="G376" s="3">
        <f t="shared" si="379"/>
        <v>5.7215133880633203E-3</v>
      </c>
      <c r="H376" s="3">
        <f t="shared" si="379"/>
        <v>2.2737718326300172E-9</v>
      </c>
      <c r="I376" s="3">
        <f t="shared" si="379"/>
        <v>2.2341201148547517E-73</v>
      </c>
      <c r="J376" s="3">
        <f t="shared" si="379"/>
        <v>0</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2.8571374904115737E-2</v>
      </c>
      <c r="C377" s="3">
        <f t="shared" si="380"/>
        <v>2.8570995045177693E-2</v>
      </c>
      <c r="D377" s="3">
        <f t="shared" si="380"/>
        <v>2.8567196733550352E-2</v>
      </c>
      <c r="E377" s="3">
        <f t="shared" si="380"/>
        <v>2.8529241378929319E-2</v>
      </c>
      <c r="F377" s="3">
        <f t="shared" si="380"/>
        <v>2.8152450389834688E-2</v>
      </c>
      <c r="G377" s="3">
        <f t="shared" si="380"/>
        <v>2.4647676503277982E-2</v>
      </c>
      <c r="H377" s="3">
        <f t="shared" si="380"/>
        <v>6.5218952619719725E-3</v>
      </c>
      <c r="I377" s="3">
        <f t="shared" si="380"/>
        <v>1.0973676847147067E-8</v>
      </c>
      <c r="J377" s="3">
        <f t="shared" si="380"/>
        <v>1.9958855614024679E-66</v>
      </c>
      <c r="K377" s="3">
        <f t="shared" si="380"/>
        <v>0</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2.9426847984105112E-2</v>
      </c>
      <c r="C378" s="3">
        <f t="shared" si="381"/>
        <v>2.9426812691462922E-2</v>
      </c>
      <c r="D378" s="3">
        <f t="shared" si="381"/>
        <v>2.9426459767369025E-2</v>
      </c>
      <c r="E378" s="3">
        <f t="shared" si="381"/>
        <v>2.942293075922121E-2</v>
      </c>
      <c r="F378" s="3">
        <f t="shared" si="381"/>
        <v>2.9387663946530657E-2</v>
      </c>
      <c r="G378" s="3">
        <f t="shared" si="381"/>
        <v>2.9037312405803241E-2</v>
      </c>
      <c r="H378" s="3">
        <f t="shared" si="381"/>
        <v>2.5755497203460952E-2</v>
      </c>
      <c r="I378" s="3">
        <f t="shared" si="381"/>
        <v>7.7625632149684459E-3</v>
      </c>
      <c r="J378" s="3">
        <f t="shared" si="381"/>
        <v>4.8012825728538314E-8</v>
      </c>
      <c r="K378" s="3">
        <f t="shared" si="381"/>
        <v>3.9343992870300119E-60</v>
      </c>
      <c r="L378" s="3">
        <f t="shared" si="381"/>
        <v>0</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2.844080316465775E-2</v>
      </c>
      <c r="C379" s="3">
        <f t="shared" si="382"/>
        <v>2.8440800087646306E-2</v>
      </c>
      <c r="D379" s="3">
        <f t="shared" si="382"/>
        <v>2.8440769317550144E-2</v>
      </c>
      <c r="E379" s="3">
        <f t="shared" si="382"/>
        <v>2.8440461618419489E-2</v>
      </c>
      <c r="F379" s="3">
        <f t="shared" si="382"/>
        <v>2.843738481020092E-2</v>
      </c>
      <c r="G379" s="3">
        <f t="shared" si="382"/>
        <v>2.8406635029484553E-2</v>
      </c>
      <c r="H379" s="3">
        <f t="shared" si="382"/>
        <v>2.8100960064272106E-2</v>
      </c>
      <c r="I379" s="3">
        <f t="shared" si="382"/>
        <v>2.5219404105339238E-2</v>
      </c>
      <c r="J379" s="3">
        <f t="shared" si="382"/>
        <v>8.5481365251252276E-3</v>
      </c>
      <c r="K379" s="3">
        <f t="shared" si="382"/>
        <v>1.7109516669545278E-7</v>
      </c>
      <c r="L379" s="3">
        <f t="shared" si="382"/>
        <v>1.765633887210453E-54</v>
      </c>
      <c r="M379" s="3">
        <f t="shared" si="382"/>
        <v>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2.6740342446668747E-2</v>
      </c>
      <c r="C380" s="3">
        <f t="shared" si="383"/>
        <v>2.674034218569259E-2</v>
      </c>
      <c r="D380" s="3">
        <f t="shared" si="383"/>
        <v>2.6740339575931159E-2</v>
      </c>
      <c r="E380" s="3">
        <f t="shared" si="383"/>
        <v>2.6740313478330831E-2</v>
      </c>
      <c r="F380" s="3">
        <f t="shared" si="383"/>
        <v>2.6740052503728427E-2</v>
      </c>
      <c r="G380" s="3">
        <f t="shared" si="383"/>
        <v>2.673744289778561E-2</v>
      </c>
      <c r="H380" s="3">
        <f t="shared" si="383"/>
        <v>2.6711360841424052E-2</v>
      </c>
      <c r="I380" s="3">
        <f t="shared" si="383"/>
        <v>2.6451935541042356E-2</v>
      </c>
      <c r="J380" s="3">
        <f t="shared" si="383"/>
        <v>2.3992299314044275E-2</v>
      </c>
      <c r="K380" s="3">
        <f t="shared" si="383"/>
        <v>9.0409906771896555E-3</v>
      </c>
      <c r="L380" s="3">
        <f t="shared" si="383"/>
        <v>5.2198440446568051E-7</v>
      </c>
      <c r="M380" s="3">
        <f t="shared" si="383"/>
        <v>2.1481895004075882E-49</v>
      </c>
      <c r="N380" s="3">
        <f t="shared" si="383"/>
        <v>0</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3.6384067058170523E-2</v>
      </c>
      <c r="C381" s="3">
        <f t="shared" si="384"/>
        <v>3.6384067026137959E-2</v>
      </c>
      <c r="D381" s="3">
        <f t="shared" si="384"/>
        <v>3.6384066705812318E-2</v>
      </c>
      <c r="E381" s="3">
        <f t="shared" si="384"/>
        <v>3.6384063502556081E-2</v>
      </c>
      <c r="F381" s="3">
        <f t="shared" si="384"/>
        <v>3.6384031470009195E-2</v>
      </c>
      <c r="G381" s="3">
        <f t="shared" si="384"/>
        <v>3.6383711146091471E-2</v>
      </c>
      <c r="H381" s="3">
        <f t="shared" si="384"/>
        <v>3.6380508062016786E-2</v>
      </c>
      <c r="I381" s="3">
        <f t="shared" si="384"/>
        <v>3.6348492726480781E-2</v>
      </c>
      <c r="J381" s="3">
        <f t="shared" si="384"/>
        <v>3.6029884853276462E-2</v>
      </c>
      <c r="K381" s="3">
        <f t="shared" si="384"/>
        <v>3.2993436323440789E-2</v>
      </c>
      <c r="L381" s="3">
        <f t="shared" si="384"/>
        <v>1.3679628800375914E-2</v>
      </c>
      <c r="M381" s="3">
        <f t="shared" si="384"/>
        <v>2.0537233333271789E-6</v>
      </c>
      <c r="N381" s="3">
        <f t="shared" si="384"/>
        <v>1.1945880947603317E-44</v>
      </c>
      <c r="O381" s="3">
        <f t="shared" si="384"/>
        <v>0</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4.1964426445798217E-2</v>
      </c>
      <c r="C382" s="3">
        <f t="shared" si="385"/>
        <v>4.1964426442465425E-2</v>
      </c>
      <c r="D382" s="3">
        <f t="shared" si="385"/>
        <v>4.1964426409137494E-2</v>
      </c>
      <c r="E382" s="3">
        <f t="shared" si="385"/>
        <v>4.1964426075858187E-2</v>
      </c>
      <c r="F382" s="3">
        <f t="shared" si="385"/>
        <v>4.1964422743065326E-2</v>
      </c>
      <c r="G382" s="3">
        <f t="shared" si="385"/>
        <v>4.1964389415151286E-2</v>
      </c>
      <c r="H382" s="3">
        <f t="shared" si="385"/>
        <v>4.1964056137466677E-2</v>
      </c>
      <c r="I382" s="3">
        <f t="shared" si="385"/>
        <v>4.1960723506194529E-2</v>
      </c>
      <c r="J382" s="3">
        <f t="shared" si="385"/>
        <v>4.1927411746599259E-2</v>
      </c>
      <c r="K382" s="3">
        <f t="shared" si="385"/>
        <v>4.159574519586702E-2</v>
      </c>
      <c r="L382" s="3">
        <f t="shared" si="385"/>
        <v>3.8420009355038108E-2</v>
      </c>
      <c r="M382" s="3">
        <f t="shared" si="385"/>
        <v>1.7363730527254328E-2</v>
      </c>
      <c r="N382" s="3">
        <f t="shared" si="385"/>
        <v>6.1730351132813714E-6</v>
      </c>
      <c r="O382" s="3">
        <f t="shared" si="385"/>
        <v>1.9909293442368821E-40</v>
      </c>
      <c r="P382" s="3">
        <f t="shared" si="385"/>
        <v>0</v>
      </c>
      <c r="Q382" s="3">
        <f t="shared" si="385"/>
        <v>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4.8106928296971385E-2</v>
      </c>
      <c r="C383" s="3">
        <f t="shared" si="386"/>
        <v>4.8106928296626737E-2</v>
      </c>
      <c r="D383" s="3">
        <f t="shared" si="386"/>
        <v>4.8106928293180209E-2</v>
      </c>
      <c r="E383" s="3">
        <f t="shared" si="386"/>
        <v>4.8106928258714973E-2</v>
      </c>
      <c r="F383" s="3">
        <f t="shared" si="386"/>
        <v>4.8106927914062604E-2</v>
      </c>
      <c r="G383" s="3">
        <f t="shared" si="386"/>
        <v>4.8106924467539051E-2</v>
      </c>
      <c r="H383" s="3">
        <f t="shared" si="386"/>
        <v>4.8106890002317097E-2</v>
      </c>
      <c r="I383" s="3">
        <f t="shared" si="386"/>
        <v>4.8106545351455567E-2</v>
      </c>
      <c r="J383" s="3">
        <f t="shared" si="386"/>
        <v>4.8103098978641887E-2</v>
      </c>
      <c r="K383" s="3">
        <f t="shared" si="386"/>
        <v>4.806864882706359E-2</v>
      </c>
      <c r="L383" s="3">
        <f t="shared" si="386"/>
        <v>4.772550137515516E-2</v>
      </c>
      <c r="M383" s="3">
        <f t="shared" si="386"/>
        <v>4.4425911652983513E-2</v>
      </c>
      <c r="N383" s="3">
        <f t="shared" si="386"/>
        <v>2.1701754165560569E-2</v>
      </c>
      <c r="O383" s="3">
        <f t="shared" si="386"/>
        <v>1.6791123226619933E-5</v>
      </c>
      <c r="P383" s="3">
        <f t="shared" si="386"/>
        <v>1.29100772732214E-36</v>
      </c>
      <c r="Q383" s="3">
        <f t="shared" si="386"/>
        <v>0</v>
      </c>
      <c r="R383" s="3">
        <f t="shared" si="386"/>
        <v>0</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4.610030102019308E-2</v>
      </c>
      <c r="C384" s="3">
        <f t="shared" si="387"/>
        <v>4.6100301020163284E-2</v>
      </c>
      <c r="D384" s="3">
        <f t="shared" si="387"/>
        <v>4.6100301019865349E-2</v>
      </c>
      <c r="E384" s="3">
        <f t="shared" si="387"/>
        <v>4.6100301016885982E-2</v>
      </c>
      <c r="F384" s="3">
        <f t="shared" si="387"/>
        <v>4.6100300987092308E-2</v>
      </c>
      <c r="G384" s="3">
        <f t="shared" si="387"/>
        <v>4.6100300689155618E-2</v>
      </c>
      <c r="H384" s="3">
        <f t="shared" si="387"/>
        <v>4.6100297709788796E-2</v>
      </c>
      <c r="I384" s="3">
        <f t="shared" si="387"/>
        <v>4.610026791613115E-2</v>
      </c>
      <c r="J384" s="3">
        <f t="shared" si="387"/>
        <v>4.6099969980613706E-2</v>
      </c>
      <c r="K384" s="3">
        <f t="shared" si="387"/>
        <v>4.6096990731339132E-2</v>
      </c>
      <c r="L384" s="3">
        <f t="shared" si="387"/>
        <v>4.6067208826047298E-2</v>
      </c>
      <c r="M384" s="3">
        <f t="shared" si="387"/>
        <v>4.5770445991187118E-2</v>
      </c>
      <c r="N384" s="3">
        <f t="shared" si="387"/>
        <v>4.2905956852438712E-2</v>
      </c>
      <c r="O384" s="3">
        <f t="shared" si="387"/>
        <v>2.2482368713813174E-2</v>
      </c>
      <c r="P384" s="3">
        <f t="shared" si="387"/>
        <v>3.5082199136131501E-5</v>
      </c>
      <c r="Q384" s="3">
        <f t="shared" si="387"/>
        <v>3.0028541801773122E-33</v>
      </c>
      <c r="R384" s="3">
        <f t="shared" si="387"/>
        <v>0</v>
      </c>
      <c r="S384" s="3">
        <f t="shared" si="387"/>
        <v>0</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6.1544571271861602E-2</v>
      </c>
      <c r="C385" s="3">
        <f t="shared" si="388"/>
        <v>6.1544571271858015E-2</v>
      </c>
      <c r="D385" s="3">
        <f t="shared" si="388"/>
        <v>6.1544571271822127E-2</v>
      </c>
      <c r="E385" s="3">
        <f t="shared" si="388"/>
        <v>6.154457127146333E-2</v>
      </c>
      <c r="F385" s="3">
        <f t="shared" si="388"/>
        <v>6.1544571267875291E-2</v>
      </c>
      <c r="G385" s="3">
        <f t="shared" si="388"/>
        <v>6.154457123199495E-2</v>
      </c>
      <c r="H385" s="3">
        <f t="shared" si="388"/>
        <v>6.1544570873191526E-2</v>
      </c>
      <c r="I385" s="3">
        <f t="shared" si="388"/>
        <v>6.1544567285157448E-2</v>
      </c>
      <c r="J385" s="3">
        <f t="shared" si="388"/>
        <v>6.154453140482815E-2</v>
      </c>
      <c r="K385" s="3">
        <f t="shared" si="388"/>
        <v>6.1544172602685618E-2</v>
      </c>
      <c r="L385" s="3">
        <f t="shared" si="388"/>
        <v>6.1540584696307403E-2</v>
      </c>
      <c r="M385" s="3">
        <f t="shared" si="388"/>
        <v>6.1504717134754111E-2</v>
      </c>
      <c r="N385" s="3">
        <f t="shared" si="388"/>
        <v>6.1147189264831925E-2</v>
      </c>
      <c r="O385" s="3">
        <f t="shared" si="388"/>
        <v>5.7684247469204357E-2</v>
      </c>
      <c r="P385" s="3">
        <f t="shared" si="388"/>
        <v>3.2200643980117891E-2</v>
      </c>
      <c r="Q385" s="3">
        <f t="shared" si="388"/>
        <v>9.4610168555612614E-5</v>
      </c>
      <c r="R385" s="3">
        <f t="shared" si="388"/>
        <v>4.5359724282877428E-30</v>
      </c>
      <c r="S385" s="3">
        <f t="shared" si="388"/>
        <v>2.9106923498609998E-283</v>
      </c>
      <c r="T385" s="3">
        <f t="shared" si="388"/>
        <v>0</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2.0548359308290493E-2</v>
      </c>
      <c r="C386" s="3">
        <f t="shared" si="389"/>
        <v>2.0548359308290381E-2</v>
      </c>
      <c r="D386" s="3">
        <f t="shared" si="389"/>
        <v>2.0548359308289302E-2</v>
      </c>
      <c r="E386" s="3">
        <f t="shared" si="389"/>
        <v>2.0548359308278495E-2</v>
      </c>
      <c r="F386" s="3">
        <f t="shared" si="389"/>
        <v>2.0548359308170429E-2</v>
      </c>
      <c r="G386" s="3">
        <f t="shared" si="389"/>
        <v>2.0548359307089765E-2</v>
      </c>
      <c r="H386" s="3">
        <f t="shared" si="389"/>
        <v>2.0548359296283129E-2</v>
      </c>
      <c r="I386" s="3">
        <f t="shared" si="389"/>
        <v>2.0548359188216757E-2</v>
      </c>
      <c r="J386" s="3">
        <f t="shared" si="389"/>
        <v>2.0548358107553087E-2</v>
      </c>
      <c r="K386" s="3">
        <f t="shared" si="389"/>
        <v>2.0548347300919489E-2</v>
      </c>
      <c r="L386" s="3">
        <f t="shared" si="389"/>
        <v>2.0548239234896088E-2</v>
      </c>
      <c r="M386" s="3">
        <f t="shared" si="389"/>
        <v>2.0547158605919817E-2</v>
      </c>
      <c r="N386" s="3">
        <f t="shared" si="389"/>
        <v>2.0536355441320844E-2</v>
      </c>
      <c r="O386" s="3">
        <f t="shared" si="389"/>
        <v>2.0428635704441572E-2</v>
      </c>
      <c r="P386" s="3">
        <f t="shared" si="389"/>
        <v>1.9382030753752527E-2</v>
      </c>
      <c r="Q386" s="3">
        <f t="shared" si="389"/>
        <v>1.1455087810891109E-2</v>
      </c>
      <c r="R386" s="3">
        <f t="shared" si="389"/>
        <v>5.9564824466407757E-5</v>
      </c>
      <c r="S386" s="3">
        <f t="shared" si="389"/>
        <v>8.6080405106222933E-28</v>
      </c>
      <c r="T386" s="3">
        <f t="shared" si="389"/>
        <v>3.4201776219939573E-256</v>
      </c>
      <c r="U386" s="3">
        <f t="shared" si="389"/>
        <v>0</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6.8598536150208833E-2</v>
      </c>
      <c r="C387" s="3">
        <f t="shared" si="390"/>
        <v>6.8598536150208736E-2</v>
      </c>
      <c r="D387" s="3">
        <f t="shared" si="390"/>
        <v>6.8598536150207737E-2</v>
      </c>
      <c r="E387" s="3">
        <f t="shared" si="390"/>
        <v>6.8598536150197759E-2</v>
      </c>
      <c r="F387" s="3">
        <f t="shared" si="390"/>
        <v>6.8598536150097977E-2</v>
      </c>
      <c r="G387" s="3">
        <f t="shared" si="390"/>
        <v>6.8598536149100178E-2</v>
      </c>
      <c r="H387" s="3">
        <f t="shared" si="390"/>
        <v>6.8598536139122243E-2</v>
      </c>
      <c r="I387" s="3">
        <f t="shared" si="390"/>
        <v>6.8598536039342795E-2</v>
      </c>
      <c r="J387" s="3">
        <f t="shared" si="390"/>
        <v>6.8598535041548253E-2</v>
      </c>
      <c r="K387" s="3">
        <f t="shared" si="390"/>
        <v>6.8598525063603685E-2</v>
      </c>
      <c r="L387" s="3">
        <f t="shared" si="390"/>
        <v>6.8598425284237888E-2</v>
      </c>
      <c r="M387" s="3">
        <f t="shared" si="390"/>
        <v>6.8597427498562222E-2</v>
      </c>
      <c r="N387" s="3">
        <f t="shared" si="390"/>
        <v>6.8587450439991593E-2</v>
      </c>
      <c r="O387" s="3">
        <f t="shared" si="390"/>
        <v>6.8487759629948075E-2</v>
      </c>
      <c r="P387" s="3">
        <f t="shared" si="390"/>
        <v>6.7498786328620122E-2</v>
      </c>
      <c r="Q387" s="3">
        <f t="shared" si="390"/>
        <v>5.8361440930453243E-2</v>
      </c>
      <c r="R387" s="3">
        <f t="shared" si="390"/>
        <v>1.362782116371805E-2</v>
      </c>
      <c r="S387" s="3">
        <f t="shared" si="390"/>
        <v>6.5679618766425684E-9</v>
      </c>
      <c r="T387" s="3">
        <f t="shared" si="390"/>
        <v>4.4409164105405976E-72</v>
      </c>
      <c r="U387" s="3">
        <f t="shared" si="390"/>
        <v>0</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4.2430467850210242E-2</v>
      </c>
      <c r="C388" s="3">
        <f t="shared" si="391"/>
        <v>4.2430467850210235E-2</v>
      </c>
      <c r="D388" s="3">
        <f t="shared" si="391"/>
        <v>4.2430467850210173E-2</v>
      </c>
      <c r="E388" s="3">
        <f t="shared" si="391"/>
        <v>4.2430467850209555E-2</v>
      </c>
      <c r="F388" s="3">
        <f t="shared" si="391"/>
        <v>4.2430467850203386E-2</v>
      </c>
      <c r="G388" s="3">
        <f t="shared" si="391"/>
        <v>4.2430467850141665E-2</v>
      </c>
      <c r="H388" s="3">
        <f t="shared" si="391"/>
        <v>4.2430467849524499E-2</v>
      </c>
      <c r="I388" s="3">
        <f t="shared" si="391"/>
        <v>4.2430467843352804E-2</v>
      </c>
      <c r="J388" s="3">
        <f t="shared" si="391"/>
        <v>4.2430467781635915E-2</v>
      </c>
      <c r="K388" s="3">
        <f t="shared" si="391"/>
        <v>4.2430467164466926E-2</v>
      </c>
      <c r="L388" s="3">
        <f t="shared" si="391"/>
        <v>4.2430460992777558E-2</v>
      </c>
      <c r="M388" s="3">
        <f t="shared" si="391"/>
        <v>4.2430399275933291E-2</v>
      </c>
      <c r="N388" s="3">
        <f t="shared" si="391"/>
        <v>4.2429782112427941E-2</v>
      </c>
      <c r="O388" s="3">
        <f t="shared" si="391"/>
        <v>4.2423610971078884E-2</v>
      </c>
      <c r="P388" s="3">
        <f t="shared" si="391"/>
        <v>4.2361948901479464E-2</v>
      </c>
      <c r="Q388" s="3">
        <f t="shared" si="391"/>
        <v>4.175023614167906E-2</v>
      </c>
      <c r="R388" s="3">
        <f t="shared" si="391"/>
        <v>3.6098485216495418E-2</v>
      </c>
      <c r="S388" s="3">
        <f t="shared" si="391"/>
        <v>8.4292589930695331E-3</v>
      </c>
      <c r="T388" s="3">
        <f t="shared" si="391"/>
        <v>4.0625020720276781E-9</v>
      </c>
      <c r="U388" s="3">
        <f t="shared" si="391"/>
        <v>2.7468539644973203E-72</v>
      </c>
      <c r="V388" s="3">
        <f t="shared" si="391"/>
        <v>0</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4.2564807754428377E-2</v>
      </c>
      <c r="C389" s="3">
        <f t="shared" si="392"/>
        <v>4.2564807754428377E-2</v>
      </c>
      <c r="D389" s="3">
        <f t="shared" si="392"/>
        <v>4.256480775442837E-2</v>
      </c>
      <c r="E389" s="3">
        <f t="shared" si="392"/>
        <v>4.2564807754428308E-2</v>
      </c>
      <c r="F389" s="3">
        <f t="shared" si="392"/>
        <v>4.256480775442769E-2</v>
      </c>
      <c r="G389" s="3">
        <f t="shared" si="392"/>
        <v>4.2564807754421494E-2</v>
      </c>
      <c r="H389" s="3">
        <f t="shared" si="392"/>
        <v>4.2564807754359585E-2</v>
      </c>
      <c r="I389" s="3">
        <f t="shared" si="392"/>
        <v>4.2564807753740462E-2</v>
      </c>
      <c r="J389" s="3">
        <f t="shared" si="392"/>
        <v>4.2564807747549227E-2</v>
      </c>
      <c r="K389" s="3">
        <f t="shared" si="392"/>
        <v>4.2564807685636932E-2</v>
      </c>
      <c r="L389" s="3">
        <f t="shared" si="392"/>
        <v>4.2564807066513916E-2</v>
      </c>
      <c r="M389" s="3">
        <f t="shared" si="392"/>
        <v>4.2564800875284248E-2</v>
      </c>
      <c r="N389" s="3">
        <f t="shared" si="392"/>
        <v>4.2564738963037113E-2</v>
      </c>
      <c r="O389" s="3">
        <f t="shared" si="392"/>
        <v>4.256411984551875E-2</v>
      </c>
      <c r="P389" s="3">
        <f t="shared" si="392"/>
        <v>4.2557929165602727E-2</v>
      </c>
      <c r="Q389" s="3">
        <f t="shared" si="392"/>
        <v>4.2496071866562207E-2</v>
      </c>
      <c r="R389" s="3">
        <f t="shared" si="392"/>
        <v>4.1882422351460148E-2</v>
      </c>
      <c r="S389" s="3">
        <f t="shared" si="392"/>
        <v>3.6212777311117696E-2</v>
      </c>
      <c r="T389" s="3">
        <f t="shared" si="392"/>
        <v>8.4559470288874845E-3</v>
      </c>
      <c r="U389" s="3">
        <f t="shared" si="392"/>
        <v>4.0753644364298056E-9</v>
      </c>
      <c r="V389" s="3">
        <f t="shared" si="392"/>
        <v>2.7555508306217872E-72</v>
      </c>
      <c r="W389" s="3">
        <f t="shared" si="392"/>
        <v>0</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1.7794430151868639E-2</v>
      </c>
      <c r="C390" s="3">
        <f t="shared" si="393"/>
        <v>1.7794430151868639E-2</v>
      </c>
      <c r="D390" s="3">
        <f t="shared" si="393"/>
        <v>1.7794430151868639E-2</v>
      </c>
      <c r="E390" s="3">
        <f t="shared" si="393"/>
        <v>1.7794430151868636E-2</v>
      </c>
      <c r="F390" s="3">
        <f t="shared" si="393"/>
        <v>1.7794430151868608E-2</v>
      </c>
      <c r="G390" s="3">
        <f t="shared" si="393"/>
        <v>1.7794430151868351E-2</v>
      </c>
      <c r="H390" s="3">
        <f t="shared" si="393"/>
        <v>1.7794430151865763E-2</v>
      </c>
      <c r="I390" s="3">
        <f t="shared" si="393"/>
        <v>1.7794430151839881E-2</v>
      </c>
      <c r="J390" s="3">
        <f t="shared" si="393"/>
        <v>1.7794430151581053E-2</v>
      </c>
      <c r="K390" s="3">
        <f t="shared" si="393"/>
        <v>1.7794430148992776E-2</v>
      </c>
      <c r="L390" s="3">
        <f t="shared" si="393"/>
        <v>1.7794430123110033E-2</v>
      </c>
      <c r="M390" s="3">
        <f t="shared" si="393"/>
        <v>1.7794429864282566E-2</v>
      </c>
      <c r="N390" s="3">
        <f t="shared" si="393"/>
        <v>1.7794427276008131E-2</v>
      </c>
      <c r="O390" s="3">
        <f t="shared" si="393"/>
        <v>1.7794401393284462E-2</v>
      </c>
      <c r="P390" s="3">
        <f t="shared" si="393"/>
        <v>1.7794142568118378E-2</v>
      </c>
      <c r="Q390" s="3">
        <f t="shared" si="393"/>
        <v>1.7791554523506645E-2</v>
      </c>
      <c r="R390" s="3">
        <f t="shared" si="393"/>
        <v>1.7765694771161227E-2</v>
      </c>
      <c r="S390" s="3">
        <f t="shared" si="393"/>
        <v>1.7509155531110848E-2</v>
      </c>
      <c r="T390" s="3">
        <f t="shared" si="393"/>
        <v>1.5138932147551316E-2</v>
      </c>
      <c r="U390" s="3">
        <f t="shared" si="393"/>
        <v>3.5350508251217215E-3</v>
      </c>
      <c r="V390" s="3">
        <f t="shared" si="393"/>
        <v>1.7037264264376934E-9</v>
      </c>
      <c r="W390" s="3">
        <f t="shared" si="393"/>
        <v>1.1519717666367618E-72</v>
      </c>
      <c r="X390" s="3">
        <f t="shared" si="393"/>
        <v>0</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1.1846247724533283E-2</v>
      </c>
      <c r="C391" s="3">
        <f t="shared" si="394"/>
        <v>1.1846247724533283E-2</v>
      </c>
      <c r="D391" s="3">
        <f t="shared" si="394"/>
        <v>1.1846247724533283E-2</v>
      </c>
      <c r="E391" s="3">
        <f t="shared" si="394"/>
        <v>1.1846247724533283E-2</v>
      </c>
      <c r="F391" s="3">
        <f t="shared" si="394"/>
        <v>1.1846247724533281E-2</v>
      </c>
      <c r="G391" s="3">
        <f t="shared" si="394"/>
        <v>1.1846247724533264E-2</v>
      </c>
      <c r="H391" s="3">
        <f t="shared" si="394"/>
        <v>1.184624772453309E-2</v>
      </c>
      <c r="I391" s="3">
        <f t="shared" si="394"/>
        <v>1.1846247724531368E-2</v>
      </c>
      <c r="J391" s="3">
        <f t="shared" si="394"/>
        <v>1.1846247724514137E-2</v>
      </c>
      <c r="K391" s="3">
        <f t="shared" si="394"/>
        <v>1.1846247724341829E-2</v>
      </c>
      <c r="L391" s="3">
        <f t="shared" si="394"/>
        <v>1.1846247722618742E-2</v>
      </c>
      <c r="M391" s="3">
        <f t="shared" si="394"/>
        <v>1.1846247705387877E-2</v>
      </c>
      <c r="N391" s="3">
        <f t="shared" si="394"/>
        <v>1.1846247533079226E-2</v>
      </c>
      <c r="O391" s="3">
        <f t="shared" si="394"/>
        <v>1.1846245809992851E-2</v>
      </c>
      <c r="P391" s="3">
        <f t="shared" si="394"/>
        <v>1.1846228579142873E-2</v>
      </c>
      <c r="Q391" s="3">
        <f t="shared" si="394"/>
        <v>1.1846056272021566E-2</v>
      </c>
      <c r="R391" s="3">
        <f t="shared" si="394"/>
        <v>1.1844333338646849E-2</v>
      </c>
      <c r="S391" s="3">
        <f t="shared" si="394"/>
        <v>1.1827117781319956E-2</v>
      </c>
      <c r="T391" s="3">
        <f t="shared" si="394"/>
        <v>1.1656332464635837E-2</v>
      </c>
      <c r="U391" s="3">
        <f t="shared" si="394"/>
        <v>1.0078408747804753E-2</v>
      </c>
      <c r="V391" s="3">
        <f t="shared" si="394"/>
        <v>2.353381784963205E-3</v>
      </c>
      <c r="W391" s="3">
        <f t="shared" si="394"/>
        <v>1.1342181306264141E-9</v>
      </c>
      <c r="X391" s="3">
        <f t="shared" si="394"/>
        <v>7.6689968730548353E-73</v>
      </c>
      <c r="Y391" s="3">
        <f t="shared" si="394"/>
        <v>0</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4.239833197731321E-3</v>
      </c>
      <c r="C392" s="3">
        <f t="shared" si="395"/>
        <v>4.239833197731321E-3</v>
      </c>
      <c r="D392" s="3">
        <f t="shared" si="395"/>
        <v>4.239833197731321E-3</v>
      </c>
      <c r="E392" s="3">
        <f t="shared" si="395"/>
        <v>4.239833197731321E-3</v>
      </c>
      <c r="F392" s="3">
        <f t="shared" si="395"/>
        <v>4.239833197731321E-3</v>
      </c>
      <c r="G392" s="3">
        <f t="shared" si="395"/>
        <v>4.2398331977313202E-3</v>
      </c>
      <c r="H392" s="3">
        <f t="shared" si="395"/>
        <v>4.2398331977313141E-3</v>
      </c>
      <c r="I392" s="3">
        <f t="shared" si="395"/>
        <v>4.2398331977312525E-3</v>
      </c>
      <c r="J392" s="3">
        <f t="shared" si="395"/>
        <v>4.2398331977306358E-3</v>
      </c>
      <c r="K392" s="3">
        <f t="shared" si="395"/>
        <v>4.2398331977244689E-3</v>
      </c>
      <c r="L392" s="3">
        <f t="shared" si="395"/>
        <v>4.2398331976627986E-3</v>
      </c>
      <c r="M392" s="3">
        <f t="shared" si="395"/>
        <v>4.2398331970460966E-3</v>
      </c>
      <c r="N392" s="3">
        <f t="shared" si="395"/>
        <v>4.2398331908790818E-3</v>
      </c>
      <c r="O392" s="3">
        <f t="shared" si="395"/>
        <v>4.2398331292089258E-3</v>
      </c>
      <c r="P392" s="3">
        <f t="shared" si="395"/>
        <v>4.2398325125074191E-3</v>
      </c>
      <c r="Q392" s="3">
        <f t="shared" si="395"/>
        <v>4.2398263454972865E-3</v>
      </c>
      <c r="R392" s="3">
        <f t="shared" si="395"/>
        <v>4.2397646758893133E-3</v>
      </c>
      <c r="S392" s="3">
        <f t="shared" si="395"/>
        <v>4.2391480291426404E-3</v>
      </c>
      <c r="T392" s="3">
        <f t="shared" si="395"/>
        <v>4.2329864923278367E-3</v>
      </c>
      <c r="U392" s="3">
        <f t="shared" si="395"/>
        <v>4.1718615460832305E-3</v>
      </c>
      <c r="V392" s="3">
        <f t="shared" si="395"/>
        <v>3.6071145043467209E-3</v>
      </c>
      <c r="W392" s="3">
        <f t="shared" si="395"/>
        <v>8.422874863708204E-4</v>
      </c>
      <c r="X392" s="3">
        <f t="shared" si="395"/>
        <v>4.0594252252040351E-10</v>
      </c>
      <c r="Y392" s="3">
        <f t="shared" si="395"/>
        <v>2.7447735596763923E-73</v>
      </c>
      <c r="Z392" s="3">
        <f t="shared" si="395"/>
        <v>0</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3.1413173103933909E-3</v>
      </c>
      <c r="C393" s="3">
        <f t="shared" si="396"/>
        <v>3.1413173103933909E-3</v>
      </c>
      <c r="D393" s="3">
        <f t="shared" si="396"/>
        <v>3.1413173103933909E-3</v>
      </c>
      <c r="E393" s="3">
        <f t="shared" si="396"/>
        <v>3.1413173103933909E-3</v>
      </c>
      <c r="F393" s="3">
        <f t="shared" si="396"/>
        <v>3.1413173103933909E-3</v>
      </c>
      <c r="G393" s="3">
        <f t="shared" si="396"/>
        <v>3.1413173103933909E-3</v>
      </c>
      <c r="H393" s="3">
        <f t="shared" si="396"/>
        <v>3.1413173103933905E-3</v>
      </c>
      <c r="I393" s="3">
        <f t="shared" si="396"/>
        <v>3.1413173103933857E-3</v>
      </c>
      <c r="J393" s="3">
        <f t="shared" si="396"/>
        <v>3.1413173103933402E-3</v>
      </c>
      <c r="K393" s="3">
        <f t="shared" si="396"/>
        <v>3.1413173103928831E-3</v>
      </c>
      <c r="L393" s="3">
        <f t="shared" si="396"/>
        <v>3.1413173103883143E-3</v>
      </c>
      <c r="M393" s="3">
        <f t="shared" si="396"/>
        <v>3.1413173103426221E-3</v>
      </c>
      <c r="N393" s="3">
        <f t="shared" si="396"/>
        <v>3.1413173098857041E-3</v>
      </c>
      <c r="O393" s="3">
        <f t="shared" si="396"/>
        <v>3.1413173053165266E-3</v>
      </c>
      <c r="P393" s="3">
        <f t="shared" si="396"/>
        <v>3.141317259624746E-3</v>
      </c>
      <c r="Q393" s="3">
        <f t="shared" si="396"/>
        <v>3.1413168027069789E-3</v>
      </c>
      <c r="R393" s="3">
        <f t="shared" si="396"/>
        <v>3.1413122335329615E-3</v>
      </c>
      <c r="S393" s="3">
        <f t="shared" si="396"/>
        <v>3.141266542158321E-3</v>
      </c>
      <c r="T393" s="3">
        <f t="shared" si="396"/>
        <v>3.1408096649630682E-3</v>
      </c>
      <c r="U393" s="3">
        <f t="shared" si="396"/>
        <v>3.1362445461594964E-3</v>
      </c>
      <c r="V393" s="3">
        <f t="shared" si="396"/>
        <v>3.0909567145915493E-3</v>
      </c>
      <c r="W393" s="3">
        <f t="shared" si="396"/>
        <v>2.6725323154548975E-3</v>
      </c>
      <c r="X393" s="3">
        <f t="shared" si="396"/>
        <v>6.2405574414582578E-4</v>
      </c>
      <c r="Y393" s="3">
        <f t="shared" si="396"/>
        <v>3.0076519842819337E-10</v>
      </c>
      <c r="Z393" s="3">
        <f t="shared" si="396"/>
        <v>2.0336188463110216E-73</v>
      </c>
      <c r="AA393" s="3">
        <f t="shared" si="396"/>
        <v>0</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2.257189619316161E-3</v>
      </c>
      <c r="C394" s="3">
        <f t="shared" si="397"/>
        <v>2.257189619316161E-3</v>
      </c>
      <c r="D394" s="3">
        <f t="shared" si="397"/>
        <v>2.257189619316161E-3</v>
      </c>
      <c r="E394" s="3">
        <f t="shared" si="397"/>
        <v>2.257189619316161E-3</v>
      </c>
      <c r="F394" s="3">
        <f t="shared" si="397"/>
        <v>2.257189619316161E-3</v>
      </c>
      <c r="G394" s="3">
        <f t="shared" si="397"/>
        <v>2.257189619316161E-3</v>
      </c>
      <c r="H394" s="3">
        <f t="shared" si="397"/>
        <v>2.257189619316161E-3</v>
      </c>
      <c r="I394" s="3">
        <f t="shared" si="397"/>
        <v>2.2571896193161606E-3</v>
      </c>
      <c r="J394" s="3">
        <f t="shared" si="397"/>
        <v>2.2571896193161571E-3</v>
      </c>
      <c r="K394" s="3">
        <f t="shared" si="397"/>
        <v>2.2571896193161246E-3</v>
      </c>
      <c r="L394" s="3">
        <f t="shared" si="397"/>
        <v>2.2571896193157963E-3</v>
      </c>
      <c r="M394" s="3">
        <f t="shared" si="397"/>
        <v>2.2571896193125129E-3</v>
      </c>
      <c r="N394" s="3">
        <f t="shared" si="397"/>
        <v>2.2571896192796811E-3</v>
      </c>
      <c r="O394" s="3">
        <f t="shared" si="397"/>
        <v>2.2571896189513634E-3</v>
      </c>
      <c r="P394" s="3">
        <f t="shared" si="397"/>
        <v>2.2571896156681863E-3</v>
      </c>
      <c r="Q394" s="3">
        <f t="shared" si="397"/>
        <v>2.2571895828364147E-3</v>
      </c>
      <c r="R394" s="3">
        <f t="shared" si="397"/>
        <v>2.2571892545187253E-3</v>
      </c>
      <c r="S394" s="3">
        <f t="shared" si="397"/>
        <v>2.2571859713444577E-3</v>
      </c>
      <c r="T394" s="3">
        <f t="shared" si="397"/>
        <v>2.2571531398644317E-3</v>
      </c>
      <c r="U394" s="3">
        <f t="shared" si="397"/>
        <v>2.2568248513279584E-3</v>
      </c>
      <c r="V394" s="3">
        <f t="shared" si="397"/>
        <v>2.2535445909288342E-3</v>
      </c>
      <c r="W394" s="3">
        <f t="shared" si="397"/>
        <v>2.2210030762724532E-3</v>
      </c>
      <c r="X394" s="3">
        <f t="shared" si="397"/>
        <v>1.9203447482917071E-3</v>
      </c>
      <c r="Y394" s="3">
        <f t="shared" si="397"/>
        <v>4.4841447341216793E-4</v>
      </c>
      <c r="Z394" s="3">
        <f t="shared" si="397"/>
        <v>2.1611445666361733E-10</v>
      </c>
      <c r="AA394" s="3">
        <f t="shared" si="397"/>
        <v>1.461254275189443E-73</v>
      </c>
      <c r="AB394" s="3">
        <f t="shared" si="397"/>
        <v>0</v>
      </c>
      <c r="AC394" s="3">
        <f t="shared" si="397"/>
        <v>0</v>
      </c>
      <c r="AD394" s="3">
        <f t="shared" si="397"/>
        <v>0</v>
      </c>
      <c r="AE394" s="3">
        <f t="shared" si="397"/>
        <v>0</v>
      </c>
      <c r="AF394" s="3">
        <f t="shared" si="397"/>
        <v>0</v>
      </c>
      <c r="AG394" s="3"/>
      <c r="AH394" s="3"/>
    </row>
    <row r="395" spans="1:34" x14ac:dyDescent="0.25">
      <c r="B395" s="3">
        <f t="shared" ref="B395:AF395" si="398">$C47*EXP(-B$363/$A47/EXP(-$H$126))</f>
        <v>3.6224207496198294E-4</v>
      </c>
      <c r="C395" s="3">
        <f t="shared" si="398"/>
        <v>3.6224207496198294E-4</v>
      </c>
      <c r="D395" s="3">
        <f t="shared" si="398"/>
        <v>3.6224207496198294E-4</v>
      </c>
      <c r="E395" s="3">
        <f t="shared" si="398"/>
        <v>3.6224207496198294E-4</v>
      </c>
      <c r="F395" s="3">
        <f t="shared" si="398"/>
        <v>3.6224207496198294E-4</v>
      </c>
      <c r="G395" s="3">
        <f t="shared" si="398"/>
        <v>3.6224207496198294E-4</v>
      </c>
      <c r="H395" s="3">
        <f t="shared" si="398"/>
        <v>3.6224207496198294E-4</v>
      </c>
      <c r="I395" s="3">
        <f t="shared" si="398"/>
        <v>3.6224207496198294E-4</v>
      </c>
      <c r="J395" s="3">
        <f t="shared" si="398"/>
        <v>3.6224207496198289E-4</v>
      </c>
      <c r="K395" s="3">
        <f t="shared" si="398"/>
        <v>3.6224207496198235E-4</v>
      </c>
      <c r="L395" s="3">
        <f t="shared" si="398"/>
        <v>3.6224207496197709E-4</v>
      </c>
      <c r="M395" s="3">
        <f t="shared" si="398"/>
        <v>3.622420749619244E-4</v>
      </c>
      <c r="N395" s="3">
        <f t="shared" si="398"/>
        <v>3.6224207496139753E-4</v>
      </c>
      <c r="O395" s="3">
        <f t="shared" si="398"/>
        <v>3.6224207495612852E-4</v>
      </c>
      <c r="P395" s="3">
        <f t="shared" si="398"/>
        <v>3.622420749034389E-4</v>
      </c>
      <c r="Q395" s="3">
        <f t="shared" si="398"/>
        <v>3.6224207437654261E-4</v>
      </c>
      <c r="R395" s="3">
        <f t="shared" si="398"/>
        <v>3.6224206910757939E-4</v>
      </c>
      <c r="S395" s="3">
        <f t="shared" si="398"/>
        <v>3.622420164179515E-4</v>
      </c>
      <c r="T395" s="3">
        <f t="shared" si="398"/>
        <v>3.6224148952209437E-4</v>
      </c>
      <c r="U395" s="3">
        <f t="shared" si="398"/>
        <v>3.6223622060567418E-4</v>
      </c>
      <c r="V395" s="3">
        <f t="shared" si="398"/>
        <v>3.6218353565638126E-4</v>
      </c>
      <c r="W395" s="3">
        <f t="shared" si="398"/>
        <v>3.6165710742756704E-4</v>
      </c>
      <c r="X395" s="3">
        <f t="shared" si="398"/>
        <v>3.5643472571419353E-4</v>
      </c>
      <c r="Y395" s="3">
        <f t="shared" si="398"/>
        <v>3.0818397369481218E-4</v>
      </c>
      <c r="Z395" s="3">
        <f t="shared" si="398"/>
        <v>7.196320056664973E-5</v>
      </c>
      <c r="AA395" s="3">
        <f t="shared" si="398"/>
        <v>3.4682841238135665E-11</v>
      </c>
      <c r="AB395" s="3">
        <f t="shared" si="398"/>
        <v>2.3450744951239748E-74</v>
      </c>
      <c r="AC395" s="3">
        <f t="shared" si="398"/>
        <v>0</v>
      </c>
      <c r="AD395" s="3">
        <f t="shared" si="398"/>
        <v>0</v>
      </c>
      <c r="AE395" s="3">
        <f t="shared" si="398"/>
        <v>0</v>
      </c>
      <c r="AF395" s="3">
        <f t="shared" si="398"/>
        <v>0</v>
      </c>
      <c r="AG395" s="3"/>
      <c r="AH395" s="3"/>
    </row>
    <row r="396" spans="1:34" x14ac:dyDescent="0.25">
      <c r="B396" s="3">
        <f t="shared" ref="B396:AF396" si="399">$C48*EXP(-B$363/$A48/EXP(-$H$126))</f>
        <v>0</v>
      </c>
      <c r="C396" s="3">
        <f t="shared" si="399"/>
        <v>0</v>
      </c>
      <c r="D396" s="3">
        <f t="shared" si="399"/>
        <v>0</v>
      </c>
      <c r="E396" s="3">
        <f t="shared" si="399"/>
        <v>0</v>
      </c>
      <c r="F396" s="3">
        <f t="shared" si="399"/>
        <v>0</v>
      </c>
      <c r="G396" s="3">
        <f t="shared" si="399"/>
        <v>0</v>
      </c>
      <c r="H396" s="3">
        <f t="shared" si="399"/>
        <v>0</v>
      </c>
      <c r="I396" s="3">
        <f t="shared" si="399"/>
        <v>0</v>
      </c>
      <c r="J396" s="3">
        <f t="shared" si="399"/>
        <v>0</v>
      </c>
      <c r="K396" s="3">
        <f t="shared" si="399"/>
        <v>0</v>
      </c>
      <c r="L396" s="3">
        <f t="shared" si="399"/>
        <v>0</v>
      </c>
      <c r="M396" s="3">
        <f t="shared" si="399"/>
        <v>0</v>
      </c>
      <c r="N396" s="3">
        <f t="shared" si="399"/>
        <v>0</v>
      </c>
      <c r="O396" s="3">
        <f t="shared" si="399"/>
        <v>0</v>
      </c>
      <c r="P396" s="3">
        <f t="shared" si="399"/>
        <v>0</v>
      </c>
      <c r="Q396" s="3">
        <f t="shared" si="399"/>
        <v>0</v>
      </c>
      <c r="R396" s="3">
        <f t="shared" si="399"/>
        <v>0</v>
      </c>
      <c r="S396" s="3">
        <f t="shared" si="399"/>
        <v>0</v>
      </c>
      <c r="T396" s="3">
        <f t="shared" si="399"/>
        <v>0</v>
      </c>
      <c r="U396" s="3">
        <f t="shared" si="399"/>
        <v>0</v>
      </c>
      <c r="V396" s="3">
        <f t="shared" si="399"/>
        <v>0</v>
      </c>
      <c r="W396" s="3">
        <f t="shared" si="399"/>
        <v>0</v>
      </c>
      <c r="X396" s="3">
        <f t="shared" si="399"/>
        <v>0</v>
      </c>
      <c r="Y396" s="3">
        <f t="shared" si="399"/>
        <v>0</v>
      </c>
      <c r="Z396" s="3">
        <f t="shared" si="399"/>
        <v>0</v>
      </c>
      <c r="AA396" s="3">
        <f t="shared" si="399"/>
        <v>0</v>
      </c>
      <c r="AB396" s="3">
        <f t="shared" si="399"/>
        <v>0</v>
      </c>
      <c r="AC396" s="3">
        <f t="shared" si="399"/>
        <v>0</v>
      </c>
      <c r="AD396" s="3">
        <f t="shared" si="399"/>
        <v>0</v>
      </c>
      <c r="AE396" s="3">
        <f t="shared" si="399"/>
        <v>0</v>
      </c>
      <c r="AF396" s="3">
        <f t="shared" si="399"/>
        <v>0</v>
      </c>
      <c r="AG396" s="3"/>
      <c r="AH396" s="3"/>
    </row>
    <row r="397" spans="1:34" x14ac:dyDescent="0.25">
      <c r="A397" s="80">
        <f>AVERAGE(B397:AF397)</f>
        <v>5.5620720665984546E-3</v>
      </c>
      <c r="B397" s="81">
        <f>IF($A$64&lt;=B363,IF($B$64&gt;=B363,ABS((B365-B364)/B364),0),0)</f>
        <v>0</v>
      </c>
      <c r="C397" s="81">
        <f t="shared" ref="C397:AF397" si="400">IF($A$64&lt;=C363,IF($B$64&gt;=C363,ABS((C365-C364)/C364),0),0)</f>
        <v>0</v>
      </c>
      <c r="D397" s="81">
        <f t="shared" si="400"/>
        <v>0</v>
      </c>
      <c r="E397" s="81">
        <f t="shared" si="400"/>
        <v>0</v>
      </c>
      <c r="F397" s="81">
        <f t="shared" si="400"/>
        <v>0</v>
      </c>
      <c r="G397" s="81">
        <f t="shared" si="400"/>
        <v>0</v>
      </c>
      <c r="H397" s="81">
        <f t="shared" si="400"/>
        <v>0</v>
      </c>
      <c r="I397" s="81">
        <f t="shared" si="400"/>
        <v>0</v>
      </c>
      <c r="J397" s="81">
        <f t="shared" si="400"/>
        <v>0</v>
      </c>
      <c r="K397" s="81">
        <f t="shared" si="400"/>
        <v>0</v>
      </c>
      <c r="L397" s="81">
        <f t="shared" si="400"/>
        <v>1.5149866321598428E-2</v>
      </c>
      <c r="M397" s="81">
        <f t="shared" si="400"/>
        <v>4.6572374571270123E-3</v>
      </c>
      <c r="N397" s="81">
        <f t="shared" si="400"/>
        <v>8.3045244222866577E-3</v>
      </c>
      <c r="O397" s="81">
        <f t="shared" si="400"/>
        <v>1.9537731362065693E-2</v>
      </c>
      <c r="P397" s="81">
        <f t="shared" si="400"/>
        <v>2.0609437337813879E-2</v>
      </c>
      <c r="Q397" s="81">
        <f t="shared" si="400"/>
        <v>7.5971837740016201E-3</v>
      </c>
      <c r="R397" s="81">
        <f t="shared" si="400"/>
        <v>4.6862172625806017E-3</v>
      </c>
      <c r="S397" s="81">
        <f t="shared" si="400"/>
        <v>3.0701616920523235E-2</v>
      </c>
      <c r="T397" s="81">
        <f t="shared" si="400"/>
        <v>2.7550632842649709E-2</v>
      </c>
      <c r="U397" s="81">
        <f t="shared" si="400"/>
        <v>1.9582362587077729E-2</v>
      </c>
      <c r="V397" s="81">
        <f t="shared" si="400"/>
        <v>1.4047423776827498E-2</v>
      </c>
      <c r="W397" s="81">
        <f t="shared" si="400"/>
        <v>0</v>
      </c>
      <c r="X397" s="81">
        <f t="shared" si="400"/>
        <v>0</v>
      </c>
      <c r="Y397" s="81">
        <f t="shared" si="400"/>
        <v>0</v>
      </c>
      <c r="Z397" s="81">
        <f t="shared" si="400"/>
        <v>0</v>
      </c>
      <c r="AA397" s="81">
        <f t="shared" si="400"/>
        <v>0</v>
      </c>
      <c r="AB397" s="81">
        <f t="shared" si="400"/>
        <v>0</v>
      </c>
      <c r="AC397" s="81">
        <f t="shared" si="400"/>
        <v>0</v>
      </c>
      <c r="AD397" s="81">
        <f t="shared" si="400"/>
        <v>0</v>
      </c>
      <c r="AE397" s="81">
        <f t="shared" si="400"/>
        <v>0</v>
      </c>
      <c r="AF397" s="81">
        <f t="shared" si="400"/>
        <v>0</v>
      </c>
    </row>
    <row r="398" spans="1:34" x14ac:dyDescent="0.25">
      <c r="B398" s="21">
        <f>(B365-B364)^2</f>
        <v>176.36304747122958</v>
      </c>
      <c r="C398" s="21">
        <f t="shared" ref="C398:AF398" si="401">(C365-C364)^2</f>
        <v>8386.5102569846185</v>
      </c>
      <c r="D398" s="21">
        <f t="shared" si="401"/>
        <v>11113.762695848125</v>
      </c>
      <c r="E398" s="21">
        <f t="shared" si="401"/>
        <v>10847.338865556971</v>
      </c>
      <c r="F398" s="21">
        <f t="shared" si="401"/>
        <v>8745.9087022686581</v>
      </c>
      <c r="G398" s="21">
        <f t="shared" si="401"/>
        <v>6027.5486717967051</v>
      </c>
      <c r="H398" s="21">
        <f t="shared" si="401"/>
        <v>6872.1134695915525</v>
      </c>
      <c r="I398" s="21">
        <f t="shared" si="401"/>
        <v>5256.4041722219517</v>
      </c>
      <c r="J398" s="21">
        <f t="shared" si="401"/>
        <v>6517.1369119854398</v>
      </c>
      <c r="K398" s="21">
        <f t="shared" si="401"/>
        <v>4744.8320256555007</v>
      </c>
      <c r="L398" s="21">
        <f t="shared" si="401"/>
        <v>5142.3971945197036</v>
      </c>
      <c r="M398" s="21">
        <f t="shared" si="401"/>
        <v>418.7297901086306</v>
      </c>
      <c r="N398" s="21">
        <f t="shared" si="401"/>
        <v>1106.8247660343031</v>
      </c>
      <c r="O398" s="21">
        <f t="shared" si="401"/>
        <v>4882.0244245639551</v>
      </c>
      <c r="P398" s="21">
        <f t="shared" si="401"/>
        <v>3975.9530233545238</v>
      </c>
      <c r="Q398" s="21">
        <f t="shared" si="401"/>
        <v>351.99894446367136</v>
      </c>
      <c r="R398" s="21">
        <f t="shared" si="401"/>
        <v>74.576344209781496</v>
      </c>
      <c r="S398" s="21">
        <f t="shared" si="401"/>
        <v>1664.27303929648</v>
      </c>
      <c r="T398" s="21">
        <f t="shared" si="401"/>
        <v>683.35332755372713</v>
      </c>
      <c r="U398" s="21">
        <f t="shared" si="401"/>
        <v>209.64428981306995</v>
      </c>
      <c r="V398" s="21">
        <f t="shared" si="401"/>
        <v>76.872039741683253</v>
      </c>
      <c r="W398" s="21">
        <f t="shared" si="401"/>
        <v>1.7614989451662035</v>
      </c>
      <c r="X398" s="21">
        <f t="shared" si="401"/>
        <v>12.893408852937892</v>
      </c>
      <c r="Y398" s="21">
        <f t="shared" si="401"/>
        <v>1.3182297380758565</v>
      </c>
      <c r="Z398" s="21">
        <f t="shared" si="401"/>
        <v>6.2967192442952431</v>
      </c>
      <c r="AA398" s="21">
        <f t="shared" si="401"/>
        <v>770.18414419707756</v>
      </c>
      <c r="AB398" s="21">
        <f t="shared" si="401"/>
        <v>1361.2476856770793</v>
      </c>
      <c r="AC398" s="21">
        <f t="shared" si="401"/>
        <v>1431.3012837186222</v>
      </c>
      <c r="AD398" s="21">
        <f t="shared" si="401"/>
        <v>1449.9339682142822</v>
      </c>
      <c r="AE398" s="21">
        <f t="shared" si="401"/>
        <v>1466.218246873816</v>
      </c>
      <c r="AF398" s="21">
        <f t="shared" si="401"/>
        <v>1482.5847257066287</v>
      </c>
      <c r="AG398" s="3"/>
      <c r="AH398" s="3"/>
    </row>
    <row r="399" spans="1:34" x14ac:dyDescent="0.25">
      <c r="A399" s="72">
        <f>SUM(B399:AF399)</f>
        <v>18586.647183659526</v>
      </c>
      <c r="B399" s="60">
        <f>IF($A$64&lt;=B363,IF($B$64&gt;=B363,ABS(B398),0),0)</f>
        <v>0</v>
      </c>
      <c r="C399" s="60">
        <f t="shared" ref="C399" si="402">IF($A$64&lt;=C363,IF($B$64&gt;=C363,ABS(C398),0),0)</f>
        <v>0</v>
      </c>
      <c r="D399" s="60">
        <f t="shared" ref="D399" si="403">IF($A$64&lt;=D363,IF($B$64&gt;=D363,ABS(D398),0),0)</f>
        <v>0</v>
      </c>
      <c r="E399" s="60">
        <f t="shared" ref="E399" si="404">IF($A$64&lt;=E363,IF($B$64&gt;=E363,ABS(E398),0),0)</f>
        <v>0</v>
      </c>
      <c r="F399" s="60">
        <f t="shared" ref="F399" si="405">IF($A$64&lt;=F363,IF($B$64&gt;=F363,ABS(F398),0),0)</f>
        <v>0</v>
      </c>
      <c r="G399" s="60">
        <f t="shared" ref="G399" si="406">IF($A$64&lt;=G363,IF($B$64&gt;=G363,ABS(G398),0),0)</f>
        <v>0</v>
      </c>
      <c r="H399" s="60">
        <f t="shared" ref="H399" si="407">IF($A$64&lt;=H363,IF($B$64&gt;=H363,ABS(H398),0),0)</f>
        <v>0</v>
      </c>
      <c r="I399" s="60">
        <f t="shared" ref="I399" si="408">IF($A$64&lt;=I363,IF($B$64&gt;=I363,ABS(I398),0),0)</f>
        <v>0</v>
      </c>
      <c r="J399" s="60">
        <f t="shared" ref="J399" si="409">IF($A$64&lt;=J363,IF($B$64&gt;=J363,ABS(J398),0),0)</f>
        <v>0</v>
      </c>
      <c r="K399" s="60">
        <f t="shared" ref="K399" si="410">IF($A$64&lt;=K363,IF($B$64&gt;=K363,ABS(K398),0),0)</f>
        <v>0</v>
      </c>
      <c r="L399" s="60">
        <f t="shared" ref="L399" si="411">IF($A$64&lt;=L363,IF($B$64&gt;=L363,ABS(L398),0),0)</f>
        <v>5142.3971945197036</v>
      </c>
      <c r="M399" s="60">
        <f t="shared" ref="M399" si="412">IF($A$64&lt;=M363,IF($B$64&gt;=M363,ABS(M398),0),0)</f>
        <v>418.7297901086306</v>
      </c>
      <c r="N399" s="60">
        <f t="shared" ref="N399" si="413">IF($A$64&lt;=N363,IF($B$64&gt;=N363,ABS(N398),0),0)</f>
        <v>1106.8247660343031</v>
      </c>
      <c r="O399" s="60">
        <f t="shared" ref="O399" si="414">IF($A$64&lt;=O363,IF($B$64&gt;=O363,ABS(O398),0),0)</f>
        <v>4882.0244245639551</v>
      </c>
      <c r="P399" s="60">
        <f t="shared" ref="P399" si="415">IF($A$64&lt;=P363,IF($B$64&gt;=P363,ABS(P398),0),0)</f>
        <v>3975.9530233545238</v>
      </c>
      <c r="Q399" s="60">
        <f t="shared" ref="Q399" si="416">IF($A$64&lt;=Q363,IF($B$64&gt;=Q363,ABS(Q398),0),0)</f>
        <v>351.99894446367136</v>
      </c>
      <c r="R399" s="60">
        <f t="shared" ref="R399" si="417">IF($A$64&lt;=R363,IF($B$64&gt;=R363,ABS(R398),0),0)</f>
        <v>74.576344209781496</v>
      </c>
      <c r="S399" s="60">
        <f t="shared" ref="S399" si="418">IF($A$64&lt;=S363,IF($B$64&gt;=S363,ABS(S398),0),0)</f>
        <v>1664.27303929648</v>
      </c>
      <c r="T399" s="60">
        <f t="shared" ref="T399" si="419">IF($A$64&lt;=T363,IF($B$64&gt;=T363,ABS(T398),0),0)</f>
        <v>683.35332755372713</v>
      </c>
      <c r="U399" s="60">
        <f t="shared" ref="U399" si="420">IF($A$64&lt;=U363,IF($B$64&gt;=U363,ABS(U398),0),0)</f>
        <v>209.64428981306995</v>
      </c>
      <c r="V399" s="60">
        <f t="shared" ref="V399" si="421">IF($A$64&lt;=V363,IF($B$64&gt;=V363,ABS(V398),0),0)</f>
        <v>76.872039741683253</v>
      </c>
      <c r="W399" s="60">
        <f t="shared" ref="W399" si="422">IF($A$64&lt;=W363,IF($B$64&gt;=W363,ABS(W398),0),0)</f>
        <v>0</v>
      </c>
      <c r="X399" s="60">
        <f t="shared" ref="X399" si="423">IF($A$64&lt;=X363,IF($B$64&gt;=X363,ABS(X398),0),0)</f>
        <v>0</v>
      </c>
      <c r="Y399" s="60">
        <f t="shared" ref="Y399" si="424">IF($A$64&lt;=Y363,IF($B$64&gt;=Y363,ABS(Y398),0),0)</f>
        <v>0</v>
      </c>
      <c r="Z399" s="60">
        <f t="shared" ref="Z399" si="425">IF($A$64&lt;=Z363,IF($B$64&gt;=Z363,ABS(Z398),0),0)</f>
        <v>0</v>
      </c>
      <c r="AA399" s="60">
        <f t="shared" ref="AA399" si="426">IF($A$64&lt;=AA363,IF($B$64&gt;=AA363,ABS(AA398),0),0)</f>
        <v>0</v>
      </c>
      <c r="AB399" s="60">
        <f t="shared" ref="AB399" si="427">IF($A$64&lt;=AB363,IF($B$64&gt;=AB363,ABS(AB398),0),0)</f>
        <v>0</v>
      </c>
      <c r="AC399" s="60">
        <f t="shared" ref="AC399" si="428">IF($A$64&lt;=AC363,IF($B$64&gt;=AC363,ABS(AC398),0),0)</f>
        <v>0</v>
      </c>
      <c r="AD399" s="60">
        <f t="shared" ref="AD399" si="429">IF($A$64&lt;=AD363,IF($B$64&gt;=AD363,ABS(AD398),0),0)</f>
        <v>0</v>
      </c>
      <c r="AE399" s="60">
        <f t="shared" ref="AE399" si="430">IF($A$64&lt;=AE363,IF($B$64&gt;=AE363,ABS(AE398),0),0)</f>
        <v>0</v>
      </c>
      <c r="AF399" s="60">
        <f t="shared" ref="AF399" si="431">IF($A$64&lt;=AF363,IF($B$64&gt;=AF363,ABS(AF398),0),0)</f>
        <v>0</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8"/>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8"/>
      <c r="B402" s="22"/>
      <c r="C402" s="22"/>
      <c r="D402" s="22"/>
      <c r="E402" s="22"/>
      <c r="F402" s="22"/>
      <c r="G402" s="22"/>
      <c r="H402" s="22"/>
      <c r="I402" s="22"/>
      <c r="J402" s="22"/>
      <c r="K402" s="22"/>
      <c r="L402" s="22"/>
      <c r="M402" s="22"/>
      <c r="N402" s="22"/>
      <c r="O402" s="22"/>
      <c r="P402" s="22"/>
      <c r="Q402" s="22"/>
      <c r="R402" s="22"/>
      <c r="S402" s="22"/>
      <c r="T402" s="22"/>
      <c r="U402" s="22"/>
      <c r="V402" s="22"/>
      <c r="W402" s="22"/>
      <c r="X402" s="22"/>
      <c r="Y402" s="22"/>
      <c r="Z402" s="22"/>
      <c r="AA402" s="22"/>
      <c r="AB402" s="22"/>
      <c r="AC402" s="22"/>
      <c r="AD402" s="22"/>
      <c r="AE402" s="22"/>
      <c r="AF402" s="22"/>
      <c r="AG402" s="22"/>
      <c r="AH402" s="22"/>
    </row>
    <row r="403" spans="1:34" x14ac:dyDescent="0.25">
      <c r="A403" s="88"/>
      <c r="B403" s="22"/>
      <c r="C403" s="22"/>
      <c r="D403" s="22"/>
      <c r="E403" s="22"/>
      <c r="F403" s="22"/>
      <c r="G403" s="22"/>
      <c r="H403" s="22"/>
      <c r="I403" s="22"/>
      <c r="J403" s="22"/>
      <c r="K403" s="22"/>
      <c r="L403" s="22"/>
      <c r="M403" s="22"/>
      <c r="N403" s="22"/>
      <c r="O403" s="22"/>
      <c r="P403" s="22"/>
      <c r="Q403" s="22"/>
      <c r="R403" s="22"/>
      <c r="S403" s="22"/>
      <c r="T403" s="22"/>
      <c r="U403" s="22"/>
      <c r="V403" s="22"/>
      <c r="W403" s="22"/>
      <c r="X403" s="22"/>
      <c r="Y403" s="22"/>
      <c r="Z403" s="22"/>
      <c r="AA403" s="22"/>
      <c r="AB403" s="22"/>
      <c r="AC403" s="22"/>
      <c r="AD403" s="22"/>
      <c r="AE403" s="22"/>
      <c r="AF403" s="22"/>
      <c r="AG403" s="26"/>
      <c r="AH403" s="26"/>
    </row>
    <row r="404" spans="1:34" x14ac:dyDescent="0.25">
      <c r="A404" s="88"/>
      <c r="B404" s="22"/>
      <c r="C404" s="22"/>
      <c r="D404" s="22"/>
      <c r="E404" s="22"/>
      <c r="F404" s="22"/>
      <c r="G404" s="22"/>
      <c r="H404" s="22"/>
      <c r="I404" s="22"/>
      <c r="J404" s="22"/>
      <c r="K404" s="22"/>
      <c r="L404" s="22"/>
      <c r="M404" s="22"/>
      <c r="N404" s="22"/>
      <c r="O404" s="22"/>
      <c r="P404" s="22"/>
      <c r="Q404" s="22"/>
      <c r="R404" s="22"/>
      <c r="S404" s="22"/>
      <c r="T404" s="22"/>
      <c r="U404" s="22"/>
      <c r="V404" s="22"/>
      <c r="W404" s="22"/>
      <c r="X404" s="22"/>
      <c r="Y404" s="22"/>
      <c r="Z404" s="22"/>
      <c r="AA404" s="22"/>
      <c r="AB404" s="22"/>
      <c r="AC404" s="22"/>
      <c r="AD404" s="22"/>
      <c r="AE404" s="22"/>
      <c r="AF404" s="22"/>
      <c r="AG404" s="27"/>
      <c r="AH404" s="27"/>
    </row>
    <row r="405" spans="1:34" x14ac:dyDescent="0.25">
      <c r="A405" s="15"/>
      <c r="B405" s="42"/>
      <c r="C405" s="42"/>
      <c r="D405" s="42"/>
      <c r="E405" s="42"/>
      <c r="F405" s="42"/>
      <c r="G405" s="42"/>
      <c r="H405" s="42"/>
      <c r="I405" s="42"/>
      <c r="J405" s="42"/>
      <c r="K405" s="42"/>
      <c r="L405" s="42"/>
      <c r="M405" s="42"/>
      <c r="N405" s="42"/>
      <c r="O405" s="42"/>
      <c r="P405" s="42"/>
      <c r="Q405" s="42"/>
      <c r="R405" s="42"/>
      <c r="S405" s="42"/>
      <c r="T405" s="42"/>
      <c r="U405" s="42"/>
      <c r="V405" s="42"/>
      <c r="W405" s="42"/>
      <c r="X405" s="42"/>
      <c r="Y405" s="42"/>
      <c r="Z405" s="42"/>
      <c r="AA405" s="42"/>
      <c r="AB405" s="42"/>
      <c r="AC405" s="42"/>
      <c r="AD405" s="42"/>
      <c r="AE405" s="42"/>
      <c r="AF405" s="42"/>
      <c r="AG405" s="3"/>
      <c r="AH405" s="3"/>
    </row>
    <row r="406" spans="1:34" x14ac:dyDescent="0.25">
      <c r="A406" s="15"/>
      <c r="B406" s="42"/>
      <c r="C406" s="42"/>
      <c r="D406" s="42"/>
      <c r="E406" s="42"/>
      <c r="F406" s="42"/>
      <c r="G406" s="42"/>
      <c r="H406" s="42"/>
      <c r="I406" s="42"/>
      <c r="J406" s="42"/>
      <c r="K406" s="42"/>
      <c r="L406" s="42"/>
      <c r="M406" s="42"/>
      <c r="N406" s="42"/>
      <c r="O406" s="42"/>
      <c r="P406" s="42"/>
      <c r="Q406" s="42"/>
      <c r="R406" s="42"/>
      <c r="S406" s="42"/>
      <c r="T406" s="42"/>
      <c r="U406" s="42"/>
      <c r="V406" s="42"/>
      <c r="W406" s="42"/>
      <c r="X406" s="42"/>
      <c r="Y406" s="42"/>
      <c r="Z406" s="42"/>
      <c r="AA406" s="42"/>
      <c r="AB406" s="42"/>
      <c r="AC406" s="42"/>
      <c r="AD406" s="42"/>
      <c r="AE406" s="42"/>
      <c r="AF406" s="42"/>
      <c r="AG406" s="3"/>
      <c r="AH406" s="3"/>
    </row>
    <row r="407" spans="1:34" x14ac:dyDescent="0.25">
      <c r="A407" s="15"/>
      <c r="B407" s="42"/>
      <c r="C407" s="42"/>
      <c r="D407" s="42"/>
      <c r="E407" s="42"/>
      <c r="F407" s="42"/>
      <c r="G407" s="42"/>
      <c r="H407" s="42"/>
      <c r="I407" s="42"/>
      <c r="J407" s="42"/>
      <c r="K407" s="42"/>
      <c r="L407" s="42"/>
      <c r="M407" s="42"/>
      <c r="N407" s="42"/>
      <c r="O407" s="42"/>
      <c r="P407" s="42"/>
      <c r="Q407" s="42"/>
      <c r="R407" s="42"/>
      <c r="S407" s="42"/>
      <c r="T407" s="42"/>
      <c r="U407" s="42"/>
      <c r="V407" s="42"/>
      <c r="W407" s="42"/>
      <c r="X407" s="42"/>
      <c r="Y407" s="42"/>
      <c r="Z407" s="42"/>
      <c r="AA407" s="42"/>
      <c r="AB407" s="42"/>
      <c r="AC407" s="42"/>
      <c r="AD407" s="42"/>
      <c r="AE407" s="42"/>
      <c r="AF407" s="42"/>
      <c r="AG407" s="3"/>
      <c r="AH407" s="3"/>
    </row>
    <row r="408" spans="1:34" x14ac:dyDescent="0.25">
      <c r="A408" s="15"/>
      <c r="B408" s="42"/>
      <c r="C408" s="42"/>
      <c r="D408" s="42"/>
      <c r="E408" s="42"/>
      <c r="F408" s="42"/>
      <c r="G408" s="42"/>
      <c r="H408" s="42"/>
      <c r="I408" s="42"/>
      <c r="J408" s="42"/>
      <c r="K408" s="42"/>
      <c r="L408" s="42"/>
      <c r="M408" s="42"/>
      <c r="N408" s="42"/>
      <c r="O408" s="42"/>
      <c r="P408" s="42"/>
      <c r="Q408" s="42"/>
      <c r="R408" s="42"/>
      <c r="S408" s="42"/>
      <c r="T408" s="42"/>
      <c r="U408" s="42"/>
      <c r="V408" s="42"/>
      <c r="W408" s="42"/>
      <c r="X408" s="42"/>
      <c r="Y408" s="42"/>
      <c r="Z408" s="42"/>
      <c r="AA408" s="42"/>
      <c r="AB408" s="42"/>
      <c r="AC408" s="42"/>
      <c r="AD408" s="42"/>
      <c r="AE408" s="42"/>
      <c r="AF408" s="42"/>
      <c r="AG408" s="3"/>
      <c r="AH408" s="3"/>
    </row>
    <row r="409" spans="1:34" x14ac:dyDescent="0.25">
      <c r="A409" s="15"/>
      <c r="B409" s="42"/>
      <c r="C409" s="42"/>
      <c r="D409" s="42"/>
      <c r="E409" s="42"/>
      <c r="F409" s="42"/>
      <c r="G409" s="42"/>
      <c r="H409" s="42"/>
      <c r="I409" s="42"/>
      <c r="J409" s="42"/>
      <c r="K409" s="42"/>
      <c r="L409" s="42"/>
      <c r="M409" s="42"/>
      <c r="N409" s="42"/>
      <c r="O409" s="42"/>
      <c r="P409" s="42"/>
      <c r="Q409" s="42"/>
      <c r="R409" s="42"/>
      <c r="S409" s="42"/>
      <c r="T409" s="42"/>
      <c r="U409" s="42"/>
      <c r="V409" s="42"/>
      <c r="W409" s="42"/>
      <c r="X409" s="42"/>
      <c r="Y409" s="42"/>
      <c r="Z409" s="42"/>
      <c r="AA409" s="42"/>
      <c r="AB409" s="42"/>
      <c r="AC409" s="42"/>
      <c r="AD409" s="42"/>
      <c r="AE409" s="42"/>
      <c r="AF409" s="42"/>
      <c r="AG409" s="3"/>
      <c r="AH409" s="3"/>
    </row>
    <row r="410" spans="1:34" x14ac:dyDescent="0.25">
      <c r="A410" s="15"/>
      <c r="B410" s="42"/>
      <c r="C410" s="42"/>
      <c r="D410" s="42"/>
      <c r="E410" s="42"/>
      <c r="F410" s="42"/>
      <c r="G410" s="42"/>
      <c r="H410" s="42"/>
      <c r="I410" s="42"/>
      <c r="J410" s="42"/>
      <c r="K410" s="42"/>
      <c r="L410" s="42"/>
      <c r="M410" s="42"/>
      <c r="N410" s="42"/>
      <c r="O410" s="42"/>
      <c r="P410" s="42"/>
      <c r="Q410" s="42"/>
      <c r="R410" s="42"/>
      <c r="S410" s="42"/>
      <c r="T410" s="42"/>
      <c r="U410" s="42"/>
      <c r="V410" s="42"/>
      <c r="W410" s="42"/>
      <c r="X410" s="42"/>
      <c r="Y410" s="42"/>
      <c r="Z410" s="42"/>
      <c r="AA410" s="42"/>
      <c r="AB410" s="42"/>
      <c r="AC410" s="42"/>
      <c r="AD410" s="42"/>
      <c r="AE410" s="42"/>
      <c r="AF410" s="42"/>
      <c r="AG410" s="3"/>
      <c r="AH410" s="3"/>
    </row>
    <row r="411" spans="1:34" x14ac:dyDescent="0.25">
      <c r="A411" s="15"/>
      <c r="B411" s="42"/>
      <c r="C411" s="42"/>
      <c r="D411" s="42"/>
      <c r="E411" s="42"/>
      <c r="F411" s="42"/>
      <c r="G411" s="42"/>
      <c r="H411" s="42"/>
      <c r="I411" s="42"/>
      <c r="J411" s="42"/>
      <c r="K411" s="42"/>
      <c r="L411" s="42"/>
      <c r="M411" s="42"/>
      <c r="N411" s="42"/>
      <c r="O411" s="42"/>
      <c r="P411" s="42"/>
      <c r="Q411" s="42"/>
      <c r="R411" s="42"/>
      <c r="S411" s="42"/>
      <c r="T411" s="42"/>
      <c r="U411" s="42"/>
      <c r="V411" s="42"/>
      <c r="W411" s="42"/>
      <c r="X411" s="42"/>
      <c r="Y411" s="42"/>
      <c r="Z411" s="42"/>
      <c r="AA411" s="42"/>
      <c r="AB411" s="42"/>
      <c r="AC411" s="42"/>
      <c r="AD411" s="42"/>
      <c r="AE411" s="42"/>
      <c r="AF411" s="42"/>
      <c r="AG411" s="3"/>
      <c r="AH411" s="3"/>
    </row>
    <row r="412" spans="1:34" x14ac:dyDescent="0.25">
      <c r="A412" s="15"/>
      <c r="B412" s="42"/>
      <c r="C412" s="42"/>
      <c r="D412" s="42"/>
      <c r="E412" s="42"/>
      <c r="F412" s="42"/>
      <c r="G412" s="42"/>
      <c r="H412" s="42"/>
      <c r="I412" s="42"/>
      <c r="J412" s="42"/>
      <c r="K412" s="42"/>
      <c r="L412" s="42"/>
      <c r="M412" s="42"/>
      <c r="N412" s="42"/>
      <c r="O412" s="42"/>
      <c r="P412" s="42"/>
      <c r="Q412" s="42"/>
      <c r="R412" s="42"/>
      <c r="S412" s="42"/>
      <c r="T412" s="42"/>
      <c r="U412" s="42"/>
      <c r="V412" s="42"/>
      <c r="W412" s="42"/>
      <c r="X412" s="42"/>
      <c r="Y412" s="42"/>
      <c r="Z412" s="42"/>
      <c r="AA412" s="42"/>
      <c r="AB412" s="42"/>
      <c r="AC412" s="42"/>
      <c r="AD412" s="42"/>
      <c r="AE412" s="42"/>
      <c r="AF412" s="42"/>
      <c r="AG412" s="3"/>
      <c r="AH412" s="3"/>
    </row>
    <row r="413" spans="1:34" x14ac:dyDescent="0.25">
      <c r="A413" s="15"/>
      <c r="B413" s="42"/>
      <c r="C413" s="42"/>
      <c r="D413" s="42"/>
      <c r="E413" s="42"/>
      <c r="F413" s="42"/>
      <c r="G413" s="42"/>
      <c r="H413" s="42"/>
      <c r="I413" s="42"/>
      <c r="J413" s="42"/>
      <c r="K413" s="42"/>
      <c r="L413" s="42"/>
      <c r="M413" s="42"/>
      <c r="N413" s="42"/>
      <c r="O413" s="42"/>
      <c r="P413" s="42"/>
      <c r="Q413" s="42"/>
      <c r="R413" s="42"/>
      <c r="S413" s="42"/>
      <c r="T413" s="42"/>
      <c r="U413" s="42"/>
      <c r="V413" s="42"/>
      <c r="W413" s="42"/>
      <c r="X413" s="42"/>
      <c r="Y413" s="42"/>
      <c r="Z413" s="42"/>
      <c r="AA413" s="42"/>
      <c r="AB413" s="42"/>
      <c r="AC413" s="42"/>
      <c r="AD413" s="42"/>
      <c r="AE413" s="42"/>
      <c r="AF413" s="42"/>
      <c r="AG413" s="3"/>
      <c r="AH413" s="3"/>
    </row>
    <row r="414" spans="1:34" x14ac:dyDescent="0.25">
      <c r="A414" s="15"/>
      <c r="B414" s="42"/>
      <c r="C414" s="42"/>
      <c r="D414" s="42"/>
      <c r="E414" s="42"/>
      <c r="F414" s="42"/>
      <c r="G414" s="42"/>
      <c r="H414" s="42"/>
      <c r="I414" s="42"/>
      <c r="J414" s="42"/>
      <c r="K414" s="42"/>
      <c r="L414" s="42"/>
      <c r="M414" s="42"/>
      <c r="N414" s="42"/>
      <c r="O414" s="42"/>
      <c r="P414" s="42"/>
      <c r="Q414" s="42"/>
      <c r="R414" s="42"/>
      <c r="S414" s="42"/>
      <c r="T414" s="42"/>
      <c r="U414" s="42"/>
      <c r="V414" s="42"/>
      <c r="W414" s="42"/>
      <c r="X414" s="42"/>
      <c r="Y414" s="42"/>
      <c r="Z414" s="42"/>
      <c r="AA414" s="42"/>
      <c r="AB414" s="42"/>
      <c r="AC414" s="42"/>
      <c r="AD414" s="42"/>
      <c r="AE414" s="42"/>
      <c r="AF414" s="42"/>
      <c r="AG414" s="3"/>
      <c r="AH414" s="3"/>
    </row>
    <row r="415" spans="1:34" x14ac:dyDescent="0.25">
      <c r="A415" s="15"/>
      <c r="B415" s="42"/>
      <c r="C415" s="42"/>
      <c r="D415" s="42"/>
      <c r="E415" s="42"/>
      <c r="F415" s="42"/>
      <c r="G415" s="42"/>
      <c r="H415" s="42"/>
      <c r="I415" s="42"/>
      <c r="J415" s="42"/>
      <c r="K415" s="42"/>
      <c r="L415" s="42"/>
      <c r="M415" s="42"/>
      <c r="N415" s="42"/>
      <c r="O415" s="42"/>
      <c r="P415" s="42"/>
      <c r="Q415" s="42"/>
      <c r="R415" s="42"/>
      <c r="S415" s="42"/>
      <c r="T415" s="42"/>
      <c r="U415" s="42"/>
      <c r="V415" s="42"/>
      <c r="W415" s="42"/>
      <c r="X415" s="42"/>
      <c r="Y415" s="42"/>
      <c r="Z415" s="42"/>
      <c r="AA415" s="42"/>
      <c r="AB415" s="42"/>
      <c r="AC415" s="42"/>
      <c r="AD415" s="42"/>
      <c r="AE415" s="42"/>
      <c r="AF415" s="42"/>
      <c r="AG415" s="3"/>
      <c r="AH415" s="3"/>
    </row>
    <row r="416" spans="1:34" x14ac:dyDescent="0.25">
      <c r="A416" s="15"/>
      <c r="B416" s="42"/>
      <c r="C416" s="42"/>
      <c r="D416" s="42"/>
      <c r="E416" s="42"/>
      <c r="F416" s="42"/>
      <c r="G416" s="42"/>
      <c r="H416" s="42"/>
      <c r="I416" s="42"/>
      <c r="J416" s="42"/>
      <c r="K416" s="42"/>
      <c r="L416" s="42"/>
      <c r="M416" s="42"/>
      <c r="N416" s="42"/>
      <c r="O416" s="42"/>
      <c r="P416" s="42"/>
      <c r="Q416" s="42"/>
      <c r="R416" s="42"/>
      <c r="S416" s="42"/>
      <c r="T416" s="42"/>
      <c r="U416" s="42"/>
      <c r="V416" s="42"/>
      <c r="W416" s="42"/>
      <c r="X416" s="42"/>
      <c r="Y416" s="42"/>
      <c r="Z416" s="42"/>
      <c r="AA416" s="42"/>
      <c r="AB416" s="42"/>
      <c r="AC416" s="42"/>
      <c r="AD416" s="42"/>
      <c r="AE416" s="42"/>
      <c r="AF416" s="42"/>
      <c r="AG416" s="3"/>
      <c r="AH416" s="3"/>
    </row>
    <row r="417" spans="1:34" x14ac:dyDescent="0.25">
      <c r="A417" s="15"/>
      <c r="B417" s="42"/>
      <c r="C417" s="42"/>
      <c r="D417" s="42"/>
      <c r="E417" s="42"/>
      <c r="F417" s="42"/>
      <c r="G417" s="42"/>
      <c r="H417" s="42"/>
      <c r="I417" s="42"/>
      <c r="J417" s="42"/>
      <c r="K417" s="42"/>
      <c r="L417" s="42"/>
      <c r="M417" s="42"/>
      <c r="N417" s="42"/>
      <c r="O417" s="42"/>
      <c r="P417" s="42"/>
      <c r="Q417" s="42"/>
      <c r="R417" s="42"/>
      <c r="S417" s="42"/>
      <c r="T417" s="42"/>
      <c r="U417" s="42"/>
      <c r="V417" s="42"/>
      <c r="W417" s="42"/>
      <c r="X417" s="42"/>
      <c r="Y417" s="42"/>
      <c r="Z417" s="42"/>
      <c r="AA417" s="42"/>
      <c r="AB417" s="42"/>
      <c r="AC417" s="42"/>
      <c r="AD417" s="42"/>
      <c r="AE417" s="42"/>
      <c r="AF417" s="42"/>
      <c r="AG417" s="3"/>
      <c r="AH417" s="3"/>
    </row>
    <row r="418" spans="1:34" x14ac:dyDescent="0.25">
      <c r="A418" s="15"/>
      <c r="B418" s="42"/>
      <c r="C418" s="42"/>
      <c r="D418" s="42"/>
      <c r="E418" s="42"/>
      <c r="F418" s="42"/>
      <c r="G418" s="42"/>
      <c r="H418" s="42"/>
      <c r="I418" s="42"/>
      <c r="J418" s="42"/>
      <c r="K418" s="42"/>
      <c r="L418" s="42"/>
      <c r="M418" s="42"/>
      <c r="N418" s="42"/>
      <c r="O418" s="42"/>
      <c r="P418" s="42"/>
      <c r="Q418" s="42"/>
      <c r="R418" s="42"/>
      <c r="S418" s="42"/>
      <c r="T418" s="42"/>
      <c r="U418" s="42"/>
      <c r="V418" s="42"/>
      <c r="W418" s="42"/>
      <c r="X418" s="42"/>
      <c r="Y418" s="42"/>
      <c r="Z418" s="42"/>
      <c r="AA418" s="42"/>
      <c r="AB418" s="42"/>
      <c r="AC418" s="42"/>
      <c r="AD418" s="42"/>
      <c r="AE418" s="42"/>
      <c r="AF418" s="42"/>
      <c r="AG418" s="3"/>
      <c r="AH418" s="3"/>
    </row>
    <row r="419" spans="1:34" x14ac:dyDescent="0.25">
      <c r="A419" s="15"/>
      <c r="B419" s="42"/>
      <c r="C419" s="42"/>
      <c r="D419" s="42"/>
      <c r="E419" s="42"/>
      <c r="F419" s="42"/>
      <c r="G419" s="42"/>
      <c r="H419" s="42"/>
      <c r="I419" s="42"/>
      <c r="J419" s="42"/>
      <c r="K419" s="42"/>
      <c r="L419" s="42"/>
      <c r="M419" s="42"/>
      <c r="N419" s="42"/>
      <c r="O419" s="42"/>
      <c r="P419" s="42"/>
      <c r="Q419" s="42"/>
      <c r="R419" s="42"/>
      <c r="S419" s="42"/>
      <c r="T419" s="42"/>
      <c r="U419" s="42"/>
      <c r="V419" s="42"/>
      <c r="W419" s="42"/>
      <c r="X419" s="42"/>
      <c r="Y419" s="42"/>
      <c r="Z419" s="42"/>
      <c r="AA419" s="42"/>
      <c r="AB419" s="42"/>
      <c r="AC419" s="42"/>
      <c r="AD419" s="42"/>
      <c r="AE419" s="42"/>
      <c r="AF419" s="42"/>
      <c r="AG419" s="3"/>
      <c r="AH419" s="3"/>
    </row>
    <row r="420" spans="1:34" x14ac:dyDescent="0.25">
      <c r="A420" s="15"/>
      <c r="B420" s="42"/>
      <c r="C420" s="42"/>
      <c r="D420" s="42"/>
      <c r="E420" s="42"/>
      <c r="F420" s="42"/>
      <c r="G420" s="42"/>
      <c r="H420" s="42"/>
      <c r="I420" s="42"/>
      <c r="J420" s="42"/>
      <c r="K420" s="42"/>
      <c r="L420" s="42"/>
      <c r="M420" s="42"/>
      <c r="N420" s="42"/>
      <c r="O420" s="42"/>
      <c r="P420" s="42"/>
      <c r="Q420" s="42"/>
      <c r="R420" s="42"/>
      <c r="S420" s="42"/>
      <c r="T420" s="42"/>
      <c r="U420" s="42"/>
      <c r="V420" s="42"/>
      <c r="W420" s="42"/>
      <c r="X420" s="42"/>
      <c r="Y420" s="42"/>
      <c r="Z420" s="42"/>
      <c r="AA420" s="42"/>
      <c r="AB420" s="42"/>
      <c r="AC420" s="42"/>
      <c r="AD420" s="42"/>
      <c r="AE420" s="42"/>
      <c r="AF420" s="42"/>
      <c r="AG420" s="3"/>
      <c r="AH420" s="3"/>
    </row>
    <row r="421" spans="1:34" x14ac:dyDescent="0.25">
      <c r="A421" s="15"/>
      <c r="B421" s="42"/>
      <c r="C421" s="42"/>
      <c r="D421" s="42"/>
      <c r="E421" s="42"/>
      <c r="F421" s="42"/>
      <c r="G421" s="42"/>
      <c r="H421" s="42"/>
      <c r="I421" s="42"/>
      <c r="J421" s="42"/>
      <c r="K421" s="42"/>
      <c r="L421" s="42"/>
      <c r="M421" s="42"/>
      <c r="N421" s="42"/>
      <c r="O421" s="42"/>
      <c r="P421" s="42"/>
      <c r="Q421" s="42"/>
      <c r="R421" s="42"/>
      <c r="S421" s="42"/>
      <c r="T421" s="42"/>
      <c r="U421" s="42"/>
      <c r="V421" s="42"/>
      <c r="W421" s="42"/>
      <c r="X421" s="42"/>
      <c r="Y421" s="42"/>
      <c r="Z421" s="42"/>
      <c r="AA421" s="42"/>
      <c r="AB421" s="42"/>
      <c r="AC421" s="42"/>
      <c r="AD421" s="42"/>
      <c r="AE421" s="42"/>
      <c r="AF421" s="42"/>
      <c r="AG421" s="3"/>
      <c r="AH421" s="3"/>
    </row>
    <row r="422" spans="1:34" x14ac:dyDescent="0.25">
      <c r="A422" s="15"/>
      <c r="B422" s="42"/>
      <c r="C422" s="42"/>
      <c r="D422" s="42"/>
      <c r="E422" s="42"/>
      <c r="F422" s="42"/>
      <c r="G422" s="42"/>
      <c r="H422" s="42"/>
      <c r="I422" s="42"/>
      <c r="J422" s="42"/>
      <c r="K422" s="42"/>
      <c r="L422" s="42"/>
      <c r="M422" s="42"/>
      <c r="N422" s="42"/>
      <c r="O422" s="42"/>
      <c r="P422" s="42"/>
      <c r="Q422" s="42"/>
      <c r="R422" s="42"/>
      <c r="S422" s="42"/>
      <c r="T422" s="42"/>
      <c r="U422" s="42"/>
      <c r="V422" s="42"/>
      <c r="W422" s="42"/>
      <c r="X422" s="42"/>
      <c r="Y422" s="42"/>
      <c r="Z422" s="42"/>
      <c r="AA422" s="42"/>
      <c r="AB422" s="42"/>
      <c r="AC422" s="42"/>
      <c r="AD422" s="42"/>
      <c r="AE422" s="42"/>
      <c r="AF422" s="42"/>
      <c r="AG422" s="3"/>
      <c r="AH422" s="3"/>
    </row>
    <row r="423" spans="1:34" x14ac:dyDescent="0.25">
      <c r="A423" s="15"/>
      <c r="B423" s="42"/>
      <c r="C423" s="42"/>
      <c r="D423" s="42"/>
      <c r="E423" s="42"/>
      <c r="F423" s="42"/>
      <c r="G423" s="42"/>
      <c r="H423" s="42"/>
      <c r="I423" s="42"/>
      <c r="J423" s="42"/>
      <c r="K423" s="42"/>
      <c r="L423" s="42"/>
      <c r="M423" s="42"/>
      <c r="N423" s="42"/>
      <c r="O423" s="42"/>
      <c r="P423" s="42"/>
      <c r="Q423" s="42"/>
      <c r="R423" s="42"/>
      <c r="S423" s="42"/>
      <c r="T423" s="42"/>
      <c r="U423" s="42"/>
      <c r="V423" s="42"/>
      <c r="W423" s="42"/>
      <c r="X423" s="42"/>
      <c r="Y423" s="42"/>
      <c r="Z423" s="42"/>
      <c r="AA423" s="42"/>
      <c r="AB423" s="42"/>
      <c r="AC423" s="42"/>
      <c r="AD423" s="42"/>
      <c r="AE423" s="42"/>
      <c r="AF423" s="42"/>
      <c r="AG423" s="3"/>
      <c r="AH423" s="3"/>
    </row>
    <row r="424" spans="1:34" x14ac:dyDescent="0.25">
      <c r="A424" s="15"/>
      <c r="B424" s="42"/>
      <c r="C424" s="42"/>
      <c r="D424" s="42"/>
      <c r="E424" s="42"/>
      <c r="F424" s="42"/>
      <c r="G424" s="42"/>
      <c r="H424" s="42"/>
      <c r="I424" s="42"/>
      <c r="J424" s="42"/>
      <c r="K424" s="42"/>
      <c r="L424" s="42"/>
      <c r="M424" s="42"/>
      <c r="N424" s="42"/>
      <c r="O424" s="42"/>
      <c r="P424" s="42"/>
      <c r="Q424" s="42"/>
      <c r="R424" s="42"/>
      <c r="S424" s="42"/>
      <c r="T424" s="42"/>
      <c r="U424" s="42"/>
      <c r="V424" s="42"/>
      <c r="W424" s="42"/>
      <c r="X424" s="42"/>
      <c r="Y424" s="42"/>
      <c r="Z424" s="42"/>
      <c r="AA424" s="42"/>
      <c r="AB424" s="42"/>
      <c r="AC424" s="42"/>
      <c r="AD424" s="42"/>
      <c r="AE424" s="42"/>
      <c r="AF424" s="42"/>
      <c r="AG424" s="3"/>
      <c r="AH424" s="3"/>
    </row>
    <row r="425" spans="1:34" x14ac:dyDescent="0.25">
      <c r="A425" s="15"/>
      <c r="B425" s="42"/>
      <c r="C425" s="42"/>
      <c r="D425" s="42"/>
      <c r="E425" s="42"/>
      <c r="F425" s="42"/>
      <c r="G425" s="42"/>
      <c r="H425" s="42"/>
      <c r="I425" s="42"/>
      <c r="J425" s="42"/>
      <c r="K425" s="42"/>
      <c r="L425" s="42"/>
      <c r="M425" s="42"/>
      <c r="N425" s="42"/>
      <c r="O425" s="42"/>
      <c r="P425" s="42"/>
      <c r="Q425" s="42"/>
      <c r="R425" s="42"/>
      <c r="S425" s="42"/>
      <c r="T425" s="42"/>
      <c r="U425" s="42"/>
      <c r="V425" s="42"/>
      <c r="W425" s="42"/>
      <c r="X425" s="42"/>
      <c r="Y425" s="42"/>
      <c r="Z425" s="42"/>
      <c r="AA425" s="42"/>
      <c r="AB425" s="42"/>
      <c r="AC425" s="42"/>
      <c r="AD425" s="42"/>
      <c r="AE425" s="42"/>
      <c r="AF425" s="42"/>
      <c r="AG425" s="3"/>
      <c r="AH425" s="3"/>
    </row>
    <row r="426" spans="1:34" x14ac:dyDescent="0.25">
      <c r="A426" s="15"/>
      <c r="B426" s="42"/>
      <c r="C426" s="42"/>
      <c r="D426" s="42"/>
      <c r="E426" s="42"/>
      <c r="F426" s="42"/>
      <c r="G426" s="42"/>
      <c r="H426" s="42"/>
      <c r="I426" s="42"/>
      <c r="J426" s="42"/>
      <c r="K426" s="42"/>
      <c r="L426" s="42"/>
      <c r="M426" s="42"/>
      <c r="N426" s="42"/>
      <c r="O426" s="42"/>
      <c r="P426" s="42"/>
      <c r="Q426" s="42"/>
      <c r="R426" s="42"/>
      <c r="S426" s="42"/>
      <c r="T426" s="42"/>
      <c r="U426" s="42"/>
      <c r="V426" s="42"/>
      <c r="W426" s="42"/>
      <c r="X426" s="42"/>
      <c r="Y426" s="42"/>
      <c r="Z426" s="42"/>
      <c r="AA426" s="42"/>
      <c r="AB426" s="42"/>
      <c r="AC426" s="42"/>
      <c r="AD426" s="42"/>
      <c r="AE426" s="42"/>
      <c r="AF426" s="42"/>
      <c r="AG426" s="3"/>
      <c r="AH426" s="3"/>
    </row>
    <row r="427" spans="1:34" x14ac:dyDescent="0.25">
      <c r="A427" s="15"/>
      <c r="B427" s="42"/>
      <c r="C427" s="42"/>
      <c r="D427" s="42"/>
      <c r="E427" s="42"/>
      <c r="F427" s="42"/>
      <c r="G427" s="42"/>
      <c r="H427" s="42"/>
      <c r="I427" s="42"/>
      <c r="J427" s="42"/>
      <c r="K427" s="42"/>
      <c r="L427" s="42"/>
      <c r="M427" s="42"/>
      <c r="N427" s="42"/>
      <c r="O427" s="42"/>
      <c r="P427" s="42"/>
      <c r="Q427" s="42"/>
      <c r="R427" s="42"/>
      <c r="S427" s="42"/>
      <c r="T427" s="42"/>
      <c r="U427" s="42"/>
      <c r="V427" s="42"/>
      <c r="W427" s="42"/>
      <c r="X427" s="42"/>
      <c r="Y427" s="42"/>
      <c r="Z427" s="42"/>
      <c r="AA427" s="42"/>
      <c r="AB427" s="42"/>
      <c r="AC427" s="42"/>
      <c r="AD427" s="42"/>
      <c r="AE427" s="42"/>
      <c r="AF427" s="42"/>
      <c r="AG427" s="3"/>
      <c r="AH427" s="3"/>
    </row>
    <row r="428" spans="1:34" x14ac:dyDescent="0.25">
      <c r="A428" s="15"/>
      <c r="B428" s="42"/>
      <c r="C428" s="42"/>
      <c r="D428" s="42"/>
      <c r="E428" s="42"/>
      <c r="F428" s="42"/>
      <c r="G428" s="42"/>
      <c r="H428" s="42"/>
      <c r="I428" s="42"/>
      <c r="J428" s="42"/>
      <c r="K428" s="42"/>
      <c r="L428" s="42"/>
      <c r="M428" s="42"/>
      <c r="N428" s="42"/>
      <c r="O428" s="42"/>
      <c r="P428" s="42"/>
      <c r="Q428" s="42"/>
      <c r="R428" s="42"/>
      <c r="S428" s="42"/>
      <c r="T428" s="42"/>
      <c r="U428" s="42"/>
      <c r="V428" s="42"/>
      <c r="W428" s="42"/>
      <c r="X428" s="42"/>
      <c r="Y428" s="42"/>
      <c r="Z428" s="42"/>
      <c r="AA428" s="42"/>
      <c r="AB428" s="42"/>
      <c r="AC428" s="42"/>
      <c r="AD428" s="42"/>
      <c r="AE428" s="42"/>
      <c r="AF428" s="42"/>
      <c r="AG428" s="3"/>
      <c r="AH428" s="3"/>
    </row>
    <row r="429" spans="1:34" x14ac:dyDescent="0.25">
      <c r="A429" s="15"/>
      <c r="B429" s="42"/>
      <c r="C429" s="42"/>
      <c r="D429" s="42"/>
      <c r="E429" s="42"/>
      <c r="F429" s="42"/>
      <c r="G429" s="42"/>
      <c r="H429" s="42"/>
      <c r="I429" s="42"/>
      <c r="J429" s="42"/>
      <c r="K429" s="42"/>
      <c r="L429" s="42"/>
      <c r="M429" s="42"/>
      <c r="N429" s="42"/>
      <c r="O429" s="42"/>
      <c r="P429" s="42"/>
      <c r="Q429" s="42"/>
      <c r="R429" s="42"/>
      <c r="S429" s="42"/>
      <c r="T429" s="42"/>
      <c r="U429" s="42"/>
      <c r="V429" s="42"/>
      <c r="W429" s="42"/>
      <c r="X429" s="42"/>
      <c r="Y429" s="42"/>
      <c r="Z429" s="42"/>
      <c r="AA429" s="42"/>
      <c r="AB429" s="42"/>
      <c r="AC429" s="42"/>
      <c r="AD429" s="42"/>
      <c r="AE429" s="42"/>
      <c r="AF429" s="42"/>
      <c r="AG429" s="3"/>
      <c r="AH429" s="3"/>
    </row>
    <row r="430" spans="1:34" x14ac:dyDescent="0.25">
      <c r="A430" s="15"/>
      <c r="B430" s="42"/>
      <c r="C430" s="42"/>
      <c r="D430" s="42"/>
      <c r="E430" s="42"/>
      <c r="F430" s="42"/>
      <c r="G430" s="42"/>
      <c r="H430" s="42"/>
      <c r="I430" s="42"/>
      <c r="J430" s="42"/>
      <c r="K430" s="42"/>
      <c r="L430" s="42"/>
      <c r="M430" s="42"/>
      <c r="N430" s="42"/>
      <c r="O430" s="42"/>
      <c r="P430" s="42"/>
      <c r="Q430" s="42"/>
      <c r="R430" s="42"/>
      <c r="S430" s="42"/>
      <c r="T430" s="42"/>
      <c r="U430" s="42"/>
      <c r="V430" s="42"/>
      <c r="W430" s="42"/>
      <c r="X430" s="42"/>
      <c r="Y430" s="42"/>
      <c r="Z430" s="42"/>
      <c r="AA430" s="42"/>
      <c r="AB430" s="42"/>
      <c r="AC430" s="42"/>
      <c r="AD430" s="42"/>
      <c r="AE430" s="42"/>
      <c r="AF430" s="42"/>
      <c r="AG430" s="3"/>
      <c r="AH430" s="3"/>
    </row>
    <row r="431" spans="1:34" x14ac:dyDescent="0.25">
      <c r="A431" s="15"/>
      <c r="B431" s="42"/>
      <c r="C431" s="42"/>
      <c r="D431" s="42"/>
      <c r="E431" s="42"/>
      <c r="F431" s="42"/>
      <c r="G431" s="42"/>
      <c r="H431" s="42"/>
      <c r="I431" s="42"/>
      <c r="J431" s="42"/>
      <c r="K431" s="42"/>
      <c r="L431" s="42"/>
      <c r="M431" s="42"/>
      <c r="N431" s="42"/>
      <c r="O431" s="42"/>
      <c r="P431" s="42"/>
      <c r="Q431" s="42"/>
      <c r="R431" s="42"/>
      <c r="S431" s="42"/>
      <c r="T431" s="42"/>
      <c r="U431" s="42"/>
      <c r="V431" s="42"/>
      <c r="W431" s="42"/>
      <c r="X431" s="42"/>
      <c r="Y431" s="42"/>
      <c r="Z431" s="42"/>
      <c r="AA431" s="42"/>
      <c r="AB431" s="42"/>
      <c r="AC431" s="42"/>
      <c r="AD431" s="42"/>
      <c r="AE431" s="42"/>
      <c r="AF431" s="42"/>
      <c r="AG431" s="3"/>
      <c r="AH431" s="3"/>
    </row>
    <row r="432" spans="1:34" x14ac:dyDescent="0.25">
      <c r="A432" s="15"/>
      <c r="B432" s="42"/>
      <c r="C432" s="42"/>
      <c r="D432" s="42"/>
      <c r="E432" s="42"/>
      <c r="F432" s="42"/>
      <c r="G432" s="42"/>
      <c r="H432" s="42"/>
      <c r="I432" s="42"/>
      <c r="J432" s="42"/>
      <c r="K432" s="42"/>
      <c r="L432" s="42"/>
      <c r="M432" s="42"/>
      <c r="N432" s="42"/>
      <c r="O432" s="42"/>
      <c r="P432" s="42"/>
      <c r="Q432" s="42"/>
      <c r="R432" s="42"/>
      <c r="S432" s="42"/>
      <c r="T432" s="42"/>
      <c r="U432" s="42"/>
      <c r="V432" s="42"/>
      <c r="W432" s="42"/>
      <c r="X432" s="42"/>
      <c r="Y432" s="42"/>
      <c r="Z432" s="42"/>
      <c r="AA432" s="42"/>
      <c r="AB432" s="42"/>
      <c r="AC432" s="42"/>
      <c r="AD432" s="42"/>
      <c r="AE432" s="42"/>
      <c r="AF432" s="42"/>
      <c r="AG432" s="3"/>
      <c r="AH432" s="3"/>
    </row>
    <row r="433" spans="1:34" x14ac:dyDescent="0.25">
      <c r="A433" s="15"/>
      <c r="B433" s="42"/>
      <c r="C433" s="42"/>
      <c r="D433" s="42"/>
      <c r="E433" s="42"/>
      <c r="F433" s="42"/>
      <c r="G433" s="42"/>
      <c r="H433" s="42"/>
      <c r="I433" s="42"/>
      <c r="J433" s="42"/>
      <c r="K433" s="42"/>
      <c r="L433" s="42"/>
      <c r="M433" s="42"/>
      <c r="N433" s="42"/>
      <c r="O433" s="42"/>
      <c r="P433" s="42"/>
      <c r="Q433" s="42"/>
      <c r="R433" s="42"/>
      <c r="S433" s="42"/>
      <c r="T433" s="42"/>
      <c r="U433" s="42"/>
      <c r="V433" s="42"/>
      <c r="W433" s="42"/>
      <c r="X433" s="42"/>
      <c r="Y433" s="42"/>
      <c r="Z433" s="42"/>
      <c r="AA433" s="42"/>
      <c r="AB433" s="42"/>
      <c r="AC433" s="42"/>
      <c r="AD433" s="42"/>
      <c r="AE433" s="42"/>
      <c r="AF433" s="42"/>
      <c r="AG433" s="3"/>
      <c r="AH433" s="3"/>
    </row>
    <row r="434" spans="1:34" x14ac:dyDescent="0.25">
      <c r="A434" s="15"/>
      <c r="B434" s="42"/>
      <c r="C434" s="42"/>
      <c r="D434" s="42"/>
      <c r="E434" s="42"/>
      <c r="F434" s="42"/>
      <c r="G434" s="42"/>
      <c r="H434" s="42"/>
      <c r="I434" s="42"/>
      <c r="J434" s="42"/>
      <c r="K434" s="42"/>
      <c r="L434" s="42"/>
      <c r="M434" s="42"/>
      <c r="N434" s="42"/>
      <c r="O434" s="42"/>
      <c r="P434" s="42"/>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1"/>
      <c r="B436" s="74"/>
      <c r="C436" s="74"/>
      <c r="D436" s="74"/>
      <c r="E436" s="74"/>
      <c r="F436" s="74"/>
      <c r="G436" s="74"/>
      <c r="H436" s="74"/>
      <c r="I436" s="74"/>
      <c r="J436" s="74"/>
      <c r="K436" s="74"/>
      <c r="L436" s="74"/>
      <c r="M436" s="74"/>
      <c r="N436" s="74"/>
      <c r="O436" s="74"/>
      <c r="P436" s="74"/>
      <c r="Q436" s="74"/>
      <c r="R436" s="74"/>
      <c r="S436" s="74"/>
      <c r="T436" s="74"/>
      <c r="U436" s="74"/>
      <c r="V436" s="74"/>
      <c r="W436" s="74"/>
      <c r="X436" s="74"/>
      <c r="Y436" s="74"/>
      <c r="Z436" s="74"/>
      <c r="AA436" s="74"/>
      <c r="AB436" s="74"/>
      <c r="AC436" s="74"/>
      <c r="AD436" s="74"/>
      <c r="AE436" s="74"/>
      <c r="AF436" s="74"/>
    </row>
    <row r="437" spans="1:34" x14ac:dyDescent="0.25">
      <c r="A437" s="15"/>
      <c r="B437" s="92"/>
      <c r="C437" s="92"/>
      <c r="D437" s="92"/>
      <c r="E437" s="92"/>
      <c r="F437" s="92"/>
      <c r="G437" s="92"/>
      <c r="H437" s="92"/>
      <c r="I437" s="92"/>
      <c r="J437" s="92"/>
      <c r="K437" s="92"/>
      <c r="L437" s="92"/>
      <c r="M437" s="92"/>
      <c r="N437" s="92"/>
      <c r="O437" s="92"/>
      <c r="P437" s="92"/>
      <c r="Q437" s="92"/>
      <c r="R437" s="92"/>
      <c r="S437" s="92"/>
      <c r="T437" s="92"/>
      <c r="U437" s="92"/>
      <c r="V437" s="92"/>
      <c r="W437" s="92"/>
      <c r="X437" s="92"/>
      <c r="Y437" s="92"/>
      <c r="Z437" s="92"/>
      <c r="AA437" s="92"/>
      <c r="AB437" s="92"/>
      <c r="AC437" s="92"/>
      <c r="AD437" s="92"/>
      <c r="AE437" s="92"/>
      <c r="AF437" s="92"/>
      <c r="AG437" s="3"/>
      <c r="AH437" s="3"/>
    </row>
    <row r="438" spans="1:34" x14ac:dyDescent="0.25">
      <c r="A438" s="93"/>
      <c r="B438" s="73"/>
      <c r="C438" s="73"/>
      <c r="D438" s="73"/>
      <c r="E438" s="73"/>
      <c r="F438" s="73"/>
      <c r="G438" s="73"/>
      <c r="H438" s="73"/>
      <c r="I438" s="73"/>
      <c r="J438" s="73"/>
      <c r="K438" s="73"/>
      <c r="L438" s="73"/>
      <c r="M438" s="73"/>
      <c r="N438" s="73"/>
      <c r="O438" s="73"/>
      <c r="P438" s="73"/>
      <c r="Q438" s="73"/>
      <c r="R438" s="73"/>
      <c r="S438" s="73"/>
      <c r="T438" s="73"/>
      <c r="U438" s="73"/>
      <c r="V438" s="73"/>
      <c r="W438" s="73"/>
      <c r="X438" s="73"/>
      <c r="Y438" s="73"/>
      <c r="Z438" s="73"/>
      <c r="AA438" s="73"/>
      <c r="AB438" s="73"/>
      <c r="AC438" s="73"/>
      <c r="AD438" s="73"/>
      <c r="AE438" s="73"/>
      <c r="AF438" s="73"/>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8"/>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8"/>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8"/>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8"/>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1"/>
      <c r="B475" s="74"/>
      <c r="C475" s="74"/>
      <c r="D475" s="74"/>
      <c r="E475" s="74"/>
      <c r="F475" s="74"/>
      <c r="G475" s="74"/>
      <c r="H475" s="74"/>
      <c r="I475" s="74"/>
      <c r="J475" s="74"/>
      <c r="K475" s="74"/>
      <c r="L475" s="74"/>
      <c r="M475" s="74"/>
      <c r="N475" s="74"/>
      <c r="O475" s="74"/>
      <c r="P475" s="74"/>
      <c r="Q475" s="74"/>
      <c r="R475" s="74"/>
      <c r="S475" s="74"/>
      <c r="T475" s="74"/>
      <c r="U475" s="74"/>
      <c r="V475" s="74"/>
      <c r="W475" s="74"/>
      <c r="X475" s="74"/>
      <c r="Y475" s="74"/>
      <c r="Z475" s="74"/>
      <c r="AA475" s="74"/>
      <c r="AB475" s="74"/>
      <c r="AC475" s="74"/>
      <c r="AD475" s="74"/>
      <c r="AE475" s="74"/>
      <c r="AF475" s="74"/>
    </row>
    <row r="476" spans="1:34" x14ac:dyDescent="0.25">
      <c r="A476" s="15"/>
      <c r="B476" s="92"/>
      <c r="C476" s="92"/>
      <c r="D476" s="92"/>
      <c r="E476" s="92"/>
      <c r="F476" s="92"/>
      <c r="G476" s="92"/>
      <c r="H476" s="92"/>
      <c r="I476" s="92"/>
      <c r="J476" s="92"/>
      <c r="K476" s="92"/>
      <c r="L476" s="92"/>
      <c r="M476" s="92"/>
      <c r="N476" s="92"/>
      <c r="O476" s="92"/>
      <c r="P476" s="92"/>
      <c r="Q476" s="92"/>
      <c r="R476" s="92"/>
      <c r="S476" s="92"/>
      <c r="T476" s="92"/>
      <c r="U476" s="92"/>
      <c r="V476" s="92"/>
      <c r="W476" s="92"/>
      <c r="X476" s="92"/>
      <c r="Y476" s="92"/>
      <c r="Z476" s="92"/>
      <c r="AA476" s="92"/>
      <c r="AB476" s="92"/>
      <c r="AC476" s="92"/>
      <c r="AD476" s="92"/>
      <c r="AE476" s="92"/>
      <c r="AF476" s="92"/>
      <c r="AG476" s="3"/>
      <c r="AH476" s="3"/>
    </row>
    <row r="477" spans="1:34" x14ac:dyDescent="0.25">
      <c r="A477" s="93"/>
      <c r="B477" s="73"/>
      <c r="C477" s="73"/>
      <c r="D477" s="73"/>
      <c r="E477" s="73"/>
      <c r="F477" s="73"/>
      <c r="G477" s="73"/>
      <c r="H477" s="73"/>
      <c r="I477" s="73"/>
      <c r="J477" s="73"/>
      <c r="K477" s="73"/>
      <c r="L477" s="73"/>
      <c r="M477" s="73"/>
      <c r="N477" s="73"/>
      <c r="O477" s="73"/>
      <c r="P477" s="73"/>
      <c r="Q477" s="73"/>
      <c r="R477" s="73"/>
      <c r="S477" s="73"/>
      <c r="T477" s="73"/>
      <c r="U477" s="73"/>
      <c r="V477" s="73"/>
      <c r="W477" s="73"/>
      <c r="X477" s="73"/>
      <c r="Y477" s="73"/>
      <c r="Z477" s="73"/>
      <c r="AA477" s="73"/>
      <c r="AB477" s="73"/>
      <c r="AC477" s="73"/>
      <c r="AD477" s="73"/>
      <c r="AE477" s="73"/>
      <c r="AF477" s="73"/>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8"/>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8"/>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8"/>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8"/>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1"/>
      <c r="B514" s="74"/>
      <c r="C514" s="74"/>
      <c r="D514" s="74"/>
      <c r="E514" s="74"/>
      <c r="F514" s="74"/>
      <c r="G514" s="74"/>
      <c r="H514" s="74"/>
      <c r="I514" s="74"/>
      <c r="J514" s="74"/>
      <c r="K514" s="74"/>
      <c r="L514" s="74"/>
      <c r="M514" s="74"/>
      <c r="N514" s="74"/>
      <c r="O514" s="74"/>
      <c r="P514" s="74"/>
      <c r="Q514" s="74"/>
      <c r="R514" s="74"/>
      <c r="S514" s="74"/>
      <c r="T514" s="74"/>
      <c r="U514" s="74"/>
      <c r="V514" s="74"/>
      <c r="W514" s="74"/>
      <c r="X514" s="74"/>
      <c r="Y514" s="74"/>
      <c r="Z514" s="74"/>
      <c r="AA514" s="74"/>
      <c r="AB514" s="74"/>
      <c r="AC514" s="74"/>
      <c r="AD514" s="74"/>
      <c r="AE514" s="74"/>
      <c r="AF514" s="74"/>
    </row>
    <row r="515" spans="1:34" x14ac:dyDescent="0.25">
      <c r="A515" s="15"/>
      <c r="B515" s="92"/>
      <c r="C515" s="92"/>
      <c r="D515" s="92"/>
      <c r="E515" s="92"/>
      <c r="F515" s="92"/>
      <c r="G515" s="92"/>
      <c r="H515" s="92"/>
      <c r="I515" s="92"/>
      <c r="J515" s="92"/>
      <c r="K515" s="92"/>
      <c r="L515" s="92"/>
      <c r="M515" s="92"/>
      <c r="N515" s="92"/>
      <c r="O515" s="92"/>
      <c r="P515" s="92"/>
      <c r="Q515" s="92"/>
      <c r="R515" s="92"/>
      <c r="S515" s="92"/>
      <c r="T515" s="92"/>
      <c r="U515" s="92"/>
      <c r="V515" s="92"/>
      <c r="W515" s="92"/>
      <c r="X515" s="92"/>
      <c r="Y515" s="92"/>
      <c r="Z515" s="92"/>
      <c r="AA515" s="92"/>
      <c r="AB515" s="92"/>
      <c r="AC515" s="92"/>
      <c r="AD515" s="92"/>
      <c r="AE515" s="92"/>
      <c r="AF515" s="92"/>
      <c r="AG515" s="3"/>
      <c r="AH515" s="3"/>
    </row>
    <row r="516" spans="1:34" x14ac:dyDescent="0.25">
      <c r="A516" s="93"/>
      <c r="B516" s="73"/>
      <c r="C516" s="73"/>
      <c r="D516" s="73"/>
      <c r="E516" s="73"/>
      <c r="F516" s="73"/>
      <c r="G516" s="73"/>
      <c r="H516" s="73"/>
      <c r="I516" s="73"/>
      <c r="J516" s="73"/>
      <c r="K516" s="73"/>
      <c r="L516" s="73"/>
      <c r="M516" s="73"/>
      <c r="N516" s="73"/>
      <c r="O516" s="73"/>
      <c r="P516" s="73"/>
      <c r="Q516" s="73"/>
      <c r="R516" s="73"/>
      <c r="S516" s="73"/>
      <c r="T516" s="73"/>
      <c r="U516" s="73"/>
      <c r="V516" s="73"/>
      <c r="W516" s="73"/>
      <c r="X516" s="73"/>
      <c r="Y516" s="73"/>
      <c r="Z516" s="73"/>
      <c r="AA516" s="73"/>
      <c r="AB516" s="73"/>
      <c r="AC516" s="73"/>
      <c r="AD516" s="73"/>
      <c r="AE516" s="73"/>
      <c r="AF516" s="73"/>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11"/>
      <c r="B532" s="11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06"/>
      <c r="B534" s="10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8"/>
      <c r="C539" s="15"/>
      <c r="D539" s="88"/>
      <c r="E539" s="88"/>
      <c r="F539" s="88"/>
      <c r="G539" s="88"/>
      <c r="H539" s="88"/>
      <c r="I539" s="88"/>
      <c r="J539" s="88"/>
      <c r="K539" s="88"/>
      <c r="L539" s="88"/>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7"/>
      <c r="D550" s="15"/>
      <c r="E550" s="94"/>
      <c r="F550" s="94"/>
      <c r="G550" s="94"/>
      <c r="H550" s="94"/>
      <c r="I550" s="94"/>
      <c r="J550" s="94"/>
      <c r="K550" s="94"/>
      <c r="L550" s="94"/>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2">AF570+10</f>
        <v>10</v>
      </c>
      <c r="AH570" s="11">
        <f t="shared" si="432"/>
        <v>20</v>
      </c>
      <c r="AI570" s="11">
        <f t="shared" si="432"/>
        <v>30</v>
      </c>
      <c r="AJ570" s="11">
        <f t="shared" si="432"/>
        <v>40</v>
      </c>
      <c r="AK570" s="11">
        <f t="shared" si="432"/>
        <v>50</v>
      </c>
      <c r="AL570" s="11">
        <f t="shared" si="432"/>
        <v>60</v>
      </c>
      <c r="AM570" s="11">
        <f t="shared" si="432"/>
        <v>70</v>
      </c>
      <c r="AN570" s="11">
        <f t="shared" si="432"/>
        <v>80</v>
      </c>
      <c r="AO570" s="11">
        <f t="shared" si="432"/>
        <v>90</v>
      </c>
      <c r="AP570" s="11">
        <f t="shared" si="432"/>
        <v>100</v>
      </c>
      <c r="AQ570" s="11">
        <f t="shared" si="432"/>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3">AG570-$B$521</f>
        <v>10</v>
      </c>
      <c r="AH571" s="40">
        <f t="shared" si="433"/>
        <v>20</v>
      </c>
      <c r="AI571" s="40">
        <f t="shared" si="433"/>
        <v>30</v>
      </c>
      <c r="AJ571" s="40">
        <f t="shared" si="433"/>
        <v>40</v>
      </c>
      <c r="AK571" s="40">
        <f t="shared" si="433"/>
        <v>50</v>
      </c>
      <c r="AL571" s="40">
        <f t="shared" si="433"/>
        <v>60</v>
      </c>
      <c r="AM571" s="40">
        <f t="shared" si="433"/>
        <v>70</v>
      </c>
      <c r="AN571" s="40">
        <f t="shared" si="433"/>
        <v>80</v>
      </c>
      <c r="AO571" s="40">
        <f t="shared" si="433"/>
        <v>90</v>
      </c>
      <c r="AP571" s="40">
        <f t="shared" si="433"/>
        <v>100</v>
      </c>
      <c r="AQ571" s="40">
        <f t="shared" si="433"/>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4">$B572*AG$571^$A572</f>
        <v>0</v>
      </c>
      <c r="AH572" s="41">
        <f t="shared" si="434"/>
        <v>0</v>
      </c>
      <c r="AI572" s="41">
        <f t="shared" si="434"/>
        <v>0</v>
      </c>
      <c r="AJ572" s="41">
        <f t="shared" si="434"/>
        <v>0</v>
      </c>
      <c r="AK572" s="41">
        <f t="shared" si="434"/>
        <v>0</v>
      </c>
      <c r="AL572" s="41">
        <f t="shared" si="434"/>
        <v>0</v>
      </c>
      <c r="AM572" s="41">
        <f t="shared" si="434"/>
        <v>0</v>
      </c>
      <c r="AN572" s="41">
        <f t="shared" si="434"/>
        <v>0</v>
      </c>
      <c r="AO572" s="41">
        <f t="shared" si="434"/>
        <v>0</v>
      </c>
      <c r="AP572" s="41">
        <f t="shared" si="434"/>
        <v>0</v>
      </c>
      <c r="AQ572" s="41">
        <f t="shared" si="434"/>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4"/>
        <v>0</v>
      </c>
      <c r="AH573" s="41">
        <f t="shared" si="434"/>
        <v>0</v>
      </c>
      <c r="AI573" s="41">
        <f t="shared" si="434"/>
        <v>0</v>
      </c>
      <c r="AJ573" s="41">
        <f t="shared" si="434"/>
        <v>0</v>
      </c>
      <c r="AK573" s="41">
        <f t="shared" si="434"/>
        <v>0</v>
      </c>
      <c r="AL573" s="41">
        <f t="shared" si="434"/>
        <v>0</v>
      </c>
      <c r="AM573" s="41">
        <f t="shared" si="434"/>
        <v>0</v>
      </c>
      <c r="AN573" s="41">
        <f t="shared" si="434"/>
        <v>0</v>
      </c>
      <c r="AO573" s="41">
        <f t="shared" si="434"/>
        <v>0</v>
      </c>
      <c r="AP573" s="41">
        <f t="shared" si="434"/>
        <v>0</v>
      </c>
      <c r="AQ573" s="41">
        <f t="shared" si="434"/>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4"/>
        <v>0</v>
      </c>
      <c r="AH574" s="41">
        <f t="shared" si="434"/>
        <v>0</v>
      </c>
      <c r="AI574" s="41">
        <f t="shared" si="434"/>
        <v>0</v>
      </c>
      <c r="AJ574" s="41">
        <f t="shared" si="434"/>
        <v>0</v>
      </c>
      <c r="AK574" s="41">
        <f t="shared" si="434"/>
        <v>0</v>
      </c>
      <c r="AL574" s="41">
        <f t="shared" si="434"/>
        <v>0</v>
      </c>
      <c r="AM574" s="41">
        <f t="shared" si="434"/>
        <v>0</v>
      </c>
      <c r="AN574" s="41">
        <f t="shared" si="434"/>
        <v>0</v>
      </c>
      <c r="AO574" s="41">
        <f t="shared" si="434"/>
        <v>0</v>
      </c>
      <c r="AP574" s="41">
        <f t="shared" si="434"/>
        <v>0</v>
      </c>
      <c r="AQ574" s="41">
        <f t="shared" si="434"/>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4"/>
        <v>0</v>
      </c>
      <c r="AH575" s="41">
        <f t="shared" si="434"/>
        <v>0</v>
      </c>
      <c r="AI575" s="41">
        <f t="shared" si="434"/>
        <v>0</v>
      </c>
      <c r="AJ575" s="41">
        <f t="shared" si="434"/>
        <v>0</v>
      </c>
      <c r="AK575" s="41">
        <f t="shared" si="434"/>
        <v>0</v>
      </c>
      <c r="AL575" s="41">
        <f t="shared" si="434"/>
        <v>0</v>
      </c>
      <c r="AM575" s="41">
        <f t="shared" si="434"/>
        <v>0</v>
      </c>
      <c r="AN575" s="41">
        <f t="shared" si="434"/>
        <v>0</v>
      </c>
      <c r="AO575" s="41">
        <f t="shared" si="434"/>
        <v>0</v>
      </c>
      <c r="AP575" s="41">
        <f t="shared" si="434"/>
        <v>0</v>
      </c>
      <c r="AQ575" s="41">
        <f t="shared" si="434"/>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4"/>
        <v>0</v>
      </c>
      <c r="AH576" s="41">
        <f t="shared" si="434"/>
        <v>0</v>
      </c>
      <c r="AI576" s="41">
        <f t="shared" si="434"/>
        <v>0</v>
      </c>
      <c r="AJ576" s="41">
        <f t="shared" si="434"/>
        <v>0</v>
      </c>
      <c r="AK576" s="41">
        <f t="shared" si="434"/>
        <v>0</v>
      </c>
      <c r="AL576" s="41">
        <f t="shared" si="434"/>
        <v>0</v>
      </c>
      <c r="AM576" s="41">
        <f t="shared" si="434"/>
        <v>0</v>
      </c>
      <c r="AN576" s="41">
        <f t="shared" si="434"/>
        <v>0</v>
      </c>
      <c r="AO576" s="41">
        <f t="shared" si="434"/>
        <v>0</v>
      </c>
      <c r="AP576" s="41">
        <f t="shared" si="434"/>
        <v>0</v>
      </c>
      <c r="AQ576" s="41">
        <f t="shared" si="434"/>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4"/>
        <v>0</v>
      </c>
      <c r="AH577" s="41">
        <f t="shared" si="434"/>
        <v>0</v>
      </c>
      <c r="AI577" s="41">
        <f t="shared" si="434"/>
        <v>0</v>
      </c>
      <c r="AJ577" s="41">
        <f t="shared" si="434"/>
        <v>0</v>
      </c>
      <c r="AK577" s="41">
        <f t="shared" si="434"/>
        <v>0</v>
      </c>
      <c r="AL577" s="41">
        <f t="shared" si="434"/>
        <v>0</v>
      </c>
      <c r="AM577" s="41">
        <f t="shared" si="434"/>
        <v>0</v>
      </c>
      <c r="AN577" s="41">
        <f t="shared" si="434"/>
        <v>0</v>
      </c>
      <c r="AO577" s="41">
        <f t="shared" si="434"/>
        <v>0</v>
      </c>
      <c r="AP577" s="41">
        <f t="shared" si="434"/>
        <v>0</v>
      </c>
      <c r="AQ577" s="41">
        <f t="shared" si="434"/>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4"/>
        <v>0</v>
      </c>
      <c r="AH578" s="41">
        <f t="shared" si="434"/>
        <v>0</v>
      </c>
      <c r="AI578" s="41">
        <f t="shared" si="434"/>
        <v>0</v>
      </c>
      <c r="AJ578" s="41">
        <f t="shared" si="434"/>
        <v>0</v>
      </c>
      <c r="AK578" s="41">
        <f t="shared" si="434"/>
        <v>0</v>
      </c>
      <c r="AL578" s="41">
        <f t="shared" si="434"/>
        <v>0</v>
      </c>
      <c r="AM578" s="41">
        <f t="shared" si="434"/>
        <v>0</v>
      </c>
      <c r="AN578" s="41">
        <f t="shared" si="434"/>
        <v>0</v>
      </c>
      <c r="AO578" s="41">
        <f t="shared" si="434"/>
        <v>0</v>
      </c>
      <c r="AP578" s="41">
        <f t="shared" si="434"/>
        <v>0</v>
      </c>
      <c r="AQ578" s="41">
        <f t="shared" si="434"/>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4"/>
        <v>0</v>
      </c>
      <c r="AH579" s="41">
        <f t="shared" si="434"/>
        <v>0</v>
      </c>
      <c r="AI579" s="41">
        <f t="shared" si="434"/>
        <v>0</v>
      </c>
      <c r="AJ579" s="41">
        <f t="shared" si="434"/>
        <v>0</v>
      </c>
      <c r="AK579" s="41">
        <f t="shared" si="434"/>
        <v>0</v>
      </c>
      <c r="AL579" s="41">
        <f t="shared" si="434"/>
        <v>0</v>
      </c>
      <c r="AM579" s="41">
        <f t="shared" si="434"/>
        <v>0</v>
      </c>
      <c r="AN579" s="41">
        <f t="shared" si="434"/>
        <v>0</v>
      </c>
      <c r="AO579" s="41">
        <f t="shared" si="434"/>
        <v>0</v>
      </c>
      <c r="AP579" s="41">
        <f t="shared" si="434"/>
        <v>0</v>
      </c>
      <c r="AQ579" s="41">
        <f t="shared" si="434"/>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4"/>
        <v>0</v>
      </c>
      <c r="AH580" s="41">
        <f t="shared" si="434"/>
        <v>0</v>
      </c>
      <c r="AI580" s="41">
        <f t="shared" si="434"/>
        <v>0</v>
      </c>
      <c r="AJ580" s="41">
        <f t="shared" si="434"/>
        <v>0</v>
      </c>
      <c r="AK580" s="41">
        <f t="shared" si="434"/>
        <v>0</v>
      </c>
      <c r="AL580" s="41">
        <f t="shared" si="434"/>
        <v>0</v>
      </c>
      <c r="AM580" s="41">
        <f t="shared" si="434"/>
        <v>0</v>
      </c>
      <c r="AN580" s="41">
        <f t="shared" si="434"/>
        <v>0</v>
      </c>
      <c r="AO580" s="41">
        <f t="shared" si="434"/>
        <v>0</v>
      </c>
      <c r="AP580" s="41">
        <f t="shared" si="434"/>
        <v>0</v>
      </c>
      <c r="AQ580" s="41">
        <f t="shared" si="434"/>
        <v>0</v>
      </c>
      <c r="AR580" s="41"/>
      <c r="AS580" s="41"/>
      <c r="AT580" s="41"/>
      <c r="AU580" s="41"/>
    </row>
    <row r="581" spans="1:47" x14ac:dyDescent="0.25">
      <c r="A581" s="111"/>
      <c r="B581" s="11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5">SUM(AG572:AG580)</f>
        <v>0</v>
      </c>
      <c r="AH581" s="41">
        <f t="shared" si="435"/>
        <v>0</v>
      </c>
      <c r="AI581" s="41">
        <f t="shared" si="435"/>
        <v>0</v>
      </c>
      <c r="AJ581" s="41">
        <f t="shared" si="435"/>
        <v>0</v>
      </c>
      <c r="AK581" s="41">
        <f t="shared" si="435"/>
        <v>0</v>
      </c>
      <c r="AL581" s="41">
        <f t="shared" si="435"/>
        <v>0</v>
      </c>
      <c r="AM581" s="41">
        <f t="shared" si="435"/>
        <v>0</v>
      </c>
      <c r="AN581" s="41">
        <f t="shared" si="435"/>
        <v>0</v>
      </c>
      <c r="AO581" s="41">
        <f t="shared" si="435"/>
        <v>0</v>
      </c>
      <c r="AP581" s="41">
        <f t="shared" si="435"/>
        <v>0</v>
      </c>
      <c r="AQ581" s="41">
        <f t="shared" si="435"/>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6">AF585+10</f>
        <v>10</v>
      </c>
      <c r="AH585" s="11">
        <f t="shared" si="436"/>
        <v>20</v>
      </c>
      <c r="AI585" s="11">
        <f t="shared" si="436"/>
        <v>30</v>
      </c>
      <c r="AJ585" s="11">
        <f t="shared" si="436"/>
        <v>40</v>
      </c>
      <c r="AK585" s="11">
        <f t="shared" si="436"/>
        <v>50</v>
      </c>
      <c r="AL585" s="11">
        <f t="shared" si="436"/>
        <v>60</v>
      </c>
      <c r="AM585" s="11">
        <f t="shared" si="436"/>
        <v>70</v>
      </c>
      <c r="AN585" s="11">
        <f t="shared" si="436"/>
        <v>80</v>
      </c>
      <c r="AO585" s="11">
        <f t="shared" si="436"/>
        <v>90</v>
      </c>
      <c r="AP585" s="11">
        <f t="shared" si="436"/>
        <v>100</v>
      </c>
      <c r="AQ585" s="11">
        <f t="shared" si="436"/>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37">AG585-$B$521</f>
        <v>10</v>
      </c>
      <c r="AH586" s="40">
        <f t="shared" si="437"/>
        <v>20</v>
      </c>
      <c r="AI586" s="40">
        <f t="shared" si="437"/>
        <v>30</v>
      </c>
      <c r="AJ586" s="40">
        <f t="shared" si="437"/>
        <v>40</v>
      </c>
      <c r="AK586" s="40">
        <f t="shared" si="437"/>
        <v>50</v>
      </c>
      <c r="AL586" s="40">
        <f t="shared" si="437"/>
        <v>60</v>
      </c>
      <c r="AM586" s="40">
        <f t="shared" si="437"/>
        <v>70</v>
      </c>
      <c r="AN586" s="40">
        <f t="shared" si="437"/>
        <v>80</v>
      </c>
      <c r="AO586" s="40">
        <f t="shared" si="437"/>
        <v>90</v>
      </c>
      <c r="AP586" s="40">
        <f t="shared" si="437"/>
        <v>100</v>
      </c>
      <c r="AQ586" s="40">
        <f t="shared" si="437"/>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38">$B587*AG$571^$A587</f>
        <v>0</v>
      </c>
      <c r="AH587" s="41">
        <f t="shared" si="438"/>
        <v>0</v>
      </c>
      <c r="AI587" s="41">
        <f t="shared" si="438"/>
        <v>0</v>
      </c>
      <c r="AJ587" s="41">
        <f t="shared" si="438"/>
        <v>0</v>
      </c>
      <c r="AK587" s="41">
        <f t="shared" si="438"/>
        <v>0</v>
      </c>
      <c r="AL587" s="41">
        <f t="shared" si="438"/>
        <v>0</v>
      </c>
      <c r="AM587" s="41">
        <f t="shared" si="438"/>
        <v>0</v>
      </c>
      <c r="AN587" s="41">
        <f t="shared" si="438"/>
        <v>0</v>
      </c>
      <c r="AO587" s="41">
        <f t="shared" si="438"/>
        <v>0</v>
      </c>
      <c r="AP587" s="41">
        <f t="shared" si="438"/>
        <v>0</v>
      </c>
      <c r="AQ587" s="41">
        <f t="shared" si="438"/>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38"/>
        <v>0</v>
      </c>
      <c r="AH588" s="41">
        <f t="shared" si="438"/>
        <v>0</v>
      </c>
      <c r="AI588" s="41">
        <f t="shared" si="438"/>
        <v>0</v>
      </c>
      <c r="AJ588" s="41">
        <f t="shared" si="438"/>
        <v>0</v>
      </c>
      <c r="AK588" s="41">
        <f t="shared" si="438"/>
        <v>0</v>
      </c>
      <c r="AL588" s="41">
        <f t="shared" si="438"/>
        <v>0</v>
      </c>
      <c r="AM588" s="41">
        <f t="shared" si="438"/>
        <v>0</v>
      </c>
      <c r="AN588" s="41">
        <f t="shared" si="438"/>
        <v>0</v>
      </c>
      <c r="AO588" s="41">
        <f t="shared" si="438"/>
        <v>0</v>
      </c>
      <c r="AP588" s="41">
        <f t="shared" si="438"/>
        <v>0</v>
      </c>
      <c r="AQ588" s="41">
        <f t="shared" si="438"/>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38"/>
        <v>0</v>
      </c>
      <c r="AH589" s="41">
        <f t="shared" si="438"/>
        <v>0</v>
      </c>
      <c r="AI589" s="41">
        <f t="shared" si="438"/>
        <v>0</v>
      </c>
      <c r="AJ589" s="41">
        <f t="shared" si="438"/>
        <v>0</v>
      </c>
      <c r="AK589" s="41">
        <f t="shared" si="438"/>
        <v>0</v>
      </c>
      <c r="AL589" s="41">
        <f t="shared" si="438"/>
        <v>0</v>
      </c>
      <c r="AM589" s="41">
        <f t="shared" si="438"/>
        <v>0</v>
      </c>
      <c r="AN589" s="41">
        <f t="shared" si="438"/>
        <v>0</v>
      </c>
      <c r="AO589" s="41">
        <f t="shared" si="438"/>
        <v>0</v>
      </c>
      <c r="AP589" s="41">
        <f t="shared" si="438"/>
        <v>0</v>
      </c>
      <c r="AQ589" s="41">
        <f t="shared" si="438"/>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38"/>
        <v>0</v>
      </c>
      <c r="AH590" s="41">
        <f t="shared" si="438"/>
        <v>0</v>
      </c>
      <c r="AI590" s="41">
        <f t="shared" si="438"/>
        <v>0</v>
      </c>
      <c r="AJ590" s="41">
        <f t="shared" si="438"/>
        <v>0</v>
      </c>
      <c r="AK590" s="41">
        <f t="shared" si="438"/>
        <v>0</v>
      </c>
      <c r="AL590" s="41">
        <f t="shared" si="438"/>
        <v>0</v>
      </c>
      <c r="AM590" s="41">
        <f t="shared" si="438"/>
        <v>0</v>
      </c>
      <c r="AN590" s="41">
        <f t="shared" si="438"/>
        <v>0</v>
      </c>
      <c r="AO590" s="41">
        <f t="shared" si="438"/>
        <v>0</v>
      </c>
      <c r="AP590" s="41">
        <f t="shared" si="438"/>
        <v>0</v>
      </c>
      <c r="AQ590" s="41">
        <f t="shared" si="438"/>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38"/>
        <v>0</v>
      </c>
      <c r="AH591" s="41">
        <f t="shared" si="438"/>
        <v>0</v>
      </c>
      <c r="AI591" s="41">
        <f t="shared" si="438"/>
        <v>0</v>
      </c>
      <c r="AJ591" s="41">
        <f t="shared" si="438"/>
        <v>0</v>
      </c>
      <c r="AK591" s="41">
        <f t="shared" si="438"/>
        <v>0</v>
      </c>
      <c r="AL591" s="41">
        <f t="shared" si="438"/>
        <v>0</v>
      </c>
      <c r="AM591" s="41">
        <f t="shared" si="438"/>
        <v>0</v>
      </c>
      <c r="AN591" s="41">
        <f t="shared" si="438"/>
        <v>0</v>
      </c>
      <c r="AO591" s="41">
        <f t="shared" si="438"/>
        <v>0</v>
      </c>
      <c r="AP591" s="41">
        <f t="shared" si="438"/>
        <v>0</v>
      </c>
      <c r="AQ591" s="41">
        <f t="shared" si="438"/>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38"/>
        <v>0</v>
      </c>
      <c r="AH592" s="41">
        <f t="shared" si="438"/>
        <v>0</v>
      </c>
      <c r="AI592" s="41">
        <f t="shared" si="438"/>
        <v>0</v>
      </c>
      <c r="AJ592" s="41">
        <f t="shared" si="438"/>
        <v>0</v>
      </c>
      <c r="AK592" s="41">
        <f t="shared" si="438"/>
        <v>0</v>
      </c>
      <c r="AL592" s="41">
        <f t="shared" si="438"/>
        <v>0</v>
      </c>
      <c r="AM592" s="41">
        <f t="shared" si="438"/>
        <v>0</v>
      </c>
      <c r="AN592" s="41">
        <f t="shared" si="438"/>
        <v>0</v>
      </c>
      <c r="AO592" s="41">
        <f t="shared" si="438"/>
        <v>0</v>
      </c>
      <c r="AP592" s="41">
        <f t="shared" si="438"/>
        <v>0</v>
      </c>
      <c r="AQ592" s="41">
        <f t="shared" si="438"/>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38"/>
        <v>0</v>
      </c>
      <c r="AH593" s="41">
        <f t="shared" si="438"/>
        <v>0</v>
      </c>
      <c r="AI593" s="41">
        <f t="shared" si="438"/>
        <v>0</v>
      </c>
      <c r="AJ593" s="41">
        <f t="shared" si="438"/>
        <v>0</v>
      </c>
      <c r="AK593" s="41">
        <f t="shared" si="438"/>
        <v>0</v>
      </c>
      <c r="AL593" s="41">
        <f t="shared" si="438"/>
        <v>0</v>
      </c>
      <c r="AM593" s="41">
        <f t="shared" si="438"/>
        <v>0</v>
      </c>
      <c r="AN593" s="41">
        <f t="shared" si="438"/>
        <v>0</v>
      </c>
      <c r="AO593" s="41">
        <f t="shared" si="438"/>
        <v>0</v>
      </c>
      <c r="AP593" s="41">
        <f t="shared" si="438"/>
        <v>0</v>
      </c>
      <c r="AQ593" s="41">
        <f t="shared" si="438"/>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38"/>
        <v>0</v>
      </c>
      <c r="AH594" s="41">
        <f t="shared" si="438"/>
        <v>0</v>
      </c>
      <c r="AI594" s="41">
        <f t="shared" si="438"/>
        <v>0</v>
      </c>
      <c r="AJ594" s="41">
        <f t="shared" si="438"/>
        <v>0</v>
      </c>
      <c r="AK594" s="41">
        <f t="shared" si="438"/>
        <v>0</v>
      </c>
      <c r="AL594" s="41">
        <f t="shared" si="438"/>
        <v>0</v>
      </c>
      <c r="AM594" s="41">
        <f t="shared" si="438"/>
        <v>0</v>
      </c>
      <c r="AN594" s="41">
        <f t="shared" si="438"/>
        <v>0</v>
      </c>
      <c r="AO594" s="41">
        <f t="shared" si="438"/>
        <v>0</v>
      </c>
      <c r="AP594" s="41">
        <f t="shared" si="438"/>
        <v>0</v>
      </c>
      <c r="AQ594" s="41">
        <f t="shared" si="438"/>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38"/>
        <v>0</v>
      </c>
      <c r="AH595" s="41">
        <f t="shared" si="438"/>
        <v>0</v>
      </c>
      <c r="AI595" s="41">
        <f t="shared" si="438"/>
        <v>0</v>
      </c>
      <c r="AJ595" s="41">
        <f t="shared" si="438"/>
        <v>0</v>
      </c>
      <c r="AK595" s="41">
        <f t="shared" si="438"/>
        <v>0</v>
      </c>
      <c r="AL595" s="41">
        <f t="shared" si="438"/>
        <v>0</v>
      </c>
      <c r="AM595" s="41">
        <f t="shared" si="438"/>
        <v>0</v>
      </c>
      <c r="AN595" s="41">
        <f t="shared" si="438"/>
        <v>0</v>
      </c>
      <c r="AO595" s="41">
        <f t="shared" si="438"/>
        <v>0</v>
      </c>
      <c r="AP595" s="41">
        <f t="shared" si="438"/>
        <v>0</v>
      </c>
      <c r="AQ595" s="41">
        <f t="shared" si="438"/>
        <v>0</v>
      </c>
    </row>
    <row r="596" spans="1:43" x14ac:dyDescent="0.25">
      <c r="A596" s="111"/>
      <c r="B596" s="11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39">SUM(AG587:AG595)</f>
        <v>0</v>
      </c>
      <c r="AH596" s="41">
        <f t="shared" si="439"/>
        <v>0</v>
      </c>
      <c r="AI596" s="41">
        <f t="shared" si="439"/>
        <v>0</v>
      </c>
      <c r="AJ596" s="41">
        <f t="shared" si="439"/>
        <v>0</v>
      </c>
      <c r="AK596" s="41">
        <f t="shared" si="439"/>
        <v>0</v>
      </c>
      <c r="AL596" s="41">
        <f t="shared" si="439"/>
        <v>0</v>
      </c>
      <c r="AM596" s="41">
        <f t="shared" si="439"/>
        <v>0</v>
      </c>
      <c r="AN596" s="41">
        <f t="shared" si="439"/>
        <v>0</v>
      </c>
      <c r="AO596" s="41">
        <f t="shared" si="439"/>
        <v>0</v>
      </c>
      <c r="AP596" s="41">
        <f t="shared" si="439"/>
        <v>0</v>
      </c>
      <c r="AQ596" s="41">
        <f t="shared" si="439"/>
        <v>0</v>
      </c>
    </row>
    <row r="597" spans="1:43" x14ac:dyDescent="0.25">
      <c r="A597" s="106"/>
      <c r="B597" s="10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0">(AG581-AG596)^2</f>
        <v>0</v>
      </c>
      <c r="AH597" s="41">
        <f t="shared" si="440"/>
        <v>0</v>
      </c>
      <c r="AI597" s="41">
        <f t="shared" si="440"/>
        <v>0</v>
      </c>
      <c r="AJ597" s="41">
        <f t="shared" si="440"/>
        <v>0</v>
      </c>
      <c r="AK597" s="41">
        <f t="shared" si="440"/>
        <v>0</v>
      </c>
      <c r="AL597" s="41">
        <f t="shared" si="440"/>
        <v>0</v>
      </c>
      <c r="AM597" s="41">
        <f t="shared" si="440"/>
        <v>0</v>
      </c>
      <c r="AN597" s="41">
        <f t="shared" si="440"/>
        <v>0</v>
      </c>
      <c r="AO597" s="41">
        <f t="shared" si="440"/>
        <v>0</v>
      </c>
      <c r="AP597" s="41">
        <f t="shared" si="440"/>
        <v>0</v>
      </c>
      <c r="AQ597" s="41">
        <f t="shared" si="440"/>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06"/>
      <c r="B626" s="106"/>
      <c r="C626" s="43"/>
      <c r="D626" s="15"/>
      <c r="E626" s="95"/>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06"/>
      <c r="B627" s="106"/>
      <c r="C627" s="96"/>
      <c r="D627" s="15"/>
      <c r="E627" s="97"/>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11"/>
      <c r="B650" s="11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06"/>
      <c r="B651" s="10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06"/>
      <c r="B652" s="10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06"/>
      <c r="B653" s="10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06"/>
      <c r="B654" s="10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3"/>
      <c r="D656" s="73"/>
      <c r="E656" s="73"/>
      <c r="F656" s="73"/>
      <c r="G656" s="73"/>
      <c r="H656" s="73"/>
      <c r="I656" s="73"/>
      <c r="J656" s="73"/>
      <c r="K656" s="73"/>
      <c r="L656" s="73"/>
      <c r="M656" s="15"/>
      <c r="N656" s="15"/>
      <c r="O656" s="97"/>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7">
    <mergeCell ref="A650:B650"/>
    <mergeCell ref="A651:B651"/>
    <mergeCell ref="A652:B652"/>
    <mergeCell ref="A653:B653"/>
    <mergeCell ref="A654:B654"/>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-8.182560759440511</v>
      </c>
      <c r="M1" s="54">
        <v>1</v>
      </c>
      <c r="N1" s="56">
        <f>INDEX($H$217:$P$217,1,Q1)</f>
        <v>8.4957641293068584E-2</v>
      </c>
      <c r="O1" s="11"/>
      <c r="P1" s="55">
        <v>1</v>
      </c>
      <c r="Q1" s="11">
        <v>2</v>
      </c>
    </row>
    <row r="2" spans="1:17" x14ac:dyDescent="0.25">
      <c r="A2" s="11">
        <f>'Mastercurve bestimmen'!M119</f>
        <v>0</v>
      </c>
      <c r="B2" s="11">
        <f>'Mastercurve bestimmen'!N119</f>
        <v>-4.7521073951098307</v>
      </c>
      <c r="M2" s="54">
        <v>2</v>
      </c>
      <c r="N2" s="56">
        <f t="shared" ref="N2:N9" si="0">INDEX($H$217:$P$217,1,Q2)</f>
        <v>4.4769128873435826E-5</v>
      </c>
      <c r="O2" s="11"/>
      <c r="P2" s="55">
        <v>2</v>
      </c>
      <c r="Q2" s="11">
        <f>Q1+1</f>
        <v>3</v>
      </c>
    </row>
    <row r="3" spans="1:17" x14ac:dyDescent="0.25">
      <c r="A3" s="11">
        <f>'Mastercurve bestimmen'!M120</f>
        <v>25</v>
      </c>
      <c r="B3" s="11">
        <f>'Mastercurve bestimmen'!N120</f>
        <v>-2.2047123795352914</v>
      </c>
      <c r="M3" s="54">
        <v>3</v>
      </c>
      <c r="N3" s="56">
        <f t="shared" si="0"/>
        <v>8.7484591794976323E-6</v>
      </c>
      <c r="O3" s="11"/>
      <c r="P3" s="55">
        <v>3</v>
      </c>
      <c r="Q3" s="11">
        <f t="shared" ref="Q3:Q8" si="1">Q2+1</f>
        <v>4</v>
      </c>
    </row>
    <row r="4" spans="1:17" x14ac:dyDescent="0.25">
      <c r="A4" s="11">
        <f>'Mastercurve bestimmen'!M121</f>
        <v>50</v>
      </c>
      <c r="B4" s="11">
        <f>'Mastercurve bestimmen'!N121</f>
        <v>0</v>
      </c>
      <c r="M4" s="54">
        <v>4</v>
      </c>
      <c r="N4" s="56">
        <f t="shared" si="0"/>
        <v>-9.951484574892959E-9</v>
      </c>
      <c r="O4" s="11"/>
      <c r="P4" s="55">
        <v>4</v>
      </c>
      <c r="Q4" s="11">
        <f t="shared" si="1"/>
        <v>5</v>
      </c>
    </row>
    <row r="5" spans="1:17" x14ac:dyDescent="0.25">
      <c r="A5" s="11">
        <f>'Mastercurve bestimmen'!M122</f>
        <v>80</v>
      </c>
      <c r="B5" s="11">
        <f>'Mastercurve bestimmen'!N122</f>
        <v>2.8005690794340423</v>
      </c>
      <c r="M5" s="54">
        <v>5</v>
      </c>
      <c r="N5" s="56">
        <f t="shared" si="0"/>
        <v>-1.2270369211778238E-9</v>
      </c>
      <c r="O5" s="11"/>
      <c r="P5" s="55">
        <v>5</v>
      </c>
      <c r="Q5" s="11">
        <f t="shared" si="1"/>
        <v>6</v>
      </c>
    </row>
    <row r="6" spans="1:17" x14ac:dyDescent="0.25">
      <c r="A6" s="11">
        <f>'Mastercurve bestimmen'!M123</f>
        <v>125</v>
      </c>
      <c r="B6" s="11">
        <f>'Mastercurve bestimmen'!N123</f>
        <v>8.6264511517362088</v>
      </c>
      <c r="M6" s="54">
        <v>6</v>
      </c>
      <c r="N6" s="56">
        <f t="shared" si="0"/>
        <v>6.6954550451668598E-12</v>
      </c>
      <c r="O6" s="11"/>
      <c r="P6" s="55">
        <v>6</v>
      </c>
      <c r="Q6" s="11">
        <f t="shared" si="1"/>
        <v>7</v>
      </c>
    </row>
    <row r="7" spans="1:17" x14ac:dyDescent="0.25">
      <c r="A7" s="11">
        <f>'Mastercurve bestimmen'!M124</f>
        <v>160</v>
      </c>
      <c r="B7" s="11">
        <f>'Mastercurve bestimmen'!N124</f>
        <v>14.295562173308721</v>
      </c>
      <c r="M7" s="54">
        <v>7</v>
      </c>
      <c r="N7" s="56">
        <f t="shared" si="0"/>
        <v>5.8550777708114434E-14</v>
      </c>
      <c r="O7" s="11"/>
      <c r="P7" s="55">
        <v>7</v>
      </c>
      <c r="Q7" s="11">
        <f t="shared" si="1"/>
        <v>8</v>
      </c>
    </row>
    <row r="8" spans="1:17" x14ac:dyDescent="0.25">
      <c r="A8" s="11"/>
      <c r="B8" s="11"/>
      <c r="M8" s="54">
        <v>8</v>
      </c>
      <c r="N8" s="56">
        <f t="shared" si="0"/>
        <v>-4.3419042122535173E-16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-8.182560759440511</v>
      </c>
      <c r="E15" s="11">
        <f>A15-'Mastercurve bestimmen'!$B$2</f>
        <v>-90</v>
      </c>
      <c r="F15" s="11">
        <f>B15</f>
        <v>-8.182560759440511</v>
      </c>
      <c r="G15" s="11"/>
      <c r="H15" s="11">
        <f>IF($H$12&gt;=H$14,$E15^H$14,0)</f>
        <v>4304672100000000</v>
      </c>
      <c r="I15" s="11">
        <f t="shared" ref="I15:O30" si="3">IF($H$12&gt;=I$14,$E15^I$14,0)</f>
        <v>-47829690000000</v>
      </c>
      <c r="J15" s="11">
        <f t="shared" si="3"/>
        <v>531441000000</v>
      </c>
      <c r="K15" s="11">
        <f t="shared" si="3"/>
        <v>-5904900000</v>
      </c>
      <c r="L15" s="11">
        <f t="shared" si="3"/>
        <v>65610000</v>
      </c>
      <c r="M15" s="11">
        <f t="shared" si="3"/>
        <v>-729000</v>
      </c>
      <c r="N15" s="11">
        <f t="shared" si="3"/>
        <v>8100</v>
      </c>
      <c r="O15" s="11">
        <f t="shared" si="3"/>
        <v>-90</v>
      </c>
      <c r="P15" s="11">
        <v>0</v>
      </c>
    </row>
    <row r="16" spans="1:17" x14ac:dyDescent="0.25">
      <c r="A16" s="11">
        <f>A15+1</f>
        <v>-39</v>
      </c>
      <c r="B16" s="11">
        <v>-8.1227078811179076</v>
      </c>
      <c r="E16" s="11">
        <f>A16-'Mastercurve bestimmen'!$B$2</f>
        <v>-89</v>
      </c>
      <c r="F16" s="11">
        <f t="shared" ref="F16:F79" si="4">B16</f>
        <v>-8.1227078811179076</v>
      </c>
      <c r="G16" s="11"/>
      <c r="H16" s="11">
        <f t="shared" ref="H16:O47" si="5">IF($H$12&gt;=H$14,$E16^H$14,0)</f>
        <v>3936588805702081</v>
      </c>
      <c r="I16" s="11">
        <f t="shared" si="3"/>
        <v>-44231334895529</v>
      </c>
      <c r="J16" s="11">
        <f t="shared" si="3"/>
        <v>496981290961</v>
      </c>
      <c r="K16" s="11">
        <f t="shared" si="3"/>
        <v>-5584059449</v>
      </c>
      <c r="L16" s="11">
        <f t="shared" si="3"/>
        <v>62742241</v>
      </c>
      <c r="M16" s="11">
        <f t="shared" si="3"/>
        <v>-704969</v>
      </c>
      <c r="N16" s="11">
        <f t="shared" si="3"/>
        <v>7921</v>
      </c>
      <c r="O16" s="11">
        <f t="shared" si="3"/>
        <v>-89</v>
      </c>
      <c r="P16" s="11">
        <f>P15</f>
        <v>0</v>
      </c>
    </row>
    <row r="17" spans="1:16" x14ac:dyDescent="0.25">
      <c r="A17" s="11">
        <f t="shared" ref="A17:A80" si="6">A16+1</f>
        <v>-38</v>
      </c>
      <c r="B17" s="11">
        <v>-8.0627577853251911</v>
      </c>
      <c r="E17" s="11">
        <f>A17-'Mastercurve bestimmen'!$B$2</f>
        <v>-88</v>
      </c>
      <c r="F17" s="11">
        <f t="shared" si="4"/>
        <v>-8.0627577853251911</v>
      </c>
      <c r="G17" s="11"/>
      <c r="H17" s="11">
        <f t="shared" si="5"/>
        <v>3596345248055296</v>
      </c>
      <c r="I17" s="11">
        <f t="shared" si="3"/>
        <v>-40867559636992</v>
      </c>
      <c r="J17" s="11">
        <f t="shared" si="3"/>
        <v>464404086784</v>
      </c>
      <c r="K17" s="11">
        <f t="shared" si="3"/>
        <v>-5277319168</v>
      </c>
      <c r="L17" s="11">
        <f t="shared" si="3"/>
        <v>59969536</v>
      </c>
      <c r="M17" s="11">
        <f t="shared" si="3"/>
        <v>-681472</v>
      </c>
      <c r="N17" s="11">
        <f t="shared" si="3"/>
        <v>7744</v>
      </c>
      <c r="O17" s="11">
        <f t="shared" si="3"/>
        <v>-88</v>
      </c>
      <c r="P17" s="11">
        <f t="shared" ref="P17:P80" si="7">P16</f>
        <v>0</v>
      </c>
    </row>
    <row r="18" spans="1:16" x14ac:dyDescent="0.25">
      <c r="A18" s="11">
        <f t="shared" si="6"/>
        <v>-37</v>
      </c>
      <c r="B18" s="11">
        <v>-8.0026132545922426</v>
      </c>
      <c r="E18" s="11">
        <f>A18-'Mastercurve bestimmen'!$B$2</f>
        <v>-87</v>
      </c>
      <c r="F18" s="11">
        <f t="shared" si="4"/>
        <v>-8.0026132545922426</v>
      </c>
      <c r="G18" s="11"/>
      <c r="H18" s="11">
        <f t="shared" si="5"/>
        <v>3282116715437121</v>
      </c>
      <c r="I18" s="11">
        <f t="shared" si="3"/>
        <v>-37725479487783</v>
      </c>
      <c r="J18" s="11">
        <f t="shared" si="3"/>
        <v>433626201009</v>
      </c>
      <c r="K18" s="11">
        <f t="shared" si="3"/>
        <v>-4984209207</v>
      </c>
      <c r="L18" s="11">
        <f t="shared" si="3"/>
        <v>57289761</v>
      </c>
      <c r="M18" s="11">
        <f t="shared" si="3"/>
        <v>-658503</v>
      </c>
      <c r="N18" s="11">
        <f t="shared" si="3"/>
        <v>7569</v>
      </c>
      <c r="O18" s="11">
        <f t="shared" si="3"/>
        <v>-87</v>
      </c>
      <c r="P18" s="11">
        <f t="shared" si="7"/>
        <v>0</v>
      </c>
    </row>
    <row r="19" spans="1:16" x14ac:dyDescent="0.25">
      <c r="A19" s="11">
        <f t="shared" si="6"/>
        <v>-36</v>
      </c>
      <c r="B19" s="11">
        <v>-7.942177071448949</v>
      </c>
      <c r="E19" s="11">
        <f>A19-'Mastercurve bestimmen'!$B$2</f>
        <v>-86</v>
      </c>
      <c r="F19" s="11">
        <f t="shared" si="4"/>
        <v>-7.942177071448949</v>
      </c>
      <c r="G19" s="11"/>
      <c r="H19" s="11">
        <f t="shared" si="5"/>
        <v>2992179271065856</v>
      </c>
      <c r="I19" s="11">
        <f t="shared" si="3"/>
        <v>-34792782221696</v>
      </c>
      <c r="J19" s="11">
        <f t="shared" si="3"/>
        <v>404567235136</v>
      </c>
      <c r="K19" s="11">
        <f t="shared" si="3"/>
        <v>-4704270176</v>
      </c>
      <c r="L19" s="11">
        <f t="shared" si="3"/>
        <v>54700816</v>
      </c>
      <c r="M19" s="11">
        <f t="shared" si="3"/>
        <v>-636056</v>
      </c>
      <c r="N19" s="11">
        <f t="shared" si="3"/>
        <v>7396</v>
      </c>
      <c r="O19" s="11">
        <f t="shared" si="3"/>
        <v>-86</v>
      </c>
      <c r="P19" s="11">
        <f t="shared" si="7"/>
        <v>0</v>
      </c>
    </row>
    <row r="20" spans="1:16" x14ac:dyDescent="0.25">
      <c r="A20" s="11">
        <f t="shared" si="6"/>
        <v>-35</v>
      </c>
      <c r="B20" s="11">
        <v>-7.8813520184251953</v>
      </c>
      <c r="E20" s="11">
        <f>A20-'Mastercurve bestimmen'!$B$2</f>
        <v>-85</v>
      </c>
      <c r="F20" s="11">
        <f t="shared" si="4"/>
        <v>-7.8813520184251953</v>
      </c>
      <c r="G20" s="11"/>
      <c r="H20" s="11">
        <f t="shared" si="5"/>
        <v>2724905250390625</v>
      </c>
      <c r="I20" s="11">
        <f t="shared" si="3"/>
        <v>-32057708828125</v>
      </c>
      <c r="J20" s="11">
        <f t="shared" si="3"/>
        <v>377149515625</v>
      </c>
      <c r="K20" s="11">
        <f t="shared" si="3"/>
        <v>-4437053125</v>
      </c>
      <c r="L20" s="11">
        <f t="shared" si="3"/>
        <v>52200625</v>
      </c>
      <c r="M20" s="11">
        <f t="shared" si="3"/>
        <v>-614125</v>
      </c>
      <c r="N20" s="11">
        <f t="shared" si="3"/>
        <v>7225</v>
      </c>
      <c r="O20" s="11">
        <f t="shared" si="3"/>
        <v>-85</v>
      </c>
      <c r="P20" s="11">
        <f t="shared" si="7"/>
        <v>0</v>
      </c>
    </row>
    <row r="21" spans="1:16" x14ac:dyDescent="0.25">
      <c r="A21" s="11">
        <f t="shared" si="6"/>
        <v>-34</v>
      </c>
      <c r="B21" s="11">
        <v>-7.8200408780508663</v>
      </c>
      <c r="E21" s="11">
        <f>A21-'Mastercurve bestimmen'!$B$2</f>
        <v>-84</v>
      </c>
      <c r="F21" s="11">
        <f t="shared" si="4"/>
        <v>-7.8200408780508663</v>
      </c>
      <c r="G21" s="11"/>
      <c r="H21" s="11">
        <f t="shared" si="5"/>
        <v>2478758911082496</v>
      </c>
      <c r="I21" s="11">
        <f t="shared" si="3"/>
        <v>-29509034655744</v>
      </c>
      <c r="J21" s="11">
        <f t="shared" si="3"/>
        <v>351298031616</v>
      </c>
      <c r="K21" s="11">
        <f t="shared" si="3"/>
        <v>-4182119424</v>
      </c>
      <c r="L21" s="11">
        <f t="shared" si="3"/>
        <v>49787136</v>
      </c>
      <c r="M21" s="11">
        <f t="shared" si="3"/>
        <v>-592704</v>
      </c>
      <c r="N21" s="11">
        <f t="shared" si="3"/>
        <v>7056</v>
      </c>
      <c r="O21" s="11">
        <f t="shared" si="3"/>
        <v>-84</v>
      </c>
      <c r="P21" s="11">
        <f t="shared" si="7"/>
        <v>0</v>
      </c>
    </row>
    <row r="22" spans="1:16" x14ac:dyDescent="0.25">
      <c r="A22" s="11">
        <f t="shared" si="6"/>
        <v>-33</v>
      </c>
      <c r="B22">
        <v>-7.758146432855848</v>
      </c>
      <c r="E22" s="11">
        <f>A22-'Mastercurve bestimmen'!$B$2</f>
        <v>-83</v>
      </c>
      <c r="F22" s="11">
        <f t="shared" si="4"/>
        <v>-7.758146432855848</v>
      </c>
      <c r="G22" s="11"/>
      <c r="H22" s="11">
        <f t="shared" si="5"/>
        <v>2252292232139041</v>
      </c>
      <c r="I22" s="11">
        <f t="shared" si="3"/>
        <v>-27136050989627</v>
      </c>
      <c r="J22" s="11">
        <f t="shared" si="3"/>
        <v>326940373369</v>
      </c>
      <c r="K22" s="11">
        <f t="shared" si="3"/>
        <v>-3939040643</v>
      </c>
      <c r="L22" s="11">
        <f t="shared" si="3"/>
        <v>47458321</v>
      </c>
      <c r="M22" s="11">
        <f t="shared" si="3"/>
        <v>-571787</v>
      </c>
      <c r="N22" s="11">
        <f t="shared" si="3"/>
        <v>6889</v>
      </c>
      <c r="O22" s="11">
        <f t="shared" si="3"/>
        <v>-83</v>
      </c>
      <c r="P22" s="11">
        <f t="shared" si="7"/>
        <v>0</v>
      </c>
    </row>
    <row r="23" spans="1:16" x14ac:dyDescent="0.25">
      <c r="A23" s="11">
        <f t="shared" si="6"/>
        <v>-32</v>
      </c>
      <c r="B23">
        <v>-7.6955714653700227</v>
      </c>
      <c r="E23" s="11">
        <f>A23-'Mastercurve bestimmen'!$B$2</f>
        <v>-82</v>
      </c>
      <c r="F23" s="11">
        <f t="shared" si="4"/>
        <v>-7.6955714653700227</v>
      </c>
      <c r="G23" s="11"/>
      <c r="H23" s="11">
        <f t="shared" si="5"/>
        <v>2044140858654976</v>
      </c>
      <c r="I23" s="11">
        <f t="shared" si="3"/>
        <v>-24928547056768</v>
      </c>
      <c r="J23" s="11">
        <f t="shared" si="3"/>
        <v>304006671424</v>
      </c>
      <c r="K23" s="11">
        <f t="shared" si="3"/>
        <v>-3707398432</v>
      </c>
      <c r="L23" s="11">
        <f t="shared" si="3"/>
        <v>45212176</v>
      </c>
      <c r="M23" s="11">
        <f t="shared" si="3"/>
        <v>-551368</v>
      </c>
      <c r="N23" s="11">
        <f t="shared" si="3"/>
        <v>6724</v>
      </c>
      <c r="O23" s="11">
        <f t="shared" si="3"/>
        <v>-82</v>
      </c>
      <c r="P23" s="11">
        <f t="shared" si="7"/>
        <v>0</v>
      </c>
    </row>
    <row r="24" spans="1:16" x14ac:dyDescent="0.25">
      <c r="A24" s="11">
        <f t="shared" si="6"/>
        <v>-31</v>
      </c>
      <c r="B24">
        <v>-7.632218758123277</v>
      </c>
      <c r="E24" s="11">
        <f>A24-'Mastercurve bestimmen'!$B$2</f>
        <v>-81</v>
      </c>
      <c r="F24" s="11">
        <f t="shared" si="4"/>
        <v>-7.632218758123277</v>
      </c>
      <c r="G24" s="11"/>
      <c r="H24" s="11">
        <f t="shared" si="5"/>
        <v>1853020188851841</v>
      </c>
      <c r="I24" s="11">
        <f t="shared" si="3"/>
        <v>-22876792454961</v>
      </c>
      <c r="J24" s="11">
        <f t="shared" si="3"/>
        <v>282429536481</v>
      </c>
      <c r="K24" s="11">
        <f t="shared" si="3"/>
        <v>-3486784401</v>
      </c>
      <c r="L24" s="11">
        <f t="shared" si="3"/>
        <v>43046721</v>
      </c>
      <c r="M24" s="11">
        <f t="shared" si="3"/>
        <v>-531441</v>
      </c>
      <c r="N24" s="11">
        <f t="shared" si="3"/>
        <v>6561</v>
      </c>
      <c r="O24" s="11">
        <f t="shared" si="3"/>
        <v>-81</v>
      </c>
      <c r="P24" s="11">
        <f t="shared" si="7"/>
        <v>0</v>
      </c>
    </row>
    <row r="25" spans="1:16" x14ac:dyDescent="0.25">
      <c r="A25" s="11">
        <f t="shared" si="6"/>
        <v>-30</v>
      </c>
      <c r="B25">
        <v>-7.5679910936454968</v>
      </c>
      <c r="E25" s="11">
        <f>A25-'Mastercurve bestimmen'!$B$2</f>
        <v>-80</v>
      </c>
      <c r="F25" s="11">
        <f t="shared" si="4"/>
        <v>-7.5679910936454968</v>
      </c>
      <c r="G25" s="11"/>
      <c r="H25" s="11">
        <f t="shared" si="5"/>
        <v>1677721600000000</v>
      </c>
      <c r="I25" s="11">
        <f t="shared" si="3"/>
        <v>-20971520000000</v>
      </c>
      <c r="J25" s="11">
        <f t="shared" si="3"/>
        <v>262144000000</v>
      </c>
      <c r="K25" s="11">
        <f t="shared" si="3"/>
        <v>-3276800000</v>
      </c>
      <c r="L25" s="11">
        <f t="shared" si="3"/>
        <v>40960000</v>
      </c>
      <c r="M25" s="11">
        <f t="shared" si="3"/>
        <v>-512000</v>
      </c>
      <c r="N25" s="11">
        <f t="shared" si="3"/>
        <v>6400</v>
      </c>
      <c r="O25" s="11">
        <f t="shared" si="3"/>
        <v>-80</v>
      </c>
      <c r="P25" s="11">
        <f t="shared" si="7"/>
        <v>0</v>
      </c>
    </row>
    <row r="26" spans="1:16" x14ac:dyDescent="0.25">
      <c r="A26" s="11">
        <f t="shared" si="6"/>
        <v>-29</v>
      </c>
      <c r="B26">
        <v>-7.5027912544665654</v>
      </c>
      <c r="E26" s="11">
        <f>A26-'Mastercurve bestimmen'!$B$2</f>
        <v>-79</v>
      </c>
      <c r="F26" s="11">
        <f t="shared" si="4"/>
        <v>-7.5027912544665654</v>
      </c>
      <c r="G26" s="11"/>
      <c r="H26" s="11">
        <f t="shared" si="5"/>
        <v>1517108809906561</v>
      </c>
      <c r="I26" s="11">
        <f t="shared" si="3"/>
        <v>-19203908986159</v>
      </c>
      <c r="J26" s="11">
        <f t="shared" si="3"/>
        <v>243087455521</v>
      </c>
      <c r="K26" s="11">
        <f t="shared" si="3"/>
        <v>-3077056399</v>
      </c>
      <c r="L26" s="11">
        <f t="shared" si="3"/>
        <v>38950081</v>
      </c>
      <c r="M26" s="11">
        <f t="shared" si="3"/>
        <v>-493039</v>
      </c>
      <c r="N26" s="11">
        <f t="shared" si="3"/>
        <v>6241</v>
      </c>
      <c r="O26" s="11">
        <f t="shared" si="3"/>
        <v>-79</v>
      </c>
      <c r="P26" s="11">
        <f t="shared" si="7"/>
        <v>0</v>
      </c>
    </row>
    <row r="27" spans="1:16" x14ac:dyDescent="0.25">
      <c r="A27" s="11">
        <f t="shared" si="6"/>
        <v>-28</v>
      </c>
      <c r="B27">
        <v>-7.4365220231163685</v>
      </c>
      <c r="E27" s="11">
        <f>A27-'Mastercurve bestimmen'!$B$2</f>
        <v>-78</v>
      </c>
      <c r="F27" s="11">
        <f t="shared" si="4"/>
        <v>-7.4365220231163685</v>
      </c>
      <c r="G27" s="11"/>
      <c r="H27" s="11">
        <f t="shared" si="5"/>
        <v>1370114370683136</v>
      </c>
      <c r="I27" s="11">
        <f t="shared" si="3"/>
        <v>-17565568854912</v>
      </c>
      <c r="J27" s="11">
        <f t="shared" si="3"/>
        <v>225199600704</v>
      </c>
      <c r="K27" s="11">
        <f t="shared" si="3"/>
        <v>-2887174368</v>
      </c>
      <c r="L27" s="11">
        <f t="shared" si="3"/>
        <v>37015056</v>
      </c>
      <c r="M27" s="11">
        <f t="shared" si="3"/>
        <v>-474552</v>
      </c>
      <c r="N27" s="11">
        <f t="shared" si="3"/>
        <v>6084</v>
      </c>
      <c r="O27" s="11">
        <f t="shared" si="3"/>
        <v>-78</v>
      </c>
      <c r="P27" s="11">
        <f t="shared" si="7"/>
        <v>0</v>
      </c>
    </row>
    <row r="28" spans="1:16" x14ac:dyDescent="0.25">
      <c r="A28" s="11">
        <f t="shared" si="6"/>
        <v>-27</v>
      </c>
      <c r="B28">
        <v>-7.3690861821247902</v>
      </c>
      <c r="E28" s="11">
        <f>A28-'Mastercurve bestimmen'!$B$2</f>
        <v>-77</v>
      </c>
      <c r="F28" s="11">
        <f t="shared" si="4"/>
        <v>-7.3690861821247902</v>
      </c>
      <c r="G28" s="11"/>
      <c r="H28" s="11">
        <f t="shared" si="5"/>
        <v>1235736291547681</v>
      </c>
      <c r="I28" s="11">
        <f t="shared" si="3"/>
        <v>-16048523266853</v>
      </c>
      <c r="J28" s="11">
        <f t="shared" si="3"/>
        <v>208422380089</v>
      </c>
      <c r="K28" s="11">
        <f t="shared" si="3"/>
        <v>-2706784157</v>
      </c>
      <c r="L28" s="11">
        <f t="shared" si="3"/>
        <v>35153041</v>
      </c>
      <c r="M28" s="11">
        <f t="shared" si="3"/>
        <v>-456533</v>
      </c>
      <c r="N28" s="11">
        <f t="shared" si="3"/>
        <v>5929</v>
      </c>
      <c r="O28" s="11">
        <f t="shared" si="3"/>
        <v>-77</v>
      </c>
      <c r="P28" s="11">
        <f t="shared" si="7"/>
        <v>0</v>
      </c>
    </row>
    <row r="29" spans="1:16" x14ac:dyDescent="0.25">
      <c r="A29" s="11">
        <f t="shared" si="6"/>
        <v>-26</v>
      </c>
      <c r="B29">
        <v>-7.3003865140217172</v>
      </c>
      <c r="E29" s="11">
        <f>A29-'Mastercurve bestimmen'!$B$2</f>
        <v>-76</v>
      </c>
      <c r="F29" s="11">
        <f t="shared" si="4"/>
        <v>-7.3003865140217172</v>
      </c>
      <c r="G29" s="11"/>
      <c r="H29" s="11">
        <f t="shared" si="5"/>
        <v>1113034787454976</v>
      </c>
      <c r="I29" s="11">
        <f t="shared" si="3"/>
        <v>-14645194571776</v>
      </c>
      <c r="J29" s="11">
        <f t="shared" si="3"/>
        <v>192699928576</v>
      </c>
      <c r="K29" s="11">
        <f t="shared" si="3"/>
        <v>-2535525376</v>
      </c>
      <c r="L29" s="11">
        <f t="shared" si="3"/>
        <v>33362176</v>
      </c>
      <c r="M29" s="11">
        <f t="shared" si="3"/>
        <v>-438976</v>
      </c>
      <c r="N29" s="11">
        <f t="shared" si="3"/>
        <v>5776</v>
      </c>
      <c r="O29" s="11">
        <f t="shared" si="3"/>
        <v>-76</v>
      </c>
      <c r="P29" s="11">
        <f t="shared" si="7"/>
        <v>0</v>
      </c>
    </row>
    <row r="30" spans="1:16" x14ac:dyDescent="0.25">
      <c r="A30" s="11">
        <f t="shared" si="6"/>
        <v>-25</v>
      </c>
      <c r="B30">
        <v>-7.2303258013370328</v>
      </c>
      <c r="E30" s="11">
        <f>A30-'Mastercurve bestimmen'!$B$2</f>
        <v>-75</v>
      </c>
      <c r="F30" s="11">
        <f t="shared" si="4"/>
        <v>-7.2303258013370328</v>
      </c>
      <c r="G30" s="11"/>
      <c r="H30" s="11">
        <f t="shared" si="5"/>
        <v>1001129150390625</v>
      </c>
      <c r="I30" s="11">
        <f t="shared" si="3"/>
        <v>-13348388671875</v>
      </c>
      <c r="J30" s="11">
        <f t="shared" si="3"/>
        <v>177978515625</v>
      </c>
      <c r="K30" s="11">
        <f t="shared" si="3"/>
        <v>-2373046875</v>
      </c>
      <c r="L30" s="11">
        <f t="shared" si="3"/>
        <v>31640625</v>
      </c>
      <c r="M30" s="11">
        <f t="shared" si="3"/>
        <v>-421875</v>
      </c>
      <c r="N30" s="11">
        <f t="shared" si="3"/>
        <v>5625</v>
      </c>
      <c r="O30" s="11">
        <f t="shared" si="3"/>
        <v>-75</v>
      </c>
      <c r="P30" s="11">
        <f t="shared" si="7"/>
        <v>0</v>
      </c>
    </row>
    <row r="31" spans="1:16" x14ac:dyDescent="0.25">
      <c r="A31" s="11">
        <f t="shared" si="6"/>
        <v>-24</v>
      </c>
      <c r="B31">
        <v>-7.1588068266006228</v>
      </c>
      <c r="E31" s="11">
        <f>A31-'Mastercurve bestimmen'!$B$2</f>
        <v>-74</v>
      </c>
      <c r="F31" s="11">
        <f t="shared" si="4"/>
        <v>-7.1588068266006228</v>
      </c>
      <c r="G31" s="11"/>
      <c r="H31" s="11">
        <f t="shared" si="5"/>
        <v>899194740203776</v>
      </c>
      <c r="I31" s="11">
        <f t="shared" si="5"/>
        <v>-12151280273024</v>
      </c>
      <c r="J31" s="11">
        <f t="shared" si="5"/>
        <v>164206490176</v>
      </c>
      <c r="K31" s="11">
        <f t="shared" si="5"/>
        <v>-2219006624</v>
      </c>
      <c r="L31" s="11">
        <f t="shared" si="5"/>
        <v>29986576</v>
      </c>
      <c r="M31" s="11">
        <f t="shared" si="5"/>
        <v>-405224</v>
      </c>
      <c r="N31" s="11">
        <f t="shared" si="5"/>
        <v>5476</v>
      </c>
      <c r="O31" s="11">
        <f t="shared" si="5"/>
        <v>-74</v>
      </c>
      <c r="P31" s="11">
        <f t="shared" si="7"/>
        <v>0</v>
      </c>
    </row>
    <row r="32" spans="1:16" x14ac:dyDescent="0.25">
      <c r="A32" s="11">
        <f t="shared" si="6"/>
        <v>-23</v>
      </c>
      <c r="B32">
        <v>-7.0857323723423704</v>
      </c>
      <c r="E32" s="11">
        <f>A32-'Mastercurve bestimmen'!$B$2</f>
        <v>-73</v>
      </c>
      <c r="F32" s="11">
        <f t="shared" si="4"/>
        <v>-7.0857323723423704</v>
      </c>
      <c r="G32" s="11"/>
      <c r="H32" s="11">
        <f t="shared" si="5"/>
        <v>806460091894081</v>
      </c>
      <c r="I32" s="11">
        <f t="shared" si="5"/>
        <v>-11047398519097</v>
      </c>
      <c r="J32" s="11">
        <f t="shared" si="5"/>
        <v>151334226289</v>
      </c>
      <c r="K32" s="11">
        <f t="shared" si="5"/>
        <v>-2073071593</v>
      </c>
      <c r="L32" s="11">
        <f t="shared" si="5"/>
        <v>28398241</v>
      </c>
      <c r="M32" s="11">
        <f t="shared" si="5"/>
        <v>-389017</v>
      </c>
      <c r="N32" s="11">
        <f t="shared" si="5"/>
        <v>5329</v>
      </c>
      <c r="O32" s="11">
        <f t="shared" si="5"/>
        <v>-73</v>
      </c>
      <c r="P32" s="11">
        <f t="shared" si="7"/>
        <v>0</v>
      </c>
    </row>
    <row r="33" spans="1:16" x14ac:dyDescent="0.25">
      <c r="A33" s="11">
        <f t="shared" si="6"/>
        <v>-22</v>
      </c>
      <c r="B33">
        <v>-7.0110052210921641</v>
      </c>
      <c r="E33" s="11">
        <f>A33-'Mastercurve bestimmen'!$B$2</f>
        <v>-72</v>
      </c>
      <c r="F33" s="11">
        <f t="shared" si="4"/>
        <v>-7.0110052210921641</v>
      </c>
      <c r="G33" s="11"/>
      <c r="H33" s="11">
        <f t="shared" si="5"/>
        <v>722204136308736</v>
      </c>
      <c r="I33" s="11">
        <f t="shared" si="5"/>
        <v>-10030613004288</v>
      </c>
      <c r="J33" s="11">
        <f t="shared" si="5"/>
        <v>139314069504</v>
      </c>
      <c r="K33" s="11">
        <f t="shared" si="5"/>
        <v>-1934917632</v>
      </c>
      <c r="L33" s="11">
        <f t="shared" si="5"/>
        <v>26873856</v>
      </c>
      <c r="M33" s="11">
        <f t="shared" si="5"/>
        <v>-373248</v>
      </c>
      <c r="N33" s="11">
        <f t="shared" si="5"/>
        <v>5184</v>
      </c>
      <c r="O33" s="11">
        <f t="shared" si="5"/>
        <v>-72</v>
      </c>
      <c r="P33" s="11">
        <f t="shared" si="7"/>
        <v>0</v>
      </c>
    </row>
    <row r="34" spans="1:16" x14ac:dyDescent="0.25">
      <c r="A34" s="11">
        <f t="shared" si="6"/>
        <v>-21</v>
      </c>
      <c r="B34">
        <v>-6.9345281553798852</v>
      </c>
      <c r="E34" s="11">
        <f>A34-'Mastercurve bestimmen'!$B$2</f>
        <v>-71</v>
      </c>
      <c r="F34" s="11">
        <f t="shared" si="4"/>
        <v>-6.9345281553798852</v>
      </c>
      <c r="G34" s="11"/>
      <c r="H34" s="11">
        <f t="shared" si="5"/>
        <v>645753531245761</v>
      </c>
      <c r="I34" s="11">
        <f t="shared" si="5"/>
        <v>-9095120158391</v>
      </c>
      <c r="J34" s="11">
        <f t="shared" si="5"/>
        <v>128100283921</v>
      </c>
      <c r="K34" s="11">
        <f t="shared" si="5"/>
        <v>-1804229351</v>
      </c>
      <c r="L34" s="11">
        <f t="shared" si="5"/>
        <v>25411681</v>
      </c>
      <c r="M34" s="11">
        <f t="shared" si="5"/>
        <v>-357911</v>
      </c>
      <c r="N34" s="11">
        <f t="shared" si="5"/>
        <v>5041</v>
      </c>
      <c r="O34" s="11">
        <f t="shared" si="5"/>
        <v>-71</v>
      </c>
      <c r="P34" s="11">
        <f t="shared" si="7"/>
        <v>0</v>
      </c>
    </row>
    <row r="35" spans="1:16" x14ac:dyDescent="0.25">
      <c r="A35" s="11">
        <f t="shared" si="6"/>
        <v>-20</v>
      </c>
      <c r="B35">
        <v>-6.8562039577354206</v>
      </c>
      <c r="E35" s="11">
        <f>A35-'Mastercurve bestimmen'!$B$2</f>
        <v>-70</v>
      </c>
      <c r="F35" s="11">
        <f t="shared" si="4"/>
        <v>-6.8562039577354206</v>
      </c>
      <c r="G35" s="11"/>
      <c r="H35" s="11">
        <f t="shared" si="5"/>
        <v>576480100000000</v>
      </c>
      <c r="I35" s="11">
        <f t="shared" si="5"/>
        <v>-8235430000000</v>
      </c>
      <c r="J35" s="11">
        <f t="shared" si="5"/>
        <v>117649000000</v>
      </c>
      <c r="K35" s="11">
        <f t="shared" si="5"/>
        <v>-1680700000</v>
      </c>
      <c r="L35" s="11">
        <f t="shared" si="5"/>
        <v>24010000</v>
      </c>
      <c r="M35" s="11">
        <f t="shared" si="5"/>
        <v>-343000</v>
      </c>
      <c r="N35" s="11">
        <f t="shared" si="5"/>
        <v>4900</v>
      </c>
      <c r="O35" s="11">
        <f t="shared" si="5"/>
        <v>-70</v>
      </c>
      <c r="P35" s="11">
        <f t="shared" si="7"/>
        <v>0</v>
      </c>
    </row>
    <row r="36" spans="1:16" x14ac:dyDescent="0.25">
      <c r="A36" s="11">
        <f t="shared" si="6"/>
        <v>-19</v>
      </c>
      <c r="B36">
        <v>-6.7759354106886533</v>
      </c>
      <c r="E36" s="11">
        <f>A36-'Mastercurve bestimmen'!$B$2</f>
        <v>-69</v>
      </c>
      <c r="F36" s="11">
        <f t="shared" si="4"/>
        <v>-6.7759354106886533</v>
      </c>
      <c r="G36" s="11"/>
      <c r="H36" s="11">
        <f t="shared" si="5"/>
        <v>513798374428641</v>
      </c>
      <c r="I36" s="11">
        <f t="shared" si="5"/>
        <v>-7446353252589</v>
      </c>
      <c r="J36" s="11">
        <f t="shared" si="5"/>
        <v>107918163081</v>
      </c>
      <c r="K36" s="11">
        <f t="shared" si="5"/>
        <v>-1564031349</v>
      </c>
      <c r="L36" s="11">
        <f t="shared" si="5"/>
        <v>22667121</v>
      </c>
      <c r="M36" s="11">
        <f t="shared" si="5"/>
        <v>-328509</v>
      </c>
      <c r="N36" s="11">
        <f t="shared" si="5"/>
        <v>4761</v>
      </c>
      <c r="O36" s="11">
        <f t="shared" si="5"/>
        <v>-69</v>
      </c>
      <c r="P36" s="11">
        <f t="shared" si="7"/>
        <v>0</v>
      </c>
    </row>
    <row r="37" spans="1:16" x14ac:dyDescent="0.25">
      <c r="A37" s="11">
        <f t="shared" si="6"/>
        <v>-18</v>
      </c>
      <c r="B37">
        <v>-6.693625296769472</v>
      </c>
      <c r="E37" s="11">
        <f>A37-'Mastercurve bestimmen'!$B$2</f>
        <v>-68</v>
      </c>
      <c r="F37" s="11">
        <f t="shared" si="4"/>
        <v>-6.693625296769472</v>
      </c>
      <c r="G37" s="11"/>
      <c r="H37" s="11">
        <f t="shared" si="5"/>
        <v>457163239653376</v>
      </c>
      <c r="I37" s="11">
        <f t="shared" si="5"/>
        <v>-6722988818432</v>
      </c>
      <c r="J37" s="11">
        <f t="shared" si="5"/>
        <v>98867482624</v>
      </c>
      <c r="K37" s="11">
        <f t="shared" si="5"/>
        <v>-1453933568</v>
      </c>
      <c r="L37" s="11">
        <f t="shared" si="5"/>
        <v>21381376</v>
      </c>
      <c r="M37" s="11">
        <f t="shared" si="5"/>
        <v>-314432</v>
      </c>
      <c r="N37" s="11">
        <f t="shared" si="5"/>
        <v>4624</v>
      </c>
      <c r="O37" s="11">
        <f t="shared" si="5"/>
        <v>-68</v>
      </c>
      <c r="P37" s="11">
        <f t="shared" si="7"/>
        <v>0</v>
      </c>
    </row>
    <row r="38" spans="1:16" x14ac:dyDescent="0.25">
      <c r="A38" s="11">
        <f t="shared" si="6"/>
        <v>-17</v>
      </c>
      <c r="B38">
        <v>-6.6091763985077581</v>
      </c>
      <c r="E38" s="11">
        <f>A38-'Mastercurve bestimmen'!$B$2</f>
        <v>-67</v>
      </c>
      <c r="F38" s="11">
        <f t="shared" si="4"/>
        <v>-6.6091763985077581</v>
      </c>
      <c r="G38" s="11"/>
      <c r="H38" s="11">
        <f t="shared" si="5"/>
        <v>406067677556641</v>
      </c>
      <c r="I38" s="11">
        <f t="shared" si="5"/>
        <v>-6060711605323</v>
      </c>
      <c r="J38" s="11">
        <f t="shared" si="5"/>
        <v>90458382169</v>
      </c>
      <c r="K38" s="11">
        <f t="shared" si="5"/>
        <v>-1350125107</v>
      </c>
      <c r="L38" s="11">
        <f t="shared" si="5"/>
        <v>20151121</v>
      </c>
      <c r="M38" s="11">
        <f t="shared" si="5"/>
        <v>-300763</v>
      </c>
      <c r="N38" s="11">
        <f t="shared" si="5"/>
        <v>4489</v>
      </c>
      <c r="O38" s="11">
        <f t="shared" si="5"/>
        <v>-67</v>
      </c>
      <c r="P38" s="11">
        <f t="shared" si="7"/>
        <v>0</v>
      </c>
    </row>
    <row r="39" spans="1:16" x14ac:dyDescent="0.25">
      <c r="A39" s="11">
        <f t="shared" si="6"/>
        <v>-16</v>
      </c>
      <c r="B39">
        <v>-6.5224914984333981</v>
      </c>
      <c r="E39" s="11">
        <f>A39-'Mastercurve bestimmen'!$B$2</f>
        <v>-66</v>
      </c>
      <c r="F39" s="11">
        <f t="shared" si="4"/>
        <v>-6.5224914984333981</v>
      </c>
      <c r="G39" s="11"/>
      <c r="H39" s="11">
        <f t="shared" si="5"/>
        <v>360040606269696</v>
      </c>
      <c r="I39" s="11">
        <f t="shared" si="5"/>
        <v>-5455160701056</v>
      </c>
      <c r="J39" s="11">
        <f t="shared" si="5"/>
        <v>82653950016</v>
      </c>
      <c r="K39" s="11">
        <f t="shared" si="5"/>
        <v>-1252332576</v>
      </c>
      <c r="L39" s="11">
        <f t="shared" si="5"/>
        <v>18974736</v>
      </c>
      <c r="M39" s="11">
        <f t="shared" si="5"/>
        <v>-287496</v>
      </c>
      <c r="N39" s="11">
        <f t="shared" si="5"/>
        <v>4356</v>
      </c>
      <c r="O39" s="11">
        <f t="shared" si="5"/>
        <v>-66</v>
      </c>
      <c r="P39" s="11">
        <f t="shared" si="7"/>
        <v>0</v>
      </c>
    </row>
    <row r="40" spans="1:16" x14ac:dyDescent="0.25">
      <c r="A40" s="11">
        <f t="shared" si="6"/>
        <v>-15</v>
      </c>
      <c r="B40">
        <v>-6.4334733790762764</v>
      </c>
      <c r="E40" s="11">
        <f>A40-'Mastercurve bestimmen'!$B$2</f>
        <v>-65</v>
      </c>
      <c r="F40" s="11">
        <f t="shared" si="4"/>
        <v>-6.4334733790762764</v>
      </c>
      <c r="G40" s="11"/>
      <c r="H40" s="11">
        <f t="shared" si="5"/>
        <v>318644812890625</v>
      </c>
      <c r="I40" s="11">
        <f t="shared" si="5"/>
        <v>-4902227890625</v>
      </c>
      <c r="J40" s="11">
        <f t="shared" si="5"/>
        <v>75418890625</v>
      </c>
      <c r="K40" s="11">
        <f t="shared" si="5"/>
        <v>-1160290625</v>
      </c>
      <c r="L40" s="11">
        <f t="shared" si="5"/>
        <v>17850625</v>
      </c>
      <c r="M40" s="11">
        <f t="shared" si="5"/>
        <v>-274625</v>
      </c>
      <c r="N40" s="11">
        <f t="shared" si="5"/>
        <v>4225</v>
      </c>
      <c r="O40" s="11">
        <f t="shared" si="5"/>
        <v>-65</v>
      </c>
      <c r="P40" s="11">
        <f t="shared" si="7"/>
        <v>0</v>
      </c>
    </row>
    <row r="41" spans="1:16" x14ac:dyDescent="0.25">
      <c r="A41" s="11">
        <f t="shared" si="6"/>
        <v>-14</v>
      </c>
      <c r="B41">
        <v>-6.3420248229662786</v>
      </c>
      <c r="E41" s="11">
        <f>A41-'Mastercurve bestimmen'!$B$2</f>
        <v>-64</v>
      </c>
      <c r="F41" s="11">
        <f t="shared" si="4"/>
        <v>-6.3420248229662786</v>
      </c>
      <c r="G41" s="11"/>
      <c r="H41" s="11">
        <f t="shared" si="5"/>
        <v>281474976710656</v>
      </c>
      <c r="I41" s="11">
        <f t="shared" si="5"/>
        <v>-4398046511104</v>
      </c>
      <c r="J41" s="11">
        <f t="shared" si="5"/>
        <v>68719476736</v>
      </c>
      <c r="K41" s="11">
        <f t="shared" si="5"/>
        <v>-1073741824</v>
      </c>
      <c r="L41" s="11">
        <f t="shared" si="5"/>
        <v>16777216</v>
      </c>
      <c r="M41" s="11">
        <f t="shared" si="5"/>
        <v>-262144</v>
      </c>
      <c r="N41" s="11">
        <f t="shared" si="5"/>
        <v>4096</v>
      </c>
      <c r="O41" s="11">
        <f t="shared" si="5"/>
        <v>-64</v>
      </c>
      <c r="P41" s="11">
        <f t="shared" si="7"/>
        <v>0</v>
      </c>
    </row>
    <row r="42" spans="1:16" x14ac:dyDescent="0.25">
      <c r="A42" s="11">
        <f t="shared" si="6"/>
        <v>-13</v>
      </c>
      <c r="B42">
        <v>-6.2480486126332888</v>
      </c>
      <c r="E42" s="11">
        <f>A42-'Mastercurve bestimmen'!$B$2</f>
        <v>-63</v>
      </c>
      <c r="F42" s="11">
        <f t="shared" si="4"/>
        <v>-6.2480486126332888</v>
      </c>
      <c r="G42" s="11"/>
      <c r="H42" s="11">
        <f t="shared" si="5"/>
        <v>248155780267521</v>
      </c>
      <c r="I42" s="11">
        <f t="shared" si="5"/>
        <v>-3938980639167</v>
      </c>
      <c r="J42" s="11">
        <f t="shared" si="5"/>
        <v>62523502209</v>
      </c>
      <c r="K42" s="11">
        <f t="shared" si="5"/>
        <v>-992436543</v>
      </c>
      <c r="L42" s="11">
        <f t="shared" si="5"/>
        <v>15752961</v>
      </c>
      <c r="M42" s="11">
        <f t="shared" si="5"/>
        <v>-250047</v>
      </c>
      <c r="N42" s="11">
        <f t="shared" si="5"/>
        <v>3969</v>
      </c>
      <c r="O42" s="11">
        <f t="shared" si="5"/>
        <v>-63</v>
      </c>
      <c r="P42" s="11">
        <f t="shared" si="7"/>
        <v>0</v>
      </c>
    </row>
    <row r="43" spans="1:16" x14ac:dyDescent="0.25">
      <c r="A43" s="11">
        <f t="shared" si="6"/>
        <v>-12</v>
      </c>
      <c r="B43">
        <v>-6.1514475306071921</v>
      </c>
      <c r="E43" s="11">
        <f>A43-'Mastercurve bestimmen'!$B$2</f>
        <v>-62</v>
      </c>
      <c r="F43" s="11">
        <f t="shared" si="4"/>
        <v>-6.1514475306071921</v>
      </c>
      <c r="G43" s="11"/>
      <c r="H43" s="11">
        <f t="shared" si="5"/>
        <v>218340105584896</v>
      </c>
      <c r="I43" s="11">
        <f t="shared" si="5"/>
        <v>-3521614606208</v>
      </c>
      <c r="J43" s="11">
        <f t="shared" si="5"/>
        <v>56800235584</v>
      </c>
      <c r="K43" s="11">
        <f t="shared" si="5"/>
        <v>-916132832</v>
      </c>
      <c r="L43" s="11">
        <f t="shared" si="5"/>
        <v>14776336</v>
      </c>
      <c r="M43" s="11">
        <f t="shared" si="5"/>
        <v>-238328</v>
      </c>
      <c r="N43" s="11">
        <f t="shared" si="5"/>
        <v>3844</v>
      </c>
      <c r="O43" s="11">
        <f t="shared" si="5"/>
        <v>-62</v>
      </c>
      <c r="P43" s="11">
        <f t="shared" si="7"/>
        <v>0</v>
      </c>
    </row>
    <row r="44" spans="1:16" x14ac:dyDescent="0.25">
      <c r="A44" s="11">
        <f t="shared" si="6"/>
        <v>-11</v>
      </c>
      <c r="B44">
        <v>-6.0521243594178742</v>
      </c>
      <c r="E44" s="11">
        <f>A44-'Mastercurve bestimmen'!$B$2</f>
        <v>-61</v>
      </c>
      <c r="F44" s="11">
        <f t="shared" si="4"/>
        <v>-6.0521243594178742</v>
      </c>
      <c r="G44" s="11"/>
      <c r="H44" s="11">
        <f t="shared" si="5"/>
        <v>191707312997281</v>
      </c>
      <c r="I44" s="11">
        <f t="shared" si="5"/>
        <v>-3142742836021</v>
      </c>
      <c r="J44" s="11">
        <f t="shared" si="5"/>
        <v>51520374361</v>
      </c>
      <c r="K44" s="11">
        <f t="shared" si="5"/>
        <v>-844596301</v>
      </c>
      <c r="L44" s="11">
        <f t="shared" si="5"/>
        <v>13845841</v>
      </c>
      <c r="M44" s="11">
        <f t="shared" si="5"/>
        <v>-226981</v>
      </c>
      <c r="N44" s="11">
        <f t="shared" si="5"/>
        <v>3721</v>
      </c>
      <c r="O44" s="11">
        <f t="shared" si="5"/>
        <v>-61</v>
      </c>
      <c r="P44" s="11">
        <f t="shared" si="7"/>
        <v>0</v>
      </c>
    </row>
    <row r="45" spans="1:16" x14ac:dyDescent="0.25">
      <c r="A45" s="11">
        <f t="shared" si="6"/>
        <v>-10</v>
      </c>
      <c r="B45">
        <v>-5.9499818815952192</v>
      </c>
      <c r="E45" s="11">
        <f>A45-'Mastercurve bestimmen'!$B$2</f>
        <v>-60</v>
      </c>
      <c r="F45" s="11">
        <f t="shared" si="4"/>
        <v>-5.9499818815952192</v>
      </c>
      <c r="G45" s="11"/>
      <c r="H45" s="11">
        <f t="shared" si="5"/>
        <v>167961600000000</v>
      </c>
      <c r="I45" s="11">
        <f t="shared" si="5"/>
        <v>-2799360000000</v>
      </c>
      <c r="J45" s="11">
        <f t="shared" si="5"/>
        <v>46656000000</v>
      </c>
      <c r="K45" s="11">
        <f t="shared" si="5"/>
        <v>-777600000</v>
      </c>
      <c r="L45" s="11">
        <f t="shared" si="5"/>
        <v>12960000</v>
      </c>
      <c r="M45" s="11">
        <f t="shared" si="5"/>
        <v>-216000</v>
      </c>
      <c r="N45" s="11">
        <f t="shared" si="5"/>
        <v>3600</v>
      </c>
      <c r="O45" s="11">
        <f t="shared" si="5"/>
        <v>-60</v>
      </c>
      <c r="P45" s="11">
        <f t="shared" si="7"/>
        <v>0</v>
      </c>
    </row>
    <row r="46" spans="1:16" x14ac:dyDescent="0.25">
      <c r="A46" s="11">
        <f t="shared" si="6"/>
        <v>-9</v>
      </c>
      <c r="B46">
        <v>-5.8449228796691113</v>
      </c>
      <c r="E46" s="11">
        <f>A46-'Mastercurve bestimmen'!$B$2</f>
        <v>-59</v>
      </c>
      <c r="F46" s="11">
        <f t="shared" si="4"/>
        <v>-5.8449228796691113</v>
      </c>
      <c r="G46" s="11"/>
      <c r="H46" s="11">
        <f t="shared" si="5"/>
        <v>146830437604321</v>
      </c>
      <c r="I46" s="11">
        <f t="shared" si="5"/>
        <v>-2488651484819</v>
      </c>
      <c r="J46" s="11">
        <f t="shared" si="5"/>
        <v>42180533641</v>
      </c>
      <c r="K46" s="11">
        <f t="shared" si="5"/>
        <v>-714924299</v>
      </c>
      <c r="L46" s="11">
        <f t="shared" si="5"/>
        <v>12117361</v>
      </c>
      <c r="M46" s="11">
        <f t="shared" si="5"/>
        <v>-205379</v>
      </c>
      <c r="N46" s="11">
        <f t="shared" si="5"/>
        <v>3481</v>
      </c>
      <c r="O46" s="11">
        <f t="shared" si="5"/>
        <v>-59</v>
      </c>
      <c r="P46" s="11">
        <f t="shared" si="7"/>
        <v>0</v>
      </c>
    </row>
    <row r="47" spans="1:16" x14ac:dyDescent="0.25">
      <c r="A47" s="11">
        <f t="shared" si="6"/>
        <v>-8</v>
      </c>
      <c r="B47">
        <v>-5.7368501361694388</v>
      </c>
      <c r="E47" s="11">
        <f>A47-'Mastercurve bestimmen'!$B$2</f>
        <v>-58</v>
      </c>
      <c r="F47" s="11">
        <f t="shared" si="4"/>
        <v>-5.7368501361694388</v>
      </c>
      <c r="G47" s="11"/>
      <c r="H47" s="11">
        <f t="shared" si="5"/>
        <v>128063081718016</v>
      </c>
      <c r="I47" s="11">
        <f t="shared" si="5"/>
        <v>-2207984167552</v>
      </c>
      <c r="J47" s="11">
        <f t="shared" si="5"/>
        <v>38068692544</v>
      </c>
      <c r="K47" s="11">
        <f t="shared" si="5"/>
        <v>-656356768</v>
      </c>
      <c r="L47" s="11">
        <f t="shared" si="5"/>
        <v>11316496</v>
      </c>
      <c r="M47" s="11">
        <f t="shared" si="5"/>
        <v>-195112</v>
      </c>
      <c r="N47" s="11">
        <f t="shared" si="5"/>
        <v>3364</v>
      </c>
      <c r="O47" s="11">
        <f t="shared" si="5"/>
        <v>-58</v>
      </c>
      <c r="P47" s="11">
        <f t="shared" si="7"/>
        <v>0</v>
      </c>
    </row>
    <row r="48" spans="1:16" x14ac:dyDescent="0.25">
      <c r="A48" s="11">
        <f t="shared" si="6"/>
        <v>-7</v>
      </c>
      <c r="B48">
        <v>-5.6256664336260833</v>
      </c>
      <c r="E48" s="11">
        <f>A48-'Mastercurve bestimmen'!$B$2</f>
        <v>-57</v>
      </c>
      <c r="F48" s="11">
        <f t="shared" si="4"/>
        <v>-5.6256664336260833</v>
      </c>
      <c r="G48" s="11"/>
      <c r="H48" s="11">
        <f t="shared" ref="H48:O79" si="8">IF($H$12&gt;=H$14,$E48^H$14,0)</f>
        <v>111429157112001</v>
      </c>
      <c r="I48" s="11">
        <f t="shared" si="8"/>
        <v>-1954897493193</v>
      </c>
      <c r="J48" s="11">
        <f t="shared" si="8"/>
        <v>34296447249</v>
      </c>
      <c r="K48" s="11">
        <f t="shared" si="8"/>
        <v>-601692057</v>
      </c>
      <c r="L48" s="11">
        <f t="shared" si="8"/>
        <v>10556001</v>
      </c>
      <c r="M48" s="11">
        <f t="shared" si="8"/>
        <v>-185193</v>
      </c>
      <c r="N48" s="11">
        <f t="shared" si="8"/>
        <v>3249</v>
      </c>
      <c r="O48" s="11">
        <f t="shared" si="8"/>
        <v>-57</v>
      </c>
      <c r="P48" s="11">
        <f t="shared" si="7"/>
        <v>0</v>
      </c>
    </row>
    <row r="49" spans="1:16" x14ac:dyDescent="0.25">
      <c r="A49" s="11">
        <f t="shared" si="6"/>
        <v>-6</v>
      </c>
      <c r="B49">
        <v>-5.5112745545689297</v>
      </c>
      <c r="E49" s="11">
        <f>A49-'Mastercurve bestimmen'!$B$2</f>
        <v>-56</v>
      </c>
      <c r="F49" s="11">
        <f t="shared" si="4"/>
        <v>-5.5112745545689297</v>
      </c>
      <c r="G49" s="11"/>
      <c r="H49" s="11">
        <f t="shared" si="8"/>
        <v>96717311574016</v>
      </c>
      <c r="I49" s="11">
        <f t="shared" si="8"/>
        <v>-1727094849536</v>
      </c>
      <c r="J49" s="11">
        <f t="shared" si="8"/>
        <v>30840979456</v>
      </c>
      <c r="K49" s="11">
        <f t="shared" si="8"/>
        <v>-550731776</v>
      </c>
      <c r="L49" s="11">
        <f t="shared" si="8"/>
        <v>9834496</v>
      </c>
      <c r="M49" s="11">
        <f t="shared" si="8"/>
        <v>-175616</v>
      </c>
      <c r="N49" s="11">
        <f t="shared" si="8"/>
        <v>3136</v>
      </c>
      <c r="O49" s="11">
        <f t="shared" si="8"/>
        <v>-56</v>
      </c>
      <c r="P49" s="11">
        <f t="shared" si="7"/>
        <v>0</v>
      </c>
    </row>
    <row r="50" spans="1:16" x14ac:dyDescent="0.25">
      <c r="A50" s="11">
        <f t="shared" si="6"/>
        <v>-5</v>
      </c>
      <c r="B50">
        <v>-5.3935772815278646</v>
      </c>
      <c r="E50" s="11">
        <f>A50-'Mastercurve bestimmen'!$B$2</f>
        <v>-55</v>
      </c>
      <c r="F50" s="11">
        <f t="shared" si="4"/>
        <v>-5.3935772815278646</v>
      </c>
      <c r="G50" s="11"/>
      <c r="H50" s="11">
        <f t="shared" si="8"/>
        <v>83733937890625</v>
      </c>
      <c r="I50" s="11">
        <f t="shared" si="8"/>
        <v>-1522435234375</v>
      </c>
      <c r="J50" s="11">
        <f t="shared" si="8"/>
        <v>27680640625</v>
      </c>
      <c r="K50" s="11">
        <f t="shared" si="8"/>
        <v>-503284375</v>
      </c>
      <c r="L50" s="11">
        <f t="shared" si="8"/>
        <v>9150625</v>
      </c>
      <c r="M50" s="11">
        <f t="shared" si="8"/>
        <v>-166375</v>
      </c>
      <c r="N50" s="11">
        <f t="shared" si="8"/>
        <v>3025</v>
      </c>
      <c r="O50" s="11">
        <f t="shared" si="8"/>
        <v>-55</v>
      </c>
      <c r="P50" s="11">
        <f t="shared" si="7"/>
        <v>0</v>
      </c>
    </row>
    <row r="51" spans="1:16" x14ac:dyDescent="0.25">
      <c r="A51" s="11">
        <f t="shared" si="6"/>
        <v>-4</v>
      </c>
      <c r="B51">
        <v>-5.2724773970327732</v>
      </c>
      <c r="E51" s="11">
        <f>A51-'Mastercurve bestimmen'!$B$2</f>
        <v>-54</v>
      </c>
      <c r="F51" s="11">
        <f t="shared" si="4"/>
        <v>-5.2724773970327732</v>
      </c>
      <c r="G51" s="11"/>
      <c r="H51" s="11">
        <f t="shared" si="8"/>
        <v>72301961339136</v>
      </c>
      <c r="I51" s="11">
        <f t="shared" si="8"/>
        <v>-1338925209984</v>
      </c>
      <c r="J51" s="11">
        <f t="shared" si="8"/>
        <v>24794911296</v>
      </c>
      <c r="K51" s="11">
        <f t="shared" si="8"/>
        <v>-459165024</v>
      </c>
      <c r="L51" s="11">
        <f t="shared" si="8"/>
        <v>8503056</v>
      </c>
      <c r="M51" s="11">
        <f t="shared" si="8"/>
        <v>-157464</v>
      </c>
      <c r="N51" s="11">
        <f t="shared" si="8"/>
        <v>2916</v>
      </c>
      <c r="O51" s="11">
        <f t="shared" si="8"/>
        <v>-54</v>
      </c>
      <c r="P51" s="11">
        <f t="shared" si="7"/>
        <v>0</v>
      </c>
    </row>
    <row r="52" spans="1:16" x14ac:dyDescent="0.25">
      <c r="A52" s="11">
        <f t="shared" si="6"/>
        <v>-3</v>
      </c>
      <c r="B52">
        <v>-5.1478776836135376</v>
      </c>
      <c r="E52" s="11">
        <f>A52-'Mastercurve bestimmen'!$B$2</f>
        <v>-53</v>
      </c>
      <c r="F52" s="11">
        <f t="shared" si="4"/>
        <v>-5.1478776836135376</v>
      </c>
      <c r="G52" s="11"/>
      <c r="H52" s="11">
        <f t="shared" si="8"/>
        <v>62259690411361</v>
      </c>
      <c r="I52" s="11">
        <f t="shared" si="8"/>
        <v>-1174711139837</v>
      </c>
      <c r="J52" s="11">
        <f t="shared" si="8"/>
        <v>22164361129</v>
      </c>
      <c r="K52" s="11">
        <f t="shared" si="8"/>
        <v>-418195493</v>
      </c>
      <c r="L52" s="11">
        <f t="shared" si="8"/>
        <v>7890481</v>
      </c>
      <c r="M52" s="11">
        <f t="shared" si="8"/>
        <v>-148877</v>
      </c>
      <c r="N52" s="11">
        <f t="shared" si="8"/>
        <v>2809</v>
      </c>
      <c r="O52" s="11">
        <f t="shared" si="8"/>
        <v>-53</v>
      </c>
      <c r="P52" s="11">
        <f t="shared" si="7"/>
        <v>0</v>
      </c>
    </row>
    <row r="53" spans="1:16" x14ac:dyDescent="0.25">
      <c r="A53" s="11">
        <f t="shared" si="6"/>
        <v>-2</v>
      </c>
      <c r="B53">
        <v>-5.0196809238000464</v>
      </c>
      <c r="E53" s="11">
        <f>A53-'Mastercurve bestimmen'!$B$2</f>
        <v>-52</v>
      </c>
      <c r="F53" s="11">
        <f t="shared" si="4"/>
        <v>-5.0196809238000464</v>
      </c>
      <c r="G53" s="11"/>
      <c r="H53" s="11">
        <f t="shared" si="8"/>
        <v>53459728531456</v>
      </c>
      <c r="I53" s="11">
        <f t="shared" si="8"/>
        <v>-1028071702528</v>
      </c>
      <c r="J53" s="11">
        <f t="shared" si="8"/>
        <v>19770609664</v>
      </c>
      <c r="K53" s="11">
        <f t="shared" si="8"/>
        <v>-380204032</v>
      </c>
      <c r="L53" s="11">
        <f t="shared" si="8"/>
        <v>7311616</v>
      </c>
      <c r="M53" s="11">
        <f t="shared" si="8"/>
        <v>-140608</v>
      </c>
      <c r="N53" s="11">
        <f t="shared" si="8"/>
        <v>2704</v>
      </c>
      <c r="O53" s="11">
        <f t="shared" si="8"/>
        <v>-52</v>
      </c>
      <c r="P53" s="11">
        <f t="shared" si="7"/>
        <v>0</v>
      </c>
    </row>
    <row r="54" spans="1:16" x14ac:dyDescent="0.25">
      <c r="A54" s="11">
        <f t="shared" si="6"/>
        <v>-1</v>
      </c>
      <c r="B54">
        <v>-4.8877899001221827</v>
      </c>
      <c r="E54" s="11">
        <f>A54-'Mastercurve bestimmen'!$B$2</f>
        <v>-51</v>
      </c>
      <c r="F54" s="11">
        <f t="shared" si="4"/>
        <v>-4.8877899001221827</v>
      </c>
      <c r="G54" s="11"/>
      <c r="H54" s="11">
        <f t="shared" si="8"/>
        <v>45767944570401</v>
      </c>
      <c r="I54" s="11">
        <f t="shared" si="8"/>
        <v>-897410677851</v>
      </c>
      <c r="J54" s="11">
        <f t="shared" si="8"/>
        <v>17596287801</v>
      </c>
      <c r="K54" s="11">
        <f t="shared" si="8"/>
        <v>-345025251</v>
      </c>
      <c r="L54" s="11">
        <f t="shared" si="8"/>
        <v>6765201</v>
      </c>
      <c r="M54" s="11">
        <f t="shared" si="8"/>
        <v>-132651</v>
      </c>
      <c r="N54" s="11">
        <f t="shared" si="8"/>
        <v>2601</v>
      </c>
      <c r="O54" s="11">
        <f t="shared" si="8"/>
        <v>-51</v>
      </c>
      <c r="P54" s="11">
        <f t="shared" si="7"/>
        <v>0</v>
      </c>
    </row>
    <row r="55" spans="1:16" x14ac:dyDescent="0.25">
      <c r="A55" s="11">
        <f t="shared" si="6"/>
        <v>0</v>
      </c>
      <c r="B55">
        <v>-4.7521073951098316</v>
      </c>
      <c r="E55" s="11">
        <f>A55-'Mastercurve bestimmen'!$B$2</f>
        <v>-50</v>
      </c>
      <c r="F55" s="11">
        <f t="shared" si="4"/>
        <v>-4.7521073951098316</v>
      </c>
      <c r="G55" s="11"/>
      <c r="H55" s="11">
        <f t="shared" si="8"/>
        <v>39062500000000</v>
      </c>
      <c r="I55" s="11">
        <f t="shared" si="8"/>
        <v>-781250000000</v>
      </c>
      <c r="J55" s="11">
        <f t="shared" si="8"/>
        <v>15625000000</v>
      </c>
      <c r="K55" s="11">
        <f t="shared" si="8"/>
        <v>-312500000</v>
      </c>
      <c r="L55" s="11">
        <f t="shared" si="8"/>
        <v>6250000</v>
      </c>
      <c r="M55" s="11">
        <f t="shared" si="8"/>
        <v>-125000</v>
      </c>
      <c r="N55" s="11">
        <f t="shared" si="8"/>
        <v>2500</v>
      </c>
      <c r="O55" s="11">
        <f t="shared" si="8"/>
        <v>-50</v>
      </c>
      <c r="P55" s="11">
        <f t="shared" si="7"/>
        <v>0</v>
      </c>
    </row>
    <row r="56" spans="1:16" x14ac:dyDescent="0.25">
      <c r="A56" s="11">
        <f t="shared" si="6"/>
        <v>1</v>
      </c>
      <c r="B56">
        <v>-4.672800011210156</v>
      </c>
      <c r="E56" s="11">
        <f>A56-'Mastercurve bestimmen'!$B$2</f>
        <v>-49</v>
      </c>
      <c r="F56" s="11">
        <f t="shared" si="4"/>
        <v>-4.672800011210156</v>
      </c>
      <c r="G56" s="11"/>
      <c r="H56" s="11">
        <f t="shared" si="8"/>
        <v>33232930569601</v>
      </c>
      <c r="I56" s="11">
        <f t="shared" si="8"/>
        <v>-678223072849</v>
      </c>
      <c r="J56" s="11">
        <f t="shared" si="8"/>
        <v>13841287201</v>
      </c>
      <c r="K56" s="11">
        <f t="shared" si="8"/>
        <v>-282475249</v>
      </c>
      <c r="L56" s="11">
        <f t="shared" si="8"/>
        <v>5764801</v>
      </c>
      <c r="M56" s="11">
        <f t="shared" si="8"/>
        <v>-117649</v>
      </c>
      <c r="N56" s="11">
        <f t="shared" si="8"/>
        <v>2401</v>
      </c>
      <c r="O56" s="11">
        <f t="shared" si="8"/>
        <v>-49</v>
      </c>
      <c r="P56" s="11">
        <f t="shared" si="7"/>
        <v>0</v>
      </c>
    </row>
    <row r="57" spans="1:16" x14ac:dyDescent="0.25">
      <c r="A57" s="11">
        <f t="shared" si="6"/>
        <v>2</v>
      </c>
      <c r="B57">
        <v>-4.589835428207147</v>
      </c>
      <c r="E57" s="11">
        <f>A57-'Mastercurve bestimmen'!$B$2</f>
        <v>-48</v>
      </c>
      <c r="F57" s="11">
        <f t="shared" si="4"/>
        <v>-4.589835428207147</v>
      </c>
      <c r="G57" s="11"/>
      <c r="H57" s="11">
        <f t="shared" si="8"/>
        <v>28179280429056</v>
      </c>
      <c r="I57" s="11">
        <f t="shared" si="8"/>
        <v>-587068342272</v>
      </c>
      <c r="J57" s="11">
        <f t="shared" si="8"/>
        <v>12230590464</v>
      </c>
      <c r="K57" s="11">
        <f t="shared" si="8"/>
        <v>-254803968</v>
      </c>
      <c r="L57" s="11">
        <f t="shared" si="8"/>
        <v>5308416</v>
      </c>
      <c r="M57" s="11">
        <f t="shared" si="8"/>
        <v>-110592</v>
      </c>
      <c r="N57" s="11">
        <f t="shared" si="8"/>
        <v>2304</v>
      </c>
      <c r="O57" s="11">
        <f t="shared" si="8"/>
        <v>-48</v>
      </c>
      <c r="P57" s="11">
        <f t="shared" si="7"/>
        <v>0</v>
      </c>
    </row>
    <row r="58" spans="1:16" x14ac:dyDescent="0.25">
      <c r="A58" s="11">
        <f t="shared" si="6"/>
        <v>3</v>
      </c>
      <c r="B58">
        <v>-4.5034451458020719</v>
      </c>
      <c r="E58" s="11">
        <f>A58-'Mastercurve bestimmen'!$B$2</f>
        <v>-47</v>
      </c>
      <c r="F58" s="11">
        <f t="shared" si="4"/>
        <v>-4.5034451458020719</v>
      </c>
      <c r="G58" s="11"/>
      <c r="H58" s="11">
        <f t="shared" si="8"/>
        <v>23811286661761</v>
      </c>
      <c r="I58" s="11">
        <f t="shared" si="8"/>
        <v>-506623120463</v>
      </c>
      <c r="J58" s="11">
        <f t="shared" si="8"/>
        <v>10779215329</v>
      </c>
      <c r="K58" s="11">
        <f t="shared" si="8"/>
        <v>-229345007</v>
      </c>
      <c r="L58" s="11">
        <f t="shared" si="8"/>
        <v>4879681</v>
      </c>
      <c r="M58" s="11">
        <f t="shared" si="8"/>
        <v>-103823</v>
      </c>
      <c r="N58" s="11">
        <f t="shared" si="8"/>
        <v>2209</v>
      </c>
      <c r="O58" s="11">
        <f t="shared" si="8"/>
        <v>-47</v>
      </c>
      <c r="P58" s="11">
        <f t="shared" si="7"/>
        <v>0</v>
      </c>
    </row>
    <row r="59" spans="1:16" x14ac:dyDescent="0.25">
      <c r="A59" s="11">
        <f t="shared" si="6"/>
        <v>4</v>
      </c>
      <c r="B59">
        <v>-4.4138606636961999</v>
      </c>
      <c r="E59" s="11">
        <f>A59-'Mastercurve bestimmen'!$B$2</f>
        <v>-46</v>
      </c>
      <c r="F59" s="11">
        <f t="shared" si="4"/>
        <v>-4.4138606636961999</v>
      </c>
      <c r="G59" s="11"/>
      <c r="H59" s="11">
        <f t="shared" si="8"/>
        <v>20047612231936</v>
      </c>
      <c r="I59" s="11">
        <f t="shared" si="8"/>
        <v>-435817657216</v>
      </c>
      <c r="J59" s="11">
        <f t="shared" si="8"/>
        <v>9474296896</v>
      </c>
      <c r="K59" s="11">
        <f t="shared" si="8"/>
        <v>-205962976</v>
      </c>
      <c r="L59" s="11">
        <f t="shared" si="8"/>
        <v>4477456</v>
      </c>
      <c r="M59" s="11">
        <f t="shared" si="8"/>
        <v>-97336</v>
      </c>
      <c r="N59" s="11">
        <f t="shared" si="8"/>
        <v>2116</v>
      </c>
      <c r="O59" s="11">
        <f t="shared" si="8"/>
        <v>-46</v>
      </c>
      <c r="P59" s="11">
        <f t="shared" si="7"/>
        <v>0</v>
      </c>
    </row>
    <row r="60" spans="1:16" x14ac:dyDescent="0.25">
      <c r="A60" s="11">
        <f t="shared" si="6"/>
        <v>5</v>
      </c>
      <c r="B60">
        <v>-4.3213134815907992</v>
      </c>
      <c r="E60" s="11">
        <f>A60-'Mastercurve bestimmen'!$B$2</f>
        <v>-45</v>
      </c>
      <c r="F60" s="11">
        <f t="shared" si="4"/>
        <v>-4.3213134815907992</v>
      </c>
      <c r="G60" s="11"/>
      <c r="H60" s="11">
        <f t="shared" si="8"/>
        <v>16815125390625</v>
      </c>
      <c r="I60" s="11">
        <f t="shared" si="8"/>
        <v>-373669453125</v>
      </c>
      <c r="J60" s="11">
        <f t="shared" si="8"/>
        <v>8303765625</v>
      </c>
      <c r="K60" s="11">
        <f t="shared" si="8"/>
        <v>-184528125</v>
      </c>
      <c r="L60" s="11">
        <f t="shared" si="8"/>
        <v>4100625</v>
      </c>
      <c r="M60" s="11">
        <f t="shared" si="8"/>
        <v>-91125</v>
      </c>
      <c r="N60" s="11">
        <f t="shared" si="8"/>
        <v>2025</v>
      </c>
      <c r="O60" s="11">
        <f t="shared" si="8"/>
        <v>-45</v>
      </c>
      <c r="P60" s="11">
        <f t="shared" si="7"/>
        <v>0</v>
      </c>
    </row>
    <row r="61" spans="1:16" x14ac:dyDescent="0.25">
      <c r="A61" s="11">
        <f t="shared" si="6"/>
        <v>6</v>
      </c>
      <c r="B61">
        <v>-4.2260350991871398</v>
      </c>
      <c r="E61" s="11">
        <f>A61-'Mastercurve bestimmen'!$B$2</f>
        <v>-44</v>
      </c>
      <c r="F61" s="11">
        <f t="shared" si="4"/>
        <v>-4.2260350991871398</v>
      </c>
      <c r="G61" s="11"/>
      <c r="H61" s="11">
        <f t="shared" si="8"/>
        <v>14048223625216</v>
      </c>
      <c r="I61" s="11">
        <f t="shared" si="8"/>
        <v>-319277809664</v>
      </c>
      <c r="J61" s="11">
        <f t="shared" si="8"/>
        <v>7256313856</v>
      </c>
      <c r="K61" s="11">
        <f t="shared" si="8"/>
        <v>-164916224</v>
      </c>
      <c r="L61" s="11">
        <f t="shared" si="8"/>
        <v>3748096</v>
      </c>
      <c r="M61" s="11">
        <f t="shared" si="8"/>
        <v>-85184</v>
      </c>
      <c r="N61" s="11">
        <f t="shared" si="8"/>
        <v>1936</v>
      </c>
      <c r="O61" s="11">
        <f t="shared" si="8"/>
        <v>-44</v>
      </c>
      <c r="P61" s="11">
        <f t="shared" si="7"/>
        <v>0</v>
      </c>
    </row>
    <row r="62" spans="1:16" x14ac:dyDescent="0.25">
      <c r="A62" s="11">
        <f t="shared" si="6"/>
        <v>7</v>
      </c>
      <c r="B62">
        <v>-4.1282570161864873</v>
      </c>
      <c r="E62" s="11">
        <f>A62-'Mastercurve bestimmen'!$B$2</f>
        <v>-43</v>
      </c>
      <c r="F62" s="11">
        <f t="shared" si="4"/>
        <v>-4.1282570161864873</v>
      </c>
      <c r="G62" s="11"/>
      <c r="H62" s="11">
        <f t="shared" si="8"/>
        <v>11688200277601</v>
      </c>
      <c r="I62" s="11">
        <f t="shared" si="8"/>
        <v>-271818611107</v>
      </c>
      <c r="J62" s="11">
        <f t="shared" si="8"/>
        <v>6321363049</v>
      </c>
      <c r="K62" s="11">
        <f t="shared" si="8"/>
        <v>-147008443</v>
      </c>
      <c r="L62" s="11">
        <f t="shared" si="8"/>
        <v>3418801</v>
      </c>
      <c r="M62" s="11">
        <f t="shared" si="8"/>
        <v>-79507</v>
      </c>
      <c r="N62" s="11">
        <f t="shared" si="8"/>
        <v>1849</v>
      </c>
      <c r="O62" s="11">
        <f t="shared" si="8"/>
        <v>-43</v>
      </c>
      <c r="P62" s="11">
        <f t="shared" si="7"/>
        <v>0</v>
      </c>
    </row>
    <row r="63" spans="1:16" x14ac:dyDescent="0.25">
      <c r="A63" s="11">
        <f t="shared" si="6"/>
        <v>8</v>
      </c>
      <c r="B63">
        <v>-4.0282107322901135</v>
      </c>
      <c r="E63" s="11">
        <f>A63-'Mastercurve bestimmen'!$B$2</f>
        <v>-42</v>
      </c>
      <c r="F63" s="11">
        <f t="shared" si="4"/>
        <v>-4.0282107322901135</v>
      </c>
      <c r="G63" s="11"/>
      <c r="H63" s="11">
        <f t="shared" si="8"/>
        <v>9682651996416</v>
      </c>
      <c r="I63" s="11">
        <f t="shared" si="8"/>
        <v>-230539333248</v>
      </c>
      <c r="J63" s="11">
        <f t="shared" si="8"/>
        <v>5489031744</v>
      </c>
      <c r="K63" s="11">
        <f t="shared" si="8"/>
        <v>-130691232</v>
      </c>
      <c r="L63" s="11">
        <f t="shared" si="8"/>
        <v>3111696</v>
      </c>
      <c r="M63" s="11">
        <f t="shared" si="8"/>
        <v>-74088</v>
      </c>
      <c r="N63" s="11">
        <f t="shared" si="8"/>
        <v>1764</v>
      </c>
      <c r="O63" s="11">
        <f t="shared" si="8"/>
        <v>-42</v>
      </c>
      <c r="P63" s="11">
        <f t="shared" si="7"/>
        <v>0</v>
      </c>
    </row>
    <row r="64" spans="1:16" x14ac:dyDescent="0.25">
      <c r="A64" s="11">
        <f t="shared" si="6"/>
        <v>9</v>
      </c>
      <c r="B64">
        <v>-3.9261277471992839</v>
      </c>
      <c r="E64" s="11">
        <f>A64-'Mastercurve bestimmen'!$B$2</f>
        <v>-41</v>
      </c>
      <c r="F64" s="11">
        <f t="shared" si="4"/>
        <v>-3.9261277471992839</v>
      </c>
      <c r="G64" s="11"/>
      <c r="H64" s="11">
        <f t="shared" si="8"/>
        <v>7984925229121</v>
      </c>
      <c r="I64" s="11">
        <f t="shared" si="8"/>
        <v>-194754273881</v>
      </c>
      <c r="J64" s="11">
        <f t="shared" si="8"/>
        <v>4750104241</v>
      </c>
      <c r="K64" s="11">
        <f t="shared" si="8"/>
        <v>-115856201</v>
      </c>
      <c r="L64" s="11">
        <f t="shared" si="8"/>
        <v>2825761</v>
      </c>
      <c r="M64" s="11">
        <f t="shared" si="8"/>
        <v>-68921</v>
      </c>
      <c r="N64" s="11">
        <f t="shared" si="8"/>
        <v>1681</v>
      </c>
      <c r="O64" s="11">
        <f t="shared" si="8"/>
        <v>-41</v>
      </c>
      <c r="P64" s="11">
        <f t="shared" si="7"/>
        <v>0</v>
      </c>
    </row>
    <row r="65" spans="1:16" x14ac:dyDescent="0.25">
      <c r="A65" s="11">
        <f t="shared" si="6"/>
        <v>10</v>
      </c>
      <c r="B65">
        <v>-3.8222395606152686</v>
      </c>
      <c r="E65" s="11">
        <f>A65-'Mastercurve bestimmen'!$B$2</f>
        <v>-40</v>
      </c>
      <c r="F65" s="11">
        <f t="shared" si="4"/>
        <v>-3.8222395606152686</v>
      </c>
      <c r="G65" s="11"/>
      <c r="H65" s="11">
        <f t="shared" si="8"/>
        <v>6553600000000</v>
      </c>
      <c r="I65" s="11">
        <f t="shared" si="8"/>
        <v>-163840000000</v>
      </c>
      <c r="J65" s="11">
        <f t="shared" si="8"/>
        <v>4096000000</v>
      </c>
      <c r="K65" s="11">
        <f t="shared" si="8"/>
        <v>-102400000</v>
      </c>
      <c r="L65" s="11">
        <f t="shared" si="8"/>
        <v>2560000</v>
      </c>
      <c r="M65" s="11">
        <f t="shared" si="8"/>
        <v>-64000</v>
      </c>
      <c r="N65" s="11">
        <f t="shared" si="8"/>
        <v>1600</v>
      </c>
      <c r="O65" s="11">
        <f t="shared" si="8"/>
        <v>-40</v>
      </c>
      <c r="P65" s="11">
        <f t="shared" si="7"/>
        <v>0</v>
      </c>
    </row>
    <row r="66" spans="1:16" x14ac:dyDescent="0.25">
      <c r="A66" s="11">
        <f t="shared" si="6"/>
        <v>11</v>
      </c>
      <c r="B66">
        <v>-3.7167776722393358</v>
      </c>
      <c r="E66" s="11">
        <f>A66-'Mastercurve bestimmen'!$B$2</f>
        <v>-39</v>
      </c>
      <c r="F66" s="11">
        <f t="shared" si="4"/>
        <v>-3.7167776722393358</v>
      </c>
      <c r="G66" s="11"/>
      <c r="H66" s="11">
        <f t="shared" si="8"/>
        <v>5352009260481</v>
      </c>
      <c r="I66" s="11">
        <f t="shared" si="8"/>
        <v>-137231006679</v>
      </c>
      <c r="J66" s="11">
        <f t="shared" si="8"/>
        <v>3518743761</v>
      </c>
      <c r="K66" s="11">
        <f t="shared" si="8"/>
        <v>-90224199</v>
      </c>
      <c r="L66" s="11">
        <f t="shared" si="8"/>
        <v>2313441</v>
      </c>
      <c r="M66" s="11">
        <f t="shared" si="8"/>
        <v>-59319</v>
      </c>
      <c r="N66" s="11">
        <f t="shared" si="8"/>
        <v>1521</v>
      </c>
      <c r="O66" s="11">
        <f t="shared" si="8"/>
        <v>-39</v>
      </c>
      <c r="P66" s="11">
        <f t="shared" si="7"/>
        <v>0</v>
      </c>
    </row>
    <row r="67" spans="1:16" x14ac:dyDescent="0.25">
      <c r="A67" s="11">
        <f t="shared" si="6"/>
        <v>12</v>
      </c>
      <c r="B67">
        <v>-3.6099735817727536</v>
      </c>
      <c r="E67" s="11">
        <f>A67-'Mastercurve bestimmen'!$B$2</f>
        <v>-38</v>
      </c>
      <c r="F67" s="11">
        <f t="shared" si="4"/>
        <v>-3.6099735817727536</v>
      </c>
      <c r="G67" s="11"/>
      <c r="H67" s="11">
        <f t="shared" si="8"/>
        <v>4347792138496</v>
      </c>
      <c r="I67" s="11">
        <f t="shared" si="8"/>
        <v>-114415582592</v>
      </c>
      <c r="J67" s="11">
        <f t="shared" si="8"/>
        <v>3010936384</v>
      </c>
      <c r="K67" s="11">
        <f t="shared" si="8"/>
        <v>-79235168</v>
      </c>
      <c r="L67" s="11">
        <f t="shared" si="8"/>
        <v>2085136</v>
      </c>
      <c r="M67" s="11">
        <f t="shared" si="8"/>
        <v>-54872</v>
      </c>
      <c r="N67" s="11">
        <f t="shared" si="8"/>
        <v>1444</v>
      </c>
      <c r="O67" s="11">
        <f t="shared" si="8"/>
        <v>-38</v>
      </c>
      <c r="P67" s="11">
        <f t="shared" si="7"/>
        <v>0</v>
      </c>
    </row>
    <row r="68" spans="1:16" x14ac:dyDescent="0.25">
      <c r="A68" s="11">
        <f t="shared" si="6"/>
        <v>13</v>
      </c>
      <c r="B68">
        <v>-3.5020587889167913</v>
      </c>
      <c r="E68" s="11">
        <f>A68-'Mastercurve bestimmen'!$B$2</f>
        <v>-37</v>
      </c>
      <c r="F68" s="11">
        <f t="shared" si="4"/>
        <v>-3.5020587889167913</v>
      </c>
      <c r="G68" s="11"/>
      <c r="H68" s="11">
        <f t="shared" si="8"/>
        <v>3512479453921</v>
      </c>
      <c r="I68" s="11">
        <f t="shared" si="8"/>
        <v>-94931877133</v>
      </c>
      <c r="J68" s="11">
        <f t="shared" si="8"/>
        <v>2565726409</v>
      </c>
      <c r="K68" s="11">
        <f t="shared" si="8"/>
        <v>-69343957</v>
      </c>
      <c r="L68" s="11">
        <f t="shared" si="8"/>
        <v>1874161</v>
      </c>
      <c r="M68" s="11">
        <f t="shared" si="8"/>
        <v>-50653</v>
      </c>
      <c r="N68" s="11">
        <f t="shared" si="8"/>
        <v>1369</v>
      </c>
      <c r="O68" s="11">
        <f t="shared" si="8"/>
        <v>-37</v>
      </c>
      <c r="P68" s="11">
        <f t="shared" si="7"/>
        <v>0</v>
      </c>
    </row>
    <row r="69" spans="1:16" x14ac:dyDescent="0.25">
      <c r="A69" s="11">
        <f t="shared" si="6"/>
        <v>14</v>
      </c>
      <c r="B69">
        <v>-3.3932647933727171</v>
      </c>
      <c r="E69" s="11">
        <f>A69-'Mastercurve bestimmen'!$B$2</f>
        <v>-36</v>
      </c>
      <c r="F69" s="11">
        <f t="shared" si="4"/>
        <v>-3.3932647933727171</v>
      </c>
      <c r="G69" s="11"/>
      <c r="H69" s="11">
        <f t="shared" si="8"/>
        <v>2821109907456</v>
      </c>
      <c r="I69" s="11">
        <f t="shared" si="8"/>
        <v>-78364164096</v>
      </c>
      <c r="J69" s="11">
        <f t="shared" si="8"/>
        <v>2176782336</v>
      </c>
      <c r="K69" s="11">
        <f t="shared" si="8"/>
        <v>-60466176</v>
      </c>
      <c r="L69" s="11">
        <f t="shared" si="8"/>
        <v>1679616</v>
      </c>
      <c r="M69" s="11">
        <f t="shared" si="8"/>
        <v>-46656</v>
      </c>
      <c r="N69" s="11">
        <f t="shared" si="8"/>
        <v>1296</v>
      </c>
      <c r="O69" s="11">
        <f t="shared" si="8"/>
        <v>-36</v>
      </c>
      <c r="P69" s="11">
        <f t="shared" si="7"/>
        <v>0</v>
      </c>
    </row>
    <row r="70" spans="1:16" x14ac:dyDescent="0.25">
      <c r="A70" s="11">
        <f t="shared" si="6"/>
        <v>15</v>
      </c>
      <c r="B70">
        <v>-3.2838230948417984</v>
      </c>
      <c r="E70" s="11">
        <f>A70-'Mastercurve bestimmen'!$B$2</f>
        <v>-35</v>
      </c>
      <c r="F70" s="11">
        <f t="shared" si="4"/>
        <v>-3.2838230948417984</v>
      </c>
      <c r="G70" s="11"/>
      <c r="H70" s="11">
        <f t="shared" si="8"/>
        <v>2251875390625</v>
      </c>
      <c r="I70" s="11">
        <f t="shared" si="8"/>
        <v>-64339296875</v>
      </c>
      <c r="J70" s="11">
        <f t="shared" si="8"/>
        <v>1838265625</v>
      </c>
      <c r="K70" s="11">
        <f t="shared" si="8"/>
        <v>-52521875</v>
      </c>
      <c r="L70" s="11">
        <f t="shared" si="8"/>
        <v>1500625</v>
      </c>
      <c r="M70" s="11">
        <f t="shared" si="8"/>
        <v>-42875</v>
      </c>
      <c r="N70" s="11">
        <f t="shared" si="8"/>
        <v>1225</v>
      </c>
      <c r="O70" s="11">
        <f t="shared" si="8"/>
        <v>-35</v>
      </c>
      <c r="P70" s="11">
        <f t="shared" si="7"/>
        <v>0</v>
      </c>
    </row>
    <row r="71" spans="1:16" x14ac:dyDescent="0.25">
      <c r="A71" s="11">
        <f t="shared" si="6"/>
        <v>16</v>
      </c>
      <c r="B71">
        <v>-3.1739651930253054</v>
      </c>
      <c r="E71" s="11">
        <f>A71-'Mastercurve bestimmen'!$B$2</f>
        <v>-34</v>
      </c>
      <c r="F71" s="11">
        <f t="shared" si="4"/>
        <v>-3.1739651930253054</v>
      </c>
      <c r="G71" s="11"/>
      <c r="H71" s="11">
        <f t="shared" si="8"/>
        <v>1785793904896</v>
      </c>
      <c r="I71" s="11">
        <f t="shared" si="8"/>
        <v>-52523350144</v>
      </c>
      <c r="J71" s="11">
        <f t="shared" si="8"/>
        <v>1544804416</v>
      </c>
      <c r="K71" s="11">
        <f t="shared" si="8"/>
        <v>-45435424</v>
      </c>
      <c r="L71" s="11">
        <f t="shared" si="8"/>
        <v>1336336</v>
      </c>
      <c r="M71" s="11">
        <f t="shared" si="8"/>
        <v>-39304</v>
      </c>
      <c r="N71" s="11">
        <f t="shared" si="8"/>
        <v>1156</v>
      </c>
      <c r="O71" s="11">
        <f t="shared" si="8"/>
        <v>-34</v>
      </c>
      <c r="P71" s="11">
        <f t="shared" si="7"/>
        <v>0</v>
      </c>
    </row>
    <row r="72" spans="1:16" x14ac:dyDescent="0.25">
      <c r="A72" s="11">
        <f t="shared" si="6"/>
        <v>17</v>
      </c>
      <c r="B72">
        <v>-3.0639225876245062</v>
      </c>
      <c r="E72" s="11">
        <f>A72-'Mastercurve bestimmen'!$B$2</f>
        <v>-33</v>
      </c>
      <c r="F72" s="11">
        <f t="shared" si="4"/>
        <v>-3.0639225876245062</v>
      </c>
      <c r="G72" s="11"/>
      <c r="H72" s="11">
        <f t="shared" si="8"/>
        <v>1406408618241</v>
      </c>
      <c r="I72" s="11">
        <f t="shared" si="8"/>
        <v>-42618442977</v>
      </c>
      <c r="J72" s="11">
        <f t="shared" si="8"/>
        <v>1291467969</v>
      </c>
      <c r="K72" s="11">
        <f t="shared" si="8"/>
        <v>-39135393</v>
      </c>
      <c r="L72" s="11">
        <f t="shared" si="8"/>
        <v>1185921</v>
      </c>
      <c r="M72" s="11">
        <f t="shared" si="8"/>
        <v>-35937</v>
      </c>
      <c r="N72" s="11">
        <f t="shared" si="8"/>
        <v>1089</v>
      </c>
      <c r="O72" s="11">
        <f t="shared" si="8"/>
        <v>-33</v>
      </c>
      <c r="P72" s="11">
        <f t="shared" si="7"/>
        <v>0</v>
      </c>
    </row>
    <row r="73" spans="1:16" x14ac:dyDescent="0.25">
      <c r="A73" s="11">
        <f t="shared" si="6"/>
        <v>18</v>
      </c>
      <c r="B73">
        <v>-2.9539267783406684</v>
      </c>
      <c r="E73" s="11">
        <f>A73-'Mastercurve bestimmen'!$B$2</f>
        <v>-32</v>
      </c>
      <c r="F73" s="11">
        <f t="shared" si="4"/>
        <v>-2.9539267783406684</v>
      </c>
      <c r="G73" s="11"/>
      <c r="H73" s="11">
        <f t="shared" si="8"/>
        <v>1099511627776</v>
      </c>
      <c r="I73" s="11">
        <f t="shared" si="8"/>
        <v>-34359738368</v>
      </c>
      <c r="J73" s="11">
        <f t="shared" si="8"/>
        <v>1073741824</v>
      </c>
      <c r="K73" s="11">
        <f t="shared" si="8"/>
        <v>-33554432</v>
      </c>
      <c r="L73" s="11">
        <f t="shared" si="8"/>
        <v>1048576</v>
      </c>
      <c r="M73" s="11">
        <f t="shared" si="8"/>
        <v>-32768</v>
      </c>
      <c r="N73" s="11">
        <f t="shared" si="8"/>
        <v>1024</v>
      </c>
      <c r="O73" s="11">
        <f t="shared" si="8"/>
        <v>-32</v>
      </c>
      <c r="P73" s="11">
        <f t="shared" si="7"/>
        <v>0</v>
      </c>
    </row>
    <row r="74" spans="1:16" x14ac:dyDescent="0.25">
      <c r="A74" s="11">
        <f t="shared" si="6"/>
        <v>19</v>
      </c>
      <c r="B74">
        <v>-2.8442092648750608</v>
      </c>
      <c r="E74" s="11">
        <f>A74-'Mastercurve bestimmen'!$B$2</f>
        <v>-31</v>
      </c>
      <c r="F74" s="11">
        <f t="shared" si="4"/>
        <v>-2.8442092648750608</v>
      </c>
      <c r="G74" s="11"/>
      <c r="H74" s="11">
        <f t="shared" si="8"/>
        <v>852891037441</v>
      </c>
      <c r="I74" s="11">
        <f t="shared" si="8"/>
        <v>-27512614111</v>
      </c>
      <c r="J74" s="11">
        <f t="shared" si="8"/>
        <v>887503681</v>
      </c>
      <c r="K74" s="11">
        <f t="shared" si="8"/>
        <v>-28629151</v>
      </c>
      <c r="L74" s="11">
        <f t="shared" si="8"/>
        <v>923521</v>
      </c>
      <c r="M74" s="11">
        <f t="shared" si="8"/>
        <v>-29791</v>
      </c>
      <c r="N74" s="11">
        <f t="shared" si="8"/>
        <v>961</v>
      </c>
      <c r="O74" s="11">
        <f t="shared" si="8"/>
        <v>-31</v>
      </c>
      <c r="P74" s="11">
        <f t="shared" si="7"/>
        <v>0</v>
      </c>
    </row>
    <row r="75" spans="1:16" x14ac:dyDescent="0.25">
      <c r="A75" s="11">
        <f t="shared" si="6"/>
        <v>20</v>
      </c>
      <c r="B75">
        <v>-2.7350015469289524</v>
      </c>
      <c r="E75" s="11">
        <f>A75-'Mastercurve bestimmen'!$B$2</f>
        <v>-30</v>
      </c>
      <c r="F75" s="11">
        <f t="shared" si="4"/>
        <v>-2.7350015469289524</v>
      </c>
      <c r="G75" s="11"/>
      <c r="H75" s="11">
        <f t="shared" si="8"/>
        <v>656100000000</v>
      </c>
      <c r="I75" s="11">
        <f t="shared" si="8"/>
        <v>-21870000000</v>
      </c>
      <c r="J75" s="11">
        <f t="shared" si="8"/>
        <v>729000000</v>
      </c>
      <c r="K75" s="11">
        <f t="shared" si="8"/>
        <v>-24300000</v>
      </c>
      <c r="L75" s="11">
        <f t="shared" si="8"/>
        <v>810000</v>
      </c>
      <c r="M75" s="11">
        <f t="shared" si="8"/>
        <v>-27000</v>
      </c>
      <c r="N75" s="11">
        <f t="shared" si="8"/>
        <v>900</v>
      </c>
      <c r="O75" s="11">
        <f t="shared" si="8"/>
        <v>-30</v>
      </c>
      <c r="P75" s="11">
        <f t="shared" si="7"/>
        <v>0</v>
      </c>
    </row>
    <row r="76" spans="1:16" x14ac:dyDescent="0.25">
      <c r="A76" s="11">
        <f t="shared" si="6"/>
        <v>21</v>
      </c>
      <c r="B76">
        <v>-2.6265351242036115</v>
      </c>
      <c r="E76" s="11">
        <f>A76-'Mastercurve bestimmen'!$B$2</f>
        <v>-29</v>
      </c>
      <c r="F76" s="11">
        <f t="shared" si="4"/>
        <v>-2.6265351242036115</v>
      </c>
      <c r="G76" s="11"/>
      <c r="H76" s="11">
        <f t="shared" si="8"/>
        <v>500246412961</v>
      </c>
      <c r="I76" s="11">
        <f t="shared" si="8"/>
        <v>-17249876309</v>
      </c>
      <c r="J76" s="11">
        <f t="shared" si="8"/>
        <v>594823321</v>
      </c>
      <c r="K76" s="11">
        <f t="shared" si="8"/>
        <v>-20511149</v>
      </c>
      <c r="L76" s="11">
        <f t="shared" si="8"/>
        <v>707281</v>
      </c>
      <c r="M76" s="11">
        <f t="shared" si="8"/>
        <v>-24389</v>
      </c>
      <c r="N76" s="11">
        <f t="shared" si="8"/>
        <v>841</v>
      </c>
      <c r="O76" s="11">
        <f t="shared" si="8"/>
        <v>-29</v>
      </c>
      <c r="P76" s="11">
        <f t="shared" si="7"/>
        <v>0</v>
      </c>
    </row>
    <row r="77" spans="1:16" x14ac:dyDescent="0.25">
      <c r="A77" s="11">
        <f t="shared" si="6"/>
        <v>22</v>
      </c>
      <c r="B77">
        <v>-2.5190414964003063</v>
      </c>
      <c r="E77" s="11">
        <f>A77-'Mastercurve bestimmen'!$B$2</f>
        <v>-28</v>
      </c>
      <c r="F77" s="11">
        <f t="shared" si="4"/>
        <v>-2.5190414964003063</v>
      </c>
      <c r="G77" s="11"/>
      <c r="H77" s="11">
        <f t="shared" si="8"/>
        <v>377801998336</v>
      </c>
      <c r="I77" s="11">
        <f t="shared" si="8"/>
        <v>-13492928512</v>
      </c>
      <c r="J77" s="11">
        <f t="shared" si="8"/>
        <v>481890304</v>
      </c>
      <c r="K77" s="11">
        <f t="shared" si="8"/>
        <v>-17210368</v>
      </c>
      <c r="L77" s="11">
        <f t="shared" si="8"/>
        <v>614656</v>
      </c>
      <c r="M77" s="11">
        <f t="shared" si="8"/>
        <v>-21952</v>
      </c>
      <c r="N77" s="11">
        <f t="shared" si="8"/>
        <v>784</v>
      </c>
      <c r="O77" s="11">
        <f t="shared" si="8"/>
        <v>-28</v>
      </c>
      <c r="P77" s="11">
        <f t="shared" si="7"/>
        <v>0</v>
      </c>
    </row>
    <row r="78" spans="1:16" x14ac:dyDescent="0.25">
      <c r="A78" s="11">
        <f t="shared" si="6"/>
        <v>23</v>
      </c>
      <c r="B78">
        <v>-2.4127521632203055</v>
      </c>
      <c r="E78" s="11">
        <f>A78-'Mastercurve bestimmen'!$B$2</f>
        <v>-27</v>
      </c>
      <c r="F78" s="11">
        <f t="shared" si="4"/>
        <v>-2.4127521632203055</v>
      </c>
      <c r="G78" s="11"/>
      <c r="H78" s="11">
        <f t="shared" si="8"/>
        <v>282429536481</v>
      </c>
      <c r="I78" s="11">
        <f t="shared" si="8"/>
        <v>-10460353203</v>
      </c>
      <c r="J78" s="11">
        <f t="shared" si="8"/>
        <v>387420489</v>
      </c>
      <c r="K78" s="11">
        <f t="shared" si="8"/>
        <v>-14348907</v>
      </c>
      <c r="L78" s="11">
        <f t="shared" si="8"/>
        <v>531441</v>
      </c>
      <c r="M78" s="11">
        <f t="shared" si="8"/>
        <v>-19683</v>
      </c>
      <c r="N78" s="11">
        <f t="shared" si="8"/>
        <v>729</v>
      </c>
      <c r="O78" s="11">
        <f t="shared" si="8"/>
        <v>-27</v>
      </c>
      <c r="P78" s="11">
        <f t="shared" si="7"/>
        <v>0</v>
      </c>
    </row>
    <row r="79" spans="1:16" x14ac:dyDescent="0.25">
      <c r="A79" s="11">
        <f t="shared" si="6"/>
        <v>24</v>
      </c>
      <c r="B79">
        <v>-2.3078986243648778</v>
      </c>
      <c r="E79" s="11">
        <f>A79-'Mastercurve bestimmen'!$B$2</f>
        <v>-26</v>
      </c>
      <c r="F79" s="11">
        <f t="shared" si="4"/>
        <v>-2.3078986243648778</v>
      </c>
      <c r="G79" s="11"/>
      <c r="H79" s="11">
        <f t="shared" si="8"/>
        <v>208827064576</v>
      </c>
      <c r="I79" s="11">
        <f t="shared" si="8"/>
        <v>-8031810176</v>
      </c>
      <c r="J79" s="11">
        <f t="shared" si="8"/>
        <v>308915776</v>
      </c>
      <c r="K79" s="11">
        <f t="shared" si="8"/>
        <v>-11881376</v>
      </c>
      <c r="L79" s="11">
        <f t="shared" si="8"/>
        <v>456976</v>
      </c>
      <c r="M79" s="11">
        <f t="shared" si="8"/>
        <v>-17576</v>
      </c>
      <c r="N79" s="11">
        <f t="shared" si="8"/>
        <v>676</v>
      </c>
      <c r="O79" s="11">
        <f t="shared" ref="I79:O116" si="9">IF($H$12&gt;=O$14,$E79^O$14,0)</f>
        <v>-26</v>
      </c>
      <c r="P79" s="11">
        <f t="shared" si="7"/>
        <v>0</v>
      </c>
    </row>
    <row r="80" spans="1:16" x14ac:dyDescent="0.25">
      <c r="A80" s="11">
        <f t="shared" si="6"/>
        <v>25</v>
      </c>
      <c r="B80">
        <v>-2.204712379535291</v>
      </c>
      <c r="E80" s="11">
        <f>A80-'Mastercurve bestimmen'!$B$2</f>
        <v>-25</v>
      </c>
      <c r="F80" s="11">
        <f t="shared" ref="F80:F143" si="10">B80</f>
        <v>-2.204712379535291</v>
      </c>
      <c r="G80" s="11"/>
      <c r="H80" s="11">
        <f t="shared" ref="H80:H143" si="11">IF($H$12&gt;=H$14,$E80^H$14,0)</f>
        <v>152587890625</v>
      </c>
      <c r="I80" s="11">
        <f t="shared" si="9"/>
        <v>-6103515625</v>
      </c>
      <c r="J80" s="11">
        <f t="shared" si="9"/>
        <v>244140625</v>
      </c>
      <c r="K80" s="11">
        <f t="shared" si="9"/>
        <v>-9765625</v>
      </c>
      <c r="L80" s="11">
        <f t="shared" si="9"/>
        <v>390625</v>
      </c>
      <c r="M80" s="11">
        <f t="shared" si="9"/>
        <v>-15625</v>
      </c>
      <c r="N80" s="11">
        <f t="shared" si="9"/>
        <v>625</v>
      </c>
      <c r="O80" s="11">
        <f t="shared" si="9"/>
        <v>-25</v>
      </c>
      <c r="P80" s="11">
        <f t="shared" si="7"/>
        <v>0</v>
      </c>
    </row>
    <row r="81" spans="1:16" x14ac:dyDescent="0.25">
      <c r="A81" s="11">
        <f t="shared" ref="A81:A144" si="12">A80+1</f>
        <v>26</v>
      </c>
      <c r="B81">
        <v>-2.1033709083724363</v>
      </c>
      <c r="E81" s="11">
        <f>A81-'Mastercurve bestimmen'!$B$2</f>
        <v>-24</v>
      </c>
      <c r="F81" s="11">
        <f t="shared" si="10"/>
        <v>-2.1033709083724363</v>
      </c>
      <c r="G81" s="11"/>
      <c r="H81" s="11">
        <f t="shared" si="11"/>
        <v>110075314176</v>
      </c>
      <c r="I81" s="11">
        <f t="shared" si="9"/>
        <v>-4586471424</v>
      </c>
      <c r="J81" s="11">
        <f t="shared" si="9"/>
        <v>191102976</v>
      </c>
      <c r="K81" s="11">
        <f t="shared" si="9"/>
        <v>-7962624</v>
      </c>
      <c r="L81" s="11">
        <f t="shared" si="9"/>
        <v>331776</v>
      </c>
      <c r="M81" s="11">
        <f t="shared" si="9"/>
        <v>-13824</v>
      </c>
      <c r="N81" s="11">
        <f t="shared" si="9"/>
        <v>576</v>
      </c>
      <c r="O81" s="11">
        <f t="shared" si="9"/>
        <v>-24</v>
      </c>
      <c r="P81" s="11">
        <f t="shared" ref="P81:P144" si="13">P80</f>
        <v>0</v>
      </c>
    </row>
    <row r="82" spans="1:16" x14ac:dyDescent="0.25">
      <c r="A82" s="11">
        <f t="shared" si="12"/>
        <v>27</v>
      </c>
      <c r="B82">
        <v>-2.0038356102756936</v>
      </c>
      <c r="E82" s="11">
        <f>A82-'Mastercurve bestimmen'!$B$2</f>
        <v>-23</v>
      </c>
      <c r="F82" s="11">
        <f t="shared" si="10"/>
        <v>-2.0038356102756936</v>
      </c>
      <c r="G82" s="11"/>
      <c r="H82" s="11">
        <f t="shared" si="11"/>
        <v>78310985281</v>
      </c>
      <c r="I82" s="11">
        <f t="shared" si="9"/>
        <v>-3404825447</v>
      </c>
      <c r="J82" s="11">
        <f t="shared" si="9"/>
        <v>148035889</v>
      </c>
      <c r="K82" s="11">
        <f t="shared" si="9"/>
        <v>-6436343</v>
      </c>
      <c r="L82" s="11">
        <f t="shared" si="9"/>
        <v>279841</v>
      </c>
      <c r="M82" s="11">
        <f t="shared" si="9"/>
        <v>-12167</v>
      </c>
      <c r="N82" s="11">
        <f t="shared" si="9"/>
        <v>529</v>
      </c>
      <c r="O82" s="11">
        <f t="shared" si="9"/>
        <v>-23</v>
      </c>
      <c r="P82" s="11">
        <f t="shared" si="13"/>
        <v>0</v>
      </c>
    </row>
    <row r="83" spans="1:16" x14ac:dyDescent="0.25">
      <c r="A83" s="11">
        <f t="shared" si="12"/>
        <v>28</v>
      </c>
      <c r="B83">
        <v>-1.9060138645840625</v>
      </c>
      <c r="E83" s="11">
        <f>A83-'Mastercurve bestimmen'!$B$2</f>
        <v>-22</v>
      </c>
      <c r="F83" s="11">
        <f t="shared" si="10"/>
        <v>-1.9060138645840625</v>
      </c>
      <c r="G83" s="11"/>
      <c r="H83" s="11">
        <f t="shared" si="11"/>
        <v>54875873536</v>
      </c>
      <c r="I83" s="11">
        <f t="shared" si="9"/>
        <v>-2494357888</v>
      </c>
      <c r="J83" s="11">
        <f t="shared" si="9"/>
        <v>113379904</v>
      </c>
      <c r="K83" s="11">
        <f t="shared" si="9"/>
        <v>-5153632</v>
      </c>
      <c r="L83" s="11">
        <f t="shared" si="9"/>
        <v>234256</v>
      </c>
      <c r="M83" s="11">
        <f t="shared" si="9"/>
        <v>-10648</v>
      </c>
      <c r="N83" s="11">
        <f t="shared" si="9"/>
        <v>484</v>
      </c>
      <c r="O83" s="11">
        <f t="shared" si="9"/>
        <v>-22</v>
      </c>
      <c r="P83" s="11">
        <f t="shared" si="13"/>
        <v>0</v>
      </c>
    </row>
    <row r="84" spans="1:16" x14ac:dyDescent="0.25">
      <c r="A84" s="11">
        <f t="shared" si="12"/>
        <v>29</v>
      </c>
      <c r="B84">
        <v>-1.8098130506365449</v>
      </c>
      <c r="E84" s="11">
        <f>A84-'Mastercurve bestimmen'!$B$2</f>
        <v>-21</v>
      </c>
      <c r="F84" s="11">
        <f t="shared" si="10"/>
        <v>-1.8098130506365449</v>
      </c>
      <c r="G84" s="11"/>
      <c r="H84" s="11">
        <f t="shared" si="11"/>
        <v>37822859361</v>
      </c>
      <c r="I84" s="11">
        <f t="shared" si="9"/>
        <v>-1801088541</v>
      </c>
      <c r="J84" s="11">
        <f t="shared" si="9"/>
        <v>85766121</v>
      </c>
      <c r="K84" s="11">
        <f t="shared" si="9"/>
        <v>-4084101</v>
      </c>
      <c r="L84" s="11">
        <f t="shared" si="9"/>
        <v>194481</v>
      </c>
      <c r="M84" s="11">
        <f t="shared" si="9"/>
        <v>-9261</v>
      </c>
      <c r="N84" s="11">
        <f t="shared" si="9"/>
        <v>441</v>
      </c>
      <c r="O84" s="11">
        <f t="shared" si="9"/>
        <v>-21</v>
      </c>
      <c r="P84" s="11">
        <f t="shared" si="13"/>
        <v>0</v>
      </c>
    </row>
    <row r="85" spans="1:16" x14ac:dyDescent="0.25">
      <c r="A85" s="11">
        <f t="shared" si="12"/>
        <v>30</v>
      </c>
      <c r="B85">
        <v>-1.715140547772142</v>
      </c>
      <c r="E85" s="11">
        <f>A85-'Mastercurve bestimmen'!$B$2</f>
        <v>-20</v>
      </c>
      <c r="F85" s="11">
        <f t="shared" si="10"/>
        <v>-1.715140547772142</v>
      </c>
      <c r="G85" s="11"/>
      <c r="H85" s="11">
        <f t="shared" si="11"/>
        <v>25600000000</v>
      </c>
      <c r="I85" s="11">
        <f t="shared" si="9"/>
        <v>-1280000000</v>
      </c>
      <c r="J85" s="11">
        <f t="shared" si="9"/>
        <v>64000000</v>
      </c>
      <c r="K85" s="11">
        <f t="shared" si="9"/>
        <v>-3200000</v>
      </c>
      <c r="L85" s="11">
        <f t="shared" si="9"/>
        <v>160000</v>
      </c>
      <c r="M85" s="11">
        <f t="shared" si="9"/>
        <v>-8000</v>
      </c>
      <c r="N85" s="11">
        <f t="shared" si="9"/>
        <v>400</v>
      </c>
      <c r="O85" s="11">
        <f t="shared" si="9"/>
        <v>-20</v>
      </c>
      <c r="P85" s="11">
        <f t="shared" si="13"/>
        <v>0</v>
      </c>
    </row>
    <row r="86" spans="1:16" x14ac:dyDescent="0.25">
      <c r="A86" s="11">
        <f t="shared" si="12"/>
        <v>31</v>
      </c>
      <c r="B86">
        <v>-1.6219037353298551</v>
      </c>
      <c r="E86" s="11">
        <f>A86-'Mastercurve bestimmen'!$B$2</f>
        <v>-19</v>
      </c>
      <c r="F86" s="11">
        <f t="shared" si="10"/>
        <v>-1.6219037353298551</v>
      </c>
      <c r="G86" s="11"/>
      <c r="H86" s="11">
        <f t="shared" si="11"/>
        <v>16983563041</v>
      </c>
      <c r="I86" s="11">
        <f t="shared" si="9"/>
        <v>-893871739</v>
      </c>
      <c r="J86" s="11">
        <f t="shared" si="9"/>
        <v>47045881</v>
      </c>
      <c r="K86" s="11">
        <f t="shared" si="9"/>
        <v>-2476099</v>
      </c>
      <c r="L86" s="11">
        <f t="shared" si="9"/>
        <v>130321</v>
      </c>
      <c r="M86" s="11">
        <f t="shared" si="9"/>
        <v>-6859</v>
      </c>
      <c r="N86" s="11">
        <f t="shared" si="9"/>
        <v>361</v>
      </c>
      <c r="O86" s="11">
        <f t="shared" si="9"/>
        <v>-19</v>
      </c>
      <c r="P86" s="11">
        <f t="shared" si="13"/>
        <v>0</v>
      </c>
    </row>
    <row r="87" spans="1:16" x14ac:dyDescent="0.25">
      <c r="A87" s="11">
        <f t="shared" si="12"/>
        <v>32</v>
      </c>
      <c r="B87">
        <v>-1.530009992648685</v>
      </c>
      <c r="E87" s="11">
        <f>A87-'Mastercurve bestimmen'!$B$2</f>
        <v>-18</v>
      </c>
      <c r="F87" s="11">
        <f t="shared" si="10"/>
        <v>-1.530009992648685</v>
      </c>
      <c r="G87" s="11"/>
      <c r="H87" s="11">
        <f t="shared" si="11"/>
        <v>11019960576</v>
      </c>
      <c r="I87" s="11">
        <f t="shared" si="9"/>
        <v>-612220032</v>
      </c>
      <c r="J87" s="11">
        <f t="shared" si="9"/>
        <v>34012224</v>
      </c>
      <c r="K87" s="11">
        <f t="shared" si="9"/>
        <v>-1889568</v>
      </c>
      <c r="L87" s="11">
        <f t="shared" si="9"/>
        <v>104976</v>
      </c>
      <c r="M87" s="11">
        <f t="shared" si="9"/>
        <v>-5832</v>
      </c>
      <c r="N87" s="11">
        <f t="shared" si="9"/>
        <v>324</v>
      </c>
      <c r="O87" s="11">
        <f t="shared" si="9"/>
        <v>-18</v>
      </c>
      <c r="P87" s="11">
        <f t="shared" si="13"/>
        <v>0</v>
      </c>
    </row>
    <row r="88" spans="1:16" x14ac:dyDescent="0.25">
      <c r="A88" s="11">
        <f t="shared" si="12"/>
        <v>33</v>
      </c>
      <c r="B88">
        <v>-1.439366699067633</v>
      </c>
      <c r="E88" s="11">
        <f>A88-'Mastercurve bestimmen'!$B$2</f>
        <v>-17</v>
      </c>
      <c r="F88" s="11">
        <f t="shared" si="10"/>
        <v>-1.439366699067633</v>
      </c>
      <c r="G88" s="11"/>
      <c r="H88" s="11">
        <f t="shared" si="11"/>
        <v>6975757441</v>
      </c>
      <c r="I88" s="11">
        <f t="shared" si="9"/>
        <v>-410338673</v>
      </c>
      <c r="J88" s="11">
        <f t="shared" si="9"/>
        <v>24137569</v>
      </c>
      <c r="K88" s="11">
        <f t="shared" si="9"/>
        <v>-1419857</v>
      </c>
      <c r="L88" s="11">
        <f t="shared" si="9"/>
        <v>83521</v>
      </c>
      <c r="M88" s="11">
        <f t="shared" si="9"/>
        <v>-4913</v>
      </c>
      <c r="N88" s="11">
        <f t="shared" si="9"/>
        <v>289</v>
      </c>
      <c r="O88" s="11">
        <f t="shared" si="9"/>
        <v>-17</v>
      </c>
      <c r="P88" s="11">
        <f t="shared" si="13"/>
        <v>0</v>
      </c>
    </row>
    <row r="89" spans="1:16" x14ac:dyDescent="0.25">
      <c r="A89" s="11">
        <f t="shared" si="12"/>
        <v>34</v>
      </c>
      <c r="B89">
        <v>-1.3498812339257007</v>
      </c>
      <c r="E89" s="11">
        <f>A89-'Mastercurve bestimmen'!$B$2</f>
        <v>-16</v>
      </c>
      <c r="F89" s="11">
        <f t="shared" si="10"/>
        <v>-1.3498812339257007</v>
      </c>
      <c r="G89" s="11"/>
      <c r="H89" s="11">
        <f t="shared" si="11"/>
        <v>4294967296</v>
      </c>
      <c r="I89" s="11">
        <f t="shared" si="9"/>
        <v>-268435456</v>
      </c>
      <c r="J89" s="11">
        <f t="shared" si="9"/>
        <v>16777216</v>
      </c>
      <c r="K89" s="11">
        <f t="shared" si="9"/>
        <v>-1048576</v>
      </c>
      <c r="L89" s="11">
        <f t="shared" si="9"/>
        <v>65536</v>
      </c>
      <c r="M89" s="11">
        <f t="shared" si="9"/>
        <v>-4096</v>
      </c>
      <c r="N89" s="11">
        <f t="shared" si="9"/>
        <v>256</v>
      </c>
      <c r="O89" s="11">
        <f t="shared" si="9"/>
        <v>-16</v>
      </c>
      <c r="P89" s="11">
        <f t="shared" si="13"/>
        <v>0</v>
      </c>
    </row>
    <row r="90" spans="1:16" x14ac:dyDescent="0.25">
      <c r="A90" s="11">
        <f t="shared" si="12"/>
        <v>35</v>
      </c>
      <c r="B90">
        <v>-1.2614609765618892</v>
      </c>
      <c r="E90" s="11">
        <f>A90-'Mastercurve bestimmen'!$B$2</f>
        <v>-15</v>
      </c>
      <c r="F90" s="11">
        <f t="shared" si="10"/>
        <v>-1.2614609765618892</v>
      </c>
      <c r="G90" s="11"/>
      <c r="H90" s="11">
        <f t="shared" si="11"/>
        <v>2562890625</v>
      </c>
      <c r="I90" s="11">
        <f t="shared" si="9"/>
        <v>-170859375</v>
      </c>
      <c r="J90" s="11">
        <f t="shared" si="9"/>
        <v>11390625</v>
      </c>
      <c r="K90" s="11">
        <f t="shared" si="9"/>
        <v>-759375</v>
      </c>
      <c r="L90" s="11">
        <f t="shared" si="9"/>
        <v>50625</v>
      </c>
      <c r="M90" s="11">
        <f t="shared" si="9"/>
        <v>-3375</v>
      </c>
      <c r="N90" s="11">
        <f t="shared" si="9"/>
        <v>225</v>
      </c>
      <c r="O90" s="11">
        <f t="shared" si="9"/>
        <v>-15</v>
      </c>
      <c r="P90" s="11">
        <f t="shared" si="13"/>
        <v>0</v>
      </c>
    </row>
    <row r="91" spans="1:16" x14ac:dyDescent="0.25">
      <c r="A91" s="11">
        <f t="shared" si="12"/>
        <v>36</v>
      </c>
      <c r="B91">
        <v>-1.1740133063151992</v>
      </c>
      <c r="E91" s="11">
        <f>A91-'Mastercurve bestimmen'!$B$2</f>
        <v>-14</v>
      </c>
      <c r="F91" s="11">
        <f t="shared" si="10"/>
        <v>-1.1740133063151992</v>
      </c>
      <c r="G91" s="11"/>
      <c r="H91" s="11">
        <f t="shared" si="11"/>
        <v>1475789056</v>
      </c>
      <c r="I91" s="11">
        <f t="shared" si="9"/>
        <v>-105413504</v>
      </c>
      <c r="J91" s="11">
        <f t="shared" si="9"/>
        <v>7529536</v>
      </c>
      <c r="K91" s="11">
        <f t="shared" si="9"/>
        <v>-537824</v>
      </c>
      <c r="L91" s="11">
        <f t="shared" si="9"/>
        <v>38416</v>
      </c>
      <c r="M91" s="11">
        <f t="shared" si="9"/>
        <v>-2744</v>
      </c>
      <c r="N91" s="11">
        <f t="shared" si="9"/>
        <v>196</v>
      </c>
      <c r="O91" s="11">
        <f t="shared" si="9"/>
        <v>-14</v>
      </c>
      <c r="P91" s="11">
        <f t="shared" si="13"/>
        <v>0</v>
      </c>
    </row>
    <row r="92" spans="1:16" x14ac:dyDescent="0.25">
      <c r="A92" s="11">
        <f t="shared" si="12"/>
        <v>37</v>
      </c>
      <c r="B92">
        <v>-1.0874456025246324</v>
      </c>
      <c r="E92" s="11">
        <f>A92-'Mastercurve bestimmen'!$B$2</f>
        <v>-13</v>
      </c>
      <c r="F92" s="11">
        <f t="shared" si="10"/>
        <v>-1.0874456025246324</v>
      </c>
      <c r="G92" s="11"/>
      <c r="H92" s="11">
        <f t="shared" si="11"/>
        <v>815730721</v>
      </c>
      <c r="I92" s="11">
        <f t="shared" si="9"/>
        <v>-62748517</v>
      </c>
      <c r="J92" s="11">
        <f t="shared" si="9"/>
        <v>4826809</v>
      </c>
      <c r="K92" s="11">
        <f t="shared" si="9"/>
        <v>-371293</v>
      </c>
      <c r="L92" s="11">
        <f t="shared" si="9"/>
        <v>28561</v>
      </c>
      <c r="M92" s="11">
        <f t="shared" si="9"/>
        <v>-2197</v>
      </c>
      <c r="N92" s="11">
        <f t="shared" si="9"/>
        <v>169</v>
      </c>
      <c r="O92" s="11">
        <f t="shared" si="9"/>
        <v>-13</v>
      </c>
      <c r="P92" s="11">
        <f t="shared" si="13"/>
        <v>0</v>
      </c>
    </row>
    <row r="93" spans="1:16" x14ac:dyDescent="0.25">
      <c r="A93" s="11">
        <f t="shared" si="12"/>
        <v>38</v>
      </c>
      <c r="B93">
        <v>-1.0016652445291896</v>
      </c>
      <c r="E93" s="11">
        <f>A93-'Mastercurve bestimmen'!$B$2</f>
        <v>-12</v>
      </c>
      <c r="F93" s="11">
        <f t="shared" si="10"/>
        <v>-1.0016652445291896</v>
      </c>
      <c r="G93" s="11"/>
      <c r="H93" s="11">
        <f t="shared" si="11"/>
        <v>429981696</v>
      </c>
      <c r="I93" s="11">
        <f t="shared" si="9"/>
        <v>-35831808</v>
      </c>
      <c r="J93" s="11">
        <f t="shared" si="9"/>
        <v>2985984</v>
      </c>
      <c r="K93" s="11">
        <f t="shared" si="9"/>
        <v>-248832</v>
      </c>
      <c r="L93" s="11">
        <f t="shared" si="9"/>
        <v>20736</v>
      </c>
      <c r="M93" s="11">
        <f t="shared" si="9"/>
        <v>-1728</v>
      </c>
      <c r="N93" s="11">
        <f t="shared" si="9"/>
        <v>144</v>
      </c>
      <c r="O93" s="11">
        <f t="shared" si="9"/>
        <v>-12</v>
      </c>
      <c r="P93" s="11">
        <f t="shared" si="13"/>
        <v>0</v>
      </c>
    </row>
    <row r="94" spans="1:16" x14ac:dyDescent="0.25">
      <c r="A94" s="11">
        <f t="shared" si="12"/>
        <v>39</v>
      </c>
      <c r="B94">
        <v>-0.9165796116678725</v>
      </c>
      <c r="E94" s="11">
        <f>A94-'Mastercurve bestimmen'!$B$2</f>
        <v>-11</v>
      </c>
      <c r="F94" s="11">
        <f t="shared" si="10"/>
        <v>-0.9165796116678725</v>
      </c>
      <c r="G94" s="11"/>
      <c r="H94" s="11">
        <f t="shared" si="11"/>
        <v>214358881</v>
      </c>
      <c r="I94" s="11">
        <f t="shared" si="9"/>
        <v>-19487171</v>
      </c>
      <c r="J94" s="11">
        <f t="shared" si="9"/>
        <v>1771561</v>
      </c>
      <c r="K94" s="11">
        <f t="shared" si="9"/>
        <v>-161051</v>
      </c>
      <c r="L94" s="11">
        <f t="shared" si="9"/>
        <v>14641</v>
      </c>
      <c r="M94" s="11">
        <f t="shared" si="9"/>
        <v>-1331</v>
      </c>
      <c r="N94" s="11">
        <f t="shared" si="9"/>
        <v>121</v>
      </c>
      <c r="O94" s="11">
        <f t="shared" si="9"/>
        <v>-11</v>
      </c>
      <c r="P94" s="11">
        <f t="shared" si="13"/>
        <v>0</v>
      </c>
    </row>
    <row r="95" spans="1:16" x14ac:dyDescent="0.25">
      <c r="A95" s="11">
        <f t="shared" si="12"/>
        <v>40</v>
      </c>
      <c r="B95">
        <v>-0.83209608327968165</v>
      </c>
      <c r="E95" s="11">
        <f>A95-'Mastercurve bestimmen'!$B$2</f>
        <v>-10</v>
      </c>
      <c r="F95" s="11">
        <f t="shared" si="10"/>
        <v>-0.83209608327968165</v>
      </c>
      <c r="G95" s="11"/>
      <c r="H95" s="11">
        <f t="shared" si="11"/>
        <v>100000000</v>
      </c>
      <c r="I95" s="11">
        <f t="shared" si="9"/>
        <v>-10000000</v>
      </c>
      <c r="J95" s="11">
        <f t="shared" si="9"/>
        <v>1000000</v>
      </c>
      <c r="K95" s="11">
        <f t="shared" si="9"/>
        <v>-100000</v>
      </c>
      <c r="L95" s="11">
        <f t="shared" si="9"/>
        <v>10000</v>
      </c>
      <c r="M95" s="11">
        <f t="shared" si="9"/>
        <v>-1000</v>
      </c>
      <c r="N95" s="11">
        <f t="shared" si="9"/>
        <v>100</v>
      </c>
      <c r="O95" s="11">
        <f t="shared" si="9"/>
        <v>-10</v>
      </c>
      <c r="P95" s="11">
        <f t="shared" si="13"/>
        <v>0</v>
      </c>
    </row>
    <row r="96" spans="1:16" x14ac:dyDescent="0.25">
      <c r="A96" s="11">
        <f t="shared" si="12"/>
        <v>41</v>
      </c>
      <c r="B96">
        <v>-0.74812203870361882</v>
      </c>
      <c r="E96" s="11">
        <f>A96-'Mastercurve bestimmen'!$B$2</f>
        <v>-9</v>
      </c>
      <c r="F96" s="11">
        <f t="shared" si="10"/>
        <v>-0.74812203870361882</v>
      </c>
      <c r="G96" s="11"/>
      <c r="H96" s="11">
        <f t="shared" si="11"/>
        <v>43046721</v>
      </c>
      <c r="I96" s="11">
        <f t="shared" si="9"/>
        <v>-4782969</v>
      </c>
      <c r="J96" s="11">
        <f t="shared" si="9"/>
        <v>531441</v>
      </c>
      <c r="K96" s="11">
        <f t="shared" si="9"/>
        <v>-59049</v>
      </c>
      <c r="L96" s="11">
        <f t="shared" si="9"/>
        <v>6561</v>
      </c>
      <c r="M96" s="11">
        <f t="shared" si="9"/>
        <v>-729</v>
      </c>
      <c r="N96" s="11">
        <f t="shared" si="9"/>
        <v>81</v>
      </c>
      <c r="O96" s="11">
        <f t="shared" si="9"/>
        <v>-9</v>
      </c>
      <c r="P96" s="11">
        <f t="shared" si="13"/>
        <v>0</v>
      </c>
    </row>
    <row r="97" spans="1:16" x14ac:dyDescent="0.25">
      <c r="A97" s="11">
        <f t="shared" si="12"/>
        <v>42</v>
      </c>
      <c r="B97">
        <v>-0.66456485727868486</v>
      </c>
      <c r="E97" s="11">
        <f>A97-'Mastercurve bestimmen'!$B$2</f>
        <v>-8</v>
      </c>
      <c r="F97" s="11">
        <f t="shared" si="10"/>
        <v>-0.66456485727868486</v>
      </c>
      <c r="G97" s="11"/>
      <c r="H97" s="11">
        <f t="shared" si="11"/>
        <v>16777216</v>
      </c>
      <c r="I97" s="11">
        <f t="shared" si="9"/>
        <v>-2097152</v>
      </c>
      <c r="J97" s="11">
        <f t="shared" si="9"/>
        <v>262144</v>
      </c>
      <c r="K97" s="11">
        <f t="shared" si="9"/>
        <v>-32768</v>
      </c>
      <c r="L97" s="11">
        <f t="shared" si="9"/>
        <v>4096</v>
      </c>
      <c r="M97" s="11">
        <f t="shared" si="9"/>
        <v>-512</v>
      </c>
      <c r="N97" s="11">
        <f t="shared" si="9"/>
        <v>64</v>
      </c>
      <c r="O97" s="11">
        <f t="shared" si="9"/>
        <v>-8</v>
      </c>
      <c r="P97" s="11">
        <f t="shared" si="13"/>
        <v>0</v>
      </c>
    </row>
    <row r="98" spans="1:16" x14ac:dyDescent="0.25">
      <c r="A98" s="11">
        <f t="shared" si="12"/>
        <v>43</v>
      </c>
      <c r="B98">
        <v>-0.58133191834388109</v>
      </c>
      <c r="E98" s="11">
        <f>A98-'Mastercurve bestimmen'!$B$2</f>
        <v>-7</v>
      </c>
      <c r="F98" s="11">
        <f t="shared" si="10"/>
        <v>-0.58133191834388109</v>
      </c>
      <c r="G98" s="11"/>
      <c r="H98" s="11">
        <f t="shared" si="11"/>
        <v>5764801</v>
      </c>
      <c r="I98" s="11">
        <f t="shared" si="9"/>
        <v>-823543</v>
      </c>
      <c r="J98" s="11">
        <f t="shared" si="9"/>
        <v>117649</v>
      </c>
      <c r="K98" s="11">
        <f t="shared" si="9"/>
        <v>-16807</v>
      </c>
      <c r="L98" s="11">
        <f t="shared" si="9"/>
        <v>2401</v>
      </c>
      <c r="M98" s="11">
        <f t="shared" si="9"/>
        <v>-343</v>
      </c>
      <c r="N98" s="11">
        <f t="shared" si="9"/>
        <v>49</v>
      </c>
      <c r="O98" s="11">
        <f t="shared" si="9"/>
        <v>-7</v>
      </c>
      <c r="P98" s="11">
        <f t="shared" si="13"/>
        <v>0</v>
      </c>
    </row>
    <row r="99" spans="1:16" x14ac:dyDescent="0.25">
      <c r="A99" s="11">
        <f t="shared" si="12"/>
        <v>44</v>
      </c>
      <c r="B99">
        <v>-0.49833060123820871</v>
      </c>
      <c r="E99" s="11">
        <f>A99-'Mastercurve bestimmen'!$B$2</f>
        <v>-6</v>
      </c>
      <c r="F99" s="11">
        <f t="shared" si="10"/>
        <v>-0.49833060123820871</v>
      </c>
      <c r="G99" s="11"/>
      <c r="H99" s="11">
        <f t="shared" si="11"/>
        <v>1679616</v>
      </c>
      <c r="I99" s="11">
        <f t="shared" si="9"/>
        <v>-279936</v>
      </c>
      <c r="J99" s="11">
        <f t="shared" si="9"/>
        <v>46656</v>
      </c>
      <c r="K99" s="11">
        <f t="shared" si="9"/>
        <v>-7776</v>
      </c>
      <c r="L99" s="11">
        <f t="shared" si="9"/>
        <v>1296</v>
      </c>
      <c r="M99" s="11">
        <f t="shared" si="9"/>
        <v>-216</v>
      </c>
      <c r="N99" s="11">
        <f t="shared" si="9"/>
        <v>36</v>
      </c>
      <c r="O99" s="11">
        <f t="shared" si="9"/>
        <v>-6</v>
      </c>
      <c r="P99" s="11">
        <f t="shared" si="13"/>
        <v>0</v>
      </c>
    </row>
    <row r="100" spans="1:16" x14ac:dyDescent="0.25">
      <c r="A100" s="11">
        <f t="shared" si="12"/>
        <v>45</v>
      </c>
      <c r="B100">
        <v>-0.41546828530066898</v>
      </c>
      <c r="E100" s="11">
        <f>A100-'Mastercurve bestimmen'!$B$2</f>
        <v>-5</v>
      </c>
      <c r="F100" s="11">
        <f t="shared" si="10"/>
        <v>-0.41546828530066898</v>
      </c>
      <c r="G100" s="11"/>
      <c r="H100" s="11">
        <f t="shared" si="11"/>
        <v>390625</v>
      </c>
      <c r="I100" s="11">
        <f t="shared" si="9"/>
        <v>-78125</v>
      </c>
      <c r="J100" s="11">
        <f t="shared" si="9"/>
        <v>15625</v>
      </c>
      <c r="K100" s="11">
        <f t="shared" si="9"/>
        <v>-3125</v>
      </c>
      <c r="L100" s="11">
        <f t="shared" si="9"/>
        <v>625</v>
      </c>
      <c r="M100" s="11">
        <f t="shared" si="9"/>
        <v>-125</v>
      </c>
      <c r="N100" s="11">
        <f t="shared" si="9"/>
        <v>25</v>
      </c>
      <c r="O100" s="11">
        <f t="shared" si="9"/>
        <v>-5</v>
      </c>
      <c r="P100" s="11">
        <f t="shared" si="13"/>
        <v>0</v>
      </c>
    </row>
    <row r="101" spans="1:16" x14ac:dyDescent="0.25">
      <c r="A101" s="11">
        <f t="shared" si="12"/>
        <v>46</v>
      </c>
      <c r="B101">
        <v>-0.33265234987026288</v>
      </c>
      <c r="E101" s="11">
        <f>A101-'Mastercurve bestimmen'!$B$2</f>
        <v>-4</v>
      </c>
      <c r="F101" s="11">
        <f t="shared" si="10"/>
        <v>-0.33265234987026288</v>
      </c>
      <c r="G101" s="11"/>
      <c r="H101" s="11">
        <f t="shared" si="11"/>
        <v>65536</v>
      </c>
      <c r="I101" s="11">
        <f t="shared" si="9"/>
        <v>-16384</v>
      </c>
      <c r="J101" s="11">
        <f t="shared" si="9"/>
        <v>4096</v>
      </c>
      <c r="K101" s="11">
        <f t="shared" si="9"/>
        <v>-1024</v>
      </c>
      <c r="L101" s="11">
        <f t="shared" si="9"/>
        <v>256</v>
      </c>
      <c r="M101" s="11">
        <f t="shared" si="9"/>
        <v>-64</v>
      </c>
      <c r="N101" s="11">
        <f t="shared" si="9"/>
        <v>16</v>
      </c>
      <c r="O101" s="11">
        <f t="shared" si="9"/>
        <v>-4</v>
      </c>
      <c r="P101" s="11">
        <f t="shared" si="13"/>
        <v>0</v>
      </c>
    </row>
    <row r="102" spans="1:16" x14ac:dyDescent="0.25">
      <c r="A102" s="11">
        <f t="shared" si="12"/>
        <v>47</v>
      </c>
      <c r="B102">
        <v>-0.24979017428599173</v>
      </c>
      <c r="E102" s="11">
        <f>A102-'Mastercurve bestimmen'!$B$2</f>
        <v>-3</v>
      </c>
      <c r="F102" s="11">
        <f t="shared" si="10"/>
        <v>-0.24979017428599173</v>
      </c>
      <c r="G102" s="11"/>
      <c r="H102" s="11">
        <f t="shared" si="11"/>
        <v>6561</v>
      </c>
      <c r="I102" s="11">
        <f t="shared" si="9"/>
        <v>-2187</v>
      </c>
      <c r="J102" s="11">
        <f t="shared" si="9"/>
        <v>729</v>
      </c>
      <c r="K102" s="11">
        <f t="shared" si="9"/>
        <v>-243</v>
      </c>
      <c r="L102" s="11">
        <f t="shared" si="9"/>
        <v>81</v>
      </c>
      <c r="M102" s="11">
        <f t="shared" si="9"/>
        <v>-27</v>
      </c>
      <c r="N102" s="11">
        <f t="shared" si="9"/>
        <v>9</v>
      </c>
      <c r="O102" s="11">
        <f t="shared" si="9"/>
        <v>-3</v>
      </c>
      <c r="P102" s="11">
        <f t="shared" si="13"/>
        <v>0</v>
      </c>
    </row>
    <row r="103" spans="1:16" x14ac:dyDescent="0.25">
      <c r="A103" s="11">
        <f t="shared" si="12"/>
        <v>48</v>
      </c>
      <c r="B103">
        <v>-0.16678913788685679</v>
      </c>
      <c r="E103" s="11">
        <f>A103-'Mastercurve bestimmen'!$B$2</f>
        <v>-2</v>
      </c>
      <c r="F103" s="11">
        <f t="shared" si="10"/>
        <v>-0.16678913788685679</v>
      </c>
      <c r="G103" s="11"/>
      <c r="H103" s="11">
        <f t="shared" si="11"/>
        <v>256</v>
      </c>
      <c r="I103" s="11">
        <f t="shared" si="9"/>
        <v>-128</v>
      </c>
      <c r="J103" s="11">
        <f t="shared" si="9"/>
        <v>64</v>
      </c>
      <c r="K103" s="11">
        <f t="shared" si="9"/>
        <v>-32</v>
      </c>
      <c r="L103" s="11">
        <f t="shared" si="9"/>
        <v>16</v>
      </c>
      <c r="M103" s="11">
        <f t="shared" si="9"/>
        <v>-8</v>
      </c>
      <c r="N103" s="11">
        <f t="shared" si="9"/>
        <v>4</v>
      </c>
      <c r="O103" s="11">
        <f t="shared" si="9"/>
        <v>-2</v>
      </c>
      <c r="P103" s="11">
        <f t="shared" si="13"/>
        <v>0</v>
      </c>
    </row>
    <row r="104" spans="1:16" x14ac:dyDescent="0.25">
      <c r="A104" s="11">
        <f t="shared" si="12"/>
        <v>49</v>
      </c>
      <c r="B104">
        <v>-8.3556620011859123E-2</v>
      </c>
      <c r="E104" s="11">
        <f>A104-'Mastercurve bestimmen'!$B$2</f>
        <v>-1</v>
      </c>
      <c r="F104" s="11">
        <f t="shared" si="10"/>
        <v>-8.3556620011859123E-2</v>
      </c>
      <c r="G104" s="11"/>
      <c r="H104" s="11">
        <f t="shared" si="11"/>
        <v>1</v>
      </c>
      <c r="I104" s="11">
        <f t="shared" si="9"/>
        <v>-1</v>
      </c>
      <c r="J104" s="11">
        <f t="shared" si="9"/>
        <v>1</v>
      </c>
      <c r="K104" s="11">
        <f t="shared" si="9"/>
        <v>-1</v>
      </c>
      <c r="L104" s="11">
        <f t="shared" si="9"/>
        <v>1</v>
      </c>
      <c r="M104" s="11">
        <f t="shared" si="9"/>
        <v>-1</v>
      </c>
      <c r="N104" s="11">
        <f t="shared" si="9"/>
        <v>1</v>
      </c>
      <c r="O104" s="11">
        <f t="shared" si="9"/>
        <v>-1</v>
      </c>
      <c r="P104" s="11">
        <f t="shared" si="13"/>
        <v>0</v>
      </c>
    </row>
    <row r="105" spans="1:16" x14ac:dyDescent="0.25">
      <c r="A105" s="11">
        <f t="shared" si="12"/>
        <v>50</v>
      </c>
      <c r="B105">
        <v>-6.9388939039072284E-18</v>
      </c>
      <c r="E105" s="11">
        <f>A105-'Mastercurve bestimmen'!$B$2</f>
        <v>0</v>
      </c>
      <c r="F105" s="11">
        <f t="shared" si="10"/>
        <v>-6.9388939039072284E-18</v>
      </c>
      <c r="G105" s="11"/>
      <c r="H105" s="11">
        <f t="shared" si="11"/>
        <v>0</v>
      </c>
      <c r="I105" s="11">
        <f t="shared" si="9"/>
        <v>0</v>
      </c>
      <c r="J105" s="11">
        <f t="shared" si="9"/>
        <v>0</v>
      </c>
      <c r="K105" s="11">
        <f t="shared" si="9"/>
        <v>0</v>
      </c>
      <c r="L105" s="11">
        <f t="shared" si="9"/>
        <v>0</v>
      </c>
      <c r="M105" s="11">
        <f t="shared" si="9"/>
        <v>0</v>
      </c>
      <c r="N105" s="11">
        <f t="shared" si="9"/>
        <v>0</v>
      </c>
      <c r="O105" s="11">
        <f t="shared" si="9"/>
        <v>0</v>
      </c>
      <c r="P105" s="11">
        <f t="shared" si="13"/>
        <v>0</v>
      </c>
    </row>
    <row r="106" spans="1:16" x14ac:dyDescent="0.25">
      <c r="A106" s="11">
        <f t="shared" si="12"/>
        <v>51</v>
      </c>
      <c r="B106">
        <v>8.3961630384048441E-2</v>
      </c>
      <c r="E106" s="11">
        <f>A106-'Mastercurve bestimmen'!$B$2</f>
        <v>1</v>
      </c>
      <c r="F106" s="11">
        <f t="shared" si="10"/>
        <v>8.3961630384048441E-2</v>
      </c>
      <c r="G106" s="11"/>
      <c r="H106" s="11">
        <f t="shared" si="11"/>
        <v>1</v>
      </c>
      <c r="I106" s="11">
        <f t="shared" si="9"/>
        <v>1</v>
      </c>
      <c r="J106" s="11">
        <f t="shared" si="9"/>
        <v>1</v>
      </c>
      <c r="K106" s="11">
        <f t="shared" si="9"/>
        <v>1</v>
      </c>
      <c r="L106" s="11">
        <f t="shared" si="9"/>
        <v>1</v>
      </c>
      <c r="M106" s="11">
        <f t="shared" si="9"/>
        <v>1</v>
      </c>
      <c r="N106" s="11">
        <f t="shared" si="9"/>
        <v>1</v>
      </c>
      <c r="O106" s="11">
        <f t="shared" si="9"/>
        <v>1</v>
      </c>
      <c r="P106" s="11">
        <f t="shared" si="13"/>
        <v>0</v>
      </c>
    </row>
    <row r="107" spans="1:16" x14ac:dyDescent="0.25">
      <c r="A107" s="11">
        <f t="shared" si="12"/>
        <v>52</v>
      </c>
      <c r="B107">
        <v>0.16836232967293008</v>
      </c>
      <c r="E107" s="11">
        <f>A107-'Mastercurve bestimmen'!$B$2</f>
        <v>2</v>
      </c>
      <c r="F107" s="11">
        <f t="shared" si="10"/>
        <v>0.16836232967293008</v>
      </c>
      <c r="G107" s="11"/>
      <c r="H107" s="11">
        <f t="shared" si="11"/>
        <v>256</v>
      </c>
      <c r="I107" s="11">
        <f t="shared" si="9"/>
        <v>128</v>
      </c>
      <c r="J107" s="11">
        <f t="shared" si="9"/>
        <v>64</v>
      </c>
      <c r="K107" s="11">
        <f t="shared" si="9"/>
        <v>32</v>
      </c>
      <c r="L107" s="11">
        <f t="shared" si="9"/>
        <v>16</v>
      </c>
      <c r="M107" s="11">
        <f t="shared" si="9"/>
        <v>8</v>
      </c>
      <c r="N107" s="11">
        <f t="shared" si="9"/>
        <v>4</v>
      </c>
      <c r="O107" s="11">
        <f t="shared" si="9"/>
        <v>2</v>
      </c>
      <c r="P107" s="11">
        <f t="shared" si="13"/>
        <v>0</v>
      </c>
    </row>
    <row r="108" spans="1:16" x14ac:dyDescent="0.25">
      <c r="A108" s="11">
        <f t="shared" si="12"/>
        <v>53</v>
      </c>
      <c r="B108">
        <v>0.25322444397361787</v>
      </c>
      <c r="E108" s="11">
        <f>A108-'Mastercurve bestimmen'!$B$2</f>
        <v>3</v>
      </c>
      <c r="F108" s="11">
        <f t="shared" si="10"/>
        <v>0.25322444397361787</v>
      </c>
      <c r="G108" s="11"/>
      <c r="H108" s="11">
        <f t="shared" si="11"/>
        <v>6561</v>
      </c>
      <c r="I108" s="11">
        <f t="shared" si="9"/>
        <v>2187</v>
      </c>
      <c r="J108" s="11">
        <f t="shared" si="9"/>
        <v>729</v>
      </c>
      <c r="K108" s="11">
        <f t="shared" si="9"/>
        <v>243</v>
      </c>
      <c r="L108" s="11">
        <f t="shared" si="9"/>
        <v>81</v>
      </c>
      <c r="M108" s="11">
        <f t="shared" si="9"/>
        <v>27</v>
      </c>
      <c r="N108" s="11">
        <f t="shared" si="9"/>
        <v>9</v>
      </c>
      <c r="O108" s="11">
        <f t="shared" si="9"/>
        <v>3</v>
      </c>
      <c r="P108" s="11">
        <f t="shared" si="13"/>
        <v>0</v>
      </c>
    </row>
    <row r="109" spans="1:16" x14ac:dyDescent="0.25">
      <c r="A109" s="11">
        <f t="shared" si="12"/>
        <v>54</v>
      </c>
      <c r="B109">
        <v>0.3385703193930848</v>
      </c>
      <c r="E109" s="11">
        <f>A109-'Mastercurve bestimmen'!$B$2</f>
        <v>4</v>
      </c>
      <c r="F109" s="11">
        <f t="shared" si="10"/>
        <v>0.3385703193930848</v>
      </c>
      <c r="G109" s="11"/>
      <c r="H109" s="11">
        <f t="shared" si="11"/>
        <v>65536</v>
      </c>
      <c r="I109" s="11">
        <f t="shared" si="9"/>
        <v>16384</v>
      </c>
      <c r="J109" s="11">
        <f t="shared" si="9"/>
        <v>4096</v>
      </c>
      <c r="K109" s="11">
        <f t="shared" si="9"/>
        <v>1024</v>
      </c>
      <c r="L109" s="11">
        <f t="shared" si="9"/>
        <v>256</v>
      </c>
      <c r="M109" s="11">
        <f t="shared" si="9"/>
        <v>64</v>
      </c>
      <c r="N109" s="11">
        <f t="shared" si="9"/>
        <v>16</v>
      </c>
      <c r="O109" s="11">
        <f t="shared" si="9"/>
        <v>4</v>
      </c>
      <c r="P109" s="11">
        <f t="shared" si="13"/>
        <v>0</v>
      </c>
    </row>
    <row r="110" spans="1:16" x14ac:dyDescent="0.25">
      <c r="A110" s="11">
        <f t="shared" si="12"/>
        <v>55</v>
      </c>
      <c r="B110">
        <v>0.42442230203830372</v>
      </c>
      <c r="E110" s="11">
        <f>A110-'Mastercurve bestimmen'!$B$2</f>
        <v>5</v>
      </c>
      <c r="F110" s="11">
        <f t="shared" si="10"/>
        <v>0.42442230203830372</v>
      </c>
      <c r="G110" s="11"/>
      <c r="H110" s="11">
        <f t="shared" si="11"/>
        <v>390625</v>
      </c>
      <c r="I110" s="11">
        <f t="shared" si="9"/>
        <v>78125</v>
      </c>
      <c r="J110" s="11">
        <f t="shared" si="9"/>
        <v>15625</v>
      </c>
      <c r="K110" s="11">
        <f t="shared" si="9"/>
        <v>3125</v>
      </c>
      <c r="L110" s="11">
        <f t="shared" si="9"/>
        <v>625</v>
      </c>
      <c r="M110" s="11">
        <f t="shared" si="9"/>
        <v>125</v>
      </c>
      <c r="N110" s="11">
        <f t="shared" si="9"/>
        <v>25</v>
      </c>
      <c r="O110" s="11">
        <f t="shared" si="9"/>
        <v>5</v>
      </c>
      <c r="P110" s="11">
        <f t="shared" si="13"/>
        <v>0</v>
      </c>
    </row>
    <row r="111" spans="1:16" x14ac:dyDescent="0.25">
      <c r="A111" s="11">
        <f t="shared" si="12"/>
        <v>56</v>
      </c>
      <c r="B111">
        <v>0.51080273801624765</v>
      </c>
      <c r="E111" s="11">
        <f>A111-'Mastercurve bestimmen'!$B$2</f>
        <v>6</v>
      </c>
      <c r="F111" s="11">
        <f t="shared" si="10"/>
        <v>0.51080273801624765</v>
      </c>
      <c r="G111" s="11"/>
      <c r="H111" s="11">
        <f t="shared" si="11"/>
        <v>1679616</v>
      </c>
      <c r="I111" s="11">
        <f t="shared" si="9"/>
        <v>279936</v>
      </c>
      <c r="J111" s="11">
        <f t="shared" si="9"/>
        <v>46656</v>
      </c>
      <c r="K111" s="11">
        <f t="shared" si="9"/>
        <v>7776</v>
      </c>
      <c r="L111" s="11">
        <f t="shared" si="9"/>
        <v>1296</v>
      </c>
      <c r="M111" s="11">
        <f t="shared" si="9"/>
        <v>216</v>
      </c>
      <c r="N111" s="11">
        <f t="shared" si="9"/>
        <v>36</v>
      </c>
      <c r="O111" s="11">
        <f t="shared" si="9"/>
        <v>6</v>
      </c>
      <c r="P111" s="11">
        <f t="shared" si="13"/>
        <v>0</v>
      </c>
    </row>
    <row r="112" spans="1:16" x14ac:dyDescent="0.25">
      <c r="A112" s="11">
        <f t="shared" si="12"/>
        <v>57</v>
      </c>
      <c r="B112">
        <v>0.59773397343388956</v>
      </c>
      <c r="E112" s="11">
        <f>A112-'Mastercurve bestimmen'!$B$2</f>
        <v>7</v>
      </c>
      <c r="F112" s="11">
        <f t="shared" si="10"/>
        <v>0.59773397343388956</v>
      </c>
      <c r="G112" s="11"/>
      <c r="H112" s="11">
        <f t="shared" si="11"/>
        <v>5764801</v>
      </c>
      <c r="I112" s="11">
        <f t="shared" si="9"/>
        <v>823543</v>
      </c>
      <c r="J112" s="11">
        <f t="shared" si="9"/>
        <v>117649</v>
      </c>
      <c r="K112" s="11">
        <f t="shared" si="9"/>
        <v>16807</v>
      </c>
      <c r="L112" s="11">
        <f t="shared" si="9"/>
        <v>2401</v>
      </c>
      <c r="M112" s="11">
        <f t="shared" si="9"/>
        <v>343</v>
      </c>
      <c r="N112" s="11">
        <f t="shared" si="9"/>
        <v>49</v>
      </c>
      <c r="O112" s="11">
        <f t="shared" si="9"/>
        <v>7</v>
      </c>
      <c r="P112" s="11">
        <f t="shared" si="13"/>
        <v>0</v>
      </c>
    </row>
    <row r="113" spans="1:16" x14ac:dyDescent="0.25">
      <c r="A113" s="11">
        <f t="shared" si="12"/>
        <v>58</v>
      </c>
      <c r="B113">
        <v>0.68523835439820224</v>
      </c>
      <c r="E113" s="11">
        <f>A113-'Mastercurve bestimmen'!$B$2</f>
        <v>8</v>
      </c>
      <c r="F113" s="11">
        <f t="shared" si="10"/>
        <v>0.68523835439820224</v>
      </c>
      <c r="G113" s="11"/>
      <c r="H113" s="11">
        <f t="shared" si="11"/>
        <v>16777216</v>
      </c>
      <c r="I113" s="11">
        <f t="shared" si="9"/>
        <v>2097152</v>
      </c>
      <c r="J113" s="11">
        <f t="shared" si="9"/>
        <v>262144</v>
      </c>
      <c r="K113" s="11">
        <f t="shared" si="9"/>
        <v>32768</v>
      </c>
      <c r="L113" s="11">
        <f t="shared" si="9"/>
        <v>4096</v>
      </c>
      <c r="M113" s="11">
        <f t="shared" si="9"/>
        <v>512</v>
      </c>
      <c r="N113" s="11">
        <f t="shared" si="9"/>
        <v>64</v>
      </c>
      <c r="O113" s="11">
        <f t="shared" si="9"/>
        <v>8</v>
      </c>
      <c r="P113" s="11">
        <f t="shared" si="13"/>
        <v>0</v>
      </c>
    </row>
    <row r="114" spans="1:16" x14ac:dyDescent="0.25">
      <c r="A114" s="11">
        <f t="shared" si="12"/>
        <v>59</v>
      </c>
      <c r="B114">
        <v>0.77333822701615873</v>
      </c>
      <c r="E114" s="11">
        <f>A114-'Mastercurve bestimmen'!$B$2</f>
        <v>9</v>
      </c>
      <c r="F114" s="11">
        <f t="shared" si="10"/>
        <v>0.77333822701615873</v>
      </c>
      <c r="G114" s="11"/>
      <c r="H114" s="11">
        <f t="shared" si="11"/>
        <v>43046721</v>
      </c>
      <c r="I114" s="11">
        <f t="shared" si="9"/>
        <v>4782969</v>
      </c>
      <c r="J114" s="11">
        <f t="shared" si="9"/>
        <v>531441</v>
      </c>
      <c r="K114" s="11">
        <f t="shared" si="9"/>
        <v>59049</v>
      </c>
      <c r="L114" s="11">
        <f t="shared" si="9"/>
        <v>6561</v>
      </c>
      <c r="M114" s="11">
        <f t="shared" si="9"/>
        <v>729</v>
      </c>
      <c r="N114" s="11">
        <f t="shared" si="9"/>
        <v>81</v>
      </c>
      <c r="O114" s="11">
        <f t="shared" si="9"/>
        <v>9</v>
      </c>
      <c r="P114" s="11">
        <f t="shared" si="13"/>
        <v>0</v>
      </c>
    </row>
    <row r="115" spans="1:16" x14ac:dyDescent="0.25">
      <c r="A115" s="11">
        <f t="shared" si="12"/>
        <v>60</v>
      </c>
      <c r="B115">
        <v>0.86205593739473207</v>
      </c>
      <c r="E115" s="11">
        <f>A115-'Mastercurve bestimmen'!$B$2</f>
        <v>10</v>
      </c>
      <c r="F115" s="11">
        <f t="shared" si="10"/>
        <v>0.86205593739473207</v>
      </c>
      <c r="G115" s="11"/>
      <c r="H115" s="11">
        <f t="shared" si="11"/>
        <v>100000000</v>
      </c>
      <c r="I115" s="11">
        <f t="shared" si="9"/>
        <v>10000000</v>
      </c>
      <c r="J115" s="11">
        <f t="shared" si="9"/>
        <v>1000000</v>
      </c>
      <c r="K115" s="11">
        <f t="shared" si="9"/>
        <v>100000</v>
      </c>
      <c r="L115" s="11">
        <f t="shared" si="9"/>
        <v>10000</v>
      </c>
      <c r="M115" s="11">
        <f t="shared" si="9"/>
        <v>1000</v>
      </c>
      <c r="N115" s="11">
        <f t="shared" si="9"/>
        <v>100</v>
      </c>
      <c r="O115" s="11">
        <f t="shared" si="9"/>
        <v>10</v>
      </c>
      <c r="P115" s="11">
        <f t="shared" si="13"/>
        <v>0</v>
      </c>
    </row>
    <row r="116" spans="1:16" x14ac:dyDescent="0.25">
      <c r="A116" s="11">
        <f t="shared" si="12"/>
        <v>61</v>
      </c>
      <c r="B116">
        <v>0.95141383164089499</v>
      </c>
      <c r="E116" s="11">
        <f>A116-'Mastercurve bestimmen'!$B$2</f>
        <v>11</v>
      </c>
      <c r="F116" s="11">
        <f t="shared" si="10"/>
        <v>0.95141383164089499</v>
      </c>
      <c r="G116" s="11"/>
      <c r="H116" s="11">
        <f t="shared" si="11"/>
        <v>214358881</v>
      </c>
      <c r="I116" s="11">
        <f t="shared" si="9"/>
        <v>19487171</v>
      </c>
      <c r="J116" s="11">
        <f t="shared" si="9"/>
        <v>1771561</v>
      </c>
      <c r="K116" s="11">
        <f t="shared" ref="I116:O152" si="14">IF($H$12&gt;=K$14,$E116^K$14,0)</f>
        <v>161051</v>
      </c>
      <c r="L116" s="11">
        <f t="shared" si="14"/>
        <v>14641</v>
      </c>
      <c r="M116" s="11">
        <f t="shared" si="14"/>
        <v>1331</v>
      </c>
      <c r="N116" s="11">
        <f t="shared" si="14"/>
        <v>121</v>
      </c>
      <c r="O116" s="11">
        <f t="shared" si="14"/>
        <v>11</v>
      </c>
      <c r="P116" s="11">
        <f t="shared" si="13"/>
        <v>0</v>
      </c>
    </row>
    <row r="117" spans="1:16" x14ac:dyDescent="0.25">
      <c r="A117" s="11">
        <f t="shared" si="12"/>
        <v>62</v>
      </c>
      <c r="B117">
        <v>1.0414342558616208</v>
      </c>
      <c r="E117" s="11">
        <f>A117-'Mastercurve bestimmen'!$B$2</f>
        <v>12</v>
      </c>
      <c r="F117" s="11">
        <f t="shared" si="10"/>
        <v>1.0414342558616208</v>
      </c>
      <c r="G117" s="11"/>
      <c r="H117" s="11">
        <f t="shared" si="11"/>
        <v>429981696</v>
      </c>
      <c r="I117" s="11">
        <f t="shared" si="14"/>
        <v>35831808</v>
      </c>
      <c r="J117" s="11">
        <f t="shared" si="14"/>
        <v>2985984</v>
      </c>
      <c r="K117" s="11">
        <f t="shared" si="14"/>
        <v>248832</v>
      </c>
      <c r="L117" s="11">
        <f t="shared" si="14"/>
        <v>20736</v>
      </c>
      <c r="M117" s="11">
        <f t="shared" si="14"/>
        <v>1728</v>
      </c>
      <c r="N117" s="11">
        <f t="shared" si="14"/>
        <v>144</v>
      </c>
      <c r="O117" s="11">
        <f t="shared" si="14"/>
        <v>12</v>
      </c>
      <c r="P117" s="11">
        <f t="shared" si="13"/>
        <v>0</v>
      </c>
    </row>
    <row r="118" spans="1:16" x14ac:dyDescent="0.25">
      <c r="A118" s="11">
        <f t="shared" si="12"/>
        <v>63</v>
      </c>
      <c r="B118">
        <v>1.1321395561638818</v>
      </c>
      <c r="E118" s="11">
        <f>A118-'Mastercurve bestimmen'!$B$2</f>
        <v>13</v>
      </c>
      <c r="F118" s="11">
        <f t="shared" si="10"/>
        <v>1.1321395561638818</v>
      </c>
      <c r="G118" s="11"/>
      <c r="H118" s="11">
        <f t="shared" si="11"/>
        <v>815730721</v>
      </c>
      <c r="I118" s="11">
        <f t="shared" si="14"/>
        <v>62748517</v>
      </c>
      <c r="J118" s="11">
        <f t="shared" si="14"/>
        <v>4826809</v>
      </c>
      <c r="K118" s="11">
        <f t="shared" si="14"/>
        <v>371293</v>
      </c>
      <c r="L118" s="11">
        <f t="shared" si="14"/>
        <v>28561</v>
      </c>
      <c r="M118" s="11">
        <f t="shared" si="14"/>
        <v>2197</v>
      </c>
      <c r="N118" s="11">
        <f t="shared" si="14"/>
        <v>169</v>
      </c>
      <c r="O118" s="11">
        <f t="shared" si="14"/>
        <v>13</v>
      </c>
      <c r="P118" s="11">
        <f t="shared" si="13"/>
        <v>0</v>
      </c>
    </row>
    <row r="119" spans="1:16" x14ac:dyDescent="0.25">
      <c r="A119" s="11">
        <f t="shared" si="12"/>
        <v>64</v>
      </c>
      <c r="B119">
        <v>1.2235520786546514</v>
      </c>
      <c r="E119" s="11">
        <f>A119-'Mastercurve bestimmen'!$B$2</f>
        <v>14</v>
      </c>
      <c r="F119" s="11">
        <f t="shared" si="10"/>
        <v>1.2235520786546514</v>
      </c>
      <c r="G119" s="11"/>
      <c r="H119" s="11">
        <f t="shared" si="11"/>
        <v>1475789056</v>
      </c>
      <c r="I119" s="11">
        <f t="shared" si="14"/>
        <v>105413504</v>
      </c>
      <c r="J119" s="11">
        <f t="shared" si="14"/>
        <v>7529536</v>
      </c>
      <c r="K119" s="11">
        <f t="shared" si="14"/>
        <v>537824</v>
      </c>
      <c r="L119" s="11">
        <f t="shared" si="14"/>
        <v>38416</v>
      </c>
      <c r="M119" s="11">
        <f t="shared" si="14"/>
        <v>2744</v>
      </c>
      <c r="N119" s="11">
        <f t="shared" si="14"/>
        <v>196</v>
      </c>
      <c r="O119" s="11">
        <f t="shared" si="14"/>
        <v>14</v>
      </c>
      <c r="P119" s="11">
        <f t="shared" si="13"/>
        <v>0</v>
      </c>
    </row>
    <row r="120" spans="1:16" x14ac:dyDescent="0.25">
      <c r="A120" s="11">
        <f t="shared" si="12"/>
        <v>65</v>
      </c>
      <c r="B120">
        <v>1.3156941694409026</v>
      </c>
      <c r="E120" s="11">
        <f>A120-'Mastercurve bestimmen'!$B$2</f>
        <v>15</v>
      </c>
      <c r="F120" s="11">
        <f t="shared" si="10"/>
        <v>1.3156941694409026</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1.4085881746296081</v>
      </c>
      <c r="E121" s="11">
        <f>A121-'Mastercurve bestimmen'!$B$2</f>
        <v>16</v>
      </c>
      <c r="F121" s="11">
        <f t="shared" si="10"/>
        <v>1.4085881746296081</v>
      </c>
      <c r="G121" s="11"/>
      <c r="H121" s="11">
        <f t="shared" si="11"/>
        <v>4294967296</v>
      </c>
      <c r="I121" s="11">
        <f t="shared" si="14"/>
        <v>268435456</v>
      </c>
      <c r="J121" s="11">
        <f t="shared" si="14"/>
        <v>16777216</v>
      </c>
      <c r="K121" s="11">
        <f t="shared" si="14"/>
        <v>1048576</v>
      </c>
      <c r="L121" s="11">
        <f t="shared" si="14"/>
        <v>65536</v>
      </c>
      <c r="M121" s="11">
        <f t="shared" si="14"/>
        <v>4096</v>
      </c>
      <c r="N121" s="11">
        <f t="shared" si="14"/>
        <v>256</v>
      </c>
      <c r="O121" s="11">
        <f t="shared" si="14"/>
        <v>16</v>
      </c>
      <c r="P121" s="11">
        <f t="shared" si="13"/>
        <v>0</v>
      </c>
    </row>
    <row r="122" spans="1:16" x14ac:dyDescent="0.25">
      <c r="A122" s="11">
        <f t="shared" si="12"/>
        <v>67</v>
      </c>
      <c r="B122">
        <v>1.5022564403277407</v>
      </c>
      <c r="E122" s="11">
        <f>A122-'Mastercurve bestimmen'!$B$2</f>
        <v>17</v>
      </c>
      <c r="F122" s="11">
        <f t="shared" si="10"/>
        <v>1.5022564403277407</v>
      </c>
      <c r="G122" s="11"/>
      <c r="H122" s="11">
        <f t="shared" si="11"/>
        <v>6975757441</v>
      </c>
      <c r="I122" s="11">
        <f t="shared" si="14"/>
        <v>410338673</v>
      </c>
      <c r="J122" s="11">
        <f t="shared" si="14"/>
        <v>24137569</v>
      </c>
      <c r="K122" s="11">
        <f t="shared" si="14"/>
        <v>1419857</v>
      </c>
      <c r="L122" s="11">
        <f t="shared" si="14"/>
        <v>83521</v>
      </c>
      <c r="M122" s="11">
        <f t="shared" si="14"/>
        <v>4913</v>
      </c>
      <c r="N122" s="11">
        <f t="shared" si="14"/>
        <v>289</v>
      </c>
      <c r="O122" s="11">
        <f t="shared" si="14"/>
        <v>17</v>
      </c>
      <c r="P122" s="11">
        <f t="shared" si="13"/>
        <v>0</v>
      </c>
    </row>
    <row r="123" spans="1:16" x14ac:dyDescent="0.25">
      <c r="A123" s="11">
        <f t="shared" si="12"/>
        <v>68</v>
      </c>
      <c r="B123">
        <v>1.5967213126422739</v>
      </c>
      <c r="E123" s="11">
        <f>A123-'Mastercurve bestimmen'!$B$2</f>
        <v>18</v>
      </c>
      <c r="F123" s="11">
        <f t="shared" si="10"/>
        <v>1.5967213126422739</v>
      </c>
      <c r="G123" s="11"/>
      <c r="H123" s="11">
        <f t="shared" si="11"/>
        <v>11019960576</v>
      </c>
      <c r="I123" s="11">
        <f t="shared" si="14"/>
        <v>612220032</v>
      </c>
      <c r="J123" s="11">
        <f t="shared" si="14"/>
        <v>34012224</v>
      </c>
      <c r="K123" s="11">
        <f t="shared" si="14"/>
        <v>1889568</v>
      </c>
      <c r="L123" s="11">
        <f t="shared" si="14"/>
        <v>104976</v>
      </c>
      <c r="M123" s="11">
        <f t="shared" si="14"/>
        <v>5832</v>
      </c>
      <c r="N123" s="11">
        <f t="shared" si="14"/>
        <v>324</v>
      </c>
      <c r="O123" s="11">
        <f t="shared" si="14"/>
        <v>18</v>
      </c>
      <c r="P123" s="11">
        <f t="shared" si="13"/>
        <v>0</v>
      </c>
    </row>
    <row r="124" spans="1:16" x14ac:dyDescent="0.25">
      <c r="A124" s="11">
        <f t="shared" si="12"/>
        <v>69</v>
      </c>
      <c r="B124">
        <v>1.6920051376801801</v>
      </c>
      <c r="E124" s="11">
        <f>A124-'Mastercurve bestimmen'!$B$2</f>
        <v>19</v>
      </c>
      <c r="F124" s="11">
        <f t="shared" si="10"/>
        <v>1.6920051376801801</v>
      </c>
      <c r="G124" s="11"/>
      <c r="H124" s="11">
        <f t="shared" si="11"/>
        <v>16983563041</v>
      </c>
      <c r="I124" s="11">
        <f t="shared" si="14"/>
        <v>893871739</v>
      </c>
      <c r="J124" s="11">
        <f t="shared" si="14"/>
        <v>47045881</v>
      </c>
      <c r="K124" s="11">
        <f t="shared" si="14"/>
        <v>2476099</v>
      </c>
      <c r="L124" s="11">
        <f t="shared" si="14"/>
        <v>130321</v>
      </c>
      <c r="M124" s="11">
        <f t="shared" si="14"/>
        <v>6859</v>
      </c>
      <c r="N124" s="11">
        <f t="shared" si="14"/>
        <v>361</v>
      </c>
      <c r="O124" s="11">
        <f t="shared" si="14"/>
        <v>19</v>
      </c>
      <c r="P124" s="11">
        <f t="shared" si="13"/>
        <v>0</v>
      </c>
    </row>
    <row r="125" spans="1:16" x14ac:dyDescent="0.25">
      <c r="A125" s="11">
        <f t="shared" si="12"/>
        <v>70</v>
      </c>
      <c r="B125">
        <v>1.7881302615484325</v>
      </c>
      <c r="E125" s="11">
        <f>A125-'Mastercurve bestimmen'!$B$2</f>
        <v>20</v>
      </c>
      <c r="F125" s="11">
        <f t="shared" si="10"/>
        <v>1.7881302615484325</v>
      </c>
      <c r="G125" s="11"/>
      <c r="H125" s="11">
        <f t="shared" si="11"/>
        <v>25600000000</v>
      </c>
      <c r="I125" s="11">
        <f t="shared" si="14"/>
        <v>1280000000</v>
      </c>
      <c r="J125" s="11">
        <f t="shared" si="14"/>
        <v>64000000</v>
      </c>
      <c r="K125" s="11">
        <f t="shared" si="14"/>
        <v>3200000</v>
      </c>
      <c r="L125" s="11">
        <f t="shared" si="14"/>
        <v>160000</v>
      </c>
      <c r="M125" s="11">
        <f t="shared" si="14"/>
        <v>8000</v>
      </c>
      <c r="N125" s="11">
        <f t="shared" si="14"/>
        <v>400</v>
      </c>
      <c r="O125" s="11">
        <f t="shared" si="14"/>
        <v>20</v>
      </c>
      <c r="P125" s="11">
        <f t="shared" si="13"/>
        <v>0</v>
      </c>
    </row>
    <row r="126" spans="1:16" x14ac:dyDescent="0.25">
      <c r="A126" s="11">
        <f t="shared" si="12"/>
        <v>71</v>
      </c>
      <c r="B126">
        <v>1.8851190303540042</v>
      </c>
      <c r="E126" s="11">
        <f>A126-'Mastercurve bestimmen'!$B$2</f>
        <v>21</v>
      </c>
      <c r="F126" s="11">
        <f t="shared" si="10"/>
        <v>1.8851190303540042</v>
      </c>
      <c r="G126" s="11"/>
      <c r="H126" s="11">
        <f t="shared" si="11"/>
        <v>37822859361</v>
      </c>
      <c r="I126" s="11">
        <f t="shared" si="14"/>
        <v>1801088541</v>
      </c>
      <c r="J126" s="11">
        <f t="shared" si="14"/>
        <v>85766121</v>
      </c>
      <c r="K126" s="11">
        <f t="shared" si="14"/>
        <v>4084101</v>
      </c>
      <c r="L126" s="11">
        <f t="shared" si="14"/>
        <v>194481</v>
      </c>
      <c r="M126" s="11">
        <f t="shared" si="14"/>
        <v>9261</v>
      </c>
      <c r="N126" s="11">
        <f t="shared" si="14"/>
        <v>441</v>
      </c>
      <c r="O126" s="11">
        <f t="shared" si="14"/>
        <v>21</v>
      </c>
      <c r="P126" s="11">
        <f t="shared" si="13"/>
        <v>0</v>
      </c>
    </row>
    <row r="127" spans="1:16" x14ac:dyDescent="0.25">
      <c r="A127" s="11">
        <f t="shared" si="12"/>
        <v>72</v>
      </c>
      <c r="B127">
        <v>1.9829937902038677</v>
      </c>
      <c r="E127" s="11">
        <f>A127-'Mastercurve bestimmen'!$B$2</f>
        <v>22</v>
      </c>
      <c r="F127" s="11">
        <f t="shared" si="10"/>
        <v>1.9829937902038677</v>
      </c>
      <c r="G127" s="11"/>
      <c r="H127" s="11">
        <f t="shared" si="11"/>
        <v>54875873536</v>
      </c>
      <c r="I127" s="11">
        <f t="shared" si="14"/>
        <v>2494357888</v>
      </c>
      <c r="J127" s="11">
        <f t="shared" si="14"/>
        <v>113379904</v>
      </c>
      <c r="K127" s="11">
        <f t="shared" si="14"/>
        <v>5153632</v>
      </c>
      <c r="L127" s="11">
        <f t="shared" si="14"/>
        <v>234256</v>
      </c>
      <c r="M127" s="11">
        <f t="shared" si="14"/>
        <v>10648</v>
      </c>
      <c r="N127" s="11">
        <f t="shared" si="14"/>
        <v>484</v>
      </c>
      <c r="O127" s="11">
        <f t="shared" si="14"/>
        <v>22</v>
      </c>
      <c r="P127" s="11">
        <f t="shared" si="13"/>
        <v>0</v>
      </c>
    </row>
    <row r="128" spans="1:16" x14ac:dyDescent="0.25">
      <c r="A128" s="11">
        <f t="shared" si="12"/>
        <v>73</v>
      </c>
      <c r="B128">
        <v>2.0817768872049962</v>
      </c>
      <c r="E128" s="11">
        <f>A128-'Mastercurve bestimmen'!$B$2</f>
        <v>23</v>
      </c>
      <c r="F128" s="11">
        <f t="shared" si="10"/>
        <v>2.0817768872049962</v>
      </c>
      <c r="G128" s="11"/>
      <c r="H128" s="11">
        <f t="shared" si="11"/>
        <v>78310985281</v>
      </c>
      <c r="I128" s="11">
        <f t="shared" si="14"/>
        <v>3404825447</v>
      </c>
      <c r="J128" s="11">
        <f t="shared" si="14"/>
        <v>148035889</v>
      </c>
      <c r="K128" s="11">
        <f t="shared" si="14"/>
        <v>6436343</v>
      </c>
      <c r="L128" s="11">
        <f t="shared" si="14"/>
        <v>279841</v>
      </c>
      <c r="M128" s="11">
        <f t="shared" si="14"/>
        <v>12167</v>
      </c>
      <c r="N128" s="11">
        <f t="shared" si="14"/>
        <v>529</v>
      </c>
      <c r="O128" s="11">
        <f t="shared" si="14"/>
        <v>23</v>
      </c>
      <c r="P128" s="11">
        <f t="shared" si="13"/>
        <v>0</v>
      </c>
    </row>
    <row r="129" spans="1:16" x14ac:dyDescent="0.25">
      <c r="A129" s="11">
        <f t="shared" si="12"/>
        <v>74</v>
      </c>
      <c r="B129">
        <v>2.1814906674643626</v>
      </c>
      <c r="E129" s="11">
        <f>A129-'Mastercurve bestimmen'!$B$2</f>
        <v>24</v>
      </c>
      <c r="F129" s="11">
        <f t="shared" si="10"/>
        <v>2.1814906674643626</v>
      </c>
      <c r="G129" s="11"/>
      <c r="H129" s="11">
        <f t="shared" si="11"/>
        <v>110075314176</v>
      </c>
      <c r="I129" s="11">
        <f t="shared" si="14"/>
        <v>4586471424</v>
      </c>
      <c r="J129" s="11">
        <f t="shared" si="14"/>
        <v>191102976</v>
      </c>
      <c r="K129" s="11">
        <f t="shared" si="14"/>
        <v>7962624</v>
      </c>
      <c r="L129" s="11">
        <f t="shared" si="14"/>
        <v>331776</v>
      </c>
      <c r="M129" s="11">
        <f t="shared" si="14"/>
        <v>13824</v>
      </c>
      <c r="N129" s="11">
        <f t="shared" si="14"/>
        <v>576</v>
      </c>
      <c r="O129" s="11">
        <f t="shared" si="14"/>
        <v>24</v>
      </c>
      <c r="P129" s="11">
        <f t="shared" si="13"/>
        <v>0</v>
      </c>
    </row>
    <row r="130" spans="1:16" x14ac:dyDescent="0.25">
      <c r="A130" s="11">
        <f t="shared" si="12"/>
        <v>75</v>
      </c>
      <c r="B130">
        <v>2.2821574770889397</v>
      </c>
      <c r="E130" s="11">
        <f>A130-'Mastercurve bestimmen'!$B$2</f>
        <v>25</v>
      </c>
      <c r="F130" s="11">
        <f t="shared" si="10"/>
        <v>2.2821574770889397</v>
      </c>
      <c r="G130" s="11"/>
      <c r="H130" s="11">
        <f t="shared" si="11"/>
        <v>152587890625</v>
      </c>
      <c r="I130" s="11">
        <f t="shared" si="14"/>
        <v>6103515625</v>
      </c>
      <c r="J130" s="11">
        <f t="shared" si="14"/>
        <v>244140625</v>
      </c>
      <c r="K130" s="11">
        <f t="shared" si="14"/>
        <v>9765625</v>
      </c>
      <c r="L130" s="11">
        <f t="shared" si="14"/>
        <v>390625</v>
      </c>
      <c r="M130" s="11">
        <f t="shared" si="14"/>
        <v>15625</v>
      </c>
      <c r="N130" s="11">
        <f t="shared" si="14"/>
        <v>625</v>
      </c>
      <c r="O130" s="11">
        <f t="shared" si="14"/>
        <v>25</v>
      </c>
      <c r="P130" s="11">
        <f t="shared" si="13"/>
        <v>0</v>
      </c>
    </row>
    <row r="131" spans="1:16" x14ac:dyDescent="0.25">
      <c r="A131" s="11">
        <f t="shared" si="12"/>
        <v>76</v>
      </c>
      <c r="B131">
        <v>2.3837996621857012</v>
      </c>
      <c r="E131" s="11">
        <f>A131-'Mastercurve bestimmen'!$B$2</f>
        <v>26</v>
      </c>
      <c r="F131" s="11">
        <f t="shared" si="10"/>
        <v>2.3837996621857012</v>
      </c>
      <c r="G131" s="11"/>
      <c r="H131" s="11">
        <f t="shared" si="11"/>
        <v>208827064576</v>
      </c>
      <c r="I131" s="11">
        <f t="shared" si="14"/>
        <v>8031810176</v>
      </c>
      <c r="J131" s="11">
        <f t="shared" si="14"/>
        <v>308915776</v>
      </c>
      <c r="K131" s="11">
        <f t="shared" si="14"/>
        <v>11881376</v>
      </c>
      <c r="L131" s="11">
        <f t="shared" si="14"/>
        <v>456976</v>
      </c>
      <c r="M131" s="11">
        <f t="shared" si="14"/>
        <v>17576</v>
      </c>
      <c r="N131" s="11">
        <f t="shared" si="14"/>
        <v>676</v>
      </c>
      <c r="O131" s="11">
        <f t="shared" si="14"/>
        <v>26</v>
      </c>
      <c r="P131" s="11">
        <f t="shared" si="13"/>
        <v>0</v>
      </c>
    </row>
    <row r="132" spans="1:16" x14ac:dyDescent="0.25">
      <c r="A132" s="11">
        <f t="shared" si="12"/>
        <v>77</v>
      </c>
      <c r="B132">
        <v>2.4864395688616185</v>
      </c>
      <c r="E132" s="11">
        <f>A132-'Mastercurve bestimmen'!$B$2</f>
        <v>27</v>
      </c>
      <c r="F132" s="11">
        <f t="shared" si="10"/>
        <v>2.4864395688616185</v>
      </c>
      <c r="G132" s="11"/>
      <c r="H132" s="11">
        <f t="shared" si="11"/>
        <v>282429536481</v>
      </c>
      <c r="I132" s="11">
        <f t="shared" si="14"/>
        <v>10460353203</v>
      </c>
      <c r="J132" s="11">
        <f t="shared" si="14"/>
        <v>387420489</v>
      </c>
      <c r="K132" s="11">
        <f t="shared" si="14"/>
        <v>14348907</v>
      </c>
      <c r="L132" s="11">
        <f t="shared" si="14"/>
        <v>531441</v>
      </c>
      <c r="M132" s="11">
        <f t="shared" si="14"/>
        <v>19683</v>
      </c>
      <c r="N132" s="11">
        <f t="shared" si="14"/>
        <v>729</v>
      </c>
      <c r="O132" s="11">
        <f t="shared" si="14"/>
        <v>27</v>
      </c>
      <c r="P132" s="11">
        <f t="shared" si="13"/>
        <v>0</v>
      </c>
    </row>
    <row r="133" spans="1:16" x14ac:dyDescent="0.25">
      <c r="A133" s="11">
        <f t="shared" si="12"/>
        <v>78</v>
      </c>
      <c r="B133">
        <v>2.5900995432236664</v>
      </c>
      <c r="E133" s="11">
        <f>A133-'Mastercurve bestimmen'!$B$2</f>
        <v>28</v>
      </c>
      <c r="F133" s="11">
        <f t="shared" si="10"/>
        <v>2.5900995432236664</v>
      </c>
      <c r="G133" s="11"/>
      <c r="H133" s="11">
        <f t="shared" si="11"/>
        <v>377801998336</v>
      </c>
      <c r="I133" s="11">
        <f t="shared" si="14"/>
        <v>13492928512</v>
      </c>
      <c r="J133" s="11">
        <f t="shared" si="14"/>
        <v>481890304</v>
      </c>
      <c r="K133" s="11">
        <f t="shared" si="14"/>
        <v>17210368</v>
      </c>
      <c r="L133" s="11">
        <f t="shared" si="14"/>
        <v>614656</v>
      </c>
      <c r="M133" s="11">
        <f t="shared" si="14"/>
        <v>21952</v>
      </c>
      <c r="N133" s="11">
        <f t="shared" si="14"/>
        <v>784</v>
      </c>
      <c r="O133" s="11">
        <f t="shared" si="14"/>
        <v>28</v>
      </c>
      <c r="P133" s="11">
        <f t="shared" si="13"/>
        <v>0</v>
      </c>
    </row>
    <row r="134" spans="1:16" x14ac:dyDescent="0.25">
      <c r="A134" s="11">
        <f t="shared" si="12"/>
        <v>79</v>
      </c>
      <c r="B134">
        <v>2.6948019313788163</v>
      </c>
      <c r="E134" s="11">
        <f>A134-'Mastercurve bestimmen'!$B$2</f>
        <v>29</v>
      </c>
      <c r="F134" s="11">
        <f t="shared" si="10"/>
        <v>2.6948019313788163</v>
      </c>
      <c r="G134" s="11"/>
      <c r="H134" s="11">
        <f t="shared" si="11"/>
        <v>500246412961</v>
      </c>
      <c r="I134" s="11">
        <f t="shared" si="14"/>
        <v>17249876309</v>
      </c>
      <c r="J134" s="11">
        <f t="shared" si="14"/>
        <v>594823321</v>
      </c>
      <c r="K134" s="11">
        <f t="shared" si="14"/>
        <v>20511149</v>
      </c>
      <c r="L134" s="11">
        <f t="shared" si="14"/>
        <v>707281</v>
      </c>
      <c r="M134" s="11">
        <f t="shared" si="14"/>
        <v>24389</v>
      </c>
      <c r="N134" s="11">
        <f t="shared" si="14"/>
        <v>841</v>
      </c>
      <c r="O134" s="11">
        <f t="shared" si="14"/>
        <v>29</v>
      </c>
      <c r="P134" s="11">
        <f t="shared" si="13"/>
        <v>0</v>
      </c>
    </row>
    <row r="135" spans="1:16" x14ac:dyDescent="0.25">
      <c r="A135" s="11">
        <f t="shared" si="12"/>
        <v>80</v>
      </c>
      <c r="B135">
        <v>2.8005690794340423</v>
      </c>
      <c r="E135" s="11">
        <f>A135-'Mastercurve bestimmen'!$B$2</f>
        <v>30</v>
      </c>
      <c r="F135" s="11">
        <f t="shared" si="10"/>
        <v>2.8005690794340423</v>
      </c>
      <c r="G135" s="11"/>
      <c r="H135" s="11">
        <f t="shared" si="11"/>
        <v>656100000000</v>
      </c>
      <c r="I135" s="11">
        <f t="shared" si="14"/>
        <v>21870000000</v>
      </c>
      <c r="J135" s="11">
        <f t="shared" si="14"/>
        <v>729000000</v>
      </c>
      <c r="K135" s="11">
        <f t="shared" si="14"/>
        <v>24300000</v>
      </c>
      <c r="L135" s="11">
        <f t="shared" si="14"/>
        <v>810000</v>
      </c>
      <c r="M135" s="11">
        <f t="shared" si="14"/>
        <v>27000</v>
      </c>
      <c r="N135" s="11">
        <f t="shared" si="14"/>
        <v>900</v>
      </c>
      <c r="O135" s="11">
        <f t="shared" si="14"/>
        <v>30</v>
      </c>
      <c r="P135" s="11">
        <f t="shared" si="13"/>
        <v>0</v>
      </c>
    </row>
    <row r="136" spans="1:16" x14ac:dyDescent="0.25">
      <c r="A136" s="11">
        <f t="shared" si="12"/>
        <v>81</v>
      </c>
      <c r="B136">
        <v>2.9074189657793195</v>
      </c>
      <c r="E136" s="11">
        <f>A136-'Mastercurve bestimmen'!$B$2</f>
        <v>31</v>
      </c>
      <c r="F136" s="11">
        <f t="shared" si="10"/>
        <v>2.9074189657793195</v>
      </c>
      <c r="G136" s="11"/>
      <c r="H136" s="11">
        <f t="shared" si="11"/>
        <v>852891037441</v>
      </c>
      <c r="I136" s="11">
        <f t="shared" si="14"/>
        <v>27512614111</v>
      </c>
      <c r="J136" s="11">
        <f t="shared" si="14"/>
        <v>887503681</v>
      </c>
      <c r="K136" s="11">
        <f t="shared" si="14"/>
        <v>28629151</v>
      </c>
      <c r="L136" s="11">
        <f t="shared" si="14"/>
        <v>923521</v>
      </c>
      <c r="M136" s="11">
        <f t="shared" si="14"/>
        <v>29791</v>
      </c>
      <c r="N136" s="11">
        <f t="shared" si="14"/>
        <v>961</v>
      </c>
      <c r="O136" s="11">
        <f t="shared" si="14"/>
        <v>31</v>
      </c>
      <c r="P136" s="11">
        <f t="shared" si="13"/>
        <v>0</v>
      </c>
    </row>
    <row r="137" spans="1:16" x14ac:dyDescent="0.25">
      <c r="A137" s="11">
        <f t="shared" si="12"/>
        <v>82</v>
      </c>
      <c r="B137">
        <v>3.0153520979366379</v>
      </c>
      <c r="E137" s="11">
        <f>A137-'Mastercurve bestimmen'!$B$2</f>
        <v>32</v>
      </c>
      <c r="F137" s="11">
        <f t="shared" si="10"/>
        <v>3.0153520979366379</v>
      </c>
      <c r="G137" s="11"/>
      <c r="H137" s="11">
        <f t="shared" si="11"/>
        <v>1099511627776</v>
      </c>
      <c r="I137" s="11">
        <f t="shared" si="14"/>
        <v>34359738368</v>
      </c>
      <c r="J137" s="11">
        <f t="shared" si="14"/>
        <v>1073741824</v>
      </c>
      <c r="K137" s="11">
        <f t="shared" si="14"/>
        <v>33554432</v>
      </c>
      <c r="L137" s="11">
        <f t="shared" si="14"/>
        <v>1048576</v>
      </c>
      <c r="M137" s="11">
        <f t="shared" si="14"/>
        <v>32768</v>
      </c>
      <c r="N137" s="11">
        <f t="shared" si="14"/>
        <v>1024</v>
      </c>
      <c r="O137" s="11">
        <f t="shared" si="14"/>
        <v>32</v>
      </c>
      <c r="P137" s="11">
        <f t="shared" si="13"/>
        <v>0</v>
      </c>
    </row>
    <row r="138" spans="1:16" x14ac:dyDescent="0.25">
      <c r="A138" s="11">
        <f t="shared" si="12"/>
        <v>83</v>
      </c>
      <c r="B138">
        <v>3.1243646157109906</v>
      </c>
      <c r="E138" s="11">
        <f>A138-'Mastercurve bestimmen'!$B$2</f>
        <v>33</v>
      </c>
      <c r="F138" s="11">
        <f t="shared" si="10"/>
        <v>3.1243646157109906</v>
      </c>
      <c r="G138" s="11"/>
      <c r="H138" s="11">
        <f t="shared" si="11"/>
        <v>1406408618241</v>
      </c>
      <c r="I138" s="11">
        <f t="shared" si="14"/>
        <v>42618442977</v>
      </c>
      <c r="J138" s="11">
        <f t="shared" si="14"/>
        <v>1291467969</v>
      </c>
      <c r="K138" s="11">
        <f t="shared" si="14"/>
        <v>39135393</v>
      </c>
      <c r="L138" s="11">
        <f t="shared" si="14"/>
        <v>1185921</v>
      </c>
      <c r="M138" s="11">
        <f t="shared" si="14"/>
        <v>35937</v>
      </c>
      <c r="N138" s="11">
        <f t="shared" si="14"/>
        <v>1089</v>
      </c>
      <c r="O138" s="11">
        <f t="shared" si="14"/>
        <v>33</v>
      </c>
      <c r="P138" s="11">
        <f t="shared" si="13"/>
        <v>0</v>
      </c>
    </row>
    <row r="139" spans="1:16" x14ac:dyDescent="0.25">
      <c r="A139" s="11">
        <f t="shared" si="12"/>
        <v>84</v>
      </c>
      <c r="B139">
        <v>3.2344526589073683</v>
      </c>
      <c r="E139" s="11">
        <f>A139-'Mastercurve bestimmen'!$B$2</f>
        <v>34</v>
      </c>
      <c r="F139" s="11">
        <f t="shared" si="10"/>
        <v>3.2344526589073683</v>
      </c>
      <c r="G139" s="11"/>
      <c r="H139" s="11">
        <f t="shared" si="11"/>
        <v>1785793904896</v>
      </c>
      <c r="I139" s="11">
        <f t="shared" si="14"/>
        <v>52523350144</v>
      </c>
      <c r="J139" s="11">
        <f t="shared" si="14"/>
        <v>1544804416</v>
      </c>
      <c r="K139" s="11">
        <f t="shared" si="14"/>
        <v>45435424</v>
      </c>
      <c r="L139" s="11">
        <f t="shared" si="14"/>
        <v>1336336</v>
      </c>
      <c r="M139" s="11">
        <f t="shared" si="14"/>
        <v>39304</v>
      </c>
      <c r="N139" s="11">
        <f t="shared" si="14"/>
        <v>1156</v>
      </c>
      <c r="O139" s="11">
        <f t="shared" si="14"/>
        <v>34</v>
      </c>
      <c r="P139" s="11">
        <f t="shared" si="13"/>
        <v>0</v>
      </c>
    </row>
    <row r="140" spans="1:16" x14ac:dyDescent="0.25">
      <c r="A140" s="11">
        <f t="shared" si="12"/>
        <v>85</v>
      </c>
      <c r="B140">
        <v>3.3456123673307654</v>
      </c>
      <c r="E140" s="11">
        <f>A140-'Mastercurve bestimmen'!$B$2</f>
        <v>35</v>
      </c>
      <c r="F140" s="11">
        <f t="shared" si="10"/>
        <v>3.3456123673307654</v>
      </c>
      <c r="G140" s="11"/>
      <c r="H140" s="11">
        <f t="shared" si="11"/>
        <v>2251875390625</v>
      </c>
      <c r="I140" s="11">
        <f t="shared" si="14"/>
        <v>64339296875</v>
      </c>
      <c r="J140" s="11">
        <f t="shared" si="14"/>
        <v>1838265625</v>
      </c>
      <c r="K140" s="11">
        <f t="shared" si="14"/>
        <v>52521875</v>
      </c>
      <c r="L140" s="11">
        <f t="shared" si="14"/>
        <v>1500625</v>
      </c>
      <c r="M140" s="11">
        <f t="shared" si="14"/>
        <v>42875</v>
      </c>
      <c r="N140" s="11">
        <f t="shared" si="14"/>
        <v>1225</v>
      </c>
      <c r="O140" s="11">
        <f t="shared" si="14"/>
        <v>35</v>
      </c>
      <c r="P140" s="11">
        <f t="shared" si="13"/>
        <v>0</v>
      </c>
    </row>
    <row r="141" spans="1:16" x14ac:dyDescent="0.25">
      <c r="A141" s="11">
        <f t="shared" si="12"/>
        <v>86</v>
      </c>
      <c r="B141">
        <v>3.4578398807861732</v>
      </c>
      <c r="E141" s="11">
        <f>A141-'Mastercurve bestimmen'!$B$2</f>
        <v>36</v>
      </c>
      <c r="F141" s="11">
        <f t="shared" si="10"/>
        <v>3.4578398807861732</v>
      </c>
      <c r="G141" s="11"/>
      <c r="H141" s="11">
        <f t="shared" si="11"/>
        <v>2821109907456</v>
      </c>
      <c r="I141" s="11">
        <f t="shared" si="14"/>
        <v>78364164096</v>
      </c>
      <c r="J141" s="11">
        <f t="shared" si="14"/>
        <v>2176782336</v>
      </c>
      <c r="K141" s="11">
        <f t="shared" si="14"/>
        <v>60466176</v>
      </c>
      <c r="L141" s="11">
        <f t="shared" si="14"/>
        <v>1679616</v>
      </c>
      <c r="M141" s="11">
        <f t="shared" si="14"/>
        <v>46656</v>
      </c>
      <c r="N141" s="11">
        <f t="shared" si="14"/>
        <v>1296</v>
      </c>
      <c r="O141" s="11">
        <f t="shared" si="14"/>
        <v>36</v>
      </c>
      <c r="P141" s="11">
        <f t="shared" si="13"/>
        <v>0</v>
      </c>
    </row>
    <row r="142" spans="1:16" x14ac:dyDescent="0.25">
      <c r="A142" s="11">
        <f t="shared" si="12"/>
        <v>87</v>
      </c>
      <c r="B142">
        <v>3.571131339078585</v>
      </c>
      <c r="E142" s="11">
        <f>A142-'Mastercurve bestimmen'!$B$2</f>
        <v>37</v>
      </c>
      <c r="F142" s="11">
        <f t="shared" si="10"/>
        <v>3.571131339078585</v>
      </c>
      <c r="G142" s="11"/>
      <c r="H142" s="11">
        <f t="shared" si="11"/>
        <v>3512479453921</v>
      </c>
      <c r="I142" s="11">
        <f t="shared" si="14"/>
        <v>94931877133</v>
      </c>
      <c r="J142" s="11">
        <f t="shared" si="14"/>
        <v>2565726409</v>
      </c>
      <c r="K142" s="11">
        <f t="shared" si="14"/>
        <v>69343957</v>
      </c>
      <c r="L142" s="11">
        <f t="shared" si="14"/>
        <v>1874161</v>
      </c>
      <c r="M142" s="11">
        <f t="shared" si="14"/>
        <v>50653</v>
      </c>
      <c r="N142" s="11">
        <f t="shared" si="14"/>
        <v>1369</v>
      </c>
      <c r="O142" s="11">
        <f t="shared" si="14"/>
        <v>37</v>
      </c>
      <c r="P142" s="11">
        <f t="shared" si="13"/>
        <v>0</v>
      </c>
    </row>
    <row r="143" spans="1:16" x14ac:dyDescent="0.25">
      <c r="A143" s="11">
        <f t="shared" si="12"/>
        <v>88</v>
      </c>
      <c r="B143">
        <v>3.6854828820129928</v>
      </c>
      <c r="E143" s="11">
        <f>A143-'Mastercurve bestimmen'!$B$2</f>
        <v>38</v>
      </c>
      <c r="F143" s="11">
        <f t="shared" si="10"/>
        <v>3.6854828820129928</v>
      </c>
      <c r="G143" s="11"/>
      <c r="H143" s="11">
        <f t="shared" si="11"/>
        <v>4347792138496</v>
      </c>
      <c r="I143" s="11">
        <f t="shared" si="14"/>
        <v>114415582592</v>
      </c>
      <c r="J143" s="11">
        <f t="shared" si="14"/>
        <v>3010936384</v>
      </c>
      <c r="K143" s="11">
        <f t="shared" si="14"/>
        <v>79235168</v>
      </c>
      <c r="L143" s="11">
        <f t="shared" si="14"/>
        <v>2085136</v>
      </c>
      <c r="M143" s="11">
        <f t="shared" si="14"/>
        <v>54872</v>
      </c>
      <c r="N143" s="11">
        <f t="shared" si="14"/>
        <v>1444</v>
      </c>
      <c r="O143" s="11">
        <f t="shared" si="14"/>
        <v>38</v>
      </c>
      <c r="P143" s="11">
        <f t="shared" si="13"/>
        <v>0</v>
      </c>
    </row>
    <row r="144" spans="1:16" x14ac:dyDescent="0.25">
      <c r="A144" s="11">
        <f t="shared" si="12"/>
        <v>89</v>
      </c>
      <c r="B144">
        <v>3.8008906493943888</v>
      </c>
      <c r="E144" s="11">
        <f>A144-'Mastercurve bestimmen'!$B$2</f>
        <v>39</v>
      </c>
      <c r="F144" s="11">
        <f t="shared" ref="F144:F207" si="15">B144</f>
        <v>3.8008906493943888</v>
      </c>
      <c r="G144" s="11"/>
      <c r="H144" s="11">
        <f t="shared" ref="H144:H207" si="16">IF($H$12&gt;=H$14,$E144^H$14,0)</f>
        <v>5352009260481</v>
      </c>
      <c r="I144" s="11">
        <f t="shared" si="14"/>
        <v>137231006679</v>
      </c>
      <c r="J144" s="11">
        <f t="shared" si="14"/>
        <v>3518743761</v>
      </c>
      <c r="K144" s="11">
        <f t="shared" si="14"/>
        <v>90224199</v>
      </c>
      <c r="L144" s="11">
        <f t="shared" si="14"/>
        <v>2313441</v>
      </c>
      <c r="M144" s="11">
        <f t="shared" si="14"/>
        <v>59319</v>
      </c>
      <c r="N144" s="11">
        <f t="shared" si="14"/>
        <v>1521</v>
      </c>
      <c r="O144" s="11">
        <f t="shared" si="14"/>
        <v>39</v>
      </c>
      <c r="P144" s="11">
        <f t="shared" si="13"/>
        <v>0</v>
      </c>
    </row>
    <row r="145" spans="1:16" x14ac:dyDescent="0.25">
      <c r="A145" s="11">
        <f t="shared" ref="A145:A208" si="17">A144+1</f>
        <v>90</v>
      </c>
      <c r="B145">
        <v>3.9173507810277672</v>
      </c>
      <c r="E145" s="11">
        <f>A145-'Mastercurve bestimmen'!$B$2</f>
        <v>40</v>
      </c>
      <c r="F145" s="11">
        <f t="shared" si="15"/>
        <v>3.9173507810277672</v>
      </c>
      <c r="G145" s="11"/>
      <c r="H145" s="11">
        <f t="shared" si="16"/>
        <v>6553600000000</v>
      </c>
      <c r="I145" s="11">
        <f t="shared" si="14"/>
        <v>163840000000</v>
      </c>
      <c r="J145" s="11">
        <f t="shared" si="14"/>
        <v>4096000000</v>
      </c>
      <c r="K145" s="11">
        <f t="shared" si="14"/>
        <v>102400000</v>
      </c>
      <c r="L145" s="11">
        <f t="shared" si="14"/>
        <v>2560000</v>
      </c>
      <c r="M145" s="11">
        <f t="shared" si="14"/>
        <v>64000</v>
      </c>
      <c r="N145" s="11">
        <f t="shared" si="14"/>
        <v>1600</v>
      </c>
      <c r="O145" s="11">
        <f t="shared" si="14"/>
        <v>40</v>
      </c>
      <c r="P145" s="11">
        <f t="shared" ref="P145:P208" si="18">P144</f>
        <v>0</v>
      </c>
    </row>
    <row r="146" spans="1:16" x14ac:dyDescent="0.25">
      <c r="A146" s="11">
        <f t="shared" si="17"/>
        <v>91</v>
      </c>
      <c r="B146">
        <v>4.0348594167181187</v>
      </c>
      <c r="E146" s="11">
        <f>A146-'Mastercurve bestimmen'!$B$2</f>
        <v>41</v>
      </c>
      <c r="F146" s="11">
        <f t="shared" si="15"/>
        <v>4.0348594167181187</v>
      </c>
      <c r="G146" s="11"/>
      <c r="H146" s="11">
        <f t="shared" si="16"/>
        <v>7984925229121</v>
      </c>
      <c r="I146" s="11">
        <f t="shared" si="14"/>
        <v>194754273881</v>
      </c>
      <c r="J146" s="11">
        <f t="shared" si="14"/>
        <v>4750104241</v>
      </c>
      <c r="K146" s="11">
        <f t="shared" si="14"/>
        <v>115856201</v>
      </c>
      <c r="L146" s="11">
        <f t="shared" si="14"/>
        <v>2825761</v>
      </c>
      <c r="M146" s="11">
        <f t="shared" si="14"/>
        <v>68921</v>
      </c>
      <c r="N146" s="11">
        <f t="shared" si="14"/>
        <v>1681</v>
      </c>
      <c r="O146" s="11">
        <f t="shared" si="14"/>
        <v>41</v>
      </c>
      <c r="P146" s="11">
        <f t="shared" si="18"/>
        <v>0</v>
      </c>
    </row>
    <row r="147" spans="1:16" x14ac:dyDescent="0.25">
      <c r="A147" s="11">
        <f t="shared" si="17"/>
        <v>92</v>
      </c>
      <c r="B147">
        <v>4.1534126962704372</v>
      </c>
      <c r="E147" s="11">
        <f>A147-'Mastercurve bestimmen'!$B$2</f>
        <v>42</v>
      </c>
      <c r="F147" s="11">
        <f t="shared" si="15"/>
        <v>4.1534126962704372</v>
      </c>
      <c r="G147" s="11"/>
      <c r="H147" s="11">
        <f t="shared" si="16"/>
        <v>9682651996416</v>
      </c>
      <c r="I147" s="11">
        <f t="shared" si="14"/>
        <v>230539333248</v>
      </c>
      <c r="J147" s="11">
        <f t="shared" si="14"/>
        <v>5489031744</v>
      </c>
      <c r="K147" s="11">
        <f t="shared" si="14"/>
        <v>130691232</v>
      </c>
      <c r="L147" s="11">
        <f t="shared" si="14"/>
        <v>3111696</v>
      </c>
      <c r="M147" s="11">
        <f t="shared" si="14"/>
        <v>74088</v>
      </c>
      <c r="N147" s="11">
        <f t="shared" si="14"/>
        <v>1764</v>
      </c>
      <c r="O147" s="11">
        <f t="shared" si="14"/>
        <v>42</v>
      </c>
      <c r="P147" s="11">
        <f t="shared" si="18"/>
        <v>0</v>
      </c>
    </row>
    <row r="148" spans="1:16" x14ac:dyDescent="0.25">
      <c r="A148" s="11">
        <f t="shared" si="17"/>
        <v>93</v>
      </c>
      <c r="B148">
        <v>4.2730067594897143</v>
      </c>
      <c r="E148" s="11">
        <f>A148-'Mastercurve bestimmen'!$B$2</f>
        <v>43</v>
      </c>
      <c r="F148" s="11">
        <f t="shared" si="15"/>
        <v>4.2730067594897143</v>
      </c>
      <c r="G148" s="11"/>
      <c r="H148" s="11">
        <f t="shared" si="16"/>
        <v>11688200277601</v>
      </c>
      <c r="I148" s="11">
        <f t="shared" si="14"/>
        <v>271818611107</v>
      </c>
      <c r="J148" s="11">
        <f t="shared" si="14"/>
        <v>6321363049</v>
      </c>
      <c r="K148" s="11">
        <f t="shared" si="14"/>
        <v>147008443</v>
      </c>
      <c r="L148" s="11">
        <f t="shared" si="14"/>
        <v>3418801</v>
      </c>
      <c r="M148" s="11">
        <f t="shared" si="14"/>
        <v>79507</v>
      </c>
      <c r="N148" s="11">
        <f t="shared" si="14"/>
        <v>1849</v>
      </c>
      <c r="O148" s="11">
        <f t="shared" si="14"/>
        <v>43</v>
      </c>
      <c r="P148" s="11">
        <f t="shared" si="18"/>
        <v>0</v>
      </c>
    </row>
    <row r="149" spans="1:16" x14ac:dyDescent="0.25">
      <c r="A149" s="11">
        <f t="shared" si="17"/>
        <v>94</v>
      </c>
      <c r="B149">
        <v>4.3936377461809428</v>
      </c>
      <c r="E149" s="11">
        <f>A149-'Mastercurve bestimmen'!$B$2</f>
        <v>44</v>
      </c>
      <c r="F149" s="11">
        <f t="shared" si="15"/>
        <v>4.3936377461809428</v>
      </c>
      <c r="G149" s="11"/>
      <c r="H149" s="11">
        <f t="shared" si="16"/>
        <v>14048223625216</v>
      </c>
      <c r="I149" s="11">
        <f t="shared" si="14"/>
        <v>319277809664</v>
      </c>
      <c r="J149" s="11">
        <f t="shared" si="14"/>
        <v>7256313856</v>
      </c>
      <c r="K149" s="11">
        <f t="shared" si="14"/>
        <v>164916224</v>
      </c>
      <c r="L149" s="11">
        <f t="shared" si="14"/>
        <v>3748096</v>
      </c>
      <c r="M149" s="11">
        <f t="shared" si="14"/>
        <v>85184</v>
      </c>
      <c r="N149" s="11">
        <f t="shared" si="14"/>
        <v>1936</v>
      </c>
      <c r="O149" s="11">
        <f t="shared" si="14"/>
        <v>44</v>
      </c>
      <c r="P149" s="11">
        <f t="shared" si="18"/>
        <v>0</v>
      </c>
    </row>
    <row r="150" spans="1:16" x14ac:dyDescent="0.25">
      <c r="A150" s="11">
        <f t="shared" si="17"/>
        <v>95</v>
      </c>
      <c r="B150">
        <v>4.5153017961491155</v>
      </c>
      <c r="E150" s="11">
        <f>A150-'Mastercurve bestimmen'!$B$2</f>
        <v>45</v>
      </c>
      <c r="F150" s="11">
        <f t="shared" si="15"/>
        <v>4.5153017961491155</v>
      </c>
      <c r="G150" s="11"/>
      <c r="H150" s="11">
        <f t="shared" si="16"/>
        <v>16815125390625</v>
      </c>
      <c r="I150" s="11">
        <f t="shared" si="14"/>
        <v>373669453125</v>
      </c>
      <c r="J150" s="11">
        <f t="shared" si="14"/>
        <v>8303765625</v>
      </c>
      <c r="K150" s="11">
        <f t="shared" si="14"/>
        <v>184528125</v>
      </c>
      <c r="L150" s="11">
        <f t="shared" si="14"/>
        <v>4100625</v>
      </c>
      <c r="M150" s="11">
        <f t="shared" si="14"/>
        <v>91125</v>
      </c>
      <c r="N150" s="11">
        <f t="shared" si="14"/>
        <v>2025</v>
      </c>
      <c r="O150" s="11">
        <f t="shared" si="14"/>
        <v>45</v>
      </c>
      <c r="P150" s="11">
        <f t="shared" si="18"/>
        <v>0</v>
      </c>
    </row>
    <row r="151" spans="1:16" x14ac:dyDescent="0.25">
      <c r="A151" s="11">
        <f t="shared" si="17"/>
        <v>96</v>
      </c>
      <c r="B151">
        <v>4.6379950491992243</v>
      </c>
      <c r="E151" s="11">
        <f>A151-'Mastercurve bestimmen'!$B$2</f>
        <v>46</v>
      </c>
      <c r="F151" s="11">
        <f t="shared" si="15"/>
        <v>4.6379950491992243</v>
      </c>
      <c r="G151" s="11"/>
      <c r="H151" s="11">
        <f t="shared" si="16"/>
        <v>20047612231936</v>
      </c>
      <c r="I151" s="11">
        <f t="shared" si="14"/>
        <v>435817657216</v>
      </c>
      <c r="J151" s="11">
        <f t="shared" si="14"/>
        <v>9474296896</v>
      </c>
      <c r="K151" s="11">
        <f t="shared" si="14"/>
        <v>205962976</v>
      </c>
      <c r="L151" s="11">
        <f t="shared" si="14"/>
        <v>4477456</v>
      </c>
      <c r="M151" s="11">
        <f t="shared" si="14"/>
        <v>97336</v>
      </c>
      <c r="N151" s="11">
        <f t="shared" si="14"/>
        <v>2116</v>
      </c>
      <c r="O151" s="11">
        <f t="shared" si="14"/>
        <v>46</v>
      </c>
      <c r="P151" s="11">
        <f t="shared" si="18"/>
        <v>0</v>
      </c>
    </row>
    <row r="152" spans="1:16" x14ac:dyDescent="0.25">
      <c r="A152" s="11">
        <f t="shared" si="17"/>
        <v>97</v>
      </c>
      <c r="B152">
        <v>4.7617136451362621</v>
      </c>
      <c r="E152" s="11">
        <f>A152-'Mastercurve bestimmen'!$B$2</f>
        <v>47</v>
      </c>
      <c r="F152" s="11">
        <f t="shared" si="15"/>
        <v>4.7617136451362621</v>
      </c>
      <c r="G152" s="11"/>
      <c r="H152" s="11">
        <f t="shared" si="16"/>
        <v>23811286661761</v>
      </c>
      <c r="I152" s="11">
        <f t="shared" si="14"/>
        <v>506623120463</v>
      </c>
      <c r="J152" s="11">
        <f t="shared" si="14"/>
        <v>10779215329</v>
      </c>
      <c r="K152" s="11">
        <f t="shared" si="14"/>
        <v>229345007</v>
      </c>
      <c r="L152" s="11">
        <f t="shared" si="14"/>
        <v>4879681</v>
      </c>
      <c r="M152" s="11">
        <f t="shared" si="14"/>
        <v>103823</v>
      </c>
      <c r="N152" s="11">
        <f t="shared" ref="I152:O189" si="19">IF($H$12&gt;=N$14,$E152^N$14,0)</f>
        <v>2209</v>
      </c>
      <c r="O152" s="11">
        <f t="shared" si="19"/>
        <v>47</v>
      </c>
      <c r="P152" s="11">
        <f t="shared" si="18"/>
        <v>0</v>
      </c>
    </row>
    <row r="153" spans="1:16" x14ac:dyDescent="0.25">
      <c r="A153" s="11">
        <f t="shared" si="17"/>
        <v>98</v>
      </c>
      <c r="B153">
        <v>4.8864537237652215</v>
      </c>
      <c r="E153" s="11">
        <f>A153-'Mastercurve bestimmen'!$B$2</f>
        <v>48</v>
      </c>
      <c r="F153" s="11">
        <f t="shared" si="15"/>
        <v>4.8864537237652215</v>
      </c>
      <c r="G153" s="11"/>
      <c r="H153" s="11">
        <f t="shared" si="16"/>
        <v>28179280429056</v>
      </c>
      <c r="I153" s="11">
        <f t="shared" si="19"/>
        <v>587068342272</v>
      </c>
      <c r="J153" s="11">
        <f t="shared" si="19"/>
        <v>12230590464</v>
      </c>
      <c r="K153" s="11">
        <f t="shared" si="19"/>
        <v>254803968</v>
      </c>
      <c r="L153" s="11">
        <f t="shared" si="19"/>
        <v>5308416</v>
      </c>
      <c r="M153" s="11">
        <f t="shared" si="19"/>
        <v>110592</v>
      </c>
      <c r="N153" s="11">
        <f t="shared" si="19"/>
        <v>2304</v>
      </c>
      <c r="O153" s="11">
        <f t="shared" si="19"/>
        <v>48</v>
      </c>
      <c r="P153" s="11">
        <f t="shared" si="18"/>
        <v>0</v>
      </c>
    </row>
    <row r="154" spans="1:16" x14ac:dyDescent="0.25">
      <c r="A154" s="11">
        <f t="shared" si="17"/>
        <v>99</v>
      </c>
      <c r="B154">
        <v>5.0122114248910954</v>
      </c>
      <c r="E154" s="11">
        <f>A154-'Mastercurve bestimmen'!$B$2</f>
        <v>49</v>
      </c>
      <c r="F154" s="11">
        <f t="shared" si="15"/>
        <v>5.0122114248910954</v>
      </c>
      <c r="G154" s="11"/>
      <c r="H154" s="11">
        <f t="shared" si="16"/>
        <v>33232930569601</v>
      </c>
      <c r="I154" s="11">
        <f t="shared" si="19"/>
        <v>678223072849</v>
      </c>
      <c r="J154" s="11">
        <f t="shared" si="19"/>
        <v>13841287201</v>
      </c>
      <c r="K154" s="11">
        <f t="shared" si="19"/>
        <v>282475249</v>
      </c>
      <c r="L154" s="11">
        <f t="shared" si="19"/>
        <v>5764801</v>
      </c>
      <c r="M154" s="11">
        <f t="shared" si="19"/>
        <v>117649</v>
      </c>
      <c r="N154" s="11">
        <f t="shared" si="19"/>
        <v>2401</v>
      </c>
      <c r="O154" s="11">
        <f t="shared" si="19"/>
        <v>49</v>
      </c>
      <c r="P154" s="11">
        <f t="shared" si="18"/>
        <v>0</v>
      </c>
    </row>
    <row r="155" spans="1:16" x14ac:dyDescent="0.25">
      <c r="A155" s="11">
        <f t="shared" si="17"/>
        <v>100</v>
      </c>
      <c r="B155">
        <v>5.1389828883188757</v>
      </c>
      <c r="E155" s="11">
        <f>A155-'Mastercurve bestimmen'!$B$2</f>
        <v>50</v>
      </c>
      <c r="F155" s="11">
        <f t="shared" si="15"/>
        <v>5.1389828883188757</v>
      </c>
      <c r="G155" s="11"/>
      <c r="H155" s="11">
        <f t="shared" si="16"/>
        <v>39062500000000</v>
      </c>
      <c r="I155" s="11">
        <f t="shared" si="19"/>
        <v>781250000000</v>
      </c>
      <c r="J155" s="11">
        <f t="shared" si="19"/>
        <v>15625000000</v>
      </c>
      <c r="K155" s="11">
        <f t="shared" si="19"/>
        <v>312500000</v>
      </c>
      <c r="L155" s="11">
        <f t="shared" si="19"/>
        <v>6250000</v>
      </c>
      <c r="M155" s="11">
        <f t="shared" si="19"/>
        <v>125000</v>
      </c>
      <c r="N155" s="11">
        <f t="shared" si="19"/>
        <v>2500</v>
      </c>
      <c r="O155" s="11">
        <f t="shared" si="19"/>
        <v>50</v>
      </c>
      <c r="P155" s="11">
        <f t="shared" si="18"/>
        <v>0</v>
      </c>
    </row>
    <row r="156" spans="1:16" x14ac:dyDescent="0.25">
      <c r="A156" s="11">
        <f t="shared" si="17"/>
        <v>101</v>
      </c>
      <c r="B156">
        <v>5.2667642538535553</v>
      </c>
      <c r="E156" s="11">
        <f>A156-'Mastercurve bestimmen'!$B$2</f>
        <v>51</v>
      </c>
      <c r="F156" s="11">
        <f t="shared" si="15"/>
        <v>5.2667642538535553</v>
      </c>
      <c r="G156" s="11"/>
      <c r="H156" s="11">
        <f t="shared" si="16"/>
        <v>45767944570401</v>
      </c>
      <c r="I156" s="11">
        <f t="shared" si="19"/>
        <v>897410677851</v>
      </c>
      <c r="J156" s="11">
        <f t="shared" si="19"/>
        <v>17596287801</v>
      </c>
      <c r="K156" s="11">
        <f t="shared" si="19"/>
        <v>345025251</v>
      </c>
      <c r="L156" s="11">
        <f t="shared" si="19"/>
        <v>6765201</v>
      </c>
      <c r="M156" s="11">
        <f t="shared" si="19"/>
        <v>132651</v>
      </c>
      <c r="N156" s="11">
        <f t="shared" si="19"/>
        <v>2601</v>
      </c>
      <c r="O156" s="11">
        <f t="shared" si="19"/>
        <v>51</v>
      </c>
      <c r="P156" s="11">
        <f t="shared" si="18"/>
        <v>0</v>
      </c>
    </row>
    <row r="157" spans="1:16" x14ac:dyDescent="0.25">
      <c r="A157" s="11">
        <f t="shared" si="17"/>
        <v>102</v>
      </c>
      <c r="B157">
        <v>5.3955516613001269</v>
      </c>
      <c r="E157" s="11">
        <f>A157-'Mastercurve bestimmen'!$B$2</f>
        <v>52</v>
      </c>
      <c r="F157" s="11">
        <f t="shared" si="15"/>
        <v>5.3955516613001269</v>
      </c>
      <c r="G157" s="11"/>
      <c r="H157" s="11">
        <f t="shared" si="16"/>
        <v>53459728531456</v>
      </c>
      <c r="I157" s="11">
        <f t="shared" si="19"/>
        <v>1028071702528</v>
      </c>
      <c r="J157" s="11">
        <f t="shared" si="19"/>
        <v>19770609664</v>
      </c>
      <c r="K157" s="11">
        <f t="shared" si="19"/>
        <v>380204032</v>
      </c>
      <c r="L157" s="11">
        <f t="shared" si="19"/>
        <v>7311616</v>
      </c>
      <c r="M157" s="11">
        <f t="shared" si="19"/>
        <v>140608</v>
      </c>
      <c r="N157" s="11">
        <f t="shared" si="19"/>
        <v>2704</v>
      </c>
      <c r="O157" s="11">
        <f t="shared" si="19"/>
        <v>52</v>
      </c>
      <c r="P157" s="11">
        <f t="shared" si="18"/>
        <v>0</v>
      </c>
    </row>
    <row r="158" spans="1:16" x14ac:dyDescent="0.25">
      <c r="A158" s="11">
        <f t="shared" si="17"/>
        <v>103</v>
      </c>
      <c r="B158">
        <v>5.5253412504635815</v>
      </c>
      <c r="E158" s="11">
        <f>A158-'Mastercurve bestimmen'!$B$2</f>
        <v>53</v>
      </c>
      <c r="F158" s="11">
        <f t="shared" si="15"/>
        <v>5.5253412504635815</v>
      </c>
      <c r="G158" s="11"/>
      <c r="H158" s="11">
        <f t="shared" si="16"/>
        <v>62259690411361</v>
      </c>
      <c r="I158" s="11">
        <f t="shared" si="19"/>
        <v>1174711139837</v>
      </c>
      <c r="J158" s="11">
        <f t="shared" si="19"/>
        <v>22164361129</v>
      </c>
      <c r="K158" s="11">
        <f t="shared" si="19"/>
        <v>418195493</v>
      </c>
      <c r="L158" s="11">
        <f t="shared" si="19"/>
        <v>7890481</v>
      </c>
      <c r="M158" s="11">
        <f t="shared" si="19"/>
        <v>148877</v>
      </c>
      <c r="N158" s="11">
        <f t="shared" si="19"/>
        <v>2809</v>
      </c>
      <c r="O158" s="11">
        <f t="shared" si="19"/>
        <v>53</v>
      </c>
      <c r="P158" s="11">
        <f t="shared" si="18"/>
        <v>0</v>
      </c>
    </row>
    <row r="159" spans="1:16" x14ac:dyDescent="0.25">
      <c r="A159" s="11">
        <f t="shared" si="17"/>
        <v>104</v>
      </c>
      <c r="B159">
        <v>5.6561291611489137</v>
      </c>
      <c r="E159" s="11">
        <f>A159-'Mastercurve bestimmen'!$B$2</f>
        <v>54</v>
      </c>
      <c r="F159" s="11">
        <f t="shared" si="15"/>
        <v>5.6561291611489137</v>
      </c>
      <c r="G159" s="11"/>
      <c r="H159" s="11">
        <f t="shared" si="16"/>
        <v>72301961339136</v>
      </c>
      <c r="I159" s="11">
        <f t="shared" si="19"/>
        <v>1338925209984</v>
      </c>
      <c r="J159" s="11">
        <f t="shared" si="19"/>
        <v>24794911296</v>
      </c>
      <c r="K159" s="11">
        <f t="shared" si="19"/>
        <v>459165024</v>
      </c>
      <c r="L159" s="11">
        <f t="shared" si="19"/>
        <v>8503056</v>
      </c>
      <c r="M159" s="11">
        <f t="shared" si="19"/>
        <v>157464</v>
      </c>
      <c r="N159" s="11">
        <f t="shared" si="19"/>
        <v>2916</v>
      </c>
      <c r="O159" s="11">
        <f t="shared" si="19"/>
        <v>54</v>
      </c>
      <c r="P159" s="11">
        <f t="shared" si="18"/>
        <v>0</v>
      </c>
    </row>
    <row r="160" spans="1:16" x14ac:dyDescent="0.25">
      <c r="A160" s="11">
        <f t="shared" si="17"/>
        <v>105</v>
      </c>
      <c r="B160">
        <v>5.7879115331611155</v>
      </c>
      <c r="E160" s="11">
        <f>A160-'Mastercurve bestimmen'!$B$2</f>
        <v>55</v>
      </c>
      <c r="F160" s="11">
        <f t="shared" si="15"/>
        <v>5.7879115331611155</v>
      </c>
      <c r="G160" s="11"/>
      <c r="H160" s="11">
        <f t="shared" si="16"/>
        <v>83733937890625</v>
      </c>
      <c r="I160" s="11">
        <f t="shared" si="19"/>
        <v>1522435234375</v>
      </c>
      <c r="J160" s="11">
        <f t="shared" si="19"/>
        <v>27680640625</v>
      </c>
      <c r="K160" s="11">
        <f t="shared" si="19"/>
        <v>503284375</v>
      </c>
      <c r="L160" s="11">
        <f t="shared" si="19"/>
        <v>9150625</v>
      </c>
      <c r="M160" s="11">
        <f t="shared" si="19"/>
        <v>166375</v>
      </c>
      <c r="N160" s="11">
        <f t="shared" si="19"/>
        <v>3025</v>
      </c>
      <c r="O160" s="11">
        <f t="shared" si="19"/>
        <v>55</v>
      </c>
      <c r="P160" s="11">
        <f t="shared" si="18"/>
        <v>0</v>
      </c>
    </row>
    <row r="161" spans="1:16" x14ac:dyDescent="0.25">
      <c r="A161" s="11">
        <f t="shared" si="17"/>
        <v>106</v>
      </c>
      <c r="B161">
        <v>5.9206845063051787</v>
      </c>
      <c r="E161" s="11">
        <f>A161-'Mastercurve bestimmen'!$B$2</f>
        <v>56</v>
      </c>
      <c r="F161" s="11">
        <f t="shared" si="15"/>
        <v>5.9206845063051787</v>
      </c>
      <c r="G161" s="11"/>
      <c r="H161" s="11">
        <f t="shared" si="16"/>
        <v>96717311574016</v>
      </c>
      <c r="I161" s="11">
        <f t="shared" si="19"/>
        <v>1727094849536</v>
      </c>
      <c r="J161" s="11">
        <f t="shared" si="19"/>
        <v>30840979456</v>
      </c>
      <c r="K161" s="11">
        <f t="shared" si="19"/>
        <v>550731776</v>
      </c>
      <c r="L161" s="11">
        <f t="shared" si="19"/>
        <v>9834496</v>
      </c>
      <c r="M161" s="11">
        <f t="shared" si="19"/>
        <v>175616</v>
      </c>
      <c r="N161" s="11">
        <f t="shared" si="19"/>
        <v>3136</v>
      </c>
      <c r="O161" s="11">
        <f t="shared" si="19"/>
        <v>56</v>
      </c>
      <c r="P161" s="11">
        <f t="shared" si="18"/>
        <v>0</v>
      </c>
    </row>
    <row r="162" spans="1:16" x14ac:dyDescent="0.25">
      <c r="A162" s="11">
        <f t="shared" si="17"/>
        <v>107</v>
      </c>
      <c r="B162">
        <v>6.0544442203860971</v>
      </c>
      <c r="E162" s="11">
        <f>A162-'Mastercurve bestimmen'!$B$2</f>
        <v>57</v>
      </c>
      <c r="F162" s="11">
        <f t="shared" si="15"/>
        <v>6.0544442203860971</v>
      </c>
      <c r="G162" s="11"/>
      <c r="H162" s="11">
        <f t="shared" si="16"/>
        <v>111429157112001</v>
      </c>
      <c r="I162" s="11">
        <f t="shared" si="19"/>
        <v>1954897493193</v>
      </c>
      <c r="J162" s="11">
        <f t="shared" si="19"/>
        <v>34296447249</v>
      </c>
      <c r="K162" s="11">
        <f t="shared" si="19"/>
        <v>601692057</v>
      </c>
      <c r="L162" s="11">
        <f t="shared" si="19"/>
        <v>10556001</v>
      </c>
      <c r="M162" s="11">
        <f t="shared" si="19"/>
        <v>185193</v>
      </c>
      <c r="N162" s="11">
        <f t="shared" si="19"/>
        <v>3249</v>
      </c>
      <c r="O162" s="11">
        <f t="shared" si="19"/>
        <v>57</v>
      </c>
      <c r="P162" s="11">
        <f t="shared" si="18"/>
        <v>0</v>
      </c>
    </row>
    <row r="163" spans="1:16" x14ac:dyDescent="0.25">
      <c r="A163" s="11">
        <f t="shared" si="17"/>
        <v>108</v>
      </c>
      <c r="B163">
        <v>6.1891868152088625</v>
      </c>
      <c r="E163" s="11">
        <f>A163-'Mastercurve bestimmen'!$B$2</f>
        <v>58</v>
      </c>
      <c r="F163" s="11">
        <f t="shared" si="15"/>
        <v>6.1891868152088625</v>
      </c>
      <c r="G163" s="11"/>
      <c r="H163" s="11">
        <f t="shared" si="16"/>
        <v>128063081718016</v>
      </c>
      <c r="I163" s="11">
        <f t="shared" si="19"/>
        <v>2207984167552</v>
      </c>
      <c r="J163" s="11">
        <f t="shared" si="19"/>
        <v>38068692544</v>
      </c>
      <c r="K163" s="11">
        <f t="shared" si="19"/>
        <v>656356768</v>
      </c>
      <c r="L163" s="11">
        <f t="shared" si="19"/>
        <v>11316496</v>
      </c>
      <c r="M163" s="11">
        <f t="shared" si="19"/>
        <v>195112</v>
      </c>
      <c r="N163" s="11">
        <f t="shared" si="19"/>
        <v>3364</v>
      </c>
      <c r="O163" s="11">
        <f t="shared" si="19"/>
        <v>58</v>
      </c>
      <c r="P163" s="11">
        <f t="shared" si="18"/>
        <v>0</v>
      </c>
    </row>
    <row r="164" spans="1:16" x14ac:dyDescent="0.25">
      <c r="A164" s="11">
        <f t="shared" si="17"/>
        <v>109</v>
      </c>
      <c r="B164">
        <v>6.324908430578466</v>
      </c>
      <c r="E164" s="11">
        <f>A164-'Mastercurve bestimmen'!$B$2</f>
        <v>59</v>
      </c>
      <c r="F164" s="11">
        <f t="shared" si="15"/>
        <v>6.324908430578466</v>
      </c>
      <c r="G164" s="11"/>
      <c r="H164" s="11">
        <f t="shared" si="16"/>
        <v>146830437604321</v>
      </c>
      <c r="I164" s="11">
        <f t="shared" si="19"/>
        <v>2488651484819</v>
      </c>
      <c r="J164" s="11">
        <f t="shared" si="19"/>
        <v>42180533641</v>
      </c>
      <c r="K164" s="11">
        <f t="shared" si="19"/>
        <v>714924299</v>
      </c>
      <c r="L164" s="11">
        <f t="shared" si="19"/>
        <v>12117361</v>
      </c>
      <c r="M164" s="11">
        <f t="shared" si="19"/>
        <v>205379</v>
      </c>
      <c r="N164" s="11">
        <f t="shared" si="19"/>
        <v>3481</v>
      </c>
      <c r="O164" s="11">
        <f t="shared" si="19"/>
        <v>59</v>
      </c>
      <c r="P164" s="11">
        <f t="shared" si="18"/>
        <v>0</v>
      </c>
    </row>
    <row r="165" spans="1:16" x14ac:dyDescent="0.25">
      <c r="A165" s="11">
        <f t="shared" si="17"/>
        <v>110</v>
      </c>
      <c r="B165">
        <v>6.461605206299903</v>
      </c>
      <c r="E165" s="11">
        <f>A165-'Mastercurve bestimmen'!$B$2</f>
        <v>60</v>
      </c>
      <c r="F165" s="11">
        <f t="shared" si="15"/>
        <v>6.461605206299903</v>
      </c>
      <c r="G165" s="11"/>
      <c r="H165" s="11">
        <f t="shared" si="16"/>
        <v>167961600000000</v>
      </c>
      <c r="I165" s="11">
        <f t="shared" si="19"/>
        <v>2799360000000</v>
      </c>
      <c r="J165" s="11">
        <f t="shared" si="19"/>
        <v>46656000000</v>
      </c>
      <c r="K165" s="11">
        <f t="shared" si="19"/>
        <v>777600000</v>
      </c>
      <c r="L165" s="11">
        <f t="shared" si="19"/>
        <v>12960000</v>
      </c>
      <c r="M165" s="11">
        <f t="shared" si="19"/>
        <v>216000</v>
      </c>
      <c r="N165" s="11">
        <f t="shared" si="19"/>
        <v>3600</v>
      </c>
      <c r="O165" s="11">
        <f t="shared" si="19"/>
        <v>60</v>
      </c>
      <c r="P165" s="11">
        <f t="shared" si="18"/>
        <v>0</v>
      </c>
    </row>
    <row r="166" spans="1:16" x14ac:dyDescent="0.25">
      <c r="A166" s="11">
        <f t="shared" si="17"/>
        <v>111</v>
      </c>
      <c r="B166">
        <v>6.5992732821781637</v>
      </c>
      <c r="E166" s="11">
        <f>A166-'Mastercurve bestimmen'!$B$2</f>
        <v>61</v>
      </c>
      <c r="F166" s="11">
        <f t="shared" si="15"/>
        <v>6.5992732821781637</v>
      </c>
      <c r="G166" s="11"/>
      <c r="H166" s="11">
        <f t="shared" si="16"/>
        <v>191707312997281</v>
      </c>
      <c r="I166" s="11">
        <f t="shared" si="19"/>
        <v>3142742836021</v>
      </c>
      <c r="J166" s="11">
        <f t="shared" si="19"/>
        <v>51520374361</v>
      </c>
      <c r="K166" s="11">
        <f t="shared" si="19"/>
        <v>844596301</v>
      </c>
      <c r="L166" s="11">
        <f t="shared" si="19"/>
        <v>13845841</v>
      </c>
      <c r="M166" s="11">
        <f t="shared" si="19"/>
        <v>226981</v>
      </c>
      <c r="N166" s="11">
        <f t="shared" si="19"/>
        <v>3721</v>
      </c>
      <c r="O166" s="11">
        <f t="shared" si="19"/>
        <v>61</v>
      </c>
      <c r="P166" s="11">
        <f t="shared" si="18"/>
        <v>0</v>
      </c>
    </row>
    <row r="167" spans="1:16" x14ac:dyDescent="0.25">
      <c r="A167" s="11">
        <f t="shared" si="17"/>
        <v>112</v>
      </c>
      <c r="B167">
        <v>6.7379087980182408</v>
      </c>
      <c r="E167" s="11">
        <f>A167-'Mastercurve bestimmen'!$B$2</f>
        <v>62</v>
      </c>
      <c r="F167" s="11">
        <f t="shared" si="15"/>
        <v>6.7379087980182408</v>
      </c>
      <c r="G167" s="11"/>
      <c r="H167" s="11">
        <f t="shared" si="16"/>
        <v>218340105584896</v>
      </c>
      <c r="I167" s="11">
        <f t="shared" si="19"/>
        <v>3521614606208</v>
      </c>
      <c r="J167" s="11">
        <f t="shared" si="19"/>
        <v>56800235584</v>
      </c>
      <c r="K167" s="11">
        <f t="shared" si="19"/>
        <v>916132832</v>
      </c>
      <c r="L167" s="11">
        <f t="shared" si="19"/>
        <v>14776336</v>
      </c>
      <c r="M167" s="11">
        <f t="shared" si="19"/>
        <v>238328</v>
      </c>
      <c r="N167" s="11">
        <f t="shared" si="19"/>
        <v>3844</v>
      </c>
      <c r="O167" s="11">
        <f t="shared" si="19"/>
        <v>62</v>
      </c>
      <c r="P167" s="11">
        <f t="shared" si="18"/>
        <v>0</v>
      </c>
    </row>
    <row r="168" spans="1:16" x14ac:dyDescent="0.25">
      <c r="A168" s="11">
        <f t="shared" si="17"/>
        <v>113</v>
      </c>
      <c r="B168">
        <v>6.8775078936251282</v>
      </c>
      <c r="E168" s="11">
        <f>A168-'Mastercurve bestimmen'!$B$2</f>
        <v>63</v>
      </c>
      <c r="F168" s="11">
        <f t="shared" si="15"/>
        <v>6.8775078936251282</v>
      </c>
      <c r="G168" s="11"/>
      <c r="H168" s="11">
        <f t="shared" si="16"/>
        <v>248155780267521</v>
      </c>
      <c r="I168" s="11">
        <f t="shared" si="19"/>
        <v>3938980639167</v>
      </c>
      <c r="J168" s="11">
        <f t="shared" si="19"/>
        <v>62523502209</v>
      </c>
      <c r="K168" s="11">
        <f t="shared" si="19"/>
        <v>992436543</v>
      </c>
      <c r="L168" s="11">
        <f t="shared" si="19"/>
        <v>15752961</v>
      </c>
      <c r="M168" s="11">
        <f t="shared" si="19"/>
        <v>250047</v>
      </c>
      <c r="N168" s="11">
        <f t="shared" si="19"/>
        <v>3969</v>
      </c>
      <c r="O168" s="11">
        <f t="shared" si="19"/>
        <v>63</v>
      </c>
      <c r="P168" s="11">
        <f t="shared" si="18"/>
        <v>0</v>
      </c>
    </row>
    <row r="169" spans="1:16" x14ac:dyDescent="0.25">
      <c r="A169" s="11">
        <f t="shared" si="17"/>
        <v>114</v>
      </c>
      <c r="B169">
        <v>7.0180667088038176</v>
      </c>
      <c r="E169" s="11">
        <f>A169-'Mastercurve bestimmen'!$B$2</f>
        <v>64</v>
      </c>
      <c r="F169" s="11">
        <f t="shared" si="15"/>
        <v>7.0180667088038176</v>
      </c>
      <c r="G169" s="11"/>
      <c r="H169" s="11">
        <f t="shared" si="16"/>
        <v>281474976710656</v>
      </c>
      <c r="I169" s="11">
        <f t="shared" si="19"/>
        <v>4398046511104</v>
      </c>
      <c r="J169" s="11">
        <f t="shared" si="19"/>
        <v>68719476736</v>
      </c>
      <c r="K169" s="11">
        <f t="shared" si="19"/>
        <v>1073741824</v>
      </c>
      <c r="L169" s="11">
        <f t="shared" si="19"/>
        <v>16777216</v>
      </c>
      <c r="M169" s="11">
        <f t="shared" si="19"/>
        <v>262144</v>
      </c>
      <c r="N169" s="11">
        <f t="shared" si="19"/>
        <v>4096</v>
      </c>
      <c r="O169" s="11">
        <f t="shared" si="19"/>
        <v>64</v>
      </c>
      <c r="P169" s="11">
        <f t="shared" si="18"/>
        <v>0</v>
      </c>
    </row>
    <row r="170" spans="1:16" x14ac:dyDescent="0.25">
      <c r="A170" s="11">
        <f t="shared" si="17"/>
        <v>115</v>
      </c>
      <c r="B170">
        <v>7.1595813833593018</v>
      </c>
      <c r="E170" s="11">
        <f>A170-'Mastercurve bestimmen'!$B$2</f>
        <v>65</v>
      </c>
      <c r="F170" s="11">
        <f t="shared" si="15"/>
        <v>7.1595813833593018</v>
      </c>
      <c r="G170" s="11"/>
      <c r="H170" s="11">
        <f t="shared" si="16"/>
        <v>318644812890625</v>
      </c>
      <c r="I170" s="11">
        <f t="shared" si="19"/>
        <v>4902227890625</v>
      </c>
      <c r="J170" s="11">
        <f t="shared" si="19"/>
        <v>75418890625</v>
      </c>
      <c r="K170" s="11">
        <f t="shared" si="19"/>
        <v>1160290625</v>
      </c>
      <c r="L170" s="11">
        <f t="shared" si="19"/>
        <v>17850625</v>
      </c>
      <c r="M170" s="11">
        <f t="shared" si="19"/>
        <v>274625</v>
      </c>
      <c r="N170" s="11">
        <f t="shared" si="19"/>
        <v>4225</v>
      </c>
      <c r="O170" s="11">
        <f t="shared" si="19"/>
        <v>65</v>
      </c>
      <c r="P170" s="11">
        <f t="shared" si="18"/>
        <v>0</v>
      </c>
    </row>
    <row r="171" spans="1:16" x14ac:dyDescent="0.25">
      <c r="A171" s="11">
        <f t="shared" si="17"/>
        <v>116</v>
      </c>
      <c r="B171">
        <v>7.3020480570965738</v>
      </c>
      <c r="E171" s="11">
        <f>A171-'Mastercurve bestimmen'!$B$2</f>
        <v>66</v>
      </c>
      <c r="F171" s="11">
        <f t="shared" si="15"/>
        <v>7.3020480570965738</v>
      </c>
      <c r="G171" s="11"/>
      <c r="H171" s="11">
        <f t="shared" si="16"/>
        <v>360040606269696</v>
      </c>
      <c r="I171" s="11">
        <f t="shared" si="19"/>
        <v>5455160701056</v>
      </c>
      <c r="J171" s="11">
        <f t="shared" si="19"/>
        <v>82653950016</v>
      </c>
      <c r="K171" s="11">
        <f t="shared" si="19"/>
        <v>1252332576</v>
      </c>
      <c r="L171" s="11">
        <f t="shared" si="19"/>
        <v>18974736</v>
      </c>
      <c r="M171" s="11">
        <f t="shared" si="19"/>
        <v>287496</v>
      </c>
      <c r="N171" s="11">
        <f t="shared" si="19"/>
        <v>4356</v>
      </c>
      <c r="O171" s="11">
        <f t="shared" si="19"/>
        <v>66</v>
      </c>
      <c r="P171" s="11">
        <f t="shared" si="18"/>
        <v>0</v>
      </c>
    </row>
    <row r="172" spans="1:16" x14ac:dyDescent="0.25">
      <c r="A172" s="11">
        <f t="shared" si="17"/>
        <v>117</v>
      </c>
      <c r="B172">
        <v>7.4454628698206244</v>
      </c>
      <c r="E172" s="11">
        <f>A172-'Mastercurve bestimmen'!$B$2</f>
        <v>67</v>
      </c>
      <c r="F172" s="11">
        <f t="shared" si="15"/>
        <v>7.4454628698206244</v>
      </c>
      <c r="G172" s="11"/>
      <c r="H172" s="11">
        <f t="shared" si="16"/>
        <v>406067677556641</v>
      </c>
      <c r="I172" s="11">
        <f t="shared" si="19"/>
        <v>6060711605323</v>
      </c>
      <c r="J172" s="11">
        <f t="shared" si="19"/>
        <v>90458382169</v>
      </c>
      <c r="K172" s="11">
        <f t="shared" si="19"/>
        <v>1350125107</v>
      </c>
      <c r="L172" s="11">
        <f t="shared" si="19"/>
        <v>20151121</v>
      </c>
      <c r="M172" s="11">
        <f t="shared" si="19"/>
        <v>300763</v>
      </c>
      <c r="N172" s="11">
        <f t="shared" si="19"/>
        <v>4489</v>
      </c>
      <c r="O172" s="11">
        <f t="shared" si="19"/>
        <v>67</v>
      </c>
      <c r="P172" s="11">
        <f t="shared" si="18"/>
        <v>0</v>
      </c>
    </row>
    <row r="173" spans="1:16" x14ac:dyDescent="0.25">
      <c r="A173" s="11">
        <f t="shared" si="17"/>
        <v>118</v>
      </c>
      <c r="B173">
        <v>7.5898219613364484</v>
      </c>
      <c r="E173" s="11">
        <f>A173-'Mastercurve bestimmen'!$B$2</f>
        <v>68</v>
      </c>
      <c r="F173" s="11">
        <f t="shared" si="15"/>
        <v>7.5898219613364484</v>
      </c>
      <c r="G173" s="11"/>
      <c r="H173" s="11">
        <f t="shared" si="16"/>
        <v>457163239653376</v>
      </c>
      <c r="I173" s="11">
        <f t="shared" si="19"/>
        <v>6722988818432</v>
      </c>
      <c r="J173" s="11">
        <f t="shared" si="19"/>
        <v>98867482624</v>
      </c>
      <c r="K173" s="11">
        <f t="shared" si="19"/>
        <v>1453933568</v>
      </c>
      <c r="L173" s="11">
        <f t="shared" si="19"/>
        <v>21381376</v>
      </c>
      <c r="M173" s="11">
        <f t="shared" si="19"/>
        <v>314432</v>
      </c>
      <c r="N173" s="11">
        <f t="shared" si="19"/>
        <v>4624</v>
      </c>
      <c r="O173" s="11">
        <f t="shared" si="19"/>
        <v>68</v>
      </c>
      <c r="P173" s="11">
        <f t="shared" si="18"/>
        <v>0</v>
      </c>
    </row>
    <row r="174" spans="1:16" x14ac:dyDescent="0.25">
      <c r="A174" s="11">
        <f t="shared" si="17"/>
        <v>119</v>
      </c>
      <c r="B174">
        <v>7.7351214714490366</v>
      </c>
      <c r="E174" s="11">
        <f>A174-'Mastercurve bestimmen'!$B$2</f>
        <v>69</v>
      </c>
      <c r="F174" s="11">
        <f t="shared" si="15"/>
        <v>7.7351214714490366</v>
      </c>
      <c r="G174" s="11"/>
      <c r="H174" s="11">
        <f t="shared" si="16"/>
        <v>513798374428641</v>
      </c>
      <c r="I174" s="11">
        <f t="shared" si="19"/>
        <v>7446353252589</v>
      </c>
      <c r="J174" s="11">
        <f t="shared" si="19"/>
        <v>107918163081</v>
      </c>
      <c r="K174" s="11">
        <f t="shared" si="19"/>
        <v>1564031349</v>
      </c>
      <c r="L174" s="11">
        <f t="shared" si="19"/>
        <v>22667121</v>
      </c>
      <c r="M174" s="11">
        <f t="shared" si="19"/>
        <v>328509</v>
      </c>
      <c r="N174" s="11">
        <f t="shared" si="19"/>
        <v>4761</v>
      </c>
      <c r="O174" s="11">
        <f t="shared" si="19"/>
        <v>69</v>
      </c>
      <c r="P174" s="11">
        <f t="shared" si="18"/>
        <v>0</v>
      </c>
    </row>
    <row r="175" spans="1:16" x14ac:dyDescent="0.25">
      <c r="A175" s="11">
        <f t="shared" si="17"/>
        <v>120</v>
      </c>
      <c r="B175">
        <v>7.881357539963382</v>
      </c>
      <c r="E175" s="11">
        <f>A175-'Mastercurve bestimmen'!$B$2</f>
        <v>70</v>
      </c>
      <c r="F175" s="11">
        <f t="shared" si="15"/>
        <v>7.881357539963382</v>
      </c>
      <c r="G175" s="11"/>
      <c r="H175" s="11">
        <f t="shared" si="16"/>
        <v>576480100000000</v>
      </c>
      <c r="I175" s="11">
        <f t="shared" si="19"/>
        <v>8235430000000</v>
      </c>
      <c r="J175" s="11">
        <f t="shared" si="19"/>
        <v>117649000000</v>
      </c>
      <c r="K175" s="11">
        <f t="shared" si="19"/>
        <v>1680700000</v>
      </c>
      <c r="L175" s="11">
        <f t="shared" si="19"/>
        <v>24010000</v>
      </c>
      <c r="M175" s="11">
        <f t="shared" si="19"/>
        <v>343000</v>
      </c>
      <c r="N175" s="11">
        <f t="shared" si="19"/>
        <v>4900</v>
      </c>
      <c r="O175" s="11">
        <f t="shared" si="19"/>
        <v>70</v>
      </c>
      <c r="P175" s="11">
        <f t="shared" si="18"/>
        <v>0</v>
      </c>
    </row>
    <row r="176" spans="1:16" x14ac:dyDescent="0.25">
      <c r="A176" s="11">
        <f t="shared" si="17"/>
        <v>121</v>
      </c>
      <c r="B176">
        <v>8.0285263066844781</v>
      </c>
      <c r="E176" s="11">
        <f>A176-'Mastercurve bestimmen'!$B$2</f>
        <v>71</v>
      </c>
      <c r="F176" s="11">
        <f t="shared" si="15"/>
        <v>8.0285263066844781</v>
      </c>
      <c r="G176" s="11"/>
      <c r="H176" s="11">
        <f t="shared" si="16"/>
        <v>645753531245761</v>
      </c>
      <c r="I176" s="11">
        <f t="shared" si="19"/>
        <v>9095120158391</v>
      </c>
      <c r="J176" s="11">
        <f t="shared" si="19"/>
        <v>128100283921</v>
      </c>
      <c r="K176" s="11">
        <f t="shared" si="19"/>
        <v>1804229351</v>
      </c>
      <c r="L176" s="11">
        <f t="shared" si="19"/>
        <v>25411681</v>
      </c>
      <c r="M176" s="11">
        <f t="shared" si="19"/>
        <v>357911</v>
      </c>
      <c r="N176" s="11">
        <f t="shared" si="19"/>
        <v>5041</v>
      </c>
      <c r="O176" s="11">
        <f t="shared" si="19"/>
        <v>71</v>
      </c>
      <c r="P176" s="11">
        <f t="shared" si="18"/>
        <v>0</v>
      </c>
    </row>
    <row r="177" spans="1:16" x14ac:dyDescent="0.25">
      <c r="A177" s="11">
        <f t="shared" si="17"/>
        <v>122</v>
      </c>
      <c r="B177">
        <v>8.176623911417316</v>
      </c>
      <c r="E177" s="11">
        <f>A177-'Mastercurve bestimmen'!$B$2</f>
        <v>72</v>
      </c>
      <c r="F177" s="11">
        <f t="shared" si="15"/>
        <v>8.176623911417316</v>
      </c>
      <c r="G177" s="11"/>
      <c r="H177" s="11">
        <f t="shared" si="16"/>
        <v>722204136308736</v>
      </c>
      <c r="I177" s="11">
        <f t="shared" si="19"/>
        <v>10030613004288</v>
      </c>
      <c r="J177" s="11">
        <f t="shared" si="19"/>
        <v>139314069504</v>
      </c>
      <c r="K177" s="11">
        <f t="shared" si="19"/>
        <v>1934917632</v>
      </c>
      <c r="L177" s="11">
        <f t="shared" si="19"/>
        <v>26873856</v>
      </c>
      <c r="M177" s="11">
        <f t="shared" si="19"/>
        <v>373248</v>
      </c>
      <c r="N177" s="11">
        <f t="shared" si="19"/>
        <v>5184</v>
      </c>
      <c r="O177" s="11">
        <f t="shared" si="19"/>
        <v>72</v>
      </c>
      <c r="P177" s="11">
        <f t="shared" si="18"/>
        <v>0</v>
      </c>
    </row>
    <row r="178" spans="1:16" x14ac:dyDescent="0.25">
      <c r="A178" s="11">
        <f t="shared" si="17"/>
        <v>123</v>
      </c>
      <c r="B178">
        <v>8.3256464939668877</v>
      </c>
      <c r="E178" s="11">
        <f>A178-'Mastercurve bestimmen'!$B$2</f>
        <v>73</v>
      </c>
      <c r="F178" s="11">
        <f t="shared" si="15"/>
        <v>8.3256464939668877</v>
      </c>
      <c r="G178" s="11"/>
      <c r="H178" s="11">
        <f t="shared" si="16"/>
        <v>806460091894081</v>
      </c>
      <c r="I178" s="11">
        <f t="shared" si="19"/>
        <v>11047398519097</v>
      </c>
      <c r="J178" s="11">
        <f t="shared" si="19"/>
        <v>151334226289</v>
      </c>
      <c r="K178" s="11">
        <f t="shared" si="19"/>
        <v>2073071593</v>
      </c>
      <c r="L178" s="11">
        <f t="shared" si="19"/>
        <v>28398241</v>
      </c>
      <c r="M178" s="11">
        <f t="shared" si="19"/>
        <v>389017</v>
      </c>
      <c r="N178" s="11">
        <f t="shared" si="19"/>
        <v>5329</v>
      </c>
      <c r="O178" s="11">
        <f t="shared" si="19"/>
        <v>73</v>
      </c>
      <c r="P178" s="11">
        <f t="shared" si="18"/>
        <v>0</v>
      </c>
    </row>
    <row r="179" spans="1:16" x14ac:dyDescent="0.25">
      <c r="A179" s="11">
        <f t="shared" si="17"/>
        <v>124</v>
      </c>
      <c r="B179">
        <v>8.4755901941381886</v>
      </c>
      <c r="E179" s="11">
        <f>A179-'Mastercurve bestimmen'!$B$2</f>
        <v>74</v>
      </c>
      <c r="F179" s="11">
        <f t="shared" si="15"/>
        <v>8.4755901941381886</v>
      </c>
      <c r="G179" s="11"/>
      <c r="H179" s="11">
        <f t="shared" si="16"/>
        <v>899194740203776</v>
      </c>
      <c r="I179" s="11">
        <f t="shared" si="19"/>
        <v>12151280273024</v>
      </c>
      <c r="J179" s="11">
        <f t="shared" si="19"/>
        <v>164206490176</v>
      </c>
      <c r="K179" s="11">
        <f t="shared" si="19"/>
        <v>2219006624</v>
      </c>
      <c r="L179" s="11">
        <f t="shared" si="19"/>
        <v>29986576</v>
      </c>
      <c r="M179" s="11">
        <f t="shared" si="19"/>
        <v>405224</v>
      </c>
      <c r="N179" s="11">
        <f t="shared" si="19"/>
        <v>5476</v>
      </c>
      <c r="O179" s="11">
        <f t="shared" si="19"/>
        <v>74</v>
      </c>
      <c r="P179" s="11">
        <f t="shared" si="18"/>
        <v>0</v>
      </c>
    </row>
    <row r="180" spans="1:16" x14ac:dyDescent="0.25">
      <c r="A180" s="11">
        <f t="shared" si="17"/>
        <v>125</v>
      </c>
      <c r="B180">
        <v>8.6264511517362088</v>
      </c>
      <c r="E180" s="11">
        <f>A180-'Mastercurve bestimmen'!$B$2</f>
        <v>75</v>
      </c>
      <c r="F180" s="11">
        <f t="shared" si="15"/>
        <v>8.6264511517362088</v>
      </c>
      <c r="G180" s="11"/>
      <c r="H180" s="11">
        <f t="shared" si="16"/>
        <v>1001129150390625</v>
      </c>
      <c r="I180" s="11">
        <f t="shared" si="19"/>
        <v>13348388671875</v>
      </c>
      <c r="J180" s="11">
        <f t="shared" si="19"/>
        <v>177978515625</v>
      </c>
      <c r="K180" s="11">
        <f t="shared" si="19"/>
        <v>2373046875</v>
      </c>
      <c r="L180" s="11">
        <f t="shared" si="19"/>
        <v>31640625</v>
      </c>
      <c r="M180" s="11">
        <f t="shared" si="19"/>
        <v>421875</v>
      </c>
      <c r="N180" s="11">
        <f t="shared" si="19"/>
        <v>5625</v>
      </c>
      <c r="O180" s="11">
        <f t="shared" si="19"/>
        <v>75</v>
      </c>
      <c r="P180" s="11">
        <f t="shared" si="18"/>
        <v>0</v>
      </c>
    </row>
    <row r="181" spans="1:16" x14ac:dyDescent="0.25">
      <c r="A181" s="11">
        <f t="shared" si="17"/>
        <v>126</v>
      </c>
      <c r="B181">
        <v>8.7782218004211501</v>
      </c>
      <c r="E181" s="11">
        <f>A181-'Mastercurve bestimmen'!$B$2</f>
        <v>76</v>
      </c>
      <c r="F181" s="11">
        <f t="shared" si="15"/>
        <v>8.7782218004211501</v>
      </c>
      <c r="G181" s="11"/>
      <c r="H181" s="11">
        <f t="shared" si="16"/>
        <v>1113034787454976</v>
      </c>
      <c r="I181" s="11">
        <f t="shared" si="19"/>
        <v>14645194571776</v>
      </c>
      <c r="J181" s="11">
        <f t="shared" si="19"/>
        <v>192699928576</v>
      </c>
      <c r="K181" s="11">
        <f t="shared" si="19"/>
        <v>2535525376</v>
      </c>
      <c r="L181" s="11">
        <f t="shared" si="19"/>
        <v>33362176</v>
      </c>
      <c r="M181" s="11">
        <f t="shared" si="19"/>
        <v>438976</v>
      </c>
      <c r="N181" s="11">
        <f t="shared" si="19"/>
        <v>5776</v>
      </c>
      <c r="O181" s="11">
        <f t="shared" si="19"/>
        <v>76</v>
      </c>
      <c r="P181" s="11">
        <f t="shared" si="18"/>
        <v>0</v>
      </c>
    </row>
    <row r="182" spans="1:16" x14ac:dyDescent="0.25">
      <c r="A182" s="11">
        <f t="shared" si="17"/>
        <v>127</v>
      </c>
      <c r="B182">
        <v>8.9308797492740375</v>
      </c>
      <c r="E182" s="11">
        <f>A182-'Mastercurve bestimmen'!$B$2</f>
        <v>77</v>
      </c>
      <c r="F182" s="11">
        <f t="shared" si="15"/>
        <v>8.9308797492740375</v>
      </c>
      <c r="G182" s="11"/>
      <c r="H182" s="11">
        <f t="shared" si="16"/>
        <v>1235736291547681</v>
      </c>
      <c r="I182" s="11">
        <f t="shared" si="19"/>
        <v>16048523266853</v>
      </c>
      <c r="J182" s="11">
        <f t="shared" si="19"/>
        <v>208422380089</v>
      </c>
      <c r="K182" s="11">
        <f t="shared" si="19"/>
        <v>2706784157</v>
      </c>
      <c r="L182" s="11">
        <f t="shared" si="19"/>
        <v>35153041</v>
      </c>
      <c r="M182" s="11">
        <f t="shared" si="19"/>
        <v>456533</v>
      </c>
      <c r="N182" s="11">
        <f t="shared" si="19"/>
        <v>5929</v>
      </c>
      <c r="O182" s="11">
        <f t="shared" si="19"/>
        <v>77</v>
      </c>
      <c r="P182" s="11">
        <f t="shared" si="18"/>
        <v>0</v>
      </c>
    </row>
    <row r="183" spans="1:16" x14ac:dyDescent="0.25">
      <c r="A183" s="11">
        <f t="shared" si="17"/>
        <v>128</v>
      </c>
      <c r="B183">
        <v>9.084398901231113</v>
      </c>
      <c r="E183" s="11">
        <f>A183-'Mastercurve bestimmen'!$B$2</f>
        <v>78</v>
      </c>
      <c r="F183" s="11">
        <f t="shared" si="15"/>
        <v>9.084398901231113</v>
      </c>
      <c r="G183" s="11"/>
      <c r="H183" s="11">
        <f t="shared" si="16"/>
        <v>1370114370683136</v>
      </c>
      <c r="I183" s="11">
        <f t="shared" si="19"/>
        <v>17565568854912</v>
      </c>
      <c r="J183" s="11">
        <f t="shared" si="19"/>
        <v>225199600704</v>
      </c>
      <c r="K183" s="11">
        <f t="shared" si="19"/>
        <v>2887174368</v>
      </c>
      <c r="L183" s="11">
        <f t="shared" si="19"/>
        <v>37015056</v>
      </c>
      <c r="M183" s="11">
        <f t="shared" si="19"/>
        <v>474552</v>
      </c>
      <c r="N183" s="11">
        <f t="shared" si="19"/>
        <v>6084</v>
      </c>
      <c r="O183" s="11">
        <f t="shared" si="19"/>
        <v>78</v>
      </c>
      <c r="P183" s="11">
        <f t="shared" si="18"/>
        <v>0</v>
      </c>
    </row>
    <row r="184" spans="1:16" x14ac:dyDescent="0.25">
      <c r="A184" s="11">
        <f t="shared" si="17"/>
        <v>129</v>
      </c>
      <c r="B184">
        <v>9.2387531592286134</v>
      </c>
      <c r="E184" s="11">
        <f>A184-'Mastercurve bestimmen'!$B$2</f>
        <v>79</v>
      </c>
      <c r="F184" s="11">
        <f t="shared" si="15"/>
        <v>9.2387531592286134</v>
      </c>
      <c r="G184" s="11"/>
      <c r="H184" s="11">
        <f t="shared" si="16"/>
        <v>1517108809906561</v>
      </c>
      <c r="I184" s="11">
        <f t="shared" si="19"/>
        <v>19203908986159</v>
      </c>
      <c r="J184" s="11">
        <f t="shared" si="19"/>
        <v>243087455521</v>
      </c>
      <c r="K184" s="11">
        <f t="shared" si="19"/>
        <v>3077056399</v>
      </c>
      <c r="L184" s="11">
        <f t="shared" si="19"/>
        <v>38950081</v>
      </c>
      <c r="M184" s="11">
        <f t="shared" si="19"/>
        <v>493039</v>
      </c>
      <c r="N184" s="11">
        <f t="shared" si="19"/>
        <v>6241</v>
      </c>
      <c r="O184" s="11">
        <f t="shared" si="19"/>
        <v>79</v>
      </c>
      <c r="P184" s="11">
        <f t="shared" si="18"/>
        <v>0</v>
      </c>
    </row>
    <row r="185" spans="1:16" x14ac:dyDescent="0.25">
      <c r="A185" s="11">
        <f t="shared" si="17"/>
        <v>130</v>
      </c>
      <c r="B185">
        <v>9.3939164262027699</v>
      </c>
      <c r="E185" s="11">
        <f>A185-'Mastercurve bestimmen'!$B$2</f>
        <v>80</v>
      </c>
      <c r="F185" s="11">
        <f t="shared" si="15"/>
        <v>9.3939164262027699</v>
      </c>
      <c r="G185" s="11"/>
      <c r="H185" s="11">
        <f t="shared" si="16"/>
        <v>1677721600000000</v>
      </c>
      <c r="I185" s="11">
        <f t="shared" si="19"/>
        <v>20971520000000</v>
      </c>
      <c r="J185" s="11">
        <f t="shared" si="19"/>
        <v>262144000000</v>
      </c>
      <c r="K185" s="11">
        <f t="shared" si="19"/>
        <v>3276800000</v>
      </c>
      <c r="L185" s="11">
        <f t="shared" si="19"/>
        <v>40960000</v>
      </c>
      <c r="M185" s="11">
        <f t="shared" si="19"/>
        <v>512000</v>
      </c>
      <c r="N185" s="11">
        <f t="shared" si="19"/>
        <v>6400</v>
      </c>
      <c r="O185" s="11">
        <f t="shared" si="19"/>
        <v>80</v>
      </c>
      <c r="P185" s="11">
        <f t="shared" si="18"/>
        <v>0</v>
      </c>
    </row>
    <row r="186" spans="1:16" x14ac:dyDescent="0.25">
      <c r="A186" s="11">
        <f t="shared" si="17"/>
        <v>131</v>
      </c>
      <c r="B186">
        <v>9.5498626050898245</v>
      </c>
      <c r="E186" s="11">
        <f>A186-'Mastercurve bestimmen'!$B$2</f>
        <v>81</v>
      </c>
      <c r="F186" s="11">
        <f t="shared" si="15"/>
        <v>9.5498626050898245</v>
      </c>
      <c r="G186" s="11"/>
      <c r="H186" s="11">
        <f t="shared" si="16"/>
        <v>1853020188851841</v>
      </c>
      <c r="I186" s="11">
        <f t="shared" si="19"/>
        <v>22876792454961</v>
      </c>
      <c r="J186" s="11">
        <f t="shared" si="19"/>
        <v>282429536481</v>
      </c>
      <c r="K186" s="11">
        <f t="shared" si="19"/>
        <v>3486784401</v>
      </c>
      <c r="L186" s="11">
        <f t="shared" si="19"/>
        <v>43046721</v>
      </c>
      <c r="M186" s="11">
        <f t="shared" si="19"/>
        <v>531441</v>
      </c>
      <c r="N186" s="11">
        <f t="shared" si="19"/>
        <v>6561</v>
      </c>
      <c r="O186" s="11">
        <f t="shared" si="19"/>
        <v>81</v>
      </c>
      <c r="P186" s="11">
        <f t="shared" si="18"/>
        <v>0</v>
      </c>
    </row>
    <row r="187" spans="1:16" x14ac:dyDescent="0.25">
      <c r="A187" s="11">
        <f t="shared" si="17"/>
        <v>132</v>
      </c>
      <c r="B187">
        <v>9.7065655988260122</v>
      </c>
      <c r="E187" s="11">
        <f>A187-'Mastercurve bestimmen'!$B$2</f>
        <v>82</v>
      </c>
      <c r="F187" s="11">
        <f t="shared" si="15"/>
        <v>9.7065655988260122</v>
      </c>
      <c r="G187" s="11"/>
      <c r="H187" s="11">
        <f t="shared" si="16"/>
        <v>2044140858654976</v>
      </c>
      <c r="I187" s="11">
        <f t="shared" si="19"/>
        <v>24928547056768</v>
      </c>
      <c r="J187" s="11">
        <f t="shared" si="19"/>
        <v>304006671424</v>
      </c>
      <c r="K187" s="11">
        <f t="shared" si="19"/>
        <v>3707398432</v>
      </c>
      <c r="L187" s="11">
        <f t="shared" si="19"/>
        <v>45212176</v>
      </c>
      <c r="M187" s="11">
        <f t="shared" si="19"/>
        <v>551368</v>
      </c>
      <c r="N187" s="11">
        <f t="shared" si="19"/>
        <v>6724</v>
      </c>
      <c r="O187" s="11">
        <f t="shared" si="19"/>
        <v>82</v>
      </c>
      <c r="P187" s="11">
        <f t="shared" si="18"/>
        <v>0</v>
      </c>
    </row>
    <row r="188" spans="1:16" x14ac:dyDescent="0.25">
      <c r="A188" s="11">
        <f t="shared" si="17"/>
        <v>133</v>
      </c>
      <c r="B188">
        <v>9.8639993103475714</v>
      </c>
      <c r="E188" s="11">
        <f>A188-'Mastercurve bestimmen'!$B$2</f>
        <v>83</v>
      </c>
      <c r="F188" s="11">
        <f t="shared" si="15"/>
        <v>9.8639993103475714</v>
      </c>
      <c r="G188" s="11"/>
      <c r="H188" s="11">
        <f t="shared" si="16"/>
        <v>2252292232139041</v>
      </c>
      <c r="I188" s="11">
        <f t="shared" si="19"/>
        <v>27136050989627</v>
      </c>
      <c r="J188" s="11">
        <f t="shared" si="19"/>
        <v>326940373369</v>
      </c>
      <c r="K188" s="11">
        <f t="shared" si="19"/>
        <v>3939040643</v>
      </c>
      <c r="L188" s="11">
        <f t="shared" si="19"/>
        <v>47458321</v>
      </c>
      <c r="M188" s="11">
        <f t="shared" si="19"/>
        <v>571787</v>
      </c>
      <c r="N188" s="11">
        <f t="shared" si="19"/>
        <v>6889</v>
      </c>
      <c r="O188" s="11">
        <f t="shared" si="19"/>
        <v>83</v>
      </c>
      <c r="P188" s="11">
        <f t="shared" si="18"/>
        <v>0</v>
      </c>
    </row>
    <row r="189" spans="1:16" x14ac:dyDescent="0.25">
      <c r="A189" s="11">
        <f t="shared" si="17"/>
        <v>134</v>
      </c>
      <c r="B189">
        <v>10.022137642590737</v>
      </c>
      <c r="E189" s="11">
        <f>A189-'Mastercurve bestimmen'!$B$2</f>
        <v>84</v>
      </c>
      <c r="F189" s="11">
        <f t="shared" si="15"/>
        <v>10.022137642590737</v>
      </c>
      <c r="G189" s="11"/>
      <c r="H189" s="11">
        <f t="shared" si="16"/>
        <v>2478758911082496</v>
      </c>
      <c r="I189" s="11">
        <f t="shared" si="19"/>
        <v>29509034655744</v>
      </c>
      <c r="J189" s="11">
        <f t="shared" ref="I189:O215" si="20">IF($H$12&gt;=J$14,$E189^J$14,0)</f>
        <v>351298031616</v>
      </c>
      <c r="K189" s="11">
        <f t="shared" si="20"/>
        <v>4182119424</v>
      </c>
      <c r="L189" s="11">
        <f t="shared" si="20"/>
        <v>49787136</v>
      </c>
      <c r="M189" s="11">
        <f t="shared" si="20"/>
        <v>592704</v>
      </c>
      <c r="N189" s="11">
        <f t="shared" si="20"/>
        <v>7056</v>
      </c>
      <c r="O189" s="11">
        <f t="shared" si="20"/>
        <v>84</v>
      </c>
      <c r="P189" s="11">
        <f t="shared" si="18"/>
        <v>0</v>
      </c>
    </row>
    <row r="190" spans="1:16" x14ac:dyDescent="0.25">
      <c r="A190" s="11">
        <f t="shared" si="17"/>
        <v>135</v>
      </c>
      <c r="B190">
        <v>10.180954498491744</v>
      </c>
      <c r="E190" s="11">
        <f>A190-'Mastercurve bestimmen'!$B$2</f>
        <v>85</v>
      </c>
      <c r="F190" s="11">
        <f t="shared" si="15"/>
        <v>10.180954498491744</v>
      </c>
      <c r="G190" s="11"/>
      <c r="H190" s="11">
        <f t="shared" si="16"/>
        <v>2724905250390625</v>
      </c>
      <c r="I190" s="11">
        <f t="shared" si="20"/>
        <v>32057708828125</v>
      </c>
      <c r="J190" s="11">
        <f t="shared" si="20"/>
        <v>377149515625</v>
      </c>
      <c r="K190" s="11">
        <f t="shared" si="20"/>
        <v>4437053125</v>
      </c>
      <c r="L190" s="11">
        <f t="shared" si="20"/>
        <v>52200625</v>
      </c>
      <c r="M190" s="11">
        <f t="shared" si="20"/>
        <v>614125</v>
      </c>
      <c r="N190" s="11">
        <f t="shared" si="20"/>
        <v>7225</v>
      </c>
      <c r="O190" s="11">
        <f t="shared" si="20"/>
        <v>85</v>
      </c>
      <c r="P190" s="11">
        <f t="shared" si="18"/>
        <v>0</v>
      </c>
    </row>
    <row r="191" spans="1:16" x14ac:dyDescent="0.25">
      <c r="A191" s="11">
        <f t="shared" si="17"/>
        <v>136</v>
      </c>
      <c r="B191">
        <v>10.340423780986834</v>
      </c>
      <c r="E191" s="11">
        <f>A191-'Mastercurve bestimmen'!$B$2</f>
        <v>86</v>
      </c>
      <c r="F191" s="11">
        <f t="shared" si="15"/>
        <v>10.340423780986834</v>
      </c>
      <c r="G191" s="11"/>
      <c r="H191" s="11">
        <f t="shared" si="16"/>
        <v>2992179271065856</v>
      </c>
      <c r="I191" s="11">
        <f t="shared" si="20"/>
        <v>34792782221696</v>
      </c>
      <c r="J191" s="11">
        <f t="shared" si="20"/>
        <v>404567235136</v>
      </c>
      <c r="K191" s="11">
        <f t="shared" si="20"/>
        <v>4704270176</v>
      </c>
      <c r="L191" s="11">
        <f t="shared" si="20"/>
        <v>54700816</v>
      </c>
      <c r="M191" s="11">
        <f t="shared" si="20"/>
        <v>636056</v>
      </c>
      <c r="N191" s="11">
        <f t="shared" si="20"/>
        <v>7396</v>
      </c>
      <c r="O191" s="11">
        <f t="shared" si="20"/>
        <v>86</v>
      </c>
      <c r="P191" s="11">
        <f t="shared" si="18"/>
        <v>0</v>
      </c>
    </row>
    <row r="192" spans="1:16" x14ac:dyDescent="0.25">
      <c r="A192" s="11">
        <f t="shared" si="17"/>
        <v>137</v>
      </c>
      <c r="B192">
        <v>10.500519393012238</v>
      </c>
      <c r="E192" s="11">
        <f>A192-'Mastercurve bestimmen'!$B$2</f>
        <v>87</v>
      </c>
      <c r="F192" s="11">
        <f t="shared" si="15"/>
        <v>10.500519393012238</v>
      </c>
      <c r="G192" s="11"/>
      <c r="H192" s="11">
        <f t="shared" si="16"/>
        <v>3282116715437121</v>
      </c>
      <c r="I192" s="11">
        <f t="shared" si="20"/>
        <v>37725479487783</v>
      </c>
      <c r="J192" s="11">
        <f t="shared" si="20"/>
        <v>433626201009</v>
      </c>
      <c r="K192" s="11">
        <f t="shared" si="20"/>
        <v>4984209207</v>
      </c>
      <c r="L192" s="11">
        <f t="shared" si="20"/>
        <v>57289761</v>
      </c>
      <c r="M192" s="11">
        <f t="shared" si="20"/>
        <v>658503</v>
      </c>
      <c r="N192" s="11">
        <f t="shared" si="20"/>
        <v>7569</v>
      </c>
      <c r="O192" s="11">
        <f t="shared" si="20"/>
        <v>87</v>
      </c>
      <c r="P192" s="11">
        <f t="shared" si="18"/>
        <v>0</v>
      </c>
    </row>
    <row r="193" spans="1:16" x14ac:dyDescent="0.25">
      <c r="A193" s="11">
        <f t="shared" si="17"/>
        <v>138</v>
      </c>
      <c r="B193">
        <v>10.661215237504198</v>
      </c>
      <c r="E193" s="11">
        <f>A193-'Mastercurve bestimmen'!$B$2</f>
        <v>88</v>
      </c>
      <c r="F193" s="11">
        <f t="shared" si="15"/>
        <v>10.661215237504198</v>
      </c>
      <c r="G193" s="11"/>
      <c r="H193" s="11">
        <f t="shared" si="16"/>
        <v>3596345248055296</v>
      </c>
      <c r="I193" s="11">
        <f t="shared" si="20"/>
        <v>40867559636992</v>
      </c>
      <c r="J193" s="11">
        <f t="shared" si="20"/>
        <v>464404086784</v>
      </c>
      <c r="K193" s="11">
        <f t="shared" si="20"/>
        <v>5277319168</v>
      </c>
      <c r="L193" s="11">
        <f t="shared" si="20"/>
        <v>59969536</v>
      </c>
      <c r="M193" s="11">
        <f t="shared" si="20"/>
        <v>681472</v>
      </c>
      <c r="N193" s="11">
        <f t="shared" si="20"/>
        <v>7744</v>
      </c>
      <c r="O193" s="11">
        <f t="shared" si="20"/>
        <v>88</v>
      </c>
      <c r="P193" s="11">
        <f t="shared" si="18"/>
        <v>0</v>
      </c>
    </row>
    <row r="194" spans="1:16" x14ac:dyDescent="0.25">
      <c r="A194" s="11">
        <f t="shared" si="17"/>
        <v>139</v>
      </c>
      <c r="B194">
        <v>10.822485217398949</v>
      </c>
      <c r="E194" s="11">
        <f>A194-'Mastercurve bestimmen'!$B$2</f>
        <v>89</v>
      </c>
      <c r="F194" s="11">
        <f t="shared" si="15"/>
        <v>10.822485217398949</v>
      </c>
      <c r="G194" s="11"/>
      <c r="H194" s="11">
        <f t="shared" si="16"/>
        <v>3936588805702081</v>
      </c>
      <c r="I194" s="11">
        <f t="shared" si="20"/>
        <v>44231334895529</v>
      </c>
      <c r="J194" s="11">
        <f t="shared" si="20"/>
        <v>496981290961</v>
      </c>
      <c r="K194" s="11">
        <f t="shared" si="20"/>
        <v>5584059449</v>
      </c>
      <c r="L194" s="11">
        <f t="shared" si="20"/>
        <v>62742241</v>
      </c>
      <c r="M194" s="11">
        <f t="shared" si="20"/>
        <v>704969</v>
      </c>
      <c r="N194" s="11">
        <f t="shared" si="20"/>
        <v>7921</v>
      </c>
      <c r="O194" s="11">
        <f t="shared" si="20"/>
        <v>89</v>
      </c>
      <c r="P194" s="11">
        <f t="shared" si="18"/>
        <v>0</v>
      </c>
    </row>
    <row r="195" spans="1:16" x14ac:dyDescent="0.25">
      <c r="A195" s="11">
        <f t="shared" si="17"/>
        <v>140</v>
      </c>
      <c r="B195">
        <v>10.984303235632726</v>
      </c>
      <c r="E195" s="11">
        <f>A195-'Mastercurve bestimmen'!$B$2</f>
        <v>90</v>
      </c>
      <c r="F195" s="11">
        <f t="shared" si="15"/>
        <v>10.984303235632726</v>
      </c>
      <c r="G195" s="11"/>
      <c r="H195" s="11">
        <f t="shared" si="16"/>
        <v>4304672100000000</v>
      </c>
      <c r="I195" s="11">
        <f t="shared" si="20"/>
        <v>47829690000000</v>
      </c>
      <c r="J195" s="11">
        <f t="shared" si="20"/>
        <v>531441000000</v>
      </c>
      <c r="K195" s="11">
        <f t="shared" si="20"/>
        <v>5904900000</v>
      </c>
      <c r="L195" s="11">
        <f t="shared" si="20"/>
        <v>65610000</v>
      </c>
      <c r="M195" s="11">
        <f t="shared" si="20"/>
        <v>729000</v>
      </c>
      <c r="N195" s="11">
        <f t="shared" si="20"/>
        <v>8100</v>
      </c>
      <c r="O195" s="11">
        <f t="shared" si="20"/>
        <v>90</v>
      </c>
      <c r="P195" s="11">
        <f t="shared" si="18"/>
        <v>0</v>
      </c>
    </row>
    <row r="196" spans="1:16" x14ac:dyDescent="0.25">
      <c r="A196" s="11">
        <f t="shared" si="17"/>
        <v>141</v>
      </c>
      <c r="B196">
        <v>11.14664319514177</v>
      </c>
      <c r="E196" s="11">
        <f>A196-'Mastercurve bestimmen'!$B$2</f>
        <v>91</v>
      </c>
      <c r="F196" s="11">
        <f t="shared" si="15"/>
        <v>11.14664319514177</v>
      </c>
      <c r="G196" s="11"/>
      <c r="H196" s="11">
        <f t="shared" si="16"/>
        <v>4702525276151521</v>
      </c>
      <c r="I196" s="11">
        <f t="shared" si="20"/>
        <v>51676101935731</v>
      </c>
      <c r="J196" s="11">
        <f t="shared" si="20"/>
        <v>567869252041</v>
      </c>
      <c r="K196" s="11">
        <f t="shared" si="20"/>
        <v>6240321451</v>
      </c>
      <c r="L196" s="11">
        <f t="shared" si="20"/>
        <v>68574961</v>
      </c>
      <c r="M196" s="11">
        <f t="shared" si="20"/>
        <v>753571</v>
      </c>
      <c r="N196" s="11">
        <f t="shared" si="20"/>
        <v>8281</v>
      </c>
      <c r="O196" s="11">
        <f t="shared" si="20"/>
        <v>91</v>
      </c>
      <c r="P196" s="11">
        <f t="shared" si="18"/>
        <v>0</v>
      </c>
    </row>
    <row r="197" spans="1:16" x14ac:dyDescent="0.25">
      <c r="A197" s="11">
        <f t="shared" si="17"/>
        <v>142</v>
      </c>
      <c r="B197">
        <v>11.309478998862314</v>
      </c>
      <c r="E197" s="11">
        <f>A197-'Mastercurve bestimmen'!$B$2</f>
        <v>92</v>
      </c>
      <c r="F197" s="11">
        <f t="shared" si="15"/>
        <v>11.309478998862314</v>
      </c>
      <c r="G197" s="11"/>
      <c r="H197" s="11">
        <f t="shared" si="16"/>
        <v>5132188731375616</v>
      </c>
      <c r="I197" s="11">
        <f t="shared" si="20"/>
        <v>55784660123648</v>
      </c>
      <c r="J197" s="11">
        <f t="shared" si="20"/>
        <v>606355001344</v>
      </c>
      <c r="K197" s="11">
        <f t="shared" si="20"/>
        <v>6590815232</v>
      </c>
      <c r="L197" s="11">
        <f t="shared" si="20"/>
        <v>71639296</v>
      </c>
      <c r="M197" s="11">
        <f t="shared" si="20"/>
        <v>778688</v>
      </c>
      <c r="N197" s="11">
        <f t="shared" si="20"/>
        <v>8464</v>
      </c>
      <c r="O197" s="11">
        <f t="shared" si="20"/>
        <v>92</v>
      </c>
      <c r="P197" s="11">
        <f t="shared" si="18"/>
        <v>0</v>
      </c>
    </row>
    <row r="198" spans="1:16" x14ac:dyDescent="0.25">
      <c r="A198" s="11">
        <f t="shared" si="17"/>
        <v>143</v>
      </c>
      <c r="B198">
        <v>11.472784549730594</v>
      </c>
      <c r="E198" s="11">
        <f>A198-'Mastercurve bestimmen'!$B$2</f>
        <v>93</v>
      </c>
      <c r="F198" s="11">
        <f t="shared" si="15"/>
        <v>11.472784549730594</v>
      </c>
      <c r="G198" s="11"/>
      <c r="H198" s="11">
        <f t="shared" si="16"/>
        <v>5595818096650401</v>
      </c>
      <c r="I198" s="11">
        <f t="shared" si="20"/>
        <v>60170087060757</v>
      </c>
      <c r="J198" s="11">
        <f t="shared" si="20"/>
        <v>646990183449</v>
      </c>
      <c r="K198" s="11">
        <f t="shared" si="20"/>
        <v>6956883693</v>
      </c>
      <c r="L198" s="11">
        <f t="shared" si="20"/>
        <v>74805201</v>
      </c>
      <c r="M198" s="11">
        <f t="shared" si="20"/>
        <v>804357</v>
      </c>
      <c r="N198" s="11">
        <f t="shared" si="20"/>
        <v>8649</v>
      </c>
      <c r="O198" s="11">
        <f t="shared" si="20"/>
        <v>93</v>
      </c>
      <c r="P198" s="11">
        <f t="shared" si="18"/>
        <v>0</v>
      </c>
    </row>
    <row r="199" spans="1:16" x14ac:dyDescent="0.25">
      <c r="A199" s="11">
        <f t="shared" si="17"/>
        <v>144</v>
      </c>
      <c r="B199">
        <v>11.636533750682851</v>
      </c>
      <c r="E199" s="11">
        <f>A199-'Mastercurve bestimmen'!$B$2</f>
        <v>94</v>
      </c>
      <c r="F199" s="11">
        <f t="shared" si="15"/>
        <v>11.636533750682851</v>
      </c>
      <c r="G199" s="11"/>
      <c r="H199" s="11">
        <f t="shared" si="16"/>
        <v>6095689385410816</v>
      </c>
      <c r="I199" s="11">
        <f t="shared" si="20"/>
        <v>64847759419264</v>
      </c>
      <c r="J199" s="11">
        <f t="shared" si="20"/>
        <v>689869781056</v>
      </c>
      <c r="K199" s="11">
        <f t="shared" si="20"/>
        <v>7339040224</v>
      </c>
      <c r="L199" s="11">
        <f t="shared" si="20"/>
        <v>78074896</v>
      </c>
      <c r="M199" s="11">
        <f t="shared" si="20"/>
        <v>830584</v>
      </c>
      <c r="N199" s="11">
        <f t="shared" si="20"/>
        <v>8836</v>
      </c>
      <c r="O199" s="11">
        <f t="shared" si="20"/>
        <v>94</v>
      </c>
      <c r="P199" s="11">
        <f t="shared" si="18"/>
        <v>0</v>
      </c>
    </row>
    <row r="200" spans="1:16" x14ac:dyDescent="0.25">
      <c r="A200" s="11">
        <f t="shared" si="17"/>
        <v>145</v>
      </c>
      <c r="B200">
        <v>11.800700504655319</v>
      </c>
      <c r="E200" s="11">
        <f>A200-'Mastercurve bestimmen'!$B$2</f>
        <v>95</v>
      </c>
      <c r="F200" s="11">
        <f t="shared" si="15"/>
        <v>11.800700504655319</v>
      </c>
      <c r="G200" s="11"/>
      <c r="H200" s="11">
        <f t="shared" si="16"/>
        <v>6634204312890625</v>
      </c>
      <c r="I200" s="11">
        <f t="shared" si="20"/>
        <v>69833729609375</v>
      </c>
      <c r="J200" s="11">
        <f t="shared" si="20"/>
        <v>735091890625</v>
      </c>
      <c r="K200" s="11">
        <f t="shared" si="20"/>
        <v>7737809375</v>
      </c>
      <c r="L200" s="11">
        <f t="shared" si="20"/>
        <v>81450625</v>
      </c>
      <c r="M200" s="11">
        <f t="shared" si="20"/>
        <v>857375</v>
      </c>
      <c r="N200" s="11">
        <f t="shared" si="20"/>
        <v>9025</v>
      </c>
      <c r="O200" s="11">
        <f t="shared" si="20"/>
        <v>95</v>
      </c>
      <c r="P200" s="11">
        <f t="shared" si="18"/>
        <v>0</v>
      </c>
    </row>
    <row r="201" spans="1:16" x14ac:dyDescent="0.25">
      <c r="A201" s="11">
        <f t="shared" si="17"/>
        <v>146</v>
      </c>
      <c r="B201">
        <v>11.965258714584234</v>
      </c>
      <c r="E201" s="11">
        <f>A201-'Mastercurve bestimmen'!$B$2</f>
        <v>96</v>
      </c>
      <c r="F201" s="11">
        <f t="shared" si="15"/>
        <v>11.965258714584234</v>
      </c>
      <c r="G201" s="11"/>
      <c r="H201" s="11">
        <f t="shared" si="16"/>
        <v>7213895789838336</v>
      </c>
      <c r="I201" s="11">
        <f t="shared" si="20"/>
        <v>75144747810816</v>
      </c>
      <c r="J201" s="11">
        <f t="shared" si="20"/>
        <v>782757789696</v>
      </c>
      <c r="K201" s="11">
        <f t="shared" si="20"/>
        <v>8153726976</v>
      </c>
      <c r="L201" s="11">
        <f t="shared" si="20"/>
        <v>84934656</v>
      </c>
      <c r="M201" s="11">
        <f t="shared" si="20"/>
        <v>884736</v>
      </c>
      <c r="N201" s="11">
        <f t="shared" si="20"/>
        <v>9216</v>
      </c>
      <c r="O201" s="11">
        <f t="shared" si="20"/>
        <v>96</v>
      </c>
      <c r="P201" s="11">
        <f t="shared" si="18"/>
        <v>0</v>
      </c>
    </row>
    <row r="202" spans="1:16" x14ac:dyDescent="0.25">
      <c r="A202" s="11">
        <f t="shared" si="17"/>
        <v>147</v>
      </c>
      <c r="B202">
        <v>12.130182283405837</v>
      </c>
      <c r="E202" s="11">
        <f>A202-'Mastercurve bestimmen'!$B$2</f>
        <v>97</v>
      </c>
      <c r="F202" s="11">
        <f t="shared" si="15"/>
        <v>12.130182283405837</v>
      </c>
      <c r="G202" s="11"/>
      <c r="H202" s="11">
        <f t="shared" si="16"/>
        <v>7837433594376961</v>
      </c>
      <c r="I202" s="11">
        <f t="shared" si="20"/>
        <v>80798284478113</v>
      </c>
      <c r="J202" s="11">
        <f t="shared" si="20"/>
        <v>832972004929</v>
      </c>
      <c r="K202" s="11">
        <f t="shared" si="20"/>
        <v>8587340257</v>
      </c>
      <c r="L202" s="11">
        <f t="shared" si="20"/>
        <v>88529281</v>
      </c>
      <c r="M202" s="11">
        <f t="shared" si="20"/>
        <v>912673</v>
      </c>
      <c r="N202" s="11">
        <f t="shared" si="20"/>
        <v>9409</v>
      </c>
      <c r="O202" s="11">
        <f t="shared" si="20"/>
        <v>97</v>
      </c>
      <c r="P202" s="11">
        <f t="shared" si="18"/>
        <v>0</v>
      </c>
    </row>
    <row r="203" spans="1:16" x14ac:dyDescent="0.25">
      <c r="A203" s="11">
        <f t="shared" si="17"/>
        <v>148</v>
      </c>
      <c r="B203">
        <v>12.295445114056358</v>
      </c>
      <c r="E203" s="11">
        <f>A203-'Mastercurve bestimmen'!$B$2</f>
        <v>98</v>
      </c>
      <c r="F203" s="11">
        <f t="shared" si="15"/>
        <v>12.295445114056358</v>
      </c>
      <c r="G203" s="11"/>
      <c r="H203" s="11">
        <f t="shared" si="16"/>
        <v>8507630225817856</v>
      </c>
      <c r="I203" s="11">
        <f t="shared" si="20"/>
        <v>86812553324672</v>
      </c>
      <c r="J203" s="11">
        <f t="shared" si="20"/>
        <v>885842380864</v>
      </c>
      <c r="K203" s="11">
        <f t="shared" si="20"/>
        <v>9039207968</v>
      </c>
      <c r="L203" s="11">
        <f t="shared" si="20"/>
        <v>92236816</v>
      </c>
      <c r="M203" s="11">
        <f t="shared" si="20"/>
        <v>941192</v>
      </c>
      <c r="N203" s="11">
        <f t="shared" si="20"/>
        <v>9604</v>
      </c>
      <c r="O203" s="11">
        <f t="shared" si="20"/>
        <v>98</v>
      </c>
      <c r="P203" s="11">
        <f t="shared" si="18"/>
        <v>0</v>
      </c>
    </row>
    <row r="204" spans="1:16" x14ac:dyDescent="0.25">
      <c r="A204" s="11">
        <f t="shared" si="17"/>
        <v>149</v>
      </c>
      <c r="B204">
        <v>12.461021109472039</v>
      </c>
      <c r="E204" s="11">
        <f>A204-'Mastercurve bestimmen'!$B$2</f>
        <v>99</v>
      </c>
      <c r="F204" s="11">
        <f t="shared" si="15"/>
        <v>12.461021109472039</v>
      </c>
      <c r="G204" s="11"/>
      <c r="H204" s="11">
        <f t="shared" si="16"/>
        <v>9227446944279200</v>
      </c>
      <c r="I204" s="11">
        <f t="shared" si="20"/>
        <v>93206534790699</v>
      </c>
      <c r="J204" s="11">
        <f t="shared" si="20"/>
        <v>941480149401</v>
      </c>
      <c r="K204" s="11">
        <f t="shared" si="20"/>
        <v>9509900499</v>
      </c>
      <c r="L204" s="11">
        <f t="shared" si="20"/>
        <v>96059601</v>
      </c>
      <c r="M204" s="11">
        <f t="shared" si="20"/>
        <v>970299</v>
      </c>
      <c r="N204" s="11">
        <f t="shared" si="20"/>
        <v>9801</v>
      </c>
      <c r="O204" s="11">
        <f t="shared" si="20"/>
        <v>99</v>
      </c>
      <c r="P204" s="11">
        <f t="shared" si="18"/>
        <v>0</v>
      </c>
    </row>
    <row r="205" spans="1:16" x14ac:dyDescent="0.25">
      <c r="A205" s="11">
        <f t="shared" si="17"/>
        <v>150</v>
      </c>
      <c r="B205">
        <v>12.626884172589115</v>
      </c>
      <c r="E205" s="11">
        <f>A205-'Mastercurve bestimmen'!$B$2</f>
        <v>100</v>
      </c>
      <c r="F205" s="11">
        <f t="shared" si="15"/>
        <v>12.626884172589115</v>
      </c>
      <c r="G205" s="11"/>
      <c r="H205" s="11">
        <f t="shared" si="16"/>
        <v>1E+16</v>
      </c>
      <c r="I205" s="11">
        <f t="shared" si="20"/>
        <v>100000000000000</v>
      </c>
      <c r="J205" s="11">
        <f t="shared" si="20"/>
        <v>1000000000000</v>
      </c>
      <c r="K205" s="11">
        <f t="shared" si="20"/>
        <v>10000000000</v>
      </c>
      <c r="L205" s="11">
        <f t="shared" si="20"/>
        <v>100000000</v>
      </c>
      <c r="M205" s="11">
        <f t="shared" si="20"/>
        <v>1000000</v>
      </c>
      <c r="N205" s="11">
        <f t="shared" si="20"/>
        <v>10000</v>
      </c>
      <c r="O205" s="11">
        <f t="shared" si="20"/>
        <v>100</v>
      </c>
      <c r="P205" s="11">
        <f t="shared" si="18"/>
        <v>0</v>
      </c>
    </row>
    <row r="206" spans="1:16" x14ac:dyDescent="0.25">
      <c r="A206" s="11">
        <f t="shared" si="17"/>
        <v>151</v>
      </c>
      <c r="B206">
        <v>12.793008206343824</v>
      </c>
      <c r="E206" s="11">
        <f>A206-'Mastercurve bestimmen'!$B$2</f>
        <v>101</v>
      </c>
      <c r="F206" s="11">
        <f t="shared" si="15"/>
        <v>12.793008206343824</v>
      </c>
      <c r="G206" s="11"/>
      <c r="H206" s="11">
        <f t="shared" si="16"/>
        <v>1.08285670562808E+16</v>
      </c>
      <c r="I206" s="11">
        <f t="shared" si="20"/>
        <v>107213535210701</v>
      </c>
      <c r="J206" s="11">
        <f t="shared" si="20"/>
        <v>1061520150601</v>
      </c>
      <c r="K206" s="11">
        <f t="shared" si="20"/>
        <v>10510100501</v>
      </c>
      <c r="L206" s="11">
        <f t="shared" si="20"/>
        <v>104060401</v>
      </c>
      <c r="M206" s="11">
        <f t="shared" si="20"/>
        <v>1030301</v>
      </c>
      <c r="N206" s="11">
        <f t="shared" si="20"/>
        <v>10201</v>
      </c>
      <c r="O206" s="11">
        <f t="shared" si="20"/>
        <v>101</v>
      </c>
      <c r="P206" s="11">
        <f t="shared" si="18"/>
        <v>0</v>
      </c>
    </row>
    <row r="207" spans="1:16" x14ac:dyDescent="0.25">
      <c r="A207" s="11">
        <f t="shared" si="17"/>
        <v>152</v>
      </c>
      <c r="B207">
        <v>12.959367113672402</v>
      </c>
      <c r="E207" s="11">
        <f>A207-'Mastercurve bestimmen'!$B$2</f>
        <v>102</v>
      </c>
      <c r="F207" s="11">
        <f t="shared" si="15"/>
        <v>12.959367113672402</v>
      </c>
      <c r="G207" s="11"/>
      <c r="H207" s="11">
        <f t="shared" si="16"/>
        <v>1.1716593810022656E+16</v>
      </c>
      <c r="I207" s="11">
        <f t="shared" si="20"/>
        <v>114868566764928</v>
      </c>
      <c r="J207" s="11">
        <f t="shared" si="20"/>
        <v>1126162419264</v>
      </c>
      <c r="K207" s="11">
        <f t="shared" si="20"/>
        <v>11040808032</v>
      </c>
      <c r="L207" s="11">
        <f t="shared" si="20"/>
        <v>108243216</v>
      </c>
      <c r="M207" s="11">
        <f t="shared" si="20"/>
        <v>1061208</v>
      </c>
      <c r="N207" s="11">
        <f t="shared" si="20"/>
        <v>10404</v>
      </c>
      <c r="O207" s="11">
        <f t="shared" si="20"/>
        <v>102</v>
      </c>
      <c r="P207" s="11">
        <f t="shared" si="18"/>
        <v>0</v>
      </c>
    </row>
    <row r="208" spans="1:16" x14ac:dyDescent="0.25">
      <c r="A208" s="11">
        <f t="shared" si="17"/>
        <v>153</v>
      </c>
      <c r="B208">
        <v>13.125934797511086</v>
      </c>
      <c r="E208" s="11">
        <f>A208-'Mastercurve bestimmen'!$B$2</f>
        <v>103</v>
      </c>
      <c r="F208" s="11">
        <f t="shared" ref="F208:F215" si="21">B208</f>
        <v>13.125934797511086</v>
      </c>
      <c r="G208" s="11"/>
      <c r="H208" s="11">
        <f t="shared" ref="H208:H215" si="22">IF($H$12&gt;=H$14,$E208^H$14,0)</f>
        <v>1.266770081387616E+16</v>
      </c>
      <c r="I208" s="11">
        <f t="shared" si="20"/>
        <v>122987386542487</v>
      </c>
      <c r="J208" s="11">
        <f t="shared" si="20"/>
        <v>1194052296529</v>
      </c>
      <c r="K208" s="11">
        <f t="shared" si="20"/>
        <v>11592740743</v>
      </c>
      <c r="L208" s="11">
        <f t="shared" si="20"/>
        <v>112550881</v>
      </c>
      <c r="M208" s="11">
        <f t="shared" si="20"/>
        <v>1092727</v>
      </c>
      <c r="N208" s="11">
        <f t="shared" si="20"/>
        <v>10609</v>
      </c>
      <c r="O208" s="11">
        <f t="shared" si="20"/>
        <v>103</v>
      </c>
      <c r="P208" s="11">
        <f t="shared" si="18"/>
        <v>0</v>
      </c>
    </row>
    <row r="209" spans="1:16" x14ac:dyDescent="0.25">
      <c r="A209" s="11">
        <f t="shared" ref="A209:A215" si="23">A208+1</f>
        <v>154</v>
      </c>
      <c r="B209">
        <v>13.292685160796111</v>
      </c>
      <c r="E209" s="11">
        <f>A209-'Mastercurve bestimmen'!$B$2</f>
        <v>104</v>
      </c>
      <c r="F209" s="11">
        <f t="shared" si="21"/>
        <v>13.292685160796111</v>
      </c>
      <c r="G209" s="11"/>
      <c r="H209" s="11">
        <f t="shared" si="22"/>
        <v>1.3685690504052736E+16</v>
      </c>
      <c r="I209" s="11">
        <f t="shared" si="20"/>
        <v>131593177923584</v>
      </c>
      <c r="J209" s="11">
        <f t="shared" si="20"/>
        <v>1265319018496</v>
      </c>
      <c r="K209" s="11">
        <f t="shared" si="20"/>
        <v>12166529024</v>
      </c>
      <c r="L209" s="11">
        <f t="shared" si="20"/>
        <v>116985856</v>
      </c>
      <c r="M209" s="11">
        <f t="shared" si="20"/>
        <v>1124864</v>
      </c>
      <c r="N209" s="11">
        <f t="shared" si="20"/>
        <v>10816</v>
      </c>
      <c r="O209" s="11">
        <f t="shared" si="20"/>
        <v>104</v>
      </c>
      <c r="P209" s="11">
        <f t="shared" ref="P209:P215" si="24">P208</f>
        <v>0</v>
      </c>
    </row>
    <row r="210" spans="1:16" x14ac:dyDescent="0.25">
      <c r="A210" s="11">
        <f t="shared" si="23"/>
        <v>155</v>
      </c>
      <c r="B210">
        <v>13.459592106463717</v>
      </c>
      <c r="E210" s="11">
        <f>A210-'Mastercurve bestimmen'!$B$2</f>
        <v>105</v>
      </c>
      <c r="F210" s="11">
        <f t="shared" si="21"/>
        <v>13.459592106463717</v>
      </c>
      <c r="G210" s="11"/>
      <c r="H210" s="11">
        <f t="shared" si="22"/>
        <v>1.4774554437890624E+16</v>
      </c>
      <c r="I210" s="11">
        <f t="shared" si="20"/>
        <v>140710042265625</v>
      </c>
      <c r="J210" s="11">
        <f t="shared" si="20"/>
        <v>1340095640625</v>
      </c>
      <c r="K210" s="11">
        <f t="shared" si="20"/>
        <v>12762815625</v>
      </c>
      <c r="L210" s="11">
        <f t="shared" si="20"/>
        <v>121550625</v>
      </c>
      <c r="M210" s="11">
        <f t="shared" si="20"/>
        <v>1157625</v>
      </c>
      <c r="N210" s="11">
        <f t="shared" si="20"/>
        <v>11025</v>
      </c>
      <c r="O210" s="11">
        <f t="shared" si="20"/>
        <v>105</v>
      </c>
      <c r="P210" s="11">
        <f t="shared" si="24"/>
        <v>0</v>
      </c>
    </row>
    <row r="211" spans="1:16" x14ac:dyDescent="0.25">
      <c r="A211" s="11">
        <f t="shared" si="23"/>
        <v>156</v>
      </c>
      <c r="B211">
        <v>13.626629537450137</v>
      </c>
      <c r="E211" s="11">
        <f>A211-'Mastercurve bestimmen'!$B$2</f>
        <v>106</v>
      </c>
      <c r="F211" s="11">
        <f t="shared" si="21"/>
        <v>13.626629537450137</v>
      </c>
      <c r="G211" s="11"/>
      <c r="H211" s="11">
        <f t="shared" si="22"/>
        <v>1.5938480745308416E+16</v>
      </c>
      <c r="I211" s="11">
        <f t="shared" si="20"/>
        <v>150363025899136</v>
      </c>
      <c r="J211" s="11">
        <f t="shared" si="20"/>
        <v>1418519112256</v>
      </c>
      <c r="K211" s="11">
        <f t="shared" si="20"/>
        <v>13382255776</v>
      </c>
      <c r="L211" s="11">
        <f t="shared" si="20"/>
        <v>126247696</v>
      </c>
      <c r="M211" s="11">
        <f t="shared" si="20"/>
        <v>1191016</v>
      </c>
      <c r="N211" s="11">
        <f t="shared" si="20"/>
        <v>11236</v>
      </c>
      <c r="O211" s="11">
        <f t="shared" si="20"/>
        <v>106</v>
      </c>
      <c r="P211" s="11">
        <f t="shared" si="24"/>
        <v>0</v>
      </c>
    </row>
    <row r="212" spans="1:16" x14ac:dyDescent="0.25">
      <c r="A212" s="11">
        <f t="shared" si="23"/>
        <v>157</v>
      </c>
      <c r="B212">
        <v>13.793771356691613</v>
      </c>
      <c r="E212" s="11">
        <f>A212-'Mastercurve bestimmen'!$B$2</f>
        <v>107</v>
      </c>
      <c r="F212" s="11">
        <f t="shared" si="21"/>
        <v>13.793771356691613</v>
      </c>
      <c r="G212" s="11"/>
      <c r="H212" s="11">
        <f t="shared" si="22"/>
        <v>1.71818617983192E+16</v>
      </c>
      <c r="I212" s="11">
        <f t="shared" si="20"/>
        <v>160578147647843</v>
      </c>
      <c r="J212" s="11">
        <f t="shared" si="20"/>
        <v>1500730351849</v>
      </c>
      <c r="K212" s="11">
        <f t="shared" si="20"/>
        <v>14025517307</v>
      </c>
      <c r="L212" s="11">
        <f t="shared" si="20"/>
        <v>131079601</v>
      </c>
      <c r="M212" s="11">
        <f t="shared" si="20"/>
        <v>1225043</v>
      </c>
      <c r="N212" s="11">
        <f t="shared" si="20"/>
        <v>11449</v>
      </c>
      <c r="O212" s="11">
        <f t="shared" si="20"/>
        <v>107</v>
      </c>
      <c r="P212" s="11">
        <f t="shared" si="24"/>
        <v>0</v>
      </c>
    </row>
    <row r="213" spans="1:16" x14ac:dyDescent="0.25">
      <c r="A213" s="11">
        <f t="shared" si="23"/>
        <v>158</v>
      </c>
      <c r="B213">
        <v>13.960991467124376</v>
      </c>
      <c r="E213" s="11">
        <f>A213-'Mastercurve bestimmen'!$B$2</f>
        <v>108</v>
      </c>
      <c r="F213" s="11">
        <f t="shared" si="21"/>
        <v>13.960991467124376</v>
      </c>
      <c r="G213" s="11"/>
      <c r="H213" s="11">
        <f t="shared" si="22"/>
        <v>1.8509302102818816E+16</v>
      </c>
      <c r="I213" s="11">
        <f t="shared" si="20"/>
        <v>171382426877952</v>
      </c>
      <c r="J213" s="11">
        <f t="shared" si="20"/>
        <v>1586874322944</v>
      </c>
      <c r="K213" s="11">
        <f t="shared" si="20"/>
        <v>14693280768</v>
      </c>
      <c r="L213" s="11">
        <f t="shared" si="20"/>
        <v>136048896</v>
      </c>
      <c r="M213" s="11">
        <f t="shared" si="20"/>
        <v>1259712</v>
      </c>
      <c r="N213" s="11">
        <f t="shared" si="20"/>
        <v>11664</v>
      </c>
      <c r="O213" s="11">
        <f t="shared" si="20"/>
        <v>108</v>
      </c>
      <c r="P213" s="11">
        <f t="shared" si="24"/>
        <v>0</v>
      </c>
    </row>
    <row r="214" spans="1:16" x14ac:dyDescent="0.25">
      <c r="A214" s="11">
        <f t="shared" si="23"/>
        <v>159</v>
      </c>
      <c r="B214">
        <v>14.128263771684667</v>
      </c>
      <c r="E214" s="11">
        <f>A214-'Mastercurve bestimmen'!$B$2</f>
        <v>109</v>
      </c>
      <c r="F214" s="11">
        <f t="shared" si="21"/>
        <v>14.128263771684667</v>
      </c>
      <c r="G214" s="11"/>
      <c r="H214" s="11">
        <f t="shared" si="22"/>
        <v>1.992562641690192E+16</v>
      </c>
      <c r="I214" s="11">
        <f t="shared" si="20"/>
        <v>182803912081669</v>
      </c>
      <c r="J214" s="11">
        <f t="shared" si="20"/>
        <v>1677100110841</v>
      </c>
      <c r="K214" s="11">
        <f t="shared" si="20"/>
        <v>15386239549</v>
      </c>
      <c r="L214" s="11">
        <f t="shared" si="20"/>
        <v>141158161</v>
      </c>
      <c r="M214" s="11">
        <f t="shared" si="20"/>
        <v>1295029</v>
      </c>
      <c r="N214" s="11">
        <f t="shared" si="20"/>
        <v>11881</v>
      </c>
      <c r="O214" s="11">
        <f t="shared" si="20"/>
        <v>109</v>
      </c>
      <c r="P214" s="11">
        <f t="shared" si="24"/>
        <v>0</v>
      </c>
    </row>
    <row r="215" spans="1:16" x14ac:dyDescent="0.25">
      <c r="A215" s="11">
        <f t="shared" si="23"/>
        <v>160</v>
      </c>
      <c r="B215">
        <v>14.295562173308721</v>
      </c>
      <c r="E215" s="11">
        <f>A215-'Mastercurve bestimmen'!$B$2</f>
        <v>110</v>
      </c>
      <c r="F215" s="11">
        <f t="shared" si="21"/>
        <v>14.295562173308721</v>
      </c>
      <c r="G215" s="11"/>
      <c r="H215" s="11">
        <f t="shared" si="22"/>
        <v>2.14358881E+16</v>
      </c>
      <c r="I215" s="11">
        <f t="shared" si="20"/>
        <v>194871710000000</v>
      </c>
      <c r="J215" s="11">
        <f t="shared" si="20"/>
        <v>1771561000000</v>
      </c>
      <c r="K215" s="11">
        <f t="shared" si="20"/>
        <v>16105100000</v>
      </c>
      <c r="L215" s="11">
        <f t="shared" si="20"/>
        <v>146410000</v>
      </c>
      <c r="M215" s="11">
        <f t="shared" si="20"/>
        <v>1331000</v>
      </c>
      <c r="N215" s="11">
        <f t="shared" si="20"/>
        <v>12100</v>
      </c>
      <c r="O215" s="11">
        <f t="shared" si="20"/>
        <v>110</v>
      </c>
      <c r="P215" s="11">
        <f t="shared" si="24"/>
        <v>0</v>
      </c>
    </row>
    <row r="216" spans="1:16" x14ac:dyDescent="0.25">
      <c r="G216" s="11"/>
      <c r="H216" s="13">
        <v>1</v>
      </c>
      <c r="I216" s="98" t="s">
        <v>138</v>
      </c>
      <c r="J216" s="98" t="s">
        <v>139</v>
      </c>
      <c r="K216" s="98" t="s">
        <v>140</v>
      </c>
      <c r="L216" s="98" t="s">
        <v>141</v>
      </c>
      <c r="M216" s="98" t="s">
        <v>142</v>
      </c>
      <c r="N216" s="98" t="s">
        <v>143</v>
      </c>
      <c r="O216" s="98" t="s">
        <v>144</v>
      </c>
      <c r="P216" s="98" t="s">
        <v>145</v>
      </c>
    </row>
    <row r="217" spans="1:16" x14ac:dyDescent="0.25">
      <c r="G217" s="35" t="s">
        <v>146</v>
      </c>
      <c r="H217" s="99">
        <f t="array" ref="H217:P219">LINEST(F15:F215,H15:P215,FALSE,TRUE)</f>
        <v>0</v>
      </c>
      <c r="I217" s="99">
        <v>8.4957641293068584E-2</v>
      </c>
      <c r="J217" s="99">
        <v>4.4769128873435826E-5</v>
      </c>
      <c r="K217" s="99">
        <v>8.7484591794976323E-6</v>
      </c>
      <c r="L217" s="99">
        <v>-9.951484574892959E-9</v>
      </c>
      <c r="M217" s="99">
        <v>-1.2270369211778238E-9</v>
      </c>
      <c r="N217" s="99">
        <v>6.6954550451668598E-12</v>
      </c>
      <c r="O217" s="99">
        <v>5.8550777708114434E-14</v>
      </c>
      <c r="P217" s="99">
        <v>-4.3419042122535173E-16</v>
      </c>
    </row>
    <row r="218" spans="1:16" x14ac:dyDescent="0.25">
      <c r="G218" s="11"/>
      <c r="H218" s="11">
        <v>0</v>
      </c>
      <c r="I218" s="11">
        <v>1.9389721654441001E-4</v>
      </c>
      <c r="J218" s="11">
        <v>4.3549478161639968E-6</v>
      </c>
      <c r="K218" s="3">
        <v>1.6286316072804779E-7</v>
      </c>
      <c r="L218" s="3">
        <v>2.4450183046653146E-9</v>
      </c>
      <c r="M218" s="3">
        <v>3.9764563695140115E-11</v>
      </c>
      <c r="N218" s="3">
        <v>4.5974330537380713E-13</v>
      </c>
      <c r="O218" s="11">
        <v>2.8796794249415403E-15</v>
      </c>
      <c r="P218" s="11">
        <v>2.9066689485757891E-17</v>
      </c>
    </row>
    <row r="219" spans="1:16" x14ac:dyDescent="0.25">
      <c r="G219" s="11"/>
      <c r="H219" s="11">
        <v>0.99998944174391713</v>
      </c>
      <c r="I219" s="11">
        <v>2.1730012899629916E-2</v>
      </c>
      <c r="J219" s="11" t="e">
        <v>#N/A</v>
      </c>
      <c r="K219" s="11" t="e">
        <v>#N/A</v>
      </c>
      <c r="L219" s="11" t="e">
        <v>#N/A</v>
      </c>
      <c r="M219" s="11" t="e">
        <v>#N/A</v>
      </c>
      <c r="N219" s="11" t="e">
        <v>#N/A</v>
      </c>
      <c r="O219" s="11" t="e">
        <v>#N/A</v>
      </c>
      <c r="P219" s="11" t="e">
        <v>#N/A</v>
      </c>
    </row>
    <row r="222" spans="1:16" x14ac:dyDescent="0.25">
      <c r="E222">
        <f>E15</f>
        <v>-90</v>
      </c>
      <c r="F222">
        <f>$H$217*0+E222*$I$217+E222^2*$J$217+E222^3*$K$217+E222^4*$L$217+E222^5*$M$217+E222^6*$N$217+E222^7*$O$217+E222^8*$P$217</f>
        <v>-8.1798447161664356</v>
      </c>
      <c r="G222">
        <f>F15</f>
        <v>-8.182560759440511</v>
      </c>
    </row>
    <row r="223" spans="1:16" x14ac:dyDescent="0.25">
      <c r="E223" s="11">
        <f t="shared" ref="E223:E286" si="25">E16</f>
        <v>-89</v>
      </c>
      <c r="F223" s="11">
        <f t="shared" ref="F223:F286" si="26">$H$217*0+E223*$I$217+E223^2*$J$217+E223^3*$K$217+E223^4*$L$217+E223^5*$M$217+E223^6*$N$217+E223^7*$O$217+E223^8*$P$217</f>
        <v>-8.1180299711404142</v>
      </c>
      <c r="G223" s="11">
        <f t="shared" ref="G223:G286" si="27">F16</f>
        <v>-8.1227078811179076</v>
      </c>
    </row>
    <row r="224" spans="1:16" x14ac:dyDescent="0.25">
      <c r="E224" s="11">
        <f t="shared" si="25"/>
        <v>-88</v>
      </c>
      <c r="F224" s="11">
        <f t="shared" si="26"/>
        <v>-8.0576600943063212</v>
      </c>
      <c r="G224" s="11">
        <f t="shared" si="27"/>
        <v>-8.0627577853251911</v>
      </c>
    </row>
    <row r="225" spans="5:7" x14ac:dyDescent="0.25">
      <c r="E225" s="11">
        <f t="shared" si="25"/>
        <v>-87</v>
      </c>
      <c r="F225" s="11">
        <f t="shared" si="26"/>
        <v>-7.9982483915033988</v>
      </c>
      <c r="G225" s="11">
        <f t="shared" si="27"/>
        <v>-8.0026132545922426</v>
      </c>
    </row>
    <row r="226" spans="5:7" x14ac:dyDescent="0.25">
      <c r="E226" s="11">
        <f t="shared" si="25"/>
        <v>-86</v>
      </c>
      <c r="F226" s="11">
        <f t="shared" si="26"/>
        <v>-7.9393540596355408</v>
      </c>
      <c r="G226" s="11">
        <f t="shared" si="27"/>
        <v>-7.942177071448949</v>
      </c>
    </row>
    <row r="227" spans="5:7" x14ac:dyDescent="0.25">
      <c r="E227" s="11">
        <f t="shared" si="25"/>
        <v>-85</v>
      </c>
      <c r="F227" s="11">
        <f t="shared" si="26"/>
        <v>-7.8805796710137095</v>
      </c>
      <c r="G227" s="11">
        <f t="shared" si="27"/>
        <v>-7.8813520184251953</v>
      </c>
    </row>
    <row r="228" spans="5:7" x14ac:dyDescent="0.25">
      <c r="E228" s="11">
        <f t="shared" si="25"/>
        <v>-84</v>
      </c>
      <c r="F228" s="11">
        <f t="shared" si="26"/>
        <v>-7.8215687448089088</v>
      </c>
      <c r="G228" s="11">
        <f t="shared" si="27"/>
        <v>-7.8200408780508663</v>
      </c>
    </row>
    <row r="229" spans="5:7" x14ac:dyDescent="0.25">
      <c r="E229" s="11">
        <f t="shared" si="25"/>
        <v>-83</v>
      </c>
      <c r="F229" s="11">
        <f t="shared" si="26"/>
        <v>-7.7620034038063288</v>
      </c>
      <c r="G229" s="11">
        <f t="shared" si="27"/>
        <v>-7.758146432855848</v>
      </c>
    </row>
    <row r="230" spans="5:7" x14ac:dyDescent="0.25">
      <c r="E230" s="11">
        <f t="shared" si="25"/>
        <v>-82</v>
      </c>
      <c r="F230" s="11">
        <f t="shared" si="26"/>
        <v>-7.7016021146687121</v>
      </c>
      <c r="G230" s="11">
        <f t="shared" si="27"/>
        <v>-7.6955714653700227</v>
      </c>
    </row>
    <row r="231" spans="5:7" x14ac:dyDescent="0.25">
      <c r="E231" s="11">
        <f t="shared" si="25"/>
        <v>-81</v>
      </c>
      <c r="F231" s="11">
        <f t="shared" si="26"/>
        <v>-7.6401175099345657</v>
      </c>
      <c r="G231" s="11">
        <f t="shared" si="27"/>
        <v>-7.632218758123277</v>
      </c>
    </row>
    <row r="232" spans="5:7" x14ac:dyDescent="0.25">
      <c r="E232" s="11">
        <f t="shared" si="25"/>
        <v>-80</v>
      </c>
      <c r="F232" s="11">
        <f t="shared" si="26"/>
        <v>-7.5773342899943339</v>
      </c>
      <c r="G232" s="11">
        <f t="shared" si="27"/>
        <v>-7.5679910936454968</v>
      </c>
    </row>
    <row r="233" spans="5:7" x14ac:dyDescent="0.25">
      <c r="E233" s="11">
        <f t="shared" si="25"/>
        <v>-79</v>
      </c>
      <c r="F233" s="11">
        <f t="shared" si="26"/>
        <v>-7.5130672033051127</v>
      </c>
      <c r="G233" s="11">
        <f t="shared" si="27"/>
        <v>-7.5027912544665654</v>
      </c>
    </row>
    <row r="234" spans="5:7" x14ac:dyDescent="0.25">
      <c r="E234" s="11">
        <f t="shared" si="25"/>
        <v>-78</v>
      </c>
      <c r="F234" s="11">
        <f t="shared" si="26"/>
        <v>-7.4471591031220656</v>
      </c>
      <c r="G234" s="11">
        <f t="shared" si="27"/>
        <v>-7.4365220231163685</v>
      </c>
    </row>
    <row r="235" spans="5:7" x14ac:dyDescent="0.25">
      <c r="E235" s="11">
        <f t="shared" si="25"/>
        <v>-77</v>
      </c>
      <c r="F235" s="11">
        <f t="shared" si="26"/>
        <v>-7.3794790790421345</v>
      </c>
      <c r="G235" s="11">
        <f t="shared" si="27"/>
        <v>-7.3690861821247902</v>
      </c>
    </row>
    <row r="236" spans="5:7" x14ac:dyDescent="0.25">
      <c r="E236" s="11">
        <f t="shared" si="25"/>
        <v>-76</v>
      </c>
      <c r="F236" s="11">
        <f t="shared" si="26"/>
        <v>-7.3099206616731927</v>
      </c>
      <c r="G236" s="11">
        <f t="shared" si="27"/>
        <v>-7.3003865140217172</v>
      </c>
    </row>
    <row r="237" spans="5:7" x14ac:dyDescent="0.25">
      <c r="E237" s="11">
        <f t="shared" si="25"/>
        <v>-75</v>
      </c>
      <c r="F237" s="11">
        <f t="shared" si="26"/>
        <v>-7.238400098759282</v>
      </c>
      <c r="G237" s="11">
        <f t="shared" si="27"/>
        <v>-7.2303258013370328</v>
      </c>
    </row>
    <row r="238" spans="5:7" x14ac:dyDescent="0.25">
      <c r="E238" s="11">
        <f t="shared" si="25"/>
        <v>-74</v>
      </c>
      <c r="F238" s="11">
        <f t="shared" si="26"/>
        <v>-7.1648547011100687</v>
      </c>
      <c r="G238" s="11">
        <f t="shared" si="27"/>
        <v>-7.1588068266006228</v>
      </c>
    </row>
    <row r="239" spans="5:7" x14ac:dyDescent="0.25">
      <c r="E239" s="11">
        <f t="shared" si="25"/>
        <v>-73</v>
      </c>
      <c r="F239" s="11">
        <f t="shared" si="26"/>
        <v>-7.0892412567001815</v>
      </c>
      <c r="G239" s="11">
        <f t="shared" si="27"/>
        <v>-7.0857323723423704</v>
      </c>
    </row>
    <row r="240" spans="5:7" x14ac:dyDescent="0.25">
      <c r="E240" s="11">
        <f t="shared" si="25"/>
        <v>-72</v>
      </c>
      <c r="F240" s="11">
        <f t="shared" si="26"/>
        <v>-7.011534511321595</v>
      </c>
      <c r="G240" s="11">
        <f t="shared" si="27"/>
        <v>-7.0110052210921641</v>
      </c>
    </row>
    <row r="241" spans="5:7" x14ac:dyDescent="0.25">
      <c r="E241" s="11">
        <f t="shared" si="25"/>
        <v>-71</v>
      </c>
      <c r="F241" s="11">
        <f t="shared" si="26"/>
        <v>-6.9317257141896862</v>
      </c>
      <c r="G241" s="11">
        <f t="shared" si="27"/>
        <v>-6.9345281553798852</v>
      </c>
    </row>
    <row r="242" spans="5:7" x14ac:dyDescent="0.25">
      <c r="E242" s="11">
        <f t="shared" si="25"/>
        <v>-70</v>
      </c>
      <c r="F242" s="11">
        <f t="shared" si="26"/>
        <v>-6.8498212269211987</v>
      </c>
      <c r="G242" s="11">
        <f t="shared" si="27"/>
        <v>-6.8562039577354206</v>
      </c>
    </row>
    <row r="243" spans="5:7" x14ac:dyDescent="0.25">
      <c r="E243" s="11">
        <f t="shared" si="25"/>
        <v>-69</v>
      </c>
      <c r="F243" s="11">
        <f t="shared" si="26"/>
        <v>-6.7658411943197514</v>
      </c>
      <c r="G243" s="11">
        <f t="shared" si="27"/>
        <v>-6.7759354106886533</v>
      </c>
    </row>
    <row r="244" spans="5:7" x14ac:dyDescent="0.25">
      <c r="E244" s="11">
        <f t="shared" si="25"/>
        <v>-68</v>
      </c>
      <c r="F244" s="11">
        <f t="shared" si="26"/>
        <v>-6.6798182754220647</v>
      </c>
      <c r="G244" s="11">
        <f t="shared" si="27"/>
        <v>-6.693625296769472</v>
      </c>
    </row>
    <row r="245" spans="5:7" x14ac:dyDescent="0.25">
      <c r="E245" s="11">
        <f t="shared" si="25"/>
        <v>-67</v>
      </c>
      <c r="F245" s="11">
        <f t="shared" si="26"/>
        <v>-6.5917964332756398</v>
      </c>
      <c r="G245" s="11">
        <f t="shared" si="27"/>
        <v>-6.6091763985077581</v>
      </c>
    </row>
    <row r="246" spans="5:7" x14ac:dyDescent="0.25">
      <c r="E246" s="11">
        <f t="shared" si="25"/>
        <v>-66</v>
      </c>
      <c r="F246" s="11">
        <f t="shared" si="26"/>
        <v>-6.5018297819360686</v>
      </c>
      <c r="G246" s="11">
        <f t="shared" si="27"/>
        <v>-6.5224914984333981</v>
      </c>
    </row>
    <row r="247" spans="5:7" x14ac:dyDescent="0.25">
      <c r="E247" s="11">
        <f t="shared" si="25"/>
        <v>-65</v>
      </c>
      <c r="F247" s="11">
        <f t="shared" si="26"/>
        <v>-6.4099814891896481</v>
      </c>
      <c r="G247" s="11">
        <f t="shared" si="27"/>
        <v>-6.4334733790762764</v>
      </c>
    </row>
    <row r="248" spans="5:7" x14ac:dyDescent="0.25">
      <c r="E248" s="11">
        <f t="shared" si="25"/>
        <v>-64</v>
      </c>
      <c r="F248" s="11">
        <f t="shared" si="26"/>
        <v>-6.316322733524566</v>
      </c>
      <c r="G248" s="11">
        <f t="shared" si="27"/>
        <v>-6.3420248229662786</v>
      </c>
    </row>
    <row r="249" spans="5:7" x14ac:dyDescent="0.25">
      <c r="E249" s="11">
        <f t="shared" si="25"/>
        <v>-63</v>
      </c>
      <c r="F249" s="11">
        <f t="shared" si="26"/>
        <v>-6.2209317138913507</v>
      </c>
      <c r="G249" s="11">
        <f t="shared" si="27"/>
        <v>-6.2480486126332888</v>
      </c>
    </row>
    <row r="250" spans="5:7" x14ac:dyDescent="0.25">
      <c r="E250" s="11">
        <f t="shared" si="25"/>
        <v>-62</v>
      </c>
      <c r="F250" s="11">
        <f t="shared" si="26"/>
        <v>-6.1238927108107788</v>
      </c>
      <c r="G250" s="11">
        <f t="shared" si="27"/>
        <v>-6.1514475306071921</v>
      </c>
    </row>
    <row r="251" spans="5:7" x14ac:dyDescent="0.25">
      <c r="E251" s="11">
        <f t="shared" si="25"/>
        <v>-61</v>
      </c>
      <c r="F251" s="11">
        <f t="shared" si="26"/>
        <v>-6.025295197405045</v>
      </c>
      <c r="G251" s="11">
        <f t="shared" si="27"/>
        <v>-6.0521243594178742</v>
      </c>
    </row>
    <row r="252" spans="5:7" x14ac:dyDescent="0.25">
      <c r="E252" s="11">
        <f t="shared" si="25"/>
        <v>-60</v>
      </c>
      <c r="F252" s="11">
        <f t="shared" si="26"/>
        <v>-5.9252329989453383</v>
      </c>
      <c r="G252" s="11">
        <f t="shared" si="27"/>
        <v>-5.9499818815952192</v>
      </c>
    </row>
    <row r="253" spans="5:7" x14ac:dyDescent="0.25">
      <c r="E253" s="11">
        <f t="shared" si="25"/>
        <v>-59</v>
      </c>
      <c r="F253" s="11">
        <f t="shared" si="26"/>
        <v>-5.8238034995266617</v>
      </c>
      <c r="G253" s="11">
        <f t="shared" si="27"/>
        <v>-5.8449228796691113</v>
      </c>
    </row>
    <row r="254" spans="5:7" x14ac:dyDescent="0.25">
      <c r="E254" s="11">
        <f t="shared" si="25"/>
        <v>-58</v>
      </c>
      <c r="F254" s="11">
        <f t="shared" si="26"/>
        <v>-5.7211068944980772</v>
      </c>
      <c r="G254" s="11">
        <f t="shared" si="27"/>
        <v>-5.7368501361694388</v>
      </c>
    </row>
    <row r="255" spans="5:7" x14ac:dyDescent="0.25">
      <c r="E255" s="11">
        <f t="shared" si="25"/>
        <v>-57</v>
      </c>
      <c r="F255" s="11">
        <f t="shared" si="26"/>
        <v>-5.6172454872941673</v>
      </c>
      <c r="G255" s="11">
        <f t="shared" si="27"/>
        <v>-5.6256664336260833</v>
      </c>
    </row>
    <row r="256" spans="5:7" x14ac:dyDescent="0.25">
      <c r="E256" s="11">
        <f t="shared" si="25"/>
        <v>-56</v>
      </c>
      <c r="F256" s="11">
        <f t="shared" si="26"/>
        <v>-5.5123230293309691</v>
      </c>
      <c r="G256" s="11">
        <f t="shared" si="27"/>
        <v>-5.5112745545689297</v>
      </c>
    </row>
    <row r="257" spans="5:7" x14ac:dyDescent="0.25">
      <c r="E257" s="11">
        <f t="shared" si="25"/>
        <v>-55</v>
      </c>
      <c r="F257" s="11">
        <f t="shared" si="26"/>
        <v>-5.4064441016471436</v>
      </c>
      <c r="G257" s="11">
        <f t="shared" si="27"/>
        <v>-5.3935772815278646</v>
      </c>
    </row>
    <row r="258" spans="5:7" x14ac:dyDescent="0.25">
      <c r="E258" s="11">
        <f t="shared" si="25"/>
        <v>-54</v>
      </c>
      <c r="F258" s="11">
        <f t="shared" si="26"/>
        <v>-5.2997135369886843</v>
      </c>
      <c r="G258" s="11">
        <f t="shared" si="27"/>
        <v>-5.2724773970327732</v>
      </c>
    </row>
    <row r="259" spans="5:7" x14ac:dyDescent="0.25">
      <c r="E259" s="11">
        <f t="shared" si="25"/>
        <v>-53</v>
      </c>
      <c r="F259" s="11">
        <f t="shared" si="26"/>
        <v>-5.1922358810528948</v>
      </c>
      <c r="G259" s="11">
        <f t="shared" si="27"/>
        <v>-5.1478776836135376</v>
      </c>
    </row>
    <row r="260" spans="5:7" x14ac:dyDescent="0.25">
      <c r="E260" s="11">
        <f t="shared" si="25"/>
        <v>-52</v>
      </c>
      <c r="F260" s="11">
        <f t="shared" si="26"/>
        <v>-5.0841148916249965</v>
      </c>
      <c r="G260" s="11">
        <f t="shared" si="27"/>
        <v>-5.0196809238000464</v>
      </c>
    </row>
    <row r="261" spans="5:7" x14ac:dyDescent="0.25">
      <c r="E261" s="11">
        <f t="shared" si="25"/>
        <v>-51</v>
      </c>
      <c r="F261" s="11">
        <f t="shared" si="26"/>
        <v>-4.9754530743581054</v>
      </c>
      <c r="G261" s="11">
        <f t="shared" si="27"/>
        <v>-4.8877899001221827</v>
      </c>
    </row>
    <row r="262" spans="5:7" x14ac:dyDescent="0.25">
      <c r="E262" s="11">
        <f t="shared" si="25"/>
        <v>-50</v>
      </c>
      <c r="F262" s="11">
        <f t="shared" si="26"/>
        <v>-4.8663512539649014</v>
      </c>
      <c r="G262" s="11">
        <f t="shared" si="27"/>
        <v>-4.7521073951098316</v>
      </c>
    </row>
    <row r="263" spans="5:7" x14ac:dyDescent="0.25">
      <c r="E263" s="11">
        <f t="shared" si="25"/>
        <v>-49</v>
      </c>
      <c r="F263" s="11">
        <f t="shared" si="26"/>
        <v>-4.7569081796068113</v>
      </c>
      <c r="G263" s="11">
        <f t="shared" si="27"/>
        <v>-4.672800011210156</v>
      </c>
    </row>
    <row r="264" spans="5:7" x14ac:dyDescent="0.25">
      <c r="E264" s="11">
        <f t="shared" si="25"/>
        <v>-48</v>
      </c>
      <c r="F264" s="11">
        <f t="shared" si="26"/>
        <v>-4.6472201632840004</v>
      </c>
      <c r="G264" s="11">
        <f t="shared" si="27"/>
        <v>-4.589835428207147</v>
      </c>
    </row>
    <row r="265" spans="5:7" x14ac:dyDescent="0.25">
      <c r="E265" s="11">
        <f t="shared" si="25"/>
        <v>-47</v>
      </c>
      <c r="F265" s="11">
        <f t="shared" si="26"/>
        <v>-4.5373807500470136</v>
      </c>
      <c r="G265" s="11">
        <f t="shared" si="27"/>
        <v>-4.5034451458020719</v>
      </c>
    </row>
    <row r="266" spans="5:7" x14ac:dyDescent="0.25">
      <c r="E266" s="11">
        <f t="shared" si="25"/>
        <v>-46</v>
      </c>
      <c r="F266" s="11">
        <f t="shared" si="26"/>
        <v>-4.4274804188683863</v>
      </c>
      <c r="G266" s="11">
        <f t="shared" si="27"/>
        <v>-4.4138606636961999</v>
      </c>
    </row>
    <row r="267" spans="5:7" x14ac:dyDescent="0.25">
      <c r="E267" s="11">
        <f t="shared" si="25"/>
        <v>-45</v>
      </c>
      <c r="F267" s="11">
        <f t="shared" si="26"/>
        <v>-4.317606313030061</v>
      </c>
      <c r="G267" s="11">
        <f t="shared" si="27"/>
        <v>-4.3213134815907992</v>
      </c>
    </row>
    <row r="268" spans="5:7" x14ac:dyDescent="0.25">
      <c r="E268" s="11">
        <f t="shared" si="25"/>
        <v>-44</v>
      </c>
      <c r="F268" s="11">
        <f t="shared" si="26"/>
        <v>-4.2078419988999594</v>
      </c>
      <c r="G268" s="11">
        <f t="shared" si="27"/>
        <v>-4.2260350991871398</v>
      </c>
    </row>
    <row r="269" spans="5:7" x14ac:dyDescent="0.25">
      <c r="E269" s="11">
        <f t="shared" si="25"/>
        <v>-43</v>
      </c>
      <c r="F269" s="11">
        <f t="shared" si="26"/>
        <v>-4.098267251988541</v>
      </c>
      <c r="G269" s="11">
        <f t="shared" si="27"/>
        <v>-4.1282570161864873</v>
      </c>
    </row>
    <row r="270" spans="5:7" x14ac:dyDescent="0.25">
      <c r="E270" s="11">
        <f t="shared" si="25"/>
        <v>-42</v>
      </c>
      <c r="F270" s="11">
        <f t="shared" si="26"/>
        <v>-3.9889578691937366</v>
      </c>
      <c r="G270" s="11">
        <f t="shared" si="27"/>
        <v>-4.0282107322901135</v>
      </c>
    </row>
    <row r="271" spans="5:7" x14ac:dyDescent="0.25">
      <c r="E271" s="11">
        <f t="shared" si="25"/>
        <v>-41</v>
      </c>
      <c r="F271" s="11">
        <f t="shared" si="26"/>
        <v>-3.8799855061600828</v>
      </c>
      <c r="G271" s="11">
        <f t="shared" si="27"/>
        <v>-3.9261277471992839</v>
      </c>
    </row>
    <row r="272" spans="5:7" x14ac:dyDescent="0.25">
      <c r="E272" s="11">
        <f t="shared" si="25"/>
        <v>-40</v>
      </c>
      <c r="F272" s="11">
        <f t="shared" si="26"/>
        <v>-3.7714175386954478</v>
      </c>
      <c r="G272" s="11">
        <f t="shared" si="27"/>
        <v>-3.8222395606152686</v>
      </c>
    </row>
    <row r="273" spans="5:7" x14ac:dyDescent="0.25">
      <c r="E273" s="11">
        <f t="shared" si="25"/>
        <v>-39</v>
      </c>
      <c r="F273" s="11">
        <f t="shared" si="26"/>
        <v>-3.6633169472062246</v>
      </c>
      <c r="G273" s="11">
        <f t="shared" si="27"/>
        <v>-3.7167776722393358</v>
      </c>
    </row>
    <row r="274" spans="5:7" x14ac:dyDescent="0.25">
      <c r="E274" s="11">
        <f t="shared" si="25"/>
        <v>-38</v>
      </c>
      <c r="F274" s="11">
        <f t="shared" si="26"/>
        <v>-3.5557422231293589</v>
      </c>
      <c r="G274" s="11">
        <f t="shared" si="27"/>
        <v>-3.6099735817727536</v>
      </c>
    </row>
    <row r="275" spans="5:7" x14ac:dyDescent="0.25">
      <c r="E275" s="11">
        <f t="shared" si="25"/>
        <v>-37</v>
      </c>
      <c r="F275" s="11">
        <f t="shared" si="26"/>
        <v>-3.4487472963571109</v>
      </c>
      <c r="G275" s="11">
        <f t="shared" si="27"/>
        <v>-3.5020587889167913</v>
      </c>
    </row>
    <row r="276" spans="5:7" x14ac:dyDescent="0.25">
      <c r="E276" s="11">
        <f t="shared" si="25"/>
        <v>-36</v>
      </c>
      <c r="F276" s="11">
        <f t="shared" si="26"/>
        <v>-3.3423814826679523</v>
      </c>
      <c r="G276" s="11">
        <f t="shared" si="27"/>
        <v>-3.3932647933727171</v>
      </c>
    </row>
    <row r="277" spans="5:7" x14ac:dyDescent="0.25">
      <c r="E277" s="11">
        <f t="shared" si="25"/>
        <v>-35</v>
      </c>
      <c r="F277" s="11">
        <f t="shared" si="26"/>
        <v>-3.2366894501944787</v>
      </c>
      <c r="G277" s="11">
        <f t="shared" si="27"/>
        <v>-3.2838230948417984</v>
      </c>
    </row>
    <row r="278" spans="5:7" x14ac:dyDescent="0.25">
      <c r="E278" s="11">
        <f t="shared" si="25"/>
        <v>-34</v>
      </c>
      <c r="F278" s="11">
        <f t="shared" si="26"/>
        <v>-3.1317112039767725</v>
      </c>
      <c r="G278" s="11">
        <f t="shared" si="27"/>
        <v>-3.1739651930253054</v>
      </c>
    </row>
    <row r="279" spans="5:7" x14ac:dyDescent="0.25">
      <c r="E279" s="11">
        <f t="shared" si="25"/>
        <v>-33</v>
      </c>
      <c r="F279" s="11">
        <f t="shared" si="26"/>
        <v>-3.0274820876671047</v>
      </c>
      <c r="G279" s="11">
        <f t="shared" si="27"/>
        <v>-3.0639225876245062</v>
      </c>
    </row>
    <row r="280" spans="5:7" x14ac:dyDescent="0.25">
      <c r="E280" s="11">
        <f t="shared" si="25"/>
        <v>-32</v>
      </c>
      <c r="F280" s="11">
        <f t="shared" si="26"/>
        <v>-2.9240328014694197</v>
      </c>
      <c r="G280" s="11">
        <f t="shared" si="27"/>
        <v>-2.9539267783406684</v>
      </c>
    </row>
    <row r="281" spans="5:7" x14ac:dyDescent="0.25">
      <c r="E281" s="11">
        <f t="shared" si="25"/>
        <v>-31</v>
      </c>
      <c r="F281" s="11">
        <f t="shared" si="26"/>
        <v>-2.8213894354145155</v>
      </c>
      <c r="G281" s="11">
        <f t="shared" si="27"/>
        <v>-2.8442092648750608</v>
      </c>
    </row>
    <row r="282" spans="5:7" x14ac:dyDescent="0.25">
      <c r="E282" s="11">
        <f t="shared" si="25"/>
        <v>-30</v>
      </c>
      <c r="F282" s="11">
        <f t="shared" si="26"/>
        <v>-2.7195735170893598</v>
      </c>
      <c r="G282" s="11">
        <f t="shared" si="27"/>
        <v>-2.7350015469289524</v>
      </c>
    </row>
    <row r="283" spans="5:7" x14ac:dyDescent="0.25">
      <c r="E283" s="11">
        <f t="shared" si="25"/>
        <v>-29</v>
      </c>
      <c r="F283" s="11">
        <f t="shared" si="26"/>
        <v>-2.618602072956481</v>
      </c>
      <c r="G283" s="11">
        <f t="shared" si="27"/>
        <v>-2.6265351242036115</v>
      </c>
    </row>
    <row r="284" spans="5:7" x14ac:dyDescent="0.25">
      <c r="E284" s="11">
        <f t="shared" si="25"/>
        <v>-28</v>
      </c>
      <c r="F284" s="11">
        <f t="shared" si="26"/>
        <v>-2.5184877024168872</v>
      </c>
      <c r="G284" s="11">
        <f t="shared" si="27"/>
        <v>-2.5190414964003063</v>
      </c>
    </row>
    <row r="285" spans="5:7" x14ac:dyDescent="0.25">
      <c r="E285" s="11">
        <f t="shared" si="25"/>
        <v>-27</v>
      </c>
      <c r="F285" s="11">
        <f t="shared" si="26"/>
        <v>-2.4192386637874597</v>
      </c>
      <c r="G285" s="11">
        <f t="shared" si="27"/>
        <v>-2.4127521632203055</v>
      </c>
    </row>
    <row r="286" spans="5:7" x14ac:dyDescent="0.25">
      <c r="E286" s="11">
        <f t="shared" si="25"/>
        <v>-26</v>
      </c>
      <c r="F286" s="11">
        <f t="shared" si="26"/>
        <v>-2.3208589713812811</v>
      </c>
      <c r="G286" s="11">
        <f t="shared" si="27"/>
        <v>-2.3078986243648778</v>
      </c>
    </row>
    <row r="287" spans="5:7" x14ac:dyDescent="0.25">
      <c r="E287" s="11">
        <f t="shared" ref="E287:E350" si="28">E80</f>
        <v>-25</v>
      </c>
      <c r="F287" s="11">
        <f t="shared" ref="F287:F350" si="29">$H$217*0+E287*$I$217+E287^2*$J$217+E287^3*$K$217+E287^4*$L$217+E287^5*$M$217+E287^6*$N$217+E287^7*$O$217+E287^8*$P$217</f>
        <v>-2.2233485028968731</v>
      </c>
      <c r="G287" s="11">
        <f t="shared" ref="G287:G350" si="30">F80</f>
        <v>-2.204712379535291</v>
      </c>
    </row>
    <row r="288" spans="5:7" x14ac:dyDescent="0.25">
      <c r="E288" s="11">
        <f t="shared" si="28"/>
        <v>-24</v>
      </c>
      <c r="F288" s="11">
        <f t="shared" si="29"/>
        <v>-2.1267031163398191</v>
      </c>
      <c r="G288" s="11">
        <f t="shared" si="30"/>
        <v>-2.1033709083724363</v>
      </c>
    </row>
    <row r="289" spans="5:7" x14ac:dyDescent="0.25">
      <c r="E289" s="11">
        <f t="shared" si="28"/>
        <v>-23</v>
      </c>
      <c r="F289" s="11">
        <f t="shared" si="29"/>
        <v>-2.0309147757177324</v>
      </c>
      <c r="G289" s="11">
        <f t="shared" si="30"/>
        <v>-2.0038356102756936</v>
      </c>
    </row>
    <row r="290" spans="5:7" x14ac:dyDescent="0.25">
      <c r="E290" s="11">
        <f t="shared" si="28"/>
        <v>-22</v>
      </c>
      <c r="F290" s="11">
        <f t="shared" si="29"/>
        <v>-1.9359716847670823</v>
      </c>
      <c r="G290" s="11">
        <f t="shared" si="30"/>
        <v>-1.9060138645840625</v>
      </c>
    </row>
    <row r="291" spans="5:7" x14ac:dyDescent="0.25">
      <c r="E291" s="11">
        <f t="shared" si="28"/>
        <v>-21</v>
      </c>
      <c r="F291" s="11">
        <f t="shared" si="29"/>
        <v>-1.841858427987854</v>
      </c>
      <c r="G291" s="11">
        <f t="shared" si="30"/>
        <v>-1.8098130506365449</v>
      </c>
    </row>
    <row r="292" spans="5:7" x14ac:dyDescent="0.25">
      <c r="E292" s="11">
        <f t="shared" si="28"/>
        <v>-20</v>
      </c>
      <c r="F292" s="11">
        <f t="shared" si="29"/>
        <v>-1.7485561182795515</v>
      </c>
      <c r="G292" s="11">
        <f t="shared" si="30"/>
        <v>-1.715140547772142</v>
      </c>
    </row>
    <row r="293" spans="5:7" x14ac:dyDescent="0.25">
      <c r="E293" s="11">
        <f t="shared" si="28"/>
        <v>-19</v>
      </c>
      <c r="F293" s="11">
        <f t="shared" si="29"/>
        <v>-1.6560425504895449</v>
      </c>
      <c r="G293" s="11">
        <f t="shared" si="30"/>
        <v>-1.6219037353298551</v>
      </c>
    </row>
    <row r="294" spans="5:7" x14ac:dyDescent="0.25">
      <c r="E294" s="11">
        <f t="shared" si="28"/>
        <v>-18</v>
      </c>
      <c r="F294" s="11">
        <f t="shared" si="29"/>
        <v>-1.5642923602022778</v>
      </c>
      <c r="G294" s="11">
        <f t="shared" si="30"/>
        <v>-1.530009992648685</v>
      </c>
    </row>
    <row r="295" spans="5:7" x14ac:dyDescent="0.25">
      <c r="E295" s="11">
        <f t="shared" si="28"/>
        <v>-17</v>
      </c>
      <c r="F295" s="11">
        <f t="shared" si="29"/>
        <v>-1.473277187115352</v>
      </c>
      <c r="G295" s="11">
        <f t="shared" si="30"/>
        <v>-1.439366699067633</v>
      </c>
    </row>
    <row r="296" spans="5:7" x14ac:dyDescent="0.25">
      <c r="E296" s="11">
        <f t="shared" si="28"/>
        <v>-16</v>
      </c>
      <c r="F296" s="11">
        <f t="shared" si="29"/>
        <v>-1.3829658423660209</v>
      </c>
      <c r="G296" s="11">
        <f t="shared" si="30"/>
        <v>-1.3498812339257007</v>
      </c>
    </row>
    <row r="297" spans="5:7" x14ac:dyDescent="0.25">
      <c r="E297" s="11">
        <f t="shared" si="28"/>
        <v>-15</v>
      </c>
      <c r="F297" s="11">
        <f t="shared" si="29"/>
        <v>-1.2933244791891161</v>
      </c>
      <c r="G297" s="11">
        <f t="shared" si="30"/>
        <v>-1.2614609765618892</v>
      </c>
    </row>
    <row r="298" spans="5:7" x14ac:dyDescent="0.25">
      <c r="E298" s="11">
        <f t="shared" si="28"/>
        <v>-14</v>
      </c>
      <c r="F298" s="11">
        <f t="shared" si="29"/>
        <v>-1.2043167663049548</v>
      </c>
      <c r="G298" s="11">
        <f t="shared" si="30"/>
        <v>-1.1740133063151992</v>
      </c>
    </row>
    <row r="299" spans="5:7" x14ac:dyDescent="0.25">
      <c r="E299" s="11">
        <f t="shared" si="28"/>
        <v>-13</v>
      </c>
      <c r="F299" s="11">
        <f t="shared" si="29"/>
        <v>-1.1159040634532706</v>
      </c>
      <c r="G299" s="11">
        <f t="shared" si="30"/>
        <v>-1.0874456025246324</v>
      </c>
    </row>
    <row r="300" spans="5:7" x14ac:dyDescent="0.25">
      <c r="E300" s="11">
        <f t="shared" si="28"/>
        <v>-12</v>
      </c>
      <c r="F300" s="11">
        <f t="shared" si="29"/>
        <v>-1.0280455985067158</v>
      </c>
      <c r="G300" s="11">
        <f t="shared" si="30"/>
        <v>-1.0016652445291896</v>
      </c>
    </row>
    <row r="301" spans="5:7" x14ac:dyDescent="0.25">
      <c r="E301" s="11">
        <f t="shared" si="28"/>
        <v>-11</v>
      </c>
      <c r="F301" s="11">
        <f t="shared" si="29"/>
        <v>-0.94069864561500349</v>
      </c>
      <c r="G301" s="11">
        <f t="shared" si="30"/>
        <v>-0.9165796116678725</v>
      </c>
    </row>
    <row r="302" spans="5:7" x14ac:dyDescent="0.25">
      <c r="E302" s="11">
        <f t="shared" si="28"/>
        <v>-10</v>
      </c>
      <c r="F302" s="11">
        <f t="shared" si="29"/>
        <v>-0.8538187038482451</v>
      </c>
      <c r="G302" s="11">
        <f t="shared" si="30"/>
        <v>-0.83209608327968165</v>
      </c>
    </row>
    <row r="303" spans="5:7" x14ac:dyDescent="0.25">
      <c r="E303" s="11">
        <f t="shared" si="28"/>
        <v>-9</v>
      </c>
      <c r="F303" s="11">
        <f t="shared" si="29"/>
        <v>-0.76735967582556419</v>
      </c>
      <c r="G303" s="11">
        <f t="shared" si="30"/>
        <v>-0.74812203870361882</v>
      </c>
    </row>
    <row r="304" spans="5:7" x14ac:dyDescent="0.25">
      <c r="E304" s="11">
        <f t="shared" si="28"/>
        <v>-8</v>
      </c>
      <c r="F304" s="11">
        <f t="shared" si="29"/>
        <v>-0.68127404583255691</v>
      </c>
      <c r="G304" s="11">
        <f t="shared" si="30"/>
        <v>-0.66456485727868486</v>
      </c>
    </row>
    <row r="305" spans="5:7" x14ac:dyDescent="0.25">
      <c r="E305" s="11">
        <f t="shared" si="28"/>
        <v>-7</v>
      </c>
      <c r="F305" s="11">
        <f t="shared" si="29"/>
        <v>-0.59551305694869339</v>
      </c>
      <c r="G305" s="11">
        <f t="shared" si="30"/>
        <v>-0.58133191834388109</v>
      </c>
    </row>
    <row r="306" spans="5:7" x14ac:dyDescent="0.25">
      <c r="E306" s="11">
        <f t="shared" si="28"/>
        <v>-6</v>
      </c>
      <c r="F306" s="11">
        <f t="shared" si="29"/>
        <v>-0.51002688672324248</v>
      </c>
      <c r="G306" s="11">
        <f t="shared" si="30"/>
        <v>-0.49833060123820871</v>
      </c>
    </row>
    <row r="307" spans="5:7" x14ac:dyDescent="0.25">
      <c r="E307" s="11">
        <f t="shared" si="28"/>
        <v>-5</v>
      </c>
      <c r="F307" s="11">
        <f t="shared" si="29"/>
        <v>-0.42476482095582491</v>
      </c>
      <c r="G307" s="11">
        <f t="shared" si="30"/>
        <v>-0.41546828530066898</v>
      </c>
    </row>
    <row r="308" spans="5:7" x14ac:dyDescent="0.25">
      <c r="E308" s="11">
        <f t="shared" si="28"/>
        <v>-4</v>
      </c>
      <c r="F308" s="11">
        <f t="shared" si="29"/>
        <v>-0.33967542515519827</v>
      </c>
      <c r="G308" s="11">
        <f t="shared" si="30"/>
        <v>-0.33265234987026288</v>
      </c>
    </row>
    <row r="309" spans="5:7" x14ac:dyDescent="0.25">
      <c r="E309" s="11">
        <f t="shared" si="28"/>
        <v>-3</v>
      </c>
      <c r="F309" s="11">
        <f t="shared" si="29"/>
        <v>-0.25470671326738253</v>
      </c>
      <c r="G309" s="11">
        <f t="shared" si="30"/>
        <v>-0.24979017428599173</v>
      </c>
    </row>
    <row r="310" spans="5:7" x14ac:dyDescent="0.25">
      <c r="E310" s="11">
        <f t="shared" si="28"/>
        <v>-2</v>
      </c>
      <c r="F310" s="11">
        <f t="shared" si="29"/>
        <v>-0.1698063132817477</v>
      </c>
      <c r="G310" s="11">
        <f t="shared" si="30"/>
        <v>-0.16678913788685679</v>
      </c>
    </row>
    <row r="311" spans="5:7" x14ac:dyDescent="0.25">
      <c r="E311" s="11">
        <f t="shared" si="28"/>
        <v>-1</v>
      </c>
      <c r="F311" s="11">
        <f t="shared" si="29"/>
        <v>-8.4921629341185842E-2</v>
      </c>
      <c r="G311" s="11">
        <f t="shared" si="30"/>
        <v>-8.3556620011859123E-2</v>
      </c>
    </row>
    <row r="312" spans="5:7" x14ac:dyDescent="0.25">
      <c r="E312" s="11">
        <f t="shared" si="28"/>
        <v>0</v>
      </c>
      <c r="F312" s="11">
        <f t="shared" si="29"/>
        <v>0</v>
      </c>
      <c r="G312" s="11">
        <f t="shared" si="30"/>
        <v>-6.9388939039072284E-18</v>
      </c>
    </row>
    <row r="313" spans="5:7" x14ac:dyDescent="0.25">
      <c r="E313" s="11">
        <f t="shared" si="28"/>
        <v>1</v>
      </c>
      <c r="F313" s="11">
        <f t="shared" si="29"/>
        <v>8.5011147709353599E-2</v>
      </c>
      <c r="G313" s="11">
        <f t="shared" si="30"/>
        <v>8.3961630384048441E-2</v>
      </c>
    </row>
    <row r="314" spans="5:7" x14ac:dyDescent="0.25">
      <c r="E314" s="11">
        <f t="shared" si="28"/>
        <v>2</v>
      </c>
      <c r="F314" s="11">
        <f t="shared" si="29"/>
        <v>0.17016414872202465</v>
      </c>
      <c r="G314" s="11">
        <f t="shared" si="30"/>
        <v>0.16836232967293008</v>
      </c>
    </row>
    <row r="315" spans="5:7" x14ac:dyDescent="0.25">
      <c r="E315" s="11">
        <f t="shared" si="28"/>
        <v>3</v>
      </c>
      <c r="F315" s="11">
        <f t="shared" si="29"/>
        <v>0.25551095520287931</v>
      </c>
      <c r="G315" s="11">
        <f t="shared" si="30"/>
        <v>0.25322444397361787</v>
      </c>
    </row>
    <row r="316" spans="5:7" x14ac:dyDescent="0.25">
      <c r="E316" s="11">
        <f t="shared" si="28"/>
        <v>4</v>
      </c>
      <c r="F316" s="11">
        <f t="shared" si="29"/>
        <v>0.34110299691130336</v>
      </c>
      <c r="G316" s="11">
        <f t="shared" si="30"/>
        <v>0.3385703193930848</v>
      </c>
    </row>
    <row r="317" spans="5:7" x14ac:dyDescent="0.25">
      <c r="E317" s="11">
        <f t="shared" si="28"/>
        <v>5</v>
      </c>
      <c r="F317" s="11">
        <f t="shared" si="29"/>
        <v>0.42699104693753709</v>
      </c>
      <c r="G317" s="11">
        <f t="shared" si="30"/>
        <v>0.42442230203830372</v>
      </c>
    </row>
    <row r="318" spans="5:7" x14ac:dyDescent="0.25">
      <c r="E318" s="11">
        <f t="shared" si="28"/>
        <v>6</v>
      </c>
      <c r="F318" s="11">
        <f t="shared" si="29"/>
        <v>0.51322509306186648</v>
      </c>
      <c r="G318" s="11">
        <f t="shared" si="30"/>
        <v>0.51080273801624765</v>
      </c>
    </row>
    <row r="319" spans="5:7" x14ac:dyDescent="0.25">
      <c r="E319" s="11">
        <f t="shared" si="28"/>
        <v>7</v>
      </c>
      <c r="F319" s="11">
        <f t="shared" si="29"/>
        <v>0.59985421497050007</v>
      </c>
      <c r="G319" s="11">
        <f t="shared" si="30"/>
        <v>0.59773397343388956</v>
      </c>
    </row>
    <row r="320" spans="5:7" x14ac:dyDescent="0.25">
      <c r="E320" s="11">
        <f t="shared" si="28"/>
        <v>8</v>
      </c>
      <c r="F320" s="11">
        <f t="shared" si="29"/>
        <v>0.68692646754444098</v>
      </c>
      <c r="G320" s="11">
        <f t="shared" si="30"/>
        <v>0.68523835439820224</v>
      </c>
    </row>
    <row r="321" spans="5:7" x14ac:dyDescent="0.25">
      <c r="E321" s="11">
        <f t="shared" si="28"/>
        <v>9</v>
      </c>
      <c r="F321" s="11">
        <f t="shared" si="29"/>
        <v>0.77448877042017028</v>
      </c>
      <c r="G321" s="11">
        <f t="shared" si="30"/>
        <v>0.77333822701615873</v>
      </c>
    </row>
    <row r="322" spans="5:7" x14ac:dyDescent="0.25">
      <c r="E322" s="11">
        <f t="shared" si="28"/>
        <v>10</v>
      </c>
      <c r="F322" s="11">
        <f t="shared" si="29"/>
        <v>0.86258680400344045</v>
      </c>
      <c r="G322" s="11">
        <f t="shared" si="30"/>
        <v>0.86205593739473207</v>
      </c>
    </row>
    <row r="323" spans="5:7" x14ac:dyDescent="0.25">
      <c r="E323" s="11">
        <f t="shared" si="28"/>
        <v>11</v>
      </c>
      <c r="F323" s="11">
        <f t="shared" si="29"/>
        <v>0.95126491209997766</v>
      </c>
      <c r="G323" s="11">
        <f t="shared" si="30"/>
        <v>0.95141383164089499</v>
      </c>
    </row>
    <row r="324" spans="5:7" x14ac:dyDescent="0.25">
      <c r="E324" s="11">
        <f t="shared" si="28"/>
        <v>12</v>
      </c>
      <c r="F324" s="11">
        <f t="shared" si="29"/>
        <v>1.0405660113093829</v>
      </c>
      <c r="G324" s="11">
        <f t="shared" si="30"/>
        <v>1.0414342558616208</v>
      </c>
    </row>
    <row r="325" spans="5:7" x14ac:dyDescent="0.25">
      <c r="E325" s="11">
        <f t="shared" si="28"/>
        <v>13</v>
      </c>
      <c r="F325" s="11">
        <f t="shared" si="29"/>
        <v>1.1305315073110163</v>
      </c>
      <c r="G325" s="11">
        <f t="shared" si="30"/>
        <v>1.1321395561638818</v>
      </c>
    </row>
    <row r="326" spans="5:7" x14ac:dyDescent="0.25">
      <c r="E326" s="11">
        <f t="shared" si="28"/>
        <v>14</v>
      </c>
      <c r="F326" s="11">
        <f t="shared" si="29"/>
        <v>1.2212012181531378</v>
      </c>
      <c r="G326" s="11">
        <f t="shared" si="30"/>
        <v>1.2235520786546514</v>
      </c>
    </row>
    <row r="327" spans="5:7" x14ac:dyDescent="0.25">
      <c r="E327" s="11">
        <f t="shared" si="28"/>
        <v>15</v>
      </c>
      <c r="F327" s="11">
        <f t="shared" si="29"/>
        <v>1.3126133046390818</v>
      </c>
      <c r="G327" s="11">
        <f t="shared" si="30"/>
        <v>1.3156941694409026</v>
      </c>
    </row>
    <row r="328" spans="5:7" x14ac:dyDescent="0.25">
      <c r="E328" s="11">
        <f t="shared" si="28"/>
        <v>16</v>
      </c>
      <c r="F328" s="11">
        <f t="shared" si="29"/>
        <v>1.4048042078867229</v>
      </c>
      <c r="G328" s="11">
        <f t="shared" si="30"/>
        <v>1.4085881746296081</v>
      </c>
    </row>
    <row r="329" spans="5:7" x14ac:dyDescent="0.25">
      <c r="E329" s="11">
        <f t="shared" si="28"/>
        <v>17</v>
      </c>
      <c r="F329" s="11">
        <f t="shared" si="29"/>
        <v>1.4978085941199937</v>
      </c>
      <c r="G329" s="11">
        <f t="shared" si="30"/>
        <v>1.5022564403277407</v>
      </c>
    </row>
    <row r="330" spans="5:7" x14ac:dyDescent="0.25">
      <c r="E330" s="11">
        <f t="shared" si="28"/>
        <v>18</v>
      </c>
      <c r="F330" s="11">
        <f t="shared" si="29"/>
        <v>1.5916593067337037</v>
      </c>
      <c r="G330" s="11">
        <f t="shared" si="30"/>
        <v>1.5967213126422739</v>
      </c>
    </row>
    <row r="331" spans="5:7" x14ac:dyDescent="0.25">
      <c r="E331" s="11">
        <f t="shared" si="28"/>
        <v>19</v>
      </c>
      <c r="F331" s="11">
        <f t="shared" si="29"/>
        <v>1.6863873256554065</v>
      </c>
      <c r="G331" s="11">
        <f t="shared" si="30"/>
        <v>1.6920051376801801</v>
      </c>
    </row>
    <row r="332" spans="5:7" x14ac:dyDescent="0.25">
      <c r="E332" s="11">
        <f t="shared" si="28"/>
        <v>20</v>
      </c>
      <c r="F332" s="11">
        <f t="shared" si="29"/>
        <v>1.7820217340105489</v>
      </c>
      <c r="G332" s="11">
        <f t="shared" si="30"/>
        <v>1.7881302615484325</v>
      </c>
    </row>
    <row r="333" spans="5:7" x14ac:dyDescent="0.25">
      <c r="E333" s="11">
        <f t="shared" si="28"/>
        <v>21</v>
      </c>
      <c r="F333" s="11">
        <f t="shared" si="29"/>
        <v>1.8785896920796368</v>
      </c>
      <c r="G333" s="11">
        <f t="shared" si="30"/>
        <v>1.8851190303540042</v>
      </c>
    </row>
    <row r="334" spans="5:7" x14ac:dyDescent="0.25">
      <c r="E334" s="11">
        <f t="shared" si="28"/>
        <v>22</v>
      </c>
      <c r="F334" s="11">
        <f t="shared" si="29"/>
        <v>1.9761164185186393</v>
      </c>
      <c r="G334" s="11">
        <f t="shared" si="30"/>
        <v>1.9829937902038677</v>
      </c>
    </row>
    <row r="335" spans="5:7" x14ac:dyDescent="0.25">
      <c r="E335" s="11">
        <f t="shared" si="28"/>
        <v>23</v>
      </c>
      <c r="F335" s="11">
        <f t="shared" si="29"/>
        <v>2.074625178796353</v>
      </c>
      <c r="G335" s="11">
        <f t="shared" si="30"/>
        <v>2.0817768872049962</v>
      </c>
    </row>
    <row r="336" spans="5:7" x14ac:dyDescent="0.25">
      <c r="E336" s="11">
        <f t="shared" si="28"/>
        <v>24</v>
      </c>
      <c r="F336" s="11">
        <f t="shared" si="29"/>
        <v>2.1741372807849326</v>
      </c>
      <c r="G336" s="11">
        <f t="shared" si="30"/>
        <v>2.1814906674643626</v>
      </c>
    </row>
    <row r="337" spans="5:7" x14ac:dyDescent="0.25">
      <c r="E337" s="11">
        <f t="shared" si="28"/>
        <v>25</v>
      </c>
      <c r="F337" s="11">
        <f t="shared" si="29"/>
        <v>2.2746720774222968</v>
      </c>
      <c r="G337" s="11">
        <f t="shared" si="30"/>
        <v>2.2821574770889397</v>
      </c>
    </row>
    <row r="338" spans="5:7" x14ac:dyDescent="0.25">
      <c r="E338" s="11">
        <f t="shared" si="28"/>
        <v>26</v>
      </c>
      <c r="F338" s="11">
        <f t="shared" si="29"/>
        <v>2.3762469763476113</v>
      </c>
      <c r="G338" s="11">
        <f t="shared" si="30"/>
        <v>2.3837996621857012</v>
      </c>
    </row>
    <row r="339" spans="5:7" x14ac:dyDescent="0.25">
      <c r="E339" s="11">
        <f t="shared" si="28"/>
        <v>27</v>
      </c>
      <c r="F339" s="11">
        <f t="shared" si="29"/>
        <v>2.4788774563935272</v>
      </c>
      <c r="G339" s="11">
        <f t="shared" si="30"/>
        <v>2.4864395688616185</v>
      </c>
    </row>
    <row r="340" spans="5:7" x14ac:dyDescent="0.25">
      <c r="E340" s="11">
        <f t="shared" si="28"/>
        <v>28</v>
      </c>
      <c r="F340" s="11">
        <f t="shared" si="29"/>
        <v>2.5825770908013772</v>
      </c>
      <c r="G340" s="11">
        <f t="shared" si="30"/>
        <v>2.5900995432236664</v>
      </c>
    </row>
    <row r="341" spans="5:7" x14ac:dyDescent="0.25">
      <c r="E341" s="11">
        <f t="shared" si="28"/>
        <v>29</v>
      </c>
      <c r="F341" s="11">
        <f t="shared" si="29"/>
        <v>2.6873575770079947</v>
      </c>
      <c r="G341" s="11">
        <f t="shared" si="30"/>
        <v>2.6948019313788163</v>
      </c>
    </row>
    <row r="342" spans="5:7" x14ac:dyDescent="0.25">
      <c r="E342" s="11">
        <f t="shared" si="28"/>
        <v>30</v>
      </c>
      <c r="F342" s="11">
        <f t="shared" si="29"/>
        <v>2.7932287728353384</v>
      </c>
      <c r="G342" s="11">
        <f t="shared" si="30"/>
        <v>2.8005690794340423</v>
      </c>
    </row>
    <row r="343" spans="5:7" x14ac:dyDescent="0.25">
      <c r="E343" s="11">
        <f t="shared" si="28"/>
        <v>31</v>
      </c>
      <c r="F343" s="11">
        <f t="shared" si="29"/>
        <v>2.9001987388965795</v>
      </c>
      <c r="G343" s="11">
        <f t="shared" si="30"/>
        <v>2.9074189657793195</v>
      </c>
    </row>
    <row r="344" spans="5:7" x14ac:dyDescent="0.25">
      <c r="E344" s="11">
        <f t="shared" si="28"/>
        <v>32</v>
      </c>
      <c r="F344" s="11">
        <f t="shared" si="29"/>
        <v>3.0082737870148137</v>
      </c>
      <c r="G344" s="11">
        <f t="shared" si="30"/>
        <v>3.0153520979366379</v>
      </c>
    </row>
    <row r="345" spans="5:7" x14ac:dyDescent="0.25">
      <c r="E345" s="11">
        <f t="shared" si="28"/>
        <v>33</v>
      </c>
      <c r="F345" s="11">
        <f t="shared" si="29"/>
        <v>3.1174585344330508</v>
      </c>
      <c r="G345" s="11">
        <f t="shared" si="30"/>
        <v>3.1243646157109906</v>
      </c>
    </row>
    <row r="346" spans="5:7" x14ac:dyDescent="0.25">
      <c r="E346" s="11">
        <f t="shared" si="28"/>
        <v>34</v>
      </c>
      <c r="F346" s="11">
        <f t="shared" si="29"/>
        <v>3.2277559635766373</v>
      </c>
      <c r="G346" s="11">
        <f t="shared" si="30"/>
        <v>3.2344526589073683</v>
      </c>
    </row>
    <row r="347" spans="5:7" x14ac:dyDescent="0.25">
      <c r="E347" s="11">
        <f t="shared" si="28"/>
        <v>35</v>
      </c>
      <c r="F347" s="11">
        <f t="shared" si="29"/>
        <v>3.3391674871117201</v>
      </c>
      <c r="G347" s="11">
        <f t="shared" si="30"/>
        <v>3.3456123673307654</v>
      </c>
    </row>
    <row r="348" spans="5:7" x14ac:dyDescent="0.25">
      <c r="E348" s="11">
        <f t="shared" si="28"/>
        <v>36</v>
      </c>
      <c r="F348" s="11">
        <f t="shared" si="29"/>
        <v>3.4516930180259306</v>
      </c>
      <c r="G348" s="11">
        <f t="shared" si="30"/>
        <v>3.4578398807861732</v>
      </c>
    </row>
    <row r="349" spans="5:7" x14ac:dyDescent="0.25">
      <c r="E349" s="11">
        <f t="shared" si="28"/>
        <v>37</v>
      </c>
      <c r="F349" s="11">
        <f t="shared" si="29"/>
        <v>3.5653310444398731</v>
      </c>
      <c r="G349" s="11">
        <f t="shared" si="30"/>
        <v>3.571131339078585</v>
      </c>
    </row>
    <row r="350" spans="5:7" x14ac:dyDescent="0.25">
      <c r="E350" s="11">
        <f t="shared" si="28"/>
        <v>38</v>
      </c>
      <c r="F350" s="11">
        <f t="shared" si="29"/>
        <v>3.680078708840564</v>
      </c>
      <c r="G350" s="11">
        <f t="shared" si="30"/>
        <v>3.6854828820129928</v>
      </c>
    </row>
    <row r="351" spans="5:7" x14ac:dyDescent="0.25">
      <c r="E351" s="11">
        <f t="shared" ref="E351:E414" si="31">E144</f>
        <v>39</v>
      </c>
      <c r="F351" s="11">
        <f t="shared" ref="F351:F414" si="32">$H$217*0+E351*$I$217+E351^2*$J$217+E351^3*$K$217+E351^4*$L$217+E351^5*$M$217+E351^6*$N$217+E351^7*$O$217+E351^8*$P$217</f>
        <v>3.7959318914104205</v>
      </c>
      <c r="G351" s="11">
        <f t="shared" ref="G351:G414" si="33">F144</f>
        <v>3.8008906493943888</v>
      </c>
    </row>
    <row r="352" spans="5:7" x14ac:dyDescent="0.25">
      <c r="E352" s="11">
        <f t="shared" si="31"/>
        <v>40</v>
      </c>
      <c r="F352" s="11">
        <f t="shared" si="32"/>
        <v>3.9128852971079122</v>
      </c>
      <c r="G352" s="11">
        <f t="shared" si="33"/>
        <v>3.9173507810277672</v>
      </c>
    </row>
    <row r="353" spans="5:7" x14ac:dyDescent="0.25">
      <c r="E353" s="11">
        <f t="shared" si="31"/>
        <v>41</v>
      </c>
      <c r="F353" s="11">
        <f t="shared" si="32"/>
        <v>4.0309325461384802</v>
      </c>
      <c r="G353" s="11">
        <f t="shared" si="33"/>
        <v>4.0348594167181187</v>
      </c>
    </row>
    <row r="354" spans="5:7" x14ac:dyDescent="0.25">
      <c r="E354" s="11">
        <f t="shared" si="31"/>
        <v>42</v>
      </c>
      <c r="F354" s="11">
        <f t="shared" si="32"/>
        <v>4.1500662674367925</v>
      </c>
      <c r="G354" s="11">
        <f t="shared" si="33"/>
        <v>4.1534126962704372</v>
      </c>
    </row>
    <row r="355" spans="5:7" x14ac:dyDescent="0.25">
      <c r="E355" s="11">
        <f t="shared" si="31"/>
        <v>43</v>
      </c>
      <c r="F355" s="11">
        <f t="shared" si="32"/>
        <v>4.2702781947639714</v>
      </c>
      <c r="G355" s="11">
        <f t="shared" si="33"/>
        <v>4.2730067594897143</v>
      </c>
    </row>
    <row r="356" spans="5:7" x14ac:dyDescent="0.25">
      <c r="E356" s="11">
        <f t="shared" si="31"/>
        <v>44</v>
      </c>
      <c r="F356" s="11">
        <f t="shared" si="32"/>
        <v>4.3915592650058057</v>
      </c>
      <c r="G356" s="11">
        <f t="shared" si="33"/>
        <v>4.3936377461809428</v>
      </c>
    </row>
    <row r="357" spans="5:7" x14ac:dyDescent="0.25">
      <c r="E357" s="11">
        <f t="shared" si="31"/>
        <v>45</v>
      </c>
      <c r="F357" s="11">
        <f t="shared" si="32"/>
        <v>4.5138997182405909</v>
      </c>
      <c r="G357" s="11">
        <f t="shared" si="33"/>
        <v>4.5153017961491155</v>
      </c>
    </row>
    <row r="358" spans="5:7" x14ac:dyDescent="0.25">
      <c r="E358" s="11">
        <f t="shared" si="31"/>
        <v>46</v>
      </c>
      <c r="F358" s="11">
        <f t="shared" si="32"/>
        <v>4.6372891991276122</v>
      </c>
      <c r="G358" s="11">
        <f t="shared" si="33"/>
        <v>4.6379950491992243</v>
      </c>
    </row>
    <row r="359" spans="5:7" x14ac:dyDescent="0.25">
      <c r="E359" s="11">
        <f t="shared" si="31"/>
        <v>47</v>
      </c>
      <c r="F359" s="11">
        <f t="shared" si="32"/>
        <v>4.7617168591498666</v>
      </c>
      <c r="G359" s="11">
        <f t="shared" si="33"/>
        <v>4.7617136451362621</v>
      </c>
    </row>
    <row r="360" spans="5:7" x14ac:dyDescent="0.25">
      <c r="E360" s="11">
        <f t="shared" si="31"/>
        <v>48</v>
      </c>
      <c r="F360" s="11">
        <f t="shared" si="32"/>
        <v>4.8871714592270408</v>
      </c>
      <c r="G360" s="11">
        <f t="shared" si="33"/>
        <v>4.8864537237652215</v>
      </c>
    </row>
    <row r="361" spans="5:7" x14ac:dyDescent="0.25">
      <c r="E361" s="11">
        <f t="shared" si="31"/>
        <v>49</v>
      </c>
      <c r="F361" s="11">
        <f t="shared" si="32"/>
        <v>5.0136414721973361</v>
      </c>
      <c r="G361" s="11">
        <f t="shared" si="33"/>
        <v>5.0122114248910954</v>
      </c>
    </row>
    <row r="362" spans="5:7" x14ac:dyDescent="0.25">
      <c r="E362" s="11">
        <f t="shared" si="31"/>
        <v>50</v>
      </c>
      <c r="F362" s="11">
        <f t="shared" si="32"/>
        <v>5.141115184649153</v>
      </c>
      <c r="G362" s="11">
        <f t="shared" si="33"/>
        <v>5.1389828883188757</v>
      </c>
    </row>
    <row r="363" spans="5:7" x14ac:dyDescent="0.25">
      <c r="E363" s="11">
        <f t="shared" si="31"/>
        <v>51</v>
      </c>
      <c r="F363" s="11">
        <f t="shared" si="32"/>
        <v>5.2695807975661637</v>
      </c>
      <c r="G363" s="11">
        <f t="shared" si="33"/>
        <v>5.2667642538535553</v>
      </c>
    </row>
    <row r="364" spans="5:7" x14ac:dyDescent="0.25">
      <c r="E364" s="11">
        <f t="shared" si="31"/>
        <v>52</v>
      </c>
      <c r="F364" s="11">
        <f t="shared" si="32"/>
        <v>5.3990265252318315</v>
      </c>
      <c r="G364" s="11">
        <f t="shared" si="33"/>
        <v>5.3955516613001269</v>
      </c>
    </row>
    <row r="365" spans="5:7" x14ac:dyDescent="0.25">
      <c r="E365" s="11">
        <f t="shared" si="31"/>
        <v>53</v>
      </c>
      <c r="F365" s="11">
        <f t="shared" si="32"/>
        <v>5.5294406918218719</v>
      </c>
      <c r="G365" s="11">
        <f t="shared" si="33"/>
        <v>5.5253412504635815</v>
      </c>
    </row>
    <row r="366" spans="5:7" x14ac:dyDescent="0.25">
      <c r="E366" s="11">
        <f t="shared" si="31"/>
        <v>54</v>
      </c>
      <c r="F366" s="11">
        <f t="shared" si="32"/>
        <v>5.6608118250956769</v>
      </c>
      <c r="G366" s="11">
        <f t="shared" si="33"/>
        <v>5.6561291611489137</v>
      </c>
    </row>
    <row r="367" spans="5:7" x14ac:dyDescent="0.25">
      <c r="E367" s="11">
        <f t="shared" si="31"/>
        <v>55</v>
      </c>
      <c r="F367" s="11">
        <f t="shared" si="32"/>
        <v>5.7931287465802095</v>
      </c>
      <c r="G367" s="11">
        <f t="shared" si="33"/>
        <v>5.7879115331611155</v>
      </c>
    </row>
    <row r="368" spans="5:7" x14ac:dyDescent="0.25">
      <c r="E368" s="11">
        <f t="shared" si="31"/>
        <v>56</v>
      </c>
      <c r="F368" s="11">
        <f t="shared" si="32"/>
        <v>5.9263806576223788</v>
      </c>
      <c r="G368" s="11">
        <f t="shared" si="33"/>
        <v>5.9206845063051787</v>
      </c>
    </row>
    <row r="369" spans="5:7" x14ac:dyDescent="0.25">
      <c r="E369" s="11">
        <f t="shared" si="31"/>
        <v>57</v>
      </c>
      <c r="F369" s="11">
        <f t="shared" si="32"/>
        <v>6.0605572206683851</v>
      </c>
      <c r="G369" s="11">
        <f t="shared" si="33"/>
        <v>6.0544442203860971</v>
      </c>
    </row>
    <row r="370" spans="5:7" x14ac:dyDescent="0.25">
      <c r="E370" s="11">
        <f t="shared" si="31"/>
        <v>58</v>
      </c>
      <c r="F370" s="11">
        <f t="shared" si="32"/>
        <v>6.1956486351110138</v>
      </c>
      <c r="G370" s="11">
        <f t="shared" si="33"/>
        <v>6.1891868152088625</v>
      </c>
    </row>
    <row r="371" spans="5:7" x14ac:dyDescent="0.25">
      <c r="E371" s="11">
        <f t="shared" si="31"/>
        <v>59</v>
      </c>
      <c r="F371" s="11">
        <f t="shared" si="32"/>
        <v>6.3316457070283843</v>
      </c>
      <c r="G371" s="11">
        <f t="shared" si="33"/>
        <v>6.324908430578466</v>
      </c>
    </row>
    <row r="372" spans="5:7" x14ac:dyDescent="0.25">
      <c r="E372" s="11">
        <f t="shared" si="31"/>
        <v>60</v>
      </c>
      <c r="F372" s="11">
        <f t="shared" si="32"/>
        <v>6.468539912120093</v>
      </c>
      <c r="G372" s="11">
        <f t="shared" si="33"/>
        <v>6.461605206299903</v>
      </c>
    </row>
    <row r="373" spans="5:7" x14ac:dyDescent="0.25">
      <c r="E373" s="11">
        <f t="shared" si="31"/>
        <v>61</v>
      </c>
      <c r="F373" s="11">
        <f t="shared" si="32"/>
        <v>6.6063234511292599</v>
      </c>
      <c r="G373" s="11">
        <f t="shared" si="33"/>
        <v>6.5992732821781637</v>
      </c>
    </row>
    <row r="374" spans="5:7" x14ac:dyDescent="0.25">
      <c r="E374" s="11">
        <f t="shared" si="31"/>
        <v>62</v>
      </c>
      <c r="F374" s="11">
        <f t="shared" si="32"/>
        <v>6.744989297021414</v>
      </c>
      <c r="G374" s="11">
        <f t="shared" si="33"/>
        <v>6.7379087980182408</v>
      </c>
    </row>
    <row r="375" spans="5:7" x14ac:dyDescent="0.25">
      <c r="E375" s="11">
        <f t="shared" si="31"/>
        <v>63</v>
      </c>
      <c r="F375" s="11">
        <f t="shared" si="32"/>
        <v>6.8845312331736812</v>
      </c>
      <c r="G375" s="11">
        <f t="shared" si="33"/>
        <v>6.8775078936251282</v>
      </c>
    </row>
    <row r="376" spans="5:7" x14ac:dyDescent="0.25">
      <c r="E376" s="11">
        <f t="shared" si="31"/>
        <v>64</v>
      </c>
      <c r="F376" s="11">
        <f t="shared" si="32"/>
        <v>7.0249438818102226</v>
      </c>
      <c r="G376" s="11">
        <f t="shared" si="33"/>
        <v>7.0180667088038176</v>
      </c>
    </row>
    <row r="377" spans="5:7" x14ac:dyDescent="0.25">
      <c r="E377" s="11">
        <f t="shared" si="31"/>
        <v>65</v>
      </c>
      <c r="F377" s="11">
        <f t="shared" si="32"/>
        <v>7.1662227219023613</v>
      </c>
      <c r="G377" s="11">
        <f t="shared" si="33"/>
        <v>7.1595813833593018</v>
      </c>
    </row>
    <row r="378" spans="5:7" x14ac:dyDescent="0.25">
      <c r="E378" s="11">
        <f t="shared" si="31"/>
        <v>66</v>
      </c>
      <c r="F378" s="11">
        <f t="shared" si="32"/>
        <v>7.3083640957343619</v>
      </c>
      <c r="G378" s="11">
        <f t="shared" si="33"/>
        <v>7.3020480570965738</v>
      </c>
    </row>
    <row r="379" spans="5:7" x14ac:dyDescent="0.25">
      <c r="E379" s="11">
        <f t="shared" si="31"/>
        <v>67</v>
      </c>
      <c r="F379" s="11">
        <f t="shared" si="32"/>
        <v>7.4513652033182343</v>
      </c>
      <c r="G379" s="11">
        <f t="shared" si="33"/>
        <v>7.4454628698206244</v>
      </c>
    </row>
    <row r="380" spans="5:7" x14ac:dyDescent="0.25">
      <c r="E380" s="11">
        <f t="shared" si="31"/>
        <v>68</v>
      </c>
      <c r="F380" s="11">
        <f t="shared" si="32"/>
        <v>7.5952240838235472</v>
      </c>
      <c r="G380" s="11">
        <f t="shared" si="33"/>
        <v>7.5898219613364484</v>
      </c>
    </row>
    <row r="381" spans="5:7" x14ac:dyDescent="0.25">
      <c r="E381" s="11">
        <f t="shared" si="31"/>
        <v>69</v>
      </c>
      <c r="F381" s="11">
        <f t="shared" si="32"/>
        <v>7.7399395831706403</v>
      </c>
      <c r="G381" s="11">
        <f t="shared" si="33"/>
        <v>7.7351214714490366</v>
      </c>
    </row>
    <row r="382" spans="5:7" x14ac:dyDescent="0.25">
      <c r="E382" s="11">
        <f t="shared" si="31"/>
        <v>70</v>
      </c>
      <c r="F382" s="11">
        <f t="shared" si="32"/>
        <v>7.8855113069181151</v>
      </c>
      <c r="G382" s="11">
        <f t="shared" si="33"/>
        <v>7.881357539963382</v>
      </c>
    </row>
    <row r="383" spans="5:7" x14ac:dyDescent="0.25">
      <c r="E383" s="11">
        <f t="shared" si="31"/>
        <v>71</v>
      </c>
      <c r="F383" s="11">
        <f t="shared" si="32"/>
        <v>8.0319395575580845</v>
      </c>
      <c r="G383" s="11">
        <f t="shared" si="33"/>
        <v>8.0285263066844781</v>
      </c>
    </row>
    <row r="384" spans="5:7" x14ac:dyDescent="0.25">
      <c r="E384" s="11">
        <f t="shared" si="31"/>
        <v>72</v>
      </c>
      <c r="F384" s="11">
        <f t="shared" si="32"/>
        <v>8.1792252553149911</v>
      </c>
      <c r="G384" s="11">
        <f t="shared" si="33"/>
        <v>8.176623911417316</v>
      </c>
    </row>
    <row r="385" spans="5:7" x14ac:dyDescent="0.25">
      <c r="E385" s="11">
        <f t="shared" si="31"/>
        <v>73</v>
      </c>
      <c r="F385" s="11">
        <f t="shared" si="32"/>
        <v>8.3273698415264406</v>
      </c>
      <c r="G385" s="11">
        <f t="shared" si="33"/>
        <v>8.3256464939668877</v>
      </c>
    </row>
    <row r="386" spans="5:7" x14ac:dyDescent="0.25">
      <c r="E386" s="11">
        <f t="shared" si="31"/>
        <v>74</v>
      </c>
      <c r="F386" s="11">
        <f t="shared" si="32"/>
        <v>8.4763751636669156</v>
      </c>
      <c r="G386" s="11">
        <f t="shared" si="33"/>
        <v>8.4755901941381886</v>
      </c>
    </row>
    <row r="387" spans="5:7" x14ac:dyDescent="0.25">
      <c r="E387" s="11">
        <f t="shared" si="31"/>
        <v>75</v>
      </c>
      <c r="F387" s="11">
        <f t="shared" si="32"/>
        <v>8.6262433410577515</v>
      </c>
      <c r="G387" s="11">
        <f t="shared" si="33"/>
        <v>8.6264511517362088</v>
      </c>
    </row>
    <row r="388" spans="5:7" x14ac:dyDescent="0.25">
      <c r="E388" s="11">
        <f t="shared" si="31"/>
        <v>76</v>
      </c>
      <c r="F388" s="11">
        <f t="shared" si="32"/>
        <v>8.7769766102892497</v>
      </c>
      <c r="G388" s="11">
        <f t="shared" si="33"/>
        <v>8.7782218004211501</v>
      </c>
    </row>
    <row r="389" spans="5:7" x14ac:dyDescent="0.25">
      <c r="E389" s="11">
        <f t="shared" si="31"/>
        <v>77</v>
      </c>
      <c r="F389" s="11">
        <f t="shared" si="32"/>
        <v>8.9285771493632549</v>
      </c>
      <c r="G389" s="11">
        <f t="shared" si="33"/>
        <v>8.9308797492740375</v>
      </c>
    </row>
    <row r="390" spans="5:7" x14ac:dyDescent="0.25">
      <c r="E390" s="11">
        <f t="shared" si="31"/>
        <v>78</v>
      </c>
      <c r="F390" s="11">
        <f t="shared" si="32"/>
        <v>9.0810468795471166</v>
      </c>
      <c r="G390" s="11">
        <f t="shared" si="33"/>
        <v>9.084398901231113</v>
      </c>
    </row>
    <row r="391" spans="5:7" x14ac:dyDescent="0.25">
      <c r="E391" s="11">
        <f t="shared" si="31"/>
        <v>79</v>
      </c>
      <c r="F391" s="11">
        <f t="shared" si="32"/>
        <v>9.2343872439123391</v>
      </c>
      <c r="G391" s="11">
        <f t="shared" si="33"/>
        <v>9.2387531592286134</v>
      </c>
    </row>
    <row r="392" spans="5:7" x14ac:dyDescent="0.25">
      <c r="E392" s="11">
        <f t="shared" si="31"/>
        <v>80</v>
      </c>
      <c r="F392" s="11">
        <f t="shared" si="32"/>
        <v>9.3885989615137824</v>
      </c>
      <c r="G392" s="11">
        <f t="shared" si="33"/>
        <v>9.3939164262027699</v>
      </c>
    </row>
    <row r="393" spans="5:7" x14ac:dyDescent="0.25">
      <c r="E393" s="11">
        <f t="shared" si="31"/>
        <v>81</v>
      </c>
      <c r="F393" s="11">
        <f t="shared" si="32"/>
        <v>9.5436817561477234</v>
      </c>
      <c r="G393" s="11">
        <f t="shared" si="33"/>
        <v>9.5498626050898245</v>
      </c>
    </row>
    <row r="394" spans="5:7" x14ac:dyDescent="0.25">
      <c r="E394" s="11">
        <f t="shared" si="31"/>
        <v>82</v>
      </c>
      <c r="F394" s="11">
        <f t="shared" si="32"/>
        <v>9.6996340586096821</v>
      </c>
      <c r="G394" s="11">
        <f t="shared" si="33"/>
        <v>9.7065655988260122</v>
      </c>
    </row>
    <row r="395" spans="5:7" x14ac:dyDescent="0.25">
      <c r="E395" s="11">
        <f t="shared" si="31"/>
        <v>83</v>
      </c>
      <c r="F395" s="11">
        <f t="shared" si="32"/>
        <v>9.8564526813552309</v>
      </c>
      <c r="G395" s="11">
        <f t="shared" si="33"/>
        <v>9.8639993103475714</v>
      </c>
    </row>
    <row r="396" spans="5:7" x14ac:dyDescent="0.25">
      <c r="E396" s="11">
        <f t="shared" si="31"/>
        <v>84</v>
      </c>
      <c r="F396" s="11">
        <f t="shared" si="32"/>
        <v>10.014132464449698</v>
      </c>
      <c r="G396" s="11">
        <f t="shared" si="33"/>
        <v>10.022137642590737</v>
      </c>
    </row>
    <row r="397" spans="5:7" x14ac:dyDescent="0.25">
      <c r="E397" s="11">
        <f t="shared" si="31"/>
        <v>85</v>
      </c>
      <c r="F397" s="11">
        <f t="shared" si="32"/>
        <v>10.172665891675045</v>
      </c>
      <c r="G397" s="11">
        <f t="shared" si="33"/>
        <v>10.180954498491744</v>
      </c>
    </row>
    <row r="398" spans="5:7" x14ac:dyDescent="0.25">
      <c r="E398" s="11">
        <f t="shared" si="31"/>
        <v>86</v>
      </c>
      <c r="F398" s="11">
        <f t="shared" si="32"/>
        <v>10.332042675644665</v>
      </c>
      <c r="G398" s="11">
        <f t="shared" si="33"/>
        <v>10.340423780986834</v>
      </c>
    </row>
    <row r="399" spans="5:7" x14ac:dyDescent="0.25">
      <c r="E399" s="11">
        <f t="shared" si="31"/>
        <v>87</v>
      </c>
      <c r="F399" s="11">
        <f t="shared" si="32"/>
        <v>10.492249310759533</v>
      </c>
      <c r="G399" s="11">
        <f t="shared" si="33"/>
        <v>10.500519393012238</v>
      </c>
    </row>
    <row r="400" spans="5:7" x14ac:dyDescent="0.25">
      <c r="E400" s="11">
        <f t="shared" si="31"/>
        <v>88</v>
      </c>
      <c r="F400" s="11">
        <f t="shared" si="32"/>
        <v>10.653268592821359</v>
      </c>
      <c r="G400" s="11">
        <f t="shared" si="33"/>
        <v>10.661215237504198</v>
      </c>
    </row>
    <row r="401" spans="5:7" x14ac:dyDescent="0.25">
      <c r="E401" s="11">
        <f t="shared" si="31"/>
        <v>89</v>
      </c>
      <c r="F401" s="11">
        <f t="shared" si="32"/>
        <v>10.815079104101104</v>
      </c>
      <c r="G401" s="11">
        <f t="shared" si="33"/>
        <v>10.822485217398949</v>
      </c>
    </row>
    <row r="402" spans="5:7" x14ac:dyDescent="0.25">
      <c r="E402" s="11">
        <f t="shared" si="31"/>
        <v>90</v>
      </c>
      <c r="F402" s="11">
        <f t="shared" si="32"/>
        <v>10.977654662643642</v>
      </c>
      <c r="G402" s="11">
        <f t="shared" si="33"/>
        <v>10.984303235632726</v>
      </c>
    </row>
    <row r="403" spans="5:7" x14ac:dyDescent="0.25">
      <c r="E403" s="11">
        <f t="shared" si="31"/>
        <v>91</v>
      </c>
      <c r="F403" s="11">
        <f t="shared" si="32"/>
        <v>11.140963734571818</v>
      </c>
      <c r="G403" s="11">
        <f t="shared" si="33"/>
        <v>11.14664319514177</v>
      </c>
    </row>
    <row r="404" spans="5:7" x14ac:dyDescent="0.25">
      <c r="E404" s="11">
        <f t="shared" si="31"/>
        <v>92</v>
      </c>
      <c r="F404" s="11">
        <f t="shared" si="32"/>
        <v>11.304968808135641</v>
      </c>
      <c r="G404" s="11">
        <f t="shared" si="33"/>
        <v>11.309478998862314</v>
      </c>
    </row>
    <row r="405" spans="5:7" x14ac:dyDescent="0.25">
      <c r="E405" s="11">
        <f t="shared" si="31"/>
        <v>93</v>
      </c>
      <c r="F405" s="11">
        <f t="shared" si="32"/>
        <v>11.469625728234938</v>
      </c>
      <c r="G405" s="11">
        <f t="shared" si="33"/>
        <v>11.472784549730594</v>
      </c>
    </row>
    <row r="406" spans="5:7" x14ac:dyDescent="0.25">
      <c r="E406" s="11">
        <f t="shared" si="31"/>
        <v>94</v>
      </c>
      <c r="F406" s="11">
        <f t="shared" si="32"/>
        <v>11.634882990126185</v>
      </c>
      <c r="G406" s="11">
        <f t="shared" si="33"/>
        <v>11.636533750682851</v>
      </c>
    </row>
    <row r="407" spans="5:7" x14ac:dyDescent="0.25">
      <c r="E407" s="11">
        <f t="shared" si="31"/>
        <v>95</v>
      </c>
      <c r="F407" s="11">
        <f t="shared" si="32"/>
        <v>11.800680991006729</v>
      </c>
      <c r="G407" s="11">
        <f t="shared" si="33"/>
        <v>11.800700504655319</v>
      </c>
    </row>
    <row r="408" spans="5:7" x14ac:dyDescent="0.25">
      <c r="E408" s="11">
        <f t="shared" si="31"/>
        <v>96</v>
      </c>
      <c r="F408" s="11">
        <f t="shared" si="32"/>
        <v>11.966951238152189</v>
      </c>
      <c r="G408" s="11">
        <f t="shared" si="33"/>
        <v>11.965258714584234</v>
      </c>
    </row>
    <row r="409" spans="5:7" x14ac:dyDescent="0.25">
      <c r="E409" s="11">
        <f t="shared" si="31"/>
        <v>97</v>
      </c>
      <c r="F409" s="11">
        <f t="shared" si="32"/>
        <v>12.133615512265289</v>
      </c>
      <c r="G409" s="11">
        <f t="shared" si="33"/>
        <v>12.130182283405837</v>
      </c>
    </row>
    <row r="410" spans="5:7" x14ac:dyDescent="0.25">
      <c r="E410" s="11">
        <f t="shared" si="31"/>
        <v>98</v>
      </c>
      <c r="F410" s="11">
        <f t="shared" si="32"/>
        <v>12.300584984676721</v>
      </c>
      <c r="G410" s="11">
        <f t="shared" si="33"/>
        <v>12.295445114056358</v>
      </c>
    </row>
    <row r="411" spans="5:7" x14ac:dyDescent="0.25">
      <c r="E411" s="11">
        <f t="shared" si="31"/>
        <v>99</v>
      </c>
      <c r="F411" s="11">
        <f t="shared" si="32"/>
        <v>12.46775928702148</v>
      </c>
      <c r="G411" s="11">
        <f t="shared" si="33"/>
        <v>12.461021109472039</v>
      </c>
    </row>
    <row r="412" spans="5:7" x14ac:dyDescent="0.25">
      <c r="E412" s="11">
        <f t="shared" si="31"/>
        <v>100</v>
      </c>
      <c r="F412" s="11">
        <f t="shared" si="32"/>
        <v>12.635025531996099</v>
      </c>
      <c r="G412" s="11">
        <f t="shared" si="33"/>
        <v>12.626884172589115</v>
      </c>
    </row>
    <row r="413" spans="5:7" x14ac:dyDescent="0.25">
      <c r="E413" s="11">
        <f t="shared" si="31"/>
        <v>101</v>
      </c>
      <c r="F413" s="11">
        <f t="shared" si="32"/>
        <v>12.802257283785295</v>
      </c>
      <c r="G413" s="11">
        <f t="shared" si="33"/>
        <v>12.793008206343824</v>
      </c>
    </row>
    <row r="414" spans="5:7" x14ac:dyDescent="0.25">
      <c r="E414" s="11">
        <f t="shared" si="31"/>
        <v>102</v>
      </c>
      <c r="F414" s="11">
        <f t="shared" si="32"/>
        <v>12.969313476728452</v>
      </c>
      <c r="G414" s="11">
        <f t="shared" si="33"/>
        <v>12.959367113672402</v>
      </c>
    </row>
    <row r="415" spans="5:7" x14ac:dyDescent="0.25">
      <c r="E415" s="11">
        <f t="shared" ref="E415:E422" si="34">E208</f>
        <v>103</v>
      </c>
      <c r="F415" s="11">
        <f t="shared" ref="F415:F422" si="35">$H$217*0+E415*$I$217+E415^2*$J$217+E415^3*$K$217+E415^4*$L$217+E415^5*$M$217+E415^6*$N$217+E415^7*$O$217+E415^8*$P$217</f>
        <v>13.136037280779354</v>
      </c>
      <c r="G415" s="11">
        <f t="shared" ref="G415:G422" si="36">F208</f>
        <v>13.125934797511086</v>
      </c>
    </row>
    <row r="416" spans="5:7" x14ac:dyDescent="0.25">
      <c r="E416" s="11">
        <f t="shared" si="34"/>
        <v>104</v>
      </c>
      <c r="F416" s="11">
        <f t="shared" si="35"/>
        <v>13.302254912294684</v>
      </c>
      <c r="G416" s="11">
        <f t="shared" si="36"/>
        <v>13.292685160796111</v>
      </c>
    </row>
    <row r="417" spans="5:7" x14ac:dyDescent="0.25">
      <c r="E417" s="11">
        <f t="shared" si="34"/>
        <v>105</v>
      </c>
      <c r="F417" s="11">
        <f t="shared" si="35"/>
        <v>13.467774388669604</v>
      </c>
      <c r="G417" s="11">
        <f t="shared" si="36"/>
        <v>13.459592106463717</v>
      </c>
    </row>
    <row r="418" spans="5:7" x14ac:dyDescent="0.25">
      <c r="E418" s="11">
        <f t="shared" si="34"/>
        <v>106</v>
      </c>
      <c r="F418" s="11">
        <f t="shared" si="35"/>
        <v>13.632384225320983</v>
      </c>
      <c r="G418" s="11">
        <f t="shared" si="36"/>
        <v>13.626629537450137</v>
      </c>
    </row>
    <row r="419" spans="5:7" x14ac:dyDescent="0.25">
      <c r="E419" s="11">
        <f t="shared" si="34"/>
        <v>107</v>
      </c>
      <c r="F419" s="11">
        <f t="shared" si="35"/>
        <v>13.795852073501504</v>
      </c>
      <c r="G419" s="11">
        <f t="shared" si="36"/>
        <v>13.793771356691613</v>
      </c>
    </row>
    <row r="420" spans="5:7" x14ac:dyDescent="0.25">
      <c r="E420" s="11">
        <f t="shared" si="34"/>
        <v>108</v>
      </c>
      <c r="F420" s="11">
        <f t="shared" si="35"/>
        <v>13.957923297410321</v>
      </c>
      <c r="G420" s="11">
        <f t="shared" si="36"/>
        <v>13.960991467124376</v>
      </c>
    </row>
    <row r="421" spans="5:7" x14ac:dyDescent="0.25">
      <c r="E421" s="11">
        <f t="shared" si="34"/>
        <v>109</v>
      </c>
      <c r="F421" s="11">
        <f t="shared" si="35"/>
        <v>14.118319489048348</v>
      </c>
      <c r="G421" s="11">
        <f t="shared" si="36"/>
        <v>14.128263771684667</v>
      </c>
    </row>
    <row r="422" spans="5:7" x14ac:dyDescent="0.25">
      <c r="E422" s="11">
        <f t="shared" si="34"/>
        <v>110</v>
      </c>
      <c r="F422" s="11">
        <f t="shared" si="35"/>
        <v>14.276736919248899</v>
      </c>
      <c r="G422" s="11">
        <f t="shared" si="36"/>
        <v>14.295562173308721</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9.3029999999999995E-5</v>
      </c>
      <c r="C3" s="2">
        <v>1.204E-4</v>
      </c>
      <c r="D3" s="2">
        <v>-3.3950000000000001E-4</v>
      </c>
      <c r="E3" s="2">
        <v>0</v>
      </c>
      <c r="F3" s="2">
        <v>0</v>
      </c>
      <c r="G3" s="2">
        <v>0</v>
      </c>
      <c r="H3" s="2">
        <v>4.5256902999999999E-5</v>
      </c>
      <c r="I3" s="2">
        <v>1.200315E-5</v>
      </c>
      <c r="J3" s="2">
        <v>-1.2599827999999999E-4</v>
      </c>
      <c r="K3" s="3"/>
      <c r="L3" s="3">
        <f>-B3/D3</f>
        <v>0.27402061855670101</v>
      </c>
      <c r="M3" s="3"/>
      <c r="N3" s="2">
        <f>IF('Modell einstellen'!$B$1="Voll",H3/0.35,H3/0.35*2)</f>
        <v>1.2930543714285715E-4</v>
      </c>
      <c r="O3" s="2">
        <f>IF('Modell einstellen'!$B$1="Voll",J3/0.35,J3/0.35*2)</f>
        <v>-3.5999508571428571E-4</v>
      </c>
      <c r="P3" s="3">
        <f>-N3/O3</f>
        <v>0.35918667302442542</v>
      </c>
      <c r="Q3" s="3"/>
      <c r="R3" s="3"/>
      <c r="S3" s="3"/>
      <c r="T3" s="3"/>
      <c r="U3" s="3"/>
      <c r="V3" s="3"/>
      <c r="W3" s="3"/>
    </row>
    <row r="4" spans="1:23" x14ac:dyDescent="0.25">
      <c r="A4" s="2">
        <v>1E-14</v>
      </c>
      <c r="B4" s="2">
        <v>9.3360000000000001E-5</v>
      </c>
      <c r="C4" s="2">
        <v>1.215E-4</v>
      </c>
      <c r="D4" s="2">
        <v>-3.412E-4</v>
      </c>
      <c r="E4" s="2">
        <v>0</v>
      </c>
      <c r="F4" s="2">
        <v>0</v>
      </c>
      <c r="G4" s="2">
        <v>0</v>
      </c>
      <c r="H4" s="2">
        <v>4.5766544999999999E-5</v>
      </c>
      <c r="I4" s="2">
        <v>1.2127703000000001E-5</v>
      </c>
      <c r="J4" s="2">
        <v>-1.2697509999999999E-4</v>
      </c>
      <c r="K4" s="3"/>
      <c r="L4" s="3">
        <f t="shared" ref="L4:L33" si="0">-B4/D4</f>
        <v>0.27362250879249705</v>
      </c>
      <c r="M4" s="3"/>
      <c r="N4" s="2">
        <f>IF('Modell einstellen'!$B$1="Voll",H4/0.35,H4/0.35*2)</f>
        <v>1.3076155714285715E-4</v>
      </c>
      <c r="O4" s="2">
        <f>IF('Modell einstellen'!$B$1="Voll",J4/0.35,J4/0.35*2)</f>
        <v>-3.6278599999999998E-4</v>
      </c>
      <c r="P4" s="3">
        <f t="shared" ref="P4:P33" si="1">-N4/O4</f>
        <v>0.36043716445192803</v>
      </c>
      <c r="Q4" s="3"/>
      <c r="R4" s="3"/>
      <c r="S4" s="3"/>
      <c r="T4" s="3"/>
      <c r="U4" s="3"/>
      <c r="V4" s="3"/>
      <c r="W4" s="3"/>
    </row>
    <row r="5" spans="1:23" x14ac:dyDescent="0.25">
      <c r="A5" s="2">
        <v>1E-13</v>
      </c>
      <c r="B5" s="2">
        <v>9.5340000000000005E-5</v>
      </c>
      <c r="C5" s="2">
        <v>1.259E-4</v>
      </c>
      <c r="D5" s="2">
        <v>-3.4820000000000001E-4</v>
      </c>
      <c r="E5" s="2">
        <v>0</v>
      </c>
      <c r="F5" s="2">
        <v>0</v>
      </c>
      <c r="G5" s="2">
        <v>0</v>
      </c>
      <c r="H5" s="2">
        <v>4.7655207000000003E-5</v>
      </c>
      <c r="I5" s="2">
        <v>1.2589958E-5</v>
      </c>
      <c r="J5" s="2">
        <v>-1.3063405000000001E-4</v>
      </c>
      <c r="K5" s="3"/>
      <c r="L5" s="3">
        <f t="shared" si="0"/>
        <v>0.27380815623205057</v>
      </c>
      <c r="M5" s="3"/>
      <c r="N5" s="2">
        <f>IF('Modell einstellen'!$B$1="Voll",H5/0.35,H5/0.35*2)</f>
        <v>1.3615773428571429E-4</v>
      </c>
      <c r="O5" s="2">
        <f>IF('Modell einstellen'!$B$1="Voll",J5/0.35,J5/0.35*2)</f>
        <v>-3.7324014285714294E-4</v>
      </c>
      <c r="P5" s="3">
        <f t="shared" si="1"/>
        <v>0.36479927706444065</v>
      </c>
      <c r="Q5" s="3"/>
      <c r="R5" s="3"/>
      <c r="S5" s="3"/>
      <c r="T5" s="3"/>
      <c r="U5" s="3"/>
      <c r="V5" s="3"/>
      <c r="W5" s="3"/>
    </row>
    <row r="6" spans="1:23" x14ac:dyDescent="0.25">
      <c r="A6" s="2">
        <v>9.9999999999999998E-13</v>
      </c>
      <c r="B6" s="2">
        <v>9.6509999999999996E-5</v>
      </c>
      <c r="C6" s="2">
        <v>1.2889999999999999E-4</v>
      </c>
      <c r="D6" s="2">
        <v>-3.5290000000000001E-4</v>
      </c>
      <c r="E6" s="2">
        <v>0</v>
      </c>
      <c r="F6" s="2">
        <v>0</v>
      </c>
      <c r="G6" s="2">
        <v>0</v>
      </c>
      <c r="H6" s="2">
        <v>4.9006703000000001E-5</v>
      </c>
      <c r="I6" s="2">
        <v>1.2916457999999999E-5</v>
      </c>
      <c r="J6" s="2">
        <v>-1.3323200999999999E-4</v>
      </c>
      <c r="K6" s="3"/>
      <c r="L6" s="3">
        <f t="shared" si="0"/>
        <v>0.27347690563899119</v>
      </c>
      <c r="M6" s="3"/>
      <c r="N6" s="2">
        <f>IF('Modell einstellen'!$B$1="Voll",H6/0.35,H6/0.35*2)</f>
        <v>1.4001915142857144E-4</v>
      </c>
      <c r="O6" s="2">
        <f>IF('Modell einstellen'!$B$1="Voll",J6/0.35,J6/0.35*2)</f>
        <v>-3.806628857142857E-4</v>
      </c>
      <c r="P6" s="3">
        <f t="shared" si="1"/>
        <v>0.36782979555738898</v>
      </c>
      <c r="Q6" s="3"/>
      <c r="R6" s="3"/>
      <c r="S6" s="3"/>
      <c r="T6" s="3"/>
      <c r="U6" s="3"/>
      <c r="V6" s="3"/>
      <c r="W6" s="3"/>
    </row>
    <row r="7" spans="1:23" x14ac:dyDescent="0.25">
      <c r="A7" s="2">
        <v>9.9999999999999994E-12</v>
      </c>
      <c r="B7" s="2">
        <v>9.7579999999999997E-5</v>
      </c>
      <c r="C7" s="2">
        <v>1.3180000000000001E-4</v>
      </c>
      <c r="D7" s="2">
        <v>-3.5740000000000001E-4</v>
      </c>
      <c r="E7" s="2">
        <v>0</v>
      </c>
      <c r="F7" s="2">
        <v>0</v>
      </c>
      <c r="G7" s="2">
        <v>0</v>
      </c>
      <c r="H7" s="2">
        <v>5.0328477999999997E-5</v>
      </c>
      <c r="I7" s="2">
        <v>1.3233172000000001E-5</v>
      </c>
      <c r="J7" s="2">
        <v>-1.3576263E-4</v>
      </c>
      <c r="K7" s="3"/>
      <c r="L7" s="3">
        <f t="shared" si="0"/>
        <v>0.27302742025741467</v>
      </c>
      <c r="M7" s="3"/>
      <c r="N7" s="2">
        <f>IF('Modell einstellen'!$B$1="Voll",H7/0.35,H7/0.35*2)</f>
        <v>1.4379565142857143E-4</v>
      </c>
      <c r="O7" s="2">
        <f>IF('Modell einstellen'!$B$1="Voll",J7/0.35,J7/0.35*2)</f>
        <v>-3.878932285714286E-4</v>
      </c>
      <c r="P7" s="3">
        <f t="shared" si="1"/>
        <v>0.37070936236282398</v>
      </c>
      <c r="Q7" s="3"/>
      <c r="R7" s="3"/>
      <c r="S7" s="3"/>
      <c r="T7" s="3"/>
      <c r="U7" s="3"/>
      <c r="V7" s="3"/>
      <c r="W7" s="3"/>
    </row>
    <row r="8" spans="1:23" x14ac:dyDescent="0.25">
      <c r="A8" s="2">
        <v>1E-10</v>
      </c>
      <c r="B8" s="2">
        <v>9.8720000000000003E-5</v>
      </c>
      <c r="C8" s="2">
        <v>1.351E-4</v>
      </c>
      <c r="D8" s="2">
        <v>-3.6240000000000003E-4</v>
      </c>
      <c r="E8" s="2">
        <v>0</v>
      </c>
      <c r="F8" s="2">
        <v>0</v>
      </c>
      <c r="G8" s="2">
        <v>0</v>
      </c>
      <c r="H8" s="2">
        <v>5.1850778000000002E-5</v>
      </c>
      <c r="I8" s="2">
        <v>1.3594670999999999E-5</v>
      </c>
      <c r="J8" s="2">
        <v>-1.3866409999999999E-4</v>
      </c>
      <c r="K8" s="3"/>
      <c r="L8" s="3">
        <f t="shared" si="0"/>
        <v>0.27240618101545255</v>
      </c>
      <c r="M8" s="3"/>
      <c r="N8" s="2">
        <f>IF('Modell einstellen'!$B$1="Voll",H8/0.35,H8/0.35*2)</f>
        <v>1.4814508E-4</v>
      </c>
      <c r="O8" s="2">
        <f>IF('Modell einstellen'!$B$1="Voll",J8/0.35,J8/0.35*2)</f>
        <v>-3.9618314285714287E-4</v>
      </c>
      <c r="P8" s="3">
        <f t="shared" si="1"/>
        <v>0.37393080112300153</v>
      </c>
      <c r="Q8" s="3"/>
      <c r="R8" s="3"/>
      <c r="S8" s="3"/>
      <c r="T8" s="3"/>
      <c r="U8" s="3"/>
      <c r="V8" s="3"/>
      <c r="W8" s="3"/>
    </row>
    <row r="9" spans="1:23" x14ac:dyDescent="0.25">
      <c r="A9" s="2">
        <v>1.0000000000000001E-9</v>
      </c>
      <c r="B9" s="2">
        <v>9.9870000000000004E-5</v>
      </c>
      <c r="C9" s="2">
        <v>1.3870000000000001E-4</v>
      </c>
      <c r="D9" s="2">
        <v>-3.678E-4</v>
      </c>
      <c r="E9" s="2">
        <v>0</v>
      </c>
      <c r="F9" s="2">
        <v>0</v>
      </c>
      <c r="G9" s="2">
        <v>0</v>
      </c>
      <c r="H9" s="2">
        <v>5.3534444999999997E-5</v>
      </c>
      <c r="I9" s="2">
        <v>1.3990455E-5</v>
      </c>
      <c r="J9" s="2">
        <v>-1.4185688E-4</v>
      </c>
      <c r="K9" s="3"/>
      <c r="L9" s="3">
        <f t="shared" si="0"/>
        <v>0.27153344208809138</v>
      </c>
      <c r="M9" s="3"/>
      <c r="N9" s="2">
        <f>IF('Modell einstellen'!$B$1="Voll",H9/0.35,H9/0.35*2)</f>
        <v>1.5295555714285713E-4</v>
      </c>
      <c r="O9" s="2">
        <f>IF('Modell einstellen'!$B$1="Voll",J9/0.35,J9/0.35*2)</f>
        <v>-4.0530537142857145E-4</v>
      </c>
      <c r="P9" s="3">
        <f t="shared" si="1"/>
        <v>0.37738349384252629</v>
      </c>
      <c r="Q9" s="3"/>
      <c r="R9" s="3"/>
      <c r="S9" s="3"/>
      <c r="T9" s="3"/>
      <c r="U9" s="3"/>
      <c r="V9" s="3"/>
      <c r="W9" s="3"/>
    </row>
    <row r="10" spans="1:23" x14ac:dyDescent="0.25">
      <c r="A10" s="2">
        <v>1E-8</v>
      </c>
      <c r="B10" s="2">
        <v>1.011E-4</v>
      </c>
      <c r="C10" s="2">
        <v>1.4300000000000001E-4</v>
      </c>
      <c r="D10" s="2">
        <v>-3.7399999999999998E-4</v>
      </c>
      <c r="E10" s="2">
        <v>0</v>
      </c>
      <c r="F10" s="2">
        <v>0</v>
      </c>
      <c r="G10" s="2">
        <v>0</v>
      </c>
      <c r="H10" s="2">
        <v>5.5577649999999998E-5</v>
      </c>
      <c r="I10" s="2">
        <v>1.4465203999999999E-5</v>
      </c>
      <c r="J10" s="2">
        <v>-1.457095E-4</v>
      </c>
      <c r="K10" s="3"/>
      <c r="L10" s="3">
        <f t="shared" si="0"/>
        <v>0.27032085561497327</v>
      </c>
      <c r="M10" s="3"/>
      <c r="N10" s="2">
        <f>IF('Modell einstellen'!$B$1="Voll",H10/0.35,H10/0.35*2)</f>
        <v>1.5879328571428571E-4</v>
      </c>
      <c r="O10" s="2">
        <f>IF('Modell einstellen'!$B$1="Voll",J10/0.35,J10/0.35*2)</f>
        <v>-4.1631285714285719E-4</v>
      </c>
      <c r="P10" s="3">
        <f t="shared" si="1"/>
        <v>0.38142777238272035</v>
      </c>
      <c r="Q10" s="3"/>
      <c r="R10" s="3"/>
      <c r="S10" s="3"/>
      <c r="T10" s="3"/>
      <c r="U10" s="3"/>
      <c r="V10" s="3"/>
      <c r="W10" s="3"/>
    </row>
    <row r="11" spans="1:23" x14ac:dyDescent="0.25">
      <c r="A11" s="2">
        <v>9.9999999999999995E-8</v>
      </c>
      <c r="B11" s="2">
        <v>1.0230000000000001E-4</v>
      </c>
      <c r="C11" s="2">
        <v>1.4760000000000001E-4</v>
      </c>
      <c r="D11" s="2">
        <v>-3.8059999999999998E-4</v>
      </c>
      <c r="E11" s="2">
        <v>0</v>
      </c>
      <c r="F11" s="2">
        <v>0</v>
      </c>
      <c r="G11" s="2">
        <v>0</v>
      </c>
      <c r="H11" s="2">
        <v>5.7838172000000001E-5</v>
      </c>
      <c r="I11" s="2">
        <v>1.4983349999999999E-5</v>
      </c>
      <c r="J11" s="2">
        <v>-1.4994379E-4</v>
      </c>
      <c r="K11" s="3"/>
      <c r="L11" s="3">
        <f t="shared" si="0"/>
        <v>0.26878612716763006</v>
      </c>
      <c r="M11" s="3"/>
      <c r="N11" s="2">
        <f>IF('Modell einstellen'!$B$1="Voll",H11/0.35,H11/0.35*2)</f>
        <v>1.6525192E-4</v>
      </c>
      <c r="O11" s="2">
        <f>IF('Modell einstellen'!$B$1="Voll",J11/0.35,J11/0.35*2)</f>
        <v>-4.2841082857142859E-4</v>
      </c>
      <c r="P11" s="3">
        <f t="shared" si="1"/>
        <v>0.38573236010641054</v>
      </c>
      <c r="Q11" s="3"/>
      <c r="R11" s="3"/>
      <c r="S11" s="3"/>
      <c r="T11" s="3"/>
      <c r="U11" s="3"/>
      <c r="V11" s="3"/>
      <c r="W11" s="3"/>
    </row>
    <row r="12" spans="1:23" x14ac:dyDescent="0.25">
      <c r="A12" s="2">
        <v>9.9999999999999995E-7</v>
      </c>
      <c r="B12" s="2">
        <v>1.0340000000000001E-4</v>
      </c>
      <c r="C12" s="2">
        <v>1.5310000000000001E-4</v>
      </c>
      <c r="D12" s="2">
        <v>-3.881E-4</v>
      </c>
      <c r="E12" s="2">
        <v>0</v>
      </c>
      <c r="F12" s="2">
        <v>0</v>
      </c>
      <c r="G12" s="2">
        <v>0</v>
      </c>
      <c r="H12" s="2">
        <v>6.0551667999999997E-5</v>
      </c>
      <c r="I12" s="2">
        <v>1.5595718E-5</v>
      </c>
      <c r="J12" s="2">
        <v>-1.5498911000000001E-4</v>
      </c>
      <c r="K12" s="3"/>
      <c r="L12" s="3">
        <f t="shared" si="0"/>
        <v>0.26642617881989178</v>
      </c>
      <c r="M12" s="3"/>
      <c r="N12" s="2">
        <f>IF('Modell einstellen'!$B$1="Voll",H12/0.35,H12/0.35*2)</f>
        <v>1.7300476571428572E-4</v>
      </c>
      <c r="O12" s="2">
        <f>IF('Modell einstellen'!$B$1="Voll",J12/0.35,J12/0.35*2)</f>
        <v>-4.4282602857142865E-4</v>
      </c>
      <c r="P12" s="3">
        <f t="shared" si="1"/>
        <v>0.39068337123814695</v>
      </c>
      <c r="Q12" s="3"/>
      <c r="R12" s="3"/>
      <c r="S12" s="3"/>
      <c r="T12" s="3"/>
      <c r="U12" s="3"/>
      <c r="V12" s="3"/>
      <c r="W12" s="3"/>
    </row>
    <row r="13" spans="1:23" x14ac:dyDescent="0.25">
      <c r="A13" s="2">
        <v>1.0000000000000001E-5</v>
      </c>
      <c r="B13" s="2">
        <v>1.042E-4</v>
      </c>
      <c r="C13" s="2">
        <v>1.582E-4</v>
      </c>
      <c r="D13" s="2">
        <v>-3.949E-4</v>
      </c>
      <c r="E13" s="2">
        <v>0</v>
      </c>
      <c r="F13" s="2">
        <v>0</v>
      </c>
      <c r="G13" s="2">
        <v>0</v>
      </c>
      <c r="H13" s="2">
        <v>6.3163086999999996E-5</v>
      </c>
      <c r="I13" s="2">
        <v>1.6174773999999999E-5</v>
      </c>
      <c r="J13" s="2">
        <v>-1.5980435E-4</v>
      </c>
      <c r="K13" s="3"/>
      <c r="L13" s="3">
        <f t="shared" si="0"/>
        <v>0.26386426943530006</v>
      </c>
      <c r="M13" s="3"/>
      <c r="N13" s="2">
        <f>IF('Modell einstellen'!$B$1="Voll",H13/0.35,H13/0.35*2)</f>
        <v>1.8046596285714285E-4</v>
      </c>
      <c r="O13" s="2">
        <f>IF('Modell einstellen'!$B$1="Voll",J13/0.35,J13/0.35*2)</f>
        <v>-4.5658385714285717E-4</v>
      </c>
      <c r="P13" s="3">
        <f t="shared" si="1"/>
        <v>0.39525261358655128</v>
      </c>
      <c r="Q13" s="3"/>
      <c r="R13" s="3"/>
      <c r="S13" s="3"/>
      <c r="T13" s="3"/>
      <c r="U13" s="3"/>
      <c r="V13" s="3"/>
      <c r="W13" s="3"/>
    </row>
    <row r="14" spans="1:23" x14ac:dyDescent="0.25">
      <c r="A14" s="2">
        <v>1E-4</v>
      </c>
      <c r="B14" s="2">
        <v>1.048E-4</v>
      </c>
      <c r="C14" s="2">
        <v>1.639E-4</v>
      </c>
      <c r="D14" s="2">
        <v>-4.0220000000000002E-4</v>
      </c>
      <c r="E14" s="2">
        <v>0</v>
      </c>
      <c r="F14" s="2">
        <v>0</v>
      </c>
      <c r="G14" s="2">
        <v>0</v>
      </c>
      <c r="H14" s="2">
        <v>6.6154943000000003E-5</v>
      </c>
      <c r="I14" s="2">
        <v>1.6827084999999999E-5</v>
      </c>
      <c r="J14" s="2">
        <v>-1.6527841999999999E-4</v>
      </c>
      <c r="K14" s="3"/>
      <c r="L14" s="3">
        <f t="shared" si="0"/>
        <v>0.26056688214818496</v>
      </c>
      <c r="M14" s="3"/>
      <c r="N14" s="2">
        <f>IF('Modell einstellen'!$B$1="Voll",H14/0.35,H14/0.35*2)</f>
        <v>1.8901412285714288E-4</v>
      </c>
      <c r="O14" s="2">
        <f>IF('Modell einstellen'!$B$1="Voll",J14/0.35,J14/0.35*2)</f>
        <v>-4.7222405714285716E-4</v>
      </c>
      <c r="P14" s="3">
        <f t="shared" si="1"/>
        <v>0.40026364603437042</v>
      </c>
      <c r="Q14" s="3"/>
      <c r="R14" s="3"/>
      <c r="S14" s="3"/>
      <c r="T14" s="3"/>
      <c r="U14" s="3"/>
      <c r="V14" s="3"/>
      <c r="W14" s="3"/>
    </row>
    <row r="15" spans="1:23" x14ac:dyDescent="0.25">
      <c r="A15" s="2">
        <v>1E-3</v>
      </c>
      <c r="B15" s="2">
        <v>1.052E-4</v>
      </c>
      <c r="C15" s="2">
        <v>1.7129999999999999E-4</v>
      </c>
      <c r="D15" s="2">
        <v>-4.1120000000000002E-4</v>
      </c>
      <c r="E15" s="2">
        <v>0</v>
      </c>
      <c r="F15" s="2">
        <v>0</v>
      </c>
      <c r="G15" s="2">
        <v>0</v>
      </c>
      <c r="H15" s="2">
        <v>7.0143365000000001E-5</v>
      </c>
      <c r="I15" s="2">
        <v>1.7678177999999999E-5</v>
      </c>
      <c r="J15" s="2">
        <v>-1.7250478999999999E-4</v>
      </c>
      <c r="K15" s="3"/>
      <c r="L15" s="3">
        <f t="shared" si="0"/>
        <v>0.25583657587548636</v>
      </c>
      <c r="M15" s="3"/>
      <c r="N15" s="2">
        <f>IF('Modell einstellen'!$B$1="Voll",H15/0.35,H15/0.35*2)</f>
        <v>2.0040961428571431E-4</v>
      </c>
      <c r="O15" s="2">
        <f>IF('Modell einstellen'!$B$1="Voll",J15/0.35,J15/0.35*2)</f>
        <v>-4.9287082857142855E-4</v>
      </c>
      <c r="P15" s="3">
        <f t="shared" si="1"/>
        <v>0.40661691191299681</v>
      </c>
      <c r="Q15" s="3"/>
      <c r="R15" s="3"/>
      <c r="S15" s="3"/>
      <c r="T15" s="3"/>
      <c r="U15" s="3"/>
      <c r="V15" s="3"/>
      <c r="W15" s="3"/>
    </row>
    <row r="16" spans="1:23" x14ac:dyDescent="0.25">
      <c r="A16" s="2">
        <v>0.01</v>
      </c>
      <c r="B16" s="2">
        <v>1.049E-4</v>
      </c>
      <c r="C16" s="2">
        <v>1.8000000000000001E-4</v>
      </c>
      <c r="D16" s="2">
        <v>-4.2099999999999999E-4</v>
      </c>
      <c r="E16" s="2">
        <v>0</v>
      </c>
      <c r="F16" s="2">
        <v>0</v>
      </c>
      <c r="G16" s="2">
        <v>0</v>
      </c>
      <c r="H16" s="2">
        <v>7.5064675999999994E-5</v>
      </c>
      <c r="I16" s="2">
        <v>1.8698231000000001E-5</v>
      </c>
      <c r="J16" s="2">
        <v>-1.8130555000000001E-4</v>
      </c>
      <c r="K16" s="3"/>
      <c r="L16" s="3">
        <f t="shared" si="0"/>
        <v>0.24916864608076011</v>
      </c>
      <c r="M16" s="3"/>
      <c r="N16" s="2">
        <f>IF('Modell einstellen'!$B$1="Voll",H16/0.35,H16/0.35*2)</f>
        <v>2.1447050285714286E-4</v>
      </c>
      <c r="O16" s="2">
        <f>IF('Modell einstellen'!$B$1="Voll",J16/0.35,J16/0.35*2)</f>
        <v>-5.1801585714285716E-4</v>
      </c>
      <c r="P16" s="3">
        <f t="shared" si="1"/>
        <v>0.41402304562656794</v>
      </c>
      <c r="Q16" s="3"/>
      <c r="R16" s="3"/>
      <c r="S16" s="3"/>
      <c r="T16" s="3"/>
      <c r="U16" s="3"/>
      <c r="V16" s="3"/>
      <c r="W16" s="3"/>
    </row>
    <row r="17" spans="1:23" x14ac:dyDescent="0.25">
      <c r="A17" s="2">
        <v>0.1</v>
      </c>
      <c r="B17" s="2">
        <v>1.038E-4</v>
      </c>
      <c r="C17" s="2">
        <v>1.886E-4</v>
      </c>
      <c r="D17" s="2">
        <v>-4.2989999999999999E-4</v>
      </c>
      <c r="E17" s="2">
        <v>0</v>
      </c>
      <c r="F17" s="2">
        <v>0</v>
      </c>
      <c r="G17" s="2">
        <v>0</v>
      </c>
      <c r="H17" s="2">
        <v>8.0194111999999998E-5</v>
      </c>
      <c r="I17" s="2">
        <v>1.9725416999999999E-5</v>
      </c>
      <c r="J17" s="2">
        <v>-1.9034031000000001E-4</v>
      </c>
      <c r="K17" s="3"/>
      <c r="L17" s="3">
        <f t="shared" si="0"/>
        <v>0.24145150034891835</v>
      </c>
      <c r="M17" s="3"/>
      <c r="N17" s="2">
        <f>IF('Modell einstellen'!$B$1="Voll",H17/0.35,H17/0.35*2)</f>
        <v>2.2912603428571428E-4</v>
      </c>
      <c r="O17" s="2">
        <f>IF('Modell einstellen'!$B$1="Voll",J17/0.35,J17/0.35*2)</f>
        <v>-5.4382945714285722E-4</v>
      </c>
      <c r="P17" s="3">
        <f t="shared" si="1"/>
        <v>0.4213196458490584</v>
      </c>
      <c r="Q17" s="3"/>
      <c r="R17" s="3"/>
      <c r="S17" s="3"/>
      <c r="T17" s="3"/>
      <c r="U17" s="3"/>
      <c r="V17" s="3"/>
      <c r="W17" s="3"/>
    </row>
    <row r="18" spans="1:23" x14ac:dyDescent="0.25">
      <c r="A18" s="2">
        <v>1</v>
      </c>
      <c r="B18" s="2">
        <v>1.021E-4</v>
      </c>
      <c r="C18" s="2">
        <v>1.9589999999999999E-4</v>
      </c>
      <c r="D18" s="2">
        <v>-4.3669999999999999E-4</v>
      </c>
      <c r="E18" s="2">
        <v>0</v>
      </c>
      <c r="F18" s="2">
        <v>0</v>
      </c>
      <c r="G18" s="2">
        <v>0</v>
      </c>
      <c r="H18" s="2">
        <v>8.4727028999999996E-5</v>
      </c>
      <c r="I18" s="2">
        <v>2.0603751E-5</v>
      </c>
      <c r="J18" s="2">
        <v>-1.9821185E-4</v>
      </c>
      <c r="K18" s="3"/>
      <c r="L18" s="3">
        <f t="shared" si="0"/>
        <v>0.23379894664529427</v>
      </c>
      <c r="M18" s="3"/>
      <c r="N18" s="2">
        <f>IF('Modell einstellen'!$B$1="Voll",H18/0.35,H18/0.35*2)</f>
        <v>2.4207722571428572E-4</v>
      </c>
      <c r="O18" s="2">
        <f>IF('Modell einstellen'!$B$1="Voll",J18/0.35,J18/0.35*2)</f>
        <v>-5.6631957142857148E-4</v>
      </c>
      <c r="P18" s="3">
        <f t="shared" si="1"/>
        <v>0.42745693055183126</v>
      </c>
      <c r="Q18" s="3"/>
      <c r="R18" s="3"/>
      <c r="S18" s="3"/>
      <c r="T18" s="3"/>
      <c r="U18" s="3"/>
      <c r="V18" s="3"/>
      <c r="W18" s="3"/>
    </row>
    <row r="19" spans="1:23" x14ac:dyDescent="0.25">
      <c r="A19" s="2">
        <v>10</v>
      </c>
      <c r="B19" s="2">
        <v>9.9549999999999994E-5</v>
      </c>
      <c r="C19" s="2">
        <v>2.0379999999999999E-4</v>
      </c>
      <c r="D19" s="2">
        <v>-4.4329999999999999E-4</v>
      </c>
      <c r="E19" s="2">
        <v>0</v>
      </c>
      <c r="F19" s="2">
        <v>0</v>
      </c>
      <c r="G19" s="2">
        <v>0</v>
      </c>
      <c r="H19" s="2">
        <v>8.9836380999999994E-5</v>
      </c>
      <c r="I19" s="2">
        <v>2.1564857999999999E-5</v>
      </c>
      <c r="J19" s="2">
        <v>-2.0697466000000001E-4</v>
      </c>
      <c r="K19" s="3"/>
      <c r="L19" s="3">
        <f t="shared" si="0"/>
        <v>0.22456575682382132</v>
      </c>
      <c r="M19" s="3"/>
      <c r="N19" s="2">
        <f>IF('Modell einstellen'!$B$1="Voll",H19/0.35,H19/0.35*2)</f>
        <v>2.5667537428571428E-4</v>
      </c>
      <c r="O19" s="2">
        <f>IF('Modell einstellen'!$B$1="Voll",J19/0.35,J19/0.35*2)</f>
        <v>-5.9135617142857145E-4</v>
      </c>
      <c r="P19" s="3">
        <f t="shared" si="1"/>
        <v>0.43404531260010282</v>
      </c>
      <c r="Q19" s="3"/>
      <c r="R19" s="3"/>
      <c r="S19" s="3"/>
      <c r="T19" s="3"/>
      <c r="U19" s="3"/>
      <c r="V19" s="3"/>
      <c r="W19" s="3"/>
    </row>
    <row r="20" spans="1:23" x14ac:dyDescent="0.25">
      <c r="A20" s="2">
        <v>100</v>
      </c>
      <c r="B20" s="2">
        <v>9.6150000000000006E-5</v>
      </c>
      <c r="C20" s="2">
        <v>2.117E-4</v>
      </c>
      <c r="D20" s="2">
        <v>-4.4920000000000002E-4</v>
      </c>
      <c r="E20" s="2">
        <v>0</v>
      </c>
      <c r="F20" s="2">
        <v>0</v>
      </c>
      <c r="G20" s="2">
        <v>0</v>
      </c>
      <c r="H20" s="2">
        <v>9.5248750000000005E-5</v>
      </c>
      <c r="I20" s="2">
        <v>2.2548738E-5</v>
      </c>
      <c r="J20" s="2">
        <v>-2.1612625999999999E-4</v>
      </c>
      <c r="K20" s="3"/>
      <c r="L20" s="3">
        <f t="shared" si="0"/>
        <v>0.21404719501335709</v>
      </c>
      <c r="M20" s="3"/>
      <c r="N20" s="2">
        <f>IF('Modell einstellen'!$B$1="Voll",H20/0.35,H20/0.35*2)</f>
        <v>2.7213928571428574E-4</v>
      </c>
      <c r="O20" s="2">
        <f>IF('Modell einstellen'!$B$1="Voll",J20/0.35,J20/0.35*2)</f>
        <v>-6.1750360000000003E-4</v>
      </c>
      <c r="P20" s="3">
        <f t="shared" si="1"/>
        <v>0.44070882455468396</v>
      </c>
      <c r="Q20" s="3"/>
      <c r="R20" s="3"/>
      <c r="S20" s="3"/>
      <c r="T20" s="3"/>
      <c r="U20" s="3"/>
      <c r="V20" s="3"/>
      <c r="W20" s="3"/>
    </row>
    <row r="21" spans="1:23" x14ac:dyDescent="0.25">
      <c r="A21" s="2">
        <v>1000</v>
      </c>
      <c r="B21" s="2">
        <v>9.1409999999999994E-5</v>
      </c>
      <c r="C21" s="2">
        <v>2.206E-4</v>
      </c>
      <c r="D21" s="2">
        <v>-4.5469999999999999E-4</v>
      </c>
      <c r="E21" s="2">
        <v>0</v>
      </c>
      <c r="F21" s="2">
        <v>0</v>
      </c>
      <c r="G21" s="2">
        <v>0</v>
      </c>
      <c r="H21" s="2">
        <v>1.0157988E-4</v>
      </c>
      <c r="I21" s="2">
        <v>2.3667205E-5</v>
      </c>
      <c r="J21" s="2">
        <v>-2.2670222E-4</v>
      </c>
      <c r="K21" s="3"/>
      <c r="L21" s="3">
        <f t="shared" si="0"/>
        <v>0.20103364855948977</v>
      </c>
      <c r="M21" s="3"/>
      <c r="N21" s="2">
        <f>IF('Modell einstellen'!$B$1="Voll",H21/0.35,H21/0.35*2)</f>
        <v>2.9022822857142862E-4</v>
      </c>
      <c r="O21" s="2">
        <f>IF('Modell einstellen'!$B$1="Voll",J21/0.35,J21/0.35*2)</f>
        <v>-6.4772062857142859E-4</v>
      </c>
      <c r="P21" s="3">
        <f t="shared" si="1"/>
        <v>0.44807624733449902</v>
      </c>
      <c r="Q21" s="3"/>
      <c r="R21" s="3"/>
      <c r="S21" s="3"/>
      <c r="T21" s="3"/>
      <c r="U21" s="3"/>
      <c r="V21" s="3"/>
      <c r="W21" s="3"/>
    </row>
    <row r="22" spans="1:23" x14ac:dyDescent="0.25">
      <c r="A22" s="2">
        <v>10000</v>
      </c>
      <c r="B22" s="2">
        <v>8.6349999999999998E-5</v>
      </c>
      <c r="C22" s="2">
        <v>2.3039999999999999E-4</v>
      </c>
      <c r="D22" s="2">
        <v>-4.6059999999999997E-4</v>
      </c>
      <c r="E22" s="2">
        <v>0</v>
      </c>
      <c r="F22" s="2">
        <v>0</v>
      </c>
      <c r="G22" s="2">
        <v>0</v>
      </c>
      <c r="H22" s="2">
        <v>1.0817081000000001E-4</v>
      </c>
      <c r="I22" s="2">
        <v>2.4903907E-5</v>
      </c>
      <c r="J22" s="2">
        <v>-2.379212E-4</v>
      </c>
      <c r="K22" s="3"/>
      <c r="L22" s="3">
        <f t="shared" si="0"/>
        <v>0.18747286148501954</v>
      </c>
      <c r="M22" s="3"/>
      <c r="N22" s="2">
        <f>IF('Modell einstellen'!$B$1="Voll",H22/0.35,H22/0.35*2)</f>
        <v>3.0905945714285719E-4</v>
      </c>
      <c r="O22" s="2">
        <f>IF('Modell einstellen'!$B$1="Voll",J22/0.35,J22/0.35*2)</f>
        <v>-6.7977485714285719E-4</v>
      </c>
      <c r="P22" s="3">
        <f t="shared" si="1"/>
        <v>0.45464973276866461</v>
      </c>
      <c r="Q22" s="3"/>
      <c r="R22" s="3"/>
      <c r="S22" s="3"/>
      <c r="T22" s="3"/>
      <c r="U22" s="3"/>
      <c r="V22" s="3"/>
      <c r="W22" s="3"/>
    </row>
    <row r="23" spans="1:23" x14ac:dyDescent="0.25">
      <c r="A23" s="2">
        <v>100000</v>
      </c>
      <c r="B23" s="2">
        <v>8.2319999999999998E-5</v>
      </c>
      <c r="C23" s="2">
        <v>2.4949999999999999E-4</v>
      </c>
      <c r="D23" s="2">
        <v>-4.7649999999999998E-4</v>
      </c>
      <c r="E23" s="2">
        <v>0</v>
      </c>
      <c r="F23" s="2">
        <v>0</v>
      </c>
      <c r="G23" s="2">
        <v>0</v>
      </c>
      <c r="H23" s="2">
        <v>1.1750177E-4</v>
      </c>
      <c r="I23" s="2">
        <v>2.7326585999999999E-5</v>
      </c>
      <c r="J23" s="2">
        <v>-2.5598046E-4</v>
      </c>
      <c r="K23" s="3"/>
      <c r="L23" s="3">
        <f t="shared" si="0"/>
        <v>0.17275970619097586</v>
      </c>
      <c r="M23" s="3"/>
      <c r="N23" s="2">
        <f>IF('Modell einstellen'!$B$1="Voll",H23/0.35,H23/0.35*2)</f>
        <v>3.3571934285714285E-4</v>
      </c>
      <c r="O23" s="2">
        <f>IF('Modell einstellen'!$B$1="Voll",J23/0.35,J23/0.35*2)</f>
        <v>-7.3137274285714287E-4</v>
      </c>
      <c r="P23" s="3">
        <f t="shared" si="1"/>
        <v>0.45902632568126489</v>
      </c>
      <c r="Q23" s="3"/>
      <c r="R23" s="3"/>
      <c r="S23" s="3"/>
      <c r="T23" s="3"/>
      <c r="U23" s="3"/>
      <c r="V23" s="3"/>
      <c r="W23" s="3"/>
    </row>
    <row r="24" spans="1:23" x14ac:dyDescent="0.25">
      <c r="A24" s="2">
        <v>1000000</v>
      </c>
      <c r="B24" s="2">
        <v>8.4330000000000001E-5</v>
      </c>
      <c r="C24" s="2">
        <v>2.8190000000000002E-4</v>
      </c>
      <c r="D24" s="2">
        <v>-5.1020000000000004E-4</v>
      </c>
      <c r="E24" s="2">
        <v>0</v>
      </c>
      <c r="F24" s="2">
        <v>0</v>
      </c>
      <c r="G24" s="2">
        <v>0</v>
      </c>
      <c r="H24" s="2">
        <v>1.2832318E-4</v>
      </c>
      <c r="I24" s="2">
        <v>3.1465494000000002E-5</v>
      </c>
      <c r="J24" s="2">
        <v>-2.8133732000000002E-4</v>
      </c>
      <c r="K24" s="3"/>
      <c r="L24" s="3">
        <f t="shared" si="0"/>
        <v>0.16528812230497844</v>
      </c>
      <c r="M24" s="3"/>
      <c r="N24" s="2">
        <f>IF('Modell einstellen'!$B$1="Voll",H24/0.35,H24/0.35*2)</f>
        <v>3.6663765714285717E-4</v>
      </c>
      <c r="O24" s="2">
        <f>IF('Modell einstellen'!$B$1="Voll",J24/0.35,J24/0.35*2)</f>
        <v>-8.0382091428571442E-4</v>
      </c>
      <c r="P24" s="3">
        <f t="shared" si="1"/>
        <v>0.45611858391200993</v>
      </c>
      <c r="Q24" s="3"/>
      <c r="R24" s="3"/>
      <c r="S24" s="3"/>
      <c r="T24" s="3"/>
      <c r="U24" s="3"/>
      <c r="V24" s="3"/>
      <c r="W24" s="3"/>
    </row>
    <row r="25" spans="1:23" x14ac:dyDescent="0.25">
      <c r="A25" s="2">
        <v>10000000</v>
      </c>
      <c r="B25" s="2">
        <v>8.6089999999999997E-5</v>
      </c>
      <c r="C25" s="2">
        <v>3.2620000000000001E-4</v>
      </c>
      <c r="D25" s="2">
        <v>-5.555E-4</v>
      </c>
      <c r="E25" s="2">
        <v>0</v>
      </c>
      <c r="F25" s="2">
        <v>0</v>
      </c>
      <c r="G25" s="2">
        <v>0</v>
      </c>
      <c r="H25" s="2">
        <v>1.4307290000000001E-4</v>
      </c>
      <c r="I25" s="2">
        <v>3.7255092E-5</v>
      </c>
      <c r="J25" s="2">
        <v>-3.1654987E-4</v>
      </c>
      <c r="K25" s="3"/>
      <c r="L25" s="3">
        <f t="shared" si="0"/>
        <v>0.15497749774977498</v>
      </c>
      <c r="M25" s="3"/>
      <c r="N25" s="2">
        <f>IF('Modell einstellen'!$B$1="Voll",H25/0.35,H25/0.35*2)</f>
        <v>4.0877971428571435E-4</v>
      </c>
      <c r="O25" s="2">
        <f>IF('Modell einstellen'!$B$1="Voll",J25/0.35,J25/0.35*2)</f>
        <v>-9.0442820000000005E-4</v>
      </c>
      <c r="P25" s="3">
        <f t="shared" si="1"/>
        <v>0.45197586086514591</v>
      </c>
      <c r="Q25" s="3"/>
      <c r="R25" s="3"/>
      <c r="S25" s="3"/>
      <c r="T25" s="3"/>
      <c r="U25" s="3"/>
      <c r="V25" s="3"/>
      <c r="W25" s="3"/>
    </row>
    <row r="26" spans="1:23" x14ac:dyDescent="0.25">
      <c r="A26" s="2">
        <v>100000000</v>
      </c>
      <c r="B26" s="2">
        <v>7.5939999999999995E-5</v>
      </c>
      <c r="C26" s="2">
        <v>3.7800000000000003E-4</v>
      </c>
      <c r="D26" s="2">
        <v>-5.9730000000000004E-4</v>
      </c>
      <c r="E26" s="2">
        <v>0</v>
      </c>
      <c r="F26" s="2">
        <v>0</v>
      </c>
      <c r="G26" s="2">
        <v>0</v>
      </c>
      <c r="H26" s="2">
        <v>1.6307084E-4</v>
      </c>
      <c r="I26" s="2">
        <v>4.4350268E-5</v>
      </c>
      <c r="J26" s="2">
        <v>-3.6191077000000002E-4</v>
      </c>
      <c r="K26" s="3"/>
      <c r="L26" s="3">
        <f t="shared" si="0"/>
        <v>0.12713879122718899</v>
      </c>
      <c r="M26" s="3"/>
      <c r="N26" s="2">
        <f>IF('Modell einstellen'!$B$1="Voll",H26/0.35,H26/0.35*2)</f>
        <v>4.6591668571428573E-4</v>
      </c>
      <c r="O26" s="2">
        <f>IF('Modell einstellen'!$B$1="Voll",J26/0.35,J26/0.35*2)</f>
        <v>-1.0340307714285716E-3</v>
      </c>
      <c r="P26" s="3">
        <f t="shared" si="1"/>
        <v>0.45058299867671792</v>
      </c>
      <c r="Q26" s="3"/>
      <c r="R26" s="3"/>
      <c r="S26" s="3"/>
      <c r="T26" s="3"/>
      <c r="U26" s="3"/>
      <c r="V26" s="3"/>
      <c r="W26" s="3"/>
    </row>
    <row r="27" spans="1:23" x14ac:dyDescent="0.25">
      <c r="A27" s="2">
        <v>1000000000</v>
      </c>
      <c r="B27" s="2">
        <v>3.7809999999999999E-5</v>
      </c>
      <c r="C27" s="2">
        <v>4.4410000000000001E-4</v>
      </c>
      <c r="D27" s="2">
        <v>-6.269E-4</v>
      </c>
      <c r="E27" s="2">
        <v>0</v>
      </c>
      <c r="F27" s="2">
        <v>0</v>
      </c>
      <c r="G27" s="2">
        <v>0</v>
      </c>
      <c r="H27" s="2">
        <v>1.941585E-4</v>
      </c>
      <c r="I27" s="2">
        <v>5.3956304000000001E-5</v>
      </c>
      <c r="J27" s="2">
        <v>-4.2774665000000001E-4</v>
      </c>
      <c r="K27" s="3"/>
      <c r="L27" s="3">
        <f t="shared" si="0"/>
        <v>6.0312649545382034E-2</v>
      </c>
      <c r="M27" s="3"/>
      <c r="N27" s="2">
        <f>IF('Modell einstellen'!$B$1="Voll",H27/0.35,H27/0.35*2)</f>
        <v>5.5473857142857149E-4</v>
      </c>
      <c r="O27" s="2">
        <f>IF('Modell einstellen'!$B$1="Voll",J27/0.35,J27/0.35*2)</f>
        <v>-1.2221332857142858E-3</v>
      </c>
      <c r="P27" s="3">
        <f t="shared" si="1"/>
        <v>0.45391004231126064</v>
      </c>
      <c r="Q27" s="3"/>
      <c r="R27" s="3"/>
      <c r="S27" s="3"/>
      <c r="T27" s="3"/>
      <c r="U27" s="3"/>
      <c r="V27" s="3"/>
      <c r="W27" s="3"/>
    </row>
    <row r="28" spans="1:23" x14ac:dyDescent="0.25">
      <c r="A28" s="2">
        <v>10000000000</v>
      </c>
      <c r="B28" s="2">
        <v>-5.6879999999999998E-5</v>
      </c>
      <c r="C28" s="2">
        <v>5.3490000000000005E-4</v>
      </c>
      <c r="D28" s="2">
        <v>-6.2589999999999998E-4</v>
      </c>
      <c r="E28" s="2">
        <v>0</v>
      </c>
      <c r="F28" s="2">
        <v>0</v>
      </c>
      <c r="G28" s="2">
        <v>0</v>
      </c>
      <c r="H28" s="2">
        <v>2.4391889999999999E-4</v>
      </c>
      <c r="I28" s="2">
        <v>6.8064414999999999E-5</v>
      </c>
      <c r="J28" s="2">
        <v>-5.2885290999999995E-4</v>
      </c>
      <c r="K28" s="3"/>
      <c r="L28" s="3">
        <f t="shared" si="0"/>
        <v>-9.0877136922831128E-2</v>
      </c>
      <c r="M28" s="3"/>
      <c r="N28" s="2">
        <f>IF('Modell einstellen'!$B$1="Voll",H28/0.35,H28/0.35*2)</f>
        <v>6.9691114285714282E-4</v>
      </c>
      <c r="O28" s="2">
        <f>IF('Modell einstellen'!$B$1="Voll",J28/0.35,J28/0.35*2)</f>
        <v>-1.5110083142857143E-3</v>
      </c>
      <c r="P28" s="3">
        <f t="shared" si="1"/>
        <v>0.46122257321038468</v>
      </c>
      <c r="Q28" s="3"/>
      <c r="R28" s="3"/>
      <c r="S28" s="3"/>
      <c r="T28" s="3"/>
      <c r="U28" s="3"/>
      <c r="V28" s="3"/>
      <c r="W28" s="3"/>
    </row>
    <row r="29" spans="1:23" x14ac:dyDescent="0.25">
      <c r="A29" s="2">
        <v>100000000000</v>
      </c>
      <c r="B29" s="2">
        <v>-2.8160000000000001E-4</v>
      </c>
      <c r="C29" s="2">
        <v>6.7520000000000004E-4</v>
      </c>
      <c r="D29" s="2">
        <v>-5.4540000000000003E-4</v>
      </c>
      <c r="E29" s="2">
        <v>0</v>
      </c>
      <c r="F29" s="2">
        <v>0</v>
      </c>
      <c r="G29" s="2">
        <v>0</v>
      </c>
      <c r="H29" s="2">
        <v>3.3211554000000003E-4</v>
      </c>
      <c r="I29" s="2">
        <v>9.1448072000000006E-5</v>
      </c>
      <c r="J29" s="2">
        <v>-7.0234659999999995E-4</v>
      </c>
      <c r="K29" s="3"/>
      <c r="L29" s="3">
        <f t="shared" si="0"/>
        <v>-0.51631829849651634</v>
      </c>
      <c r="M29" s="3"/>
      <c r="N29" s="2">
        <f>IF('Modell einstellen'!$B$1="Voll",H29/0.35,H29/0.35*2)</f>
        <v>9.4890154285714296E-4</v>
      </c>
      <c r="O29" s="2">
        <f>IF('Modell einstellen'!$B$1="Voll",J29/0.35,J29/0.35*2)</f>
        <v>-2.0067045714285713E-3</v>
      </c>
      <c r="P29" s="3">
        <f t="shared" si="1"/>
        <v>0.47286559086354235</v>
      </c>
      <c r="Q29" s="3"/>
      <c r="R29" s="3"/>
      <c r="S29" s="3"/>
      <c r="T29" s="3"/>
      <c r="U29" s="3"/>
      <c r="V29" s="3"/>
      <c r="W29" s="3"/>
    </row>
    <row r="30" spans="1:23" x14ac:dyDescent="0.25">
      <c r="A30" s="2">
        <v>1000000000000</v>
      </c>
      <c r="B30" s="2">
        <v>-6.8389999999999998E-4</v>
      </c>
      <c r="C30" s="2">
        <v>8.6370000000000001E-4</v>
      </c>
      <c r="D30" s="2">
        <v>-3.3520000000000002E-4</v>
      </c>
      <c r="E30" s="2">
        <v>0</v>
      </c>
      <c r="F30" s="2">
        <v>0</v>
      </c>
      <c r="G30" s="2">
        <v>0</v>
      </c>
      <c r="H30" s="2">
        <v>4.6491061999999998E-4</v>
      </c>
      <c r="I30" s="2">
        <v>1.2499762E-4</v>
      </c>
      <c r="J30" s="2">
        <v>-9.5744837999999996E-4</v>
      </c>
      <c r="K30" s="3"/>
      <c r="L30" s="3">
        <f t="shared" si="0"/>
        <v>-2.0402744630071599</v>
      </c>
      <c r="M30" s="3"/>
      <c r="N30" s="2">
        <f>IF('Modell einstellen'!$B$1="Voll",H30/0.35,H30/0.35*2)</f>
        <v>1.3283160571428572E-3</v>
      </c>
      <c r="O30" s="2">
        <f>IF('Modell einstellen'!$B$1="Voll",J30/0.35,J30/0.35*2)</f>
        <v>-2.7355667999999999E-3</v>
      </c>
      <c r="P30" s="3">
        <f t="shared" si="1"/>
        <v>0.48557251723586398</v>
      </c>
      <c r="Q30" s="3"/>
      <c r="R30" s="3"/>
      <c r="S30" s="3"/>
      <c r="T30" s="3"/>
      <c r="U30" s="3"/>
      <c r="V30" s="3"/>
      <c r="W30" s="3"/>
    </row>
    <row r="31" spans="1:23" x14ac:dyDescent="0.25">
      <c r="A31" s="2">
        <v>10000000000000</v>
      </c>
      <c r="B31" s="2">
        <v>-1.3140000000000001E-3</v>
      </c>
      <c r="C31" s="2">
        <v>1.1100000000000001E-3</v>
      </c>
      <c r="D31" s="2">
        <v>4.613E-5</v>
      </c>
      <c r="E31" s="2">
        <v>0</v>
      </c>
      <c r="F31" s="2">
        <v>0</v>
      </c>
      <c r="G31" s="2">
        <v>0</v>
      </c>
      <c r="H31" s="2">
        <v>6.5525694000000004E-4</v>
      </c>
      <c r="I31" s="2">
        <v>1.7092086E-4</v>
      </c>
      <c r="J31" s="2">
        <v>-1.3148941999999999E-3</v>
      </c>
      <c r="K31" s="3"/>
      <c r="L31" s="3">
        <f t="shared" si="0"/>
        <v>28.484717103836985</v>
      </c>
      <c r="M31" s="3"/>
      <c r="N31" s="2">
        <f>IF('Modell einstellen'!$B$1="Voll",H31/0.35,H31/0.35*2)</f>
        <v>1.872162685714286E-3</v>
      </c>
      <c r="O31" s="2">
        <f>IF('Modell einstellen'!$B$1="Voll",J31/0.35,J31/0.35*2)</f>
        <v>-3.7568405714285716E-3</v>
      </c>
      <c r="P31" s="3">
        <f t="shared" si="1"/>
        <v>0.49833434507506391</v>
      </c>
      <c r="Q31" s="3"/>
      <c r="R31" s="3"/>
      <c r="S31" s="3"/>
      <c r="T31" s="3"/>
      <c r="U31" s="3"/>
      <c r="V31" s="3"/>
      <c r="W31" s="3"/>
    </row>
    <row r="32" spans="1:23" x14ac:dyDescent="0.25">
      <c r="A32" s="2">
        <v>100000000000000</v>
      </c>
      <c r="B32" s="2">
        <v>-1.915E-3</v>
      </c>
      <c r="C32" s="2">
        <v>1.3270000000000001E-3</v>
      </c>
      <c r="D32" s="2">
        <v>4.283E-4</v>
      </c>
      <c r="E32" s="2">
        <v>0</v>
      </c>
      <c r="F32" s="2">
        <v>0</v>
      </c>
      <c r="G32" s="2">
        <v>0</v>
      </c>
      <c r="H32" s="2">
        <v>8.2902365999999999E-4</v>
      </c>
      <c r="I32" s="2">
        <v>2.1255037999999999E-4</v>
      </c>
      <c r="J32" s="2">
        <v>-1.6397065000000001E-3</v>
      </c>
      <c r="K32" s="3"/>
      <c r="L32" s="3">
        <f t="shared" si="0"/>
        <v>4.4711650712117672</v>
      </c>
      <c r="M32" s="3"/>
      <c r="N32" s="2">
        <f>IF('Modell einstellen'!$B$1="Voll",H32/0.35,H32/0.35*2)</f>
        <v>2.3686390285714287E-3</v>
      </c>
      <c r="O32" s="2">
        <f>IF('Modell einstellen'!$B$1="Voll",J32/0.35,J32/0.35*2)</f>
        <v>-4.6848757142857146E-3</v>
      </c>
      <c r="P32" s="3">
        <f t="shared" si="1"/>
        <v>0.50559271430588337</v>
      </c>
      <c r="Q32" s="3"/>
      <c r="R32" s="3"/>
      <c r="S32" s="3"/>
      <c r="T32" s="3"/>
      <c r="U32" s="3"/>
      <c r="V32" s="3"/>
      <c r="W32" s="3"/>
    </row>
    <row r="33" spans="1:23" x14ac:dyDescent="0.25">
      <c r="A33" s="2">
        <v>1000000000000000</v>
      </c>
      <c r="B33" s="2">
        <v>-2.4199999999999998E-3</v>
      </c>
      <c r="C33" s="2">
        <v>1.505E-3</v>
      </c>
      <c r="D33" s="2">
        <v>7.5520000000000003E-4</v>
      </c>
      <c r="E33" s="2">
        <v>0</v>
      </c>
      <c r="F33" s="2">
        <v>0</v>
      </c>
      <c r="G33" s="2">
        <v>0</v>
      </c>
      <c r="H33" s="2">
        <v>9.7326358999999996E-4</v>
      </c>
      <c r="I33" s="2">
        <v>2.4709378999999997E-4</v>
      </c>
      <c r="J33" s="2">
        <v>-1.9089707000000001E-3</v>
      </c>
      <c r="K33" s="3"/>
      <c r="L33" s="3">
        <f t="shared" si="0"/>
        <v>3.2044491525423724</v>
      </c>
      <c r="M33" s="3"/>
      <c r="N33" s="2">
        <f>IF('Modell einstellen'!$B$1="Voll",H33/0.35,H33/0.35*2)</f>
        <v>2.7807531142857145E-3</v>
      </c>
      <c r="O33" s="2">
        <f>IF('Modell einstellen'!$B$1="Voll",J33/0.35,J33/0.35*2)</f>
        <v>-5.4542020000000009E-3</v>
      </c>
      <c r="P33" s="3">
        <f t="shared" si="1"/>
        <v>0.50983684034542798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9.4790000000000006E-5</v>
      </c>
      <c r="C3" s="3">
        <v>1.226E-4</v>
      </c>
      <c r="D3" s="3">
        <v>-3.4370000000000001E-4</v>
      </c>
      <c r="E3" s="3">
        <v>0</v>
      </c>
      <c r="F3" s="3">
        <v>0</v>
      </c>
      <c r="G3" s="3">
        <v>0</v>
      </c>
      <c r="H3" s="3">
        <v>4.6113411999999997E-5</v>
      </c>
      <c r="I3" s="3">
        <v>1.2237786999999999E-5</v>
      </c>
      <c r="J3" s="3">
        <v>-1.2774705000000001E-4</v>
      </c>
      <c r="L3" s="3">
        <f>-B3/D3</f>
        <v>0.27579284259528658</v>
      </c>
      <c r="M3" s="3"/>
      <c r="N3" s="2">
        <f>IF('Modell einstellen'!$B$1="Voll",H3/0.35,H3/0.35*2)</f>
        <v>1.317526057142857E-4</v>
      </c>
      <c r="O3" s="2">
        <f>IF('Modell einstellen'!$B$1="Voll",J3/0.35,J3/0.35*2)</f>
        <v>-3.6499157142857151E-4</v>
      </c>
      <c r="P3" s="3">
        <f>-N3/O3</f>
        <v>0.36097437866471271</v>
      </c>
    </row>
    <row r="4" spans="1:16" x14ac:dyDescent="0.25">
      <c r="A4" s="3">
        <v>1E-14</v>
      </c>
      <c r="B4" s="3">
        <v>9.6849999999999996E-5</v>
      </c>
      <c r="C4" s="3">
        <v>1.2750000000000001E-4</v>
      </c>
      <c r="D4" s="3">
        <v>-3.5149999999999998E-4</v>
      </c>
      <c r="E4" s="3">
        <v>0</v>
      </c>
      <c r="F4" s="3">
        <v>0</v>
      </c>
      <c r="G4" s="3">
        <v>0</v>
      </c>
      <c r="H4" s="3">
        <v>4.8291144000000003E-5</v>
      </c>
      <c r="I4" s="3">
        <v>1.2772734E-5</v>
      </c>
      <c r="J4" s="3">
        <v>-1.3195865999999999E-4</v>
      </c>
      <c r="L4" s="3">
        <f t="shared" ref="L4:L33" si="0">-B4/D4</f>
        <v>0.27553342816500714</v>
      </c>
      <c r="M4" s="3"/>
      <c r="N4" s="2">
        <f>IF('Modell einstellen'!$B$1="Voll",H4/0.35,H4/0.35*2)</f>
        <v>1.3797469714285716E-4</v>
      </c>
      <c r="O4" s="2">
        <f>IF('Modell einstellen'!$B$1="Voll",J4/0.35,J4/0.35*2)</f>
        <v>-3.7702474285714288E-4</v>
      </c>
      <c r="P4" s="3">
        <f t="shared" ref="P4:P33" si="1">-N4/O4</f>
        <v>0.3659566109567951</v>
      </c>
    </row>
    <row r="5" spans="1:16" x14ac:dyDescent="0.25">
      <c r="A5" s="3">
        <v>1E-13</v>
      </c>
      <c r="B5" s="3">
        <v>9.7979999999999994E-5</v>
      </c>
      <c r="C5" s="3">
        <v>1.305E-4</v>
      </c>
      <c r="D5" s="3">
        <v>-3.5609999999999998E-4</v>
      </c>
      <c r="E5" s="3">
        <v>0</v>
      </c>
      <c r="F5" s="3">
        <v>0</v>
      </c>
      <c r="G5" s="3">
        <v>0</v>
      </c>
      <c r="H5" s="3">
        <v>4.9617865999999998E-5</v>
      </c>
      <c r="I5" s="3">
        <v>1.3095233999999999E-5</v>
      </c>
      <c r="J5" s="3">
        <v>-1.3451357E-4</v>
      </c>
      <c r="L5" s="3">
        <f t="shared" si="0"/>
        <v>0.27514743049705137</v>
      </c>
      <c r="M5" s="3"/>
      <c r="N5" s="2">
        <f>IF('Modell einstellen'!$B$1="Voll",H5/0.35,H5/0.35*2)</f>
        <v>1.4176533142857143E-4</v>
      </c>
      <c r="O5" s="2">
        <f>IF('Modell einstellen'!$B$1="Voll",J5/0.35,J5/0.35*2)</f>
        <v>-3.8432448571428576E-4</v>
      </c>
      <c r="P5" s="3">
        <f t="shared" si="1"/>
        <v>0.36886885092708488</v>
      </c>
    </row>
    <row r="6" spans="1:16" x14ac:dyDescent="0.25">
      <c r="A6" s="3">
        <v>9.9999999999999998E-13</v>
      </c>
      <c r="B6" s="3">
        <v>9.9099999999999996E-5</v>
      </c>
      <c r="C6" s="3">
        <v>1.3359999999999999E-4</v>
      </c>
      <c r="D6" s="3">
        <v>-3.6079999999999999E-4</v>
      </c>
      <c r="E6" s="3">
        <v>0</v>
      </c>
      <c r="F6" s="3">
        <v>0</v>
      </c>
      <c r="G6" s="3">
        <v>0</v>
      </c>
      <c r="H6" s="3">
        <v>5.1019395999999997E-5</v>
      </c>
      <c r="I6" s="3">
        <v>1.3432961E-5</v>
      </c>
      <c r="J6" s="3">
        <v>-1.3720114999999999E-4</v>
      </c>
      <c r="L6" s="3">
        <f t="shared" si="0"/>
        <v>0.27466740576496673</v>
      </c>
      <c r="M6" s="3"/>
      <c r="N6" s="2">
        <f>IF('Modell einstellen'!$B$1="Voll",H6/0.35,H6/0.35*2)</f>
        <v>1.4576970285714287E-4</v>
      </c>
      <c r="O6" s="2">
        <f>IF('Modell einstellen'!$B$1="Voll",J6/0.35,J6/0.35*2)</f>
        <v>-3.9200328571428571E-4</v>
      </c>
      <c r="P6" s="3">
        <f t="shared" si="1"/>
        <v>0.37185836999179678</v>
      </c>
    </row>
    <row r="7" spans="1:16" x14ac:dyDescent="0.25">
      <c r="A7" s="3">
        <v>9.9999999999999994E-12</v>
      </c>
      <c r="B7" s="3">
        <v>1.003E-4</v>
      </c>
      <c r="C7" s="3">
        <v>1.37E-4</v>
      </c>
      <c r="D7" s="3">
        <v>-3.6600000000000001E-4</v>
      </c>
      <c r="E7" s="3">
        <v>0</v>
      </c>
      <c r="F7" s="3">
        <v>0</v>
      </c>
      <c r="G7" s="3">
        <v>0</v>
      </c>
      <c r="H7" s="3">
        <v>5.2591813000000002E-5</v>
      </c>
      <c r="I7" s="3">
        <v>1.3808335E-5</v>
      </c>
      <c r="J7" s="3">
        <v>-1.4020221E-4</v>
      </c>
      <c r="L7" s="3">
        <f t="shared" si="0"/>
        <v>0.27404371584699455</v>
      </c>
      <c r="M7" s="3"/>
      <c r="N7" s="2">
        <f>IF('Modell einstellen'!$B$1="Voll",H7/0.35,H7/0.35*2)</f>
        <v>1.5026232285714287E-4</v>
      </c>
      <c r="O7" s="2">
        <f>IF('Modell einstellen'!$B$1="Voll",J7/0.35,J7/0.35*2)</f>
        <v>-4.0057774285714288E-4</v>
      </c>
      <c r="P7" s="3">
        <f t="shared" si="1"/>
        <v>0.37511400854522908</v>
      </c>
    </row>
    <row r="8" spans="1:16" x14ac:dyDescent="0.25">
      <c r="A8" s="3">
        <v>1E-10</v>
      </c>
      <c r="B8" s="3">
        <v>1.015E-4</v>
      </c>
      <c r="C8" s="3">
        <v>1.4100000000000001E-4</v>
      </c>
      <c r="D8" s="3">
        <v>-3.7179999999999998E-4</v>
      </c>
      <c r="E8" s="3">
        <v>0</v>
      </c>
      <c r="F8" s="3">
        <v>0</v>
      </c>
      <c r="G8" s="3">
        <v>0</v>
      </c>
      <c r="H8" s="3">
        <v>5.4421678000000001E-5</v>
      </c>
      <c r="I8" s="3">
        <v>1.4240702E-5</v>
      </c>
      <c r="J8" s="3">
        <v>-1.436768E-4</v>
      </c>
      <c r="L8" s="3">
        <f t="shared" si="0"/>
        <v>0.27299623453469607</v>
      </c>
      <c r="M8" s="3"/>
      <c r="N8" s="2">
        <f>IF('Modell einstellen'!$B$1="Voll",H8/0.35,H8/0.35*2)</f>
        <v>1.5549050857142859E-4</v>
      </c>
      <c r="O8" s="2">
        <f>IF('Modell einstellen'!$B$1="Voll",J8/0.35,J8/0.35*2)</f>
        <v>-4.1050514285714286E-4</v>
      </c>
      <c r="P8" s="3">
        <f t="shared" si="1"/>
        <v>0.37877846666963633</v>
      </c>
    </row>
    <row r="9" spans="1:16" x14ac:dyDescent="0.25">
      <c r="A9" s="3">
        <v>1.0000000000000001E-9</v>
      </c>
      <c r="B9" s="3">
        <v>1.027E-4</v>
      </c>
      <c r="C9" s="3">
        <v>1.4540000000000001E-4</v>
      </c>
      <c r="D9" s="3">
        <v>-3.7819999999999998E-4</v>
      </c>
      <c r="E9" s="3">
        <v>0</v>
      </c>
      <c r="F9" s="3">
        <v>0</v>
      </c>
      <c r="G9" s="3">
        <v>0</v>
      </c>
      <c r="H9" s="3">
        <v>5.6533480999999998E-5</v>
      </c>
      <c r="I9" s="3">
        <v>1.4733568E-5</v>
      </c>
      <c r="J9" s="3">
        <v>-1.4766249999999999E-4</v>
      </c>
      <c r="L9" s="3">
        <f t="shared" si="0"/>
        <v>0.27154944473823378</v>
      </c>
      <c r="M9" s="3"/>
      <c r="N9" s="2">
        <f>IF('Modell einstellen'!$B$1="Voll",H9/0.35,H9/0.35*2)</f>
        <v>1.6152423142857142E-4</v>
      </c>
      <c r="O9" s="2">
        <f>IF('Modell einstellen'!$B$1="Voll",J9/0.35,J9/0.35*2)</f>
        <v>-4.2189285714285712E-4</v>
      </c>
      <c r="P9" s="3">
        <f t="shared" si="1"/>
        <v>0.38285604672818085</v>
      </c>
    </row>
    <row r="10" spans="1:16" x14ac:dyDescent="0.25">
      <c r="A10" s="3">
        <v>1E-8</v>
      </c>
      <c r="B10" s="3">
        <v>1.039E-4</v>
      </c>
      <c r="C10" s="3">
        <v>1.505E-4</v>
      </c>
      <c r="D10" s="3">
        <v>-3.8529999999999999E-4</v>
      </c>
      <c r="E10" s="3">
        <v>0</v>
      </c>
      <c r="F10" s="3">
        <v>0</v>
      </c>
      <c r="G10" s="3">
        <v>0</v>
      </c>
      <c r="H10" s="3">
        <v>5.8996897999999999E-5</v>
      </c>
      <c r="I10" s="3">
        <v>1.530069E-5</v>
      </c>
      <c r="J10" s="3">
        <v>-1.5228118999999999E-4</v>
      </c>
      <c r="L10" s="3">
        <f t="shared" si="0"/>
        <v>0.26966000519076044</v>
      </c>
      <c r="M10" s="3"/>
      <c r="N10" s="2">
        <f>IF('Modell einstellen'!$B$1="Voll",H10/0.35,H10/0.35*2)</f>
        <v>1.6856256571428572E-4</v>
      </c>
      <c r="O10" s="2">
        <f>IF('Modell einstellen'!$B$1="Voll",J10/0.35,J10/0.35*2)</f>
        <v>-4.350891142857143E-4</v>
      </c>
      <c r="P10" s="3">
        <f t="shared" si="1"/>
        <v>0.38742078388013651</v>
      </c>
    </row>
    <row r="11" spans="1:16" x14ac:dyDescent="0.25">
      <c r="A11" s="3">
        <v>9.9999999999999995E-8</v>
      </c>
      <c r="B11" s="3">
        <v>1.049E-4</v>
      </c>
      <c r="C11" s="3">
        <v>1.5579999999999999E-4</v>
      </c>
      <c r="D11" s="3">
        <v>-3.926E-4</v>
      </c>
      <c r="E11" s="3">
        <v>0</v>
      </c>
      <c r="F11" s="3">
        <v>0</v>
      </c>
      <c r="G11" s="3">
        <v>0</v>
      </c>
      <c r="H11" s="3">
        <v>6.1670152999999996E-5</v>
      </c>
      <c r="I11" s="3">
        <v>1.5906020000000001E-5</v>
      </c>
      <c r="J11" s="3">
        <v>-1.5725386E-4</v>
      </c>
      <c r="L11" s="3">
        <f t="shared" si="0"/>
        <v>0.2671930718288334</v>
      </c>
      <c r="M11" s="3"/>
      <c r="N11" s="2">
        <f>IF('Modell einstellen'!$B$1="Voll",H11/0.35,H11/0.35*2)</f>
        <v>1.7620043714285715E-4</v>
      </c>
      <c r="O11" s="2">
        <f>IF('Modell einstellen'!$B$1="Voll",J11/0.35,J11/0.35*2)</f>
        <v>-4.4929674285714289E-4</v>
      </c>
      <c r="P11" s="3">
        <f t="shared" si="1"/>
        <v>0.39216940684317697</v>
      </c>
    </row>
    <row r="12" spans="1:16" x14ac:dyDescent="0.25">
      <c r="A12" s="3">
        <v>9.9999999999999995E-7</v>
      </c>
      <c r="B12" s="3">
        <v>1.0569999999999999E-4</v>
      </c>
      <c r="C12" s="3">
        <v>1.6110000000000001E-4</v>
      </c>
      <c r="D12" s="3">
        <v>-3.9950000000000001E-4</v>
      </c>
      <c r="E12" s="3">
        <v>0</v>
      </c>
      <c r="F12" s="3">
        <v>0</v>
      </c>
      <c r="G12" s="3">
        <v>0</v>
      </c>
      <c r="H12" s="3">
        <v>6.4370942999999995E-5</v>
      </c>
      <c r="I12" s="3">
        <v>1.6507691E-5</v>
      </c>
      <c r="J12" s="3">
        <v>-1.6223931000000001E-4</v>
      </c>
      <c r="L12" s="3">
        <f t="shared" si="0"/>
        <v>0.26458072590738418</v>
      </c>
      <c r="M12" s="3"/>
      <c r="N12" s="2">
        <f>IF('Modell einstellen'!$B$1="Voll",H12/0.35,H12/0.35*2)</f>
        <v>1.8391697999999999E-4</v>
      </c>
      <c r="O12" s="2">
        <f>IF('Modell einstellen'!$B$1="Voll",J12/0.35,J12/0.35*2)</f>
        <v>-4.6354088571428579E-4</v>
      </c>
      <c r="P12" s="3">
        <f t="shared" si="1"/>
        <v>0.39676538934984368</v>
      </c>
    </row>
    <row r="13" spans="1:16" x14ac:dyDescent="0.25">
      <c r="A13" s="3">
        <v>1.0000000000000001E-5</v>
      </c>
      <c r="B13" s="3">
        <v>1.0620000000000001E-4</v>
      </c>
      <c r="C13" s="3">
        <v>1.6750000000000001E-4</v>
      </c>
      <c r="D13" s="3">
        <v>-4.0749999999999998E-4</v>
      </c>
      <c r="E13" s="3">
        <v>0</v>
      </c>
      <c r="F13" s="3">
        <v>0</v>
      </c>
      <c r="G13" s="3">
        <v>0</v>
      </c>
      <c r="H13" s="3">
        <v>6.7725370000000005E-5</v>
      </c>
      <c r="I13" s="3">
        <v>1.7241733000000002E-5</v>
      </c>
      <c r="J13" s="3">
        <v>-1.6838062E-4</v>
      </c>
      <c r="L13" s="3">
        <f t="shared" si="0"/>
        <v>0.26061349693251534</v>
      </c>
      <c r="M13" s="3"/>
      <c r="N13" s="2">
        <f>IF('Modell einstellen'!$B$1="Voll",H13/0.35,H13/0.35*2)</f>
        <v>1.9350105714285718E-4</v>
      </c>
      <c r="O13" s="2">
        <f>IF('Modell einstellen'!$B$1="Voll",J13/0.35,J13/0.35*2)</f>
        <v>-4.8108748571428574E-4</v>
      </c>
      <c r="P13" s="3">
        <f t="shared" si="1"/>
        <v>0.40221594385387111</v>
      </c>
    </row>
    <row r="14" spans="1:16" x14ac:dyDescent="0.25">
      <c r="A14" s="3">
        <v>1E-4</v>
      </c>
      <c r="B14" s="3">
        <v>1.064E-4</v>
      </c>
      <c r="C14" s="3">
        <v>1.7560000000000001E-4</v>
      </c>
      <c r="D14" s="3">
        <v>-4.17E-4</v>
      </c>
      <c r="E14" s="3">
        <v>0</v>
      </c>
      <c r="F14" s="3">
        <v>0</v>
      </c>
      <c r="G14" s="3">
        <v>0</v>
      </c>
      <c r="H14" s="3">
        <v>7.2106434000000004E-5</v>
      </c>
      <c r="I14" s="3">
        <v>1.8177641999999998E-5</v>
      </c>
      <c r="J14" s="3">
        <v>-1.7631402999999999E-4</v>
      </c>
      <c r="L14" s="3">
        <f t="shared" si="0"/>
        <v>0.25515587529976019</v>
      </c>
      <c r="M14" s="3"/>
      <c r="N14" s="2">
        <f>IF('Modell einstellen'!$B$1="Voll",H14/0.35,H14/0.35*2)</f>
        <v>2.0601838285714289E-4</v>
      </c>
      <c r="O14" s="2">
        <f>IF('Modell einstellen'!$B$1="Voll",J14/0.35,J14/0.35*2)</f>
        <v>-5.0375437142857141E-4</v>
      </c>
      <c r="P14" s="3">
        <f t="shared" si="1"/>
        <v>0.40896594559151084</v>
      </c>
    </row>
    <row r="15" spans="1:16" x14ac:dyDescent="0.25">
      <c r="A15" s="3">
        <v>1E-3</v>
      </c>
      <c r="B15" s="3">
        <v>1.058E-4</v>
      </c>
      <c r="C15" s="3">
        <v>1.8450000000000001E-4</v>
      </c>
      <c r="D15" s="3">
        <v>-4.2680000000000002E-4</v>
      </c>
      <c r="E15" s="3">
        <v>0</v>
      </c>
      <c r="F15" s="3">
        <v>0</v>
      </c>
      <c r="G15" s="3">
        <v>0</v>
      </c>
      <c r="H15" s="3">
        <v>7.7191012000000006E-5</v>
      </c>
      <c r="I15" s="3">
        <v>1.9230794999999999E-5</v>
      </c>
      <c r="J15" s="3">
        <v>-1.8539467E-4</v>
      </c>
      <c r="L15" s="3">
        <f t="shared" si="0"/>
        <v>0.24789128397375818</v>
      </c>
      <c r="M15" s="3"/>
      <c r="N15" s="2">
        <f>IF('Modell einstellen'!$B$1="Voll",H15/0.35,H15/0.35*2)</f>
        <v>2.2054574857142861E-4</v>
      </c>
      <c r="O15" s="2">
        <f>IF('Modell einstellen'!$B$1="Voll",J15/0.35,J15/0.35*2)</f>
        <v>-5.2969905714285719E-4</v>
      </c>
      <c r="P15" s="3">
        <f t="shared" si="1"/>
        <v>0.41636047034146129</v>
      </c>
    </row>
    <row r="16" spans="1:16" x14ac:dyDescent="0.25">
      <c r="A16" s="3">
        <v>0.01</v>
      </c>
      <c r="B16" s="3">
        <v>1.044E-4</v>
      </c>
      <c r="C16" s="3">
        <v>1.9269999999999999E-4</v>
      </c>
      <c r="D16" s="3">
        <v>-4.348E-4</v>
      </c>
      <c r="E16" s="3">
        <v>0</v>
      </c>
      <c r="F16" s="3">
        <v>0</v>
      </c>
      <c r="G16" s="3">
        <v>0</v>
      </c>
      <c r="H16" s="3">
        <v>8.2042080000000004E-5</v>
      </c>
      <c r="I16" s="3">
        <v>2.0202170999999998E-5</v>
      </c>
      <c r="J16" s="3">
        <v>-1.9393046000000001E-4</v>
      </c>
      <c r="L16" s="3">
        <f t="shared" si="0"/>
        <v>0.24011039558417663</v>
      </c>
      <c r="M16" s="3"/>
      <c r="N16" s="2">
        <f>IF('Modell einstellen'!$B$1="Voll",H16/0.35,H16/0.35*2)</f>
        <v>2.344059428571429E-4</v>
      </c>
      <c r="O16" s="2">
        <f>IF('Modell einstellen'!$B$1="Voll",J16/0.35,J16/0.35*2)</f>
        <v>-5.5408702857142863E-4</v>
      </c>
      <c r="P16" s="3">
        <f t="shared" si="1"/>
        <v>0.42304896301488693</v>
      </c>
    </row>
    <row r="17" spans="1:16" x14ac:dyDescent="0.25">
      <c r="A17" s="3">
        <v>0.1</v>
      </c>
      <c r="B17" s="3">
        <v>1.024E-4</v>
      </c>
      <c r="C17" s="3">
        <v>2.0019999999999999E-4</v>
      </c>
      <c r="D17" s="3">
        <v>-4.416E-4</v>
      </c>
      <c r="E17" s="3">
        <v>0</v>
      </c>
      <c r="F17" s="3">
        <v>0</v>
      </c>
      <c r="G17" s="3">
        <v>0</v>
      </c>
      <c r="H17" s="3">
        <v>8.6756880999999997E-5</v>
      </c>
      <c r="I17" s="3">
        <v>2.1118996000000001E-5</v>
      </c>
      <c r="J17" s="3">
        <v>-2.0212278999999999E-4</v>
      </c>
      <c r="L17" s="3">
        <f t="shared" si="0"/>
        <v>0.2318840579710145</v>
      </c>
      <c r="M17" s="3"/>
      <c r="N17" s="2">
        <f>IF('Modell einstellen'!$B$1="Voll",H17/0.35,H17/0.35*2)</f>
        <v>2.4787680285714287E-4</v>
      </c>
      <c r="O17" s="2">
        <f>IF('Modell einstellen'!$B$1="Voll",J17/0.35,J17/0.35*2)</f>
        <v>-5.774936857142857E-4</v>
      </c>
      <c r="P17" s="3">
        <f t="shared" si="1"/>
        <v>0.42922859416298381</v>
      </c>
    </row>
    <row r="18" spans="1:16" x14ac:dyDescent="0.25">
      <c r="A18" s="3">
        <v>1</v>
      </c>
      <c r="B18" s="3">
        <v>9.959E-5</v>
      </c>
      <c r="C18" s="3">
        <v>2.0819999999999999E-4</v>
      </c>
      <c r="D18" s="3">
        <v>-4.4799999999999999E-4</v>
      </c>
      <c r="E18" s="3">
        <v>0</v>
      </c>
      <c r="F18" s="3">
        <v>0</v>
      </c>
      <c r="G18" s="3">
        <v>0</v>
      </c>
      <c r="H18" s="3">
        <v>9.1944983000000002E-5</v>
      </c>
      <c r="I18" s="3">
        <v>2.2096280999999999E-5</v>
      </c>
      <c r="J18" s="3">
        <v>-2.1101754000000001E-4</v>
      </c>
      <c r="L18" s="3">
        <f t="shared" si="0"/>
        <v>0.22229910714285714</v>
      </c>
      <c r="M18" s="3"/>
      <c r="N18" s="2">
        <f>IF('Modell einstellen'!$B$1="Voll",H18/0.35,H18/0.35*2)</f>
        <v>2.6269995142857143E-4</v>
      </c>
      <c r="O18" s="2">
        <f>IF('Modell einstellen'!$B$1="Voll",J18/0.35,J18/0.35*2)</f>
        <v>-6.0290725714285721E-4</v>
      </c>
      <c r="P18" s="3">
        <f t="shared" si="1"/>
        <v>0.43572199258886246</v>
      </c>
    </row>
    <row r="19" spans="1:16" x14ac:dyDescent="0.25">
      <c r="A19" s="3">
        <v>10</v>
      </c>
      <c r="B19" s="3">
        <v>9.569E-5</v>
      </c>
      <c r="C19" s="3">
        <v>2.1670000000000001E-4</v>
      </c>
      <c r="D19" s="3">
        <v>-4.5399999999999998E-4</v>
      </c>
      <c r="E19" s="3">
        <v>0</v>
      </c>
      <c r="F19" s="3">
        <v>0</v>
      </c>
      <c r="G19" s="3">
        <v>0</v>
      </c>
      <c r="H19" s="3">
        <v>9.7739307E-5</v>
      </c>
      <c r="I19" s="3">
        <v>2.3155308E-5</v>
      </c>
      <c r="J19" s="3">
        <v>-2.2082577E-4</v>
      </c>
      <c r="L19" s="3">
        <f t="shared" si="0"/>
        <v>0.21077092511013218</v>
      </c>
      <c r="M19" s="3"/>
      <c r="N19" s="2">
        <f>IF('Modell einstellen'!$B$1="Voll",H19/0.35,H19/0.35*2)</f>
        <v>2.7925516285714287E-4</v>
      </c>
      <c r="O19" s="2">
        <f>IF('Modell einstellen'!$B$1="Voll",J19/0.35,J19/0.35*2)</f>
        <v>-6.3093077142857145E-4</v>
      </c>
      <c r="P19" s="3">
        <f t="shared" si="1"/>
        <v>0.44260824721679903</v>
      </c>
    </row>
    <row r="20" spans="1:16" x14ac:dyDescent="0.25">
      <c r="A20" s="3">
        <v>100</v>
      </c>
      <c r="B20" s="3">
        <v>9.0950000000000002E-5</v>
      </c>
      <c r="C20" s="3">
        <v>2.2589999999999999E-4</v>
      </c>
      <c r="D20" s="3">
        <v>-4.5970000000000001E-4</v>
      </c>
      <c r="E20" s="3">
        <v>0</v>
      </c>
      <c r="F20" s="3">
        <v>0</v>
      </c>
      <c r="G20" s="3">
        <v>0</v>
      </c>
      <c r="H20" s="3">
        <v>1.0403789E-4</v>
      </c>
      <c r="I20" s="3">
        <v>2.4317586000000001E-5</v>
      </c>
      <c r="J20" s="3">
        <v>-2.3149828999999999E-4</v>
      </c>
      <c r="L20" s="3">
        <f t="shared" si="0"/>
        <v>0.19784642157929083</v>
      </c>
      <c r="M20" s="3"/>
      <c r="N20" s="2">
        <f>IF('Modell einstellen'!$B$1="Voll",H20/0.35,H20/0.35*2)</f>
        <v>2.9725111428571431E-4</v>
      </c>
      <c r="O20" s="2">
        <f>IF('Modell einstellen'!$B$1="Voll",J20/0.35,J20/0.35*2)</f>
        <v>-6.6142368571428577E-4</v>
      </c>
      <c r="P20" s="3">
        <f t="shared" si="1"/>
        <v>0.44941105180517749</v>
      </c>
    </row>
    <row r="21" spans="1:16" x14ac:dyDescent="0.25">
      <c r="A21" s="3">
        <v>1000</v>
      </c>
      <c r="B21" s="3">
        <v>8.7239999999999998E-5</v>
      </c>
      <c r="C21" s="3">
        <v>2.4020000000000001E-4</v>
      </c>
      <c r="D21" s="3">
        <v>-4.7120000000000002E-4</v>
      </c>
      <c r="E21" s="3">
        <v>0</v>
      </c>
      <c r="F21" s="3">
        <v>0</v>
      </c>
      <c r="G21" s="3">
        <v>0</v>
      </c>
      <c r="H21" s="3">
        <v>1.1163507E-4</v>
      </c>
      <c r="I21" s="3">
        <v>2.6126708E-5</v>
      </c>
      <c r="J21" s="3">
        <v>-2.4567498000000002E-4</v>
      </c>
      <c r="L21" s="3">
        <f t="shared" si="0"/>
        <v>0.18514431239388793</v>
      </c>
      <c r="M21" s="3"/>
      <c r="N21" s="2">
        <f>IF('Modell einstellen'!$B$1="Voll",H21/0.35,H21/0.35*2)</f>
        <v>3.1895734285714288E-4</v>
      </c>
      <c r="O21" s="2">
        <f>IF('Modell einstellen'!$B$1="Voll",J21/0.35,J21/0.35*2)</f>
        <v>-7.0192851428571438E-4</v>
      </c>
      <c r="P21" s="3">
        <f t="shared" si="1"/>
        <v>0.45440146163846229</v>
      </c>
    </row>
    <row r="22" spans="1:16" x14ac:dyDescent="0.25">
      <c r="A22" s="3">
        <v>10000</v>
      </c>
      <c r="B22" s="3">
        <v>8.8700000000000001E-5</v>
      </c>
      <c r="C22" s="3">
        <v>2.677E-4</v>
      </c>
      <c r="D22" s="3">
        <v>-4.9989999999999995E-4</v>
      </c>
      <c r="E22" s="3">
        <v>0</v>
      </c>
      <c r="F22" s="3">
        <v>0</v>
      </c>
      <c r="G22" s="3">
        <v>0</v>
      </c>
      <c r="H22" s="3">
        <v>1.2147889E-4</v>
      </c>
      <c r="I22" s="3">
        <v>2.9607184E-5</v>
      </c>
      <c r="J22" s="3">
        <v>-2.6778008000000002E-4</v>
      </c>
      <c r="L22" s="3">
        <f t="shared" si="0"/>
        <v>0.17743548709741949</v>
      </c>
      <c r="M22" s="3"/>
      <c r="N22" s="2">
        <f>IF('Modell einstellen'!$B$1="Voll",H22/0.35,H22/0.35*2)</f>
        <v>3.4708254285714289E-4</v>
      </c>
      <c r="O22" s="2">
        <f>IF('Modell einstellen'!$B$1="Voll",J22/0.35,J22/0.35*2)</f>
        <v>-7.6508594285714293E-4</v>
      </c>
      <c r="P22" s="3">
        <f t="shared" si="1"/>
        <v>0.45365170553388434</v>
      </c>
    </row>
    <row r="23" spans="1:16" x14ac:dyDescent="0.25">
      <c r="A23" s="3">
        <v>100000</v>
      </c>
      <c r="B23" s="3">
        <v>9.3049999999999998E-5</v>
      </c>
      <c r="C23" s="3">
        <v>3.0630000000000002E-4</v>
      </c>
      <c r="D23" s="3">
        <v>-5.419E-4</v>
      </c>
      <c r="E23" s="3">
        <v>0</v>
      </c>
      <c r="F23" s="3">
        <v>0</v>
      </c>
      <c r="G23" s="3">
        <v>0</v>
      </c>
      <c r="H23" s="3">
        <v>1.3368283999999999E-4</v>
      </c>
      <c r="I23" s="3">
        <v>3.4573931999999999E-5</v>
      </c>
      <c r="J23" s="3">
        <v>-2.9743708000000001E-4</v>
      </c>
      <c r="L23" s="3">
        <f t="shared" si="0"/>
        <v>0.17171064772098174</v>
      </c>
      <c r="M23" s="3"/>
      <c r="N23" s="2">
        <f>IF('Modell einstellen'!$B$1="Voll",H23/0.35,H23/0.35*2)</f>
        <v>3.8195097142857141E-4</v>
      </c>
      <c r="O23" s="2">
        <f>IF('Modell einstellen'!$B$1="Voll",J23/0.35,J23/0.35*2)</f>
        <v>-8.4982022857142865E-4</v>
      </c>
      <c r="P23" s="3">
        <f t="shared" si="1"/>
        <v>0.44944914063841662</v>
      </c>
    </row>
    <row r="24" spans="1:16" x14ac:dyDescent="0.25">
      <c r="A24" s="3">
        <v>1000000</v>
      </c>
      <c r="B24" s="3">
        <v>9.1949999999999999E-5</v>
      </c>
      <c r="C24" s="3">
        <v>3.5260000000000001E-4</v>
      </c>
      <c r="D24" s="3">
        <v>-5.8690000000000001E-4</v>
      </c>
      <c r="E24" s="3">
        <v>0</v>
      </c>
      <c r="F24" s="3">
        <v>0</v>
      </c>
      <c r="G24" s="3">
        <v>0</v>
      </c>
      <c r="H24" s="3">
        <v>1.5032813E-4</v>
      </c>
      <c r="I24" s="3">
        <v>4.0763743999999998E-5</v>
      </c>
      <c r="J24" s="3">
        <v>-3.361099E-4</v>
      </c>
      <c r="L24" s="3">
        <f t="shared" si="0"/>
        <v>0.15667064235815301</v>
      </c>
      <c r="M24" s="3"/>
      <c r="N24" s="2">
        <f>IF('Modell einstellen'!$B$1="Voll",H24/0.35,H24/0.35*2)</f>
        <v>4.2950894285714289E-4</v>
      </c>
      <c r="O24" s="2">
        <f>IF('Modell einstellen'!$B$1="Voll",J24/0.35,J24/0.35*2)</f>
        <v>-9.6031400000000009E-4</v>
      </c>
      <c r="P24" s="3">
        <f t="shared" si="1"/>
        <v>0.44725885789142183</v>
      </c>
    </row>
    <row r="25" spans="1:16" x14ac:dyDescent="0.25">
      <c r="A25" s="3">
        <v>10000000</v>
      </c>
      <c r="B25" s="3">
        <v>7.2570000000000005E-5</v>
      </c>
      <c r="C25" s="3">
        <v>4.0779999999999999E-4</v>
      </c>
      <c r="D25" s="3">
        <v>-6.2370000000000004E-4</v>
      </c>
      <c r="E25" s="3">
        <v>0</v>
      </c>
      <c r="F25" s="3">
        <v>0</v>
      </c>
      <c r="G25" s="3">
        <v>0</v>
      </c>
      <c r="H25" s="3">
        <v>1.7414690999999999E-4</v>
      </c>
      <c r="I25" s="3">
        <v>4.8547558999999997E-5</v>
      </c>
      <c r="J25" s="3">
        <v>-3.8795797E-4</v>
      </c>
      <c r="L25" s="3">
        <f t="shared" si="0"/>
        <v>0.11635401635401635</v>
      </c>
      <c r="M25" s="3"/>
      <c r="N25" s="2">
        <f>IF('Modell einstellen'!$B$1="Voll",H25/0.35,H25/0.35*2)</f>
        <v>4.9756259999999999E-4</v>
      </c>
      <c r="O25" s="2">
        <f>IF('Modell einstellen'!$B$1="Voll",J25/0.35,J25/0.35*2)</f>
        <v>-1.1084513428571429E-3</v>
      </c>
      <c r="P25" s="3">
        <f t="shared" si="1"/>
        <v>0.4488808671722867</v>
      </c>
    </row>
    <row r="26" spans="1:16" x14ac:dyDescent="0.25">
      <c r="A26" s="3">
        <v>100000000</v>
      </c>
      <c r="B26" s="3">
        <v>1.5999999999999999E-5</v>
      </c>
      <c r="C26" s="3">
        <v>4.8109999999999998E-4</v>
      </c>
      <c r="D26" s="3">
        <v>-6.4269999999999996E-4</v>
      </c>
      <c r="E26" s="3">
        <v>0</v>
      </c>
      <c r="F26" s="3">
        <v>0</v>
      </c>
      <c r="G26" s="3">
        <v>0</v>
      </c>
      <c r="H26" s="3">
        <v>2.1136846999999999E-4</v>
      </c>
      <c r="I26" s="3">
        <v>5.9524531000000001E-5</v>
      </c>
      <c r="J26" s="3">
        <v>-4.6504723000000001E-4</v>
      </c>
      <c r="L26" s="3">
        <f t="shared" si="0"/>
        <v>2.4894974327057725E-2</v>
      </c>
      <c r="M26" s="3"/>
      <c r="N26" s="2">
        <f>IF('Modell einstellen'!$B$1="Voll",H26/0.35,H26/0.35*2)</f>
        <v>6.0390991428571432E-4</v>
      </c>
      <c r="O26" s="2">
        <f>IF('Modell einstellen'!$B$1="Voll",J26/0.35,J26/0.35*2)</f>
        <v>-1.3287063714285715E-3</v>
      </c>
      <c r="P26" s="3">
        <f t="shared" si="1"/>
        <v>0.45450968496253596</v>
      </c>
    </row>
    <row r="27" spans="1:16" x14ac:dyDescent="0.25">
      <c r="A27" s="3">
        <v>1000000000</v>
      </c>
      <c r="B27" s="3">
        <v>-1.209E-4</v>
      </c>
      <c r="C27" s="3">
        <v>5.886E-4</v>
      </c>
      <c r="D27" s="3">
        <v>-6.1689999999999998E-4</v>
      </c>
      <c r="E27" s="3">
        <v>0</v>
      </c>
      <c r="F27" s="3">
        <v>0</v>
      </c>
      <c r="G27" s="3">
        <v>0</v>
      </c>
      <c r="H27" s="3">
        <v>2.7376766999999999E-4</v>
      </c>
      <c r="I27" s="3">
        <v>7.6737693999999999E-5</v>
      </c>
      <c r="J27" s="3">
        <v>-5.9019556999999995E-4</v>
      </c>
      <c r="L27" s="3">
        <f t="shared" si="0"/>
        <v>-0.19597989949748745</v>
      </c>
      <c r="M27" s="3"/>
      <c r="N27" s="2">
        <f>IF('Modell einstellen'!$B$1="Voll",H27/0.35,H27/0.35*2)</f>
        <v>7.8219334285714289E-4</v>
      </c>
      <c r="O27" s="2">
        <f>IF('Modell einstellen'!$B$1="Voll",J27/0.35,J27/0.35*2)</f>
        <v>-1.6862730571428571E-3</v>
      </c>
      <c r="P27" s="3">
        <f t="shared" si="1"/>
        <v>0.46385924245415805</v>
      </c>
    </row>
    <row r="28" spans="1:16" x14ac:dyDescent="0.25">
      <c r="A28" s="3">
        <v>10000000000</v>
      </c>
      <c r="B28" s="3">
        <v>-4.1520000000000001E-4</v>
      </c>
      <c r="C28" s="3">
        <v>7.4910000000000005E-4</v>
      </c>
      <c r="D28" s="3">
        <v>-4.8700000000000002E-4</v>
      </c>
      <c r="E28" s="3">
        <v>0</v>
      </c>
      <c r="F28" s="3">
        <v>0</v>
      </c>
      <c r="G28" s="3">
        <v>0</v>
      </c>
      <c r="H28" s="3">
        <v>3.7939232000000001E-4</v>
      </c>
      <c r="I28" s="3">
        <v>1.0430163000000001E-4</v>
      </c>
      <c r="J28" s="3">
        <v>-7.9637101E-4</v>
      </c>
      <c r="L28" s="3">
        <f t="shared" si="0"/>
        <v>-0.85256673511293635</v>
      </c>
      <c r="M28" s="3"/>
      <c r="N28" s="2">
        <f>IF('Modell einstellen'!$B$1="Voll",H28/0.35,H28/0.35*2)</f>
        <v>1.0839780571428573E-3</v>
      </c>
      <c r="O28" s="2">
        <f>IF('Modell einstellen'!$B$1="Voll",J28/0.35,J28/0.35*2)</f>
        <v>-2.2753457428571428E-3</v>
      </c>
      <c r="P28" s="3">
        <f t="shared" si="1"/>
        <v>0.47640147021424106</v>
      </c>
    </row>
    <row r="29" spans="1:16" x14ac:dyDescent="0.25">
      <c r="A29" s="3">
        <v>100000000000</v>
      </c>
      <c r="B29" s="3">
        <v>-9.0819999999999996E-4</v>
      </c>
      <c r="C29" s="3">
        <v>9.6139999999999995E-4</v>
      </c>
      <c r="D29" s="3">
        <v>-2.098E-4</v>
      </c>
      <c r="E29" s="3">
        <v>0</v>
      </c>
      <c r="F29" s="3">
        <v>0</v>
      </c>
      <c r="G29" s="3">
        <v>0</v>
      </c>
      <c r="H29" s="3">
        <v>5.3487304E-4</v>
      </c>
      <c r="I29" s="3">
        <v>1.4293169000000001E-4</v>
      </c>
      <c r="J29" s="3">
        <v>-1.0926040000000001E-3</v>
      </c>
      <c r="L29" s="3">
        <f t="shared" si="0"/>
        <v>-4.3288846520495712</v>
      </c>
      <c r="M29" s="3"/>
      <c r="N29" s="2">
        <f>IF('Modell einstellen'!$B$1="Voll",H29/0.35,H29/0.35*2)</f>
        <v>1.5282086857142858E-3</v>
      </c>
      <c r="O29" s="2">
        <f>IF('Modell einstellen'!$B$1="Voll",J29/0.35,J29/0.35*2)</f>
        <v>-3.1217257142857145E-3</v>
      </c>
      <c r="P29" s="3">
        <f t="shared" si="1"/>
        <v>0.48953970514477341</v>
      </c>
    </row>
    <row r="30" spans="1:16" x14ac:dyDescent="0.25">
      <c r="A30" s="3">
        <v>1000000000000</v>
      </c>
      <c r="B30" s="3">
        <v>-1.57E-3</v>
      </c>
      <c r="C30" s="3">
        <v>1.209E-3</v>
      </c>
      <c r="D30" s="3">
        <v>2.028E-4</v>
      </c>
      <c r="E30" s="3">
        <v>0</v>
      </c>
      <c r="F30" s="3">
        <v>0</v>
      </c>
      <c r="G30" s="3">
        <v>0</v>
      </c>
      <c r="H30" s="3">
        <v>7.3035378000000002E-4</v>
      </c>
      <c r="I30" s="3">
        <v>1.8973808000000001E-4</v>
      </c>
      <c r="J30" s="3">
        <v>-1.4582206000000001E-3</v>
      </c>
      <c r="L30" s="3">
        <f t="shared" si="0"/>
        <v>7.7416173570019726</v>
      </c>
      <c r="M30" s="3"/>
      <c r="N30" s="2">
        <f>IF('Modell einstellen'!$B$1="Voll",H30/0.35,H30/0.35*2)</f>
        <v>2.0867250857142857E-3</v>
      </c>
      <c r="O30" s="2">
        <f>IF('Modell einstellen'!$B$1="Voll",J30/0.35,J30/0.35*2)</f>
        <v>-4.1663445714285718E-3</v>
      </c>
      <c r="P30" s="3">
        <f t="shared" si="1"/>
        <v>0.50085273791907747</v>
      </c>
    </row>
    <row r="31" spans="1:16" x14ac:dyDescent="0.25">
      <c r="A31" s="3">
        <v>10000000000000</v>
      </c>
      <c r="B31" s="3">
        <v>-2.1280000000000001E-3</v>
      </c>
      <c r="C31" s="3">
        <v>1.408E-3</v>
      </c>
      <c r="D31" s="3">
        <v>5.6079999999999997E-4</v>
      </c>
      <c r="E31" s="3">
        <v>0</v>
      </c>
      <c r="F31" s="3">
        <v>0</v>
      </c>
      <c r="G31" s="3">
        <v>0</v>
      </c>
      <c r="H31" s="3">
        <v>8.9063733999999995E-4</v>
      </c>
      <c r="I31" s="3">
        <v>2.2808394999999999E-4</v>
      </c>
      <c r="J31" s="3">
        <v>-1.7574909000000001E-3</v>
      </c>
      <c r="L31" s="3">
        <f t="shared" si="0"/>
        <v>3.7945791726105567</v>
      </c>
      <c r="M31" s="3"/>
      <c r="N31" s="2">
        <f>IF('Modell einstellen'!$B$1="Voll",H31/0.35,H31/0.35*2)</f>
        <v>2.5446781142857144E-3</v>
      </c>
      <c r="O31" s="2">
        <f>IF('Modell einstellen'!$B$1="Voll",J31/0.35,J31/0.35*2)</f>
        <v>-5.0214025714285723E-3</v>
      </c>
      <c r="P31" s="3">
        <f t="shared" si="1"/>
        <v>0.50676640203371748</v>
      </c>
    </row>
    <row r="32" spans="1:16" x14ac:dyDescent="0.25">
      <c r="A32" s="3">
        <v>100000000000000</v>
      </c>
      <c r="B32" s="3">
        <v>-2.5349999999999999E-3</v>
      </c>
      <c r="C32" s="3">
        <v>1.5510000000000001E-3</v>
      </c>
      <c r="D32" s="3">
        <v>8.2370000000000002E-4</v>
      </c>
      <c r="E32" s="3">
        <v>0</v>
      </c>
      <c r="F32" s="3">
        <v>0</v>
      </c>
      <c r="G32" s="3">
        <v>0</v>
      </c>
      <c r="H32" s="3">
        <v>1.0063603999999999E-3</v>
      </c>
      <c r="I32" s="3">
        <v>2.5596434999999997E-4</v>
      </c>
      <c r="J32" s="3">
        <v>-1.9740483000000001E-3</v>
      </c>
      <c r="L32" s="3">
        <f t="shared" si="0"/>
        <v>3.0775767876654121</v>
      </c>
      <c r="M32" s="3"/>
      <c r="N32" s="2">
        <f>IF('Modell einstellen'!$B$1="Voll",H32/0.35,H32/0.35*2)</f>
        <v>2.8753154285714286E-3</v>
      </c>
      <c r="O32" s="2">
        <f>IF('Modell einstellen'!$B$1="Voll",J32/0.35,J32/0.35*2)</f>
        <v>-5.6401380000000003E-3</v>
      </c>
      <c r="P32" s="3">
        <f t="shared" si="1"/>
        <v>0.50979522638833097</v>
      </c>
    </row>
    <row r="33" spans="1:16" x14ac:dyDescent="0.25">
      <c r="A33" s="3">
        <v>1000000000000000</v>
      </c>
      <c r="B33" s="3">
        <v>-2.7659999999999998E-3</v>
      </c>
      <c r="C33" s="3">
        <v>1.634E-3</v>
      </c>
      <c r="D33" s="3">
        <v>9.7170000000000004E-4</v>
      </c>
      <c r="E33" s="3">
        <v>0</v>
      </c>
      <c r="F33" s="3">
        <v>0</v>
      </c>
      <c r="G33" s="3">
        <v>0</v>
      </c>
      <c r="H33" s="3">
        <v>1.0722454E-3</v>
      </c>
      <c r="I33" s="3">
        <v>2.7219494E-4</v>
      </c>
      <c r="J33" s="3">
        <v>-2.0985484000000001E-3</v>
      </c>
      <c r="L33" s="3">
        <f t="shared" si="0"/>
        <v>2.8465575794998452</v>
      </c>
      <c r="M33" s="3"/>
      <c r="N33" s="2">
        <f>IF('Modell einstellen'!$B$1="Voll",H33/0.35,H33/0.35*2)</f>
        <v>3.0635582857142861E-3</v>
      </c>
      <c r="O33" s="2">
        <f>IF('Modell einstellen'!$B$1="Voll",J33/0.35,J33/0.35*2)</f>
        <v>-5.9958525714285723E-3</v>
      </c>
      <c r="P33" s="3">
        <f t="shared" si="1"/>
        <v>0.51094623311999854</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9.7310000000000002E-5</v>
      </c>
      <c r="C3" s="3">
        <v>1.273E-4</v>
      </c>
      <c r="D3" s="3">
        <v>-3.5159999999999998E-4</v>
      </c>
      <c r="E3" s="3">
        <v>0</v>
      </c>
      <c r="F3" s="3">
        <v>0</v>
      </c>
      <c r="G3" s="3">
        <v>0</v>
      </c>
      <c r="H3" s="3">
        <v>4.8136965999999997E-5</v>
      </c>
      <c r="I3" s="3">
        <v>1.2750401E-5</v>
      </c>
      <c r="J3" s="3">
        <v>-1.3171883999999999E-4</v>
      </c>
      <c r="K3" s="3"/>
      <c r="L3" s="3">
        <f>-B3/D3</f>
        <v>0.27676336746302621</v>
      </c>
      <c r="M3" s="3"/>
      <c r="N3" s="2">
        <f>IF('Modell einstellen'!$B$1="Voll",H3/0.35,H3/0.35*2)</f>
        <v>1.3753418857142857E-4</v>
      </c>
      <c r="O3" s="2">
        <f>IF('Modell einstellen'!$B$1="Voll",J3/0.35,J3/0.35*2)</f>
        <v>-3.7633954285714287E-4</v>
      </c>
      <c r="P3" s="3">
        <f>-N3/O3</f>
        <v>0.36545239845719868</v>
      </c>
      <c r="Q3" s="3"/>
      <c r="R3" s="3"/>
      <c r="S3" s="3"/>
      <c r="T3" s="3"/>
      <c r="U3" s="3"/>
    </row>
    <row r="4" spans="1:21" x14ac:dyDescent="0.25">
      <c r="A4" s="3">
        <v>1E-14</v>
      </c>
      <c r="B4" s="3">
        <v>9.8750000000000002E-5</v>
      </c>
      <c r="C4" s="3">
        <v>1.3100000000000001E-4</v>
      </c>
      <c r="D4" s="3">
        <v>-3.5730000000000001E-4</v>
      </c>
      <c r="E4" s="3">
        <v>0</v>
      </c>
      <c r="F4" s="3">
        <v>0</v>
      </c>
      <c r="G4" s="3">
        <v>0</v>
      </c>
      <c r="H4" s="3">
        <v>4.9782735999999999E-5</v>
      </c>
      <c r="I4" s="3">
        <v>1.3153213E-5</v>
      </c>
      <c r="J4" s="3">
        <v>-1.3489137000000001E-4</v>
      </c>
      <c r="K4" s="3"/>
      <c r="L4" s="3">
        <f t="shared" ref="L4:L33" si="0">-B4/D4</f>
        <v>0.276378393506857</v>
      </c>
      <c r="M4" s="3"/>
      <c r="N4" s="2">
        <f>IF('Modell einstellen'!$B$1="Voll",H4/0.35,H4/0.35*2)</f>
        <v>1.4223638857142857E-4</v>
      </c>
      <c r="O4" s="2">
        <f>IF('Modell einstellen'!$B$1="Voll",J4/0.35,J4/0.35*2)</f>
        <v>-3.8540391428571434E-4</v>
      </c>
      <c r="P4" s="3">
        <f t="shared" ref="P4:P33" si="1">-N4/O4</f>
        <v>0.36905797605880936</v>
      </c>
      <c r="Q4" s="3"/>
      <c r="R4" s="3"/>
      <c r="S4" s="3"/>
      <c r="T4" s="3"/>
      <c r="U4" s="3"/>
    </row>
    <row r="5" spans="1:21" x14ac:dyDescent="0.25">
      <c r="A5" s="3">
        <v>1E-13</v>
      </c>
      <c r="B5" s="3">
        <v>9.9900000000000002E-5</v>
      </c>
      <c r="C5" s="3">
        <v>1.3420000000000001E-4</v>
      </c>
      <c r="D5" s="3">
        <v>-3.6220000000000002E-4</v>
      </c>
      <c r="E5" s="3">
        <v>0</v>
      </c>
      <c r="F5" s="3">
        <v>0</v>
      </c>
      <c r="G5" s="3">
        <v>0</v>
      </c>
      <c r="H5" s="3">
        <v>5.1229649000000002E-5</v>
      </c>
      <c r="I5" s="3">
        <v>1.3504047E-5</v>
      </c>
      <c r="J5" s="3">
        <v>-1.3767259999999999E-4</v>
      </c>
      <c r="K5" s="3"/>
      <c r="L5" s="3">
        <f t="shared" si="0"/>
        <v>0.27581446714522362</v>
      </c>
      <c r="M5" s="3"/>
      <c r="N5" s="2">
        <f>IF('Modell einstellen'!$B$1="Voll",H5/0.35,H5/0.35*2)</f>
        <v>1.4637042571428573E-4</v>
      </c>
      <c r="O5" s="2">
        <f>IF('Modell einstellen'!$B$1="Voll",J5/0.35,J5/0.35*2)</f>
        <v>-3.9335028571428572E-4</v>
      </c>
      <c r="P5" s="3">
        <f t="shared" si="1"/>
        <v>0.37211216320458834</v>
      </c>
      <c r="Q5" s="3"/>
      <c r="R5" s="3"/>
      <c r="S5" s="3"/>
      <c r="T5" s="3"/>
      <c r="U5" s="3"/>
    </row>
    <row r="6" spans="1:21" x14ac:dyDescent="0.25">
      <c r="A6" s="3">
        <v>9.9999999999999998E-13</v>
      </c>
      <c r="B6" s="3">
        <v>1.011E-4</v>
      </c>
      <c r="C6" s="3">
        <v>1.3770000000000001E-4</v>
      </c>
      <c r="D6" s="3">
        <v>-3.6749999999999999E-4</v>
      </c>
      <c r="E6" s="3">
        <v>0</v>
      </c>
      <c r="F6" s="3">
        <v>0</v>
      </c>
      <c r="G6" s="3">
        <v>0</v>
      </c>
      <c r="H6" s="3">
        <v>5.2815934999999999E-5</v>
      </c>
      <c r="I6" s="3">
        <v>1.3884939999999999E-5</v>
      </c>
      <c r="J6" s="3">
        <v>-1.4070677999999999E-4</v>
      </c>
      <c r="K6" s="3"/>
      <c r="L6" s="3">
        <f t="shared" si="0"/>
        <v>0.27510204081632655</v>
      </c>
      <c r="M6" s="3"/>
      <c r="N6" s="2">
        <f>IF('Modell einstellen'!$B$1="Voll",H6/0.35,H6/0.35*2)</f>
        <v>1.5090267142857145E-4</v>
      </c>
      <c r="O6" s="2">
        <f>IF('Modell einstellen'!$B$1="Voll",J6/0.35,J6/0.35*2)</f>
        <v>-4.0201937142857143E-4</v>
      </c>
      <c r="P6" s="3">
        <f t="shared" si="1"/>
        <v>0.37536169188151419</v>
      </c>
      <c r="Q6" s="3"/>
      <c r="R6" s="3"/>
      <c r="S6" s="3"/>
      <c r="T6" s="3"/>
      <c r="U6" s="3"/>
    </row>
    <row r="7" spans="1:21" x14ac:dyDescent="0.25">
      <c r="A7" s="3">
        <v>9.9999999999999994E-12</v>
      </c>
      <c r="B7" s="3">
        <v>1.0230000000000001E-4</v>
      </c>
      <c r="C7" s="3">
        <v>1.418E-4</v>
      </c>
      <c r="D7" s="3">
        <v>-3.7340000000000002E-4</v>
      </c>
      <c r="E7" s="3">
        <v>0</v>
      </c>
      <c r="F7" s="3">
        <v>0</v>
      </c>
      <c r="G7" s="3">
        <v>0</v>
      </c>
      <c r="H7" s="3">
        <v>5.4682860999999998E-5</v>
      </c>
      <c r="I7" s="3">
        <v>1.4328581999999999E-5</v>
      </c>
      <c r="J7" s="3">
        <v>-1.4425918E-4</v>
      </c>
      <c r="K7" s="3"/>
      <c r="L7" s="3">
        <f t="shared" si="0"/>
        <v>0.27396893411890733</v>
      </c>
      <c r="M7" s="3"/>
      <c r="N7" s="2">
        <f>IF('Modell einstellen'!$B$1="Voll",H7/0.35,H7/0.35*2)</f>
        <v>1.5623674571428573E-4</v>
      </c>
      <c r="O7" s="2">
        <f>IF('Modell einstellen'!$B$1="Voll",J7/0.35,J7/0.35*2)</f>
        <v>-4.1216908571428576E-4</v>
      </c>
      <c r="P7" s="3">
        <f t="shared" si="1"/>
        <v>0.37905983522157827</v>
      </c>
      <c r="Q7" s="3"/>
      <c r="R7" s="3"/>
      <c r="S7" s="3"/>
      <c r="T7" s="3"/>
      <c r="U7" s="3"/>
    </row>
    <row r="8" spans="1:21" x14ac:dyDescent="0.25">
      <c r="A8" s="3">
        <v>1E-10</v>
      </c>
      <c r="B8" s="3">
        <v>1.0349999999999999E-4</v>
      </c>
      <c r="C8" s="3">
        <v>1.462E-4</v>
      </c>
      <c r="D8" s="3">
        <v>-3.7980000000000002E-4</v>
      </c>
      <c r="E8" s="3">
        <v>0</v>
      </c>
      <c r="F8" s="3">
        <v>0</v>
      </c>
      <c r="G8" s="3">
        <v>0</v>
      </c>
      <c r="H8" s="3">
        <v>5.6808631000000002E-5</v>
      </c>
      <c r="I8" s="3">
        <v>1.4827483E-5</v>
      </c>
      <c r="J8" s="3">
        <v>-1.4827924000000001E-4</v>
      </c>
      <c r="K8" s="3"/>
      <c r="L8" s="3">
        <f t="shared" si="0"/>
        <v>0.27251184834123221</v>
      </c>
      <c r="M8" s="3"/>
      <c r="N8" s="2">
        <f>IF('Modell einstellen'!$B$1="Voll",H8/0.35,H8/0.35*2)</f>
        <v>1.623103742857143E-4</v>
      </c>
      <c r="O8" s="2">
        <f>IF('Modell einstellen'!$B$1="Voll",J8/0.35,J8/0.35*2)</f>
        <v>-4.2365497142857146E-4</v>
      </c>
      <c r="P8" s="3">
        <f t="shared" si="1"/>
        <v>0.38311924852056162</v>
      </c>
      <c r="Q8" s="3"/>
      <c r="R8" s="3"/>
      <c r="S8" s="3"/>
      <c r="T8" s="3"/>
      <c r="U8" s="3"/>
    </row>
    <row r="9" spans="1:21" x14ac:dyDescent="0.25">
      <c r="A9" s="3">
        <v>1.0000000000000001E-9</v>
      </c>
      <c r="B9" s="3">
        <v>1.048E-4</v>
      </c>
      <c r="C9" s="3">
        <v>1.5139999999999999E-4</v>
      </c>
      <c r="D9" s="3">
        <v>-3.8709999999999998E-4</v>
      </c>
      <c r="E9" s="3">
        <v>0</v>
      </c>
      <c r="F9" s="3">
        <v>0</v>
      </c>
      <c r="G9" s="3">
        <v>0</v>
      </c>
      <c r="H9" s="3">
        <v>5.9321830000000001E-5</v>
      </c>
      <c r="I9" s="3">
        <v>1.5409267000000001E-5</v>
      </c>
      <c r="J9" s="3">
        <v>-1.5300040000000001E-4</v>
      </c>
      <c r="K9" s="3"/>
      <c r="L9" s="3">
        <f t="shared" si="0"/>
        <v>0.27073107724102302</v>
      </c>
      <c r="M9" s="3"/>
      <c r="N9" s="2">
        <f>IF('Modell einstellen'!$B$1="Voll",H9/0.35,H9/0.35*2)</f>
        <v>1.6949094285714287E-4</v>
      </c>
      <c r="O9" s="2">
        <f>IF('Modell einstellen'!$B$1="Voll",J9/0.35,J9/0.35*2)</f>
        <v>-4.3714400000000004E-4</v>
      </c>
      <c r="P9" s="3">
        <f t="shared" si="1"/>
        <v>0.38772336542910996</v>
      </c>
      <c r="Q9" s="3"/>
      <c r="R9" s="3"/>
      <c r="S9" s="3"/>
      <c r="T9" s="3"/>
      <c r="U9" s="3"/>
    </row>
    <row r="10" spans="1:21" x14ac:dyDescent="0.25">
      <c r="A10" s="3">
        <v>1E-8</v>
      </c>
      <c r="B10" s="3">
        <v>1.0569999999999999E-4</v>
      </c>
      <c r="C10" s="3">
        <v>1.5679999999999999E-4</v>
      </c>
      <c r="D10" s="3">
        <v>-3.9429999999999999E-4</v>
      </c>
      <c r="E10" s="3">
        <v>0</v>
      </c>
      <c r="F10" s="3">
        <v>0</v>
      </c>
      <c r="G10" s="3">
        <v>0</v>
      </c>
      <c r="H10" s="3">
        <v>6.1974566000000002E-5</v>
      </c>
      <c r="I10" s="3">
        <v>1.6013247E-5</v>
      </c>
      <c r="J10" s="3">
        <v>-1.5794415E-4</v>
      </c>
      <c r="K10" s="3"/>
      <c r="L10" s="3">
        <f t="shared" si="0"/>
        <v>0.26806999746386001</v>
      </c>
      <c r="M10" s="3"/>
      <c r="N10" s="2">
        <f>IF('Modell einstellen'!$B$1="Voll",H10/0.35,H10/0.35*2)</f>
        <v>1.7707018857142858E-4</v>
      </c>
      <c r="O10" s="2">
        <f>IF('Modell einstellen'!$B$1="Voll",J10/0.35,J10/0.35*2)</f>
        <v>-4.5126900000000002E-4</v>
      </c>
      <c r="P10" s="3">
        <f t="shared" si="1"/>
        <v>0.39238278847301405</v>
      </c>
      <c r="Q10" s="3"/>
      <c r="R10" s="3"/>
      <c r="S10" s="3"/>
      <c r="T10" s="3"/>
      <c r="U10" s="3"/>
    </row>
    <row r="11" spans="1:21" x14ac:dyDescent="0.25">
      <c r="A11" s="3">
        <v>9.9999999999999995E-8</v>
      </c>
      <c r="B11" s="3">
        <v>1.065E-4</v>
      </c>
      <c r="C11" s="3">
        <v>1.6220000000000001E-4</v>
      </c>
      <c r="D11" s="3">
        <v>-4.013E-4</v>
      </c>
      <c r="E11" s="3">
        <v>0</v>
      </c>
      <c r="F11" s="3">
        <v>0</v>
      </c>
      <c r="G11" s="3">
        <v>0</v>
      </c>
      <c r="H11" s="3">
        <v>6.4706723999999994E-5</v>
      </c>
      <c r="I11" s="3">
        <v>1.6625421999999999E-5</v>
      </c>
      <c r="J11" s="3">
        <v>-1.629976E-4</v>
      </c>
      <c r="K11" s="3"/>
      <c r="L11" s="3">
        <f t="shared" si="0"/>
        <v>0.26538749065537004</v>
      </c>
      <c r="M11" s="3"/>
      <c r="N11" s="2">
        <f>IF('Modell einstellen'!$B$1="Voll",H11/0.35,H11/0.35*2)</f>
        <v>1.8487635428571429E-4</v>
      </c>
      <c r="O11" s="2">
        <f>IF('Modell einstellen'!$B$1="Voll",J11/0.35,J11/0.35*2)</f>
        <v>-4.6570742857142861E-4</v>
      </c>
      <c r="P11" s="3">
        <f t="shared" si="1"/>
        <v>0.39697961196974679</v>
      </c>
      <c r="Q11" s="3"/>
      <c r="R11" s="3"/>
      <c r="S11" s="3"/>
      <c r="T11" s="3"/>
      <c r="U11" s="3"/>
    </row>
    <row r="12" spans="1:21" x14ac:dyDescent="0.25">
      <c r="A12" s="3">
        <v>9.9999999999999995E-7</v>
      </c>
      <c r="B12" s="3">
        <v>1.071E-4</v>
      </c>
      <c r="C12" s="3">
        <v>1.6880000000000001E-4</v>
      </c>
      <c r="D12" s="3">
        <v>-4.0959999999999998E-4</v>
      </c>
      <c r="E12" s="3">
        <v>0</v>
      </c>
      <c r="F12" s="3">
        <v>0</v>
      </c>
      <c r="G12" s="3">
        <v>0</v>
      </c>
      <c r="H12" s="3">
        <v>6.8156760999999998E-5</v>
      </c>
      <c r="I12" s="3">
        <v>1.7384649E-5</v>
      </c>
      <c r="J12" s="3">
        <v>-1.6932604999999999E-4</v>
      </c>
      <c r="K12" s="3"/>
      <c r="L12" s="3">
        <f t="shared" si="0"/>
        <v>0.261474609375</v>
      </c>
      <c r="M12" s="3"/>
      <c r="N12" s="2">
        <f>IF('Modell einstellen'!$B$1="Voll",H12/0.35,H12/0.35*2)</f>
        <v>1.9473360285714286E-4</v>
      </c>
      <c r="O12" s="2">
        <f>IF('Modell einstellen'!$B$1="Voll",J12/0.35,J12/0.35*2)</f>
        <v>-4.8378871428571426E-4</v>
      </c>
      <c r="P12" s="3">
        <f t="shared" si="1"/>
        <v>0.40251787010917695</v>
      </c>
      <c r="Q12" s="3"/>
      <c r="R12" s="3"/>
      <c r="S12" s="3"/>
      <c r="T12" s="3"/>
      <c r="U12" s="3"/>
    </row>
    <row r="13" spans="1:21" x14ac:dyDescent="0.25">
      <c r="A13" s="3">
        <v>1.0000000000000001E-5</v>
      </c>
      <c r="B13" s="3">
        <v>1.072E-4</v>
      </c>
      <c r="C13" s="3">
        <v>1.7699999999999999E-4</v>
      </c>
      <c r="D13" s="3">
        <v>-4.193E-4</v>
      </c>
      <c r="E13" s="3">
        <v>0</v>
      </c>
      <c r="F13" s="3">
        <v>0</v>
      </c>
      <c r="G13" s="3">
        <v>0</v>
      </c>
      <c r="H13" s="3">
        <v>7.2625534999999993E-5</v>
      </c>
      <c r="I13" s="3">
        <v>1.8344361999999999E-5</v>
      </c>
      <c r="J13" s="3">
        <v>-1.7743229E-4</v>
      </c>
      <c r="K13" s="3"/>
      <c r="L13" s="3">
        <f t="shared" si="0"/>
        <v>0.25566420224183162</v>
      </c>
      <c r="M13" s="3"/>
      <c r="N13" s="2">
        <f>IF('Modell einstellen'!$B$1="Voll",H13/0.35,H13/0.35*2)</f>
        <v>2.0750152857142856E-4</v>
      </c>
      <c r="O13" s="2">
        <f>IF('Modell einstellen'!$B$1="Voll",J13/0.35,J13/0.35*2)</f>
        <v>-5.0694940000000006E-4</v>
      </c>
      <c r="P13" s="3">
        <f t="shared" si="1"/>
        <v>0.4093140825720053</v>
      </c>
      <c r="Q13" s="3"/>
      <c r="R13" s="3"/>
      <c r="S13" s="3"/>
      <c r="T13" s="3"/>
      <c r="U13" s="3"/>
    </row>
    <row r="14" spans="1:21" x14ac:dyDescent="0.25">
      <c r="A14" s="3">
        <v>1E-4</v>
      </c>
      <c r="B14" s="3">
        <v>1.065E-4</v>
      </c>
      <c r="C14" s="3">
        <v>1.861E-4</v>
      </c>
      <c r="D14" s="3">
        <v>-4.2900000000000002E-4</v>
      </c>
      <c r="E14" s="3">
        <v>0</v>
      </c>
      <c r="F14" s="3">
        <v>0</v>
      </c>
      <c r="G14" s="3">
        <v>0</v>
      </c>
      <c r="H14" s="3">
        <v>7.7727688999999994E-5</v>
      </c>
      <c r="I14" s="3">
        <v>1.9406678000000002E-5</v>
      </c>
      <c r="J14" s="3">
        <v>-1.8655951000000001E-4</v>
      </c>
      <c r="K14" s="3"/>
      <c r="L14" s="3">
        <f t="shared" si="0"/>
        <v>0.24825174825174823</v>
      </c>
      <c r="M14" s="3"/>
      <c r="N14" s="2">
        <f>IF('Modell einstellen'!$B$1="Voll",H14/0.35,H14/0.35*2)</f>
        <v>2.2207911142857142E-4</v>
      </c>
      <c r="O14" s="2">
        <f>IF('Modell einstellen'!$B$1="Voll",J14/0.35,J14/0.35*2)</f>
        <v>-5.3302717142857147E-4</v>
      </c>
      <c r="P14" s="3">
        <f t="shared" si="1"/>
        <v>0.41663750617698336</v>
      </c>
      <c r="Q14" s="3"/>
      <c r="R14" s="3"/>
      <c r="S14" s="3"/>
      <c r="T14" s="3"/>
      <c r="U14" s="3"/>
    </row>
    <row r="15" spans="1:21" x14ac:dyDescent="0.25">
      <c r="A15" s="3">
        <v>1E-3</v>
      </c>
      <c r="B15" s="3">
        <v>1.0509999999999999E-4</v>
      </c>
      <c r="C15" s="3">
        <v>1.941E-4</v>
      </c>
      <c r="D15" s="3">
        <v>-4.3689999999999999E-4</v>
      </c>
      <c r="E15" s="3">
        <v>0</v>
      </c>
      <c r="F15" s="3">
        <v>0</v>
      </c>
      <c r="G15" s="3">
        <v>0</v>
      </c>
      <c r="H15" s="3">
        <v>8.2496445999999998E-5</v>
      </c>
      <c r="I15" s="3">
        <v>2.0367038000000001E-5</v>
      </c>
      <c r="J15" s="3">
        <v>-1.9496602999999999E-4</v>
      </c>
      <c r="K15" s="3"/>
      <c r="L15" s="3">
        <f t="shared" si="0"/>
        <v>0.24055848020141907</v>
      </c>
      <c r="M15" s="3"/>
      <c r="N15" s="2">
        <f>IF('Modell einstellen'!$B$1="Voll",H15/0.35,H15/0.35*2)</f>
        <v>2.3570413142857144E-4</v>
      </c>
      <c r="O15" s="2">
        <f>IF('Modell einstellen'!$B$1="Voll",J15/0.35,J15/0.35*2)</f>
        <v>-5.5704579999999999E-4</v>
      </c>
      <c r="P15" s="3">
        <f t="shared" si="1"/>
        <v>0.42313240927150236</v>
      </c>
      <c r="Q15" s="3"/>
      <c r="R15" s="3"/>
      <c r="S15" s="3"/>
      <c r="T15" s="3"/>
      <c r="U15" s="3"/>
    </row>
    <row r="16" spans="1:21" x14ac:dyDescent="0.25">
      <c r="A16" s="3">
        <v>0.01</v>
      </c>
      <c r="B16" s="3">
        <v>1.03E-4</v>
      </c>
      <c r="C16" s="3">
        <v>2.018E-4</v>
      </c>
      <c r="D16" s="3">
        <v>-4.438E-4</v>
      </c>
      <c r="E16" s="3">
        <v>0</v>
      </c>
      <c r="F16" s="3">
        <v>0</v>
      </c>
      <c r="G16" s="3">
        <v>0</v>
      </c>
      <c r="H16" s="3">
        <v>8.7273881000000006E-5</v>
      </c>
      <c r="I16" s="3">
        <v>2.1302112999999999E-5</v>
      </c>
      <c r="J16" s="3">
        <v>-2.0328532000000001E-4</v>
      </c>
      <c r="K16" s="3"/>
      <c r="L16" s="3">
        <f t="shared" si="0"/>
        <v>0.23208652546191977</v>
      </c>
      <c r="M16" s="3"/>
      <c r="N16" s="2">
        <f>IF('Modell einstellen'!$B$1="Voll",H16/0.35,H16/0.35*2)</f>
        <v>2.4935394571428576E-4</v>
      </c>
      <c r="O16" s="2">
        <f>IF('Modell einstellen'!$B$1="Voll",J16/0.35,J16/0.35*2)</f>
        <v>-5.8081520000000011E-4</v>
      </c>
      <c r="P16" s="3">
        <f t="shared" si="1"/>
        <v>0.4293171833558862</v>
      </c>
      <c r="Q16" s="3"/>
      <c r="R16" s="3"/>
      <c r="S16" s="3"/>
      <c r="T16" s="3"/>
      <c r="U16" s="3"/>
    </row>
    <row r="17" spans="1:25" x14ac:dyDescent="0.25">
      <c r="A17" s="3">
        <v>0.1</v>
      </c>
      <c r="B17" s="3">
        <v>1.0009999999999999E-4</v>
      </c>
      <c r="C17" s="3">
        <v>2.098E-4</v>
      </c>
      <c r="D17" s="3">
        <v>-4.5009999999999999E-4</v>
      </c>
      <c r="E17" s="3">
        <v>0</v>
      </c>
      <c r="F17" s="3">
        <v>0</v>
      </c>
      <c r="G17" s="3">
        <v>0</v>
      </c>
      <c r="H17" s="3">
        <v>9.2470346999999996E-5</v>
      </c>
      <c r="I17" s="3">
        <v>2.2287179000000002E-5</v>
      </c>
      <c r="J17" s="3">
        <v>-2.1221283E-4</v>
      </c>
      <c r="K17" s="3"/>
      <c r="L17" s="3">
        <f t="shared" si="0"/>
        <v>0.22239502332814928</v>
      </c>
      <c r="M17" s="3"/>
      <c r="N17" s="2">
        <f>IF('Modell einstellen'!$B$1="Voll",H17/0.35,H17/0.35*2)</f>
        <v>2.6420099142857143E-4</v>
      </c>
      <c r="O17" s="2">
        <f>IF('Modell einstellen'!$B$1="Voll",J17/0.35,J17/0.35*2)</f>
        <v>-6.0632237142857145E-4</v>
      </c>
      <c r="P17" s="3">
        <f t="shared" si="1"/>
        <v>0.43574343266615878</v>
      </c>
      <c r="Q17" s="3"/>
      <c r="R17" s="3"/>
      <c r="S17" s="3"/>
      <c r="T17" s="3"/>
      <c r="U17" s="3"/>
      <c r="V17" s="3"/>
      <c r="W17" s="3"/>
      <c r="X17" s="3"/>
      <c r="Y17" s="3"/>
    </row>
    <row r="18" spans="1:25" x14ac:dyDescent="0.25">
      <c r="A18" s="3">
        <v>1</v>
      </c>
      <c r="B18" s="3">
        <v>9.6069999999999993E-5</v>
      </c>
      <c r="C18" s="3">
        <v>2.185E-4</v>
      </c>
      <c r="D18" s="3">
        <v>-4.5609999999999997E-4</v>
      </c>
      <c r="E18" s="3">
        <v>0</v>
      </c>
      <c r="F18" s="3">
        <v>0</v>
      </c>
      <c r="G18" s="3">
        <v>0</v>
      </c>
      <c r="H18" s="3">
        <v>9.8359188000000006E-5</v>
      </c>
      <c r="I18" s="3">
        <v>2.3369010999999999E-5</v>
      </c>
      <c r="J18" s="3">
        <v>-2.2219741E-4</v>
      </c>
      <c r="K18" s="3"/>
      <c r="L18" s="3">
        <f t="shared" si="0"/>
        <v>0.21063363297522472</v>
      </c>
      <c r="M18" s="3"/>
      <c r="N18" s="2">
        <f>IF('Modell einstellen'!$B$1="Voll",H18/0.35,H18/0.35*2)</f>
        <v>2.8102625142857146E-4</v>
      </c>
      <c r="O18" s="2">
        <f>IF('Modell einstellen'!$B$1="Voll",J18/0.35,J18/0.35*2)</f>
        <v>-6.3484974285714293E-4</v>
      </c>
      <c r="P18" s="3">
        <f t="shared" si="1"/>
        <v>0.44266577184675554</v>
      </c>
      <c r="Q18" s="3"/>
      <c r="R18" s="3"/>
      <c r="S18" s="3"/>
      <c r="T18" s="3"/>
      <c r="U18" s="3"/>
      <c r="V18" s="3"/>
      <c r="W18" s="3"/>
      <c r="X18" s="3"/>
      <c r="Y18" s="3"/>
    </row>
    <row r="19" spans="1:25" x14ac:dyDescent="0.25">
      <c r="A19" s="3">
        <v>10</v>
      </c>
      <c r="B19" s="3">
        <v>9.1130000000000003E-5</v>
      </c>
      <c r="C19" s="3">
        <v>2.275E-4</v>
      </c>
      <c r="D19" s="3">
        <v>-4.615E-4</v>
      </c>
      <c r="E19" s="3">
        <v>0</v>
      </c>
      <c r="F19" s="3">
        <v>0</v>
      </c>
      <c r="G19" s="3">
        <v>0</v>
      </c>
      <c r="H19" s="3">
        <v>1.0463891999999999E-4</v>
      </c>
      <c r="I19" s="3">
        <v>2.4516511000000002E-5</v>
      </c>
      <c r="J19" s="3">
        <v>-2.3279986000000001E-4</v>
      </c>
      <c r="K19" s="3"/>
      <c r="L19" s="3">
        <f t="shared" si="0"/>
        <v>0.19746478873239437</v>
      </c>
      <c r="M19" s="3"/>
      <c r="N19" s="2">
        <f>IF('Modell einstellen'!$B$1="Voll",H19/0.35,H19/0.35*2)</f>
        <v>2.9896834285714284E-4</v>
      </c>
      <c r="O19" s="2">
        <f>IF('Modell einstellen'!$B$1="Voll",J19/0.35,J19/0.35*2)</f>
        <v>-6.6514245714285717E-4</v>
      </c>
      <c r="P19" s="3">
        <f t="shared" si="1"/>
        <v>0.44948016721315892</v>
      </c>
      <c r="Q19" s="3"/>
      <c r="R19" s="3"/>
      <c r="S19" s="3"/>
      <c r="T19" s="3"/>
      <c r="U19" s="3"/>
      <c r="V19" s="3"/>
      <c r="W19" s="3"/>
      <c r="X19" s="3"/>
      <c r="Y19" s="3"/>
    </row>
    <row r="20" spans="1:25" x14ac:dyDescent="0.25">
      <c r="A20" s="3">
        <v>100</v>
      </c>
      <c r="B20" s="3">
        <v>8.6180000000000005E-5</v>
      </c>
      <c r="C20" s="3">
        <v>2.4130000000000001E-4</v>
      </c>
      <c r="D20" s="3">
        <v>-4.7150000000000002E-4</v>
      </c>
      <c r="E20" s="3">
        <v>0</v>
      </c>
      <c r="F20" s="3">
        <v>0</v>
      </c>
      <c r="G20" s="3">
        <v>0</v>
      </c>
      <c r="H20" s="3">
        <v>1.1254941E-4</v>
      </c>
      <c r="I20" s="3">
        <v>2.6266886999999999E-5</v>
      </c>
      <c r="J20" s="3">
        <v>-2.4712505000000002E-4</v>
      </c>
      <c r="K20" s="3"/>
      <c r="L20" s="3">
        <f t="shared" si="0"/>
        <v>0.18277836691410393</v>
      </c>
      <c r="M20" s="3"/>
      <c r="N20" s="2">
        <f>IF('Modell einstellen'!$B$1="Voll",H20/0.35,H20/0.35*2)</f>
        <v>3.2156974285714289E-4</v>
      </c>
      <c r="O20" s="2">
        <f>IF('Modell einstellen'!$B$1="Voll",J20/0.35,J20/0.35*2)</f>
        <v>-7.0607157142857152E-4</v>
      </c>
      <c r="P20" s="3">
        <f t="shared" si="1"/>
        <v>0.45543505201111745</v>
      </c>
      <c r="Q20" s="3"/>
      <c r="R20" s="3"/>
      <c r="S20" s="3"/>
      <c r="T20" s="3"/>
      <c r="U20" s="3"/>
      <c r="V20" s="3"/>
      <c r="W20" s="3"/>
      <c r="X20" s="3"/>
      <c r="Y20" s="3"/>
    </row>
    <row r="21" spans="1:25" x14ac:dyDescent="0.25">
      <c r="A21" s="3">
        <v>1000</v>
      </c>
      <c r="B21" s="3">
        <v>8.5829999999999996E-5</v>
      </c>
      <c r="C21" s="3">
        <v>2.675E-4</v>
      </c>
      <c r="D21" s="3">
        <v>-4.9720000000000005E-4</v>
      </c>
      <c r="E21" s="3">
        <v>0</v>
      </c>
      <c r="F21" s="3">
        <v>0</v>
      </c>
      <c r="G21" s="3">
        <v>0</v>
      </c>
      <c r="H21" s="3">
        <v>1.2252743999999999E-4</v>
      </c>
      <c r="I21" s="3">
        <v>2.9590327000000001E-5</v>
      </c>
      <c r="J21" s="3">
        <v>-2.6885633999999999E-4</v>
      </c>
      <c r="K21" s="3"/>
      <c r="L21" s="3">
        <f t="shared" si="0"/>
        <v>0.1726267095736122</v>
      </c>
      <c r="M21" s="3"/>
      <c r="N21" s="2">
        <f>IF('Modell einstellen'!$B$1="Voll",H21/0.35,H21/0.35*2)</f>
        <v>3.5007840000000001E-4</v>
      </c>
      <c r="O21" s="2">
        <f>IF('Modell einstellen'!$B$1="Voll",J21/0.35,J21/0.35*2)</f>
        <v>-7.6816097142857142E-4</v>
      </c>
      <c r="P21" s="3">
        <f t="shared" si="1"/>
        <v>0.4557357286050982</v>
      </c>
      <c r="Q21" s="3"/>
      <c r="R21" s="3"/>
      <c r="S21" s="3"/>
      <c r="T21" s="3"/>
      <c r="U21" s="3"/>
      <c r="V21" s="3"/>
      <c r="W21" s="3"/>
      <c r="X21" s="3"/>
      <c r="Y21" s="3"/>
    </row>
    <row r="22" spans="1:25" x14ac:dyDescent="0.25">
      <c r="A22" s="3">
        <v>10000</v>
      </c>
      <c r="B22" s="3">
        <v>8.8739999999999994E-5</v>
      </c>
      <c r="C22" s="3">
        <v>3.0620000000000002E-4</v>
      </c>
      <c r="D22" s="3">
        <v>-5.3799999999999996E-4</v>
      </c>
      <c r="E22" s="3">
        <v>0</v>
      </c>
      <c r="F22" s="3">
        <v>0</v>
      </c>
      <c r="G22" s="3">
        <v>0</v>
      </c>
      <c r="H22" s="3">
        <v>1.3509393E-4</v>
      </c>
      <c r="I22" s="3">
        <v>3.4591687000000001E-5</v>
      </c>
      <c r="J22" s="3">
        <v>-2.9901411E-4</v>
      </c>
      <c r="K22" s="3"/>
      <c r="L22" s="3">
        <f t="shared" si="0"/>
        <v>0.16494423791821561</v>
      </c>
      <c r="M22" s="3"/>
      <c r="N22" s="2">
        <f>IF('Modell einstellen'!$B$1="Voll",H22/0.35,H22/0.35*2)</f>
        <v>3.8598265714285716E-4</v>
      </c>
      <c r="O22" s="2">
        <f>IF('Modell einstellen'!$B$1="Voll",J22/0.35,J22/0.35*2)</f>
        <v>-8.5432602857142862E-4</v>
      </c>
      <c r="P22" s="3">
        <f t="shared" si="1"/>
        <v>0.45179784325227995</v>
      </c>
      <c r="Q22" s="3"/>
      <c r="R22" s="3"/>
      <c r="S22" s="3"/>
      <c r="T22" s="3"/>
      <c r="U22" s="3"/>
      <c r="V22" s="3"/>
      <c r="W22" s="3"/>
      <c r="X22" s="3"/>
      <c r="Y22" s="3"/>
    </row>
    <row r="23" spans="1:25" x14ac:dyDescent="0.25">
      <c r="A23" s="3">
        <v>100000</v>
      </c>
      <c r="B23" s="3">
        <v>8.6479999999999999E-5</v>
      </c>
      <c r="C23" s="3">
        <v>3.5369999999999998E-4</v>
      </c>
      <c r="D23" s="3">
        <v>-5.8299999999999997E-4</v>
      </c>
      <c r="E23" s="3">
        <v>0</v>
      </c>
      <c r="F23" s="3">
        <v>0</v>
      </c>
      <c r="G23" s="3">
        <v>0</v>
      </c>
      <c r="H23" s="3">
        <v>1.5215927E-4</v>
      </c>
      <c r="I23" s="3">
        <v>4.0943628000000002E-5</v>
      </c>
      <c r="J23" s="3">
        <v>-3.3867662000000001E-4</v>
      </c>
      <c r="K23" s="3"/>
      <c r="L23" s="3">
        <f t="shared" si="0"/>
        <v>0.14833619210977703</v>
      </c>
      <c r="M23" s="3"/>
      <c r="N23" s="2">
        <f>IF('Modell einstellen'!$B$1="Voll",H23/0.35,H23/0.35*2)</f>
        <v>4.3474077142857144E-4</v>
      </c>
      <c r="O23" s="2">
        <f>IF('Modell einstellen'!$B$1="Voll",J23/0.35,J23/0.35*2)</f>
        <v>-9.6764748571428582E-4</v>
      </c>
      <c r="P23" s="3">
        <f t="shared" si="1"/>
        <v>0.44927597895597277</v>
      </c>
      <c r="Q23" s="3"/>
      <c r="R23" s="3"/>
      <c r="S23" s="3"/>
      <c r="T23" s="3"/>
      <c r="U23" s="3"/>
      <c r="V23" s="3"/>
      <c r="W23" s="3"/>
      <c r="X23" s="3"/>
      <c r="Y23" s="3"/>
    </row>
    <row r="24" spans="1:25" x14ac:dyDescent="0.25">
      <c r="A24" s="3">
        <v>1000000</v>
      </c>
      <c r="B24" s="3">
        <v>6.4759999999999997E-5</v>
      </c>
      <c r="C24" s="3">
        <v>4.1110000000000002E-4</v>
      </c>
      <c r="D24" s="3">
        <v>-6.1959999999999999E-4</v>
      </c>
      <c r="E24" s="3">
        <v>0</v>
      </c>
      <c r="F24" s="3">
        <v>0</v>
      </c>
      <c r="G24" s="3">
        <v>0</v>
      </c>
      <c r="H24" s="3">
        <v>1.7695948999999999E-4</v>
      </c>
      <c r="I24" s="3">
        <v>4.9047508999999999E-5</v>
      </c>
      <c r="J24" s="3">
        <v>-3.9265004999999999E-4</v>
      </c>
      <c r="K24" s="3"/>
      <c r="L24" s="3">
        <f t="shared" si="0"/>
        <v>0.10451904454486766</v>
      </c>
      <c r="M24" s="3"/>
      <c r="N24" s="2">
        <f>IF('Modell einstellen'!$B$1="Voll",H24/0.35,H24/0.35*2)</f>
        <v>5.0559854285714282E-4</v>
      </c>
      <c r="O24" s="2">
        <f>IF('Modell einstellen'!$B$1="Voll",J24/0.35,J24/0.35*2)</f>
        <v>-1.1218572857142858E-3</v>
      </c>
      <c r="P24" s="3">
        <f t="shared" si="1"/>
        <v>0.45067991204890967</v>
      </c>
      <c r="Q24" s="3"/>
      <c r="R24" s="3"/>
      <c r="S24" s="3"/>
      <c r="T24" s="3"/>
      <c r="U24" s="3"/>
      <c r="V24" s="3"/>
      <c r="W24" s="3"/>
      <c r="X24" s="3"/>
      <c r="Y24" s="3"/>
    </row>
    <row r="25" spans="1:25" x14ac:dyDescent="0.25">
      <c r="A25" s="3">
        <v>10000000</v>
      </c>
      <c r="B25" s="3">
        <v>3.641E-6</v>
      </c>
      <c r="C25" s="3">
        <v>4.8710000000000002E-4</v>
      </c>
      <c r="D25" s="3">
        <v>-6.3679999999999997E-4</v>
      </c>
      <c r="E25" s="3">
        <v>0</v>
      </c>
      <c r="F25" s="3">
        <v>0</v>
      </c>
      <c r="G25" s="3">
        <v>0</v>
      </c>
      <c r="H25" s="3">
        <v>2.1578769000000001E-4</v>
      </c>
      <c r="I25" s="3">
        <v>6.0478137000000001E-5</v>
      </c>
      <c r="J25" s="3">
        <v>-4.7298035999999999E-4</v>
      </c>
      <c r="K25" s="3"/>
      <c r="L25" s="3">
        <f t="shared" si="0"/>
        <v>5.7176507537688446E-3</v>
      </c>
      <c r="M25" s="3"/>
      <c r="N25" s="2">
        <f>IF('Modell einstellen'!$B$1="Voll",H25/0.35,H25/0.35*2)</f>
        <v>6.1653625714285724E-4</v>
      </c>
      <c r="O25" s="2">
        <f>IF('Modell einstellen'!$B$1="Voll",J25/0.35,J25/0.35*2)</f>
        <v>-1.3513724571428572E-3</v>
      </c>
      <c r="P25" s="3">
        <f t="shared" si="1"/>
        <v>0.45622970475983404</v>
      </c>
      <c r="Q25" s="3"/>
      <c r="R25" s="3"/>
      <c r="S25" s="3"/>
      <c r="T25" s="3"/>
      <c r="U25" s="3"/>
      <c r="V25" s="3"/>
      <c r="W25" s="3"/>
      <c r="X25" s="3"/>
      <c r="Y25" s="3"/>
    </row>
    <row r="26" spans="1:25" x14ac:dyDescent="0.25">
      <c r="A26" s="3">
        <v>100000000</v>
      </c>
      <c r="B26" s="3">
        <v>-1.4430000000000001E-4</v>
      </c>
      <c r="C26" s="3">
        <v>5.9940000000000004E-4</v>
      </c>
      <c r="D26" s="3">
        <v>-6.0479999999999996E-4</v>
      </c>
      <c r="E26" s="3">
        <v>0</v>
      </c>
      <c r="F26" s="3">
        <v>0</v>
      </c>
      <c r="G26" s="3">
        <v>0</v>
      </c>
      <c r="H26" s="3">
        <v>2.8171993999999998E-4</v>
      </c>
      <c r="I26" s="3">
        <v>7.8549946999999993E-5</v>
      </c>
      <c r="J26" s="3">
        <v>-6.0477885999999997E-4</v>
      </c>
      <c r="K26" s="3"/>
      <c r="L26" s="3">
        <f t="shared" si="0"/>
        <v>-0.23859126984126988</v>
      </c>
      <c r="M26" s="3"/>
      <c r="N26" s="2">
        <f>IF('Modell einstellen'!$B$1="Voll",H26/0.35,H26/0.35*2)</f>
        <v>8.0491411428571425E-4</v>
      </c>
      <c r="O26" s="2">
        <f>IF('Modell einstellen'!$B$1="Voll",J26/0.35,J26/0.35*2)</f>
        <v>-1.7279395999999999E-3</v>
      </c>
      <c r="P26" s="3">
        <f t="shared" si="1"/>
        <v>0.46582306134179358</v>
      </c>
      <c r="Q26" s="3"/>
      <c r="R26" s="3"/>
      <c r="S26" s="3"/>
      <c r="T26" s="3"/>
      <c r="U26" s="3"/>
      <c r="V26" s="3"/>
      <c r="W26" s="3"/>
      <c r="X26" s="3"/>
      <c r="Y26" s="3"/>
    </row>
    <row r="27" spans="1:25" x14ac:dyDescent="0.25">
      <c r="A27" s="3">
        <v>1000000000</v>
      </c>
      <c r="B27" s="3">
        <v>-4.5300000000000001E-4</v>
      </c>
      <c r="C27" s="3">
        <v>7.6369999999999997E-4</v>
      </c>
      <c r="D27" s="3">
        <v>-4.6430000000000001E-4</v>
      </c>
      <c r="E27" s="3">
        <v>0</v>
      </c>
      <c r="F27" s="3">
        <v>0</v>
      </c>
      <c r="G27" s="3">
        <v>0</v>
      </c>
      <c r="H27" s="3">
        <v>3.9111518000000002E-4</v>
      </c>
      <c r="I27" s="3">
        <v>1.0692068000000001E-4</v>
      </c>
      <c r="J27" s="3">
        <v>-8.1764090999999995E-4</v>
      </c>
      <c r="K27" s="3"/>
      <c r="L27" s="3">
        <f t="shared" si="0"/>
        <v>-0.97566228731423643</v>
      </c>
      <c r="M27" s="3"/>
      <c r="N27" s="2">
        <f>IF('Modell einstellen'!$B$1="Voll",H27/0.35,H27/0.35*2)</f>
        <v>1.1174719428571429E-3</v>
      </c>
      <c r="O27" s="2">
        <f>IF('Modell einstellen'!$B$1="Voll",J27/0.35,J27/0.35*2)</f>
        <v>-2.3361168857142858E-3</v>
      </c>
      <c r="P27" s="3">
        <f t="shared" si="1"/>
        <v>0.47834590370484276</v>
      </c>
      <c r="Q27" s="3"/>
      <c r="R27" s="3"/>
      <c r="S27" s="3"/>
      <c r="T27" s="3"/>
      <c r="U27" s="3"/>
      <c r="V27" s="3"/>
      <c r="W27" s="3"/>
      <c r="X27" s="3"/>
      <c r="Y27" s="3"/>
    </row>
    <row r="28" spans="1:25" x14ac:dyDescent="0.25">
      <c r="A28" s="3">
        <v>10000000000</v>
      </c>
      <c r="B28" s="3">
        <v>-9.6690000000000003E-4</v>
      </c>
      <c r="C28" s="3">
        <v>9.8149999999999995E-4</v>
      </c>
      <c r="D28" s="3">
        <v>-1.7149999999999999E-4</v>
      </c>
      <c r="E28" s="3">
        <v>0</v>
      </c>
      <c r="F28" s="3">
        <v>0</v>
      </c>
      <c r="G28" s="3">
        <v>0</v>
      </c>
      <c r="H28" s="3">
        <v>5.5213829000000001E-4</v>
      </c>
      <c r="I28" s="3">
        <v>1.4669219E-4</v>
      </c>
      <c r="J28" s="3">
        <v>-1.1235335999999999E-3</v>
      </c>
      <c r="K28" s="3"/>
      <c r="L28" s="3">
        <f t="shared" si="0"/>
        <v>-5.6379008746355685</v>
      </c>
      <c r="M28" s="3"/>
      <c r="N28" s="2">
        <f>IF('Modell einstellen'!$B$1="Voll",H28/0.35,H28/0.35*2)</f>
        <v>1.5775379714285716E-3</v>
      </c>
      <c r="O28" s="2">
        <f>IF('Modell einstellen'!$B$1="Voll",J28/0.35,J28/0.35*2)</f>
        <v>-3.210096E-3</v>
      </c>
      <c r="P28" s="3">
        <f t="shared" si="1"/>
        <v>0.49143015393576134</v>
      </c>
      <c r="Q28" s="3"/>
      <c r="R28" s="3"/>
      <c r="S28" s="3"/>
      <c r="T28" s="3"/>
      <c r="U28" s="3"/>
      <c r="V28" s="3"/>
      <c r="W28" s="3"/>
      <c r="X28" s="3"/>
      <c r="Y28" s="3"/>
    </row>
    <row r="29" spans="1:25" x14ac:dyDescent="0.25">
      <c r="A29" s="3">
        <v>100000000000</v>
      </c>
      <c r="B29" s="3">
        <v>-1.6249999999999999E-3</v>
      </c>
      <c r="C29" s="3">
        <v>1.2260000000000001E-3</v>
      </c>
      <c r="D29" s="3">
        <v>2.4010000000000001E-4</v>
      </c>
      <c r="E29" s="3">
        <v>0</v>
      </c>
      <c r="F29" s="3">
        <v>0</v>
      </c>
      <c r="G29" s="3">
        <v>0</v>
      </c>
      <c r="H29" s="3">
        <v>7.4568340000000005E-4</v>
      </c>
      <c r="I29" s="3">
        <v>1.9298513999999999E-4</v>
      </c>
      <c r="J29" s="3">
        <v>-1.4852931E-3</v>
      </c>
      <c r="K29" s="3"/>
      <c r="L29" s="3">
        <f t="shared" si="0"/>
        <v>6.7680133277800909</v>
      </c>
      <c r="M29" s="3"/>
      <c r="N29" s="2">
        <f>IF('Modell einstellen'!$B$1="Voll",H29/0.35,H29/0.35*2)</f>
        <v>2.1305240000000004E-3</v>
      </c>
      <c r="O29" s="2">
        <f>IF('Modell einstellen'!$B$1="Voll",J29/0.35,J29/0.35*2)</f>
        <v>-4.2436945714285712E-3</v>
      </c>
      <c r="P29" s="3">
        <f t="shared" si="1"/>
        <v>0.50204461328205197</v>
      </c>
      <c r="Q29" s="3"/>
      <c r="R29" s="3"/>
      <c r="S29" s="3"/>
      <c r="T29" s="3"/>
      <c r="U29" s="3"/>
      <c r="V29" s="3"/>
      <c r="W29" s="3"/>
      <c r="X29" s="3"/>
      <c r="Y29" s="3"/>
    </row>
    <row r="30" spans="1:25" x14ac:dyDescent="0.25">
      <c r="A30" s="3">
        <v>1000000000000</v>
      </c>
      <c r="B30" s="3">
        <v>-2.1779999999999998E-3</v>
      </c>
      <c r="C30" s="3">
        <v>1.423E-3</v>
      </c>
      <c r="D30" s="3">
        <v>5.955E-4</v>
      </c>
      <c r="E30" s="3">
        <v>0</v>
      </c>
      <c r="F30" s="3">
        <v>0</v>
      </c>
      <c r="G30" s="3">
        <v>0</v>
      </c>
      <c r="H30" s="3">
        <v>9.0451116E-4</v>
      </c>
      <c r="I30" s="3">
        <v>2.3102925E-4</v>
      </c>
      <c r="J30" s="3">
        <v>-1.7819767E-3</v>
      </c>
      <c r="K30" s="3"/>
      <c r="L30" s="3">
        <f t="shared" si="0"/>
        <v>3.6574307304785889</v>
      </c>
      <c r="M30" s="3"/>
      <c r="N30" s="2">
        <f>IF('Modell einstellen'!$B$1="Voll",H30/0.35,H30/0.35*2)</f>
        <v>2.5843176000000002E-3</v>
      </c>
      <c r="O30" s="2">
        <f>IF('Modell einstellen'!$B$1="Voll",J30/0.35,J30/0.35*2)</f>
        <v>-5.0913620000000003E-3</v>
      </c>
      <c r="P30" s="3">
        <f t="shared" si="1"/>
        <v>0.5075886570234055</v>
      </c>
      <c r="Q30" s="3"/>
      <c r="R30" s="3"/>
      <c r="S30" s="3"/>
      <c r="T30" s="3"/>
      <c r="U30" s="3"/>
      <c r="V30" s="3"/>
      <c r="W30" s="3"/>
      <c r="X30" s="3"/>
      <c r="Y30" s="3"/>
    </row>
    <row r="31" spans="1:25" x14ac:dyDescent="0.25">
      <c r="A31" s="3">
        <v>10000000000000</v>
      </c>
      <c r="B31" s="3">
        <v>-2.5579999999999999E-3</v>
      </c>
      <c r="C31" s="3">
        <v>1.5579999999999999E-3</v>
      </c>
      <c r="D31" s="3">
        <v>8.4020000000000004E-4</v>
      </c>
      <c r="E31" s="3">
        <v>0</v>
      </c>
      <c r="F31" s="3">
        <v>0</v>
      </c>
      <c r="G31" s="3">
        <v>0</v>
      </c>
      <c r="H31" s="3">
        <v>1.0125774999999999E-3</v>
      </c>
      <c r="I31" s="3">
        <v>2.5729425000000001E-4</v>
      </c>
      <c r="J31" s="3">
        <v>-1.9850181999999999E-3</v>
      </c>
      <c r="K31" s="3"/>
      <c r="L31" s="3">
        <f t="shared" si="0"/>
        <v>3.0445132111402047</v>
      </c>
      <c r="M31" s="3"/>
      <c r="N31" s="2">
        <f>IF('Modell einstellen'!$B$1="Voll",H31/0.35,H31/0.35*2)</f>
        <v>2.8930785714285714E-3</v>
      </c>
      <c r="O31" s="2">
        <f>IF('Modell einstellen'!$B$1="Voll",J31/0.35,J31/0.35*2)</f>
        <v>-5.6714805714285716E-3</v>
      </c>
      <c r="P31" s="3">
        <f t="shared" si="1"/>
        <v>0.51010993249331416</v>
      </c>
      <c r="Q31" s="3"/>
      <c r="R31" s="3"/>
      <c r="S31" s="3"/>
      <c r="T31" s="3"/>
      <c r="U31" s="3"/>
      <c r="V31" s="3"/>
      <c r="W31" s="3"/>
      <c r="X31" s="3"/>
      <c r="Y31" s="3"/>
    </row>
    <row r="32" spans="1:25" x14ac:dyDescent="0.25">
      <c r="A32" s="3">
        <v>100000000000000</v>
      </c>
      <c r="B32" s="3">
        <v>-2.7910000000000001E-3</v>
      </c>
      <c r="C32" s="3">
        <v>1.6410000000000001E-3</v>
      </c>
      <c r="D32" s="3">
        <v>9.8890000000000002E-4</v>
      </c>
      <c r="E32" s="3">
        <v>0</v>
      </c>
      <c r="F32" s="3">
        <v>0</v>
      </c>
      <c r="G32" s="3">
        <v>0</v>
      </c>
      <c r="H32" s="3">
        <v>1.0788970000000001E-3</v>
      </c>
      <c r="I32" s="3">
        <v>2.7363685999999999E-4</v>
      </c>
      <c r="J32" s="3">
        <v>-2.1103508999999999E-3</v>
      </c>
      <c r="K32" s="3"/>
      <c r="L32" s="3">
        <f t="shared" si="0"/>
        <v>2.8223278390130448</v>
      </c>
      <c r="M32" s="3"/>
      <c r="N32" s="2">
        <f>IF('Modell einstellen'!$B$1="Voll",H32/0.35,H32/0.35*2)</f>
        <v>3.0825628571428576E-3</v>
      </c>
      <c r="O32" s="2">
        <f>IF('Modell einstellen'!$B$1="Voll",J32/0.35,J32/0.35*2)</f>
        <v>-6.0295740000000002E-3</v>
      </c>
      <c r="P32" s="3">
        <f t="shared" si="1"/>
        <v>0.51124057141397672</v>
      </c>
      <c r="Q32" s="3"/>
      <c r="R32" s="3"/>
      <c r="S32" s="3"/>
      <c r="T32" s="3"/>
      <c r="U32" s="3"/>
      <c r="V32" s="3"/>
      <c r="W32" s="3"/>
      <c r="X32" s="3"/>
      <c r="Y32" s="3"/>
    </row>
    <row r="33" spans="1:25" x14ac:dyDescent="0.25">
      <c r="A33" s="2">
        <v>1000000000000000</v>
      </c>
      <c r="B33" s="3">
        <v>-2.9629999999999999E-3</v>
      </c>
      <c r="C33" s="3">
        <v>1.702E-3</v>
      </c>
      <c r="D33" s="3">
        <v>1.1000000000000001E-3</v>
      </c>
      <c r="E33" s="3">
        <v>0</v>
      </c>
      <c r="F33" s="3">
        <v>0</v>
      </c>
      <c r="G33" s="3">
        <v>0</v>
      </c>
      <c r="H33" s="3">
        <v>1.1283097000000001E-3</v>
      </c>
      <c r="I33" s="3">
        <v>2.8565549E-4</v>
      </c>
      <c r="J33" s="3">
        <v>-2.2031231E-3</v>
      </c>
      <c r="K33" s="3"/>
      <c r="L33" s="3">
        <f t="shared" si="0"/>
        <v>2.6936363636363634</v>
      </c>
      <c r="M33" s="3"/>
      <c r="N33" s="2">
        <f>IF('Modell einstellen'!$B$1="Voll",H33/0.35,H33/0.35*2)</f>
        <v>3.2237420000000004E-3</v>
      </c>
      <c r="O33" s="2">
        <f>IF('Modell einstellen'!$B$1="Voll",J33/0.35,J33/0.35*2)</f>
        <v>-6.2946374285714288E-3</v>
      </c>
      <c r="P33" s="3">
        <f t="shared" si="1"/>
        <v>0.51214101472586804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3" t="s">
        <v>117</v>
      </c>
      <c r="M1" s="83"/>
      <c r="N1" s="83" t="s">
        <v>39</v>
      </c>
      <c r="O1" s="3" t="s">
        <v>116</v>
      </c>
      <c r="P1" s="83"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3"/>
      <c r="O2" s="83"/>
      <c r="P2" s="3"/>
      <c r="Q2" s="3"/>
      <c r="R2" s="3"/>
      <c r="S2" s="3"/>
      <c r="T2" s="3"/>
      <c r="U2" s="3"/>
    </row>
    <row r="3" spans="1:21" x14ac:dyDescent="0.25">
      <c r="A3" s="3">
        <v>1.0000000000000001E-15</v>
      </c>
      <c r="B3" s="3">
        <v>9.9110000000000005E-5</v>
      </c>
      <c r="C3" s="3">
        <v>1.304E-4</v>
      </c>
      <c r="D3" s="3">
        <v>-3.569E-4</v>
      </c>
      <c r="E3" s="3">
        <v>0</v>
      </c>
      <c r="F3" s="3">
        <v>0</v>
      </c>
      <c r="G3" s="3">
        <v>0</v>
      </c>
      <c r="H3" s="3">
        <v>4.9460333999999998E-5</v>
      </c>
      <c r="I3" s="3">
        <v>1.3092459E-5</v>
      </c>
      <c r="J3" s="3">
        <v>-1.3433793E-4</v>
      </c>
      <c r="K3" s="3"/>
      <c r="L3" s="3">
        <f>-B3/D3</f>
        <v>0.27769683384701599</v>
      </c>
      <c r="M3" s="3"/>
      <c r="N3" s="2">
        <f>IF('Modell einstellen'!$B$1="Voll",H3/0.35,H3/0.35*2)</f>
        <v>1.4131524E-4</v>
      </c>
      <c r="O3" s="2">
        <f>IF('Modell einstellen'!$B$1="Voll",J3/0.35,J3/0.35*2)</f>
        <v>-3.8382265714285714E-4</v>
      </c>
      <c r="P3" s="3">
        <f>-N3/O3</f>
        <v>0.36817847349590693</v>
      </c>
      <c r="Q3" s="3"/>
      <c r="R3" s="3"/>
      <c r="S3" s="3"/>
      <c r="T3" s="3"/>
      <c r="U3" s="3"/>
    </row>
    <row r="4" spans="1:21" x14ac:dyDescent="0.25">
      <c r="A4" s="3">
        <v>1E-14</v>
      </c>
      <c r="B4" s="3">
        <v>1.005E-4</v>
      </c>
      <c r="C4" s="3">
        <v>1.3439999999999999E-4</v>
      </c>
      <c r="D4" s="3">
        <v>-3.6289999999999998E-4</v>
      </c>
      <c r="E4" s="3">
        <v>0</v>
      </c>
      <c r="F4" s="3">
        <v>0</v>
      </c>
      <c r="G4" s="3">
        <v>0</v>
      </c>
      <c r="H4" s="3">
        <v>5.1199209999999997E-5</v>
      </c>
      <c r="I4" s="3">
        <v>1.3517342999999999E-5</v>
      </c>
      <c r="J4" s="3">
        <v>-1.3768455999999999E-4</v>
      </c>
      <c r="K4" s="3"/>
      <c r="L4" s="3">
        <f t="shared" ref="L4:L33" si="0">-B4/D4</f>
        <v>0.27693579498484433</v>
      </c>
      <c r="M4" s="3"/>
      <c r="N4" s="2">
        <f>IF('Modell einstellen'!$B$1="Voll",H4/0.35,H4/0.35*2)</f>
        <v>1.4628345714285713E-4</v>
      </c>
      <c r="O4" s="2">
        <f>IF('Modell einstellen'!$B$1="Voll",J4/0.35,J4/0.35*2)</f>
        <v>-3.9338445714285714E-4</v>
      </c>
      <c r="P4" s="3">
        <f t="shared" ref="P4:P33" si="1">-N4/O4</f>
        <v>0.37185876179580335</v>
      </c>
      <c r="Q4" s="3"/>
      <c r="R4" s="3"/>
      <c r="S4" s="3"/>
      <c r="T4" s="3"/>
      <c r="U4" s="3"/>
    </row>
    <row r="5" spans="1:21" x14ac:dyDescent="0.25">
      <c r="A5" s="3">
        <v>1E-13</v>
      </c>
      <c r="B5" s="3">
        <v>1.0170000000000001E-4</v>
      </c>
      <c r="C5" s="3">
        <v>1.3789999999999999E-4</v>
      </c>
      <c r="D5" s="3">
        <v>-3.6820000000000001E-4</v>
      </c>
      <c r="E5" s="3">
        <v>0</v>
      </c>
      <c r="F5" s="3">
        <v>0</v>
      </c>
      <c r="G5" s="3">
        <v>0</v>
      </c>
      <c r="H5" s="3">
        <v>5.2807555999999999E-5</v>
      </c>
      <c r="I5" s="3">
        <v>1.390634E-5</v>
      </c>
      <c r="J5" s="3">
        <v>-1.4076966E-4</v>
      </c>
      <c r="K5" s="3"/>
      <c r="L5" s="3">
        <f t="shared" si="0"/>
        <v>0.2762085822922325</v>
      </c>
      <c r="M5" s="3"/>
      <c r="N5" s="2">
        <f>IF('Modell einstellen'!$B$1="Voll",H5/0.35,H5/0.35*2)</f>
        <v>1.5087873142857142E-4</v>
      </c>
      <c r="O5" s="2">
        <f>IF('Modell einstellen'!$B$1="Voll",J5/0.35,J5/0.35*2)</f>
        <v>-4.0219902857142859E-4</v>
      </c>
      <c r="P5" s="3">
        <f t="shared" si="1"/>
        <v>0.3751344998631097</v>
      </c>
      <c r="Q5" s="3"/>
      <c r="R5" s="3"/>
      <c r="S5" s="3"/>
      <c r="T5" s="3"/>
      <c r="U5" s="3"/>
    </row>
    <row r="6" spans="1:21" x14ac:dyDescent="0.25">
      <c r="A6" s="3">
        <v>9.9999999999999998E-13</v>
      </c>
      <c r="B6" s="3">
        <v>1.03E-4</v>
      </c>
      <c r="C6" s="3">
        <v>1.4190000000000001E-4</v>
      </c>
      <c r="D6" s="3">
        <v>-3.7409999999999999E-4</v>
      </c>
      <c r="E6" s="3">
        <v>0</v>
      </c>
      <c r="F6" s="3">
        <v>0</v>
      </c>
      <c r="G6" s="3">
        <v>0</v>
      </c>
      <c r="H6" s="3">
        <v>5.4658932E-5</v>
      </c>
      <c r="I6" s="3">
        <v>1.4349431E-5</v>
      </c>
      <c r="J6" s="3">
        <v>-1.4430224000000001E-4</v>
      </c>
      <c r="K6" s="3"/>
      <c r="L6" s="3">
        <f t="shared" si="0"/>
        <v>0.27532745255279339</v>
      </c>
      <c r="M6" s="3"/>
      <c r="N6" s="2">
        <f>IF('Modell einstellen'!$B$1="Voll",H6/0.35,H6/0.35*2)</f>
        <v>1.5616837714285716E-4</v>
      </c>
      <c r="O6" s="2">
        <f>IF('Modell einstellen'!$B$1="Voll",J6/0.35,J6/0.35*2)</f>
        <v>-4.1229211428571433E-4</v>
      </c>
      <c r="P6" s="3">
        <f t="shared" si="1"/>
        <v>0.37878089764926726</v>
      </c>
      <c r="Q6" s="3"/>
      <c r="R6" s="3"/>
      <c r="S6" s="3"/>
      <c r="T6" s="3"/>
      <c r="U6" s="3"/>
    </row>
    <row r="7" spans="1:21" x14ac:dyDescent="0.25">
      <c r="A7" s="3">
        <v>9.9999999999999994E-12</v>
      </c>
      <c r="B7" s="3">
        <v>1.042E-4</v>
      </c>
      <c r="C7" s="3">
        <v>1.4640000000000001E-4</v>
      </c>
      <c r="D7" s="3">
        <v>-3.8059999999999998E-4</v>
      </c>
      <c r="E7" s="3">
        <v>0</v>
      </c>
      <c r="F7" s="3">
        <v>0</v>
      </c>
      <c r="G7" s="3">
        <v>0</v>
      </c>
      <c r="H7" s="3">
        <v>5.6776127000000001E-5</v>
      </c>
      <c r="I7" s="3">
        <v>1.4849967999999999E-5</v>
      </c>
      <c r="J7" s="3">
        <v>-1.4831743000000001E-4</v>
      </c>
      <c r="K7" s="3"/>
      <c r="L7" s="3">
        <f t="shared" si="0"/>
        <v>0.27377824487651076</v>
      </c>
      <c r="M7" s="3"/>
      <c r="N7" s="2">
        <f>IF('Modell einstellen'!$B$1="Voll",H7/0.35,H7/0.35*2)</f>
        <v>1.6221750571428572E-4</v>
      </c>
      <c r="O7" s="2">
        <f>IF('Modell einstellen'!$B$1="Voll",J7/0.35,J7/0.35*2)</f>
        <v>-4.237640857142858E-4</v>
      </c>
      <c r="P7" s="3">
        <f t="shared" si="1"/>
        <v>0.38280144821818979</v>
      </c>
      <c r="Q7" s="3"/>
      <c r="R7" s="3"/>
      <c r="S7" s="3"/>
      <c r="T7" s="3"/>
      <c r="U7" s="3"/>
    </row>
    <row r="8" spans="1:21" x14ac:dyDescent="0.25">
      <c r="A8" s="3">
        <v>1E-10</v>
      </c>
      <c r="B8" s="3">
        <v>1.055E-4</v>
      </c>
      <c r="C8" s="3">
        <v>1.516E-4</v>
      </c>
      <c r="D8" s="3">
        <v>-3.879E-4</v>
      </c>
      <c r="E8" s="3">
        <v>0</v>
      </c>
      <c r="F8" s="3">
        <v>0</v>
      </c>
      <c r="G8" s="3">
        <v>0</v>
      </c>
      <c r="H8" s="3">
        <v>5.9264320999999998E-5</v>
      </c>
      <c r="I8" s="3">
        <v>1.5430324999999999E-5</v>
      </c>
      <c r="J8" s="3">
        <v>-1.5300515999999999E-4</v>
      </c>
      <c r="K8" s="3"/>
      <c r="L8" s="3">
        <f t="shared" si="0"/>
        <v>0.27197731374065481</v>
      </c>
      <c r="M8" s="3"/>
      <c r="N8" s="2">
        <f>IF('Modell einstellen'!$B$1="Voll",H8/0.35,H8/0.35*2)</f>
        <v>1.6932663142857143E-4</v>
      </c>
      <c r="O8" s="2">
        <f>IF('Modell einstellen'!$B$1="Voll",J8/0.35,J8/0.35*2)</f>
        <v>-4.3715760000000002E-4</v>
      </c>
      <c r="P8" s="3">
        <f t="shared" si="1"/>
        <v>0.38733544019038313</v>
      </c>
      <c r="Q8" s="3"/>
      <c r="R8" s="3"/>
      <c r="S8" s="3"/>
      <c r="T8" s="3"/>
      <c r="U8" s="3"/>
    </row>
    <row r="9" spans="1:21" x14ac:dyDescent="0.25">
      <c r="A9" s="3">
        <v>1.0000000000000001E-9</v>
      </c>
      <c r="B9" s="3">
        <v>1.065E-4</v>
      </c>
      <c r="C9" s="3">
        <v>1.5699999999999999E-4</v>
      </c>
      <c r="D9" s="3">
        <v>-3.9520000000000001E-4</v>
      </c>
      <c r="E9" s="3">
        <v>0</v>
      </c>
      <c r="F9" s="3">
        <v>0</v>
      </c>
      <c r="G9" s="3">
        <v>0</v>
      </c>
      <c r="H9" s="3">
        <v>6.1922609E-5</v>
      </c>
      <c r="I9" s="3">
        <v>1.6040349E-5</v>
      </c>
      <c r="J9" s="3">
        <v>-1.5797418999999999E-4</v>
      </c>
      <c r="K9" s="3"/>
      <c r="L9" s="3">
        <f t="shared" si="0"/>
        <v>0.26948380566801616</v>
      </c>
      <c r="M9" s="3"/>
      <c r="N9" s="2">
        <f>IF('Modell einstellen'!$B$1="Voll",H9/0.35,H9/0.35*2)</f>
        <v>1.7692174000000002E-4</v>
      </c>
      <c r="O9" s="2">
        <f>IF('Modell einstellen'!$B$1="Voll",J9/0.35,J9/0.35*2)</f>
        <v>-4.5135482857142859E-4</v>
      </c>
      <c r="P9" s="3">
        <f t="shared" si="1"/>
        <v>0.39197927838718466</v>
      </c>
      <c r="Q9" s="3"/>
      <c r="R9" s="3"/>
      <c r="S9" s="3"/>
      <c r="T9" s="3"/>
      <c r="U9" s="3"/>
    </row>
    <row r="10" spans="1:21" x14ac:dyDescent="0.25">
      <c r="A10" s="3">
        <v>1E-8</v>
      </c>
      <c r="B10" s="3">
        <v>1.0730000000000001E-4</v>
      </c>
      <c r="C10" s="3">
        <v>1.6239999999999999E-4</v>
      </c>
      <c r="D10" s="3">
        <v>-4.0220000000000002E-4</v>
      </c>
      <c r="E10" s="3">
        <v>0</v>
      </c>
      <c r="F10" s="3">
        <v>0</v>
      </c>
      <c r="G10" s="3">
        <v>0</v>
      </c>
      <c r="H10" s="3">
        <v>6.4636566999999993E-5</v>
      </c>
      <c r="I10" s="3">
        <v>1.6653371999999999E-5</v>
      </c>
      <c r="J10" s="3">
        <v>-1.6300937E-4</v>
      </c>
      <c r="K10" s="3"/>
      <c r="L10" s="3">
        <f t="shared" si="0"/>
        <v>0.26678269517652908</v>
      </c>
      <c r="M10" s="3"/>
      <c r="N10" s="2">
        <f>IF('Modell einstellen'!$B$1="Voll",H10/0.35,H10/0.35*2)</f>
        <v>1.8467590571428572E-4</v>
      </c>
      <c r="O10" s="2">
        <f>IF('Modell einstellen'!$B$1="Voll",J10/0.35,J10/0.35*2)</f>
        <v>-4.6574105714285716E-4</v>
      </c>
      <c r="P10" s="3">
        <f t="shared" si="1"/>
        <v>0.39652056197751084</v>
      </c>
      <c r="Q10" s="3"/>
      <c r="R10" s="3"/>
      <c r="S10" s="3"/>
      <c r="T10" s="3"/>
      <c r="U10" s="3"/>
    </row>
    <row r="11" spans="1:21" x14ac:dyDescent="0.25">
      <c r="A11" s="3">
        <v>9.9999999999999995E-8</v>
      </c>
      <c r="B11" s="3">
        <v>1.0789999999999999E-4</v>
      </c>
      <c r="C11" s="3">
        <v>1.6899999999999999E-4</v>
      </c>
      <c r="D11" s="3">
        <v>-4.104E-4</v>
      </c>
      <c r="E11" s="3">
        <v>0</v>
      </c>
      <c r="F11" s="3">
        <v>0</v>
      </c>
      <c r="G11" s="3">
        <v>0</v>
      </c>
      <c r="H11" s="3">
        <v>6.8038557999999994E-5</v>
      </c>
      <c r="I11" s="3">
        <v>1.7408406000000001E-5</v>
      </c>
      <c r="J11" s="3">
        <v>-1.6926981000000001E-4</v>
      </c>
      <c r="K11" s="3"/>
      <c r="L11" s="3">
        <f t="shared" si="0"/>
        <v>0.26291423001949316</v>
      </c>
      <c r="M11" s="3"/>
      <c r="N11" s="2">
        <f>IF('Modell einstellen'!$B$1="Voll",H11/0.35,H11/0.35*2)</f>
        <v>1.9439587999999999E-4</v>
      </c>
      <c r="O11" s="2">
        <f>IF('Modell einstellen'!$B$1="Voll",J11/0.35,J11/0.35*2)</f>
        <v>-4.8362802857142864E-4</v>
      </c>
      <c r="P11" s="3">
        <f t="shared" si="1"/>
        <v>0.40195329574718602</v>
      </c>
      <c r="Q11" s="3"/>
      <c r="R11" s="3"/>
      <c r="S11" s="3"/>
      <c r="T11" s="3"/>
      <c r="U11" s="3"/>
    </row>
    <row r="12" spans="1:21" x14ac:dyDescent="0.25">
      <c r="A12" s="3">
        <v>9.9999999999999995E-7</v>
      </c>
      <c r="B12" s="3">
        <v>1.08E-4</v>
      </c>
      <c r="C12" s="3">
        <v>1.773E-4</v>
      </c>
      <c r="D12" s="3">
        <v>-4.2010000000000002E-4</v>
      </c>
      <c r="E12" s="3">
        <v>0</v>
      </c>
      <c r="F12" s="3">
        <v>0</v>
      </c>
      <c r="G12" s="3">
        <v>0</v>
      </c>
      <c r="H12" s="3">
        <v>7.2460772999999995E-5</v>
      </c>
      <c r="I12" s="3">
        <v>1.8366869E-5</v>
      </c>
      <c r="J12" s="3">
        <v>-1.7731959E-4</v>
      </c>
      <c r="K12" s="3"/>
      <c r="L12" s="3">
        <f t="shared" si="0"/>
        <v>0.25708164722685073</v>
      </c>
      <c r="M12" s="3"/>
      <c r="N12" s="2">
        <f>IF('Modell einstellen'!$B$1="Voll",H12/0.35,H12/0.35*2)</f>
        <v>2.0703078E-4</v>
      </c>
      <c r="O12" s="2">
        <f>IF('Modell einstellen'!$B$1="Voll",J12/0.35,J12/0.35*2)</f>
        <v>-5.0662740000000008E-4</v>
      </c>
      <c r="P12" s="3">
        <f t="shared" si="1"/>
        <v>0.40864505157044401</v>
      </c>
      <c r="Q12" s="3"/>
      <c r="R12" s="3"/>
      <c r="S12" s="3"/>
      <c r="T12" s="3"/>
      <c r="U12" s="3"/>
    </row>
    <row r="13" spans="1:21" x14ac:dyDescent="0.25">
      <c r="A13" s="3">
        <v>1.0000000000000001E-5</v>
      </c>
      <c r="B13" s="3">
        <v>1.0739999999999999E-4</v>
      </c>
      <c r="C13" s="3">
        <v>1.863E-4</v>
      </c>
      <c r="D13" s="3">
        <v>-4.2999999999999999E-4</v>
      </c>
      <c r="E13" s="3">
        <v>0</v>
      </c>
      <c r="F13" s="3">
        <v>0</v>
      </c>
      <c r="G13" s="3">
        <v>0</v>
      </c>
      <c r="H13" s="3">
        <v>7.7545886999999997E-5</v>
      </c>
      <c r="I13" s="3">
        <v>1.943617E-5</v>
      </c>
      <c r="J13" s="3">
        <v>-1.8645050000000001E-4</v>
      </c>
      <c r="K13" s="3"/>
      <c r="L13" s="3">
        <f t="shared" si="0"/>
        <v>0.24976744186046512</v>
      </c>
      <c r="M13" s="3"/>
      <c r="N13" s="2">
        <f>IF('Modell einstellen'!$B$1="Voll",H13/0.35,H13/0.35*2)</f>
        <v>2.2155967714285714E-4</v>
      </c>
      <c r="O13" s="2">
        <f>IF('Modell einstellen'!$B$1="Voll",J13/0.35,J13/0.35*2)</f>
        <v>-5.3271571428571435E-4</v>
      </c>
      <c r="P13" s="3">
        <f t="shared" si="1"/>
        <v>0.41590602867785276</v>
      </c>
      <c r="Q13" s="3"/>
      <c r="R13" s="3"/>
      <c r="S13" s="3"/>
      <c r="T13" s="3"/>
      <c r="U13" s="3"/>
    </row>
    <row r="14" spans="1:21" x14ac:dyDescent="0.25">
      <c r="A14" s="3">
        <v>1E-4</v>
      </c>
      <c r="B14" s="3">
        <v>1.06E-4</v>
      </c>
      <c r="C14" s="3">
        <v>1.9450000000000001E-4</v>
      </c>
      <c r="D14" s="3">
        <v>-4.3800000000000002E-4</v>
      </c>
      <c r="E14" s="3">
        <v>0</v>
      </c>
      <c r="F14" s="3">
        <v>0</v>
      </c>
      <c r="G14" s="3">
        <v>0</v>
      </c>
      <c r="H14" s="3">
        <v>8.2340898000000004E-5</v>
      </c>
      <c r="I14" s="3">
        <v>2.0411924999999999E-5</v>
      </c>
      <c r="J14" s="3">
        <v>-1.9493637E-4</v>
      </c>
      <c r="K14" s="3"/>
      <c r="L14" s="3">
        <f t="shared" si="0"/>
        <v>0.24200913242009131</v>
      </c>
      <c r="M14" s="3"/>
      <c r="N14" s="2">
        <f>IF('Modell einstellen'!$B$1="Voll",H14/0.35,H14/0.35*2)</f>
        <v>2.3525970857142859E-4</v>
      </c>
      <c r="O14" s="2">
        <f>IF('Modell einstellen'!$B$1="Voll",J14/0.35,J14/0.35*2)</f>
        <v>-5.569610571428572E-4</v>
      </c>
      <c r="P14" s="3">
        <f t="shared" si="1"/>
        <v>0.42239884737773664</v>
      </c>
      <c r="Q14" s="3"/>
      <c r="R14" s="3"/>
      <c r="S14" s="3"/>
      <c r="T14" s="3"/>
      <c r="U14" s="3"/>
    </row>
    <row r="15" spans="1:21" x14ac:dyDescent="0.25">
      <c r="A15" s="3">
        <v>1E-3</v>
      </c>
      <c r="B15" s="3">
        <v>1.0399999999999999E-4</v>
      </c>
      <c r="C15" s="3">
        <v>2.0220000000000001E-4</v>
      </c>
      <c r="D15" s="3">
        <v>-4.4499999999999997E-4</v>
      </c>
      <c r="E15" s="3">
        <v>0</v>
      </c>
      <c r="F15" s="3">
        <v>0</v>
      </c>
      <c r="G15" s="3">
        <v>0</v>
      </c>
      <c r="H15" s="3">
        <v>8.7079653000000004E-5</v>
      </c>
      <c r="I15" s="3">
        <v>2.1349371E-5</v>
      </c>
      <c r="J15" s="3">
        <v>-2.0322090999999999E-4</v>
      </c>
      <c r="K15" s="3"/>
      <c r="L15" s="3">
        <f t="shared" si="0"/>
        <v>0.23370786516853934</v>
      </c>
      <c r="M15" s="3"/>
      <c r="N15" s="2">
        <f>IF('Modell einstellen'!$B$1="Voll",H15/0.35,H15/0.35*2)</f>
        <v>2.4879900857142857E-4</v>
      </c>
      <c r="O15" s="2">
        <f>IF('Modell einstellen'!$B$1="Voll",J15/0.35,J15/0.35*2)</f>
        <v>-5.8063117142857139E-4</v>
      </c>
      <c r="P15" s="3">
        <f t="shared" si="1"/>
        <v>0.42849750549783489</v>
      </c>
      <c r="Q15" s="3"/>
      <c r="R15" s="3"/>
      <c r="S15" s="3"/>
      <c r="T15" s="3"/>
      <c r="U15" s="3"/>
    </row>
    <row r="16" spans="1:21" x14ac:dyDescent="0.25">
      <c r="A16" s="3">
        <v>0.01</v>
      </c>
      <c r="B16" s="3">
        <v>1.011E-4</v>
      </c>
      <c r="C16" s="3">
        <v>2.1029999999999999E-4</v>
      </c>
      <c r="D16" s="3">
        <v>-4.5140000000000002E-4</v>
      </c>
      <c r="E16" s="3">
        <v>0</v>
      </c>
      <c r="F16" s="3">
        <v>0</v>
      </c>
      <c r="G16" s="3">
        <v>0</v>
      </c>
      <c r="H16" s="3">
        <v>9.2259535999999998E-5</v>
      </c>
      <c r="I16" s="3">
        <v>2.2342363E-5</v>
      </c>
      <c r="J16" s="3">
        <v>-2.1215665E-4</v>
      </c>
      <c r="K16" s="3"/>
      <c r="L16" s="3">
        <f t="shared" si="0"/>
        <v>0.22396987151085512</v>
      </c>
      <c r="M16" s="3"/>
      <c r="N16" s="2">
        <f>IF('Modell einstellen'!$B$1="Voll",H16/0.35,H16/0.35*2)</f>
        <v>2.6359867428571432E-4</v>
      </c>
      <c r="O16" s="2">
        <f>IF('Modell einstellen'!$B$1="Voll",J16/0.35,J16/0.35*2)</f>
        <v>-6.0616185714285715E-4</v>
      </c>
      <c r="P16" s="3">
        <f t="shared" si="1"/>
        <v>0.43486516213373472</v>
      </c>
      <c r="Q16" s="3"/>
      <c r="R16" s="3"/>
      <c r="S16" s="3"/>
      <c r="T16" s="3"/>
      <c r="U16" s="3"/>
    </row>
    <row r="17" spans="1:21" x14ac:dyDescent="0.25">
      <c r="A17" s="3">
        <v>0.1</v>
      </c>
      <c r="B17" s="3">
        <v>9.7139999999999995E-5</v>
      </c>
      <c r="C17" s="3">
        <v>2.1900000000000001E-4</v>
      </c>
      <c r="D17" s="3">
        <v>-4.5750000000000001E-4</v>
      </c>
      <c r="E17" s="3">
        <v>0</v>
      </c>
      <c r="F17" s="3">
        <v>0</v>
      </c>
      <c r="G17" s="3">
        <v>0</v>
      </c>
      <c r="H17" s="3">
        <v>9.8091642000000003E-5</v>
      </c>
      <c r="I17" s="3">
        <v>2.3424817E-5</v>
      </c>
      <c r="J17" s="3">
        <v>-2.2208212999999999E-4</v>
      </c>
      <c r="K17" s="3"/>
      <c r="L17" s="3">
        <f t="shared" si="0"/>
        <v>0.212327868852459</v>
      </c>
      <c r="M17" s="3"/>
      <c r="N17" s="2">
        <f>IF('Modell einstellen'!$B$1="Voll",H17/0.35,H17/0.35*2)</f>
        <v>2.8026183428571432E-4</v>
      </c>
      <c r="O17" s="2">
        <f>IF('Modell einstellen'!$B$1="Voll",J17/0.35,J17/0.35*2)</f>
        <v>-6.3452037142857146E-4</v>
      </c>
      <c r="P17" s="3">
        <f t="shared" si="1"/>
        <v>0.44169083752934107</v>
      </c>
      <c r="Q17" s="3"/>
      <c r="R17" s="3"/>
      <c r="S17" s="3"/>
      <c r="T17" s="3"/>
      <c r="U17" s="3"/>
    </row>
    <row r="18" spans="1:21" x14ac:dyDescent="0.25">
      <c r="A18" s="3">
        <v>1</v>
      </c>
      <c r="B18" s="3">
        <v>9.2079999999999999E-5</v>
      </c>
      <c r="C18" s="3">
        <v>2.2800000000000001E-4</v>
      </c>
      <c r="D18" s="3">
        <v>-4.6270000000000003E-4</v>
      </c>
      <c r="E18" s="3">
        <v>0</v>
      </c>
      <c r="F18" s="3">
        <v>0</v>
      </c>
      <c r="G18" s="3">
        <v>0</v>
      </c>
      <c r="H18" s="3">
        <v>1.0436461999999999E-4</v>
      </c>
      <c r="I18" s="3">
        <v>2.4563282999999999E-5</v>
      </c>
      <c r="J18" s="3">
        <v>-2.3264974E-4</v>
      </c>
      <c r="K18" s="3"/>
      <c r="L18" s="3">
        <f t="shared" si="0"/>
        <v>0.19900583531445859</v>
      </c>
      <c r="M18" s="3"/>
      <c r="N18" s="2">
        <f>IF('Modell einstellen'!$B$1="Voll",H18/0.35,H18/0.35*2)</f>
        <v>2.9818462857142858E-4</v>
      </c>
      <c r="O18" s="2">
        <f>IF('Modell einstellen'!$B$1="Voll",J18/0.35,J18/0.35*2)</f>
        <v>-6.6471354285714285E-4</v>
      </c>
      <c r="P18" s="3">
        <f t="shared" si="1"/>
        <v>0.44859117401119813</v>
      </c>
      <c r="Q18" s="3"/>
      <c r="R18" s="3"/>
      <c r="S18" s="3"/>
      <c r="T18" s="3"/>
      <c r="U18" s="3"/>
    </row>
    <row r="19" spans="1:21" x14ac:dyDescent="0.25">
      <c r="A19" s="3">
        <v>10</v>
      </c>
      <c r="B19" s="3">
        <v>8.6130000000000004E-5</v>
      </c>
      <c r="C19" s="3">
        <v>2.4030000000000001E-4</v>
      </c>
      <c r="D19" s="3">
        <v>-4.704E-4</v>
      </c>
      <c r="E19" s="3">
        <v>0</v>
      </c>
      <c r="F19" s="3">
        <v>0</v>
      </c>
      <c r="G19" s="3">
        <v>0</v>
      </c>
      <c r="H19" s="3">
        <v>1.1215078E-4</v>
      </c>
      <c r="I19" s="3">
        <v>2.613031E-5</v>
      </c>
      <c r="J19" s="3">
        <v>-2.4624233999999997E-4</v>
      </c>
      <c r="K19" s="3"/>
      <c r="L19" s="3">
        <f t="shared" si="0"/>
        <v>0.18309948979591836</v>
      </c>
      <c r="M19" s="3"/>
      <c r="N19" s="2">
        <f>IF('Modell einstellen'!$B$1="Voll",H19/0.35,H19/0.35*2)</f>
        <v>3.2043080000000002E-4</v>
      </c>
      <c r="O19" s="2">
        <f>IF('Modell einstellen'!$B$1="Voll",J19/0.35,J19/0.35*2)</f>
        <v>-7.0354954285714285E-4</v>
      </c>
      <c r="P19" s="3">
        <f t="shared" si="1"/>
        <v>0.45544880705730789</v>
      </c>
      <c r="Q19" s="3"/>
      <c r="R19" s="3"/>
      <c r="S19" s="3"/>
      <c r="T19" s="3"/>
      <c r="U19" s="3"/>
    </row>
    <row r="20" spans="1:21" x14ac:dyDescent="0.25">
      <c r="A20" s="3">
        <v>100</v>
      </c>
      <c r="B20" s="3">
        <v>8.3020000000000001E-5</v>
      </c>
      <c r="C20" s="3">
        <v>2.632E-4</v>
      </c>
      <c r="D20" s="3">
        <v>-4.906E-4</v>
      </c>
      <c r="E20" s="3">
        <v>0</v>
      </c>
      <c r="F20" s="3">
        <v>0</v>
      </c>
      <c r="G20" s="3">
        <v>0</v>
      </c>
      <c r="H20" s="3">
        <v>1.2211264999999999E-4</v>
      </c>
      <c r="I20" s="3">
        <v>2.9056566999999999E-5</v>
      </c>
      <c r="J20" s="3">
        <v>-2.6664320999999998E-4</v>
      </c>
      <c r="K20" s="3"/>
      <c r="L20" s="3">
        <f t="shared" si="0"/>
        <v>0.16922136159804321</v>
      </c>
      <c r="M20" s="3"/>
      <c r="N20" s="2">
        <f>IF('Modell einstellen'!$B$1="Voll",H20/0.35,H20/0.35*2)</f>
        <v>3.4889328571428569E-4</v>
      </c>
      <c r="O20" s="2">
        <f>IF('Modell einstellen'!$B$1="Voll",J20/0.35,J20/0.35*2)</f>
        <v>-7.6183774285714279E-4</v>
      </c>
      <c r="P20" s="3">
        <f t="shared" si="1"/>
        <v>0.45796272104585001</v>
      </c>
      <c r="Q20" s="3"/>
      <c r="R20" s="3"/>
      <c r="S20" s="3"/>
      <c r="T20" s="3"/>
      <c r="U20" s="3"/>
    </row>
    <row r="21" spans="1:21" x14ac:dyDescent="0.25">
      <c r="A21" s="3">
        <v>1000</v>
      </c>
      <c r="B21" s="3">
        <v>8.4419999999999995E-5</v>
      </c>
      <c r="C21" s="3">
        <v>3.0009999999999998E-4</v>
      </c>
      <c r="D21" s="3">
        <v>-5.2820000000000005E-4</v>
      </c>
      <c r="E21" s="3">
        <v>0</v>
      </c>
      <c r="F21" s="3">
        <v>0</v>
      </c>
      <c r="G21" s="3">
        <v>0</v>
      </c>
      <c r="H21" s="3">
        <v>1.3450796E-4</v>
      </c>
      <c r="I21" s="3">
        <v>3.3826184999999997E-5</v>
      </c>
      <c r="J21" s="3">
        <v>-2.9582585999999997E-4</v>
      </c>
      <c r="K21" s="3"/>
      <c r="L21" s="3">
        <f t="shared" si="0"/>
        <v>0.15982582355168495</v>
      </c>
      <c r="M21" s="3"/>
      <c r="N21" s="2">
        <f>IF('Modell einstellen'!$B$1="Voll",H21/0.35,H21/0.35*2)</f>
        <v>3.8430845714285719E-4</v>
      </c>
      <c r="O21" s="2">
        <f>IF('Modell einstellen'!$B$1="Voll",J21/0.35,J21/0.35*2)</f>
        <v>-8.4521674285714286E-4</v>
      </c>
      <c r="P21" s="3">
        <f t="shared" si="1"/>
        <v>0.45468628063821065</v>
      </c>
      <c r="Q21" s="3"/>
      <c r="R21" s="3"/>
      <c r="S21" s="3"/>
      <c r="T21" s="3"/>
      <c r="U21" s="3"/>
    </row>
    <row r="22" spans="1:21" x14ac:dyDescent="0.25">
      <c r="A22" s="3">
        <v>10000</v>
      </c>
      <c r="B22" s="3">
        <v>8.2230000000000004E-5</v>
      </c>
      <c r="C22" s="3">
        <v>3.4759999999999999E-4</v>
      </c>
      <c r="D22" s="3">
        <v>-5.731E-4</v>
      </c>
      <c r="E22" s="3">
        <v>0</v>
      </c>
      <c r="F22" s="3">
        <v>0</v>
      </c>
      <c r="G22" s="3">
        <v>0</v>
      </c>
      <c r="H22" s="3">
        <v>1.5132627999999999E-4</v>
      </c>
      <c r="I22" s="3">
        <v>4.0153256E-5</v>
      </c>
      <c r="J22" s="3">
        <v>-3.3511336999999999E-4</v>
      </c>
      <c r="K22" s="3"/>
      <c r="L22" s="3">
        <f t="shared" si="0"/>
        <v>0.14348281277264002</v>
      </c>
      <c r="M22" s="3"/>
      <c r="N22" s="2">
        <f>IF('Modell einstellen'!$B$1="Voll",H22/0.35,H22/0.35*2)</f>
        <v>4.3236080000000002E-4</v>
      </c>
      <c r="O22" s="2">
        <f>IF('Modell einstellen'!$B$1="Voll",J22/0.35,J22/0.35*2)</f>
        <v>-9.5746677142857144E-4</v>
      </c>
      <c r="P22" s="3">
        <f t="shared" si="1"/>
        <v>0.45156742030316488</v>
      </c>
      <c r="Q22" s="3"/>
      <c r="R22" s="3"/>
      <c r="S22" s="3"/>
      <c r="T22" s="3"/>
      <c r="U22" s="3"/>
    </row>
    <row r="23" spans="1:21" x14ac:dyDescent="0.25">
      <c r="A23" s="3">
        <v>100000</v>
      </c>
      <c r="B23" s="3">
        <v>6.1779999999999995E-5</v>
      </c>
      <c r="C23" s="3">
        <v>4.0519999999999998E-4</v>
      </c>
      <c r="D23" s="3">
        <v>-6.11E-4</v>
      </c>
      <c r="E23" s="3">
        <v>0</v>
      </c>
      <c r="F23" s="3">
        <v>0</v>
      </c>
      <c r="G23" s="3">
        <v>0</v>
      </c>
      <c r="H23" s="3">
        <v>1.7562198000000001E-4</v>
      </c>
      <c r="I23" s="3">
        <v>4.8234047999999997E-5</v>
      </c>
      <c r="J23" s="3">
        <v>-3.8844440000000002E-4</v>
      </c>
      <c r="K23" s="3"/>
      <c r="L23" s="3">
        <f t="shared" si="0"/>
        <v>0.10111292962356791</v>
      </c>
      <c r="M23" s="3"/>
      <c r="N23" s="2">
        <f>IF('Modell einstellen'!$B$1="Voll",H23/0.35,H23/0.35*2)</f>
        <v>5.0177708571428573E-4</v>
      </c>
      <c r="O23" s="2">
        <f>IF('Modell einstellen'!$B$1="Voll",J23/0.35,J23/0.35*2)</f>
        <v>-1.1098411428571431E-3</v>
      </c>
      <c r="P23" s="3">
        <f t="shared" si="1"/>
        <v>0.45211613296523251</v>
      </c>
      <c r="Q23" s="3"/>
      <c r="R23" s="3"/>
      <c r="S23" s="3"/>
      <c r="T23" s="3"/>
      <c r="U23" s="3"/>
    </row>
    <row r="24" spans="1:21" x14ac:dyDescent="0.25">
      <c r="A24" s="3">
        <v>1000000</v>
      </c>
      <c r="B24" s="3">
        <v>3.1109999999999999E-6</v>
      </c>
      <c r="C24" s="3">
        <v>4.8089999999999998E-4</v>
      </c>
      <c r="D24" s="3">
        <v>-6.3020000000000003E-4</v>
      </c>
      <c r="E24" s="3">
        <v>0</v>
      </c>
      <c r="F24" s="3">
        <v>0</v>
      </c>
      <c r="G24" s="3">
        <v>0</v>
      </c>
      <c r="H24" s="3">
        <v>2.1371861999999999E-4</v>
      </c>
      <c r="I24" s="3">
        <v>5.9550077000000001E-5</v>
      </c>
      <c r="J24" s="3">
        <v>-4.6758092E-4</v>
      </c>
      <c r="K24" s="3"/>
      <c r="L24" s="3">
        <f t="shared" si="0"/>
        <v>4.9365280863218021E-3</v>
      </c>
      <c r="M24" s="3"/>
      <c r="N24" s="2">
        <f>IF('Modell einstellen'!$B$1="Voll",H24/0.35,H24/0.35*2)</f>
        <v>6.1062462857142856E-4</v>
      </c>
      <c r="O24" s="2">
        <f>IF('Modell einstellen'!$B$1="Voll",J24/0.35,J24/0.35*2)</f>
        <v>-1.3359454857142859E-3</v>
      </c>
      <c r="P24" s="3">
        <f t="shared" si="1"/>
        <v>0.45707301315887733</v>
      </c>
      <c r="Q24" s="3"/>
      <c r="R24" s="3"/>
      <c r="S24" s="3"/>
      <c r="T24" s="3"/>
      <c r="U24" s="3"/>
    </row>
    <row r="25" spans="1:21" x14ac:dyDescent="0.25">
      <c r="A25" s="3">
        <v>10000000</v>
      </c>
      <c r="B25" s="3">
        <v>-1.392E-4</v>
      </c>
      <c r="C25" s="3">
        <v>5.9130000000000001E-4</v>
      </c>
      <c r="D25" s="3">
        <v>-6.0170000000000004E-4</v>
      </c>
      <c r="E25" s="3">
        <v>0</v>
      </c>
      <c r="F25" s="3">
        <v>0</v>
      </c>
      <c r="G25" s="3">
        <v>0</v>
      </c>
      <c r="H25" s="3">
        <v>2.7816693000000002E-4</v>
      </c>
      <c r="I25" s="3">
        <v>7.7251737000000006E-5</v>
      </c>
      <c r="J25" s="3">
        <v>-5.9651306999999995E-4</v>
      </c>
      <c r="K25" s="3"/>
      <c r="L25" s="3">
        <f t="shared" si="0"/>
        <v>-0.23134452384909421</v>
      </c>
      <c r="M25" s="3"/>
      <c r="N25" s="2">
        <f>IF('Modell einstellen'!$B$1="Voll",H25/0.35,H25/0.35*2)</f>
        <v>7.9476265714285724E-4</v>
      </c>
      <c r="O25" s="2">
        <f>IF('Modell einstellen'!$B$1="Voll",J25/0.35,J25/0.35*2)</f>
        <v>-1.7043230571428571E-3</v>
      </c>
      <c r="P25" s="3">
        <f t="shared" si="1"/>
        <v>0.46632160130204697</v>
      </c>
      <c r="Q25" s="3"/>
      <c r="R25" s="3"/>
      <c r="S25" s="3"/>
      <c r="T25" s="3"/>
      <c r="U25" s="3"/>
    </row>
    <row r="26" spans="1:21" x14ac:dyDescent="0.25">
      <c r="A26" s="3">
        <v>100000000</v>
      </c>
      <c r="B26" s="3">
        <v>-4.4079999999999998E-4</v>
      </c>
      <c r="C26" s="3">
        <v>7.5389999999999995E-4</v>
      </c>
      <c r="D26" s="3">
        <v>-4.6660000000000001E-4</v>
      </c>
      <c r="E26" s="3">
        <v>0</v>
      </c>
      <c r="F26" s="3">
        <v>0</v>
      </c>
      <c r="G26" s="3">
        <v>0</v>
      </c>
      <c r="H26" s="3">
        <v>3.8608463E-4</v>
      </c>
      <c r="I26" s="3">
        <v>1.0522171E-4</v>
      </c>
      <c r="J26" s="3">
        <v>-8.0641619999999997E-4</v>
      </c>
      <c r="K26" s="3"/>
      <c r="L26" s="3">
        <f t="shared" si="0"/>
        <v>-0.94470638662666084</v>
      </c>
      <c r="M26" s="3"/>
      <c r="N26" s="2">
        <f>IF('Modell einstellen'!$B$1="Voll",H26/0.35,H26/0.35*2)</f>
        <v>1.1030989428571429E-3</v>
      </c>
      <c r="O26" s="2">
        <f>IF('Modell einstellen'!$B$1="Voll",J26/0.35,J26/0.35*2)</f>
        <v>-2.3040462857142857E-3</v>
      </c>
      <c r="P26" s="3">
        <f t="shared" si="1"/>
        <v>0.47876596477104505</v>
      </c>
      <c r="Q26" s="3"/>
      <c r="R26" s="3"/>
      <c r="S26" s="3"/>
      <c r="T26" s="3"/>
      <c r="U26" s="3"/>
    </row>
    <row r="27" spans="1:21" x14ac:dyDescent="0.25">
      <c r="A27" s="3">
        <v>1000000000</v>
      </c>
      <c r="B27" s="3">
        <v>-9.4490000000000004E-4</v>
      </c>
      <c r="C27" s="3">
        <v>9.6920000000000003E-4</v>
      </c>
      <c r="D27" s="3">
        <v>-1.8120000000000001E-4</v>
      </c>
      <c r="E27" s="3">
        <v>0</v>
      </c>
      <c r="F27" s="3">
        <v>0</v>
      </c>
      <c r="G27" s="3">
        <v>0</v>
      </c>
      <c r="H27" s="3">
        <v>5.4480641999999995E-4</v>
      </c>
      <c r="I27" s="3">
        <v>1.4443713E-4</v>
      </c>
      <c r="J27" s="3">
        <v>-1.1079727000000001E-3</v>
      </c>
      <c r="K27" s="3"/>
      <c r="L27" s="3">
        <f t="shared" si="0"/>
        <v>-5.2146799116997791</v>
      </c>
      <c r="M27" s="3"/>
      <c r="N27" s="2">
        <f>IF('Modell einstellen'!$B$1="Voll",H27/0.35,H27/0.35*2)</f>
        <v>1.5565897714285713E-3</v>
      </c>
      <c r="O27" s="2">
        <f>IF('Modell einstellen'!$B$1="Voll",J27/0.35,J27/0.35*2)</f>
        <v>-3.1656362857142859E-3</v>
      </c>
      <c r="P27" s="3">
        <f t="shared" si="1"/>
        <v>0.49171466047854784</v>
      </c>
      <c r="Q27" s="3"/>
      <c r="R27" s="3"/>
      <c r="S27" s="3"/>
      <c r="T27" s="3"/>
      <c r="U27" s="3"/>
    </row>
    <row r="28" spans="1:21" x14ac:dyDescent="0.25">
      <c r="A28" s="3">
        <v>10000000000</v>
      </c>
      <c r="B28" s="3">
        <v>-1.6050000000000001E-3</v>
      </c>
      <c r="C28" s="3">
        <v>1.2149999999999999E-3</v>
      </c>
      <c r="D28" s="3">
        <v>2.3049999999999999E-4</v>
      </c>
      <c r="E28" s="3">
        <v>0</v>
      </c>
      <c r="F28" s="3">
        <v>0</v>
      </c>
      <c r="G28" s="3">
        <v>0</v>
      </c>
      <c r="H28" s="3">
        <v>7.3938002999999997E-4</v>
      </c>
      <c r="I28" s="3">
        <v>1.9098259E-4</v>
      </c>
      <c r="J28" s="3">
        <v>-1.4716829000000001E-3</v>
      </c>
      <c r="K28" s="3"/>
      <c r="L28" s="3">
        <f t="shared" si="0"/>
        <v>6.9631236442516276</v>
      </c>
      <c r="M28" s="3"/>
      <c r="N28" s="2">
        <f>IF('Modell einstellen'!$B$1="Voll",H28/0.35,H28/0.35*2)</f>
        <v>2.1125143714285713E-3</v>
      </c>
      <c r="O28" s="2">
        <f>IF('Modell einstellen'!$B$1="Voll",J28/0.35,J28/0.35*2)</f>
        <v>-4.2048082857142864E-3</v>
      </c>
      <c r="P28" s="3">
        <f t="shared" si="1"/>
        <v>0.50240444459876499</v>
      </c>
      <c r="Q28" s="3"/>
      <c r="R28" s="3"/>
      <c r="S28" s="3"/>
      <c r="T28" s="3"/>
      <c r="U28" s="3"/>
    </row>
    <row r="29" spans="1:21" x14ac:dyDescent="0.25">
      <c r="A29" s="3">
        <v>100000000000</v>
      </c>
      <c r="B29" s="3">
        <v>-2.16E-3</v>
      </c>
      <c r="C29" s="3">
        <v>1.4139999999999999E-3</v>
      </c>
      <c r="D29" s="3">
        <v>5.8600000000000004E-4</v>
      </c>
      <c r="E29" s="3">
        <v>0</v>
      </c>
      <c r="F29" s="3">
        <v>0</v>
      </c>
      <c r="G29" s="3">
        <v>0</v>
      </c>
      <c r="H29" s="3">
        <v>8.9873489999999997E-4</v>
      </c>
      <c r="I29" s="3">
        <v>2.2926439000000001E-4</v>
      </c>
      <c r="J29" s="3">
        <v>-1.7697612E-3</v>
      </c>
      <c r="K29" s="3"/>
      <c r="L29" s="3">
        <f t="shared" si="0"/>
        <v>3.6860068259385663</v>
      </c>
      <c r="M29" s="3"/>
      <c r="N29" s="2">
        <f>IF('Modell einstellen'!$B$1="Voll",H29/0.35,H29/0.35*2)</f>
        <v>2.5678140000000003E-3</v>
      </c>
      <c r="O29" s="2">
        <f>IF('Modell einstellen'!$B$1="Voll",J29/0.35,J29/0.35*2)</f>
        <v>-5.0564605714285716E-3</v>
      </c>
      <c r="P29" s="3">
        <f t="shared" si="1"/>
        <v>0.50782834429865453</v>
      </c>
      <c r="Q29" s="3"/>
      <c r="R29" s="3"/>
      <c r="S29" s="3"/>
      <c r="T29" s="3"/>
      <c r="U29" s="3"/>
    </row>
    <row r="30" spans="1:21" x14ac:dyDescent="0.25">
      <c r="A30" s="3">
        <v>1000000000000</v>
      </c>
      <c r="B30" s="3">
        <v>-2.5509999999999999E-3</v>
      </c>
      <c r="C30" s="3">
        <v>1.5529999999999999E-3</v>
      </c>
      <c r="D30" s="3">
        <v>8.3750000000000003E-4</v>
      </c>
      <c r="E30" s="3">
        <v>0</v>
      </c>
      <c r="F30" s="3">
        <v>0</v>
      </c>
      <c r="G30" s="3">
        <v>0</v>
      </c>
      <c r="H30" s="3">
        <v>1.010064E-3</v>
      </c>
      <c r="I30" s="3">
        <v>2.5638969E-4</v>
      </c>
      <c r="J30" s="3">
        <v>-1.979181E-3</v>
      </c>
      <c r="K30" s="3"/>
      <c r="L30" s="3">
        <f t="shared" si="0"/>
        <v>3.0459701492537312</v>
      </c>
      <c r="M30" s="3"/>
      <c r="N30" s="2">
        <f>IF('Modell einstellen'!$B$1="Voll",H30/0.35,H30/0.35*2)</f>
        <v>2.8858971428571429E-3</v>
      </c>
      <c r="O30" s="2">
        <f>IF('Modell einstellen'!$B$1="Voll",J30/0.35,J30/0.35*2)</f>
        <v>-5.6548028571428571E-3</v>
      </c>
      <c r="P30" s="3">
        <f t="shared" si="1"/>
        <v>0.51034443034770449</v>
      </c>
      <c r="Q30" s="3"/>
      <c r="R30" s="3"/>
      <c r="S30" s="3"/>
      <c r="T30" s="3"/>
      <c r="U30" s="3"/>
    </row>
    <row r="31" spans="1:21" x14ac:dyDescent="0.25">
      <c r="A31" s="3">
        <v>10000000000000</v>
      </c>
      <c r="B31" s="3">
        <v>-2.7820000000000002E-3</v>
      </c>
      <c r="C31" s="3">
        <v>1.637E-3</v>
      </c>
      <c r="D31" s="3">
        <v>9.8459999999999997E-4</v>
      </c>
      <c r="E31" s="3">
        <v>0</v>
      </c>
      <c r="F31" s="3">
        <v>0</v>
      </c>
      <c r="G31" s="3">
        <v>0</v>
      </c>
      <c r="H31" s="3">
        <v>1.0760399999999999E-3</v>
      </c>
      <c r="I31" s="3">
        <v>2.7280913000000002E-4</v>
      </c>
      <c r="J31" s="3">
        <v>-2.1044504E-3</v>
      </c>
      <c r="K31" s="3"/>
      <c r="L31" s="3">
        <f t="shared" si="0"/>
        <v>2.8255128986390416</v>
      </c>
      <c r="M31" s="3"/>
      <c r="N31" s="2">
        <f>IF('Modell einstellen'!$B$1="Voll",H31/0.35,H31/0.35*2)</f>
        <v>3.0743999999999997E-3</v>
      </c>
      <c r="O31" s="2">
        <f>IF('Modell einstellen'!$B$1="Voll",J31/0.35,J31/0.35*2)</f>
        <v>-6.0127154285714293E-3</v>
      </c>
      <c r="P31" s="3">
        <f t="shared" si="1"/>
        <v>0.5113163988089241</v>
      </c>
      <c r="Q31" s="3"/>
      <c r="R31" s="3"/>
      <c r="S31" s="3"/>
      <c r="T31" s="3"/>
      <c r="U31" s="3"/>
    </row>
    <row r="32" spans="1:21" x14ac:dyDescent="0.25">
      <c r="A32" s="3">
        <v>100000000000000</v>
      </c>
      <c r="B32" s="3">
        <v>-2.96E-3</v>
      </c>
      <c r="C32" s="3">
        <v>1.6999999999999999E-3</v>
      </c>
      <c r="D32" s="3">
        <v>1.0989999999999999E-3</v>
      </c>
      <c r="E32" s="3">
        <v>0</v>
      </c>
      <c r="F32" s="3">
        <v>0</v>
      </c>
      <c r="G32" s="3">
        <v>0</v>
      </c>
      <c r="H32" s="3">
        <v>1.1270130000000001E-3</v>
      </c>
      <c r="I32" s="3">
        <v>2.8524752000000001E-4</v>
      </c>
      <c r="J32" s="3">
        <v>-2.2002987000000001E-3</v>
      </c>
      <c r="K32" s="3"/>
      <c r="L32" s="3">
        <f t="shared" si="0"/>
        <v>2.6933575978161968</v>
      </c>
      <c r="M32" s="3"/>
      <c r="N32" s="2">
        <f>IF('Modell einstellen'!$B$1="Voll",H32/0.35,H32/0.35*2)</f>
        <v>3.220037142857143E-3</v>
      </c>
      <c r="O32" s="2">
        <f>IF('Modell einstellen'!$B$1="Voll",J32/0.35,J32/0.35*2)</f>
        <v>-6.2865677142857146E-3</v>
      </c>
      <c r="P32" s="3">
        <f t="shared" si="1"/>
        <v>0.51220909233823575</v>
      </c>
      <c r="Q32" s="3"/>
      <c r="R32" s="3"/>
      <c r="S32" s="3"/>
      <c r="T32" s="3"/>
      <c r="U32" s="3"/>
    </row>
    <row r="33" spans="1:21" x14ac:dyDescent="0.25">
      <c r="A33" s="2">
        <v>1000000000000000</v>
      </c>
      <c r="B33" s="3">
        <v>-3.045E-3</v>
      </c>
      <c r="C33" s="3">
        <v>1.7290000000000001E-3</v>
      </c>
      <c r="D33" s="3">
        <v>1.155E-3</v>
      </c>
      <c r="E33" s="3">
        <v>0</v>
      </c>
      <c r="F33" s="3">
        <v>0</v>
      </c>
      <c r="G33" s="3">
        <v>0</v>
      </c>
      <c r="H33" s="3">
        <v>1.1508366999999999E-3</v>
      </c>
      <c r="I33" s="3">
        <v>2.9101696999999998E-4</v>
      </c>
      <c r="J33" s="3">
        <v>-2.2449112000000001E-3</v>
      </c>
      <c r="K33" s="3"/>
      <c r="L33" s="3">
        <f t="shared" si="0"/>
        <v>2.6363636363636362</v>
      </c>
      <c r="M33" s="3"/>
      <c r="N33" s="2">
        <f>IF('Modell einstellen'!$B$1="Voll",H33/0.35,H33/0.35*2)</f>
        <v>3.2881048571428572E-3</v>
      </c>
      <c r="O33" s="2">
        <f>IF('Modell einstellen'!$B$1="Voll",J33/0.35,J33/0.35*2)</f>
        <v>-6.4140320000000009E-3</v>
      </c>
      <c r="P33" s="3">
        <f t="shared" si="1"/>
        <v>0.51264241543273503</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3"/>
      <c r="M1" s="83"/>
      <c r="N1" s="101" t="s">
        <v>39</v>
      </c>
      <c r="O1" s="3" t="s">
        <v>116</v>
      </c>
      <c r="P1" s="101"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1"/>
      <c r="O2" s="101"/>
      <c r="P2" s="3"/>
      <c r="Q2" s="3"/>
      <c r="R2" s="3"/>
      <c r="S2" s="3"/>
      <c r="T2" s="3"/>
      <c r="U2" s="3"/>
    </row>
    <row r="3" spans="1:21" x14ac:dyDescent="0.25">
      <c r="A3" s="3">
        <v>1.0000000000000001E-15</v>
      </c>
      <c r="B3" s="3">
        <v>1.014E-4</v>
      </c>
      <c r="C3" s="3">
        <v>1.3459999999999999E-4</v>
      </c>
      <c r="D3" s="3">
        <v>-3.6380000000000001E-4</v>
      </c>
      <c r="E3" s="3">
        <v>0</v>
      </c>
      <c r="F3" s="3">
        <v>0</v>
      </c>
      <c r="G3" s="3">
        <v>0</v>
      </c>
      <c r="H3" s="3">
        <v>5.1204169999999998E-5</v>
      </c>
      <c r="I3" s="3">
        <v>1.3542549E-5</v>
      </c>
      <c r="J3" s="3">
        <v>-1.3778269000000001E-4</v>
      </c>
      <c r="K3" s="2"/>
      <c r="L3" s="3"/>
      <c r="M3" s="3"/>
      <c r="N3" s="2">
        <f>IF('Modell einstellen'!$B$1="Voll",H3/0.35,H3/0.35*2)</f>
        <v>1.4629762857142856E-4</v>
      </c>
      <c r="O3" s="2">
        <f>IF('Modell einstellen'!$B$1="Voll",J3/0.35,J3/0.35*2)</f>
        <v>-3.9366482857142865E-4</v>
      </c>
      <c r="P3" s="3">
        <f>-N3/O3</f>
        <v>0.3716299195494005</v>
      </c>
      <c r="Q3" s="3"/>
      <c r="R3" s="3"/>
      <c r="S3" s="3"/>
      <c r="T3" s="3"/>
      <c r="U3" s="3"/>
    </row>
    <row r="4" spans="1:21" x14ac:dyDescent="0.25">
      <c r="A4" s="3">
        <v>1E-14</v>
      </c>
      <c r="B4" s="3">
        <v>1.0289999999999999E-4</v>
      </c>
      <c r="C4" s="3">
        <v>1.3909999999999999E-4</v>
      </c>
      <c r="D4" s="3">
        <v>-3.7060000000000001E-4</v>
      </c>
      <c r="E4" s="3">
        <v>0</v>
      </c>
      <c r="F4" s="3">
        <v>0</v>
      </c>
      <c r="G4" s="3">
        <v>0</v>
      </c>
      <c r="H4" s="3">
        <v>5.3255252E-5</v>
      </c>
      <c r="I4" s="3">
        <v>1.4042207E-5</v>
      </c>
      <c r="J4" s="3">
        <v>-1.4172132E-4</v>
      </c>
      <c r="K4" s="2"/>
      <c r="L4" s="3"/>
      <c r="M4" s="3"/>
      <c r="N4" s="2">
        <f>IF('Modell einstellen'!$B$1="Voll",H4/0.35,H4/0.35*2)</f>
        <v>1.5215786285714287E-4</v>
      </c>
      <c r="O4" s="2">
        <f>IF('Modell einstellen'!$B$1="Voll",J4/0.35,J4/0.35*2)</f>
        <v>-4.0491805714285717E-4</v>
      </c>
      <c r="P4" s="3">
        <f t="shared" ref="P4:P33" si="0">-N4/O4</f>
        <v>0.37577445651790431</v>
      </c>
      <c r="Q4" s="3"/>
      <c r="R4" s="3"/>
      <c r="S4" s="3"/>
      <c r="T4" s="3"/>
      <c r="U4" s="3"/>
    </row>
    <row r="5" spans="1:21" x14ac:dyDescent="0.25">
      <c r="A5" s="3">
        <v>1E-13</v>
      </c>
      <c r="B5" s="3">
        <v>1.042E-4</v>
      </c>
      <c r="C5" s="3">
        <v>1.4339999999999999E-4</v>
      </c>
      <c r="D5" s="3">
        <v>-3.769E-4</v>
      </c>
      <c r="E5" s="3">
        <v>0</v>
      </c>
      <c r="F5" s="3">
        <v>0</v>
      </c>
      <c r="G5" s="3">
        <v>0</v>
      </c>
      <c r="H5" s="3">
        <v>5.5231185E-5</v>
      </c>
      <c r="I5" s="3">
        <v>1.4517870999999999E-5</v>
      </c>
      <c r="J5" s="3">
        <v>-1.4549879E-4</v>
      </c>
      <c r="K5" s="2"/>
      <c r="L5" s="3"/>
      <c r="M5" s="3"/>
      <c r="N5" s="2">
        <f>IF('Modell einstellen'!$B$1="Voll",H5/0.35,H5/0.35*2)</f>
        <v>1.5780338571428571E-4</v>
      </c>
      <c r="O5" s="2">
        <f>IF('Modell einstellen'!$B$1="Voll",J5/0.35,J5/0.35*2)</f>
        <v>-4.1571082857142861E-4</v>
      </c>
      <c r="P5" s="3">
        <f t="shared" si="0"/>
        <v>0.37959892999797451</v>
      </c>
      <c r="Q5" s="3"/>
      <c r="R5" s="3"/>
      <c r="S5" s="3"/>
      <c r="T5" s="3"/>
      <c r="U5" s="3"/>
    </row>
    <row r="6" spans="1:21" x14ac:dyDescent="0.25">
      <c r="A6" s="3">
        <v>9.9999999999999998E-13</v>
      </c>
      <c r="B6" s="3">
        <v>1.055E-4</v>
      </c>
      <c r="C6" s="3">
        <v>1.4809999999999999E-4</v>
      </c>
      <c r="D6" s="3">
        <v>-3.835E-4</v>
      </c>
      <c r="E6" s="3">
        <v>0</v>
      </c>
      <c r="F6" s="3">
        <v>0</v>
      </c>
      <c r="G6" s="3">
        <v>0</v>
      </c>
      <c r="H6" s="3">
        <v>5.7395529000000002E-5</v>
      </c>
      <c r="I6" s="3">
        <v>1.5032300999999999E-5</v>
      </c>
      <c r="J6" s="3">
        <v>-1.4961034E-4</v>
      </c>
      <c r="K6" s="2"/>
      <c r="L6" s="3"/>
      <c r="M6" s="3"/>
      <c r="N6" s="2">
        <f>IF('Modell einstellen'!$B$1="Voll",H6/0.35,H6/0.35*2)</f>
        <v>1.6398722571428574E-4</v>
      </c>
      <c r="O6" s="2">
        <f>IF('Modell einstellen'!$B$1="Voll",J6/0.35,J6/0.35*2)</f>
        <v>-4.2745811428571433E-4</v>
      </c>
      <c r="P6" s="3">
        <f t="shared" si="0"/>
        <v>0.38363343736803218</v>
      </c>
      <c r="Q6" s="3"/>
      <c r="R6" s="3"/>
      <c r="S6" s="3"/>
      <c r="T6" s="3"/>
      <c r="U6" s="3"/>
    </row>
    <row r="7" spans="1:21" x14ac:dyDescent="0.25">
      <c r="A7" s="3">
        <v>9.9999999999999994E-12</v>
      </c>
      <c r="B7" s="3">
        <v>1.0670000000000001E-4</v>
      </c>
      <c r="C7" s="3">
        <v>1.5349999999999999E-4</v>
      </c>
      <c r="D7" s="3">
        <v>-3.9110000000000002E-4</v>
      </c>
      <c r="E7" s="3">
        <v>0</v>
      </c>
      <c r="F7" s="3">
        <v>0</v>
      </c>
      <c r="G7" s="3">
        <v>0</v>
      </c>
      <c r="H7" s="3">
        <v>6.0001080000000003E-5</v>
      </c>
      <c r="I7" s="3">
        <v>1.5643117999999999E-5</v>
      </c>
      <c r="J7" s="3">
        <v>-1.5452675E-4</v>
      </c>
      <c r="K7" s="2"/>
      <c r="L7" s="3"/>
      <c r="M7" s="3"/>
      <c r="N7" s="2">
        <f>IF('Modell einstellen'!$B$1="Voll",H7/0.35,H7/0.35*2)</f>
        <v>1.7143165714285716E-4</v>
      </c>
      <c r="O7" s="2">
        <f>IF('Modell einstellen'!$B$1="Voll",J7/0.35,J7/0.35*2)</f>
        <v>-4.4150500000000002E-4</v>
      </c>
      <c r="P7" s="3">
        <f t="shared" si="0"/>
        <v>0.38828927677570391</v>
      </c>
      <c r="Q7" s="3"/>
      <c r="R7" s="3"/>
      <c r="S7" s="3"/>
      <c r="T7" s="3"/>
      <c r="U7" s="3"/>
    </row>
    <row r="8" spans="1:21" x14ac:dyDescent="0.25">
      <c r="A8" s="3">
        <v>1E-10</v>
      </c>
      <c r="B8" s="3">
        <v>1.077E-4</v>
      </c>
      <c r="C8" s="3">
        <v>1.5890000000000001E-4</v>
      </c>
      <c r="D8" s="3">
        <v>-3.9819999999999998E-4</v>
      </c>
      <c r="E8" s="3">
        <v>0</v>
      </c>
      <c r="F8" s="3">
        <v>0</v>
      </c>
      <c r="G8" s="3">
        <v>0</v>
      </c>
      <c r="H8" s="3">
        <v>6.2616624999999994E-5</v>
      </c>
      <c r="I8" s="3">
        <v>1.6246296E-5</v>
      </c>
      <c r="J8" s="3">
        <v>-1.5942288E-4</v>
      </c>
      <c r="K8" s="2"/>
      <c r="L8" s="3"/>
      <c r="M8" s="3"/>
      <c r="N8" s="2">
        <f>IF('Modell einstellen'!$B$1="Voll",H8/0.35,H8/0.35*2)</f>
        <v>1.7890464285714286E-4</v>
      </c>
      <c r="O8" s="2">
        <f>IF('Modell einstellen'!$B$1="Voll",J8/0.35,J8/0.35*2)</f>
        <v>-4.554939428571429E-4</v>
      </c>
      <c r="P8" s="3">
        <f t="shared" si="0"/>
        <v>0.39277062991209288</v>
      </c>
      <c r="Q8" s="3"/>
      <c r="R8" s="3"/>
      <c r="S8" s="3"/>
      <c r="T8" s="3"/>
      <c r="U8" s="3"/>
    </row>
    <row r="9" spans="1:21" x14ac:dyDescent="0.25">
      <c r="A9" s="3">
        <v>1.0000000000000001E-9</v>
      </c>
      <c r="B9" s="3">
        <v>1.0840000000000001E-4</v>
      </c>
      <c r="C9" s="3">
        <v>1.6449999999999999E-4</v>
      </c>
      <c r="D9" s="3">
        <v>-4.0539999999999999E-4</v>
      </c>
      <c r="E9" s="3">
        <v>0</v>
      </c>
      <c r="F9" s="3">
        <v>0</v>
      </c>
      <c r="G9" s="3">
        <v>0</v>
      </c>
      <c r="H9" s="3">
        <v>6.5421734000000004E-5</v>
      </c>
      <c r="I9" s="3">
        <v>1.6883275999999999E-5</v>
      </c>
      <c r="J9" s="3">
        <v>-1.6463565E-4</v>
      </c>
      <c r="K9" s="2"/>
      <c r="L9" s="3"/>
      <c r="M9" s="3"/>
      <c r="N9" s="2">
        <f>IF('Modell einstellen'!$B$1="Voll",H9/0.35,H9/0.35*2)</f>
        <v>1.8691924000000003E-4</v>
      </c>
      <c r="O9" s="2">
        <f>IF('Modell einstellen'!$B$1="Voll",J9/0.35,J9/0.35*2)</f>
        <v>-4.7038757142857146E-4</v>
      </c>
      <c r="P9" s="3">
        <f t="shared" si="0"/>
        <v>0.39737282903186527</v>
      </c>
      <c r="Q9" s="3"/>
      <c r="R9" s="3"/>
      <c r="S9" s="3"/>
      <c r="T9" s="3"/>
      <c r="U9" s="3"/>
    </row>
    <row r="10" spans="1:21" x14ac:dyDescent="0.25">
      <c r="A10" s="3">
        <v>1E-8</v>
      </c>
      <c r="B10" s="3">
        <v>1.0900000000000001E-4</v>
      </c>
      <c r="C10" s="3">
        <v>1.7149999999999999E-4</v>
      </c>
      <c r="D10" s="3">
        <v>-4.1419999999999998E-4</v>
      </c>
      <c r="E10" s="3">
        <v>0</v>
      </c>
      <c r="F10" s="3">
        <v>0</v>
      </c>
      <c r="G10" s="3">
        <v>0</v>
      </c>
      <c r="H10" s="3">
        <v>6.9067643E-5</v>
      </c>
      <c r="I10" s="3">
        <v>1.769623E-5</v>
      </c>
      <c r="J10" s="3">
        <v>-1.7135372000000001E-4</v>
      </c>
      <c r="K10" s="2"/>
      <c r="L10" s="3"/>
      <c r="M10" s="3"/>
      <c r="N10" s="2">
        <f>IF('Modell einstellen'!$B$1="Voll",H10/0.35,H10/0.35*2)</f>
        <v>1.9733612285714286E-4</v>
      </c>
      <c r="O10" s="2">
        <f>IF('Modell einstellen'!$B$1="Voll",J10/0.35,J10/0.35*2)</f>
        <v>-4.8958205714285719E-4</v>
      </c>
      <c r="P10" s="3">
        <f t="shared" si="0"/>
        <v>0.40307057821680203</v>
      </c>
      <c r="Q10" s="3"/>
      <c r="R10" s="3"/>
      <c r="S10" s="3"/>
      <c r="T10" s="3"/>
      <c r="U10" s="3"/>
    </row>
    <row r="11" spans="1:21" x14ac:dyDescent="0.25">
      <c r="A11" s="3">
        <v>9.9999999999999995E-8</v>
      </c>
      <c r="B11" s="3">
        <v>1.0900000000000001E-4</v>
      </c>
      <c r="C11" s="3">
        <v>1.8019999999999999E-4</v>
      </c>
      <c r="D11" s="3">
        <v>-4.2420000000000001E-4</v>
      </c>
      <c r="E11" s="3">
        <v>0</v>
      </c>
      <c r="F11" s="3">
        <v>0</v>
      </c>
      <c r="G11" s="3">
        <v>0</v>
      </c>
      <c r="H11" s="3">
        <v>7.3708435000000003E-5</v>
      </c>
      <c r="I11" s="3">
        <v>1.8705598E-5</v>
      </c>
      <c r="J11" s="3">
        <v>-1.7980772999999999E-4</v>
      </c>
      <c r="K11" s="2"/>
      <c r="L11" s="3"/>
      <c r="M11" s="3"/>
      <c r="N11" s="2">
        <f>IF('Modell einstellen'!$B$1="Voll",H11/0.35,H11/0.35*2)</f>
        <v>2.105955285714286E-4</v>
      </c>
      <c r="O11" s="2">
        <f>IF('Modell einstellen'!$B$1="Voll",J11/0.35,J11/0.35*2)</f>
        <v>-5.1373637142857148E-4</v>
      </c>
      <c r="P11" s="3">
        <f t="shared" si="0"/>
        <v>0.40992917823944497</v>
      </c>
      <c r="Q11" s="3"/>
      <c r="R11" s="3"/>
      <c r="S11" s="3"/>
      <c r="T11" s="3"/>
      <c r="U11" s="3"/>
    </row>
    <row r="12" spans="1:21" x14ac:dyDescent="0.25">
      <c r="A12" s="3">
        <v>9.9999999999999995E-7</v>
      </c>
      <c r="B12" s="3">
        <v>1.082E-4</v>
      </c>
      <c r="C12" s="3">
        <v>1.8929999999999999E-4</v>
      </c>
      <c r="D12" s="3">
        <v>-4.3389999999999998E-4</v>
      </c>
      <c r="E12" s="3">
        <v>0</v>
      </c>
      <c r="F12" s="3">
        <v>0</v>
      </c>
      <c r="G12" s="3">
        <v>0</v>
      </c>
      <c r="H12" s="3">
        <v>7.8829455999999994E-5</v>
      </c>
      <c r="I12" s="3">
        <v>1.9785543E-5</v>
      </c>
      <c r="J12" s="3">
        <v>-1.8900735E-4</v>
      </c>
      <c r="K12" s="2"/>
      <c r="L12" s="3"/>
      <c r="M12" s="3"/>
      <c r="N12" s="2">
        <f>IF('Modell einstellen'!$B$1="Voll",H12/0.35,H12/0.35*2)</f>
        <v>2.2522701714285714E-4</v>
      </c>
      <c r="O12" s="2">
        <f>IF('Modell einstellen'!$B$1="Voll",J12/0.35,J12/0.35*2)</f>
        <v>-5.4002100000000001E-4</v>
      </c>
      <c r="P12" s="3">
        <f t="shared" si="0"/>
        <v>0.41707084936114919</v>
      </c>
      <c r="Q12" s="3"/>
      <c r="R12" s="3"/>
      <c r="S12" s="3"/>
      <c r="T12" s="3"/>
      <c r="U12" s="3"/>
    </row>
    <row r="13" spans="1:21" x14ac:dyDescent="0.25">
      <c r="A13" s="3">
        <v>1.0000000000000001E-5</v>
      </c>
      <c r="B13" s="3">
        <v>1.0670000000000001E-4</v>
      </c>
      <c r="C13" s="3">
        <v>1.972E-4</v>
      </c>
      <c r="D13" s="3">
        <v>-4.415E-4</v>
      </c>
      <c r="E13" s="3">
        <v>0</v>
      </c>
      <c r="F13" s="3">
        <v>0</v>
      </c>
      <c r="G13" s="3">
        <v>0</v>
      </c>
      <c r="H13" s="3">
        <v>8.3444184000000006E-5</v>
      </c>
      <c r="I13" s="3">
        <v>2.0728058000000001E-5</v>
      </c>
      <c r="J13" s="3">
        <v>-1.9718080000000001E-4</v>
      </c>
      <c r="K13" s="2"/>
      <c r="L13" s="3"/>
      <c r="M13" s="3"/>
      <c r="N13" s="2">
        <f>IF('Modell einstellen'!$B$1="Voll",H13/0.35,H13/0.35*2)</f>
        <v>2.3841195428571431E-4</v>
      </c>
      <c r="O13" s="2">
        <f>IF('Modell einstellen'!$B$1="Voll",J13/0.35,J13/0.35*2)</f>
        <v>-5.6337371428571439E-4</v>
      </c>
      <c r="P13" s="3">
        <f t="shared" si="0"/>
        <v>0.42318615199857185</v>
      </c>
      <c r="Q13" s="3"/>
      <c r="R13" s="3"/>
      <c r="S13" s="3"/>
      <c r="T13" s="3"/>
      <c r="U13" s="3"/>
    </row>
    <row r="14" spans="1:21" x14ac:dyDescent="0.25">
      <c r="A14" s="3">
        <v>1E-4</v>
      </c>
      <c r="B14" s="3">
        <v>1.0450000000000001E-4</v>
      </c>
      <c r="C14" s="3">
        <v>2.052E-4</v>
      </c>
      <c r="D14" s="3">
        <v>-4.4850000000000001E-4</v>
      </c>
      <c r="E14" s="3">
        <v>0</v>
      </c>
      <c r="F14" s="3">
        <v>0</v>
      </c>
      <c r="G14" s="3">
        <v>0</v>
      </c>
      <c r="H14" s="3">
        <v>8.8342143E-5</v>
      </c>
      <c r="I14" s="3">
        <v>2.1701699E-5</v>
      </c>
      <c r="J14" s="3">
        <v>-2.0575511999999999E-4</v>
      </c>
      <c r="K14" s="2"/>
      <c r="L14" s="3"/>
      <c r="M14" s="3"/>
      <c r="N14" s="2">
        <f>IF('Modell einstellen'!$B$1="Voll",H14/0.35,H14/0.35*2)</f>
        <v>2.5240612285714286E-4</v>
      </c>
      <c r="O14" s="2">
        <f>IF('Modell einstellen'!$B$1="Voll",J14/0.35,J14/0.35*2)</f>
        <v>-5.8787177142857142E-4</v>
      </c>
      <c r="P14" s="3">
        <f t="shared" si="0"/>
        <v>0.42935574580112512</v>
      </c>
      <c r="Q14" s="3"/>
      <c r="R14" s="3"/>
      <c r="S14" s="3"/>
      <c r="T14" s="3"/>
      <c r="U14" s="3"/>
    </row>
    <row r="15" spans="1:21" x14ac:dyDescent="0.25">
      <c r="A15" s="3">
        <v>1E-3</v>
      </c>
      <c r="B15" s="3">
        <v>1.014E-4</v>
      </c>
      <c r="C15" s="3">
        <v>2.1330000000000001E-4</v>
      </c>
      <c r="D15" s="3">
        <v>-4.549E-4</v>
      </c>
      <c r="E15" s="3">
        <v>0</v>
      </c>
      <c r="F15" s="3">
        <v>0</v>
      </c>
      <c r="G15" s="3">
        <v>0</v>
      </c>
      <c r="H15" s="3">
        <v>9.3565431000000002E-5</v>
      </c>
      <c r="I15" s="3">
        <v>2.2707324000000001E-5</v>
      </c>
      <c r="J15" s="3">
        <v>-2.1477542000000001E-4</v>
      </c>
      <c r="K15" s="2"/>
      <c r="L15" s="3"/>
      <c r="M15" s="3"/>
      <c r="N15" s="2">
        <f>IF('Modell einstellen'!$B$1="Voll",H15/0.35,H15/0.35*2)</f>
        <v>2.6732980285714287E-4</v>
      </c>
      <c r="O15" s="2">
        <f>IF('Modell einstellen'!$B$1="Voll",J15/0.35,J15/0.35*2)</f>
        <v>-6.1364405714285717E-4</v>
      </c>
      <c r="P15" s="3">
        <f t="shared" si="0"/>
        <v>0.43564310571479736</v>
      </c>
      <c r="Q15" s="3"/>
      <c r="R15" s="3"/>
      <c r="S15" s="3"/>
      <c r="T15" s="3"/>
      <c r="U15" s="3"/>
    </row>
    <row r="16" spans="1:21" x14ac:dyDescent="0.25">
      <c r="A16" s="3">
        <v>0.01</v>
      </c>
      <c r="B16" s="3">
        <v>9.7070000000000004E-5</v>
      </c>
      <c r="C16" s="3">
        <v>2.2230000000000001E-4</v>
      </c>
      <c r="D16" s="3">
        <v>-4.6089999999999998E-4</v>
      </c>
      <c r="E16" s="3">
        <v>0</v>
      </c>
      <c r="F16" s="3">
        <v>0</v>
      </c>
      <c r="G16" s="3">
        <v>0</v>
      </c>
      <c r="H16" s="3">
        <v>9.9628676999999994E-5</v>
      </c>
      <c r="I16" s="3">
        <v>2.3836581999999999E-5</v>
      </c>
      <c r="J16" s="3">
        <v>-2.2510223E-4</v>
      </c>
      <c r="K16" s="2"/>
      <c r="L16" s="3"/>
      <c r="M16" s="3"/>
      <c r="N16" s="2">
        <f>IF('Modell einstellen'!$B$1="Voll",H16/0.35,H16/0.35*2)</f>
        <v>2.8465336285714288E-4</v>
      </c>
      <c r="O16" s="2">
        <f>IF('Modell einstellen'!$B$1="Voll",J16/0.35,J16/0.35*2)</f>
        <v>-6.4314922857142858E-4</v>
      </c>
      <c r="P16" s="3">
        <f t="shared" si="0"/>
        <v>0.44259302540005935</v>
      </c>
      <c r="Q16" s="3"/>
      <c r="R16" s="3"/>
      <c r="S16" s="3"/>
      <c r="T16" s="3"/>
      <c r="U16" s="3"/>
    </row>
    <row r="17" spans="1:21" x14ac:dyDescent="0.25">
      <c r="A17" s="3">
        <v>0.1</v>
      </c>
      <c r="B17" s="3">
        <v>9.1719999999999996E-5</v>
      </c>
      <c r="C17" s="3">
        <v>2.3130000000000001E-4</v>
      </c>
      <c r="D17" s="3">
        <v>-4.6579999999999999E-4</v>
      </c>
      <c r="E17" s="3">
        <v>0</v>
      </c>
      <c r="F17" s="3">
        <v>0</v>
      </c>
      <c r="G17" s="3">
        <v>0</v>
      </c>
      <c r="H17" s="3">
        <v>1.0590650999999999E-4</v>
      </c>
      <c r="I17" s="3">
        <v>2.4970006999999999E-5</v>
      </c>
      <c r="J17" s="3">
        <v>-2.3565395999999999E-4</v>
      </c>
      <c r="K17" s="2"/>
      <c r="L17" s="3"/>
      <c r="M17" s="3"/>
      <c r="N17" s="2">
        <f>IF('Modell einstellen'!$B$1="Voll",H17/0.35,H17/0.35*2)</f>
        <v>3.0259002857142858E-4</v>
      </c>
      <c r="O17" s="2">
        <f>IF('Modell einstellen'!$B$1="Voll",J17/0.35,J17/0.35*2)</f>
        <v>-6.7329702857142854E-4</v>
      </c>
      <c r="P17" s="3">
        <f t="shared" si="0"/>
        <v>0.4494153631027461</v>
      </c>
      <c r="Q17" s="3"/>
      <c r="R17" s="3"/>
      <c r="S17" s="3"/>
      <c r="T17" s="3"/>
      <c r="U17" s="3"/>
    </row>
    <row r="18" spans="1:21" x14ac:dyDescent="0.25">
      <c r="A18" s="3">
        <v>1</v>
      </c>
      <c r="B18" s="3">
        <v>8.4049999999999997E-5</v>
      </c>
      <c r="C18" s="3">
        <v>2.4369999999999999E-4</v>
      </c>
      <c r="D18" s="3">
        <v>-4.7209999999999998E-4</v>
      </c>
      <c r="E18" s="3">
        <v>0</v>
      </c>
      <c r="F18" s="3">
        <v>0</v>
      </c>
      <c r="G18" s="3">
        <v>0</v>
      </c>
      <c r="H18" s="3">
        <v>1.1445318E-4</v>
      </c>
      <c r="I18" s="3">
        <v>2.6572671000000001E-5</v>
      </c>
      <c r="J18" s="3">
        <v>-2.5018478E-4</v>
      </c>
      <c r="K18" s="2"/>
      <c r="L18" s="3"/>
      <c r="M18" s="3"/>
      <c r="N18" s="2">
        <f>IF('Modell einstellen'!$B$1="Voll",H18/0.35,H18/0.35*2)</f>
        <v>3.2700908571428573E-4</v>
      </c>
      <c r="O18" s="2">
        <f>IF('Modell einstellen'!$B$1="Voll",J18/0.35,J18/0.35*2)</f>
        <v>-7.1481365714285718E-4</v>
      </c>
      <c r="P18" s="3">
        <f t="shared" si="0"/>
        <v>0.45747459138001917</v>
      </c>
      <c r="Q18" s="3"/>
      <c r="R18" s="3"/>
      <c r="S18" s="3"/>
      <c r="T18" s="3"/>
      <c r="U18" s="3"/>
    </row>
    <row r="19" spans="1:21" x14ac:dyDescent="0.25">
      <c r="A19" s="3">
        <v>10</v>
      </c>
      <c r="B19" s="3">
        <v>7.7639999999999995E-5</v>
      </c>
      <c r="C19" s="3">
        <v>2.6429999999999997E-4</v>
      </c>
      <c r="D19" s="3">
        <v>-4.8720000000000002E-4</v>
      </c>
      <c r="E19" s="3">
        <v>0</v>
      </c>
      <c r="F19" s="3">
        <v>0</v>
      </c>
      <c r="G19" s="3">
        <v>0</v>
      </c>
      <c r="H19" s="3">
        <v>1.2482676E-4</v>
      </c>
      <c r="I19" s="3">
        <v>2.9233327000000001E-5</v>
      </c>
      <c r="J19" s="3">
        <v>-2.7014770000000001E-4</v>
      </c>
      <c r="K19" s="2"/>
      <c r="L19" s="3"/>
      <c r="M19" s="3"/>
      <c r="N19" s="2">
        <f>IF('Modell einstellen'!$B$1="Voll",H19/0.35,H19/0.35*2)</f>
        <v>3.5664788571428574E-4</v>
      </c>
      <c r="O19" s="2">
        <f>IF('Modell einstellen'!$B$1="Voll",J19/0.35,J19/0.35*2)</f>
        <v>-7.7185057142857148E-4</v>
      </c>
      <c r="P19" s="3">
        <f t="shared" si="0"/>
        <v>0.4620685647147838</v>
      </c>
      <c r="Q19" s="3"/>
      <c r="R19" s="3"/>
      <c r="S19" s="3"/>
      <c r="T19" s="3"/>
      <c r="U19" s="3"/>
    </row>
    <row r="20" spans="1:21" x14ac:dyDescent="0.25">
      <c r="A20" s="3">
        <v>100</v>
      </c>
      <c r="B20" s="3">
        <v>7.4939999999999997E-5</v>
      </c>
      <c r="C20" s="3">
        <v>3.009E-4</v>
      </c>
      <c r="D20" s="3">
        <v>-5.2070000000000003E-4</v>
      </c>
      <c r="E20" s="3">
        <v>0</v>
      </c>
      <c r="F20" s="3">
        <v>0</v>
      </c>
      <c r="G20" s="3">
        <v>0</v>
      </c>
      <c r="H20" s="3">
        <v>1.3821315000000001E-4</v>
      </c>
      <c r="I20" s="3">
        <v>3.3988754000000003E-5</v>
      </c>
      <c r="J20" s="3">
        <v>-3.0033902999999999E-4</v>
      </c>
      <c r="K20" s="2"/>
      <c r="L20" s="3"/>
      <c r="M20" s="3"/>
      <c r="N20" s="2">
        <f>IF('Modell einstellen'!$B$1="Voll",H20/0.35,H20/0.35*2)</f>
        <v>3.9489471428571436E-4</v>
      </c>
      <c r="O20" s="2">
        <f>IF('Modell einstellen'!$B$1="Voll",J20/0.35,J20/0.35*2)</f>
        <v>-8.5811151428571433E-4</v>
      </c>
      <c r="P20" s="3">
        <f t="shared" si="0"/>
        <v>0.460190438785129</v>
      </c>
      <c r="Q20" s="3"/>
      <c r="R20" s="3"/>
      <c r="S20" s="3"/>
      <c r="T20" s="3"/>
      <c r="U20" s="3"/>
    </row>
    <row r="21" spans="1:21" x14ac:dyDescent="0.25">
      <c r="A21" s="3">
        <v>1000</v>
      </c>
      <c r="B21" s="3">
        <v>6.9170000000000004E-5</v>
      </c>
      <c r="C21" s="3">
        <v>3.5070000000000001E-4</v>
      </c>
      <c r="D21" s="3">
        <v>-5.643E-4</v>
      </c>
      <c r="E21" s="3">
        <v>0</v>
      </c>
      <c r="F21" s="3">
        <v>0</v>
      </c>
      <c r="G21" s="3">
        <v>0</v>
      </c>
      <c r="H21" s="3">
        <v>1.5620382E-4</v>
      </c>
      <c r="I21" s="3">
        <v>4.0652043000000001E-5</v>
      </c>
      <c r="J21" s="3">
        <v>-3.4200016999999999E-4</v>
      </c>
      <c r="K21" s="2"/>
      <c r="L21" s="3"/>
      <c r="M21" s="3"/>
      <c r="N21" s="2">
        <f>IF('Modell einstellen'!$B$1="Voll",H21/0.35,H21/0.35*2)</f>
        <v>4.4629662857142857E-4</v>
      </c>
      <c r="O21" s="2">
        <f>IF('Modell einstellen'!$B$1="Voll",J21/0.35,J21/0.35*2)</f>
        <v>-9.7714334285714283E-4</v>
      </c>
      <c r="P21" s="3">
        <f t="shared" si="0"/>
        <v>0.45673608875691496</v>
      </c>
      <c r="Q21" s="3"/>
      <c r="R21" s="3"/>
      <c r="S21" s="3"/>
      <c r="T21" s="3"/>
      <c r="U21" s="3"/>
    </row>
    <row r="22" spans="1:21" x14ac:dyDescent="0.25">
      <c r="A22" s="3">
        <v>10000</v>
      </c>
      <c r="B22" s="3">
        <v>4.21E-5</v>
      </c>
      <c r="C22" s="3">
        <v>4.1340000000000002E-4</v>
      </c>
      <c r="D22" s="3">
        <v>-6.0070000000000002E-4</v>
      </c>
      <c r="E22" s="3">
        <v>0</v>
      </c>
      <c r="F22" s="3">
        <v>0</v>
      </c>
      <c r="G22" s="3">
        <v>0</v>
      </c>
      <c r="H22" s="3">
        <v>1.8312052999999999E-4</v>
      </c>
      <c r="I22" s="3">
        <v>4.9517909E-5</v>
      </c>
      <c r="J22" s="3">
        <v>-4.0077198E-4</v>
      </c>
      <c r="K22" s="2"/>
      <c r="L22" s="3"/>
      <c r="M22" s="3"/>
      <c r="N22" s="2">
        <f>IF('Modell einstellen'!$B$1="Voll",H22/0.35,H22/0.35*2)</f>
        <v>5.2320151428571432E-4</v>
      </c>
      <c r="O22" s="2">
        <f>IF('Modell einstellen'!$B$1="Voll",J22/0.35,J22/0.35*2)</f>
        <v>-1.1450628000000001E-3</v>
      </c>
      <c r="P22" s="3">
        <f t="shared" si="0"/>
        <v>0.45691949322405223</v>
      </c>
      <c r="Q22" s="3"/>
      <c r="R22" s="3"/>
      <c r="S22" s="3"/>
      <c r="T22" s="3"/>
      <c r="U22" s="3"/>
    </row>
    <row r="23" spans="1:21" x14ac:dyDescent="0.25">
      <c r="A23" s="3">
        <v>100000</v>
      </c>
      <c r="B23" s="3">
        <v>-2.936E-5</v>
      </c>
      <c r="C23" s="3">
        <v>4.9620000000000003E-4</v>
      </c>
      <c r="D23" s="3">
        <v>-6.1419999999999997E-4</v>
      </c>
      <c r="E23" s="3">
        <v>0</v>
      </c>
      <c r="F23" s="3">
        <v>0</v>
      </c>
      <c r="G23" s="3">
        <v>0</v>
      </c>
      <c r="H23" s="3">
        <v>2.2558588E-4</v>
      </c>
      <c r="I23" s="3">
        <v>6.2017654000000002E-5</v>
      </c>
      <c r="J23" s="3">
        <v>-4.8855412000000005E-4</v>
      </c>
      <c r="K23" s="2"/>
      <c r="L23" s="3"/>
      <c r="M23" s="3"/>
      <c r="N23" s="2">
        <f>IF('Modell einstellen'!$B$1="Voll",H23/0.35,H23/0.35*2)</f>
        <v>6.4453108571428577E-4</v>
      </c>
      <c r="O23" s="2">
        <f>IF('Modell einstellen'!$B$1="Voll",J23/0.35,J23/0.35*2)</f>
        <v>-1.3958689142857146E-3</v>
      </c>
      <c r="P23" s="3">
        <f t="shared" si="0"/>
        <v>0.46174184346250108</v>
      </c>
      <c r="Q23" s="3"/>
      <c r="R23" s="3"/>
      <c r="S23" s="3"/>
      <c r="T23" s="3"/>
      <c r="U23" s="3"/>
    </row>
    <row r="24" spans="1:21" x14ac:dyDescent="0.25">
      <c r="A24" s="3">
        <v>1000000</v>
      </c>
      <c r="B24" s="3">
        <v>-2.0230000000000001E-4</v>
      </c>
      <c r="C24" s="3">
        <v>6.1910000000000003E-4</v>
      </c>
      <c r="D24" s="3">
        <v>-5.6780000000000003E-4</v>
      </c>
      <c r="E24" s="3">
        <v>0</v>
      </c>
      <c r="F24" s="3">
        <v>0</v>
      </c>
      <c r="G24" s="3">
        <v>0</v>
      </c>
      <c r="H24" s="3">
        <v>2.9955447000000002E-4</v>
      </c>
      <c r="I24" s="3">
        <v>8.1973131999999997E-5</v>
      </c>
      <c r="J24" s="3">
        <v>-6.3519743000000001E-4</v>
      </c>
      <c r="K24" s="2"/>
      <c r="L24" s="3"/>
      <c r="M24" s="3"/>
      <c r="N24" s="2">
        <f>IF('Modell einstellen'!$B$1="Voll",H24/0.35,H24/0.35*2)</f>
        <v>8.558699142857144E-4</v>
      </c>
      <c r="O24" s="2">
        <f>IF('Modell einstellen'!$B$1="Voll",J24/0.35,J24/0.35*2)</f>
        <v>-1.8148498000000002E-3</v>
      </c>
      <c r="P24" s="3">
        <f t="shared" si="0"/>
        <v>0.47159269835206985</v>
      </c>
      <c r="Q24" s="3"/>
      <c r="R24" s="3"/>
      <c r="S24" s="3"/>
      <c r="T24" s="3"/>
      <c r="U24" s="3"/>
    </row>
    <row r="25" spans="1:21" x14ac:dyDescent="0.25">
      <c r="A25" s="3">
        <v>10000000</v>
      </c>
      <c r="B25" s="3">
        <v>-5.4169999999999999E-4</v>
      </c>
      <c r="C25" s="3">
        <v>7.917E-4</v>
      </c>
      <c r="D25" s="3">
        <v>-4.0460000000000002E-4</v>
      </c>
      <c r="E25" s="3">
        <v>0</v>
      </c>
      <c r="F25" s="3">
        <v>0</v>
      </c>
      <c r="G25" s="3">
        <v>0</v>
      </c>
      <c r="H25" s="3">
        <v>4.1729041E-4</v>
      </c>
      <c r="I25" s="3">
        <v>1.1202855E-4</v>
      </c>
      <c r="J25" s="3">
        <v>-8.6246282000000001E-4</v>
      </c>
      <c r="K25" s="2"/>
      <c r="L25" s="3"/>
      <c r="M25" s="3"/>
      <c r="N25" s="2">
        <f>IF('Modell einstellen'!$B$1="Voll",H25/0.35,H25/0.35*2)</f>
        <v>1.1922583142857143E-3</v>
      </c>
      <c r="O25" s="2">
        <f>IF('Modell einstellen'!$B$1="Voll",J25/0.35,J25/0.35*2)</f>
        <v>-2.464179485714286E-3</v>
      </c>
      <c r="P25" s="3">
        <f t="shared" si="0"/>
        <v>0.48383582494605387</v>
      </c>
      <c r="Q25" s="3"/>
      <c r="R25" s="3"/>
      <c r="S25" s="3"/>
      <c r="T25" s="3"/>
      <c r="U25" s="3"/>
    </row>
    <row r="26" spans="1:21" x14ac:dyDescent="0.25">
      <c r="A26" s="3">
        <v>100000000</v>
      </c>
      <c r="B26" s="3">
        <v>-1.1000000000000001E-3</v>
      </c>
      <c r="C26" s="3">
        <v>1.021E-3</v>
      </c>
      <c r="D26" s="3">
        <v>-7.8880000000000004E-5</v>
      </c>
      <c r="E26" s="3">
        <v>0</v>
      </c>
      <c r="F26" s="3">
        <v>0</v>
      </c>
      <c r="G26" s="3">
        <v>0</v>
      </c>
      <c r="H26" s="3">
        <v>5.9018472000000005E-4</v>
      </c>
      <c r="I26" s="3">
        <v>1.5413235999999999E-4</v>
      </c>
      <c r="J26" s="3">
        <v>-1.1886105000000001E-3</v>
      </c>
      <c r="K26" s="2"/>
      <c r="L26" s="3"/>
      <c r="M26" s="3"/>
      <c r="N26" s="2">
        <f>IF('Modell einstellen'!$B$1="Voll",H26/0.35,H26/0.35*2)</f>
        <v>1.6862420571428574E-3</v>
      </c>
      <c r="O26" s="2">
        <f>IF('Modell einstellen'!$B$1="Voll",J26/0.35,J26/0.35*2)</f>
        <v>-3.3960300000000004E-3</v>
      </c>
      <c r="P26" s="3">
        <f t="shared" si="0"/>
        <v>0.49653332189140181</v>
      </c>
      <c r="Q26" s="3"/>
      <c r="R26" s="3"/>
      <c r="S26" s="3"/>
      <c r="T26" s="3"/>
      <c r="U26" s="3"/>
    </row>
    <row r="27" spans="1:21" x14ac:dyDescent="0.25">
      <c r="A27" s="3">
        <v>1000000000</v>
      </c>
      <c r="B27" s="3">
        <v>-1.7409999999999999E-3</v>
      </c>
      <c r="C27" s="3">
        <v>1.2570000000000001E-3</v>
      </c>
      <c r="D27" s="3">
        <v>3.2459999999999998E-4</v>
      </c>
      <c r="E27" s="3">
        <v>0</v>
      </c>
      <c r="F27" s="3">
        <v>0</v>
      </c>
      <c r="G27" s="3">
        <v>0</v>
      </c>
      <c r="H27" s="3">
        <v>7.7781422999999999E-4</v>
      </c>
      <c r="I27" s="3">
        <v>1.9904581000000001E-4</v>
      </c>
      <c r="J27" s="3">
        <v>-1.5393167E-3</v>
      </c>
      <c r="K27" s="2"/>
      <c r="L27" s="3"/>
      <c r="M27" s="3"/>
      <c r="N27" s="2">
        <f>IF('Modell einstellen'!$B$1="Voll",H27/0.35,H27/0.35*2)</f>
        <v>2.2223263714285717E-3</v>
      </c>
      <c r="O27" s="2">
        <f>IF('Modell einstellen'!$B$1="Voll",J27/0.35,J27/0.35*2)</f>
        <v>-4.3980477142857143E-3</v>
      </c>
      <c r="P27" s="3">
        <f t="shared" si="0"/>
        <v>0.50529837687072454</v>
      </c>
      <c r="Q27" s="3"/>
      <c r="R27" s="3"/>
      <c r="S27" s="3"/>
      <c r="T27" s="3"/>
      <c r="U27" s="3"/>
    </row>
    <row r="28" spans="1:21" x14ac:dyDescent="0.25">
      <c r="A28" s="3">
        <v>10000000000</v>
      </c>
      <c r="B28" s="3">
        <v>-2.2829999999999999E-3</v>
      </c>
      <c r="C28" s="3">
        <v>1.451E-3</v>
      </c>
      <c r="D28" s="3">
        <v>6.7239999999999997E-4</v>
      </c>
      <c r="E28" s="3">
        <v>0</v>
      </c>
      <c r="F28" s="3">
        <v>0</v>
      </c>
      <c r="G28" s="3">
        <v>0</v>
      </c>
      <c r="H28" s="3">
        <v>9.3310276999999996E-4</v>
      </c>
      <c r="I28" s="3">
        <v>2.3650464999999999E-4</v>
      </c>
      <c r="J28" s="3">
        <v>-1.8302612E-3</v>
      </c>
      <c r="K28" s="2"/>
      <c r="L28" s="3"/>
      <c r="M28" s="3"/>
      <c r="N28" s="2">
        <f>IF('Modell einstellen'!$B$1="Voll",H28/0.35,H28/0.35*2)</f>
        <v>2.6660079142857142E-3</v>
      </c>
      <c r="O28" s="2">
        <f>IF('Modell einstellen'!$B$1="Voll",J28/0.35,J28/0.35*2)</f>
        <v>-5.2293177142857146E-3</v>
      </c>
      <c r="P28" s="3">
        <f t="shared" si="0"/>
        <v>0.50981945637048953</v>
      </c>
      <c r="Q28" s="3"/>
      <c r="R28" s="3"/>
      <c r="S28" s="3"/>
      <c r="T28" s="3"/>
      <c r="U28" s="3"/>
    </row>
    <row r="29" spans="1:21" x14ac:dyDescent="0.25">
      <c r="A29" s="3">
        <v>100000000000</v>
      </c>
      <c r="B29" s="3">
        <v>-2.6090000000000002E-3</v>
      </c>
      <c r="C29" s="3">
        <v>1.57E-3</v>
      </c>
      <c r="D29" s="3">
        <v>8.7870000000000005E-4</v>
      </c>
      <c r="E29" s="3">
        <v>0</v>
      </c>
      <c r="F29" s="3">
        <v>0</v>
      </c>
      <c r="G29" s="3">
        <v>0</v>
      </c>
      <c r="H29" s="3">
        <v>1.0253949999999999E-3</v>
      </c>
      <c r="I29" s="3">
        <v>2.5965207999999998E-4</v>
      </c>
      <c r="J29" s="3">
        <v>-2.0062254000000001E-3</v>
      </c>
      <c r="K29" s="2"/>
      <c r="L29" s="3"/>
      <c r="M29" s="3"/>
      <c r="N29" s="2">
        <f>IF('Modell einstellen'!$B$1="Voll",H29/0.35,H29/0.35*2)</f>
        <v>2.9296999999999999E-3</v>
      </c>
      <c r="O29" s="2">
        <f>IF('Modell einstellen'!$B$1="Voll",J29/0.35,J29/0.35*2)</f>
        <v>-5.7320725714285724E-3</v>
      </c>
      <c r="P29" s="3">
        <f t="shared" si="0"/>
        <v>0.51110657855293817</v>
      </c>
      <c r="Q29" s="3"/>
      <c r="R29" s="3"/>
      <c r="S29" s="3"/>
      <c r="T29" s="3"/>
      <c r="U29" s="3"/>
    </row>
    <row r="30" spans="1:21" x14ac:dyDescent="0.25">
      <c r="A30" s="3">
        <v>1000000000000</v>
      </c>
      <c r="B30" s="3">
        <v>-2.8419999999999999E-3</v>
      </c>
      <c r="C30" s="3">
        <v>1.655E-3</v>
      </c>
      <c r="D30" s="3">
        <v>1.0269999999999999E-3</v>
      </c>
      <c r="E30" s="3">
        <v>0</v>
      </c>
      <c r="F30" s="3">
        <v>0</v>
      </c>
      <c r="G30" s="3">
        <v>0</v>
      </c>
      <c r="H30" s="3">
        <v>1.0922391000000001E-3</v>
      </c>
      <c r="I30" s="3">
        <v>2.7630212999999999E-4</v>
      </c>
      <c r="J30" s="3">
        <v>-2.1331814000000002E-3</v>
      </c>
      <c r="K30" s="2"/>
      <c r="L30" s="3"/>
      <c r="M30" s="3"/>
      <c r="N30" s="2">
        <f>IF('Modell einstellen'!$B$1="Voll",H30/0.35,H30/0.35*2)</f>
        <v>3.1206831428571432E-3</v>
      </c>
      <c r="O30" s="2">
        <f>IF('Modell einstellen'!$B$1="Voll",J30/0.35,J30/0.35*2)</f>
        <v>-6.0948040000000005E-3</v>
      </c>
      <c r="P30" s="3">
        <f t="shared" si="0"/>
        <v>0.51202354380176018</v>
      </c>
      <c r="Q30" s="3"/>
      <c r="R30" s="3"/>
      <c r="S30" s="3"/>
      <c r="T30" s="3"/>
      <c r="U30" s="3"/>
    </row>
    <row r="31" spans="1:21" x14ac:dyDescent="0.25">
      <c r="A31" s="3">
        <v>10000000000000</v>
      </c>
      <c r="B31" s="3">
        <v>-2.9940000000000001E-3</v>
      </c>
      <c r="C31" s="3">
        <v>1.7049999999999999E-3</v>
      </c>
      <c r="D31" s="3">
        <v>1.129E-3</v>
      </c>
      <c r="E31" s="3">
        <v>0</v>
      </c>
      <c r="F31" s="3">
        <v>0</v>
      </c>
      <c r="G31" s="3">
        <v>0</v>
      </c>
      <c r="H31" s="3">
        <v>1.1345432999999999E-3</v>
      </c>
      <c r="I31" s="3">
        <v>2.8622423999999998E-4</v>
      </c>
      <c r="J31" s="3">
        <v>-2.2112479999999999E-3</v>
      </c>
      <c r="K31" s="2"/>
      <c r="L31" s="3"/>
      <c r="M31" s="3"/>
      <c r="N31" s="2">
        <f>IF('Modell einstellen'!$B$1="Voll",H31/0.35,H31/0.35*2)</f>
        <v>3.2415522857142855E-3</v>
      </c>
      <c r="O31" s="2">
        <f>IF('Modell einstellen'!$B$1="Voll",J31/0.35,J31/0.35*2)</f>
        <v>-6.3178514285714285E-3</v>
      </c>
      <c r="P31" s="3">
        <f t="shared" si="0"/>
        <v>0.51307827073218382</v>
      </c>
      <c r="Q31" s="3"/>
      <c r="R31" s="3"/>
      <c r="S31" s="3"/>
      <c r="T31" s="3"/>
      <c r="U31" s="3"/>
    </row>
    <row r="32" spans="1:21" x14ac:dyDescent="0.25">
      <c r="A32" s="3">
        <v>100000000000000</v>
      </c>
      <c r="B32" s="3">
        <v>-3.0720000000000001E-3</v>
      </c>
      <c r="C32" s="3">
        <v>1.7359999999999999E-3</v>
      </c>
      <c r="D32" s="3">
        <v>1.175E-3</v>
      </c>
      <c r="E32" s="3">
        <v>0</v>
      </c>
      <c r="F32" s="3">
        <v>0</v>
      </c>
      <c r="G32" s="3">
        <v>0</v>
      </c>
      <c r="H32" s="3">
        <v>1.1561500000000001E-3</v>
      </c>
      <c r="I32" s="3">
        <v>2.9236090000000001E-4</v>
      </c>
      <c r="J32" s="3">
        <v>-2.2549974E-3</v>
      </c>
      <c r="K32" s="2"/>
      <c r="L32" s="3"/>
      <c r="M32" s="3"/>
      <c r="N32" s="2">
        <f>IF('Modell einstellen'!$B$1="Voll",H32/0.35,H32/0.35*2)</f>
        <v>3.3032857142857148E-3</v>
      </c>
      <c r="O32" s="2">
        <f>IF('Modell einstellen'!$B$1="Voll",J32/0.35,J32/0.35*2)</f>
        <v>-6.4428497142857144E-3</v>
      </c>
      <c r="P32" s="3">
        <f t="shared" si="0"/>
        <v>0.51270569092452178</v>
      </c>
      <c r="Q32" s="3"/>
      <c r="R32" s="3"/>
      <c r="S32" s="3"/>
      <c r="T32" s="3"/>
      <c r="U32" s="3"/>
    </row>
    <row r="33" spans="1:21" x14ac:dyDescent="0.25">
      <c r="A33" s="2">
        <v>1000000000000000</v>
      </c>
      <c r="B33" s="3">
        <v>-3.2750000000000001E-3</v>
      </c>
      <c r="C33" s="3">
        <v>1.807E-3</v>
      </c>
      <c r="D33" s="3">
        <v>1.307E-3</v>
      </c>
      <c r="E33" s="3">
        <v>0</v>
      </c>
      <c r="F33" s="3">
        <v>0</v>
      </c>
      <c r="G33" s="3">
        <v>0</v>
      </c>
      <c r="H33" s="3">
        <v>1.215994E-3</v>
      </c>
      <c r="I33" s="3">
        <v>3.062559E-4</v>
      </c>
      <c r="J33" s="3">
        <v>-2.3649074E-3</v>
      </c>
      <c r="K33" s="2"/>
      <c r="L33" s="3"/>
      <c r="M33" s="3"/>
      <c r="N33" s="2">
        <f>IF('Modell einstellen'!$B$1="Voll",H33/0.35,H33/0.35*2)</f>
        <v>3.4742685714285715E-3</v>
      </c>
      <c r="O33" s="2">
        <f>IF('Modell einstellen'!$B$1="Voll",J33/0.35,J33/0.35*2)</f>
        <v>-6.7568782857142864E-3</v>
      </c>
      <c r="P33" s="3">
        <f t="shared" si="0"/>
        <v>0.51418250033806812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1.061E-4</v>
      </c>
      <c r="C3" s="3">
        <v>1.4569999999999999E-4</v>
      </c>
      <c r="D3" s="3">
        <v>-3.812E-4</v>
      </c>
      <c r="E3" s="3">
        <v>0</v>
      </c>
      <c r="F3" s="3">
        <v>0</v>
      </c>
      <c r="G3" s="3">
        <v>0</v>
      </c>
      <c r="H3" s="3">
        <v>5.6118625999999999E-5</v>
      </c>
      <c r="I3" s="3">
        <v>1.4776821E-5</v>
      </c>
      <c r="J3" s="3">
        <v>-1.4734892000000001E-4</v>
      </c>
      <c r="L3" s="3">
        <f>-B3/D3</f>
        <v>0.27833158447009443</v>
      </c>
      <c r="M3" s="3"/>
      <c r="N3" s="2">
        <f>IF('Modell einstellen'!$B$1="Voll",H3/0.35,H3/0.35*2)</f>
        <v>1.6033893142857145E-4</v>
      </c>
      <c r="O3" s="2">
        <f>IF('Modell einstellen'!$B$1="Voll",J3/0.35,J3/0.35*2)</f>
        <v>-4.2099691428571434E-4</v>
      </c>
      <c r="P3" s="3">
        <f>-N3/O3</f>
        <v>0.38085536018859178</v>
      </c>
    </row>
    <row r="4" spans="1:16" x14ac:dyDescent="0.25">
      <c r="A4" s="3">
        <v>1E-14</v>
      </c>
      <c r="B4" s="3">
        <v>1.077E-4</v>
      </c>
      <c r="C4" s="3">
        <v>1.5200000000000001E-4</v>
      </c>
      <c r="D4" s="3">
        <v>-3.8999999999999999E-4</v>
      </c>
      <c r="E4" s="3">
        <v>0</v>
      </c>
      <c r="F4" s="3">
        <v>0</v>
      </c>
      <c r="G4" s="3">
        <v>0</v>
      </c>
      <c r="H4" s="3">
        <v>5.9024919000000003E-5</v>
      </c>
      <c r="I4" s="3">
        <v>1.5472959E-5</v>
      </c>
      <c r="J4" s="3">
        <v>-1.5287760000000001E-4</v>
      </c>
      <c r="L4" s="3">
        <f t="shared" ref="L4:L33" si="0">-B4/D4</f>
        <v>0.27615384615384614</v>
      </c>
      <c r="M4" s="3"/>
      <c r="N4" s="2">
        <f>IF('Modell einstellen'!$B$1="Voll",H4/0.35,H4/0.35*2)</f>
        <v>1.6864262571428574E-4</v>
      </c>
      <c r="O4" s="2">
        <f>IF('Modell einstellen'!$B$1="Voll",J4/0.35,J4/0.35*2)</f>
        <v>-4.3679314285714293E-4</v>
      </c>
      <c r="P4" s="3">
        <f t="shared" ref="P4:P33" si="1">-N4/O4</f>
        <v>0.38609265844047785</v>
      </c>
    </row>
    <row r="5" spans="1:16" x14ac:dyDescent="0.25">
      <c r="A5" s="3">
        <v>1E-13</v>
      </c>
      <c r="B5" s="3">
        <v>1.089E-4</v>
      </c>
      <c r="C5" s="3">
        <v>1.5770000000000001E-4</v>
      </c>
      <c r="D5" s="3">
        <v>-3.9770000000000002E-4</v>
      </c>
      <c r="E5" s="3">
        <v>0</v>
      </c>
      <c r="F5" s="3">
        <v>0</v>
      </c>
      <c r="G5" s="3">
        <v>0</v>
      </c>
      <c r="H5" s="3">
        <v>6.1755568999999997E-5</v>
      </c>
      <c r="I5" s="3">
        <v>1.6116E-5</v>
      </c>
      <c r="J5" s="3">
        <v>-1.5803424E-4</v>
      </c>
      <c r="L5" s="3">
        <f t="shared" si="0"/>
        <v>0.27382449082222782</v>
      </c>
      <c r="M5" s="3"/>
      <c r="N5" s="2">
        <f>IF('Modell einstellen'!$B$1="Voll",H5/0.35,H5/0.35*2)</f>
        <v>1.7644448285714285E-4</v>
      </c>
      <c r="O5" s="2">
        <f>IF('Modell einstellen'!$B$1="Voll",J5/0.35,J5/0.35*2)</f>
        <v>-4.5152640000000003E-4</v>
      </c>
      <c r="P5" s="3">
        <f t="shared" si="1"/>
        <v>0.39077334759859633</v>
      </c>
    </row>
    <row r="6" spans="1:16" x14ac:dyDescent="0.25">
      <c r="A6" s="3">
        <v>9.9999999999999998E-13</v>
      </c>
      <c r="B6" s="3">
        <v>1.097E-4</v>
      </c>
      <c r="C6" s="3">
        <v>1.6320000000000001E-4</v>
      </c>
      <c r="D6" s="3">
        <v>-4.0489999999999998E-4</v>
      </c>
      <c r="E6" s="3">
        <v>0</v>
      </c>
      <c r="F6" s="3">
        <v>0</v>
      </c>
      <c r="G6" s="3">
        <v>0</v>
      </c>
      <c r="H6" s="3">
        <v>6.4419568000000001E-5</v>
      </c>
      <c r="I6" s="3">
        <v>1.6733576999999999E-5</v>
      </c>
      <c r="J6" s="3">
        <v>-1.6302695000000001E-4</v>
      </c>
      <c r="L6" s="3">
        <f t="shared" si="0"/>
        <v>0.27093109409730798</v>
      </c>
      <c r="M6" s="3"/>
      <c r="N6" s="2">
        <f>IF('Modell einstellen'!$B$1="Voll",H6/0.35,H6/0.35*2)</f>
        <v>1.840559085714286E-4</v>
      </c>
      <c r="O6" s="2">
        <f>IF('Modell einstellen'!$B$1="Voll",J6/0.35,J6/0.35*2)</f>
        <v>-4.6579128571428574E-4</v>
      </c>
      <c r="P6" s="3">
        <f t="shared" si="1"/>
        <v>0.39514674107563202</v>
      </c>
    </row>
    <row r="7" spans="1:16" x14ac:dyDescent="0.25">
      <c r="A7" s="3">
        <v>9.9999999999999994E-12</v>
      </c>
      <c r="B7" s="3">
        <v>1.104E-4</v>
      </c>
      <c r="C7" s="3">
        <v>1.696E-4</v>
      </c>
      <c r="D7" s="3">
        <v>-4.1300000000000001E-4</v>
      </c>
      <c r="E7" s="3">
        <v>0</v>
      </c>
      <c r="F7" s="3">
        <v>0</v>
      </c>
      <c r="G7" s="3">
        <v>0</v>
      </c>
      <c r="H7" s="3">
        <v>6.7669161999999995E-5</v>
      </c>
      <c r="I7" s="3">
        <v>1.7474541999999998E-5</v>
      </c>
      <c r="J7" s="3">
        <v>-1.6906968000000001E-4</v>
      </c>
      <c r="L7" s="3">
        <f t="shared" si="0"/>
        <v>0.26731234866828085</v>
      </c>
      <c r="M7" s="3"/>
      <c r="N7" s="2">
        <f>IF('Modell einstellen'!$B$1="Voll",H7/0.35,H7/0.35*2)</f>
        <v>1.9334046285714285E-4</v>
      </c>
      <c r="O7" s="2">
        <f>IF('Modell einstellen'!$B$1="Voll",J7/0.35,J7/0.35*2)</f>
        <v>-4.8305622857142865E-4</v>
      </c>
      <c r="P7" s="3">
        <f t="shared" si="1"/>
        <v>0.40024421883332356</v>
      </c>
    </row>
    <row r="8" spans="1:16" x14ac:dyDescent="0.25">
      <c r="A8" s="3">
        <v>1E-10</v>
      </c>
      <c r="B8" s="3">
        <v>1.1069999999999999E-4</v>
      </c>
      <c r="C8" s="3">
        <v>1.7780000000000001E-4</v>
      </c>
      <c r="D8" s="3">
        <v>-4.2279999999999998E-4</v>
      </c>
      <c r="E8" s="3">
        <v>0</v>
      </c>
      <c r="F8" s="3">
        <v>0</v>
      </c>
      <c r="G8" s="3">
        <v>0</v>
      </c>
      <c r="H8" s="3">
        <v>7.1940580000000006E-5</v>
      </c>
      <c r="I8" s="3">
        <v>1.8427477999999999E-5</v>
      </c>
      <c r="J8" s="3">
        <v>-1.7693202999999999E-4</v>
      </c>
      <c r="L8" s="3">
        <f t="shared" si="0"/>
        <v>0.26182592242194891</v>
      </c>
      <c r="M8" s="3"/>
      <c r="N8" s="2">
        <f>IF('Modell einstellen'!$B$1="Voll",H8/0.35,H8/0.35*2)</f>
        <v>2.0554451428571433E-4</v>
      </c>
      <c r="O8" s="2">
        <f>IF('Modell einstellen'!$B$1="Voll",J8/0.35,J8/0.35*2)</f>
        <v>-5.0552008571428568E-4</v>
      </c>
      <c r="P8" s="3">
        <f t="shared" si="1"/>
        <v>0.40660009383264306</v>
      </c>
    </row>
    <row r="9" spans="1:16" x14ac:dyDescent="0.25">
      <c r="A9" s="3">
        <v>1.0000000000000001E-9</v>
      </c>
      <c r="B9" s="3">
        <v>1.102E-4</v>
      </c>
      <c r="C9" s="3">
        <v>1.8709999999999999E-4</v>
      </c>
      <c r="D9" s="3">
        <v>-4.3300000000000001E-4</v>
      </c>
      <c r="E9" s="3">
        <v>0</v>
      </c>
      <c r="F9" s="3">
        <v>0</v>
      </c>
      <c r="G9" s="3">
        <v>0</v>
      </c>
      <c r="H9" s="3">
        <v>7.6966114999999996E-5</v>
      </c>
      <c r="I9" s="3">
        <v>1.9517568E-5</v>
      </c>
      <c r="J9" s="3">
        <v>-1.8606385999999999E-4</v>
      </c>
      <c r="L9" s="3">
        <f t="shared" si="0"/>
        <v>0.25450346420323322</v>
      </c>
      <c r="M9" s="3"/>
      <c r="N9" s="2">
        <f>IF('Modell einstellen'!$B$1="Voll",H9/0.35,H9/0.35*2)</f>
        <v>2.1990318571428572E-4</v>
      </c>
      <c r="O9" s="2">
        <f>IF('Modell einstellen'!$B$1="Voll",J9/0.35,J9/0.35*2)</f>
        <v>-5.3161102857142862E-4</v>
      </c>
      <c r="P9" s="3">
        <f t="shared" si="1"/>
        <v>0.41365429589604341</v>
      </c>
    </row>
    <row r="10" spans="1:16" x14ac:dyDescent="0.25">
      <c r="A10" s="3">
        <v>1E-8</v>
      </c>
      <c r="B10" s="3">
        <v>1.0900000000000001E-4</v>
      </c>
      <c r="C10" s="3">
        <v>1.9570000000000001E-4</v>
      </c>
      <c r="D10" s="3">
        <v>-4.416E-4</v>
      </c>
      <c r="E10" s="3">
        <v>0</v>
      </c>
      <c r="F10" s="3">
        <v>0</v>
      </c>
      <c r="G10" s="3">
        <v>0</v>
      </c>
      <c r="H10" s="3">
        <v>8.1849819000000002E-5</v>
      </c>
      <c r="I10" s="3">
        <v>2.0544299999999999E-5</v>
      </c>
      <c r="J10" s="3">
        <v>-1.9481410999999999E-4</v>
      </c>
      <c r="L10" s="3">
        <f t="shared" si="0"/>
        <v>0.24682971014492755</v>
      </c>
      <c r="M10" s="3"/>
      <c r="N10" s="2">
        <f>IF('Modell einstellen'!$B$1="Voll",H10/0.35,H10/0.35*2)</f>
        <v>2.3385662571428573E-4</v>
      </c>
      <c r="O10" s="2">
        <f>IF('Modell einstellen'!$B$1="Voll",J10/0.35,J10/0.35*2)</f>
        <v>-5.5661174285714281E-4</v>
      </c>
      <c r="P10" s="3">
        <f t="shared" si="1"/>
        <v>0.42014317648757582</v>
      </c>
    </row>
    <row r="11" spans="1:16" x14ac:dyDescent="0.25">
      <c r="A11" s="3">
        <v>9.9999999999999995E-8</v>
      </c>
      <c r="B11" s="3">
        <v>1.071E-4</v>
      </c>
      <c r="C11" s="3">
        <v>2.0350000000000001E-4</v>
      </c>
      <c r="D11" s="3">
        <v>-4.4870000000000001E-4</v>
      </c>
      <c r="E11" s="3">
        <v>0</v>
      </c>
      <c r="F11" s="3">
        <v>0</v>
      </c>
      <c r="G11" s="3">
        <v>0</v>
      </c>
      <c r="H11" s="3">
        <v>8.6466450999999995E-5</v>
      </c>
      <c r="I11" s="3">
        <v>2.1488459000000001E-5</v>
      </c>
      <c r="J11" s="3">
        <v>-2.02986E-4</v>
      </c>
      <c r="L11" s="3">
        <f t="shared" si="0"/>
        <v>0.23868954758190328</v>
      </c>
      <c r="M11" s="3"/>
      <c r="N11" s="2">
        <f>IF('Modell einstellen'!$B$1="Voll",H11/0.35,H11/0.35*2)</f>
        <v>2.4704700285714288E-4</v>
      </c>
      <c r="O11" s="2">
        <f>IF('Modell einstellen'!$B$1="Voll",J11/0.35,J11/0.35*2)</f>
        <v>-5.7996000000000002E-4</v>
      </c>
      <c r="P11" s="3">
        <f t="shared" si="1"/>
        <v>0.42597248578719715</v>
      </c>
    </row>
    <row r="12" spans="1:16" x14ac:dyDescent="0.25">
      <c r="A12" s="3">
        <v>9.9999999999999995E-7</v>
      </c>
      <c r="B12" s="3">
        <v>1.044E-4</v>
      </c>
      <c r="C12" s="3">
        <v>2.118E-4</v>
      </c>
      <c r="D12" s="3">
        <v>-4.5560000000000002E-4</v>
      </c>
      <c r="E12" s="3">
        <v>0</v>
      </c>
      <c r="F12" s="3">
        <v>0</v>
      </c>
      <c r="G12" s="3">
        <v>0</v>
      </c>
      <c r="H12" s="3">
        <v>9.1596968000000003E-5</v>
      </c>
      <c r="I12" s="3">
        <v>2.2507358999999999E-5</v>
      </c>
      <c r="J12" s="3">
        <v>-2.119534E-4</v>
      </c>
      <c r="L12" s="3">
        <f t="shared" si="0"/>
        <v>0.22914837576821773</v>
      </c>
      <c r="M12" s="3"/>
      <c r="N12" s="2">
        <f>IF('Modell einstellen'!$B$1="Voll",H12/0.35,H12/0.35*2)</f>
        <v>2.6170562285714286E-4</v>
      </c>
      <c r="O12" s="2">
        <f>IF('Modell einstellen'!$B$1="Voll",J12/0.35,J12/0.35*2)</f>
        <v>-6.0558114285714289E-4</v>
      </c>
      <c r="P12" s="3">
        <f t="shared" si="1"/>
        <v>0.43215616262820034</v>
      </c>
    </row>
    <row r="13" spans="1:16" x14ac:dyDescent="0.25">
      <c r="A13" s="3">
        <v>1.0000000000000001E-5</v>
      </c>
      <c r="B13" s="3">
        <v>1.0060000000000001E-4</v>
      </c>
      <c r="C13" s="3">
        <v>2.206E-4</v>
      </c>
      <c r="D13" s="3">
        <v>-4.618E-4</v>
      </c>
      <c r="E13" s="3">
        <v>0</v>
      </c>
      <c r="F13" s="3">
        <v>0</v>
      </c>
      <c r="G13" s="3">
        <v>0</v>
      </c>
      <c r="H13" s="3">
        <v>9.7244852000000003E-5</v>
      </c>
      <c r="I13" s="3">
        <v>2.3593635E-5</v>
      </c>
      <c r="J13" s="3">
        <v>-2.2169188E-4</v>
      </c>
      <c r="L13" s="3">
        <f t="shared" si="0"/>
        <v>0.21784322217410135</v>
      </c>
      <c r="M13" s="3"/>
      <c r="N13" s="2">
        <f>IF('Modell einstellen'!$B$1="Voll",H13/0.35,H13/0.35*2)</f>
        <v>2.7784243428571431E-4</v>
      </c>
      <c r="O13" s="2">
        <f>IF('Modell einstellen'!$B$1="Voll",J13/0.35,J13/0.35*2)</f>
        <v>-6.3340537142857146E-4</v>
      </c>
      <c r="P13" s="3">
        <f t="shared" si="1"/>
        <v>0.43864868663660572</v>
      </c>
    </row>
    <row r="14" spans="1:16" x14ac:dyDescent="0.25">
      <c r="A14" s="3">
        <v>1E-4</v>
      </c>
      <c r="B14" s="3">
        <v>9.5539999999999997E-5</v>
      </c>
      <c r="C14" s="3">
        <v>2.297E-4</v>
      </c>
      <c r="D14" s="3">
        <v>-4.6729999999999997E-4</v>
      </c>
      <c r="E14" s="3">
        <v>0</v>
      </c>
      <c r="F14" s="3">
        <v>0</v>
      </c>
      <c r="G14" s="3">
        <v>0</v>
      </c>
      <c r="H14" s="3">
        <v>1.0350210999999999E-4</v>
      </c>
      <c r="I14" s="3">
        <v>2.4753168000000001E-5</v>
      </c>
      <c r="J14" s="3">
        <v>-2.3231578999999999E-4</v>
      </c>
      <c r="L14" s="3">
        <f t="shared" si="0"/>
        <v>0.20445110207575434</v>
      </c>
      <c r="M14" s="3"/>
      <c r="N14" s="2">
        <f>IF('Modell einstellen'!$B$1="Voll",H14/0.35,H14/0.35*2)</f>
        <v>2.9572031428571428E-4</v>
      </c>
      <c r="O14" s="2">
        <f>IF('Modell einstellen'!$B$1="Voll",J14/0.35,J14/0.35*2)</f>
        <v>-6.6375940000000001E-4</v>
      </c>
      <c r="P14" s="3">
        <f t="shared" si="1"/>
        <v>0.44552335422400691</v>
      </c>
    </row>
    <row r="15" spans="1:16" x14ac:dyDescent="0.25">
      <c r="A15" s="3">
        <v>1E-3</v>
      </c>
      <c r="B15" s="3">
        <v>8.8590000000000004E-5</v>
      </c>
      <c r="C15" s="3">
        <v>2.399E-4</v>
      </c>
      <c r="D15" s="3">
        <v>-4.7199999999999998E-4</v>
      </c>
      <c r="E15" s="3">
        <v>0</v>
      </c>
      <c r="F15" s="3">
        <v>0</v>
      </c>
      <c r="G15" s="3">
        <v>0</v>
      </c>
      <c r="H15" s="3">
        <v>1.108326E-4</v>
      </c>
      <c r="I15" s="3">
        <v>2.6061202999999999E-5</v>
      </c>
      <c r="J15" s="3">
        <v>-2.4457222999999998E-4</v>
      </c>
      <c r="L15" s="3">
        <f t="shared" si="0"/>
        <v>0.1876906779661017</v>
      </c>
      <c r="M15" s="3"/>
      <c r="N15" s="2">
        <f>IF('Modell einstellen'!$B$1="Voll",H15/0.35,H15/0.35*2)</f>
        <v>3.1666457142857143E-4</v>
      </c>
      <c r="O15" s="2">
        <f>IF('Modell einstellen'!$B$1="Voll",J15/0.35,J15/0.35*2)</f>
        <v>-6.9877779999999998E-4</v>
      </c>
      <c r="P15" s="3">
        <f t="shared" si="1"/>
        <v>0.4531691925939425</v>
      </c>
    </row>
    <row r="16" spans="1:16" x14ac:dyDescent="0.25">
      <c r="A16" s="3">
        <v>0.01</v>
      </c>
      <c r="B16" s="3">
        <v>7.7550000000000001E-5</v>
      </c>
      <c r="C16" s="3">
        <v>2.5290000000000002E-4</v>
      </c>
      <c r="D16" s="3">
        <v>-4.7580000000000002E-4</v>
      </c>
      <c r="E16" s="3">
        <v>0</v>
      </c>
      <c r="F16" s="3">
        <v>0</v>
      </c>
      <c r="G16" s="3">
        <v>0</v>
      </c>
      <c r="H16" s="3">
        <v>1.2081008E-4</v>
      </c>
      <c r="I16" s="3">
        <v>2.7762136000000002E-5</v>
      </c>
      <c r="J16" s="3">
        <v>-2.6095114000000003E-4</v>
      </c>
      <c r="L16" s="3">
        <f t="shared" si="0"/>
        <v>0.16298865069356872</v>
      </c>
      <c r="M16" s="3"/>
      <c r="N16" s="2">
        <f>IF('Modell einstellen'!$B$1="Voll",H16/0.35,H16/0.35*2)</f>
        <v>3.4517165714285713E-4</v>
      </c>
      <c r="O16" s="2">
        <f>IF('Modell einstellen'!$B$1="Voll",J16/0.35,J16/0.35*2)</f>
        <v>-7.4557468571428585E-4</v>
      </c>
      <c r="P16" s="3">
        <f t="shared" si="1"/>
        <v>0.46296053736343123</v>
      </c>
    </row>
    <row r="17" spans="1:16" x14ac:dyDescent="0.25">
      <c r="A17" s="3">
        <v>0.1</v>
      </c>
      <c r="B17" s="3">
        <v>6.2310000000000005E-5</v>
      </c>
      <c r="C17" s="3">
        <v>2.6879999999999997E-4</v>
      </c>
      <c r="D17" s="3">
        <v>-4.7849999999999998E-4</v>
      </c>
      <c r="E17" s="3">
        <v>0</v>
      </c>
      <c r="F17" s="3">
        <v>0</v>
      </c>
      <c r="G17" s="3">
        <v>0</v>
      </c>
      <c r="H17" s="3">
        <v>1.332308E-4</v>
      </c>
      <c r="I17" s="3">
        <v>2.9897567E-5</v>
      </c>
      <c r="J17" s="3">
        <v>-2.8134463000000003E-4</v>
      </c>
      <c r="L17" s="3">
        <f t="shared" si="0"/>
        <v>0.13021943573667713</v>
      </c>
      <c r="M17" s="3"/>
      <c r="N17" s="2">
        <f>IF('Modell einstellen'!$B$1="Voll",H17/0.35,H17/0.35*2)</f>
        <v>3.8065942857142861E-4</v>
      </c>
      <c r="O17" s="2">
        <f>IF('Modell einstellen'!$B$1="Voll",J17/0.35,J17/0.35*2)</f>
        <v>-8.0384180000000007E-4</v>
      </c>
      <c r="P17" s="3">
        <f t="shared" si="1"/>
        <v>0.47355017936542809</v>
      </c>
    </row>
    <row r="18" spans="1:16" x14ac:dyDescent="0.25">
      <c r="A18" s="3">
        <v>1</v>
      </c>
      <c r="B18" s="3">
        <v>4.2880000000000003E-5</v>
      </c>
      <c r="C18" s="3">
        <v>2.967E-4</v>
      </c>
      <c r="D18" s="3">
        <v>-4.8840000000000005E-4</v>
      </c>
      <c r="E18" s="3">
        <v>0</v>
      </c>
      <c r="F18" s="3">
        <v>0</v>
      </c>
      <c r="G18" s="3">
        <v>0</v>
      </c>
      <c r="H18" s="3">
        <v>1.4999073E-4</v>
      </c>
      <c r="I18" s="3">
        <v>3.3660050999999999E-5</v>
      </c>
      <c r="J18" s="3">
        <v>-3.1175832E-4</v>
      </c>
      <c r="L18" s="3">
        <f t="shared" si="0"/>
        <v>8.7796887796887796E-2</v>
      </c>
      <c r="M18" s="3"/>
      <c r="N18" s="2">
        <f>IF('Modell einstellen'!$B$1="Voll",H18/0.35,H18/0.35*2)</f>
        <v>4.2854494285714289E-4</v>
      </c>
      <c r="O18" s="2">
        <f>IF('Modell einstellen'!$B$1="Voll",J18/0.35,J18/0.35*2)</f>
        <v>-8.9073805714285725E-4</v>
      </c>
      <c r="P18" s="3">
        <f t="shared" si="1"/>
        <v>0.48111219613962503</v>
      </c>
    </row>
    <row r="19" spans="1:16" x14ac:dyDescent="0.25">
      <c r="A19" s="3">
        <v>10</v>
      </c>
      <c r="B19" s="3">
        <v>1.7329999999999998E-5</v>
      </c>
      <c r="C19" s="3">
        <v>3.4769999999999999E-4</v>
      </c>
      <c r="D19" s="3">
        <v>-5.1420000000000003E-4</v>
      </c>
      <c r="E19" s="3">
        <v>0</v>
      </c>
      <c r="F19" s="3">
        <v>0</v>
      </c>
      <c r="G19" s="3">
        <v>0</v>
      </c>
      <c r="H19" s="3">
        <v>1.7306169E-4</v>
      </c>
      <c r="I19" s="3">
        <v>4.0666162999999999E-5</v>
      </c>
      <c r="J19" s="3">
        <v>-3.5984639E-4</v>
      </c>
      <c r="L19" s="3">
        <f t="shared" si="0"/>
        <v>3.3702839362115905E-2</v>
      </c>
      <c r="M19" s="3"/>
      <c r="N19" s="2">
        <f>IF('Modell einstellen'!$B$1="Voll",H19/0.35,H19/0.35*2)</f>
        <v>4.9446197142857145E-4</v>
      </c>
      <c r="O19" s="2">
        <f>IF('Modell einstellen'!$B$1="Voll",J19/0.35,J19/0.35*2)</f>
        <v>-1.0281325428571429E-3</v>
      </c>
      <c r="P19" s="3">
        <f t="shared" si="1"/>
        <v>0.48093212773372551</v>
      </c>
    </row>
    <row r="20" spans="1:16" x14ac:dyDescent="0.25">
      <c r="A20" s="3">
        <v>100</v>
      </c>
      <c r="B20" s="3">
        <v>-3.5200000000000002E-5</v>
      </c>
      <c r="C20" s="3">
        <v>4.2539999999999999E-4</v>
      </c>
      <c r="D20" s="3">
        <v>-5.3989999999999995E-4</v>
      </c>
      <c r="E20" s="3">
        <v>0</v>
      </c>
      <c r="F20" s="3">
        <v>0</v>
      </c>
      <c r="G20" s="3">
        <v>0</v>
      </c>
      <c r="H20" s="3">
        <v>2.089425E-4</v>
      </c>
      <c r="I20" s="3">
        <v>5.1793901000000002E-5</v>
      </c>
      <c r="J20" s="3">
        <v>-4.3569361000000002E-4</v>
      </c>
      <c r="L20" s="3">
        <f t="shared" si="0"/>
        <v>-6.5197258751620676E-2</v>
      </c>
      <c r="M20" s="3"/>
      <c r="N20" s="2">
        <f>IF('Modell einstellen'!$B$1="Voll",H20/0.35,H20/0.35*2)</f>
        <v>5.9697857142857141E-4</v>
      </c>
      <c r="O20" s="2">
        <f>IF('Modell einstellen'!$B$1="Voll",J20/0.35,J20/0.35*2)</f>
        <v>-1.2448388857142858E-3</v>
      </c>
      <c r="P20" s="3">
        <f t="shared" si="1"/>
        <v>0.47956292037425102</v>
      </c>
    </row>
    <row r="21" spans="1:16" x14ac:dyDescent="0.25">
      <c r="A21" s="3">
        <v>1000</v>
      </c>
      <c r="B21" s="3">
        <v>-1.6090000000000001E-4</v>
      </c>
      <c r="C21" s="3">
        <v>5.3359999999999996E-4</v>
      </c>
      <c r="D21" s="3">
        <v>-5.2459999999999996E-4</v>
      </c>
      <c r="E21" s="3">
        <v>0</v>
      </c>
      <c r="F21" s="3">
        <v>0</v>
      </c>
      <c r="G21" s="3">
        <v>0</v>
      </c>
      <c r="H21" s="3">
        <v>2.6897230999999998E-4</v>
      </c>
      <c r="I21" s="3">
        <v>6.8546564E-5</v>
      </c>
      <c r="J21" s="3">
        <v>-5.5636743000000001E-4</v>
      </c>
      <c r="L21" s="3">
        <f t="shared" si="0"/>
        <v>-0.30670987418985896</v>
      </c>
      <c r="M21" s="3"/>
      <c r="N21" s="2">
        <f>IF('Modell einstellen'!$B$1="Voll",H21/0.35,H21/0.35*2)</f>
        <v>7.6849231428571428E-4</v>
      </c>
      <c r="O21" s="2">
        <f>IF('Modell einstellen'!$B$1="Voll",J21/0.35,J21/0.35*2)</f>
        <v>-1.5896212285714288E-3</v>
      </c>
      <c r="P21" s="3">
        <f t="shared" si="1"/>
        <v>0.48344366599604865</v>
      </c>
    </row>
    <row r="22" spans="1:16" x14ac:dyDescent="0.25">
      <c r="A22" s="3">
        <v>10000</v>
      </c>
      <c r="B22" s="3">
        <v>-4.3780000000000002E-4</v>
      </c>
      <c r="C22" s="3">
        <v>6.9079999999999999E-4</v>
      </c>
      <c r="D22" s="3">
        <v>-4.08E-4</v>
      </c>
      <c r="E22" s="3">
        <v>0</v>
      </c>
      <c r="F22" s="3">
        <v>0</v>
      </c>
      <c r="G22" s="3">
        <v>0</v>
      </c>
      <c r="H22" s="3">
        <v>3.7311240000000002E-4</v>
      </c>
      <c r="I22" s="3">
        <v>9.4938605E-5</v>
      </c>
      <c r="J22" s="3">
        <v>-7.5648453000000003E-4</v>
      </c>
      <c r="L22" s="3">
        <f t="shared" si="0"/>
        <v>-1.0730392156862745</v>
      </c>
      <c r="M22" s="3"/>
      <c r="N22" s="2">
        <f>IF('Modell einstellen'!$B$1="Voll",H22/0.35,H22/0.35*2)</f>
        <v>1.0660354285714287E-3</v>
      </c>
      <c r="O22" s="2">
        <f>IF('Modell einstellen'!$B$1="Voll",J22/0.35,J22/0.35*2)</f>
        <v>-2.1613843714285716E-3</v>
      </c>
      <c r="P22" s="3">
        <f t="shared" si="1"/>
        <v>0.49321881043621607</v>
      </c>
    </row>
    <row r="23" spans="1:16" x14ac:dyDescent="0.25">
      <c r="A23" s="3">
        <v>100000</v>
      </c>
      <c r="B23" s="3">
        <v>-9.0779999999999995E-4</v>
      </c>
      <c r="C23" s="3">
        <v>8.9709999999999996E-4</v>
      </c>
      <c r="D23" s="3">
        <v>-1.473E-4</v>
      </c>
      <c r="E23" s="3">
        <v>0</v>
      </c>
      <c r="F23" s="3">
        <v>0</v>
      </c>
      <c r="G23" s="3">
        <v>0</v>
      </c>
      <c r="H23" s="3">
        <v>5.2578944999999997E-4</v>
      </c>
      <c r="I23" s="3">
        <v>1.3191381000000001E-4</v>
      </c>
      <c r="J23" s="3">
        <v>-1.0436381E-3</v>
      </c>
      <c r="L23" s="3">
        <f t="shared" si="0"/>
        <v>-6.1629327902240325</v>
      </c>
      <c r="M23" s="3"/>
      <c r="N23" s="2">
        <f>IF('Modell einstellen'!$B$1="Voll",H23/0.35,H23/0.35*2)</f>
        <v>1.5022555714285714E-3</v>
      </c>
      <c r="O23" s="2">
        <f>IF('Modell einstellen'!$B$1="Voll",J23/0.35,J23/0.35*2)</f>
        <v>-2.981823142857143E-3</v>
      </c>
      <c r="P23" s="3">
        <f t="shared" si="1"/>
        <v>0.50380438391430893</v>
      </c>
    </row>
    <row r="24" spans="1:16" x14ac:dyDescent="0.25">
      <c r="A24" s="3">
        <v>1000000</v>
      </c>
      <c r="B24" s="3">
        <v>-1.567E-3</v>
      </c>
      <c r="C24" s="3">
        <v>1.1479999999999999E-3</v>
      </c>
      <c r="D24" s="3">
        <v>2.5989999999999997E-4</v>
      </c>
      <c r="E24" s="3">
        <v>0</v>
      </c>
      <c r="F24" s="3">
        <v>0</v>
      </c>
      <c r="G24" s="3">
        <v>0</v>
      </c>
      <c r="H24" s="3">
        <v>7.2353084000000001E-4</v>
      </c>
      <c r="I24" s="3">
        <v>1.7882339999999999E-4</v>
      </c>
      <c r="J24" s="3">
        <v>-1.4117285000000001E-3</v>
      </c>
      <c r="L24" s="3">
        <f t="shared" si="0"/>
        <v>6.0292420161600626</v>
      </c>
      <c r="M24" s="3"/>
      <c r="N24" s="2">
        <f>IF('Modell einstellen'!$B$1="Voll",H24/0.35,H24/0.35*2)</f>
        <v>2.0672309714285715E-3</v>
      </c>
      <c r="O24" s="2">
        <f>IF('Modell einstellen'!$B$1="Voll",J24/0.35,J24/0.35*2)</f>
        <v>-4.0335100000000006E-3</v>
      </c>
      <c r="P24" s="3">
        <f t="shared" si="1"/>
        <v>0.51251415551928003</v>
      </c>
    </row>
    <row r="25" spans="1:16" x14ac:dyDescent="0.25">
      <c r="A25" s="3">
        <v>10000000</v>
      </c>
      <c r="B25" s="3">
        <v>-2.1259999999999999E-3</v>
      </c>
      <c r="C25" s="3">
        <v>1.3569999999999999E-3</v>
      </c>
      <c r="D25" s="3">
        <v>6.0829999999999999E-4</v>
      </c>
      <c r="E25" s="3">
        <v>0</v>
      </c>
      <c r="F25" s="3">
        <v>0</v>
      </c>
      <c r="G25" s="3">
        <v>0</v>
      </c>
      <c r="H25" s="3">
        <v>8.8416636999999996E-4</v>
      </c>
      <c r="I25" s="3">
        <v>2.1881772E-4</v>
      </c>
      <c r="J25" s="3">
        <v>-1.7172447E-3</v>
      </c>
      <c r="L25" s="3">
        <f t="shared" si="0"/>
        <v>3.494986026631596</v>
      </c>
      <c r="M25" s="3"/>
      <c r="N25" s="2">
        <f>IF('Modell einstellen'!$B$1="Voll",H25/0.35,H25/0.35*2)</f>
        <v>2.5261896285714287E-3</v>
      </c>
      <c r="O25" s="2">
        <f>IF('Modell einstellen'!$B$1="Voll",J25/0.35,J25/0.35*2)</f>
        <v>-4.9064134285714284E-3</v>
      </c>
      <c r="P25" s="3">
        <f t="shared" si="1"/>
        <v>0.5148750029625947</v>
      </c>
    </row>
    <row r="26" spans="1:16" x14ac:dyDescent="0.25">
      <c r="A26" s="3">
        <v>100000000</v>
      </c>
      <c r="B26" s="3">
        <v>-2.552E-3</v>
      </c>
      <c r="C26" s="3">
        <v>1.518E-3</v>
      </c>
      <c r="D26" s="3">
        <v>8.7230000000000001E-4</v>
      </c>
      <c r="E26" s="3">
        <v>0</v>
      </c>
      <c r="F26" s="3">
        <v>0</v>
      </c>
      <c r="G26" s="3">
        <v>0</v>
      </c>
      <c r="H26" s="3">
        <v>1.0046841000000001E-3</v>
      </c>
      <c r="I26" s="3">
        <v>2.4987426000000002E-4</v>
      </c>
      <c r="J26" s="3">
        <v>-1.950065E-3</v>
      </c>
      <c r="L26" s="3">
        <f t="shared" si="0"/>
        <v>2.9255989911727616</v>
      </c>
      <c r="M26" s="3"/>
      <c r="N26" s="2">
        <f>IF('Modell einstellen'!$B$1="Voll",H26/0.35,H26/0.35*2)</f>
        <v>2.8705260000000004E-3</v>
      </c>
      <c r="O26" s="2">
        <f>IF('Modell einstellen'!$B$1="Voll",J26/0.35,J26/0.35*2)</f>
        <v>-5.5716142857142863E-3</v>
      </c>
      <c r="P26" s="3">
        <f t="shared" si="1"/>
        <v>0.51520544186988637</v>
      </c>
    </row>
    <row r="27" spans="1:16" x14ac:dyDescent="0.25">
      <c r="A27" s="3">
        <v>1000000000</v>
      </c>
      <c r="B27" s="3">
        <v>-2.7759999999999998E-3</v>
      </c>
      <c r="C27" s="3">
        <v>1.611E-3</v>
      </c>
      <c r="D27" s="3">
        <v>1.0039999999999999E-3</v>
      </c>
      <c r="E27" s="3">
        <v>0</v>
      </c>
      <c r="F27" s="3">
        <v>0</v>
      </c>
      <c r="G27" s="3">
        <v>0</v>
      </c>
      <c r="H27" s="3">
        <v>1.0682655000000001E-3</v>
      </c>
      <c r="I27" s="3">
        <v>2.6783471999999999E-4</v>
      </c>
      <c r="J27" s="3">
        <v>-2.0785166000000001E-3</v>
      </c>
      <c r="L27" s="3">
        <f t="shared" si="0"/>
        <v>2.7649402390438249</v>
      </c>
      <c r="M27" s="3"/>
      <c r="N27" s="2">
        <f>IF('Modell einstellen'!$B$1="Voll",H27/0.35,H27/0.35*2)</f>
        <v>3.0521871428571433E-3</v>
      </c>
      <c r="O27" s="2">
        <f>IF('Modell einstellen'!$B$1="Voll",J27/0.35,J27/0.35*2)</f>
        <v>-5.9386188571428581E-3</v>
      </c>
      <c r="P27" s="3">
        <f t="shared" si="1"/>
        <v>0.5139557220760228</v>
      </c>
    </row>
    <row r="28" spans="1:16" x14ac:dyDescent="0.25">
      <c r="A28" s="3">
        <v>10000000000</v>
      </c>
      <c r="B28" s="3">
        <v>-2.967E-3</v>
      </c>
      <c r="C28" s="3">
        <v>1.686E-3</v>
      </c>
      <c r="D28" s="3">
        <v>1.1199999999999999E-3</v>
      </c>
      <c r="E28" s="3">
        <v>0</v>
      </c>
      <c r="F28" s="3">
        <v>0</v>
      </c>
      <c r="G28" s="3">
        <v>0</v>
      </c>
      <c r="H28" s="3">
        <v>1.1234081E-3</v>
      </c>
      <c r="I28" s="3">
        <v>2.8241192E-4</v>
      </c>
      <c r="J28" s="3">
        <v>-2.1862642999999999E-3</v>
      </c>
      <c r="L28" s="3">
        <f t="shared" si="0"/>
        <v>2.6491071428571433</v>
      </c>
      <c r="M28" s="3"/>
      <c r="N28" s="2">
        <f>IF('Modell einstellen'!$B$1="Voll",H28/0.35,H28/0.35*2)</f>
        <v>3.209737428571429E-3</v>
      </c>
      <c r="O28" s="2">
        <f>IF('Modell einstellen'!$B$1="Voll",J28/0.35,J28/0.35*2)</f>
        <v>-6.2464694285714285E-3</v>
      </c>
      <c r="P28" s="3">
        <f t="shared" si="1"/>
        <v>0.5138482570474211</v>
      </c>
    </row>
    <row r="29" spans="1:16" x14ac:dyDescent="0.25">
      <c r="A29" s="3">
        <v>100000000000</v>
      </c>
      <c r="B29" s="3">
        <v>-3.0569999999999998E-3</v>
      </c>
      <c r="C29" s="3">
        <v>1.694E-3</v>
      </c>
      <c r="D29" s="3">
        <v>1.2019999999999999E-3</v>
      </c>
      <c r="E29" s="3">
        <v>0</v>
      </c>
      <c r="F29" s="3">
        <v>0</v>
      </c>
      <c r="G29" s="3">
        <v>0</v>
      </c>
      <c r="H29" s="3">
        <v>1.1559795999999999E-3</v>
      </c>
      <c r="I29" s="3">
        <v>2.8422707000000001E-4</v>
      </c>
      <c r="J29" s="3">
        <v>-2.2253317999999999E-3</v>
      </c>
      <c r="L29" s="3">
        <f t="shared" si="0"/>
        <v>2.543261231281198</v>
      </c>
      <c r="M29" s="3"/>
      <c r="N29" s="2">
        <f>IF('Modell einstellen'!$B$1="Voll",H29/0.35,H29/0.35*2)</f>
        <v>3.3027988571428571E-3</v>
      </c>
      <c r="O29" s="2">
        <f>IF('Modell einstellen'!$B$1="Voll",J29/0.35,J29/0.35*2)</f>
        <v>-6.358090857142857E-3</v>
      </c>
      <c r="P29" s="3">
        <f t="shared" si="1"/>
        <v>0.51946392892960958</v>
      </c>
    </row>
    <row r="30" spans="1:16" x14ac:dyDescent="0.25">
      <c r="A30" s="3">
        <v>1000000000000</v>
      </c>
      <c r="B30" s="3">
        <v>-3.192E-3</v>
      </c>
      <c r="C30" s="3">
        <v>1.7719999999999999E-3</v>
      </c>
      <c r="D30" s="3">
        <v>1.258E-3</v>
      </c>
      <c r="E30" s="3">
        <v>0</v>
      </c>
      <c r="F30" s="3">
        <v>0</v>
      </c>
      <c r="G30" s="3">
        <v>0</v>
      </c>
      <c r="H30" s="3">
        <v>1.1889868E-3</v>
      </c>
      <c r="I30" s="3">
        <v>2.9928925999999999E-4</v>
      </c>
      <c r="J30" s="3">
        <v>-2.3126840000000002E-3</v>
      </c>
      <c r="L30" s="3">
        <f t="shared" si="0"/>
        <v>2.5373608903020668</v>
      </c>
      <c r="M30" s="3"/>
      <c r="N30" s="2">
        <f>IF('Modell einstellen'!$B$1="Voll",H30/0.35,H30/0.35*2)</f>
        <v>3.3971051428571429E-3</v>
      </c>
      <c r="O30" s="2">
        <f>IF('Modell einstellen'!$B$1="Voll",J30/0.35,J30/0.35*2)</f>
        <v>-6.6076685714285726E-3</v>
      </c>
      <c r="P30" s="3">
        <f t="shared" si="1"/>
        <v>0.5141155471305201</v>
      </c>
    </row>
    <row r="31" spans="1:16" x14ac:dyDescent="0.25">
      <c r="A31" s="3">
        <v>10000000000000</v>
      </c>
      <c r="B31" s="3">
        <v>-3.3730000000000001E-3</v>
      </c>
      <c r="C31" s="3">
        <v>1.836E-3</v>
      </c>
      <c r="D31" s="3">
        <v>1.3760000000000001E-3</v>
      </c>
      <c r="E31" s="3">
        <v>0</v>
      </c>
      <c r="F31" s="3">
        <v>0</v>
      </c>
      <c r="G31" s="3">
        <v>0</v>
      </c>
      <c r="H31" s="3">
        <v>1.2423511999999999E-3</v>
      </c>
      <c r="I31" s="3">
        <v>3.1186852000000001E-4</v>
      </c>
      <c r="J31" s="3">
        <v>-2.4113423E-3</v>
      </c>
      <c r="L31" s="3">
        <f t="shared" si="0"/>
        <v>2.4513081395348837</v>
      </c>
      <c r="M31" s="3"/>
      <c r="N31" s="2">
        <f>IF('Modell einstellen'!$B$1="Voll",H31/0.35,H31/0.35*2)</f>
        <v>3.5495748571428569E-3</v>
      </c>
      <c r="O31" s="2">
        <f>IF('Modell einstellen'!$B$1="Voll",J31/0.35,J31/0.35*2)</f>
        <v>-6.8895494285714292E-3</v>
      </c>
      <c r="P31" s="3">
        <f t="shared" si="1"/>
        <v>0.51521146541492668</v>
      </c>
    </row>
    <row r="32" spans="1:16" x14ac:dyDescent="0.25">
      <c r="A32" s="3">
        <v>100000000000000</v>
      </c>
      <c r="B32" s="3">
        <v>-3.4039999999999999E-3</v>
      </c>
      <c r="C32" s="3">
        <v>1.8400000000000001E-3</v>
      </c>
      <c r="D32" s="3">
        <v>1.403E-3</v>
      </c>
      <c r="E32" s="3">
        <v>0</v>
      </c>
      <c r="F32" s="3">
        <v>0</v>
      </c>
      <c r="G32" s="3">
        <v>0</v>
      </c>
      <c r="H32" s="3">
        <v>1.2533123E-3</v>
      </c>
      <c r="I32" s="3">
        <v>3.1282346E-4</v>
      </c>
      <c r="J32" s="3">
        <v>-2.4257110000000001E-3</v>
      </c>
      <c r="L32" s="3">
        <f t="shared" si="0"/>
        <v>2.4262295081967213</v>
      </c>
      <c r="M32" s="3"/>
      <c r="N32" s="2">
        <f>IF('Modell einstellen'!$B$1="Voll",H32/0.35,H32/0.35*2)</f>
        <v>3.580892285714286E-3</v>
      </c>
      <c r="O32" s="2">
        <f>IF('Modell einstellen'!$B$1="Voll",J32/0.35,J32/0.35*2)</f>
        <v>-6.9306028571428577E-3</v>
      </c>
      <c r="P32" s="3">
        <f t="shared" si="1"/>
        <v>0.51667832647829848</v>
      </c>
    </row>
    <row r="33" spans="1:16" x14ac:dyDescent="0.25">
      <c r="A33" s="3">
        <v>1000000000000000</v>
      </c>
      <c r="B33" s="3">
        <v>-3.4060000000000002E-3</v>
      </c>
      <c r="C33" s="3">
        <v>1.843E-3</v>
      </c>
      <c r="D33" s="3">
        <v>1.402E-3</v>
      </c>
      <c r="E33" s="3">
        <v>0</v>
      </c>
      <c r="F33" s="3">
        <v>0</v>
      </c>
      <c r="G33" s="3">
        <v>0</v>
      </c>
      <c r="H33" s="3">
        <v>1.2532718000000001E-3</v>
      </c>
      <c r="I33" s="3">
        <v>3.1331966000000002E-4</v>
      </c>
      <c r="J33" s="3">
        <v>-2.4274638999999998E-3</v>
      </c>
      <c r="L33" s="3">
        <f t="shared" si="0"/>
        <v>2.4293865905848788</v>
      </c>
      <c r="M33" s="3"/>
      <c r="N33" s="2">
        <f>IF('Modell einstellen'!$B$1="Voll",H33/0.35,H33/0.35*2)</f>
        <v>3.5807765714285719E-3</v>
      </c>
      <c r="O33" s="2">
        <f>IF('Modell einstellen'!$B$1="Voll",J33/0.35,J33/0.35*2)</f>
        <v>-6.9356111428571432E-3</v>
      </c>
      <c r="P33" s="3">
        <f t="shared" si="1"/>
        <v>0.5162885429521733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3" t="s">
        <v>117</v>
      </c>
      <c r="M1" s="83"/>
      <c r="N1" s="83" t="s">
        <v>39</v>
      </c>
      <c r="O1" s="3" t="s">
        <v>116</v>
      </c>
      <c r="P1" s="83" t="s">
        <v>117</v>
      </c>
    </row>
    <row r="2" spans="1:16" x14ac:dyDescent="0.25">
      <c r="A2" t="s">
        <v>32</v>
      </c>
      <c r="B2" t="s">
        <v>14</v>
      </c>
      <c r="C2" t="s">
        <v>15</v>
      </c>
      <c r="D2" t="s">
        <v>16</v>
      </c>
      <c r="E2" t="s">
        <v>33</v>
      </c>
      <c r="F2" t="s">
        <v>34</v>
      </c>
      <c r="G2" t="s">
        <v>35</v>
      </c>
      <c r="H2" t="s">
        <v>36</v>
      </c>
      <c r="I2" t="s">
        <v>37</v>
      </c>
      <c r="J2" t="s">
        <v>38</v>
      </c>
      <c r="L2" s="3"/>
      <c r="M2" s="3"/>
      <c r="N2" s="83"/>
      <c r="O2" s="83"/>
      <c r="P2" s="3"/>
    </row>
    <row r="3" spans="1:16" x14ac:dyDescent="0.25">
      <c r="A3" s="3">
        <v>1.0000000000000001E-15</v>
      </c>
      <c r="B3" s="3">
        <v>1.103E-4</v>
      </c>
      <c r="C3" s="3">
        <v>1.595E-4</v>
      </c>
      <c r="D3" s="3">
        <v>-4.0099999999999999E-4</v>
      </c>
      <c r="E3" s="3">
        <v>0</v>
      </c>
      <c r="F3" s="3">
        <v>0</v>
      </c>
      <c r="G3" s="3">
        <v>0</v>
      </c>
      <c r="H3" s="3">
        <v>6.2444491000000004E-5</v>
      </c>
      <c r="I3" s="3">
        <v>1.6326941999999999E-5</v>
      </c>
      <c r="J3" s="3">
        <v>-1.5949523000000001E-4</v>
      </c>
      <c r="L3" s="3">
        <f>-B3/D3</f>
        <v>0.27506234413965086</v>
      </c>
      <c r="M3" s="3"/>
      <c r="N3" s="2">
        <f>IF('Modell einstellen'!$B$1="Voll",H3/0.35,H3/0.35*2)</f>
        <v>1.7841283142857144E-4</v>
      </c>
      <c r="O3" s="2">
        <f>IF('Modell einstellen'!$B$1="Voll",J3/0.35,J3/0.35*2)</f>
        <v>-4.5570065714285718E-4</v>
      </c>
      <c r="P3" s="3">
        <f>-N3/O3</f>
        <v>0.39151321954894824</v>
      </c>
    </row>
    <row r="4" spans="1:16" x14ac:dyDescent="0.25">
      <c r="A4" s="3">
        <v>1E-14</v>
      </c>
      <c r="B4" s="3">
        <v>1.114E-4</v>
      </c>
      <c r="C4" s="3">
        <v>1.6689999999999999E-4</v>
      </c>
      <c r="D4" s="3">
        <v>-4.1060000000000001E-4</v>
      </c>
      <c r="E4" s="3">
        <v>0</v>
      </c>
      <c r="F4" s="3">
        <v>0</v>
      </c>
      <c r="G4" s="3">
        <v>0</v>
      </c>
      <c r="H4" s="3">
        <v>6.6046517000000005E-5</v>
      </c>
      <c r="I4" s="3">
        <v>1.7168305999999999E-5</v>
      </c>
      <c r="J4" s="3">
        <v>-1.6625831999999999E-4</v>
      </c>
      <c r="L4" s="3">
        <f t="shared" ref="L4:L33" si="0">-B4/D4</f>
        <v>0.2713102776424744</v>
      </c>
      <c r="M4" s="3"/>
      <c r="N4" s="2">
        <f>IF('Modell einstellen'!$B$1="Voll",H4/0.35,H4/0.35*2)</f>
        <v>1.887043342857143E-4</v>
      </c>
      <c r="O4" s="2">
        <f>IF('Modell einstellen'!$B$1="Voll",J4/0.35,J4/0.35*2)</f>
        <v>-4.7502377142857145E-4</v>
      </c>
      <c r="P4" s="3">
        <f t="shared" ref="P4:P33" si="1">-N4/O4</f>
        <v>0.39725240216549768</v>
      </c>
    </row>
    <row r="5" spans="1:16" x14ac:dyDescent="0.25">
      <c r="A5" s="3">
        <v>1E-13</v>
      </c>
      <c r="B5" s="3">
        <v>1.12E-4</v>
      </c>
      <c r="C5" s="3">
        <v>1.7459999999999999E-4</v>
      </c>
      <c r="D5" s="3">
        <v>-4.2000000000000002E-4</v>
      </c>
      <c r="E5" s="3">
        <v>0</v>
      </c>
      <c r="F5" s="3">
        <v>0</v>
      </c>
      <c r="G5" s="3">
        <v>0</v>
      </c>
      <c r="H5" s="3">
        <v>6.9909023999999997E-5</v>
      </c>
      <c r="I5" s="3">
        <v>1.8051369E-5</v>
      </c>
      <c r="J5" s="3">
        <v>-1.7344259E-4</v>
      </c>
      <c r="L5" s="3">
        <f t="shared" si="0"/>
        <v>0.26666666666666666</v>
      </c>
      <c r="M5" s="3"/>
      <c r="N5" s="2">
        <f>IF('Modell einstellen'!$B$1="Voll",H5/0.35,H5/0.35*2)</f>
        <v>1.9974006857142857E-4</v>
      </c>
      <c r="O5" s="2">
        <f>IF('Modell einstellen'!$B$1="Voll",J5/0.35,J5/0.35*2)</f>
        <v>-4.9555025714285712E-4</v>
      </c>
      <c r="P5" s="3">
        <f t="shared" si="1"/>
        <v>0.40306722818195923</v>
      </c>
    </row>
    <row r="6" spans="1:16" x14ac:dyDescent="0.25">
      <c r="A6" s="3">
        <v>9.9999999999999998E-13</v>
      </c>
      <c r="B6" s="3">
        <v>1.12E-4</v>
      </c>
      <c r="C6" s="3">
        <v>1.8369999999999999E-4</v>
      </c>
      <c r="D6" s="3">
        <v>-4.305E-4</v>
      </c>
      <c r="E6" s="3">
        <v>0</v>
      </c>
      <c r="F6" s="3">
        <v>0</v>
      </c>
      <c r="G6" s="3">
        <v>0</v>
      </c>
      <c r="H6" s="3">
        <v>7.4676175000000007E-5</v>
      </c>
      <c r="I6" s="3">
        <v>1.9114200000000001E-5</v>
      </c>
      <c r="J6" s="3">
        <v>-1.8220595000000001E-4</v>
      </c>
      <c r="L6" s="3">
        <f t="shared" si="0"/>
        <v>0.26016260162601623</v>
      </c>
      <c r="M6" s="3"/>
      <c r="N6" s="2">
        <f>IF('Modell einstellen'!$B$1="Voll",H6/0.35,H6/0.35*2)</f>
        <v>2.1336050000000004E-4</v>
      </c>
      <c r="O6" s="2">
        <f>IF('Modell einstellen'!$B$1="Voll",J6/0.35,J6/0.35*2)</f>
        <v>-5.2058842857142867E-4</v>
      </c>
      <c r="P6" s="3">
        <f t="shared" si="1"/>
        <v>0.4098448760866481</v>
      </c>
    </row>
    <row r="7" spans="1:16" x14ac:dyDescent="0.25">
      <c r="A7" s="3">
        <v>9.9999999999999994E-12</v>
      </c>
      <c r="B7" s="3">
        <v>1.111E-4</v>
      </c>
      <c r="C7" s="3">
        <v>1.93E-4</v>
      </c>
      <c r="D7" s="3">
        <v>-4.4030000000000002E-4</v>
      </c>
      <c r="E7" s="3">
        <v>0</v>
      </c>
      <c r="F7" s="3">
        <v>0</v>
      </c>
      <c r="G7" s="3">
        <v>0</v>
      </c>
      <c r="H7" s="3">
        <v>7.9778361000000002E-5</v>
      </c>
      <c r="I7" s="3">
        <v>2.0217951000000001E-5</v>
      </c>
      <c r="J7" s="3">
        <v>-1.9145651999999999E-4</v>
      </c>
      <c r="L7" s="3">
        <f t="shared" si="0"/>
        <v>0.25232795821031112</v>
      </c>
      <c r="M7" s="3"/>
      <c r="N7" s="2">
        <f>IF('Modell einstellen'!$B$1="Voll",H7/0.35,H7/0.35*2)</f>
        <v>2.2793817428571432E-4</v>
      </c>
      <c r="O7" s="2">
        <f>IF('Modell einstellen'!$B$1="Voll",J7/0.35,J7/0.35*2)</f>
        <v>-5.4701862857142855E-4</v>
      </c>
      <c r="P7" s="3">
        <f t="shared" si="1"/>
        <v>0.41669179508746956</v>
      </c>
    </row>
    <row r="8" spans="1:16" x14ac:dyDescent="0.25">
      <c r="A8" s="3">
        <v>1E-10</v>
      </c>
      <c r="B8" s="3">
        <v>1.0950000000000001E-4</v>
      </c>
      <c r="C8" s="3">
        <v>2.009E-4</v>
      </c>
      <c r="D8" s="3">
        <v>-4.4779999999999999E-4</v>
      </c>
      <c r="E8" s="3">
        <v>0</v>
      </c>
      <c r="F8" s="3">
        <v>0</v>
      </c>
      <c r="G8" s="3">
        <v>0</v>
      </c>
      <c r="H8" s="3">
        <v>8.4287397000000001E-5</v>
      </c>
      <c r="I8" s="3">
        <v>2.1164523999999999E-5</v>
      </c>
      <c r="J8" s="3">
        <v>-1.9952225E-4</v>
      </c>
      <c r="L8" s="3">
        <f t="shared" si="0"/>
        <v>0.24452880750334974</v>
      </c>
      <c r="M8" s="3"/>
      <c r="N8" s="2">
        <f>IF('Modell einstellen'!$B$1="Voll",H8/0.35,H8/0.35*2)</f>
        <v>2.4082113428571431E-4</v>
      </c>
      <c r="O8" s="2">
        <f>IF('Modell einstellen'!$B$1="Voll",J8/0.35,J8/0.35*2)</f>
        <v>-5.7006357142857145E-4</v>
      </c>
      <c r="P8" s="3">
        <f t="shared" si="1"/>
        <v>0.42244610312884906</v>
      </c>
    </row>
    <row r="9" spans="1:16" x14ac:dyDescent="0.25">
      <c r="A9" s="3">
        <v>1.0000000000000001E-9</v>
      </c>
      <c r="B9" s="3">
        <v>1.072E-4</v>
      </c>
      <c r="C9" s="3">
        <v>2.0929999999999999E-4</v>
      </c>
      <c r="D9" s="3">
        <v>-4.55E-4</v>
      </c>
      <c r="E9" s="3">
        <v>0</v>
      </c>
      <c r="F9" s="3">
        <v>0</v>
      </c>
      <c r="G9" s="3">
        <v>0</v>
      </c>
      <c r="H9" s="3">
        <v>8.9255874000000003E-5</v>
      </c>
      <c r="I9" s="3">
        <v>2.2180876000000001E-5</v>
      </c>
      <c r="J9" s="3">
        <v>-2.0830976999999999E-4</v>
      </c>
      <c r="L9" s="3">
        <f t="shared" si="0"/>
        <v>0.23560439560439561</v>
      </c>
      <c r="M9" s="3"/>
      <c r="N9" s="2">
        <f>IF('Modell einstellen'!$B$1="Voll",H9/0.35,H9/0.35*2)</f>
        <v>2.5501678285714288E-4</v>
      </c>
      <c r="O9" s="2">
        <f>IF('Modell einstellen'!$B$1="Voll",J9/0.35,J9/0.35*2)</f>
        <v>-5.9517077142857142E-4</v>
      </c>
      <c r="P9" s="3">
        <f t="shared" si="1"/>
        <v>0.42847665762388393</v>
      </c>
    </row>
    <row r="10" spans="1:16" x14ac:dyDescent="0.25">
      <c r="A10" s="3">
        <v>1E-8</v>
      </c>
      <c r="B10" s="3">
        <v>1.0399999999999999E-4</v>
      </c>
      <c r="C10" s="3">
        <v>2.1770000000000001E-4</v>
      </c>
      <c r="D10" s="3">
        <v>-4.615E-4</v>
      </c>
      <c r="E10" s="3">
        <v>0</v>
      </c>
      <c r="F10" s="3">
        <v>0</v>
      </c>
      <c r="G10" s="3">
        <v>0</v>
      </c>
      <c r="H10" s="3">
        <v>9.4506358999999995E-5</v>
      </c>
      <c r="I10" s="3">
        <v>2.3222131000000001E-5</v>
      </c>
      <c r="J10" s="3">
        <v>-2.1747271999999999E-4</v>
      </c>
      <c r="L10" s="3">
        <f t="shared" si="0"/>
        <v>0.22535211267605632</v>
      </c>
      <c r="M10" s="3"/>
      <c r="N10" s="2">
        <f>IF('Modell einstellen'!$B$1="Voll",H10/0.35,H10/0.35*2)</f>
        <v>2.7001816857142859E-4</v>
      </c>
      <c r="O10" s="2">
        <f>IF('Modell einstellen'!$B$1="Voll",J10/0.35,J10/0.35*2)</f>
        <v>-6.2135062857142864E-4</v>
      </c>
      <c r="P10" s="3">
        <f t="shared" si="1"/>
        <v>0.43456650103056604</v>
      </c>
    </row>
    <row r="11" spans="1:16" x14ac:dyDescent="0.25">
      <c r="A11" s="3">
        <v>9.9999999999999995E-8</v>
      </c>
      <c r="B11" s="3">
        <v>9.9469999999999995E-5</v>
      </c>
      <c r="C11" s="3">
        <v>2.2709999999999999E-4</v>
      </c>
      <c r="D11" s="3">
        <v>-4.6769999999999998E-4</v>
      </c>
      <c r="E11" s="3">
        <v>0</v>
      </c>
      <c r="F11" s="3">
        <v>0</v>
      </c>
      <c r="G11" s="3">
        <v>0</v>
      </c>
      <c r="H11" s="3">
        <v>1.0066229E-4</v>
      </c>
      <c r="I11" s="3">
        <v>2.4403290999999999E-5</v>
      </c>
      <c r="J11" s="3">
        <v>-2.2806709999999999E-4</v>
      </c>
      <c r="L11" s="3">
        <f t="shared" si="0"/>
        <v>0.21267906777849049</v>
      </c>
      <c r="M11" s="3"/>
      <c r="N11" s="2">
        <f>IF('Modell einstellen'!$B$1="Voll",H11/0.35,H11/0.35*2)</f>
        <v>2.8760654285714285E-4</v>
      </c>
      <c r="O11" s="2">
        <f>IF('Modell einstellen'!$B$1="Voll",J11/0.35,J11/0.35*2)</f>
        <v>-6.5162028571428578E-4</v>
      </c>
      <c r="P11" s="3">
        <f t="shared" si="1"/>
        <v>0.44137137710787738</v>
      </c>
    </row>
    <row r="12" spans="1:16" x14ac:dyDescent="0.25">
      <c r="A12" s="3">
        <v>9.9999999999999995E-7</v>
      </c>
      <c r="B12" s="3">
        <v>9.3839999999999996E-5</v>
      </c>
      <c r="C12" s="3">
        <v>2.363E-4</v>
      </c>
      <c r="D12" s="3">
        <v>-4.7249999999999999E-4</v>
      </c>
      <c r="E12" s="3">
        <v>0</v>
      </c>
      <c r="F12" s="3">
        <v>0</v>
      </c>
      <c r="G12" s="3">
        <v>0</v>
      </c>
      <c r="H12" s="3">
        <v>1.0698536E-4</v>
      </c>
      <c r="I12" s="3">
        <v>2.5570647000000001E-5</v>
      </c>
      <c r="J12" s="3">
        <v>-2.3877685E-4</v>
      </c>
      <c r="L12" s="3">
        <f t="shared" si="0"/>
        <v>0.19860317460317459</v>
      </c>
      <c r="M12" s="3"/>
      <c r="N12" s="2">
        <f>IF('Modell einstellen'!$B$1="Voll",H12/0.35,H12/0.35*2)</f>
        <v>3.056724571428572E-4</v>
      </c>
      <c r="O12" s="2">
        <f>IF('Modell einstellen'!$B$1="Voll",J12/0.35,J12/0.35*2)</f>
        <v>-6.8221957142857142E-4</v>
      </c>
      <c r="P12" s="3">
        <f t="shared" si="1"/>
        <v>0.4480558312080925</v>
      </c>
    </row>
    <row r="13" spans="1:16" x14ac:dyDescent="0.25">
      <c r="A13" s="3">
        <v>1.0000000000000001E-5</v>
      </c>
      <c r="B13" s="3">
        <v>8.4580000000000007E-5</v>
      </c>
      <c r="C13" s="3">
        <v>2.4850000000000002E-4</v>
      </c>
      <c r="D13" s="3">
        <v>-4.773E-4</v>
      </c>
      <c r="E13" s="3">
        <v>0</v>
      </c>
      <c r="F13" s="3">
        <v>0</v>
      </c>
      <c r="G13" s="3">
        <v>0</v>
      </c>
      <c r="H13" s="3">
        <v>1.1596888000000001E-4</v>
      </c>
      <c r="I13" s="3">
        <v>2.7162527999999999E-5</v>
      </c>
      <c r="J13" s="3">
        <v>-2.5374354000000002E-4</v>
      </c>
      <c r="L13" s="3">
        <f t="shared" si="0"/>
        <v>0.17720511208883302</v>
      </c>
      <c r="M13" s="3"/>
      <c r="N13" s="2">
        <f>IF('Modell einstellen'!$B$1="Voll",H13/0.35,H13/0.35*2)</f>
        <v>3.3133965714285716E-4</v>
      </c>
      <c r="O13" s="2">
        <f>IF('Modell einstellen'!$B$1="Voll",J13/0.35,J13/0.35*2)</f>
        <v>-7.24981542857143E-4</v>
      </c>
      <c r="P13" s="3">
        <f t="shared" si="1"/>
        <v>0.45703185192419077</v>
      </c>
    </row>
    <row r="14" spans="1:16" x14ac:dyDescent="0.25">
      <c r="A14" s="3">
        <v>1E-4</v>
      </c>
      <c r="B14" s="3">
        <v>7.1359999999999994E-5</v>
      </c>
      <c r="C14" s="3">
        <v>2.6219999999999998E-4</v>
      </c>
      <c r="D14" s="3">
        <v>-4.797E-4</v>
      </c>
      <c r="E14" s="3">
        <v>0</v>
      </c>
      <c r="F14" s="3">
        <v>0</v>
      </c>
      <c r="G14" s="3">
        <v>0</v>
      </c>
      <c r="H14" s="3">
        <v>1.2684615000000001E-4</v>
      </c>
      <c r="I14" s="3">
        <v>2.8977692E-5</v>
      </c>
      <c r="J14" s="3">
        <v>-2.7144393999999999E-4</v>
      </c>
      <c r="L14" s="3">
        <f t="shared" si="0"/>
        <v>0.14875964144256826</v>
      </c>
      <c r="M14" s="3"/>
      <c r="N14" s="2">
        <f>IF('Modell einstellen'!$B$1="Voll",H14/0.35,H14/0.35*2)</f>
        <v>3.6241757142857148E-4</v>
      </c>
      <c r="O14" s="2">
        <f>IF('Modell einstellen'!$B$1="Voll",J14/0.35,J14/0.35*2)</f>
        <v>-7.7555411428571427E-4</v>
      </c>
      <c r="P14" s="3">
        <f t="shared" si="1"/>
        <v>0.46730146195195965</v>
      </c>
    </row>
    <row r="15" spans="1:16" x14ac:dyDescent="0.25">
      <c r="A15" s="3">
        <v>1E-3</v>
      </c>
      <c r="B15" s="3">
        <v>5.0529999999999999E-5</v>
      </c>
      <c r="C15" s="3">
        <v>2.7920000000000001E-4</v>
      </c>
      <c r="D15" s="3">
        <v>-4.7830000000000003E-4</v>
      </c>
      <c r="E15" s="3">
        <v>0</v>
      </c>
      <c r="F15" s="3">
        <v>0</v>
      </c>
      <c r="G15" s="3">
        <v>0</v>
      </c>
      <c r="H15" s="3">
        <v>1.4174869999999999E-4</v>
      </c>
      <c r="I15" s="3">
        <v>3.1301823999999998E-5</v>
      </c>
      <c r="J15" s="3">
        <v>-2.9508223000000001E-4</v>
      </c>
      <c r="L15" s="3">
        <f t="shared" si="0"/>
        <v>0.10564499268241688</v>
      </c>
      <c r="M15" s="3"/>
      <c r="N15" s="2">
        <f>IF('Modell einstellen'!$B$1="Voll",H15/0.35,H15/0.35*2)</f>
        <v>4.049962857142857E-4</v>
      </c>
      <c r="O15" s="2">
        <f>IF('Modell einstellen'!$B$1="Voll",J15/0.35,J15/0.35*2)</f>
        <v>-8.4309208571428575E-4</v>
      </c>
      <c r="P15" s="3">
        <f t="shared" si="1"/>
        <v>0.48037016664812376</v>
      </c>
    </row>
    <row r="16" spans="1:16" x14ac:dyDescent="0.25">
      <c r="A16" s="3">
        <v>0.01</v>
      </c>
      <c r="B16" s="3">
        <v>1.7790000000000001E-5</v>
      </c>
      <c r="C16" s="3">
        <v>3.0049999999999999E-4</v>
      </c>
      <c r="D16" s="3">
        <v>-4.6979999999999998E-4</v>
      </c>
      <c r="E16" s="3">
        <v>0</v>
      </c>
      <c r="F16" s="3">
        <v>0</v>
      </c>
      <c r="G16" s="3">
        <v>0</v>
      </c>
      <c r="H16" s="3">
        <v>1.6233824000000001E-4</v>
      </c>
      <c r="I16" s="3">
        <v>3.4326708E-5</v>
      </c>
      <c r="J16" s="3">
        <v>-3.2700344E-4</v>
      </c>
      <c r="L16" s="3">
        <f t="shared" si="0"/>
        <v>3.7867177522349936E-2</v>
      </c>
      <c r="M16" s="3"/>
      <c r="N16" s="2">
        <f>IF('Modell einstellen'!$B$1="Voll",H16/0.35,H16/0.35*2)</f>
        <v>4.638235428571429E-4</v>
      </c>
      <c r="O16" s="2">
        <f>IF('Modell einstellen'!$B$1="Voll",J16/0.35,J16/0.35*2)</f>
        <v>-9.3429554285714294E-4</v>
      </c>
      <c r="P16" s="3">
        <f t="shared" si="1"/>
        <v>0.49644199461632577</v>
      </c>
    </row>
    <row r="17" spans="1:16" x14ac:dyDescent="0.25">
      <c r="A17" s="3">
        <v>0.1</v>
      </c>
      <c r="B17" s="3">
        <v>-3.7110000000000002E-5</v>
      </c>
      <c r="C17" s="3">
        <v>3.3710000000000001E-4</v>
      </c>
      <c r="D17" s="3">
        <v>-4.5429999999999998E-4</v>
      </c>
      <c r="E17" s="3">
        <v>0</v>
      </c>
      <c r="F17" s="3">
        <v>0</v>
      </c>
      <c r="G17" s="3">
        <v>0</v>
      </c>
      <c r="H17" s="3">
        <v>1.9394641E-4</v>
      </c>
      <c r="I17" s="3">
        <v>3.9612917000000001E-5</v>
      </c>
      <c r="J17" s="3">
        <v>-3.7803716999999998E-4</v>
      </c>
      <c r="L17" s="3">
        <f t="shared" si="0"/>
        <v>-8.1686110499669826E-2</v>
      </c>
      <c r="M17" s="3"/>
      <c r="N17" s="2">
        <f>IF('Modell einstellen'!$B$1="Voll",H17/0.35,H17/0.35*2)</f>
        <v>5.5413260000000003E-4</v>
      </c>
      <c r="O17" s="2">
        <f>IF('Modell einstellen'!$B$1="Voll",J17/0.35,J17/0.35*2)</f>
        <v>-1.0801062E-3</v>
      </c>
      <c r="P17" s="3">
        <f t="shared" si="1"/>
        <v>0.51303529227033418</v>
      </c>
    </row>
    <row r="18" spans="1:16" x14ac:dyDescent="0.25">
      <c r="A18" s="3">
        <v>1</v>
      </c>
      <c r="B18" s="3">
        <v>-1.3119999999999999E-4</v>
      </c>
      <c r="C18" s="3">
        <v>4.1149999999999997E-4</v>
      </c>
      <c r="D18" s="3">
        <v>-4.3619999999999998E-4</v>
      </c>
      <c r="E18" s="3">
        <v>0</v>
      </c>
      <c r="F18" s="3">
        <v>0</v>
      </c>
      <c r="G18" s="3">
        <v>0</v>
      </c>
      <c r="H18" s="3">
        <v>2.4246074E-4</v>
      </c>
      <c r="I18" s="3">
        <v>5.0586617000000001E-5</v>
      </c>
      <c r="J18" s="3">
        <v>-4.6617001999999999E-4</v>
      </c>
      <c r="L18" s="3">
        <f t="shared" si="0"/>
        <v>-0.30077945896377806</v>
      </c>
      <c r="M18" s="3"/>
      <c r="N18" s="2">
        <f>IF('Modell einstellen'!$B$1="Voll",H18/0.35,H18/0.35*2)</f>
        <v>6.927449714285715E-4</v>
      </c>
      <c r="O18" s="2">
        <f>IF('Modell einstellen'!$B$1="Voll",J18/0.35,J18/0.35*2)</f>
        <v>-1.3319143428571429E-3</v>
      </c>
      <c r="P18" s="3">
        <f t="shared" si="1"/>
        <v>0.52011225432300434</v>
      </c>
    </row>
    <row r="19" spans="1:16" x14ac:dyDescent="0.25">
      <c r="A19" s="3">
        <v>10</v>
      </c>
      <c r="B19" s="3">
        <v>-3.3300000000000002E-4</v>
      </c>
      <c r="C19" s="3">
        <v>5.3910000000000004E-4</v>
      </c>
      <c r="D19" s="3">
        <v>-3.6380000000000001E-4</v>
      </c>
      <c r="E19" s="3">
        <v>0</v>
      </c>
      <c r="F19" s="3">
        <v>0</v>
      </c>
      <c r="G19" s="3">
        <v>0</v>
      </c>
      <c r="H19" s="3">
        <v>3.2665187000000001E-4</v>
      </c>
      <c r="I19" s="3">
        <v>7.0681114000000002E-5</v>
      </c>
      <c r="J19" s="3">
        <v>-6.2299014999999997E-4</v>
      </c>
      <c r="L19" s="3">
        <f t="shared" si="0"/>
        <v>-0.91533809785596487</v>
      </c>
      <c r="M19" s="3"/>
      <c r="N19" s="2">
        <f>IF('Modell einstellen'!$B$1="Voll",H19/0.35,H19/0.35*2)</f>
        <v>9.3329105714285722E-4</v>
      </c>
      <c r="O19" s="2">
        <f>IF('Modell einstellen'!$B$1="Voll",J19/0.35,J19/0.35*2)</f>
        <v>-1.7799718571428571E-3</v>
      </c>
      <c r="P19" s="3">
        <f t="shared" si="1"/>
        <v>0.52432910857418857</v>
      </c>
    </row>
    <row r="20" spans="1:16" x14ac:dyDescent="0.25">
      <c r="A20" s="3">
        <v>100</v>
      </c>
      <c r="B20" s="3">
        <v>-7.0129999999999997E-4</v>
      </c>
      <c r="C20" s="3">
        <v>7.1650000000000001E-4</v>
      </c>
      <c r="D20" s="3">
        <v>-1.749E-4</v>
      </c>
      <c r="E20" s="3">
        <v>0</v>
      </c>
      <c r="F20" s="3">
        <v>0</v>
      </c>
      <c r="G20" s="3">
        <v>0</v>
      </c>
      <c r="H20" s="3">
        <v>4.5564565999999998E-4</v>
      </c>
      <c r="I20" s="3">
        <v>1.0085202E-4</v>
      </c>
      <c r="J20" s="3">
        <v>-8.6135808000000001E-4</v>
      </c>
      <c r="L20" s="3">
        <f t="shared" si="0"/>
        <v>-4.0097198399085192</v>
      </c>
      <c r="M20" s="3"/>
      <c r="N20" s="2">
        <f>IF('Modell einstellen'!$B$1="Voll",H20/0.35,H20/0.35*2)</f>
        <v>1.3018447428571429E-3</v>
      </c>
      <c r="O20" s="2">
        <f>IF('Modell einstellen'!$B$1="Voll",J20/0.35,J20/0.35*2)</f>
        <v>-2.461023085714286E-3</v>
      </c>
      <c r="P20" s="3">
        <f t="shared" si="1"/>
        <v>0.52898518116878868</v>
      </c>
    </row>
    <row r="21" spans="1:16" x14ac:dyDescent="0.25">
      <c r="A21" s="3">
        <v>1000</v>
      </c>
      <c r="B21" s="3">
        <v>-1.294E-3</v>
      </c>
      <c r="C21" s="3">
        <v>9.5149999999999998E-4</v>
      </c>
      <c r="D21" s="3">
        <v>1.8039999999999999E-4</v>
      </c>
      <c r="E21" s="3">
        <v>0</v>
      </c>
      <c r="F21" s="3">
        <v>0</v>
      </c>
      <c r="G21" s="3">
        <v>0</v>
      </c>
      <c r="H21" s="3">
        <v>6.4216841999999998E-4</v>
      </c>
      <c r="I21" s="3">
        <v>1.4339718000000001E-4</v>
      </c>
      <c r="J21" s="3">
        <v>-1.2021969999999999E-3</v>
      </c>
      <c r="L21" s="3">
        <f t="shared" si="0"/>
        <v>7.1729490022172948</v>
      </c>
      <c r="M21" s="3"/>
      <c r="N21" s="2">
        <f>IF('Modell einstellen'!$B$1="Voll",H21/0.35,H21/0.35*2)</f>
        <v>1.8347669142857145E-3</v>
      </c>
      <c r="O21" s="2">
        <f>IF('Modell einstellen'!$B$1="Voll",J21/0.35,J21/0.35*2)</f>
        <v>-3.4348485714285715E-3</v>
      </c>
      <c r="P21" s="3">
        <f t="shared" si="1"/>
        <v>0.53416238769519475</v>
      </c>
    </row>
    <row r="22" spans="1:16" x14ac:dyDescent="0.25">
      <c r="A22" s="3">
        <v>10000</v>
      </c>
      <c r="B22" s="3">
        <v>-1.9139999999999999E-3</v>
      </c>
      <c r="C22" s="3">
        <v>1.1900000000000001E-3</v>
      </c>
      <c r="D22" s="3">
        <v>5.6130000000000004E-4</v>
      </c>
      <c r="E22" s="3">
        <v>0</v>
      </c>
      <c r="F22" s="3">
        <v>0</v>
      </c>
      <c r="G22" s="3">
        <v>0</v>
      </c>
      <c r="H22" s="3">
        <v>8.2254291000000005E-4</v>
      </c>
      <c r="I22" s="3">
        <v>1.8804573E-4</v>
      </c>
      <c r="J22" s="3">
        <v>-1.5442574E-3</v>
      </c>
      <c r="L22" s="3">
        <f t="shared" si="0"/>
        <v>3.409941207910208</v>
      </c>
      <c r="M22" s="3"/>
      <c r="N22" s="2">
        <f>IF('Modell einstellen'!$B$1="Voll",H22/0.35,H22/0.35*2)</f>
        <v>2.3501226000000003E-3</v>
      </c>
      <c r="O22" s="2">
        <f>IF('Modell einstellen'!$B$1="Voll",J22/0.35,J22/0.35*2)</f>
        <v>-4.4121640000000005E-3</v>
      </c>
      <c r="P22" s="3">
        <f t="shared" si="1"/>
        <v>0.53264624796358429</v>
      </c>
    </row>
    <row r="23" spans="1:16" x14ac:dyDescent="0.25">
      <c r="A23" s="3">
        <v>100000</v>
      </c>
      <c r="B23" s="3">
        <v>-2.4369999999999999E-3</v>
      </c>
      <c r="C23" s="3">
        <v>1.3990000000000001E-3</v>
      </c>
      <c r="D23" s="3">
        <v>8.7529999999999997E-4</v>
      </c>
      <c r="E23" s="3">
        <v>0</v>
      </c>
      <c r="F23" s="3">
        <v>0</v>
      </c>
      <c r="G23" s="3">
        <v>0</v>
      </c>
      <c r="H23" s="3">
        <v>9.6936389000000002E-4</v>
      </c>
      <c r="I23" s="3">
        <v>2.2769448E-4</v>
      </c>
      <c r="J23" s="3">
        <v>-1.8344587E-3</v>
      </c>
      <c r="L23" s="3">
        <f t="shared" si="0"/>
        <v>2.7841882783045815</v>
      </c>
      <c r="M23" s="3"/>
      <c r="N23" s="2">
        <f>IF('Modell einstellen'!$B$1="Voll",H23/0.35,H23/0.35*2)</f>
        <v>2.7696111142857145E-3</v>
      </c>
      <c r="O23" s="2">
        <f>IF('Modell einstellen'!$B$1="Voll",J23/0.35,J23/0.35*2)</f>
        <v>-5.2413105714285719E-3</v>
      </c>
      <c r="P23" s="3">
        <f t="shared" si="1"/>
        <v>0.52841957684847307</v>
      </c>
    </row>
    <row r="24" spans="1:16" x14ac:dyDescent="0.25">
      <c r="A24" s="3">
        <v>1000000</v>
      </c>
      <c r="B24" s="3">
        <v>-2.7100000000000002E-3</v>
      </c>
      <c r="C24" s="3">
        <v>1.531E-3</v>
      </c>
      <c r="D24" s="3">
        <v>1.0169999999999999E-3</v>
      </c>
      <c r="E24" s="3">
        <v>0</v>
      </c>
      <c r="F24" s="3">
        <v>0</v>
      </c>
      <c r="G24" s="3">
        <v>0</v>
      </c>
      <c r="H24" s="3">
        <v>1.0441262000000001E-3</v>
      </c>
      <c r="I24" s="3">
        <v>2.5285956000000001E-4</v>
      </c>
      <c r="J24" s="3">
        <v>-2.0001560999999999E-3</v>
      </c>
      <c r="L24" s="3">
        <f t="shared" si="0"/>
        <v>2.6647000983284173</v>
      </c>
      <c r="M24" s="3"/>
      <c r="N24" s="2">
        <f>IF('Modell einstellen'!$B$1="Voll",H24/0.35,H24/0.35*2)</f>
        <v>2.9832177142857146E-3</v>
      </c>
      <c r="O24" s="2">
        <f>IF('Modell einstellen'!$B$1="Voll",J24/0.35,J24/0.35*2)</f>
        <v>-5.7147317142857146E-3</v>
      </c>
      <c r="P24" s="3">
        <f t="shared" si="1"/>
        <v>0.52202235615510217</v>
      </c>
    </row>
    <row r="25" spans="1:16" x14ac:dyDescent="0.25">
      <c r="A25" s="3">
        <v>10000000</v>
      </c>
      <c r="B25" s="3">
        <v>-2.9320000000000001E-3</v>
      </c>
      <c r="C25" s="3">
        <v>1.6329999999999999E-3</v>
      </c>
      <c r="D25" s="3">
        <v>1.1379999999999999E-3</v>
      </c>
      <c r="E25" s="3">
        <v>0</v>
      </c>
      <c r="F25" s="3">
        <v>0</v>
      </c>
      <c r="G25" s="3">
        <v>0</v>
      </c>
      <c r="H25" s="3">
        <v>1.1071504E-3</v>
      </c>
      <c r="I25" s="3">
        <v>2.7232838000000001E-4</v>
      </c>
      <c r="J25" s="3">
        <v>-2.1334738000000002E-3</v>
      </c>
      <c r="L25" s="3">
        <f t="shared" si="0"/>
        <v>2.5764499121265381</v>
      </c>
      <c r="M25" s="3"/>
      <c r="N25" s="2">
        <f>IF('Modell einstellen'!$B$1="Voll",H25/0.35,H25/0.35*2)</f>
        <v>3.1632868571428575E-3</v>
      </c>
      <c r="O25" s="2">
        <f>IF('Modell einstellen'!$B$1="Voll",J25/0.35,J25/0.35*2)</f>
        <v>-6.0956394285714291E-3</v>
      </c>
      <c r="P25" s="3">
        <f t="shared" si="1"/>
        <v>0.51894258087444056</v>
      </c>
    </row>
    <row r="26" spans="1:16" x14ac:dyDescent="0.25">
      <c r="A26" s="3">
        <v>100000000</v>
      </c>
      <c r="B26" s="3">
        <v>-3.0609999999999999E-3</v>
      </c>
      <c r="C26" s="3">
        <v>1.684E-3</v>
      </c>
      <c r="D26" s="3">
        <v>1.2160000000000001E-3</v>
      </c>
      <c r="E26" s="3">
        <v>0</v>
      </c>
      <c r="F26" s="3">
        <v>0</v>
      </c>
      <c r="G26" s="3">
        <v>0</v>
      </c>
      <c r="H26" s="3">
        <v>1.1420193000000001E-3</v>
      </c>
      <c r="I26" s="3">
        <v>2.8238895000000001E-4</v>
      </c>
      <c r="J26" s="3">
        <v>-2.2046092999999998E-3</v>
      </c>
      <c r="L26" s="3">
        <f t="shared" si="0"/>
        <v>2.5172697368421049</v>
      </c>
      <c r="M26" s="3"/>
      <c r="N26" s="2">
        <f>IF('Modell einstellen'!$B$1="Voll",H26/0.35,H26/0.35*2)</f>
        <v>3.2629122857142862E-3</v>
      </c>
      <c r="O26" s="2">
        <f>IF('Modell einstellen'!$B$1="Voll",J26/0.35,J26/0.35*2)</f>
        <v>-6.2988837142857138E-3</v>
      </c>
      <c r="P26" s="3">
        <f t="shared" si="1"/>
        <v>0.51801437107246184</v>
      </c>
    </row>
    <row r="27" spans="1:16" x14ac:dyDescent="0.25">
      <c r="A27" s="3">
        <v>1000000000</v>
      </c>
      <c r="B27" s="3">
        <v>-3.137E-3</v>
      </c>
      <c r="C27" s="3">
        <v>1.7260000000000001E-3</v>
      </c>
      <c r="D27" s="3">
        <v>1.2489999999999999E-3</v>
      </c>
      <c r="E27" s="3">
        <v>0</v>
      </c>
      <c r="F27" s="3">
        <v>0</v>
      </c>
      <c r="G27" s="3">
        <v>0</v>
      </c>
      <c r="H27" s="3">
        <v>1.1621555E-3</v>
      </c>
      <c r="I27" s="3">
        <v>2.9047304000000003E-4</v>
      </c>
      <c r="J27" s="3">
        <v>-2.2539299999999999E-3</v>
      </c>
      <c r="L27" s="3">
        <f t="shared" si="0"/>
        <v>2.5116092874299443</v>
      </c>
      <c r="M27" s="3"/>
      <c r="N27" s="2">
        <f>IF('Modell einstellen'!$B$1="Voll",H27/0.35,H27/0.35*2)</f>
        <v>3.3204442857142857E-3</v>
      </c>
      <c r="O27" s="2">
        <f>IF('Modell einstellen'!$B$1="Voll",J27/0.35,J27/0.35*2)</f>
        <v>-6.4397999999999999E-3</v>
      </c>
      <c r="P27" s="3">
        <f t="shared" si="1"/>
        <v>0.51561295160009402</v>
      </c>
    </row>
    <row r="28" spans="1:16" x14ac:dyDescent="0.25">
      <c r="A28" s="3">
        <v>10000000000</v>
      </c>
      <c r="B28" s="3">
        <v>-3.359E-3</v>
      </c>
      <c r="C28" s="3">
        <v>1.8010000000000001E-3</v>
      </c>
      <c r="D28" s="3">
        <v>1.3960000000000001E-3</v>
      </c>
      <c r="E28" s="3">
        <v>0</v>
      </c>
      <c r="F28" s="3">
        <v>0</v>
      </c>
      <c r="G28" s="3">
        <v>0</v>
      </c>
      <c r="H28" s="3">
        <v>1.2265326E-3</v>
      </c>
      <c r="I28" s="3">
        <v>3.0539256000000002E-4</v>
      </c>
      <c r="J28" s="3">
        <v>-2.3720225999999999E-3</v>
      </c>
      <c r="L28" s="3">
        <f t="shared" si="0"/>
        <v>2.4061604584527219</v>
      </c>
      <c r="M28" s="3"/>
      <c r="N28" s="2">
        <f>IF('Modell einstellen'!$B$1="Voll",H28/0.35,H28/0.35*2)</f>
        <v>3.5043788571428574E-3</v>
      </c>
      <c r="O28" s="2">
        <f>IF('Modell einstellen'!$B$1="Voll",J28/0.35,J28/0.35*2)</f>
        <v>-6.7772074285714287E-3</v>
      </c>
      <c r="P28" s="3">
        <f t="shared" si="1"/>
        <v>0.51708301598812767</v>
      </c>
    </row>
    <row r="29" spans="1:16" x14ac:dyDescent="0.25">
      <c r="A29" s="3">
        <v>100000000000</v>
      </c>
      <c r="B29" s="3">
        <v>-3.431E-3</v>
      </c>
      <c r="C29" s="3">
        <v>1.841E-3</v>
      </c>
      <c r="D29" s="3">
        <v>1.4289999999999999E-3</v>
      </c>
      <c r="E29" s="3">
        <v>0</v>
      </c>
      <c r="F29" s="3">
        <v>0</v>
      </c>
      <c r="G29" s="3">
        <v>0</v>
      </c>
      <c r="H29" s="3">
        <v>1.2475000999999999E-3</v>
      </c>
      <c r="I29" s="3">
        <v>3.1287903E-4</v>
      </c>
      <c r="J29" s="3">
        <v>-2.4200068E-3</v>
      </c>
      <c r="L29" s="3">
        <f t="shared" si="0"/>
        <v>2.4009797060881737</v>
      </c>
      <c r="M29" s="3"/>
      <c r="N29" s="2">
        <f>IF('Modell einstellen'!$B$1="Voll",H29/0.35,H29/0.35*2)</f>
        <v>3.5642860000000003E-3</v>
      </c>
      <c r="O29" s="2">
        <f>IF('Modell einstellen'!$B$1="Voll",J29/0.35,J29/0.35*2)</f>
        <v>-6.9143051428571436E-3</v>
      </c>
      <c r="P29" s="3">
        <f t="shared" si="1"/>
        <v>0.51549446059407766</v>
      </c>
    </row>
    <row r="30" spans="1:16" x14ac:dyDescent="0.25">
      <c r="A30" s="3">
        <v>1000000000000</v>
      </c>
      <c r="B30" s="3">
        <v>-3.437E-3</v>
      </c>
      <c r="C30" s="3">
        <v>1.8439999999999999E-3</v>
      </c>
      <c r="D30" s="3">
        <v>1.431E-3</v>
      </c>
      <c r="E30" s="3">
        <v>0</v>
      </c>
      <c r="F30" s="3">
        <v>0</v>
      </c>
      <c r="G30" s="3">
        <v>0</v>
      </c>
      <c r="H30" s="3">
        <v>1.2499195999999999E-3</v>
      </c>
      <c r="I30" s="3">
        <v>3.1354031999999998E-4</v>
      </c>
      <c r="J30" s="3">
        <v>-2.4248068000000001E-3</v>
      </c>
      <c r="L30" s="3">
        <f t="shared" si="0"/>
        <v>2.4018169112508736</v>
      </c>
      <c r="M30" s="3"/>
      <c r="N30" s="2">
        <f>IF('Modell einstellen'!$B$1="Voll",H30/0.35,H30/0.35*2)</f>
        <v>3.5711988571428574E-3</v>
      </c>
      <c r="O30" s="2">
        <f>IF('Modell einstellen'!$B$1="Voll",J30/0.35,J30/0.35*2)</f>
        <v>-6.9280194285714298E-3</v>
      </c>
      <c r="P30" s="3">
        <f t="shared" si="1"/>
        <v>0.51547183058048163</v>
      </c>
    </row>
    <row r="31" spans="1:16" x14ac:dyDescent="0.25">
      <c r="A31" s="3">
        <v>10000000000000</v>
      </c>
      <c r="B31" s="3">
        <v>-3.4380000000000001E-3</v>
      </c>
      <c r="C31" s="3">
        <v>1.846E-3</v>
      </c>
      <c r="D31" s="3">
        <v>1.4300000000000001E-3</v>
      </c>
      <c r="E31" s="3">
        <v>0</v>
      </c>
      <c r="F31" s="3">
        <v>0</v>
      </c>
      <c r="G31" s="3">
        <v>0</v>
      </c>
      <c r="H31" s="3">
        <v>1.2504059999999999E-3</v>
      </c>
      <c r="I31" s="3">
        <v>3.1379478999999999E-4</v>
      </c>
      <c r="J31" s="3">
        <v>-2.4262153999999999E-3</v>
      </c>
      <c r="L31" s="3">
        <f t="shared" si="0"/>
        <v>2.4041958041958043</v>
      </c>
      <c r="M31" s="3"/>
      <c r="N31" s="2">
        <f>IF('Modell einstellen'!$B$1="Voll",H31/0.35,H31/0.35*2)</f>
        <v>3.5725885714285714E-3</v>
      </c>
      <c r="O31" s="2">
        <f>IF('Modell einstellen'!$B$1="Voll",J31/0.35,J31/0.35*2)</f>
        <v>-6.9320440000000001E-3</v>
      </c>
      <c r="P31" s="3">
        <f t="shared" si="1"/>
        <v>0.51537303736510776</v>
      </c>
    </row>
    <row r="32" spans="1:16" x14ac:dyDescent="0.25">
      <c r="A32" s="3">
        <v>100000000000000</v>
      </c>
      <c r="B32" s="3">
        <v>-3.4390000000000002E-3</v>
      </c>
      <c r="C32" s="3">
        <v>1.846E-3</v>
      </c>
      <c r="D32" s="3">
        <v>1.431E-3</v>
      </c>
      <c r="E32" s="3">
        <v>0</v>
      </c>
      <c r="F32" s="3">
        <v>0</v>
      </c>
      <c r="G32" s="3">
        <v>0</v>
      </c>
      <c r="H32" s="3">
        <v>1.2510918E-3</v>
      </c>
      <c r="I32" s="3">
        <v>3.1387020999999998E-4</v>
      </c>
      <c r="J32" s="3">
        <v>-2.4271774000000001E-3</v>
      </c>
      <c r="L32" s="3">
        <f t="shared" si="0"/>
        <v>2.4032145352900072</v>
      </c>
      <c r="M32" s="3"/>
      <c r="N32" s="2">
        <f>IF('Modell einstellen'!$B$1="Voll",H32/0.35,H32/0.35*2)</f>
        <v>3.5745480000000003E-3</v>
      </c>
      <c r="O32" s="2">
        <f>IF('Modell einstellen'!$B$1="Voll",J32/0.35,J32/0.35*2)</f>
        <v>-6.9347925714285724E-3</v>
      </c>
      <c r="P32" s="3">
        <f t="shared" si="1"/>
        <v>0.51545132218188916</v>
      </c>
    </row>
    <row r="33" spans="1:16" x14ac:dyDescent="0.25">
      <c r="A33" s="3">
        <v>1000000000000000</v>
      </c>
      <c r="B33" s="3">
        <v>-3.4399999999999999E-3</v>
      </c>
      <c r="C33" s="3">
        <v>1.8469999999999999E-3</v>
      </c>
      <c r="D33" s="3">
        <v>1.431E-3</v>
      </c>
      <c r="E33" s="3">
        <v>0</v>
      </c>
      <c r="F33" s="3">
        <v>0</v>
      </c>
      <c r="G33" s="3">
        <v>0</v>
      </c>
      <c r="H33" s="3">
        <v>1.2517467E-3</v>
      </c>
      <c r="I33" s="3">
        <v>3.1396454999999999E-4</v>
      </c>
      <c r="J33" s="3">
        <v>-2.4281709000000002E-3</v>
      </c>
      <c r="L33" s="3">
        <f t="shared" si="0"/>
        <v>2.4039133473095737</v>
      </c>
      <c r="M33" s="3"/>
      <c r="N33" s="2">
        <f>IF('Modell einstellen'!$B$1="Voll",H33/0.35,H33/0.35*2)</f>
        <v>3.5764191428571432E-3</v>
      </c>
      <c r="O33" s="2">
        <f>IF('Modell einstellen'!$B$1="Voll",J33/0.35,J33/0.35*2)</f>
        <v>-6.9376311428571442E-3</v>
      </c>
      <c r="P33" s="3">
        <f t="shared" si="1"/>
        <v>0.51551013151504277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2022-01-05T18:35:18Z</dcterms:modified>
</cp:coreProperties>
</file>