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P32" i="11" s="1"/>
  <c r="O31" i="11"/>
  <c r="N31" i="11"/>
  <c r="P31" i="11" s="1"/>
  <c r="O30" i="11"/>
  <c r="N30" i="11"/>
  <c r="O29" i="11"/>
  <c r="N29" i="11"/>
  <c r="P29" i="11" s="1"/>
  <c r="O28" i="11"/>
  <c r="N28" i="11"/>
  <c r="P28" i="11" s="1"/>
  <c r="O27" i="11"/>
  <c r="N27" i="11"/>
  <c r="P27" i="11" s="1"/>
  <c r="O26" i="11"/>
  <c r="N26" i="11"/>
  <c r="P26" i="11" s="1"/>
  <c r="P25" i="11"/>
  <c r="O25" i="11"/>
  <c r="N25" i="11"/>
  <c r="O24" i="11"/>
  <c r="N24" i="11"/>
  <c r="P24" i="11" s="1"/>
  <c r="O23" i="11"/>
  <c r="P23" i="11" s="1"/>
  <c r="N23" i="11"/>
  <c r="O22" i="11"/>
  <c r="N22" i="11"/>
  <c r="P22" i="11" s="1"/>
  <c r="O21" i="11"/>
  <c r="N21" i="11"/>
  <c r="P21" i="11" s="1"/>
  <c r="O20" i="11"/>
  <c r="N20" i="11"/>
  <c r="P20" i="11" s="1"/>
  <c r="O19" i="11"/>
  <c r="N19" i="11"/>
  <c r="P19" i="11" s="1"/>
  <c r="O18" i="11"/>
  <c r="N18" i="11"/>
  <c r="O17" i="11"/>
  <c r="N17" i="11"/>
  <c r="P17" i="11" s="1"/>
  <c r="O16" i="11"/>
  <c r="N16" i="11"/>
  <c r="P16" i="11" s="1"/>
  <c r="O15" i="11"/>
  <c r="N15" i="11"/>
  <c r="P15" i="11" s="1"/>
  <c r="O14" i="11"/>
  <c r="N14" i="11"/>
  <c r="P14" i="11" s="1"/>
  <c r="P13" i="11"/>
  <c r="O13" i="11"/>
  <c r="N13" i="11"/>
  <c r="O12" i="11"/>
  <c r="N12" i="11"/>
  <c r="P12" i="11" s="1"/>
  <c r="O11" i="11"/>
  <c r="P11" i="11" s="1"/>
  <c r="N11" i="11"/>
  <c r="O10" i="11"/>
  <c r="N10" i="11"/>
  <c r="P10" i="11" s="1"/>
  <c r="O9" i="11"/>
  <c r="N9" i="11"/>
  <c r="P9" i="11" s="1"/>
  <c r="O8" i="11"/>
  <c r="N8" i="11"/>
  <c r="P8" i="11" s="1"/>
  <c r="O7" i="11"/>
  <c r="N7" i="11"/>
  <c r="P7" i="11" s="1"/>
  <c r="O6" i="11"/>
  <c r="N6" i="11"/>
  <c r="O5" i="11"/>
  <c r="N5" i="11"/>
  <c r="P5" i="11" s="1"/>
  <c r="O4" i="11"/>
  <c r="N4" i="11"/>
  <c r="P4" i="11" s="1"/>
  <c r="O3" i="11"/>
  <c r="N3" i="11"/>
  <c r="P3" i="11" s="1"/>
  <c r="P6" i="11" l="1"/>
  <c r="P18" i="11"/>
  <c r="P30"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L15" i="44"/>
  <c r="M15" i="44"/>
  <c r="O15" i="44"/>
  <c r="J14" i="43"/>
  <c r="A6" i="43"/>
  <c r="K14" i="43"/>
  <c r="D406" i="43" l="1"/>
  <c r="D417" i="43"/>
  <c r="D419" i="43"/>
  <c r="D426" i="43"/>
  <c r="D430" i="43"/>
  <c r="D404" i="43"/>
  <c r="D421" i="43"/>
  <c r="D434" i="43"/>
  <c r="D429" i="43"/>
  <c r="D411" i="43"/>
  <c r="D416" i="43"/>
  <c r="D423" i="43"/>
  <c r="D428" i="43"/>
  <c r="D427" i="43"/>
  <c r="D432" i="43"/>
  <c r="D409" i="43"/>
  <c r="D407" i="43"/>
  <c r="D414" i="43"/>
  <c r="D418" i="43"/>
  <c r="D425" i="43"/>
  <c r="D433" i="43"/>
  <c r="D410" i="43"/>
  <c r="D412" i="43"/>
  <c r="D420" i="43"/>
  <c r="D422" i="43"/>
  <c r="D431" i="43"/>
  <c r="D405" i="43"/>
  <c r="D408" i="43"/>
  <c r="D413" i="43"/>
  <c r="D415" i="43"/>
  <c r="D424" i="43"/>
  <c r="N15" i="44"/>
  <c r="I15" i="44"/>
  <c r="B405" i="43"/>
  <c r="B424" i="43"/>
  <c r="B425" i="43"/>
  <c r="B413" i="43"/>
  <c r="B414" i="43"/>
  <c r="B408" i="43"/>
  <c r="B407" i="43"/>
  <c r="B420" i="43"/>
  <c r="B415" i="43"/>
  <c r="B417" i="43"/>
  <c r="B409" i="43"/>
  <c r="B406" i="43"/>
  <c r="B429" i="43"/>
  <c r="B411" i="43"/>
  <c r="B416" i="43"/>
  <c r="B432" i="43"/>
  <c r="B404" i="43"/>
  <c r="B428" i="43"/>
  <c r="B410" i="43"/>
  <c r="B431" i="43"/>
  <c r="B427" i="43"/>
  <c r="B434" i="43"/>
  <c r="B430" i="43"/>
  <c r="B423" i="43"/>
  <c r="B418" i="43"/>
  <c r="B419" i="43"/>
  <c r="B433" i="43"/>
  <c r="B426" i="43"/>
  <c r="B421" i="43"/>
  <c r="B422" i="43"/>
  <c r="B412" i="43"/>
  <c r="C406" i="43"/>
  <c r="C423" i="43"/>
  <c r="C428" i="43"/>
  <c r="C404" i="43"/>
  <c r="C425" i="43"/>
  <c r="C409" i="43"/>
  <c r="C421" i="43"/>
  <c r="C434" i="43"/>
  <c r="C429" i="43"/>
  <c r="C432" i="43"/>
  <c r="C426" i="43"/>
  <c r="C407" i="43"/>
  <c r="C414" i="43"/>
  <c r="C418" i="43"/>
  <c r="C427" i="43"/>
  <c r="C410" i="43"/>
  <c r="C412" i="43"/>
  <c r="C420" i="43"/>
  <c r="C422" i="43"/>
  <c r="C431" i="43"/>
  <c r="C405" i="43"/>
  <c r="C408" i="43"/>
  <c r="C415" i="43"/>
  <c r="C424" i="43"/>
  <c r="C433" i="43"/>
  <c r="C417" i="43"/>
  <c r="C419" i="43"/>
  <c r="C430" i="43"/>
  <c r="C413" i="43"/>
  <c r="C411" i="43"/>
  <c r="C416" i="43"/>
  <c r="K15" i="44"/>
  <c r="H434" i="43"/>
  <c r="H418" i="43"/>
  <c r="H415" i="43"/>
  <c r="H410" i="43"/>
  <c r="H424" i="43"/>
  <c r="H405" i="43"/>
  <c r="H428" i="43"/>
  <c r="H408" i="43"/>
  <c r="H417" i="43"/>
  <c r="H414" i="43"/>
  <c r="H430" i="43"/>
  <c r="H423" i="43"/>
  <c r="H416" i="43"/>
  <c r="H404" i="43"/>
  <c r="H413" i="43"/>
  <c r="H427" i="43"/>
  <c r="H409" i="43"/>
  <c r="H422" i="43"/>
  <c r="H421" i="43"/>
  <c r="H433" i="43"/>
  <c r="H426" i="43"/>
  <c r="H432" i="43"/>
  <c r="H412" i="43"/>
  <c r="H425" i="43"/>
  <c r="H407" i="43"/>
  <c r="H419" i="43"/>
  <c r="H431" i="43"/>
  <c r="H411" i="43"/>
  <c r="H429" i="43"/>
  <c r="H406" i="43"/>
  <c r="H420" i="43"/>
  <c r="G410" i="43"/>
  <c r="G413" i="43"/>
  <c r="G431" i="43"/>
  <c r="G434" i="43"/>
  <c r="G416" i="43"/>
  <c r="G428" i="43"/>
  <c r="G429" i="43"/>
  <c r="G411" i="43"/>
  <c r="G427" i="43"/>
  <c r="G409" i="43"/>
  <c r="G408" i="43"/>
  <c r="G420" i="43"/>
  <c r="G422" i="43"/>
  <c r="G426" i="43"/>
  <c r="G424" i="43"/>
  <c r="G406" i="43"/>
  <c r="G419" i="43"/>
  <c r="G423" i="43"/>
  <c r="G405" i="43"/>
  <c r="G421" i="43"/>
  <c r="G407" i="43"/>
  <c r="G404" i="43"/>
  <c r="G417" i="43"/>
  <c r="G433" i="43"/>
  <c r="G415" i="43"/>
  <c r="G425" i="43"/>
  <c r="G432" i="43"/>
  <c r="G414" i="43"/>
  <c r="G430" i="43"/>
  <c r="G412" i="43"/>
  <c r="G418" i="43"/>
  <c r="E405" i="43"/>
  <c r="E408" i="43"/>
  <c r="E413" i="43"/>
  <c r="E415" i="43"/>
  <c r="E424" i="43"/>
  <c r="E433" i="43"/>
  <c r="E404" i="43"/>
  <c r="E434" i="43"/>
  <c r="E422" i="43"/>
  <c r="E431" i="43"/>
  <c r="E406" i="43"/>
  <c r="E417" i="43"/>
  <c r="E419" i="43"/>
  <c r="E426" i="43"/>
  <c r="E430" i="43"/>
  <c r="E423" i="43"/>
  <c r="E411" i="43"/>
  <c r="E416" i="43"/>
  <c r="E418" i="43"/>
  <c r="E425" i="43"/>
  <c r="E427" i="43"/>
  <c r="E429" i="43"/>
  <c r="E410" i="43"/>
  <c r="E420" i="43"/>
  <c r="E421" i="43"/>
  <c r="E409" i="43"/>
  <c r="E432" i="43"/>
  <c r="E412" i="43"/>
  <c r="E407" i="43"/>
  <c r="E428" i="43"/>
  <c r="E414" i="43"/>
  <c r="F415" i="43"/>
  <c r="F410" i="43"/>
  <c r="F420" i="43"/>
  <c r="F431" i="43"/>
  <c r="F419" i="43"/>
  <c r="F430" i="43"/>
  <c r="F427" i="43"/>
  <c r="F424" i="43"/>
  <c r="F404" i="43"/>
  <c r="F416" i="43"/>
  <c r="F423" i="43"/>
  <c r="F434" i="43"/>
  <c r="F421" i="43"/>
  <c r="F425" i="43"/>
  <c r="F426" i="43"/>
  <c r="F412" i="43"/>
  <c r="F405" i="43"/>
  <c r="F418" i="43"/>
  <c r="F417" i="43"/>
  <c r="F414" i="43"/>
  <c r="F422" i="43"/>
  <c r="F411" i="43"/>
  <c r="F432" i="43"/>
  <c r="F409" i="43"/>
  <c r="F428" i="43"/>
  <c r="F429" i="43"/>
  <c r="F406" i="43"/>
  <c r="F408" i="43"/>
  <c r="F407"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R286" i="43"/>
  <c r="M420" i="43"/>
  <c r="AF286" i="43"/>
  <c r="M434" i="43"/>
  <c r="N247" i="43"/>
  <c r="L416" i="43"/>
  <c r="Y247" i="43"/>
  <c r="L427" i="43"/>
  <c r="D169" i="43"/>
  <c r="K406" i="43"/>
  <c r="H169" i="43"/>
  <c r="K410" i="43"/>
  <c r="Z169" i="43"/>
  <c r="K428" i="43"/>
  <c r="N169" i="43"/>
  <c r="K416" i="43"/>
  <c r="K208" i="43"/>
  <c r="K413" i="43"/>
  <c r="AD169" i="43"/>
  <c r="K432" i="43"/>
  <c r="R169" i="43"/>
  <c r="K420" i="43"/>
  <c r="L169" i="43"/>
  <c r="K414" i="43"/>
  <c r="F169" i="43"/>
  <c r="K408" i="43"/>
  <c r="Y169" i="43"/>
  <c r="K427" i="43"/>
  <c r="G208" i="43"/>
  <c r="K409"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D247" i="43"/>
  <c r="L406" i="43"/>
  <c r="AE247" i="43"/>
  <c r="L433" i="43"/>
  <c r="M247" i="43"/>
  <c r="L415" i="43"/>
  <c r="G130" i="43"/>
  <c r="J409" i="43"/>
  <c r="T130" i="43"/>
  <c r="J422" i="43"/>
  <c r="I130" i="43"/>
  <c r="J411" i="43"/>
  <c r="X130" i="43"/>
  <c r="J426" i="43"/>
  <c r="AD130" i="43"/>
  <c r="J432" i="43"/>
  <c r="M130" i="43"/>
  <c r="J415" i="43"/>
  <c r="AE130" i="43"/>
  <c r="J433" i="43"/>
  <c r="AC130" i="43"/>
  <c r="J431" i="43"/>
  <c r="J130" i="43"/>
  <c r="J412" i="43"/>
  <c r="P130" i="43"/>
  <c r="J418" i="43"/>
  <c r="O130" i="43"/>
  <c r="J417" i="43"/>
  <c r="F130" i="43"/>
  <c r="J408" i="43"/>
  <c r="R130" i="43"/>
  <c r="J420" i="43"/>
  <c r="N130" i="43"/>
  <c r="J416" i="43"/>
  <c r="Z130" i="43"/>
  <c r="J428" i="43"/>
  <c r="E130" i="43"/>
  <c r="J407" i="43"/>
  <c r="AB130" i="43"/>
  <c r="J430" i="43"/>
  <c r="S130" i="43"/>
  <c r="J421" i="43"/>
  <c r="W130" i="43"/>
  <c r="J425" i="43"/>
  <c r="D130" i="43"/>
  <c r="J406" i="43"/>
  <c r="AF130" i="43"/>
  <c r="J434" i="43"/>
  <c r="C130" i="43"/>
  <c r="J405" i="43"/>
  <c r="V130" i="43"/>
  <c r="J424"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<sst xmlns="http://schemas.openxmlformats.org/spreadsheetml/2006/main" count="311" uniqueCount="164">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</sst>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-3.5999508571428571E-4</c:v>
                </c:pt>
                <c:pt idx="1">
                  <c:v>-3.6278599999999998E-4</c:v>
                </c:pt>
                <c:pt idx="2">
                  <c:v>-3.7324014285714294E-4</c:v>
                </c:pt>
                <c:pt idx="3">
                  <c:v>-3.806628857142857E-4</c:v>
                </c:pt>
                <c:pt idx="4">
                  <c:v>-3.878932285714286E-4</c:v>
                </c:pt>
                <c:pt idx="5">
                  <c:v>-3.9618314285714287E-4</c:v>
                </c:pt>
                <c:pt idx="6">
                  <c:v>-4.0530537142857145E-4</c:v>
                </c:pt>
                <c:pt idx="7">
                  <c:v>-4.1631285714285719E-4</c:v>
                </c:pt>
                <c:pt idx="8">
                  <c:v>-4.2841082857142859E-4</c:v>
                </c:pt>
                <c:pt idx="9">
                  <c:v>-4.4282602857142865E-4</c:v>
                </c:pt>
                <c:pt idx="10">
                  <c:v>-4.5658385714285717E-4</c:v>
                </c:pt>
                <c:pt idx="11">
                  <c:v>-4.7222405714285716E-4</c:v>
                </c:pt>
                <c:pt idx="12">
                  <c:v>-4.9287082857142855E-4</c:v>
                </c:pt>
                <c:pt idx="13">
                  <c:v>-5.1801585714285716E-4</c:v>
                </c:pt>
                <c:pt idx="14">
                  <c:v>-5.4382945714285722E-4</c:v>
                </c:pt>
                <c:pt idx="15">
                  <c:v>-5.6631957142857148E-4</c:v>
                </c:pt>
                <c:pt idx="16">
                  <c:v>-5.9135617142857145E-4</c:v>
                </c:pt>
                <c:pt idx="17">
                  <c:v>-6.1750360000000003E-4</c:v>
                </c:pt>
                <c:pt idx="18">
                  <c:v>-6.4772062857142859E-4</c:v>
                </c:pt>
                <c:pt idx="19">
                  <c:v>-6.7977485714285719E-4</c:v>
                </c:pt>
                <c:pt idx="20">
                  <c:v>-7.3137274285714287E-4</c:v>
                </c:pt>
                <c:pt idx="21">
                  <c:v>-8.0382091428571442E-4</c:v>
                </c:pt>
                <c:pt idx="22">
                  <c:v>-9.0442820000000005E-4</c:v>
                </c:pt>
                <c:pt idx="23">
                  <c:v>-1.0340307714285716E-3</c:v>
                </c:pt>
                <c:pt idx="24">
                  <c:v>-1.2221332857142858E-3</c:v>
                </c:pt>
                <c:pt idx="25">
                  <c:v>-1.5110083142857143E-3</c:v>
                </c:pt>
                <c:pt idx="26">
                  <c:v>-2.0067045714285713E-3</c:v>
                </c:pt>
                <c:pt idx="27">
                  <c:v>-2.7355667999999999E-3</c:v>
                </c:pt>
                <c:pt idx="28">
                  <c:v>-3.7568405714285716E-3</c:v>
                </c:pt>
                <c:pt idx="29">
                  <c:v>-4.6848757142857146E-3</c:v>
                </c:pt>
                <c:pt idx="30">
                  <c:v>-5.4542020000000009E-3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-3.6499157142857151E-4</c:v>
                </c:pt>
                <c:pt idx="1">
                  <c:v>-3.7702474285714288E-4</c:v>
                </c:pt>
                <c:pt idx="2">
                  <c:v>-3.8432448571428576E-4</c:v>
                </c:pt>
                <c:pt idx="3">
                  <c:v>-3.9200328571428571E-4</c:v>
                </c:pt>
                <c:pt idx="4">
                  <c:v>-4.0057774285714288E-4</c:v>
                </c:pt>
                <c:pt idx="5">
                  <c:v>-4.1050514285714286E-4</c:v>
                </c:pt>
                <c:pt idx="6">
                  <c:v>-4.2189285714285712E-4</c:v>
                </c:pt>
                <c:pt idx="7">
                  <c:v>-4.350891142857143E-4</c:v>
                </c:pt>
                <c:pt idx="8">
                  <c:v>-4.4929674285714289E-4</c:v>
                </c:pt>
                <c:pt idx="9">
                  <c:v>-4.6354088571428579E-4</c:v>
                </c:pt>
                <c:pt idx="10">
                  <c:v>-4.8108748571428574E-4</c:v>
                </c:pt>
                <c:pt idx="11">
                  <c:v>-5.0375437142857141E-4</c:v>
                </c:pt>
                <c:pt idx="12">
                  <c:v>-5.2969905714285719E-4</c:v>
                </c:pt>
                <c:pt idx="13">
                  <c:v>-5.5408702857142863E-4</c:v>
                </c:pt>
                <c:pt idx="14">
                  <c:v>-5.774936857142857E-4</c:v>
                </c:pt>
                <c:pt idx="15">
                  <c:v>-6.0290725714285721E-4</c:v>
                </c:pt>
                <c:pt idx="16">
                  <c:v>-6.3093077142857145E-4</c:v>
                </c:pt>
                <c:pt idx="17">
                  <c:v>-6.6142368571428577E-4</c:v>
                </c:pt>
                <c:pt idx="18">
                  <c:v>-7.0192851428571438E-4</c:v>
                </c:pt>
                <c:pt idx="19">
                  <c:v>-7.6508594285714293E-4</c:v>
                </c:pt>
                <c:pt idx="20">
                  <c:v>-8.4982022857142865E-4</c:v>
                </c:pt>
                <c:pt idx="21">
                  <c:v>-9.6031400000000009E-4</c:v>
                </c:pt>
                <c:pt idx="22">
                  <c:v>-1.1084513428571429E-3</c:v>
                </c:pt>
                <c:pt idx="23">
                  <c:v>-1.3287063714285715E-3</c:v>
                </c:pt>
                <c:pt idx="24">
                  <c:v>-1.6862730571428571E-3</c:v>
                </c:pt>
                <c:pt idx="25">
                  <c:v>-2.2753457428571428E-3</c:v>
                </c:pt>
                <c:pt idx="26">
                  <c:v>-3.1217257142857145E-3</c:v>
                </c:pt>
                <c:pt idx="27">
                  <c:v>-4.1663445714285718E-3</c:v>
                </c:pt>
                <c:pt idx="28">
                  <c:v>-5.0214025714285723E-3</c:v>
                </c:pt>
                <c:pt idx="29">
                  <c:v>-5.6401380000000003E-3</c:v>
                </c:pt>
                <c:pt idx="30">
                  <c:v>-5.9958525714285723E-3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-3.7633954285714287E-4</c:v>
                </c:pt>
                <c:pt idx="1">
                  <c:v>-3.8540391428571434E-4</c:v>
                </c:pt>
                <c:pt idx="2">
                  <c:v>-3.9335028571428572E-4</c:v>
                </c:pt>
                <c:pt idx="3">
                  <c:v>-4.0201937142857143E-4</c:v>
                </c:pt>
                <c:pt idx="4">
                  <c:v>-4.1216908571428576E-4</c:v>
                </c:pt>
                <c:pt idx="5">
                  <c:v>-4.2365497142857146E-4</c:v>
                </c:pt>
                <c:pt idx="6">
                  <c:v>-4.3714400000000004E-4</c:v>
                </c:pt>
                <c:pt idx="7">
                  <c:v>-4.5126900000000002E-4</c:v>
                </c:pt>
                <c:pt idx="8">
                  <c:v>-4.6570742857142861E-4</c:v>
                </c:pt>
                <c:pt idx="9">
                  <c:v>-4.8378871428571426E-4</c:v>
                </c:pt>
                <c:pt idx="10">
                  <c:v>-5.0694940000000006E-4</c:v>
                </c:pt>
                <c:pt idx="11">
                  <c:v>-5.3302717142857147E-4</c:v>
                </c:pt>
                <c:pt idx="12">
                  <c:v>-5.5704579999999999E-4</c:v>
                </c:pt>
                <c:pt idx="13">
                  <c:v>-5.8081520000000011E-4</c:v>
                </c:pt>
                <c:pt idx="14">
                  <c:v>-6.0632237142857145E-4</c:v>
                </c:pt>
                <c:pt idx="15">
                  <c:v>-6.3484974285714293E-4</c:v>
                </c:pt>
                <c:pt idx="16">
                  <c:v>-6.6514245714285717E-4</c:v>
                </c:pt>
                <c:pt idx="17">
                  <c:v>-7.0607157142857152E-4</c:v>
                </c:pt>
                <c:pt idx="18">
                  <c:v>-7.6816097142857142E-4</c:v>
                </c:pt>
                <c:pt idx="19">
                  <c:v>-8.5432602857142862E-4</c:v>
                </c:pt>
                <c:pt idx="20">
                  <c:v>-9.6764748571428582E-4</c:v>
                </c:pt>
                <c:pt idx="21">
                  <c:v>-1.1218572857142858E-3</c:v>
                </c:pt>
                <c:pt idx="22">
                  <c:v>-1.3513724571428572E-3</c:v>
                </c:pt>
                <c:pt idx="23">
                  <c:v>-1.7279395999999999E-3</c:v>
                </c:pt>
                <c:pt idx="24">
                  <c:v>-2.3361168857142858E-3</c:v>
                </c:pt>
                <c:pt idx="25">
                  <c:v>-3.210096E-3</c:v>
                </c:pt>
                <c:pt idx="26">
                  <c:v>-4.2436945714285712E-3</c:v>
                </c:pt>
                <c:pt idx="27">
                  <c:v>-5.0913620000000003E-3</c:v>
                </c:pt>
                <c:pt idx="28">
                  <c:v>-5.6714805714285716E-3</c:v>
                </c:pt>
                <c:pt idx="29">
                  <c:v>-6.0295740000000002E-3</c:v>
                </c:pt>
                <c:pt idx="30">
                  <c:v>-6.2946374285714288E-3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-3.8382265714285714E-4</c:v>
                </c:pt>
                <c:pt idx="1">
                  <c:v>-3.9338445714285714E-4</c:v>
                </c:pt>
                <c:pt idx="2">
                  <c:v>-4.0219902857142859E-4</c:v>
                </c:pt>
                <c:pt idx="3">
                  <c:v>-4.1229211428571433E-4</c:v>
                </c:pt>
                <c:pt idx="4">
                  <c:v>-4.237640857142858E-4</c:v>
                </c:pt>
                <c:pt idx="5">
                  <c:v>-4.3715760000000002E-4</c:v>
                </c:pt>
                <c:pt idx="6">
                  <c:v>-4.5135482857142859E-4</c:v>
                </c:pt>
                <c:pt idx="7">
                  <c:v>-4.6574105714285716E-4</c:v>
                </c:pt>
                <c:pt idx="8">
                  <c:v>-4.8362802857142864E-4</c:v>
                </c:pt>
                <c:pt idx="9">
                  <c:v>-5.0662740000000008E-4</c:v>
                </c:pt>
                <c:pt idx="10">
                  <c:v>-5.3271571428571435E-4</c:v>
                </c:pt>
                <c:pt idx="11">
                  <c:v>-5.569610571428572E-4</c:v>
                </c:pt>
                <c:pt idx="12">
                  <c:v>-5.8063117142857139E-4</c:v>
                </c:pt>
                <c:pt idx="13">
                  <c:v>-6.0616185714285715E-4</c:v>
                </c:pt>
                <c:pt idx="14">
                  <c:v>-6.3452037142857146E-4</c:v>
                </c:pt>
                <c:pt idx="15">
                  <c:v>-6.6471354285714285E-4</c:v>
                </c:pt>
                <c:pt idx="16">
                  <c:v>-7.0354954285714285E-4</c:v>
                </c:pt>
                <c:pt idx="17">
                  <c:v>-7.6183774285714279E-4</c:v>
                </c:pt>
                <c:pt idx="18">
                  <c:v>-8.4521674285714286E-4</c:v>
                </c:pt>
                <c:pt idx="19">
                  <c:v>-9.5746677142857144E-4</c:v>
                </c:pt>
                <c:pt idx="20">
                  <c:v>-1.1098411428571431E-3</c:v>
                </c:pt>
                <c:pt idx="21">
                  <c:v>-1.3359454857142859E-3</c:v>
                </c:pt>
                <c:pt idx="22">
                  <c:v>-1.7043230571428571E-3</c:v>
                </c:pt>
                <c:pt idx="23">
                  <c:v>-2.3040462857142857E-3</c:v>
                </c:pt>
                <c:pt idx="24">
                  <c:v>-3.1656362857142859E-3</c:v>
                </c:pt>
                <c:pt idx="25">
                  <c:v>-4.2048082857142864E-3</c:v>
                </c:pt>
                <c:pt idx="26">
                  <c:v>-5.0564605714285716E-3</c:v>
                </c:pt>
                <c:pt idx="27">
                  <c:v>-5.6548028571428571E-3</c:v>
                </c:pt>
                <c:pt idx="28">
                  <c:v>-6.0127154285714293E-3</c:v>
                </c:pt>
                <c:pt idx="29">
                  <c:v>-6.2865677142857146E-3</c:v>
                </c:pt>
                <c:pt idx="30">
                  <c:v>-6.4140320000000009E-3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-3.9366482857142865E-4</c:v>
                </c:pt>
                <c:pt idx="1">
                  <c:v>-4.0491805714285717E-4</c:v>
                </c:pt>
                <c:pt idx="2">
                  <c:v>-4.1571082857142861E-4</c:v>
                </c:pt>
                <c:pt idx="3">
                  <c:v>-4.2745811428571433E-4</c:v>
                </c:pt>
                <c:pt idx="4">
                  <c:v>-4.4150500000000002E-4</c:v>
                </c:pt>
                <c:pt idx="5">
                  <c:v>-4.554939428571429E-4</c:v>
                </c:pt>
                <c:pt idx="6">
                  <c:v>-4.7038757142857146E-4</c:v>
                </c:pt>
                <c:pt idx="7">
                  <c:v>-4.8958205714285719E-4</c:v>
                </c:pt>
                <c:pt idx="8">
                  <c:v>-5.1373637142857148E-4</c:v>
                </c:pt>
                <c:pt idx="9">
                  <c:v>-5.4002100000000001E-4</c:v>
                </c:pt>
                <c:pt idx="10">
                  <c:v>-5.6337371428571439E-4</c:v>
                </c:pt>
                <c:pt idx="11">
                  <c:v>-5.8787177142857142E-4</c:v>
                </c:pt>
                <c:pt idx="12">
                  <c:v>-6.1364405714285717E-4</c:v>
                </c:pt>
                <c:pt idx="13">
                  <c:v>-6.4314922857142858E-4</c:v>
                </c:pt>
                <c:pt idx="14">
                  <c:v>-6.7329702857142854E-4</c:v>
                </c:pt>
                <c:pt idx="15">
                  <c:v>-7.1481365714285718E-4</c:v>
                </c:pt>
                <c:pt idx="16">
                  <c:v>-7.7185057142857148E-4</c:v>
                </c:pt>
                <c:pt idx="17">
                  <c:v>-8.5811151428571433E-4</c:v>
                </c:pt>
                <c:pt idx="18">
                  <c:v>-9.7714334285714283E-4</c:v>
                </c:pt>
                <c:pt idx="19">
                  <c:v>-1.1450628000000001E-3</c:v>
                </c:pt>
                <c:pt idx="20">
                  <c:v>-1.3958689142857146E-3</c:v>
                </c:pt>
                <c:pt idx="21">
                  <c:v>-1.8148498000000002E-3</c:v>
                </c:pt>
                <c:pt idx="22">
                  <c:v>-2.464179485714286E-3</c:v>
                </c:pt>
                <c:pt idx="23">
                  <c:v>-3.3960300000000004E-3</c:v>
                </c:pt>
                <c:pt idx="24">
                  <c:v>-4.3980477142857143E-3</c:v>
                </c:pt>
                <c:pt idx="25">
                  <c:v>-5.2293177142857146E-3</c:v>
                </c:pt>
                <c:pt idx="26">
                  <c:v>-5.7320725714285724E-3</c:v>
                </c:pt>
                <c:pt idx="27">
                  <c:v>-6.0948040000000005E-3</c:v>
                </c:pt>
                <c:pt idx="28">
                  <c:v>-6.3178514285714285E-3</c:v>
                </c:pt>
                <c:pt idx="29">
                  <c:v>-6.4428497142857144E-3</c:v>
                </c:pt>
                <c:pt idx="30">
                  <c:v>-6.7568782857142864E-3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-4.2099691428571434E-4</c:v>
                </c:pt>
                <c:pt idx="1">
                  <c:v>-4.3679314285714293E-4</c:v>
                </c:pt>
                <c:pt idx="2">
                  <c:v>-4.5152640000000003E-4</c:v>
                </c:pt>
                <c:pt idx="3">
                  <c:v>-4.6579128571428574E-4</c:v>
                </c:pt>
                <c:pt idx="4">
                  <c:v>-4.8305622857142865E-4</c:v>
                </c:pt>
                <c:pt idx="5">
                  <c:v>-5.0552008571428568E-4</c:v>
                </c:pt>
                <c:pt idx="6">
                  <c:v>-5.3161102857142862E-4</c:v>
                </c:pt>
                <c:pt idx="7">
                  <c:v>-5.5661174285714281E-4</c:v>
                </c:pt>
                <c:pt idx="8">
                  <c:v>-5.7996000000000002E-4</c:v>
                </c:pt>
                <c:pt idx="9">
                  <c:v>-6.0558114285714289E-4</c:v>
                </c:pt>
                <c:pt idx="10">
                  <c:v>-6.3340537142857146E-4</c:v>
                </c:pt>
                <c:pt idx="11">
                  <c:v>-6.6375940000000001E-4</c:v>
                </c:pt>
                <c:pt idx="12">
                  <c:v>-6.9877779999999998E-4</c:v>
                </c:pt>
                <c:pt idx="13">
                  <c:v>-7.4557468571428585E-4</c:v>
                </c:pt>
                <c:pt idx="14">
                  <c:v>-8.0384180000000007E-4</c:v>
                </c:pt>
                <c:pt idx="15">
                  <c:v>-8.9073805714285725E-4</c:v>
                </c:pt>
                <c:pt idx="16">
                  <c:v>-1.0281325428571429E-3</c:v>
                </c:pt>
                <c:pt idx="17">
                  <c:v>-1.2448388857142858E-3</c:v>
                </c:pt>
                <c:pt idx="18">
                  <c:v>-1.5896212285714288E-3</c:v>
                </c:pt>
                <c:pt idx="19">
                  <c:v>-2.1613843714285716E-3</c:v>
                </c:pt>
                <c:pt idx="20">
                  <c:v>-2.981823142857143E-3</c:v>
                </c:pt>
                <c:pt idx="21">
                  <c:v>-4.0335100000000006E-3</c:v>
                </c:pt>
                <c:pt idx="22">
                  <c:v>-4.9064134285714284E-3</c:v>
                </c:pt>
                <c:pt idx="23">
                  <c:v>-5.5716142857142863E-3</c:v>
                </c:pt>
                <c:pt idx="24">
                  <c:v>-5.9386188571428581E-3</c:v>
                </c:pt>
                <c:pt idx="25">
                  <c:v>-6.2464694285714285E-3</c:v>
                </c:pt>
                <c:pt idx="26">
                  <c:v>-6.358090857142857E-3</c:v>
                </c:pt>
                <c:pt idx="27">
                  <c:v>-6.6076685714285726E-3</c:v>
                </c:pt>
                <c:pt idx="28">
                  <c:v>-6.8895494285714292E-3</c:v>
                </c:pt>
                <c:pt idx="29">
                  <c:v>-6.9306028571428577E-3</c:v>
                </c:pt>
                <c:pt idx="30">
                  <c:v>-6.9356111428571432E-3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-4.5570065714285718E-4</c:v>
                </c:pt>
                <c:pt idx="1">
                  <c:v>-4.7502377142857145E-4</c:v>
                </c:pt>
                <c:pt idx="2">
                  <c:v>-4.9555025714285712E-4</c:v>
                </c:pt>
                <c:pt idx="3">
                  <c:v>-5.2058842857142867E-4</c:v>
                </c:pt>
                <c:pt idx="4">
                  <c:v>-5.4701862857142855E-4</c:v>
                </c:pt>
                <c:pt idx="5">
                  <c:v>-5.7006357142857145E-4</c:v>
                </c:pt>
                <c:pt idx="6">
                  <c:v>-5.9517077142857142E-4</c:v>
                </c:pt>
                <c:pt idx="7">
                  <c:v>-6.2135062857142864E-4</c:v>
                </c:pt>
                <c:pt idx="8">
                  <c:v>-6.5162028571428578E-4</c:v>
                </c:pt>
                <c:pt idx="9">
                  <c:v>-6.8221957142857142E-4</c:v>
                </c:pt>
                <c:pt idx="10">
                  <c:v>-7.24981542857143E-4</c:v>
                </c:pt>
                <c:pt idx="11">
                  <c:v>-7.7555411428571427E-4</c:v>
                </c:pt>
                <c:pt idx="12">
                  <c:v>-8.4309208571428575E-4</c:v>
                </c:pt>
                <c:pt idx="13">
                  <c:v>-9.3429554285714294E-4</c:v>
                </c:pt>
                <c:pt idx="14">
                  <c:v>-1.0801062E-3</c:v>
                </c:pt>
                <c:pt idx="15">
                  <c:v>-1.3319143428571429E-3</c:v>
                </c:pt>
                <c:pt idx="16">
                  <c:v>-1.7799718571428571E-3</c:v>
                </c:pt>
                <c:pt idx="17">
                  <c:v>-2.461023085714286E-3</c:v>
                </c:pt>
                <c:pt idx="18">
                  <c:v>-3.4348485714285715E-3</c:v>
                </c:pt>
                <c:pt idx="19">
                  <c:v>-4.4121640000000005E-3</c:v>
                </c:pt>
                <c:pt idx="20">
                  <c:v>-5.2413105714285719E-3</c:v>
                </c:pt>
                <c:pt idx="21">
                  <c:v>-5.7147317142857146E-3</c:v>
                </c:pt>
                <c:pt idx="22">
                  <c:v>-6.0956394285714291E-3</c:v>
                </c:pt>
                <c:pt idx="23">
                  <c:v>-6.2988837142857138E-3</c:v>
                </c:pt>
                <c:pt idx="24">
                  <c:v>-6.4397999999999999E-3</c:v>
                </c:pt>
                <c:pt idx="25">
                  <c:v>-6.7772074285714287E-3</c:v>
                </c:pt>
                <c:pt idx="26">
                  <c:v>-6.9143051428571436E-3</c:v>
                </c:pt>
                <c:pt idx="27">
                  <c:v>-6.9280194285714298E-3</c:v>
                </c:pt>
                <c:pt idx="28">
                  <c:v>-6.9320440000000001E-3</c:v>
                </c:pt>
                <c:pt idx="29">
                  <c:v>-6.9347925714285724E-3</c:v>
                </c:pt>
                <c:pt idx="30">
                  <c:v>-6.9376311428571442E-3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81303704"/>
        <c:axId val="4813017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813037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1301744"/>
        <c:crossesAt val="-8.0000000000000019E-3"/>
        <c:crossBetween val="midCat"/>
      </c:valAx>
      <c:valAx>
        <c:axId val="4813017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1303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27778.156971666598</c:v>
                </c:pt>
                <c:pt idx="1">
                  <c:v>27564.45948851389</c:v>
                </c:pt>
                <c:pt idx="2">
                  <c:v>26792.4021340531</c:v>
                </c:pt>
                <c:pt idx="3">
                  <c:v>26269.963201786119</c:v>
                </c:pt>
                <c:pt idx="4">
                  <c:v>25780.290202097585</c:v>
                </c:pt>
                <c:pt idx="5">
                  <c:v>25240.85181384367</c:v>
                </c:pt>
                <c:pt idx="6">
                  <c:v>24672.754680633043</c:v>
                </c:pt>
                <c:pt idx="7">
                  <c:v>24020.396748324576</c:v>
                </c:pt>
                <c:pt idx="8">
                  <c:v>23342.080388924409</c:v>
                </c:pt>
                <c:pt idx="9">
                  <c:v>22582.231745185189</c:v>
                </c:pt>
                <c:pt idx="10">
                  <c:v>21901.781772523715</c:v>
                </c:pt>
                <c:pt idx="11">
                  <c:v>21176.388302840744</c:v>
                </c:pt>
                <c:pt idx="12">
                  <c:v>20289.291677060097</c:v>
                </c:pt>
                <c:pt idx="13">
                  <c:v>19304.428353130945</c:v>
                </c:pt>
                <c:pt idx="14">
                  <c:v>18388.117577406487</c:v>
                </c:pt>
                <c:pt idx="15">
                  <c:v>17657.874642711824</c:v>
                </c:pt>
                <c:pt idx="16">
                  <c:v>16910.282640396654</c:v>
                </c:pt>
                <c:pt idx="17">
                  <c:v>16194.23757205626</c:v>
                </c:pt>
                <c:pt idx="18">
                  <c:v>15438.754856480893</c:v>
                </c:pt>
                <c:pt idx="19">
                  <c:v>14710.752971992406</c:v>
                </c:pt>
                <c:pt idx="20">
                  <c:v>13672.918628242171</c:v>
                </c:pt>
                <c:pt idx="21">
                  <c:v>12440.582003127063</c:v>
                </c:pt>
                <c:pt idx="22">
                  <c:v>11056.709642622818</c:v>
                </c:pt>
                <c:pt idx="23">
                  <c:v>9670.892082045526</c:v>
                </c:pt>
                <c:pt idx="24">
                  <c:v>8182.4135852378968</c:v>
                </c:pt>
                <c:pt idx="25">
                  <c:v>6618.0972701842556</c:v>
                </c:pt>
                <c:pt idx="26">
                  <c:v>4983.2945727935466</c:v>
                </c:pt>
                <c:pt idx="27">
                  <c:v>3655.5495555802186</c:v>
                </c:pt>
                <c:pt idx="28">
                  <c:v>2661.8111175788895</c:v>
                </c:pt>
                <c:pt idx="29">
                  <c:v>2134.5283439444802</c:v>
                </c:pt>
                <c:pt idx="30">
                  <c:v>1833.4487794914817</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27397.892945473101</c:v>
                </c:pt>
                <c:pt idx="1">
                  <c:v>26523.458180008798</c:v>
                </c:pt>
                <c:pt idx="2">
                  <c:v>26019.67965016466</c:v>
                </c:pt>
                <c:pt idx="3">
                  <c:v>25509.990258828006</c:v>
                </c:pt>
                <c:pt idx="4">
                  <c:v>24963.943150396844</c:v>
                </c:pt>
                <c:pt idx="5">
                  <c:v>24360.23074010557</c:v>
                </c:pt>
                <c:pt idx="6">
                  <c:v>23702.700414797258</c:v>
                </c:pt>
                <c:pt idx="7">
                  <c:v>22983.797276603891</c:v>
                </c:pt>
                <c:pt idx="8">
                  <c:v>22257.005328835807</c:v>
                </c:pt>
                <c:pt idx="9">
                  <c:v>21573.070053120908</c:v>
                </c:pt>
                <c:pt idx="10">
                  <c:v>20786.240126684414</c:v>
                </c:pt>
                <c:pt idx="11">
                  <c:v>19850.944363304498</c:v>
                </c:pt>
                <c:pt idx="12">
                  <c:v>18878.644137935571</c:v>
                </c:pt>
                <c:pt idx="13">
                  <c:v>18047.706378874158</c:v>
                </c:pt>
                <c:pt idx="14">
                  <c:v>17316.206648443753</c:v>
                </c:pt>
                <c:pt idx="15">
                  <c:v>16586.298939889071</c:v>
                </c:pt>
                <c:pt idx="16">
                  <c:v>15849.59943760187</c:v>
                </c:pt>
                <c:pt idx="17">
                  <c:v>15118.902174180206</c:v>
                </c:pt>
                <c:pt idx="18">
                  <c:v>14246.464983939348</c:v>
                </c:pt>
                <c:pt idx="19">
                  <c:v>13070.427045955023</c:v>
                </c:pt>
                <c:pt idx="20">
                  <c:v>11767.194594567696</c:v>
                </c:pt>
                <c:pt idx="21">
                  <c:v>10413.260662658255</c:v>
                </c:pt>
                <c:pt idx="22">
                  <c:v>9021.5958187429424</c:v>
                </c:pt>
                <c:pt idx="23">
                  <c:v>7526.1172935058657</c:v>
                </c:pt>
                <c:pt idx="24">
                  <c:v>5930.2376668127145</c:v>
                </c:pt>
                <c:pt idx="25">
                  <c:v>4394.9364756509658</c:v>
                </c:pt>
                <c:pt idx="26">
                  <c:v>3203.3563852960447</c:v>
                </c:pt>
                <c:pt idx="27">
                  <c:v>2400.1855412000077</c:v>
                </c:pt>
                <c:pt idx="28">
                  <c:v>1991.4754608402236</c:v>
                </c:pt>
                <c:pt idx="29">
                  <c:v>1773.0062633219256</c:v>
                </c:pt>
                <c:pt idx="30">
                  <c:v>1667.8195270597521</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26571.749341248375</c:v>
                </c:pt>
                <c:pt idx="1">
                  <c:v>25946.804454577039</c:v>
                </c:pt>
                <c:pt idx="2">
                  <c:v>25422.633116538804</c:v>
                </c:pt>
                <c:pt idx="3">
                  <c:v>24874.423250962038</c:v>
                </c:pt>
                <c:pt idx="4">
                  <c:v>24261.887527712272</c:v>
                </c:pt>
                <c:pt idx="5">
                  <c:v>23604.113428150831</c:v>
                </c:pt>
                <c:pt idx="6">
                  <c:v>22875.757187562907</c:v>
                </c:pt>
                <c:pt idx="7">
                  <c:v>22159.731778606551</c:v>
                </c:pt>
                <c:pt idx="8">
                  <c:v>21472.708800620374</c:v>
                </c:pt>
                <c:pt idx="9">
                  <c:v>20670.180400475889</c:v>
                </c:pt>
                <c:pt idx="10">
                  <c:v>19725.834570471921</c:v>
                </c:pt>
                <c:pt idx="11">
                  <c:v>18760.769686841479</c:v>
                </c:pt>
                <c:pt idx="12">
                  <c:v>17951.845252221632</c:v>
                </c:pt>
                <c:pt idx="13">
                  <c:v>17217.180266632138</c:v>
                </c:pt>
                <c:pt idx="14">
                  <c:v>16492.876514582083</c:v>
                </c:pt>
                <c:pt idx="15">
                  <c:v>15751.758762624639</c:v>
                </c:pt>
                <c:pt idx="16">
                  <c:v>15034.373302458171</c:v>
                </c:pt>
                <c:pt idx="17">
                  <c:v>14162.870174431931</c:v>
                </c:pt>
                <c:pt idx="18">
                  <c:v>13018.104761821871</c:v>
                </c:pt>
                <c:pt idx="19">
                  <c:v>11705.13324605317</c:v>
                </c:pt>
                <c:pt idx="20">
                  <c:v>10334.341945422744</c:v>
                </c:pt>
                <c:pt idx="21">
                  <c:v>8913.7897728524422</c:v>
                </c:pt>
                <c:pt idx="22">
                  <c:v>7399.8844264907739</c:v>
                </c:pt>
                <c:pt idx="23">
                  <c:v>5787.2393224855778</c:v>
                </c:pt>
                <c:pt idx="24">
                  <c:v>4280.6077303543925</c:v>
                </c:pt>
                <c:pt idx="25">
                  <c:v>3115.1716334963194</c:v>
                </c:pt>
                <c:pt idx="26">
                  <c:v>2356.4372580738441</c:v>
                </c:pt>
                <c:pt idx="27">
                  <c:v>1964.1109785554434</c:v>
                </c:pt>
                <c:pt idx="28">
                  <c:v>1763.2080149189565</c:v>
                </c:pt>
                <c:pt idx="29">
                  <c:v>1658.491959796828</c:v>
                </c:pt>
                <c:pt idx="30">
                  <c:v>1588.6538523426129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26053.699055806504</c:v>
                </c:pt>
                <c:pt idx="1">
                  <c:v>25420.424773845374</c:v>
                </c:pt>
                <c:pt idx="2">
                  <c:v>24863.312165419735</c:v>
                </c:pt>
                <c:pt idx="3">
                  <c:v>24254.64774489987</c:v>
                </c:pt>
                <c:pt idx="4">
                  <c:v>23598.035645574491</c:v>
                </c:pt>
                <c:pt idx="5">
                  <c:v>22875.045521340588</c:v>
                </c:pt>
                <c:pt idx="6">
                  <c:v>22155.517936189448</c:v>
                </c:pt>
                <c:pt idx="7">
                  <c:v>21471.158375742449</c:v>
                </c:pt>
                <c:pt idx="8">
                  <c:v>20677.048080812518</c:v>
                </c:pt>
                <c:pt idx="9">
                  <c:v>19738.371829079908</c:v>
                </c:pt>
                <c:pt idx="10">
                  <c:v>18771.738343420904</c:v>
                </c:pt>
                <c:pt idx="11">
                  <c:v>17954.576665195927</c:v>
                </c:pt>
                <c:pt idx="12">
                  <c:v>17222.637178428147</c:v>
                </c:pt>
                <c:pt idx="13">
                  <c:v>16497.243899731639</c:v>
                </c:pt>
                <c:pt idx="14">
                  <c:v>15759.935299611905</c:v>
                </c:pt>
                <c:pt idx="15">
                  <c:v>15044.074409883286</c:v>
                </c:pt>
                <c:pt idx="16">
                  <c:v>14213.640107546087</c:v>
                </c:pt>
                <c:pt idx="17">
                  <c:v>13126.154609374827</c:v>
                </c:pt>
                <c:pt idx="18">
                  <c:v>11831.284797076225</c:v>
                </c:pt>
                <c:pt idx="19">
                  <c:v>10444.226680660338</c:v>
                </c:pt>
                <c:pt idx="20">
                  <c:v>9010.2985137641299</c:v>
                </c:pt>
                <c:pt idx="21">
                  <c:v>7485.3353725382967</c:v>
                </c:pt>
                <c:pt idx="22">
                  <c:v>5867.432208987475</c:v>
                </c:pt>
                <c:pt idx="23">
                  <c:v>4340.1905864490318</c:v>
                </c:pt>
                <c:pt idx="24">
                  <c:v>3158.9225980026404</c:v>
                </c:pt>
                <c:pt idx="25">
                  <c:v>2378.2297123925264</c:v>
                </c:pt>
                <c:pt idx="26">
                  <c:v>1977.667947517439</c:v>
                </c:pt>
                <c:pt idx="27">
                  <c:v>1768.4082456329159</c:v>
                </c:pt>
                <c:pt idx="28">
                  <c:v>1663.1420726285587</c:v>
                </c:pt>
                <c:pt idx="29">
                  <c:v>1590.6931181661835</c:v>
                </c:pt>
                <c:pt idx="30">
                  <c:v>1559.0817133434941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25402.320131795943</c:v>
                </c:pt>
                <c:pt idx="1">
                  <c:v>24696.354789808618</c:v>
                </c:pt>
                <c:pt idx="2">
                  <c:v>24055.182864407325</c:v>
                </c:pt>
                <c:pt idx="3">
                  <c:v>23394.104979642449</c:v>
                </c:pt>
                <c:pt idx="4">
                  <c:v>22649.800115513979</c:v>
                </c:pt>
                <c:pt idx="5">
                  <c:v>21954.188758853183</c:v>
                </c:pt>
                <c:pt idx="6">
                  <c:v>21259.065093131409</c:v>
                </c:pt>
                <c:pt idx="7">
                  <c:v>20425.585157999485</c:v>
                </c:pt>
                <c:pt idx="8">
                  <c:v>19465.236561298003</c:v>
                </c:pt>
                <c:pt idx="9">
                  <c:v>18517.798381914778</c:v>
                </c:pt>
                <c:pt idx="10">
                  <c:v>17750.206916697767</c:v>
                </c:pt>
                <c:pt idx="11">
                  <c:v>17010.512302196905</c:v>
                </c:pt>
                <c:pt idx="12">
                  <c:v>16296.091982965276</c:v>
                </c:pt>
                <c:pt idx="13">
                  <c:v>15548.491012283619</c:v>
                </c:pt>
                <c:pt idx="14">
                  <c:v>14852.2859535227</c:v>
                </c:pt>
                <c:pt idx="15">
                  <c:v>13989.659962528494</c:v>
                </c:pt>
                <c:pt idx="16">
                  <c:v>12955.875619152041</c:v>
                </c:pt>
                <c:pt idx="17">
                  <c:v>11653.497049650856</c:v>
                </c:pt>
                <c:pt idx="18">
                  <c:v>10233.913041622172</c:v>
                </c:pt>
                <c:pt idx="19">
                  <c:v>8733.14546590807</c:v>
                </c:pt>
                <c:pt idx="20">
                  <c:v>7163.9964882498571</c:v>
                </c:pt>
                <c:pt idx="21">
                  <c:v>5510.0978604400207</c:v>
                </c:pt>
                <c:pt idx="22">
                  <c:v>4058.1459499900525</c:v>
                </c:pt>
                <c:pt idx="23">
                  <c:v>2944.6147413303179</c:v>
                </c:pt>
                <c:pt idx="24">
                  <c:v>2273.7361324021235</c:v>
                </c:pt>
                <c:pt idx="25">
                  <c:v>1912.2953598098456</c:v>
                </c:pt>
                <c:pt idx="26">
                  <c:v>1744.5696779634031</c:v>
                </c:pt>
                <c:pt idx="27">
                  <c:v>1640.7418515837423</c:v>
                </c:pt>
                <c:pt idx="28">
                  <c:v>1582.8165814056135</c:v>
                </c:pt>
                <c:pt idx="29">
                  <c:v>1552.1082197256635</c:v>
                </c:pt>
                <c:pt idx="30">
                  <c:v>1479.9733807759237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23753.143219509173</c:v>
                </c:pt>
                <c:pt idx="1">
                  <c:v>22894.132299303492</c:v>
                </c:pt>
                <c:pt idx="2">
                  <c:v>22147.099261527121</c:v>
                </c:pt>
                <c:pt idx="3">
                  <c:v>21468.84303484792</c:v>
                </c:pt>
                <c:pt idx="4">
                  <c:v>20701.523774103076</c:v>
                </c:pt>
                <c:pt idx="5">
                  <c:v>19781.607660297574</c:v>
                </c:pt>
                <c:pt idx="6">
                  <c:v>18810.745944967493</c:v>
                </c:pt>
                <c:pt idx="7">
                  <c:v>17965.844465783306</c:v>
                </c:pt>
                <c:pt idx="8">
                  <c:v>17242.568452996758</c:v>
                </c:pt>
                <c:pt idx="9">
                  <c:v>16513.063720610284</c:v>
                </c:pt>
                <c:pt idx="10">
                  <c:v>15787.67792487483</c:v>
                </c:pt>
                <c:pt idx="11">
                  <c:v>15065.700011178749</c:v>
                </c:pt>
                <c:pt idx="12">
                  <c:v>14310.70076925741</c:v>
                </c:pt>
                <c:pt idx="13">
                  <c:v>13412.472541794603</c:v>
                </c:pt>
                <c:pt idx="14">
                  <c:v>12440.258767334566</c:v>
                </c:pt>
                <c:pt idx="15">
                  <c:v>11226.645049922003</c:v>
                </c:pt>
                <c:pt idx="16">
                  <c:v>9726.3724112947184</c:v>
                </c:pt>
                <c:pt idx="17">
                  <c:v>8033.1680788249332</c:v>
                </c:pt>
                <c:pt idx="18">
                  <c:v>6290.8067785348248</c:v>
                </c:pt>
                <c:pt idx="19">
                  <c:v>4626.6643417017394</c:v>
                </c:pt>
                <c:pt idx="20">
                  <c:v>3353.6529569014392</c:v>
                </c:pt>
                <c:pt idx="21">
                  <c:v>2479.2302485924165</c:v>
                </c:pt>
                <c:pt idx="22">
                  <c:v>2038.148669202473</c:v>
                </c:pt>
                <c:pt idx="23">
                  <c:v>1794.8119678062012</c:v>
                </c:pt>
                <c:pt idx="24">
                  <c:v>1683.8932149976572</c:v>
                </c:pt>
                <c:pt idx="25">
                  <c:v>1600.9043371380121</c:v>
                </c:pt>
                <c:pt idx="26">
                  <c:v>1572.7991663984669</c:v>
                </c:pt>
                <c:pt idx="27">
                  <c:v>1513.3930965060508</c:v>
                </c:pt>
                <c:pt idx="28">
                  <c:v>1451.473728968301</c:v>
                </c:pt>
                <c:pt idx="29">
                  <c:v>1442.8759238013101</c:v>
                </c:pt>
                <c:pt idx="30">
                  <c:v>1441.8340062647276</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21944.22993088884</c:v>
                </c:pt>
                <c:pt idx="1">
                  <c:v>21051.578050349599</c:v>
                </c:pt>
                <c:pt idx="2">
                  <c:v>20179.587954723233</c:v>
                </c:pt>
                <c:pt idx="3">
                  <c:v>19209.032416339858</c:v>
                </c:pt>
                <c:pt idx="4">
                  <c:v>18280.913076243109</c:v>
                </c:pt>
                <c:pt idx="5">
                  <c:v>17541.903221319928</c:v>
                </c:pt>
                <c:pt idx="6">
                  <c:v>16801.90036213856</c:v>
                </c:pt>
                <c:pt idx="7">
                  <c:v>16093.972614128335</c:v>
                </c:pt>
                <c:pt idx="8">
                  <c:v>15346.360785926596</c:v>
                </c:pt>
                <c:pt idx="9">
                  <c:v>14658.037410243078</c:v>
                </c:pt>
                <c:pt idx="10">
                  <c:v>13793.454603809812</c:v>
                </c:pt>
                <c:pt idx="11">
                  <c:v>12894.006769869315</c:v>
                </c:pt>
                <c:pt idx="12">
                  <c:v>11861.100548142122</c:v>
                </c:pt>
                <c:pt idx="13">
                  <c:v>10703.251317478494</c:v>
                </c:pt>
                <c:pt idx="14">
                  <c:v>9258.3488549551894</c:v>
                </c:pt>
                <c:pt idx="15">
                  <c:v>7507.9903250749585</c:v>
                </c:pt>
                <c:pt idx="16">
                  <c:v>5618.0663530555021</c:v>
                </c:pt>
                <c:pt idx="17">
                  <c:v>4063.3507495512199</c:v>
                </c:pt>
                <c:pt idx="18">
                  <c:v>2911.3364947674963</c:v>
                </c:pt>
                <c:pt idx="19">
                  <c:v>2266.4615367878437</c:v>
                </c:pt>
                <c:pt idx="20">
                  <c:v>1907.9197585642019</c:v>
                </c:pt>
                <c:pt idx="21">
                  <c:v>1749.8634231598223</c:v>
                </c:pt>
                <c:pt idx="22">
                  <c:v>1640.5169822099524</c:v>
                </c:pt>
                <c:pt idx="23">
                  <c:v>1587.5828882695905</c:v>
                </c:pt>
                <c:pt idx="24">
                  <c:v>1552.8432560017393</c:v>
                </c:pt>
                <c:pt idx="25">
                  <c:v>1475.5340020790695</c:v>
                </c:pt>
                <c:pt idx="26">
                  <c:v>1446.2769278168969</c:v>
                </c:pt>
                <c:pt idx="27">
                  <c:v>1443.4139660116425</c:v>
                </c:pt>
                <c:pt idx="28">
                  <c:v>1442.5759559518087</c:v>
                </c:pt>
                <c:pt idx="29">
                  <c:v>1442.004197962621</c:v>
                </c:pt>
                <c:pt idx="30">
                  <c:v>1441.4141937044049</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81299392"/>
        <c:axId val="48130605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8129939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1306056"/>
        <c:crosses val="autoZero"/>
        <c:crossBetween val="midCat"/>
      </c:valAx>
      <c:valAx>
        <c:axId val="48130605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129939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32878.229128228493</c:v>
                </c:pt>
                <c:pt idx="1">
                  <c:v>32917.621395250077</c:v>
                </c:pt>
                <c:pt idx="2">
                  <c:v>33027.932534087544</c:v>
                </c:pt>
                <c:pt idx="3">
                  <c:v>33126.431322112228</c:v>
                </c:pt>
                <c:pt idx="4">
                  <c:v>33232.994377679985</c:v>
                </c:pt>
                <c:pt idx="5">
                  <c:v>33369.04393074676</c:v>
                </c:pt>
                <c:pt idx="6">
                  <c:v>33536.478154290198</c:v>
                </c:pt>
                <c:pt idx="7">
                  <c:v>33763.382357764502</c:v>
                </c:pt>
                <c:pt idx="8">
                  <c:v>34045.918294192881</c:v>
                </c:pt>
                <c:pt idx="9">
                  <c:v>34429.394077487086</c:v>
                </c:pt>
                <c:pt idx="10">
                  <c:v>34848.57319188078</c:v>
                </c:pt>
                <c:pt idx="11">
                  <c:v>35387.277658954059</c:v>
                </c:pt>
                <c:pt idx="12">
                  <c:v>36211.574088156383</c:v>
                </c:pt>
                <c:pt idx="13">
                  <c:v>37421.710840644082</c:v>
                </c:pt>
                <c:pt idx="14">
                  <c:v>38951.098987451682</c:v>
                </c:pt>
                <c:pt idx="15">
                  <c:v>40568.71496485774</c:v>
                </c:pt>
                <c:pt idx="16">
                  <c:v>42732.071838619653</c:v>
                </c:pt>
                <c:pt idx="17">
                  <c:v>45521.775796670132</c:v>
                </c:pt>
                <c:pt idx="18">
                  <c:v>49555.852135531619</c:v>
                </c:pt>
                <c:pt idx="19">
                  <c:v>54063.455668120841</c:v>
                </c:pt>
                <c:pt idx="20">
                  <c:v>55616.680936317942</c:v>
                </c:pt>
                <c:pt idx="21">
                  <c:v>47250.76168227828</c:v>
                </c:pt>
                <c:pt idx="22">
                  <c:v>38372.055671055496</c:v>
                </c:pt>
                <c:pt idx="23">
                  <c:v>32616.615817362534</c:v>
                </c:pt>
                <c:pt idx="24">
                  <c:v>29588.562583402756</c:v>
                </c:pt>
                <c:pt idx="25">
                  <c:v>28444.801602791398</c:v>
                </c:pt>
                <c:pt idx="26">
                  <c:v>30608.703926029837</c:v>
                </c:pt>
                <c:pt idx="27">
                  <c:v>42229.006211524982</c:v>
                </c:pt>
                <c:pt idx="28">
                  <c:v>266342.79382938251</c:v>
                </c:pt>
                <c:pt idx="29">
                  <c:v>-63610.38746722733</c:v>
                </c:pt>
                <c:pt idx="30">
                  <c:v>-31064.324097111163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32845.136364466423</c:v>
                </c:pt>
                <c:pt idx="1">
                  <c:v>32978.697382158534</c:v>
                </c:pt>
                <c:pt idx="2">
                  <c:v>33070.809686995737</c:v>
                </c:pt>
                <c:pt idx="3">
                  <c:v>33179.420636882976</c:v>
                </c:pt>
                <c:pt idx="4">
                  <c:v>33315.643678415632</c:v>
                </c:pt>
                <c:pt idx="5">
                  <c:v>33492.716559024913</c:v>
                </c:pt>
                <c:pt idx="6">
                  <c:v>33723.038695529671</c:v>
                </c:pt>
                <c:pt idx="7">
                  <c:v>34026.110781900396</c:v>
                </c:pt>
                <c:pt idx="8">
                  <c:v>34401.191531464567</c:v>
                </c:pt>
                <c:pt idx="9">
                  <c:v>34828.548806220606</c:v>
                </c:pt>
                <c:pt idx="10">
                  <c:v>35428.816220000408</c:v>
                </c:pt>
                <c:pt idx="11">
                  <c:v>36343.440361027038</c:v>
                </c:pt>
                <c:pt idx="12">
                  <c:v>37619.06245170653</c:v>
                </c:pt>
                <c:pt idx="13">
                  <c:v>39089.155663069367</c:v>
                </c:pt>
                <c:pt idx="14">
                  <c:v>40779.668105699609</c:v>
                </c:pt>
                <c:pt idx="15">
                  <c:v>43006.671612679616</c:v>
                </c:pt>
                <c:pt idx="16">
                  <c:v>46027.517511892336</c:v>
                </c:pt>
                <c:pt idx="17">
                  <c:v>49809.634691869775</c:v>
                </c:pt>
                <c:pt idx="18">
                  <c:v>52072.08204417731</c:v>
                </c:pt>
                <c:pt idx="19">
                  <c:v>47000.747983332156</c:v>
                </c:pt>
                <c:pt idx="20">
                  <c:v>38796.5530925286</c:v>
                </c:pt>
                <c:pt idx="21">
                  <c:v>32906.823295623995</c:v>
                </c:pt>
                <c:pt idx="22">
                  <c:v>29413.630864815354</c:v>
                </c:pt>
                <c:pt idx="23">
                  <c:v>27574.064528195548</c:v>
                </c:pt>
                <c:pt idx="24">
                  <c:v>27347.875683433191</c:v>
                </c:pt>
                <c:pt idx="25">
                  <c:v>31039.620656814455</c:v>
                </c:pt>
                <c:pt idx="26">
                  <c:v>51039.931309002168</c:v>
                </c:pt>
                <c:pt idx="27">
                  <c:v>-469113.5630113699</c:v>
                </c:pt>
                <c:pt idx="28">
                  <c:v>-49053.038106922882</c:v>
                </c:pt>
                <c:pt idx="29">
                  <c:v>-30167.862606934468</c:v>
                </c:pt>
                <c:pt idx="30">
                  <c:v>-25394.116691045081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32914.930027937065</c:v>
                </c:pt>
                <c:pt idx="1">
                  <c:v>33025.817678199324</c:v>
                </c:pt>
                <c:pt idx="2">
                  <c:v>33131.419105957953</c:v>
                </c:pt>
                <c:pt idx="3">
                  <c:v>33262.142844177419</c:v>
                </c:pt>
                <c:pt idx="4">
                  <c:v>33435.111723998991</c:v>
                </c:pt>
                <c:pt idx="5">
                  <c:v>33658.398452236819</c:v>
                </c:pt>
                <c:pt idx="6">
                  <c:v>33957.432127339969</c:v>
                </c:pt>
                <c:pt idx="7">
                  <c:v>34318.754197061076</c:v>
                </c:pt>
                <c:pt idx="8">
                  <c:v>34738.607265315688</c:v>
                </c:pt>
                <c:pt idx="9">
                  <c:v>35340.11895928318</c:v>
                </c:pt>
                <c:pt idx="10">
                  <c:v>36253.02790468061</c:v>
                </c:pt>
                <c:pt idx="11">
                  <c:v>37508.414208976021</c:v>
                </c:pt>
                <c:pt idx="12">
                  <c:v>38923.741206765451</c:v>
                </c:pt>
                <c:pt idx="13">
                  <c:v>40597.279235301292</c:v>
                </c:pt>
                <c:pt idx="14">
                  <c:v>42778.705220106953</c:v>
                </c:pt>
                <c:pt idx="15">
                  <c:v>45789.281754821095</c:v>
                </c:pt>
                <c:pt idx="16">
                  <c:v>49598.914832427879</c:v>
                </c:pt>
                <c:pt idx="17">
                  <c:v>52967.151739842295</c:v>
                </c:pt>
                <c:pt idx="18">
                  <c:v>49016.600942407204</c:v>
                </c:pt>
                <c:pt idx="19">
                  <c:v>40472.370380006629</c:v>
                </c:pt>
                <c:pt idx="20">
                  <c:v>33956.107753013719</c:v>
                </c:pt>
                <c:pt idx="21">
                  <c:v>30122.242082820478</c:v>
                </c:pt>
                <c:pt idx="22">
                  <c:v>28176.964864290905</c:v>
                </c:pt>
                <c:pt idx="23">
                  <c:v>28221.950968956324</c:v>
                </c:pt>
                <c:pt idx="24">
                  <c:v>32946.866588253128</c:v>
                </c:pt>
                <c:pt idx="25">
                  <c:v>60583.96712817868</c:v>
                </c:pt>
                <c:pt idx="26">
                  <c:v>-192085.0003567205</c:v>
                </c:pt>
                <c:pt idx="27">
                  <c:v>-43136.991005074786</c:v>
                </c:pt>
                <c:pt idx="28">
                  <c:v>-29067.25664892737</c:v>
                </c:pt>
                <c:pt idx="29">
                  <c:v>-24590.860771464442</c:v>
                </c:pt>
                <c:pt idx="30">
                  <c:v>-21808.361824400279</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32940.622758096513</c:v>
                </c:pt>
                <c:pt idx="1">
                  <c:v>33063.028902188402</c:v>
                </c:pt>
                <c:pt idx="2">
                  <c:v>33186.791838901372</c:v>
                </c:pt>
                <c:pt idx="3">
                  <c:v>33348.219978731839</c:v>
                </c:pt>
                <c:pt idx="4">
                  <c:v>33558.485844186886</c:v>
                </c:pt>
                <c:pt idx="5">
                  <c:v>33839.457530678323</c:v>
                </c:pt>
                <c:pt idx="6">
                  <c:v>34184.055314255194</c:v>
                </c:pt>
                <c:pt idx="7">
                  <c:v>34582.004544510135</c:v>
                </c:pt>
                <c:pt idx="8">
                  <c:v>35148.296991701412</c:v>
                </c:pt>
                <c:pt idx="9">
                  <c:v>36010.404414126533</c:v>
                </c:pt>
                <c:pt idx="10">
                  <c:v>37203.892360508056</c:v>
                </c:pt>
                <c:pt idx="11">
                  <c:v>38561.662334649511</c:v>
                </c:pt>
                <c:pt idx="12">
                  <c:v>40144.606838172716</c:v>
                </c:pt>
                <c:pt idx="13">
                  <c:v>42213.057405633284</c:v>
                </c:pt>
                <c:pt idx="14">
                  <c:v>45047.052160805426</c:v>
                </c:pt>
                <c:pt idx="15">
                  <c:v>48772.670582415376</c:v>
                </c:pt>
                <c:pt idx="16">
                  <c:v>53173.436252798107</c:v>
                </c:pt>
                <c:pt idx="17">
                  <c:v>52041.72318769533</c:v>
                </c:pt>
                <c:pt idx="18">
                  <c:v>43516.198345340119</c:v>
                </c:pt>
                <c:pt idx="19">
                  <c:v>35940.774942666772</c:v>
                </c:pt>
                <c:pt idx="20">
                  <c:v>31361.636224374335</c:v>
                </c:pt>
                <c:pt idx="21">
                  <c:v>29062.27497495657</c:v>
                </c:pt>
                <c:pt idx="22">
                  <c:v>29036.575549063033</c:v>
                </c:pt>
                <c:pt idx="23">
                  <c:v>34066.30392866247</c:v>
                </c:pt>
                <c:pt idx="24">
                  <c:v>63544.420636467767</c:v>
                </c:pt>
                <c:pt idx="25">
                  <c:v>-164849.55358741846</c:v>
                </c:pt>
                <c:pt idx="26">
                  <c:v>-42104.857938209301</c:v>
                </c:pt>
                <c:pt idx="27">
                  <c:v>-28492.115824520955</c:v>
                </c:pt>
                <c:pt idx="28">
                  <c:v>-24494.572002844325</c:v>
                </c:pt>
                <c:pt idx="29">
                  <c:v>-21714.596986386121</c:v>
                </c:pt>
                <c:pt idx="30">
                  <c:v>-20553.584368940563</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32980.582446509005</c:v>
                </c:pt>
                <c:pt idx="1">
                  <c:v>33133.758293663705</c:v>
                </c:pt>
                <c:pt idx="2">
                  <c:v>33298.683674492604</c:v>
                </c:pt>
                <c:pt idx="3">
                  <c:v>33506.339006837261</c:v>
                </c:pt>
                <c:pt idx="4">
                  <c:v>33792.339508352357</c:v>
                </c:pt>
                <c:pt idx="5">
                  <c:v>34123.407204660194</c:v>
                </c:pt>
                <c:pt idx="6">
                  <c:v>34524.750922170912</c:v>
                </c:pt>
                <c:pt idx="7">
                  <c:v>35121.061596903281</c:v>
                </c:pt>
                <c:pt idx="8">
                  <c:v>36018.391196364231</c:v>
                </c:pt>
                <c:pt idx="9">
                  <c:v>37216.102016523655</c:v>
                </c:pt>
                <c:pt idx="10">
                  <c:v>38513.469855000949</c:v>
                </c:pt>
                <c:pt idx="11">
                  <c:v>40131.860911409232</c:v>
                </c:pt>
                <c:pt idx="12">
                  <c:v>42202.398991753347</c:v>
                </c:pt>
                <c:pt idx="13">
                  <c:v>45141.120687391449</c:v>
                </c:pt>
                <c:pt idx="14">
                  <c:v>48935.430677929115</c:v>
                </c:pt>
                <c:pt idx="15">
                  <c:v>54828.632326397623</c:v>
                </c:pt>
                <c:pt idx="16">
                  <c:v>56926.730743394786</c:v>
                </c:pt>
                <c:pt idx="17">
                  <c:v>48788.518361001385</c:v>
                </c:pt>
                <c:pt idx="18">
                  <c:v>39424.36373864171</c:v>
                </c:pt>
                <c:pt idx="19">
                  <c:v>33786.14490047373</c:v>
                </c:pt>
                <c:pt idx="20">
                  <c:v>31209.015874510449</c:v>
                </c:pt>
                <c:pt idx="21">
                  <c:v>32327.943526223095</c:v>
                </c:pt>
                <c:pt idx="22">
                  <c:v>41843.0050450708</c:v>
                </c:pt>
                <c:pt idx="23">
                  <c:v>141567.54915832213</c:v>
                </c:pt>
                <c:pt idx="24">
                  <c:v>-71523.040227827194</c:v>
                </c:pt>
                <c:pt idx="25">
                  <c:v>-32457.590448640276</c:v>
                </c:pt>
                <c:pt idx="26">
                  <c:v>-26179.224466654621</c:v>
                </c:pt>
                <c:pt idx="27">
                  <c:v>-22743.458981196909</c:v>
                </c:pt>
                <c:pt idx="28">
                  <c:v>-20171.073758124621</c:v>
                </c:pt>
                <c:pt idx="29">
                  <c:v>-20359.75098279411</c:v>
                </c:pt>
                <c:pt idx="30">
                  <c:v>-17392.012991336898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33227.321090717371</c:v>
                </c:pt>
                <c:pt idx="1">
                  <c:v>33498.180752086977</c:v>
                </c:pt>
                <c:pt idx="2">
                  <c:v>33793.796011339487</c:v>
                </c:pt>
                <c:pt idx="3">
                  <c:v>34125.219783478031</c:v>
                </c:pt>
                <c:pt idx="4">
                  <c:v>34587.007609971733</c:v>
                </c:pt>
                <c:pt idx="5">
                  <c:v>35299.121223334449</c:v>
                </c:pt>
                <c:pt idx="6">
                  <c:v>36308.978619094836</c:v>
                </c:pt>
                <c:pt idx="7">
                  <c:v>37495.949366155641</c:v>
                </c:pt>
                <c:pt idx="8">
                  <c:v>38820.179758727929</c:v>
                </c:pt>
                <c:pt idx="9">
                  <c:v>40566.356405900551</c:v>
                </c:pt>
                <c:pt idx="10">
                  <c:v>42888.725764683921</c:v>
                </c:pt>
                <c:pt idx="11">
                  <c:v>46092.228442039224</c:v>
                </c:pt>
                <c:pt idx="12">
                  <c:v>50930.507650562598</c:v>
                </c:pt>
                <c:pt idx="13">
                  <c:v>60352.173902547278</c:v>
                </c:pt>
                <c:pt idx="14">
                  <c:v>78389.055633608659</c:v>
                </c:pt>
                <c:pt idx="15">
                  <c:v>99064.323314250432</c:v>
                </c:pt>
                <c:pt idx="16">
                  <c:v>85015.362275963344</c:v>
                </c:pt>
                <c:pt idx="17">
                  <c:v>65511.382789934971</c:v>
                </c:pt>
                <c:pt idx="18">
                  <c:v>63327.291909685009</c:v>
                </c:pt>
                <c:pt idx="19">
                  <c:v>113713.19388197045</c:v>
                </c:pt>
                <c:pt idx="20">
                  <c:v>-146920.54536906688</c:v>
                </c:pt>
                <c:pt idx="21">
                  <c:v>-33019.011214577105</c:v>
                </c:pt>
                <c:pt idx="22">
                  <c:v>-22836.395106695516</c:v>
                </c:pt>
                <c:pt idx="23">
                  <c:v>-19672.912535355055</c:v>
                </c:pt>
                <c:pt idx="24">
                  <c:v>-20109.949713634411</c:v>
                </c:pt>
                <c:pt idx="25">
                  <c:v>-19267.218149499204</c:v>
                </c:pt>
                <c:pt idx="26">
                  <c:v>-13467.640338584128</c:v>
                </c:pt>
                <c:pt idx="27">
                  <c:v>-17869.104216700292</c:v>
                </c:pt>
                <c:pt idx="28">
                  <c:v>-15903.286209624497</c:v>
                </c:pt>
                <c:pt idx="29">
                  <c:v>-14418.672097974508</c:v>
                </c:pt>
                <c:pt idx="30">
                  <c:v>-14753.048717517431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33712.602032634866</c:v>
                </c:pt>
                <c:pt idx="1">
                  <c:v>34147.721364506273</c:v>
                </c:pt>
                <c:pt idx="2">
                  <c:v>34696.879043487541</c:v>
                </c:pt>
                <c:pt idx="3">
                  <c:v>35511.075397115274</c:v>
                </c:pt>
                <c:pt idx="4">
                  <c:v>36572.854369380897</c:v>
                </c:pt>
                <c:pt idx="5">
                  <c:v>37698.306014771195</c:v>
                </c:pt>
                <c:pt idx="6">
                  <c:v>39152.486922342272</c:v>
                </c:pt>
                <c:pt idx="7">
                  <c:v>40993.203959250131</c:v>
                </c:pt>
                <c:pt idx="8">
                  <c:v>43625.906110069838</c:v>
                </c:pt>
                <c:pt idx="9">
                  <c:v>47031.385656153085</c:v>
                </c:pt>
                <c:pt idx="10">
                  <c:v>53502.634011104579</c:v>
                </c:pt>
                <c:pt idx="11">
                  <c:v>65721.627222423907</c:v>
                </c:pt>
                <c:pt idx="12">
                  <c:v>100706.41232255145</c:v>
                </c:pt>
                <c:pt idx="13">
                  <c:v>501369.45485383167</c:v>
                </c:pt>
                <c:pt idx="14">
                  <c:v>-118375.41579364783</c:v>
                </c:pt>
                <c:pt idx="15">
                  <c:v>-62217.37756242256</c:v>
                </c:pt>
                <c:pt idx="16">
                  <c:v>-38486.588578477997</c:v>
                </c:pt>
                <c:pt idx="17">
                  <c:v>-23364.529653326481</c:v>
                </c:pt>
                <c:pt idx="18">
                  <c:v>-14203.42024852575</c:v>
                </c:pt>
                <c:pt idx="19">
                  <c:v>-11570.811747984026</c:v>
                </c:pt>
                <c:pt idx="20">
                  <c:v>-11188.999333902882</c:v>
                </c:pt>
                <c:pt idx="21">
                  <c:v>-13243.083610397513</c:v>
                </c:pt>
                <c:pt idx="22">
                  <c:v>-14434.120611511818</c:v>
                </c:pt>
                <c:pt idx="23">
                  <c:v>-14688.114671370091</c:v>
                </c:pt>
                <c:pt idx="24">
                  <c:v>-16576.443453015301</c:v>
                </c:pt>
                <c:pt idx="25">
                  <c:v>-14395.721098121998</c:v>
                </c:pt>
                <c:pt idx="26">
                  <c:v>-15556.924564917272</c:v>
                </c:pt>
                <c:pt idx="27">
                  <c:v>-15548.838457342066</c:v>
                </c:pt>
                <c:pt idx="28">
                  <c:v>-15639.676160397003</c:v>
                </c:pt>
                <c:pt idx="29">
                  <c:v>-15554.269735924026</c:v>
                </c:pt>
                <c:pt idx="30">
                  <c:v>-15488.953057408791</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81300568"/>
        <c:axId val="4812990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813005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1299000"/>
        <c:crosses val="autoZero"/>
        <c:crossBetween val="midCat"/>
        <c:majorUnit val="10000"/>
      </c:valAx>
      <c:valAx>
        <c:axId val="48129900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130056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0.35918667302442542</c:v>
                </c:pt>
                <c:pt idx="1">
                  <c:v>0.36043716445192803</c:v>
                </c:pt>
                <c:pt idx="2">
                  <c:v>0.36479927706444065</c:v>
                </c:pt>
                <c:pt idx="3">
                  <c:v>0.36782979555738898</c:v>
                </c:pt>
                <c:pt idx="4">
                  <c:v>0.37070936236282398</c:v>
                </c:pt>
                <c:pt idx="5">
                  <c:v>0.37393080112300153</c:v>
                </c:pt>
                <c:pt idx="6">
                  <c:v>0.37738349384252629</c:v>
                </c:pt>
                <c:pt idx="7">
                  <c:v>0.38142777238272035</c:v>
                </c:pt>
                <c:pt idx="8">
                  <c:v>0.38573236010641054</c:v>
                </c:pt>
                <c:pt idx="9">
                  <c:v>0.39068337123814695</c:v>
                </c:pt>
                <c:pt idx="10">
                  <c:v>0.39525261358655128</c:v>
                </c:pt>
                <c:pt idx="11">
                  <c:v>0.40026364603437042</c:v>
                </c:pt>
                <c:pt idx="12">
                  <c:v>0.40661691191299681</c:v>
                </c:pt>
                <c:pt idx="13">
                  <c:v>0.41402304562656794</c:v>
                </c:pt>
                <c:pt idx="14">
                  <c:v>0.4213196458490584</c:v>
                </c:pt>
                <c:pt idx="15">
                  <c:v>0.42745693055183126</c:v>
                </c:pt>
                <c:pt idx="16">
                  <c:v>0.43404531260010282</c:v>
                </c:pt>
                <c:pt idx="17">
                  <c:v>0.44070882455468396</c:v>
                </c:pt>
                <c:pt idx="18">
                  <c:v>0.44807624733449902</c:v>
                </c:pt>
                <c:pt idx="19">
                  <c:v>0.45464973276866461</c:v>
                </c:pt>
                <c:pt idx="20">
                  <c:v>0.45902632568126489</c:v>
                </c:pt>
                <c:pt idx="21">
                  <c:v>0.45611858391200993</c:v>
                </c:pt>
                <c:pt idx="22">
                  <c:v>0.45197586086514591</c:v>
                </c:pt>
                <c:pt idx="23">
                  <c:v>0.45058299867671792</c:v>
                </c:pt>
                <c:pt idx="24">
                  <c:v>0.45391004231126064</c:v>
                </c:pt>
                <c:pt idx="25">
                  <c:v>0.46122257321038468</c:v>
                </c:pt>
                <c:pt idx="26">
                  <c:v>0.47286559086354235</c:v>
                </c:pt>
                <c:pt idx="27">
                  <c:v>0.48557251723586398</c:v>
                </c:pt>
                <c:pt idx="28">
                  <c:v>0.49833434507506391</c:v>
                </c:pt>
                <c:pt idx="29">
                  <c:v>0.50559271430588337</c:v>
                </c:pt>
                <c:pt idx="30">
                  <c:v>0.50983684034542798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0.36097437866471271</c:v>
                </c:pt>
                <c:pt idx="1">
                  <c:v>0.3659566109567951</c:v>
                </c:pt>
                <c:pt idx="2">
                  <c:v>0.36886885092708488</c:v>
                </c:pt>
                <c:pt idx="3">
                  <c:v>0.37185836999179678</c:v>
                </c:pt>
                <c:pt idx="4">
                  <c:v>0.37511400854522908</c:v>
                </c:pt>
                <c:pt idx="5">
                  <c:v>0.37877846666963633</c:v>
                </c:pt>
                <c:pt idx="6">
                  <c:v>0.38285604672818085</c:v>
                </c:pt>
                <c:pt idx="7">
                  <c:v>0.38742078388013651</c:v>
                </c:pt>
                <c:pt idx="8">
                  <c:v>0.39216940684317697</c:v>
                </c:pt>
                <c:pt idx="9">
                  <c:v>0.39676538934984368</c:v>
                </c:pt>
                <c:pt idx="10">
                  <c:v>0.40221594385387111</c:v>
                </c:pt>
                <c:pt idx="11">
                  <c:v>0.40896594559151084</c:v>
                </c:pt>
                <c:pt idx="12">
                  <c:v>0.41636047034146129</c:v>
                </c:pt>
                <c:pt idx="13">
                  <c:v>0.42304896301488693</c:v>
                </c:pt>
                <c:pt idx="14">
                  <c:v>0.42922859416298381</c:v>
                </c:pt>
                <c:pt idx="15">
                  <c:v>0.43572199258886246</c:v>
                </c:pt>
                <c:pt idx="16">
                  <c:v>0.44260824721679903</c:v>
                </c:pt>
                <c:pt idx="17">
                  <c:v>0.44941105180517749</c:v>
                </c:pt>
                <c:pt idx="18">
                  <c:v>0.45440146163846229</c:v>
                </c:pt>
                <c:pt idx="19">
                  <c:v>0.45365170553388434</c:v>
                </c:pt>
                <c:pt idx="20">
                  <c:v>0.44944914063841662</c:v>
                </c:pt>
                <c:pt idx="21">
                  <c:v>0.44725885789142183</c:v>
                </c:pt>
                <c:pt idx="22">
                  <c:v>0.4488808671722867</c:v>
                </c:pt>
                <c:pt idx="23">
                  <c:v>0.45450968496253596</c:v>
                </c:pt>
                <c:pt idx="24">
                  <c:v>0.46385924245415805</c:v>
                </c:pt>
                <c:pt idx="25">
                  <c:v>0.47640147021424106</c:v>
                </c:pt>
                <c:pt idx="26">
                  <c:v>0.48953970514477341</c:v>
                </c:pt>
                <c:pt idx="27">
                  <c:v>0.50085273791907747</c:v>
                </c:pt>
                <c:pt idx="28">
                  <c:v>0.50676640203371748</c:v>
                </c:pt>
                <c:pt idx="29">
                  <c:v>0.50979522638833097</c:v>
                </c:pt>
                <c:pt idx="30">
                  <c:v>0.51094623311999854</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0.36545239845719868</c:v>
                </c:pt>
                <c:pt idx="1">
                  <c:v>0.36905797605880936</c:v>
                </c:pt>
                <c:pt idx="2">
                  <c:v>0.37211216320458834</c:v>
                </c:pt>
                <c:pt idx="3">
                  <c:v>0.37536169188151419</c:v>
                </c:pt>
                <c:pt idx="4">
                  <c:v>0.37905983522157827</c:v>
                </c:pt>
                <c:pt idx="5">
                  <c:v>0.38311924852056162</c:v>
                </c:pt>
                <c:pt idx="6">
                  <c:v>0.38772336542910996</c:v>
                </c:pt>
                <c:pt idx="7">
                  <c:v>0.39238278847301405</c:v>
                </c:pt>
                <c:pt idx="8">
                  <c:v>0.39697961196974679</c:v>
                </c:pt>
                <c:pt idx="9">
                  <c:v>0.40251787010917695</c:v>
                </c:pt>
                <c:pt idx="10">
                  <c:v>0.4093140825720053</c:v>
                </c:pt>
                <c:pt idx="11">
                  <c:v>0.41663750617698336</c:v>
                </c:pt>
                <c:pt idx="12">
                  <c:v>0.42313240927150236</c:v>
                </c:pt>
                <c:pt idx="13">
                  <c:v>0.4293171833558862</c:v>
                </c:pt>
                <c:pt idx="14">
                  <c:v>0.43574343266615878</c:v>
                </c:pt>
                <c:pt idx="15">
                  <c:v>0.44266577184675554</c:v>
                </c:pt>
                <c:pt idx="16">
                  <c:v>0.44948016721315892</c:v>
                </c:pt>
                <c:pt idx="17">
                  <c:v>0.45543505201111745</c:v>
                </c:pt>
                <c:pt idx="18">
                  <c:v>0.4557357286050982</c:v>
                </c:pt>
                <c:pt idx="19">
                  <c:v>0.45179784325227995</c:v>
                </c:pt>
                <c:pt idx="20">
                  <c:v>0.44927597895597277</c:v>
                </c:pt>
                <c:pt idx="21">
                  <c:v>0.45067991204890967</c:v>
                </c:pt>
                <c:pt idx="22">
                  <c:v>0.45622970475983404</c:v>
                </c:pt>
                <c:pt idx="23">
                  <c:v>0.46582306134179358</c:v>
                </c:pt>
                <c:pt idx="24">
                  <c:v>0.47834590370484276</c:v>
                </c:pt>
                <c:pt idx="25">
                  <c:v>0.49143015393576134</c:v>
                </c:pt>
                <c:pt idx="26">
                  <c:v>0.50204461328205197</c:v>
                </c:pt>
                <c:pt idx="27">
                  <c:v>0.5075886570234055</c:v>
                </c:pt>
                <c:pt idx="28">
                  <c:v>0.51010993249331416</c:v>
                </c:pt>
                <c:pt idx="29">
                  <c:v>0.51124057141397672</c:v>
                </c:pt>
                <c:pt idx="30">
                  <c:v>0.51214101472586804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0.36817847349590693</c:v>
                </c:pt>
                <c:pt idx="1">
                  <c:v>0.37185876179580335</c:v>
                </c:pt>
                <c:pt idx="2">
                  <c:v>0.3751344998631097</c:v>
                </c:pt>
                <c:pt idx="3">
                  <c:v>0.37878089764926726</c:v>
                </c:pt>
                <c:pt idx="4">
                  <c:v>0.38280144821818979</c:v>
                </c:pt>
                <c:pt idx="5">
                  <c:v>0.38733544019038313</c:v>
                </c:pt>
                <c:pt idx="6">
                  <c:v>0.39197927838718466</c:v>
                </c:pt>
                <c:pt idx="7">
                  <c:v>0.39652056197751084</c:v>
                </c:pt>
                <c:pt idx="8">
                  <c:v>0.40195329574718602</c:v>
                </c:pt>
                <c:pt idx="9">
                  <c:v>0.40864505157044401</c:v>
                </c:pt>
                <c:pt idx="10">
                  <c:v>0.41590602867785276</c:v>
                </c:pt>
                <c:pt idx="11">
                  <c:v>0.42239884737773664</c:v>
                </c:pt>
                <c:pt idx="12">
                  <c:v>0.42849750549783489</c:v>
                </c:pt>
                <c:pt idx="13">
                  <c:v>0.43486516213373472</c:v>
                </c:pt>
                <c:pt idx="14">
                  <c:v>0.44169083752934107</c:v>
                </c:pt>
                <c:pt idx="15">
                  <c:v>0.44859117401119813</c:v>
                </c:pt>
                <c:pt idx="16">
                  <c:v>0.45544880705730789</c:v>
                </c:pt>
                <c:pt idx="17">
                  <c:v>0.45796272104585001</c:v>
                </c:pt>
                <c:pt idx="18">
                  <c:v>0.45468628063821065</c:v>
                </c:pt>
                <c:pt idx="19">
                  <c:v>0.45156742030316488</c:v>
                </c:pt>
                <c:pt idx="20">
                  <c:v>0.45211613296523251</c:v>
                </c:pt>
                <c:pt idx="21">
                  <c:v>0.45707301315887733</c:v>
                </c:pt>
                <c:pt idx="22">
                  <c:v>0.46632160130204697</c:v>
                </c:pt>
                <c:pt idx="23">
                  <c:v>0.47876596477104505</c:v>
                </c:pt>
                <c:pt idx="24">
                  <c:v>0.49171466047854784</c:v>
                </c:pt>
                <c:pt idx="25">
                  <c:v>0.50240444459876499</c:v>
                </c:pt>
                <c:pt idx="26">
                  <c:v>0.50782834429865453</c:v>
                </c:pt>
                <c:pt idx="27">
                  <c:v>0.51034443034770449</c:v>
                </c:pt>
                <c:pt idx="28">
                  <c:v>0.5113163988089241</c:v>
                </c:pt>
                <c:pt idx="29">
                  <c:v>0.51220909233823575</c:v>
                </c:pt>
                <c:pt idx="30">
                  <c:v>0.51264241543273503</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0.3716299195494005</c:v>
                </c:pt>
                <c:pt idx="1">
                  <c:v>0.37577445651790431</c:v>
                </c:pt>
                <c:pt idx="2">
                  <c:v>0.37959892999797451</c:v>
                </c:pt>
                <c:pt idx="3">
                  <c:v>0.38363343736803218</c:v>
                </c:pt>
                <c:pt idx="4">
                  <c:v>0.38828927677570391</c:v>
                </c:pt>
                <c:pt idx="5">
                  <c:v>0.39277062991209288</c:v>
                </c:pt>
                <c:pt idx="6">
                  <c:v>0.39737282903186527</c:v>
                </c:pt>
                <c:pt idx="7">
                  <c:v>0.40307057821680203</c:v>
                </c:pt>
                <c:pt idx="8">
                  <c:v>0.40992917823944497</c:v>
                </c:pt>
                <c:pt idx="9">
                  <c:v>0.41707084936114919</c:v>
                </c:pt>
                <c:pt idx="10">
                  <c:v>0.42318615199857185</c:v>
                </c:pt>
                <c:pt idx="11">
                  <c:v>0.42935574580112512</c:v>
                </c:pt>
                <c:pt idx="12">
                  <c:v>0.43564310571479736</c:v>
                </c:pt>
                <c:pt idx="13">
                  <c:v>0.44259302540005935</c:v>
                </c:pt>
                <c:pt idx="14">
                  <c:v>0.4494153631027461</c:v>
                </c:pt>
                <c:pt idx="15">
                  <c:v>0.45747459138001917</c:v>
                </c:pt>
                <c:pt idx="16">
                  <c:v>0.4620685647147838</c:v>
                </c:pt>
                <c:pt idx="17">
                  <c:v>0.460190438785129</c:v>
                </c:pt>
                <c:pt idx="18">
                  <c:v>0.45673608875691496</c:v>
                </c:pt>
                <c:pt idx="19">
                  <c:v>0.45691949322405223</c:v>
                </c:pt>
                <c:pt idx="20">
                  <c:v>0.46174184346250108</c:v>
                </c:pt>
                <c:pt idx="21">
                  <c:v>0.47159269835206985</c:v>
                </c:pt>
                <c:pt idx="22">
                  <c:v>0.48383582494605387</c:v>
                </c:pt>
                <c:pt idx="23">
                  <c:v>0.49653332189140181</c:v>
                </c:pt>
                <c:pt idx="24">
                  <c:v>0.50529837687072454</c:v>
                </c:pt>
                <c:pt idx="25">
                  <c:v>0.50981945637048953</c:v>
                </c:pt>
                <c:pt idx="26">
                  <c:v>0.51110657855293817</c:v>
                </c:pt>
                <c:pt idx="27">
                  <c:v>0.51202354380176018</c:v>
                </c:pt>
                <c:pt idx="28">
                  <c:v>0.51307827073218382</c:v>
                </c:pt>
                <c:pt idx="29">
                  <c:v>0.51270569092452178</c:v>
                </c:pt>
                <c:pt idx="30">
                  <c:v>0.51418250033806812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0.38085536018859178</c:v>
                </c:pt>
                <c:pt idx="1">
                  <c:v>0.38609265844047785</c:v>
                </c:pt>
                <c:pt idx="2">
                  <c:v>0.39077334759859633</c:v>
                </c:pt>
                <c:pt idx="3">
                  <c:v>0.39514674107563202</c:v>
                </c:pt>
                <c:pt idx="4">
                  <c:v>0.40024421883332356</c:v>
                </c:pt>
                <c:pt idx="5">
                  <c:v>0.40660009383264306</c:v>
                </c:pt>
                <c:pt idx="6">
                  <c:v>0.41365429589604341</c:v>
                </c:pt>
                <c:pt idx="7">
                  <c:v>0.42014317648757582</c:v>
                </c:pt>
                <c:pt idx="8">
                  <c:v>0.42597248578719715</c:v>
                </c:pt>
                <c:pt idx="9">
                  <c:v>0.43215616262820034</c:v>
                </c:pt>
                <c:pt idx="10">
                  <c:v>0.43864868663660572</c:v>
                </c:pt>
                <c:pt idx="11">
                  <c:v>0.44552335422400691</c:v>
                </c:pt>
                <c:pt idx="12">
                  <c:v>0.4531691925939425</c:v>
                </c:pt>
                <c:pt idx="13">
                  <c:v>0.46296053736343123</c:v>
                </c:pt>
                <c:pt idx="14">
                  <c:v>0.47355017936542809</c:v>
                </c:pt>
                <c:pt idx="15">
                  <c:v>0.48111219613962503</c:v>
                </c:pt>
                <c:pt idx="16">
                  <c:v>0.48093212773372551</c:v>
                </c:pt>
                <c:pt idx="17">
                  <c:v>0.47956292037425102</c:v>
                </c:pt>
                <c:pt idx="18">
                  <c:v>0.48344366599604865</c:v>
                </c:pt>
                <c:pt idx="19">
                  <c:v>0.49321881043621607</c:v>
                </c:pt>
                <c:pt idx="20">
                  <c:v>0.50380438391430893</c:v>
                </c:pt>
                <c:pt idx="21">
                  <c:v>0.51251415551928003</c:v>
                </c:pt>
                <c:pt idx="22">
                  <c:v>0.5148750029625947</c:v>
                </c:pt>
                <c:pt idx="23">
                  <c:v>0.51520544186988637</c:v>
                </c:pt>
                <c:pt idx="24">
                  <c:v>0.5139557220760228</c:v>
                </c:pt>
                <c:pt idx="25">
                  <c:v>0.5138482570474211</c:v>
                </c:pt>
                <c:pt idx="26">
                  <c:v>0.51946392892960958</c:v>
                </c:pt>
                <c:pt idx="27">
                  <c:v>0.5141155471305201</c:v>
                </c:pt>
                <c:pt idx="28">
                  <c:v>0.51521146541492668</c:v>
                </c:pt>
                <c:pt idx="29">
                  <c:v>0.51667832647829848</c:v>
                </c:pt>
                <c:pt idx="30">
                  <c:v>0.5162885429521733</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0.39151321954894824</c:v>
                </c:pt>
                <c:pt idx="1">
                  <c:v>0.39725240216549768</c:v>
                </c:pt>
                <c:pt idx="2">
                  <c:v>0.40306722818195923</c:v>
                </c:pt>
                <c:pt idx="3">
                  <c:v>0.4098448760866481</c:v>
                </c:pt>
                <c:pt idx="4">
                  <c:v>0.41669179508746956</c:v>
                </c:pt>
                <c:pt idx="5">
                  <c:v>0.42244610312884906</c:v>
                </c:pt>
                <c:pt idx="6">
                  <c:v>0.42847665762388393</c:v>
                </c:pt>
                <c:pt idx="7">
                  <c:v>0.43456650103056604</c:v>
                </c:pt>
                <c:pt idx="8">
                  <c:v>0.44137137710787738</c:v>
                </c:pt>
                <c:pt idx="9">
                  <c:v>0.4480558312080925</c:v>
                </c:pt>
                <c:pt idx="10">
                  <c:v>0.45703185192419077</c:v>
                </c:pt>
                <c:pt idx="11">
                  <c:v>0.46730146195195965</c:v>
                </c:pt>
                <c:pt idx="12">
                  <c:v>0.48037016664812376</c:v>
                </c:pt>
                <c:pt idx="13">
                  <c:v>0.49644199461632577</c:v>
                </c:pt>
                <c:pt idx="14">
                  <c:v>0.51303529227033418</c:v>
                </c:pt>
                <c:pt idx="15">
                  <c:v>0.52011225432300434</c:v>
                </c:pt>
                <c:pt idx="16">
                  <c:v>0.52432910857418857</c:v>
                </c:pt>
                <c:pt idx="17">
                  <c:v>0.52898518116878868</c:v>
                </c:pt>
                <c:pt idx="18">
                  <c:v>0.53416238769519475</c:v>
                </c:pt>
                <c:pt idx="19">
                  <c:v>0.53264624796358429</c:v>
                </c:pt>
                <c:pt idx="20">
                  <c:v>0.52841957684847307</c:v>
                </c:pt>
                <c:pt idx="21">
                  <c:v>0.52202235615510217</c:v>
                </c:pt>
                <c:pt idx="22">
                  <c:v>0.51894258087444056</c:v>
                </c:pt>
                <c:pt idx="23">
                  <c:v>0.51801437107246184</c:v>
                </c:pt>
                <c:pt idx="24">
                  <c:v>0.51561295160009402</c:v>
                </c:pt>
                <c:pt idx="25">
                  <c:v>0.51708301598812767</c:v>
                </c:pt>
                <c:pt idx="26">
                  <c:v>0.51549446059407766</c:v>
                </c:pt>
                <c:pt idx="27">
                  <c:v>0.51547183058048163</c:v>
                </c:pt>
                <c:pt idx="28">
                  <c:v>0.51537303736510776</c:v>
                </c:pt>
                <c:pt idx="29">
                  <c:v>0.51545132218188916</c:v>
                </c:pt>
                <c:pt idx="30">
                  <c:v>0.51551013151504277</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81303312"/>
        <c:axId val="4813025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813033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81302528"/>
        <c:crosses val="autoZero"/>
        <c:crossBetween val="midCat"/>
        <c:majorUnit val="10000"/>
      </c:valAx>
      <c:valAx>
        <c:axId val="48130252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81303312"/>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81306448"/>
        <c:axId val="4812997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8130644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1299784"/>
        <c:crosses val="autoZero"/>
        <c:crossBetween val="midCat"/>
        <c:majorUnit val="10000"/>
      </c:valAx>
      <c:valAx>
        <c:axId val="48129978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130644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1.2159201453949612E-2</c:v>
                </c:pt>
                <c:pt idx="1">
                  <c:v>1.6455988189247352E-2</c:v>
                </c:pt>
                <c:pt idx="2">
                  <c:v>4.5609685017713878E-3</c:v>
                </c:pt>
                <c:pt idx="3">
                  <c:v>7.8952977401237098E-4</c:v>
                </c:pt>
                <c:pt idx="4">
                  <c:v>1.1538384934218259E-4</c:v>
                </c:pt>
                <c:pt idx="5">
                  <c:v>8.7399313095324211E-6</c:v>
                </c:pt>
                <c:pt idx="6">
                  <c:v>1.5786618849639479E-5</c:v>
                </c:pt>
                <c:pt idx="7">
                  <c:v>5.7452026745250178E-5</c:v>
                </c:pt>
                <c:pt idx="8">
                  <c:v>1.5079962808316636E-4</c:v>
                </c:pt>
                <c:pt idx="9">
                  <c:v>3.2637296860840503E-4</c:v>
                </c:pt>
                <c:pt idx="10">
                  <c:v>5.9727762614997899E-4</c:v>
                </c:pt>
                <c:pt idx="11">
                  <c:v>9.3225371555095168E-4</c:v>
                </c:pt>
                <c:pt idx="12">
                  <c:v>1.2628162278668382E-3</c:v>
                </c:pt>
                <c:pt idx="13">
                  <c:v>1.4836900404178776E-3</c:v>
                </c:pt>
                <c:pt idx="14">
                  <c:v>1.558606541289009E-3</c:v>
                </c:pt>
                <c:pt idx="15">
                  <c:v>1.494297554738608E-3</c:v>
                </c:pt>
                <c:pt idx="16">
                  <c:v>1.3279593926412993E-3</c:v>
                </c:pt>
                <c:pt idx="17">
                  <c:v>1.0520714433978158E-3</c:v>
                </c:pt>
                <c:pt idx="18">
                  <c:v>7.3545287433662138E-4</c:v>
                </c:pt>
                <c:pt idx="19">
                  <c:v>4.2446910431068023E-4</c:v>
                </c:pt>
                <c:pt idx="20">
                  <c:v>1.8958802188541701E-4</c:v>
                </c:pt>
                <c:pt idx="21">
                  <c:v>4.5915073472154491E-5</c:v>
                </c:pt>
                <c:pt idx="22">
                  <c:v>2.422781910419785E-5</c:v>
                </c:pt>
                <c:pt idx="23">
                  <c:v>8.5323544350153155E-4</c:v>
                </c:pt>
                <c:pt idx="24">
                  <c:v>2.1724623831507451E-3</c:v>
                </c:pt>
                <c:pt idx="25">
                  <c:v>3.1014620862155895E-3</c:v>
                </c:pt>
                <c:pt idx="26">
                  <c:v>1.8556449583029876E-3</c:v>
                </c:pt>
                <c:pt idx="27">
                  <c:v>3.3128639878181093E-5</c:v>
                </c:pt>
                <c:pt idx="28">
                  <c:v>8.4974792457564457E-5</c:v>
                </c:pt>
                <c:pt idx="29">
                  <c:v>1.3854540095660262E-4</c:v>
                </c:pt>
                <c:pt idx="30">
                  <c:v>1.9835444708918407E-4</c:v>
                </c:pt>
              </c:numCache>
            </c:numRef>
          </c:yVal>
          <c:smooth val="1"/>
        </c:ser>
        <c:dLbls>
          <c:showLegendKey val="0"/>
          <c:showVal val="0"/>
          <c:showCatName val="0"/>
          <c:showSerName val="0"/>
          <c:showPercent val="0"/>
          <c:showBubbleSize val="0"/>
        </c:dLbls>
        <c:axId val="485007424"/>
        <c:axId val="485011344"/>
      </c:scatterChart>
      <c:valAx>
        <c:axId val="4850074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11344"/>
        <c:crossesAt val="-1.5000000000000005E-3"/>
        <c:crossBetween val="midCat"/>
      </c:valAx>
      <c:valAx>
        <c:axId val="48501134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0742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7789.1482861492295</c:v>
                </c:pt>
                <c:pt idx="1">
                  <c:v>7657.1715092233853</c:v>
                </c:pt>
                <c:pt idx="2">
                  <c:v>7158.4415508413276</c:v>
                </c:pt>
                <c:pt idx="3">
                  <c:v>6817.8417517548996</c:v>
                </c:pt>
                <c:pt idx="4">
                  <c:v>6451.2280714501876</c:v>
                </c:pt>
                <c:pt idx="5">
                  <c:v>6166.1585974200225</c:v>
                </c:pt>
                <c:pt idx="6">
                  <c:v>5881.148115953154</c:v>
                </c:pt>
                <c:pt idx="7">
                  <c:v>5609.0282225405099</c:v>
                </c:pt>
                <c:pt idx="8">
                  <c:v>5324.3304450178475</c:v>
                </c:pt>
                <c:pt idx="9">
                  <c:v>5059.6299905213327</c:v>
                </c:pt>
                <c:pt idx="10">
                  <c:v>4736.235898825802</c:v>
                </c:pt>
                <c:pt idx="11">
                  <c:v>4389.6863112958335</c:v>
                </c:pt>
                <c:pt idx="12">
                  <c:v>4011.1855824832892</c:v>
                </c:pt>
                <c:pt idx="13">
                  <c:v>3570.9272556330552</c:v>
                </c:pt>
                <c:pt idx="14">
                  <c:v>3064.2969881185331</c:v>
                </c:pt>
                <c:pt idx="15">
                  <c:v>2465.8610349897981</c:v>
                </c:pt>
                <c:pt idx="16">
                  <c:v>1845.2468319979378</c:v>
                </c:pt>
                <c:pt idx="17">
                  <c:v>1327.3757863239277</c:v>
                </c:pt>
                <c:pt idx="18">
                  <c:v>949.53365723484922</c:v>
                </c:pt>
                <c:pt idx="19">
                  <c:v>739.08101654231075</c:v>
                </c:pt>
                <c:pt idx="20">
                  <c:v>624.26623755759795</c:v>
                </c:pt>
                <c:pt idx="21">
                  <c:v>574.82173996196866</c:v>
                </c:pt>
                <c:pt idx="22">
                  <c:v>540.0325032083116</c:v>
                </c:pt>
                <c:pt idx="23">
                  <c:v>523.36048345075631</c:v>
                </c:pt>
                <c:pt idx="24">
                  <c:v>511.1693459749431</c:v>
                </c:pt>
                <c:pt idx="25">
                  <c:v>487.81454252831168</c:v>
                </c:pt>
                <c:pt idx="26">
                  <c:v>476.27793728839873</c:v>
                </c:pt>
                <c:pt idx="27">
                  <c:v>476.24170744243349</c:v>
                </c:pt>
                <c:pt idx="28">
                  <c:v>476.02092124220371</c:v>
                </c:pt>
                <c:pt idx="29">
                  <c:v>475.83315937062838</c:v>
                </c:pt>
                <c:pt idx="30">
                  <c:v>475.4597982622202</c:v>
                </c:pt>
              </c:numCache>
            </c:numRef>
          </c:yVal>
          <c:smooth val="1"/>
        </c:ser>
        <c:dLbls>
          <c:showLegendKey val="0"/>
          <c:showVal val="0"/>
          <c:showCatName val="0"/>
          <c:showSerName val="0"/>
          <c:showPercent val="0"/>
          <c:showBubbleSize val="0"/>
        </c:dLbls>
        <c:axId val="485013696"/>
        <c:axId val="485008992"/>
      </c:scatterChart>
      <c:valAx>
        <c:axId val="4850136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08992"/>
        <c:crosses val="autoZero"/>
        <c:crossBetween val="midCat"/>
      </c:valAx>
      <c:valAx>
        <c:axId val="4850089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1369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3.071949903420349E-3</c:v>
                </c:pt>
                <c:pt idx="1">
                  <c:v>5.560396007694474E-3</c:v>
                </c:pt>
                <c:pt idx="2">
                  <c:v>3.7639500027605147E-2</c:v>
                </c:pt>
                <c:pt idx="3">
                  <c:v>5.8442856941669521E-2</c:v>
                </c:pt>
                <c:pt idx="4">
                  <c:v>5.9583915448033237E-2</c:v>
                </c:pt>
                <c:pt idx="5">
                  <c:v>5.3213348204933425E-2</c:v>
                </c:pt>
                <c:pt idx="6">
                  <c:v>0.1284646625370032</c:v>
                </c:pt>
                <c:pt idx="7">
                  <c:v>0.10218300821125993</c:v>
                </c:pt>
                <c:pt idx="8">
                  <c:v>7.323126106092756E-2</c:v>
                </c:pt>
                <c:pt idx="9">
                  <c:v>3.8806767039641914E-2</c:v>
                </c:pt>
                <c:pt idx="10">
                  <c:v>7.5495541948439613E-3</c:v>
                </c:pt>
                <c:pt idx="11">
                  <c:v>1.293812215279039E-2</c:v>
                </c:pt>
                <c:pt idx="12">
                  <c:v>6.985912374282725E-3</c:v>
                </c:pt>
                <c:pt idx="13">
                  <c:v>8.318373089978684E-4</c:v>
                </c:pt>
                <c:pt idx="14">
                  <c:v>2.2794932187204507E-3</c:v>
                </c:pt>
                <c:pt idx="15">
                  <c:v>2.7053279557510677E-3</c:v>
                </c:pt>
                <c:pt idx="16">
                  <c:v>2.1220154381137125E-3</c:v>
                </c:pt>
                <c:pt idx="17">
                  <c:v>1.5901777905858116E-3</c:v>
                </c:pt>
                <c:pt idx="18">
                  <c:v>7.564421981350758E-4</c:v>
                </c:pt>
                <c:pt idx="19">
                  <c:v>1.0673088928644056E-3</c:v>
                </c:pt>
                <c:pt idx="20">
                  <c:v>1.1445709240344517E-2</c:v>
                </c:pt>
                <c:pt idx="21">
                  <c:v>2.8248429012542261E-2</c:v>
                </c:pt>
                <c:pt idx="22">
                  <c:v>5.4386331042776591E-2</c:v>
                </c:pt>
                <c:pt idx="23">
                  <c:v>7.2348101011972116E-2</c:v>
                </c:pt>
                <c:pt idx="24">
                  <c:v>9.0471985839741045E-2</c:v>
                </c:pt>
                <c:pt idx="25">
                  <c:v>9.1002047392958627E-2</c:v>
                </c:pt>
                <c:pt idx="26">
                  <c:v>9.3090203561427956E-2</c:v>
                </c:pt>
                <c:pt idx="27">
                  <c:v>8.1304638752200148E-2</c:v>
                </c:pt>
                <c:pt idx="28">
                  <c:v>7.0859898787398887E-2</c:v>
                </c:pt>
                <c:pt idx="29">
                  <c:v>4.3944630219998032E-2</c:v>
                </c:pt>
                <c:pt idx="30">
                  <c:v>2.8872338049312034E-2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5.900134127084946E-2</c:v>
                </c:pt>
                <c:pt idx="1">
                  <c:v>6.8160837371161196E-3</c:v>
                </c:pt>
                <c:pt idx="2">
                  <c:v>0.13356906096499113</c:v>
                </c:pt>
                <c:pt idx="3">
                  <c:v>0.11255673291380901</c:v>
                </c:pt>
                <c:pt idx="4">
                  <c:v>8.5211837702694568E-2</c:v>
                </c:pt>
                <c:pt idx="5">
                  <c:v>5.3286434355440768E-2</c:v>
                </c:pt>
                <c:pt idx="6">
                  <c:v>2.0110663989238886E-2</c:v>
                </c:pt>
                <c:pt idx="7">
                  <c:v>6.1618150634917537E-3</c:v>
                </c:pt>
                <c:pt idx="8">
                  <c:v>3.7287738645804297E-3</c:v>
                </c:pt>
                <c:pt idx="9">
                  <c:v>9.0484907602238502E-3</c:v>
                </c:pt>
                <c:pt idx="10">
                  <c:v>5.5310465710653733E-3</c:v>
                </c:pt>
                <c:pt idx="11">
                  <c:v>6.4146767049899954E-3</c:v>
                </c:pt>
                <c:pt idx="12">
                  <c:v>5.9197227715595191E-3</c:v>
                </c:pt>
                <c:pt idx="13">
                  <c:v>6.4205097828900545E-3</c:v>
                </c:pt>
                <c:pt idx="14">
                  <c:v>5.9313454874838443E-3</c:v>
                </c:pt>
                <c:pt idx="15">
                  <c:v>7.4414781220266393E-3</c:v>
                </c:pt>
                <c:pt idx="16">
                  <c:v>3.571553216913991E-3</c:v>
                </c:pt>
                <c:pt idx="17">
                  <c:v>1.2538137599101993E-3</c:v>
                </c:pt>
                <c:pt idx="18">
                  <c:v>2.042650108511013E-2</c:v>
                </c:pt>
                <c:pt idx="19">
                  <c:v>3.4851440327407092E-2</c:v>
                </c:pt>
                <c:pt idx="20">
                  <c:v>4.3801328709851796E-2</c:v>
                </c:pt>
                <c:pt idx="21">
                  <c:v>3.8617335808193043E-2</c:v>
                </c:pt>
                <c:pt idx="22">
                  <c:v>1.1692723542192519E-2</c:v>
                </c:pt>
                <c:pt idx="23">
                  <c:v>3.5671042146231172E-3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1.6865820598779269E-2</c:v>
                </c:pt>
                <c:pt idx="1">
                  <c:v>0.1297151023799841</c:v>
                </c:pt>
                <c:pt idx="2">
                  <c:v>0.10466749801884338</c:v>
                </c:pt>
                <c:pt idx="3">
                  <c:v>7.6685420953792299E-2</c:v>
                </c:pt>
                <c:pt idx="4">
                  <c:v>4.3246953432205422E-2</c:v>
                </c:pt>
                <c:pt idx="5">
                  <c:v>1.0896689834418495E-2</c:v>
                </c:pt>
                <c:pt idx="6">
                  <c:v>1.3735501579569816E-2</c:v>
                </c:pt>
                <c:pt idx="7">
                  <c:v>1.3621066582069905E-3</c:v>
                </c:pt>
                <c:pt idx="8">
                  <c:v>1.1353443238539796E-3</c:v>
                </c:pt>
                <c:pt idx="9">
                  <c:v>5.077150990654511E-4</c:v>
                </c:pt>
                <c:pt idx="10">
                  <c:v>6.8703195895469425E-4</c:v>
                </c:pt>
                <c:pt idx="11">
                  <c:v>1.4753870446138491E-4</c:v>
                </c:pt>
                <c:pt idx="12">
                  <c:v>1.4695341264186847E-4</c:v>
                </c:pt>
                <c:pt idx="13">
                  <c:v>9.4871010638081016E-4</c:v>
                </c:pt>
                <c:pt idx="14">
                  <c:v>4.6893995865194535E-4</c:v>
                </c:pt>
                <c:pt idx="15">
                  <c:v>4.397812030412453E-3</c:v>
                </c:pt>
                <c:pt idx="16">
                  <c:v>8.04086514294239E-3</c:v>
                </c:pt>
                <c:pt idx="17">
                  <c:v>2.7906968279155168E-2</c:v>
                </c:pt>
                <c:pt idx="18">
                  <c:v>4.474330127982324E-2</c:v>
                </c:pt>
                <c:pt idx="19">
                  <c:v>5.9976193847297153E-2</c:v>
                </c:pt>
                <c:pt idx="20">
                  <c:v>5.8939463904646182E-2</c:v>
                </c:pt>
                <c:pt idx="21">
                  <c:v>4.4135104632405067E-2</c:v>
                </c:pt>
                <c:pt idx="22">
                  <c:v>3.4061983037001205E-2</c:v>
                </c:pt>
                <c:pt idx="23">
                  <c:v>1.8676615474047715E-2</c:v>
                </c:pt>
                <c:pt idx="24">
                  <c:v>1.9172553320445519E-2</c:v>
                </c:pt>
                <c:pt idx="25">
                  <c:v>1.0480708864677411E-2</c:v>
                </c:pt>
                <c:pt idx="26">
                  <c:v>8.9908435619676028E-3</c:v>
                </c:pt>
                <c:pt idx="27">
                  <c:v>1.115687781662532E-2</c:v>
                </c:pt>
                <c:pt idx="28">
                  <c:v>2.2353655097571484E-3</c:v>
                </c:pt>
                <c:pt idx="29">
                  <c:v>4.7225976656672091E-3</c:v>
                </c:pt>
                <c:pt idx="30">
                  <c:v>9.6274407859432039E-3</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1.2193825657942208E-2</c:v>
                </c:pt>
                <c:pt idx="1">
                  <c:v>1.6165335494437851E-2</c:v>
                </c:pt>
                <c:pt idx="2">
                  <c:v>4.9950091002823943E-3</c:v>
                </c:pt>
                <c:pt idx="3">
                  <c:v>4.290644728775192E-4</c:v>
                </c:pt>
                <c:pt idx="4">
                  <c:v>5.1782180032278614E-4</c:v>
                </c:pt>
                <c:pt idx="5">
                  <c:v>3.3386323593177162E-4</c:v>
                </c:pt>
                <c:pt idx="6">
                  <c:v>3.6915654114999188E-4</c:v>
                </c:pt>
                <c:pt idx="7">
                  <c:v>4.481726300399861E-4</c:v>
                </c:pt>
                <c:pt idx="8">
                  <c:v>2.8826277035420671E-4</c:v>
                </c:pt>
                <c:pt idx="9">
                  <c:v>7.5303357632284455E-4</c:v>
                </c:pt>
                <c:pt idx="10">
                  <c:v>2.2447228358064758E-5</c:v>
                </c:pt>
                <c:pt idx="11">
                  <c:v>1.5549557080429593E-3</c:v>
                </c:pt>
                <c:pt idx="12">
                  <c:v>4.4758997114404937E-4</c:v>
                </c:pt>
                <c:pt idx="13">
                  <c:v>2.4883607341169059E-3</c:v>
                </c:pt>
                <c:pt idx="14">
                  <c:v>2.1545213320708564E-4</c:v>
                </c:pt>
                <c:pt idx="15">
                  <c:v>3.3853674657926616E-3</c:v>
                </c:pt>
                <c:pt idx="16">
                  <c:v>7.4966725966336468E-4</c:v>
                </c:pt>
                <c:pt idx="17">
                  <c:v>3.2518684075186557E-3</c:v>
                </c:pt>
                <c:pt idx="18">
                  <c:v>9.6208052082861562E-4</c:v>
                </c:pt>
                <c:pt idx="19">
                  <c:v>1.6463456253253872E-3</c:v>
                </c:pt>
                <c:pt idx="20">
                  <c:v>4.7317458410220013E-4</c:v>
                </c:pt>
                <c:pt idx="21">
                  <c:v>4.0948205950010598E-4</c:v>
                </c:pt>
                <c:pt idx="22">
                  <c:v>4.7836836354020072E-4</c:v>
                </c:pt>
                <c:pt idx="23">
                  <c:v>7.9154288101868911E-4</c:v>
                </c:pt>
                <c:pt idx="24">
                  <c:v>2.4760621260698575E-3</c:v>
                </c:pt>
                <c:pt idx="25">
                  <c:v>2.7079094082235917E-3</c:v>
                </c:pt>
                <c:pt idx="26">
                  <c:v>1.8562459194736887E-3</c:v>
                </c:pt>
                <c:pt idx="27">
                  <c:v>3.1831274690168575E-5</c:v>
                </c:pt>
                <c:pt idx="28">
                  <c:v>7.9645220685821953E-5</c:v>
                </c:pt>
                <c:pt idx="29">
                  <c:v>1.370150305990667E-4</c:v>
                </c:pt>
                <c:pt idx="30">
                  <c:v>2.1228250771892715E-4</c:v>
                </c:pt>
              </c:numCache>
            </c:numRef>
          </c:yVal>
          <c:smooth val="1"/>
        </c:ser>
        <c:dLbls>
          <c:showLegendKey val="0"/>
          <c:showVal val="0"/>
          <c:showCatName val="0"/>
          <c:showSerName val="0"/>
          <c:showPercent val="0"/>
          <c:showBubbleSize val="0"/>
        </c:dLbls>
        <c:axId val="485007816"/>
        <c:axId val="485008208"/>
      </c:scatterChart>
      <c:valAx>
        <c:axId val="48500781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08208"/>
        <c:crossesAt val="1.0000000000000005E-9"/>
        <c:crossBetween val="midCat"/>
      </c:valAx>
      <c:valAx>
        <c:axId val="485008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07816"/>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-23.042979917580961</c:v>
                </c:pt>
                <c:pt idx="1">
                  <c:v>-19.705157482729604</c:v>
                </c:pt>
                <c:pt idx="2">
                  <c:v>-16.808485693561376</c:v>
                </c:pt>
                <c:pt idx="3">
                  <c:v>-14.619645084448907</c:v>
                </c:pt>
                <c:pt idx="4">
                  <c:v>-12.012283353540994</c:v>
                </c:pt>
                <c:pt idx="5">
                  <c:v>-5.7522406479236023</c:v>
                </c:pt>
                <c:pt idx="6">
                  <c:v>0</c:v>
                </c:pt>
              </c:numCache>
            </c:numRef>
          </c:yVal>
          <c:smooth val="0"/>
        </c:ser>
        <c:dLbls>
          <c:showLegendKey val="0"/>
          <c:showVal val="0"/>
          <c:showCatName val="0"/>
          <c:showSerName val="0"/>
          <c:showPercent val="0"/>
          <c:showBubbleSize val="0"/>
        </c:dLbls>
        <c:axId val="485010560"/>
        <c:axId val="485008600"/>
      </c:scatterChart>
      <c:valAx>
        <c:axId val="485010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08600"/>
        <c:crossesAt val="-100"/>
        <c:crossBetween val="midCat"/>
      </c:valAx>
      <c:valAx>
        <c:axId val="485008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1056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ser>
        <c:dLbls>
          <c:showLegendKey val="0"/>
          <c:showVal val="0"/>
          <c:showCatName val="0"/>
          <c:showSerName val="0"/>
          <c:showPercent val="0"/>
          <c:showBubbleSize val="0"/>
        </c:dLbls>
        <c:axId val="485009776"/>
        <c:axId val="485010952"/>
      </c:scatterChart>
      <c:valAx>
        <c:axId val="48500977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10952"/>
        <c:crosses val="autoZero"/>
        <c:crossBetween val="midCat"/>
      </c:valAx>
      <c:valAx>
        <c:axId val="48501095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0977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9.8301687942907972E-26</c:v>
                </c:pt>
                <c:pt idx="1">
                  <c:v>9.8301687942907963E-25</c:v>
                </c:pt>
                <c:pt idx="2">
                  <c:v>9.8301687942907978E-24</c:v>
                </c:pt>
                <c:pt idx="3">
                  <c:v>9.8301687942907963E-23</c:v>
                </c:pt>
                <c:pt idx="4">
                  <c:v>9.8301687942907958E-22</c:v>
                </c:pt>
                <c:pt idx="5">
                  <c:v>9.8301687942907977E-21</c:v>
                </c:pt>
                <c:pt idx="6">
                  <c:v>9.8301687942907971E-20</c:v>
                </c:pt>
                <c:pt idx="7">
                  <c:v>9.8301687942907971E-19</c:v>
                </c:pt>
                <c:pt idx="8">
                  <c:v>9.8301687942907971E-18</c:v>
                </c:pt>
                <c:pt idx="9">
                  <c:v>9.8301687942907959E-17</c:v>
                </c:pt>
                <c:pt idx="10">
                  <c:v>9.8301687942907978E-16</c:v>
                </c:pt>
                <c:pt idx="11">
                  <c:v>9.8301687942907978E-15</c:v>
                </c:pt>
                <c:pt idx="12">
                  <c:v>9.8301687942907972E-14</c:v>
                </c:pt>
                <c:pt idx="13">
                  <c:v>9.8301687942907962E-13</c:v>
                </c:pt>
                <c:pt idx="14">
                  <c:v>9.8301687942907982E-12</c:v>
                </c:pt>
                <c:pt idx="15">
                  <c:v>9.8301687942907973E-11</c:v>
                </c:pt>
                <c:pt idx="16">
                  <c:v>9.8301687942907967E-10</c:v>
                </c:pt>
                <c:pt idx="17">
                  <c:v>9.8301687942907963E-9</c:v>
                </c:pt>
                <c:pt idx="18">
                  <c:v>9.8301687942907963E-8</c:v>
                </c:pt>
                <c:pt idx="19">
                  <c:v>9.8301687942907966E-7</c:v>
                </c:pt>
                <c:pt idx="20">
                  <c:v>9.8301687942907962E-6</c:v>
                </c:pt>
                <c:pt idx="21">
                  <c:v>9.8301687942907968E-5</c:v>
                </c:pt>
                <c:pt idx="22">
                  <c:v>9.8301687942907966E-4</c:v>
                </c:pt>
                <c:pt idx="23">
                  <c:v>9.8301687942907966E-3</c:v>
                </c:pt>
                <c:pt idx="24">
                  <c:v>9.8301687942907973E-2</c:v>
                </c:pt>
                <c:pt idx="25">
                  <c:v>0.98301687942907967</c:v>
                </c:pt>
                <c:pt idx="26">
                  <c:v>9.8301687942907972</c:v>
                </c:pt>
                <c:pt idx="27">
                  <c:v>98.301687942907975</c:v>
                </c:pt>
                <c:pt idx="28">
                  <c:v>983.01687942907972</c:v>
                </c:pt>
                <c:pt idx="29">
                  <c:v>9830.1687942907975</c:v>
                </c:pt>
                <c:pt idx="30">
                  <c:v>98301.687942907971</c:v>
                </c:pt>
              </c:numCache>
            </c:numRef>
          </c:xVal>
          <c:yVal>
            <c:numRef>
              <c:f>'Mastercurve bestimmen'!$J$404:$J$434</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2.7679538203503329E-24</c:v>
                </c:pt>
                <c:pt idx="1">
                  <c:v>2.767953820350333E-23</c:v>
                </c:pt>
                <c:pt idx="2">
                  <c:v>2.7679538203503331E-22</c:v>
                </c:pt>
                <c:pt idx="3">
                  <c:v>2.7679538203503328E-21</c:v>
                </c:pt>
                <c:pt idx="4">
                  <c:v>2.7679538203503325E-20</c:v>
                </c:pt>
                <c:pt idx="5">
                  <c:v>2.7679538203503328E-19</c:v>
                </c:pt>
                <c:pt idx="6">
                  <c:v>2.7679538203503329E-18</c:v>
                </c:pt>
                <c:pt idx="7">
                  <c:v>2.767953820350333E-17</c:v>
                </c:pt>
                <c:pt idx="8">
                  <c:v>2.7679538203503328E-16</c:v>
                </c:pt>
                <c:pt idx="9">
                  <c:v>2.7679538203503328E-15</c:v>
                </c:pt>
                <c:pt idx="10">
                  <c:v>2.7679538203503331E-14</c:v>
                </c:pt>
                <c:pt idx="11">
                  <c:v>2.7679538203503328E-13</c:v>
                </c:pt>
                <c:pt idx="12">
                  <c:v>2.7679538203503329E-12</c:v>
                </c:pt>
                <c:pt idx="13">
                  <c:v>2.767953820350333E-11</c:v>
                </c:pt>
                <c:pt idx="14">
                  <c:v>2.7679538203503332E-10</c:v>
                </c:pt>
                <c:pt idx="15">
                  <c:v>2.7679538203503327E-9</c:v>
                </c:pt>
                <c:pt idx="16">
                  <c:v>2.7679538203503327E-8</c:v>
                </c:pt>
                <c:pt idx="17">
                  <c:v>2.767953820350333E-7</c:v>
                </c:pt>
                <c:pt idx="18">
                  <c:v>2.7679538203503326E-6</c:v>
                </c:pt>
                <c:pt idx="19">
                  <c:v>2.7679538203503327E-5</c:v>
                </c:pt>
                <c:pt idx="20">
                  <c:v>2.7679538203503326E-4</c:v>
                </c:pt>
                <c:pt idx="21">
                  <c:v>2.7679538203503329E-3</c:v>
                </c:pt>
                <c:pt idx="22">
                  <c:v>2.7679538203503329E-2</c:v>
                </c:pt>
                <c:pt idx="23">
                  <c:v>0.27679538203503329</c:v>
                </c:pt>
                <c:pt idx="24">
                  <c:v>2.7679538203503329</c:v>
                </c:pt>
                <c:pt idx="25">
                  <c:v>27.679538203503327</c:v>
                </c:pt>
                <c:pt idx="26">
                  <c:v>276.7953820350333</c:v>
                </c:pt>
                <c:pt idx="27">
                  <c:v>2767.953820350333</c:v>
                </c:pt>
                <c:pt idx="28">
                  <c:v>27679.538203503329</c:v>
                </c:pt>
                <c:pt idx="29">
                  <c:v>276795.38203503325</c:v>
                </c:pt>
                <c:pt idx="30">
                  <c:v>2767953.8203503327</c:v>
                </c:pt>
              </c:numCache>
            </c:numRef>
          </c:xVal>
          <c:yVal>
            <c:numRef>
              <c:f>'Mastercurve bestimmen'!$K$404:$K$434</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5.0138047117868041E-23</c:v>
                </c:pt>
                <c:pt idx="1">
                  <c:v>5.013804711786804E-22</c:v>
                </c:pt>
                <c:pt idx="2">
                  <c:v>5.0138047117868038E-21</c:v>
                </c:pt>
                <c:pt idx="3">
                  <c:v>5.0138047117868037E-20</c:v>
                </c:pt>
                <c:pt idx="4">
                  <c:v>5.0138047117868032E-19</c:v>
                </c:pt>
                <c:pt idx="5">
                  <c:v>5.0138047117868041E-18</c:v>
                </c:pt>
                <c:pt idx="6">
                  <c:v>5.0138047117868043E-17</c:v>
                </c:pt>
                <c:pt idx="7">
                  <c:v>5.0138047117868036E-16</c:v>
                </c:pt>
                <c:pt idx="8">
                  <c:v>5.0138047117868034E-15</c:v>
                </c:pt>
                <c:pt idx="9">
                  <c:v>5.0138047117868037E-14</c:v>
                </c:pt>
                <c:pt idx="10">
                  <c:v>5.0138047117868043E-13</c:v>
                </c:pt>
                <c:pt idx="11">
                  <c:v>5.0138047117868041E-12</c:v>
                </c:pt>
                <c:pt idx="12">
                  <c:v>5.0138047117868039E-11</c:v>
                </c:pt>
                <c:pt idx="13">
                  <c:v>5.0138047117868037E-10</c:v>
                </c:pt>
                <c:pt idx="14">
                  <c:v>5.0138047117868043E-9</c:v>
                </c:pt>
                <c:pt idx="15">
                  <c:v>5.0138047117868036E-8</c:v>
                </c:pt>
                <c:pt idx="16">
                  <c:v>5.013804711786804E-7</c:v>
                </c:pt>
                <c:pt idx="17">
                  <c:v>5.0138047117868038E-6</c:v>
                </c:pt>
                <c:pt idx="18">
                  <c:v>5.0138047117868038E-5</c:v>
                </c:pt>
                <c:pt idx="19">
                  <c:v>5.0138047117868044E-4</c:v>
                </c:pt>
                <c:pt idx="20">
                  <c:v>5.0138047117868042E-3</c:v>
                </c:pt>
                <c:pt idx="21">
                  <c:v>5.013804711786804E-2</c:v>
                </c:pt>
                <c:pt idx="22">
                  <c:v>0.50138047117868034</c:v>
                </c:pt>
                <c:pt idx="23">
                  <c:v>5.0138047117868041</c:v>
                </c:pt>
                <c:pt idx="24">
                  <c:v>50.138047117868041</c:v>
                </c:pt>
                <c:pt idx="25">
                  <c:v>501.38047117868041</c:v>
                </c:pt>
                <c:pt idx="26">
                  <c:v>5013.8047117868036</c:v>
                </c:pt>
                <c:pt idx="27">
                  <c:v>50138.047117868038</c:v>
                </c:pt>
                <c:pt idx="28">
                  <c:v>501380.47117868037</c:v>
                </c:pt>
                <c:pt idx="29">
                  <c:v>5013804.7117868038</c:v>
                </c:pt>
                <c:pt idx="30">
                  <c:v>50138047.117868036</c:v>
                </c:pt>
              </c:numCache>
            </c:numRef>
          </c:xVal>
          <c:yVal>
            <c:numRef>
              <c:f>'Mastercurve bestimmen'!$L$404:$L$434</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4.4747503681150595E-22</c:v>
                </c:pt>
                <c:pt idx="1">
                  <c:v>4.4747503681150595E-21</c:v>
                </c:pt>
                <c:pt idx="2">
                  <c:v>4.4747503681150596E-20</c:v>
                </c:pt>
                <c:pt idx="3">
                  <c:v>4.4747503681150591E-19</c:v>
                </c:pt>
                <c:pt idx="4">
                  <c:v>4.4747503681150589E-18</c:v>
                </c:pt>
                <c:pt idx="5">
                  <c:v>4.4747503681150592E-17</c:v>
                </c:pt>
                <c:pt idx="6">
                  <c:v>4.47475036811506E-16</c:v>
                </c:pt>
                <c:pt idx="7">
                  <c:v>4.474750368115059E-15</c:v>
                </c:pt>
                <c:pt idx="8">
                  <c:v>4.4747503681150588E-14</c:v>
                </c:pt>
                <c:pt idx="9">
                  <c:v>4.4747503681150592E-13</c:v>
                </c:pt>
                <c:pt idx="10">
                  <c:v>4.4747503681150598E-12</c:v>
                </c:pt>
                <c:pt idx="11">
                  <c:v>4.4747503681150593E-11</c:v>
                </c:pt>
                <c:pt idx="12">
                  <c:v>4.4747503681150595E-10</c:v>
                </c:pt>
                <c:pt idx="13">
                  <c:v>4.4747503681150596E-9</c:v>
                </c:pt>
                <c:pt idx="14">
                  <c:v>4.4747503681150592E-8</c:v>
                </c:pt>
                <c:pt idx="15">
                  <c:v>4.4747503681150592E-7</c:v>
                </c:pt>
                <c:pt idx="16">
                  <c:v>4.4747503681150596E-6</c:v>
                </c:pt>
                <c:pt idx="17">
                  <c:v>4.474750368115059E-5</c:v>
                </c:pt>
                <c:pt idx="18">
                  <c:v>4.474750368115059E-4</c:v>
                </c:pt>
                <c:pt idx="19">
                  <c:v>4.4747503681150588E-3</c:v>
                </c:pt>
                <c:pt idx="20">
                  <c:v>4.4747503681150595E-2</c:v>
                </c:pt>
                <c:pt idx="21">
                  <c:v>0.44747503681150591</c:v>
                </c:pt>
                <c:pt idx="22">
                  <c:v>4.4747503681150596</c:v>
                </c:pt>
                <c:pt idx="23">
                  <c:v>44.74750368115059</c:v>
                </c:pt>
                <c:pt idx="24">
                  <c:v>447.4750368115059</c:v>
                </c:pt>
                <c:pt idx="25">
                  <c:v>4474.7503681150592</c:v>
                </c:pt>
                <c:pt idx="26">
                  <c:v>44747.503681150592</c:v>
                </c:pt>
                <c:pt idx="27">
                  <c:v>447475.03681150591</c:v>
                </c:pt>
                <c:pt idx="28">
                  <c:v>4474750.3681150591</c:v>
                </c:pt>
                <c:pt idx="29">
                  <c:v>44747503.681150593</c:v>
                </c:pt>
                <c:pt idx="30">
                  <c:v>447475036.81150591</c:v>
                </c:pt>
              </c:numCache>
            </c:numRef>
          </c:xVal>
          <c:yVal>
            <c:numRef>
              <c:f>'Mastercurve bestimmen'!$M$404:$M$434</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6.0692024504662819E-21</c:v>
                </c:pt>
                <c:pt idx="1">
                  <c:v>6.0692024504662813E-20</c:v>
                </c:pt>
                <c:pt idx="2">
                  <c:v>6.0692024504662813E-19</c:v>
                </c:pt>
                <c:pt idx="3">
                  <c:v>6.0692024504662817E-18</c:v>
                </c:pt>
                <c:pt idx="4">
                  <c:v>6.069202450466281E-17</c:v>
                </c:pt>
                <c:pt idx="5">
                  <c:v>6.0692024504662815E-16</c:v>
                </c:pt>
                <c:pt idx="6">
                  <c:v>6.0692024504662819E-15</c:v>
                </c:pt>
                <c:pt idx="7">
                  <c:v>6.0692024504662814E-14</c:v>
                </c:pt>
                <c:pt idx="8">
                  <c:v>6.0692024504662807E-13</c:v>
                </c:pt>
                <c:pt idx="9">
                  <c:v>6.0692024504662809E-12</c:v>
                </c:pt>
                <c:pt idx="10">
                  <c:v>6.0692024504662819E-11</c:v>
                </c:pt>
                <c:pt idx="11">
                  <c:v>6.0692024504662813E-10</c:v>
                </c:pt>
                <c:pt idx="12">
                  <c:v>6.0692024504662813E-9</c:v>
                </c:pt>
                <c:pt idx="13">
                  <c:v>6.0692024504662818E-8</c:v>
                </c:pt>
                <c:pt idx="14">
                  <c:v>6.0692024504662813E-7</c:v>
                </c:pt>
                <c:pt idx="15">
                  <c:v>6.0692024504662811E-6</c:v>
                </c:pt>
                <c:pt idx="16">
                  <c:v>6.0692024504662813E-5</c:v>
                </c:pt>
                <c:pt idx="17">
                  <c:v>6.0692024504662811E-4</c:v>
                </c:pt>
                <c:pt idx="18">
                  <c:v>6.0692024504662816E-3</c:v>
                </c:pt>
                <c:pt idx="19">
                  <c:v>6.0692024504662816E-2</c:v>
                </c:pt>
                <c:pt idx="20">
                  <c:v>0.60692024504662812</c:v>
                </c:pt>
                <c:pt idx="21">
                  <c:v>6.0692024504662818</c:v>
                </c:pt>
                <c:pt idx="22">
                  <c:v>60.692024504662811</c:v>
                </c:pt>
                <c:pt idx="23">
                  <c:v>606.92024504662811</c:v>
                </c:pt>
                <c:pt idx="24">
                  <c:v>6069.2024504662813</c:v>
                </c:pt>
                <c:pt idx="25">
                  <c:v>60692.024504662812</c:v>
                </c:pt>
                <c:pt idx="26">
                  <c:v>606920.24504662817</c:v>
                </c:pt>
                <c:pt idx="27">
                  <c:v>6069202.4504662817</c:v>
                </c:pt>
                <c:pt idx="28">
                  <c:v>60692024.504662812</c:v>
                </c:pt>
                <c:pt idx="29">
                  <c:v>606920245.04662812</c:v>
                </c:pt>
                <c:pt idx="30">
                  <c:v>6069202450.4662809</c:v>
                </c:pt>
              </c:numCache>
            </c:numRef>
          </c:xVal>
          <c:yVal>
            <c:numRef>
              <c:f>'Mastercurve bestimmen'!$N$404:$N$434</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3.1756572889432041E-18</c:v>
                </c:pt>
                <c:pt idx="1">
                  <c:v>3.1756572889432037E-17</c:v>
                </c:pt>
                <c:pt idx="2">
                  <c:v>3.1756572889432041E-16</c:v>
                </c:pt>
                <c:pt idx="3">
                  <c:v>3.1756572889432038E-15</c:v>
                </c:pt>
                <c:pt idx="4">
                  <c:v>3.1756572889432038E-14</c:v>
                </c:pt>
                <c:pt idx="5">
                  <c:v>3.1756572889432042E-13</c:v>
                </c:pt>
                <c:pt idx="6">
                  <c:v>3.1756572889432043E-12</c:v>
                </c:pt>
                <c:pt idx="7">
                  <c:v>3.1756572889432042E-11</c:v>
                </c:pt>
                <c:pt idx="8">
                  <c:v>3.1756572889432037E-10</c:v>
                </c:pt>
                <c:pt idx="9">
                  <c:v>3.1756572889432039E-9</c:v>
                </c:pt>
                <c:pt idx="10">
                  <c:v>3.1756572889432042E-8</c:v>
                </c:pt>
                <c:pt idx="11">
                  <c:v>3.1756572889432043E-7</c:v>
                </c:pt>
                <c:pt idx="12">
                  <c:v>3.1756572889432042E-6</c:v>
                </c:pt>
                <c:pt idx="13">
                  <c:v>3.1756572889432039E-5</c:v>
                </c:pt>
                <c:pt idx="14">
                  <c:v>3.175657288943204E-4</c:v>
                </c:pt>
                <c:pt idx="15">
                  <c:v>3.1756572889432041E-3</c:v>
                </c:pt>
                <c:pt idx="16">
                  <c:v>3.1756572889432039E-2</c:v>
                </c:pt>
                <c:pt idx="17">
                  <c:v>0.31756572889432039</c:v>
                </c:pt>
                <c:pt idx="18">
                  <c:v>3.1756572889432042</c:v>
                </c:pt>
                <c:pt idx="19">
                  <c:v>31.756572889432039</c:v>
                </c:pt>
                <c:pt idx="20">
                  <c:v>317.56572889432039</c:v>
                </c:pt>
                <c:pt idx="21">
                  <c:v>3175.6572889432041</c:v>
                </c:pt>
                <c:pt idx="22">
                  <c:v>31756.572889432038</c:v>
                </c:pt>
                <c:pt idx="23">
                  <c:v>317565.72889432037</c:v>
                </c:pt>
                <c:pt idx="24">
                  <c:v>3175657.2889432041</c:v>
                </c:pt>
                <c:pt idx="25">
                  <c:v>31756572.889432039</c:v>
                </c:pt>
                <c:pt idx="26">
                  <c:v>317565728.89432043</c:v>
                </c:pt>
                <c:pt idx="27">
                  <c:v>3175657288.9432039</c:v>
                </c:pt>
                <c:pt idx="28">
                  <c:v>31756572889.432041</c:v>
                </c:pt>
                <c:pt idx="29">
                  <c:v>317565728894.32037</c:v>
                </c:pt>
                <c:pt idx="30">
                  <c:v>3175657288943.2041</c:v>
                </c:pt>
              </c:numCache>
            </c:numRef>
          </c:xVal>
          <c:yVal>
            <c:numRef>
              <c:f>'Mastercurve bestimmen'!$O$404:$O$434</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dLbls>
          <c:showLegendKey val="0"/>
          <c:showVal val="0"/>
          <c:showCatName val="0"/>
          <c:showSerName val="0"/>
          <c:showPercent val="0"/>
          <c:showBubbleSize val="0"/>
        </c:dLbls>
        <c:axId val="485014480"/>
        <c:axId val="485010168"/>
      </c:scatterChart>
      <c:valAx>
        <c:axId val="48501448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10168"/>
        <c:crosses val="autoZero"/>
        <c:crossBetween val="midCat"/>
      </c:valAx>
      <c:valAx>
        <c:axId val="485010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1448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9.8301687942907972E-26</c:v>
                </c:pt>
                <c:pt idx="1">
                  <c:v>9.8301687942907963E-25</c:v>
                </c:pt>
                <c:pt idx="2">
                  <c:v>9.8301687942907978E-24</c:v>
                </c:pt>
                <c:pt idx="3">
                  <c:v>9.8301687942907963E-23</c:v>
                </c:pt>
                <c:pt idx="4">
                  <c:v>9.8301687942907958E-22</c:v>
                </c:pt>
                <c:pt idx="5">
                  <c:v>9.8301687942907977E-21</c:v>
                </c:pt>
                <c:pt idx="6">
                  <c:v>9.8301687942907971E-20</c:v>
                </c:pt>
                <c:pt idx="7">
                  <c:v>9.8301687942907971E-19</c:v>
                </c:pt>
                <c:pt idx="8">
                  <c:v>9.8301687942907971E-18</c:v>
                </c:pt>
                <c:pt idx="9">
                  <c:v>9.8301687942907959E-17</c:v>
                </c:pt>
                <c:pt idx="10">
                  <c:v>9.8301687942907978E-16</c:v>
                </c:pt>
                <c:pt idx="11">
                  <c:v>9.8301687942907978E-15</c:v>
                </c:pt>
                <c:pt idx="12">
                  <c:v>9.8301687942907972E-14</c:v>
                </c:pt>
                <c:pt idx="13">
                  <c:v>9.8301687942907962E-13</c:v>
                </c:pt>
                <c:pt idx="14">
                  <c:v>9.8301687942907982E-12</c:v>
                </c:pt>
                <c:pt idx="15">
                  <c:v>9.8301687942907973E-11</c:v>
                </c:pt>
                <c:pt idx="16">
                  <c:v>9.8301687942907967E-10</c:v>
                </c:pt>
                <c:pt idx="17">
                  <c:v>9.8301687942907963E-9</c:v>
                </c:pt>
                <c:pt idx="18">
                  <c:v>9.8301687942907963E-8</c:v>
                </c:pt>
                <c:pt idx="19">
                  <c:v>9.8301687942907966E-7</c:v>
                </c:pt>
                <c:pt idx="20">
                  <c:v>9.8301687942907962E-6</c:v>
                </c:pt>
                <c:pt idx="21">
                  <c:v>9.8301687942907968E-5</c:v>
                </c:pt>
                <c:pt idx="22">
                  <c:v>9.8301687942907966E-4</c:v>
                </c:pt>
                <c:pt idx="23">
                  <c:v>9.8301687942907966E-3</c:v>
                </c:pt>
                <c:pt idx="24">
                  <c:v>9.8301687942907973E-2</c:v>
                </c:pt>
                <c:pt idx="25">
                  <c:v>0.98301687942907967</c:v>
                </c:pt>
                <c:pt idx="26">
                  <c:v>9.8301687942907972</c:v>
                </c:pt>
                <c:pt idx="27">
                  <c:v>98.301687942907975</c:v>
                </c:pt>
                <c:pt idx="28">
                  <c:v>983.01687942907972</c:v>
                </c:pt>
                <c:pt idx="29">
                  <c:v>9830.1687942907975</c:v>
                </c:pt>
                <c:pt idx="30">
                  <c:v>98301.687942907971</c:v>
                </c:pt>
              </c:numCache>
            </c:numRef>
          </c:xVal>
          <c:yVal>
            <c:numRef>
              <c:f>'Mastercurve bestimmen'!$J$404:$J$434</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2.7679538203503329E-24</c:v>
                </c:pt>
                <c:pt idx="1">
                  <c:v>2.767953820350333E-23</c:v>
                </c:pt>
                <c:pt idx="2">
                  <c:v>2.7679538203503331E-22</c:v>
                </c:pt>
                <c:pt idx="3">
                  <c:v>2.7679538203503328E-21</c:v>
                </c:pt>
                <c:pt idx="4">
                  <c:v>2.7679538203503325E-20</c:v>
                </c:pt>
                <c:pt idx="5">
                  <c:v>2.7679538203503328E-19</c:v>
                </c:pt>
                <c:pt idx="6">
                  <c:v>2.7679538203503329E-18</c:v>
                </c:pt>
                <c:pt idx="7">
                  <c:v>2.767953820350333E-17</c:v>
                </c:pt>
                <c:pt idx="8">
                  <c:v>2.7679538203503328E-16</c:v>
                </c:pt>
                <c:pt idx="9">
                  <c:v>2.7679538203503328E-15</c:v>
                </c:pt>
                <c:pt idx="10">
                  <c:v>2.7679538203503331E-14</c:v>
                </c:pt>
                <c:pt idx="11">
                  <c:v>2.7679538203503328E-13</c:v>
                </c:pt>
                <c:pt idx="12">
                  <c:v>2.7679538203503329E-12</c:v>
                </c:pt>
                <c:pt idx="13">
                  <c:v>2.767953820350333E-11</c:v>
                </c:pt>
                <c:pt idx="14">
                  <c:v>2.7679538203503332E-10</c:v>
                </c:pt>
                <c:pt idx="15">
                  <c:v>2.7679538203503327E-9</c:v>
                </c:pt>
                <c:pt idx="16">
                  <c:v>2.7679538203503327E-8</c:v>
                </c:pt>
                <c:pt idx="17">
                  <c:v>2.767953820350333E-7</c:v>
                </c:pt>
                <c:pt idx="18">
                  <c:v>2.7679538203503326E-6</c:v>
                </c:pt>
                <c:pt idx="19">
                  <c:v>2.7679538203503327E-5</c:v>
                </c:pt>
                <c:pt idx="20">
                  <c:v>2.7679538203503326E-4</c:v>
                </c:pt>
                <c:pt idx="21">
                  <c:v>2.7679538203503329E-3</c:v>
                </c:pt>
                <c:pt idx="22">
                  <c:v>2.7679538203503329E-2</c:v>
                </c:pt>
                <c:pt idx="23">
                  <c:v>0.27679538203503329</c:v>
                </c:pt>
                <c:pt idx="24">
                  <c:v>2.7679538203503329</c:v>
                </c:pt>
                <c:pt idx="25">
                  <c:v>27.679538203503327</c:v>
                </c:pt>
                <c:pt idx="26">
                  <c:v>276.7953820350333</c:v>
                </c:pt>
                <c:pt idx="27">
                  <c:v>2767.953820350333</c:v>
                </c:pt>
                <c:pt idx="28">
                  <c:v>27679.538203503329</c:v>
                </c:pt>
                <c:pt idx="29">
                  <c:v>276795.38203503325</c:v>
                </c:pt>
                <c:pt idx="30">
                  <c:v>2767953.8203503327</c:v>
                </c:pt>
              </c:numCache>
            </c:numRef>
          </c:xVal>
          <c:yVal>
            <c:numRef>
              <c:f>'Mastercurve bestimmen'!$K$404:$K$434</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5.0138047117868041E-23</c:v>
                </c:pt>
                <c:pt idx="1">
                  <c:v>5.013804711786804E-22</c:v>
                </c:pt>
                <c:pt idx="2">
                  <c:v>5.0138047117868038E-21</c:v>
                </c:pt>
                <c:pt idx="3">
                  <c:v>5.0138047117868037E-20</c:v>
                </c:pt>
                <c:pt idx="4">
                  <c:v>5.0138047117868032E-19</c:v>
                </c:pt>
                <c:pt idx="5">
                  <c:v>5.0138047117868041E-18</c:v>
                </c:pt>
                <c:pt idx="6">
                  <c:v>5.0138047117868043E-17</c:v>
                </c:pt>
                <c:pt idx="7">
                  <c:v>5.0138047117868036E-16</c:v>
                </c:pt>
                <c:pt idx="8">
                  <c:v>5.0138047117868034E-15</c:v>
                </c:pt>
                <c:pt idx="9">
                  <c:v>5.0138047117868037E-14</c:v>
                </c:pt>
                <c:pt idx="10">
                  <c:v>5.0138047117868043E-13</c:v>
                </c:pt>
                <c:pt idx="11">
                  <c:v>5.0138047117868041E-12</c:v>
                </c:pt>
                <c:pt idx="12">
                  <c:v>5.0138047117868039E-11</c:v>
                </c:pt>
                <c:pt idx="13">
                  <c:v>5.0138047117868037E-10</c:v>
                </c:pt>
                <c:pt idx="14">
                  <c:v>5.0138047117868043E-9</c:v>
                </c:pt>
                <c:pt idx="15">
                  <c:v>5.0138047117868036E-8</c:v>
                </c:pt>
                <c:pt idx="16">
                  <c:v>5.013804711786804E-7</c:v>
                </c:pt>
                <c:pt idx="17">
                  <c:v>5.0138047117868038E-6</c:v>
                </c:pt>
                <c:pt idx="18">
                  <c:v>5.0138047117868038E-5</c:v>
                </c:pt>
                <c:pt idx="19">
                  <c:v>5.0138047117868044E-4</c:v>
                </c:pt>
                <c:pt idx="20">
                  <c:v>5.0138047117868042E-3</c:v>
                </c:pt>
                <c:pt idx="21">
                  <c:v>5.013804711786804E-2</c:v>
                </c:pt>
                <c:pt idx="22">
                  <c:v>0.50138047117868034</c:v>
                </c:pt>
                <c:pt idx="23">
                  <c:v>5.0138047117868041</c:v>
                </c:pt>
                <c:pt idx="24">
                  <c:v>50.138047117868041</c:v>
                </c:pt>
                <c:pt idx="25">
                  <c:v>501.38047117868041</c:v>
                </c:pt>
                <c:pt idx="26">
                  <c:v>5013.8047117868036</c:v>
                </c:pt>
                <c:pt idx="27">
                  <c:v>50138.047117868038</c:v>
                </c:pt>
                <c:pt idx="28">
                  <c:v>501380.47117868037</c:v>
                </c:pt>
                <c:pt idx="29">
                  <c:v>5013804.7117868038</c:v>
                </c:pt>
                <c:pt idx="30">
                  <c:v>50138047.117868036</c:v>
                </c:pt>
              </c:numCache>
            </c:numRef>
          </c:xVal>
          <c:yVal>
            <c:numRef>
              <c:f>'Mastercurve bestimmen'!$L$404:$L$434</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4.4747503681150595E-22</c:v>
                </c:pt>
                <c:pt idx="1">
                  <c:v>4.4747503681150595E-21</c:v>
                </c:pt>
                <c:pt idx="2">
                  <c:v>4.4747503681150596E-20</c:v>
                </c:pt>
                <c:pt idx="3">
                  <c:v>4.4747503681150591E-19</c:v>
                </c:pt>
                <c:pt idx="4">
                  <c:v>4.4747503681150589E-18</c:v>
                </c:pt>
                <c:pt idx="5">
                  <c:v>4.4747503681150592E-17</c:v>
                </c:pt>
                <c:pt idx="6">
                  <c:v>4.47475036811506E-16</c:v>
                </c:pt>
                <c:pt idx="7">
                  <c:v>4.474750368115059E-15</c:v>
                </c:pt>
                <c:pt idx="8">
                  <c:v>4.4747503681150588E-14</c:v>
                </c:pt>
                <c:pt idx="9">
                  <c:v>4.4747503681150592E-13</c:v>
                </c:pt>
                <c:pt idx="10">
                  <c:v>4.4747503681150598E-12</c:v>
                </c:pt>
                <c:pt idx="11">
                  <c:v>4.4747503681150593E-11</c:v>
                </c:pt>
                <c:pt idx="12">
                  <c:v>4.4747503681150595E-10</c:v>
                </c:pt>
                <c:pt idx="13">
                  <c:v>4.4747503681150596E-9</c:v>
                </c:pt>
                <c:pt idx="14">
                  <c:v>4.4747503681150592E-8</c:v>
                </c:pt>
                <c:pt idx="15">
                  <c:v>4.4747503681150592E-7</c:v>
                </c:pt>
                <c:pt idx="16">
                  <c:v>4.4747503681150596E-6</c:v>
                </c:pt>
                <c:pt idx="17">
                  <c:v>4.474750368115059E-5</c:v>
                </c:pt>
                <c:pt idx="18">
                  <c:v>4.474750368115059E-4</c:v>
                </c:pt>
                <c:pt idx="19">
                  <c:v>4.4747503681150588E-3</c:v>
                </c:pt>
                <c:pt idx="20">
                  <c:v>4.4747503681150595E-2</c:v>
                </c:pt>
                <c:pt idx="21">
                  <c:v>0.44747503681150591</c:v>
                </c:pt>
                <c:pt idx="22">
                  <c:v>4.4747503681150596</c:v>
                </c:pt>
                <c:pt idx="23">
                  <c:v>44.74750368115059</c:v>
                </c:pt>
                <c:pt idx="24">
                  <c:v>447.4750368115059</c:v>
                </c:pt>
                <c:pt idx="25">
                  <c:v>4474.7503681150592</c:v>
                </c:pt>
                <c:pt idx="26">
                  <c:v>44747.503681150592</c:v>
                </c:pt>
                <c:pt idx="27">
                  <c:v>447475.03681150591</c:v>
                </c:pt>
                <c:pt idx="28">
                  <c:v>4474750.3681150591</c:v>
                </c:pt>
                <c:pt idx="29">
                  <c:v>44747503.681150593</c:v>
                </c:pt>
                <c:pt idx="30">
                  <c:v>447475036.81150591</c:v>
                </c:pt>
              </c:numCache>
            </c:numRef>
          </c:xVal>
          <c:yVal>
            <c:numRef>
              <c:f>'Mastercurve bestimmen'!$M$404:$M$434</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6.0692024504662819E-21</c:v>
                </c:pt>
                <c:pt idx="1">
                  <c:v>6.0692024504662813E-20</c:v>
                </c:pt>
                <c:pt idx="2">
                  <c:v>6.0692024504662813E-19</c:v>
                </c:pt>
                <c:pt idx="3">
                  <c:v>6.0692024504662817E-18</c:v>
                </c:pt>
                <c:pt idx="4">
                  <c:v>6.069202450466281E-17</c:v>
                </c:pt>
                <c:pt idx="5">
                  <c:v>6.0692024504662815E-16</c:v>
                </c:pt>
                <c:pt idx="6">
                  <c:v>6.0692024504662819E-15</c:v>
                </c:pt>
                <c:pt idx="7">
                  <c:v>6.0692024504662814E-14</c:v>
                </c:pt>
                <c:pt idx="8">
                  <c:v>6.0692024504662807E-13</c:v>
                </c:pt>
                <c:pt idx="9">
                  <c:v>6.0692024504662809E-12</c:v>
                </c:pt>
                <c:pt idx="10">
                  <c:v>6.0692024504662819E-11</c:v>
                </c:pt>
                <c:pt idx="11">
                  <c:v>6.0692024504662813E-10</c:v>
                </c:pt>
                <c:pt idx="12">
                  <c:v>6.0692024504662813E-9</c:v>
                </c:pt>
                <c:pt idx="13">
                  <c:v>6.0692024504662818E-8</c:v>
                </c:pt>
                <c:pt idx="14">
                  <c:v>6.0692024504662813E-7</c:v>
                </c:pt>
                <c:pt idx="15">
                  <c:v>6.0692024504662811E-6</c:v>
                </c:pt>
                <c:pt idx="16">
                  <c:v>6.0692024504662813E-5</c:v>
                </c:pt>
                <c:pt idx="17">
                  <c:v>6.0692024504662811E-4</c:v>
                </c:pt>
                <c:pt idx="18">
                  <c:v>6.0692024504662816E-3</c:v>
                </c:pt>
                <c:pt idx="19">
                  <c:v>6.0692024504662816E-2</c:v>
                </c:pt>
                <c:pt idx="20">
                  <c:v>0.60692024504662812</c:v>
                </c:pt>
                <c:pt idx="21">
                  <c:v>6.0692024504662818</c:v>
                </c:pt>
                <c:pt idx="22">
                  <c:v>60.692024504662811</c:v>
                </c:pt>
                <c:pt idx="23">
                  <c:v>606.92024504662811</c:v>
                </c:pt>
                <c:pt idx="24">
                  <c:v>6069.2024504662813</c:v>
                </c:pt>
                <c:pt idx="25">
                  <c:v>60692.024504662812</c:v>
                </c:pt>
                <c:pt idx="26">
                  <c:v>606920.24504662817</c:v>
                </c:pt>
                <c:pt idx="27">
                  <c:v>6069202.4504662817</c:v>
                </c:pt>
                <c:pt idx="28">
                  <c:v>60692024.504662812</c:v>
                </c:pt>
                <c:pt idx="29">
                  <c:v>606920245.04662812</c:v>
                </c:pt>
                <c:pt idx="30">
                  <c:v>6069202450.4662809</c:v>
                </c:pt>
              </c:numCache>
            </c:numRef>
          </c:xVal>
          <c:yVal>
            <c:numRef>
              <c:f>'Mastercurve bestimmen'!$N$404:$N$434</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3.1756572889432041E-18</c:v>
                </c:pt>
                <c:pt idx="1">
                  <c:v>3.1756572889432037E-17</c:v>
                </c:pt>
                <c:pt idx="2">
                  <c:v>3.1756572889432041E-16</c:v>
                </c:pt>
                <c:pt idx="3">
                  <c:v>3.1756572889432038E-15</c:v>
                </c:pt>
                <c:pt idx="4">
                  <c:v>3.1756572889432038E-14</c:v>
                </c:pt>
                <c:pt idx="5">
                  <c:v>3.1756572889432042E-13</c:v>
                </c:pt>
                <c:pt idx="6">
                  <c:v>3.1756572889432043E-12</c:v>
                </c:pt>
                <c:pt idx="7">
                  <c:v>3.1756572889432042E-11</c:v>
                </c:pt>
                <c:pt idx="8">
                  <c:v>3.1756572889432037E-10</c:v>
                </c:pt>
                <c:pt idx="9">
                  <c:v>3.1756572889432039E-9</c:v>
                </c:pt>
                <c:pt idx="10">
                  <c:v>3.1756572889432042E-8</c:v>
                </c:pt>
                <c:pt idx="11">
                  <c:v>3.1756572889432043E-7</c:v>
                </c:pt>
                <c:pt idx="12">
                  <c:v>3.1756572889432042E-6</c:v>
                </c:pt>
                <c:pt idx="13">
                  <c:v>3.1756572889432039E-5</c:v>
                </c:pt>
                <c:pt idx="14">
                  <c:v>3.175657288943204E-4</c:v>
                </c:pt>
                <c:pt idx="15">
                  <c:v>3.1756572889432041E-3</c:v>
                </c:pt>
                <c:pt idx="16">
                  <c:v>3.1756572889432039E-2</c:v>
                </c:pt>
                <c:pt idx="17">
                  <c:v>0.31756572889432039</c:v>
                </c:pt>
                <c:pt idx="18">
                  <c:v>3.1756572889432042</c:v>
                </c:pt>
                <c:pt idx="19">
                  <c:v>31.756572889432039</c:v>
                </c:pt>
                <c:pt idx="20">
                  <c:v>317.56572889432039</c:v>
                </c:pt>
                <c:pt idx="21">
                  <c:v>3175.6572889432041</c:v>
                </c:pt>
                <c:pt idx="22">
                  <c:v>31756.572889432038</c:v>
                </c:pt>
                <c:pt idx="23">
                  <c:v>317565.72889432037</c:v>
                </c:pt>
                <c:pt idx="24">
                  <c:v>3175657.2889432041</c:v>
                </c:pt>
                <c:pt idx="25">
                  <c:v>31756572.889432039</c:v>
                </c:pt>
                <c:pt idx="26">
                  <c:v>317565728.89432043</c:v>
                </c:pt>
                <c:pt idx="27">
                  <c:v>3175657288.9432039</c:v>
                </c:pt>
                <c:pt idx="28">
                  <c:v>31756572889.432041</c:v>
                </c:pt>
                <c:pt idx="29">
                  <c:v>317565728894.32037</c:v>
                </c:pt>
                <c:pt idx="30">
                  <c:v>3175657288943.2041</c:v>
                </c:pt>
              </c:numCache>
            </c:numRef>
          </c:xVal>
          <c:yVal>
            <c:numRef>
              <c:f>'Mastercurve bestimmen'!$O$404:$O$434</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dLbls>
          <c:showLegendKey val="0"/>
          <c:showVal val="0"/>
          <c:showCatName val="0"/>
          <c:showSerName val="0"/>
          <c:showPercent val="0"/>
          <c:showBubbleSize val="0"/>
        </c:dLbls>
        <c:axId val="485012520"/>
        <c:axId val="485012912"/>
      </c:scatterChart>
      <c:valAx>
        <c:axId val="48501252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12912"/>
        <c:crosses val="autoZero"/>
        <c:crossBetween val="midCat"/>
      </c:valAx>
      <c:valAx>
        <c:axId val="485012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01252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-23.042979917580961</c:v>
                </c:pt>
                <c:pt idx="1">
                  <c:v>-22.991544653244759</c:v>
                </c:pt>
                <c:pt idx="2">
                  <c:v>-22.939989275225493</c:v>
                </c:pt>
                <c:pt idx="3">
                  <c:v>-22.888193669840117</c:v>
                </c:pt>
                <c:pt idx="4">
                  <c:v>-22.836037723405564</c:v>
                </c:pt>
                <c:pt idx="5">
                  <c:v>-22.783401322238774</c:v>
                </c:pt>
                <c:pt idx="6">
                  <c:v>-22.730164352656693</c:v>
                </c:pt>
                <c:pt idx="7">
                  <c:v>-22.676206700976262</c:v>
                </c:pt>
                <c:pt idx="8">
                  <c:v>-22.621408253514421</c:v>
                </c:pt>
                <c:pt idx="9">
                  <c:v>-22.565648896588112</c:v>
                </c:pt>
                <c:pt idx="10">
                  <c:v>-22.508808516514279</c:v>
                </c:pt>
                <c:pt idx="11">
                  <c:v>-22.450766999609861</c:v>
                </c:pt>
                <c:pt idx="12">
                  <c:v>-22.391404232191796</c:v>
                </c:pt>
                <c:pt idx="13">
                  <c:v>-22.330600100577033</c:v>
                </c:pt>
                <c:pt idx="14">
                  <c:v>-22.268234491082509</c:v>
                </c:pt>
                <c:pt idx="15">
                  <c:v>-22.204187290025168</c:v>
                </c:pt>
                <c:pt idx="16">
                  <c:v>-22.138338383721948</c:v>
                </c:pt>
                <c:pt idx="17">
                  <c:v>-22.070567658489793</c:v>
                </c:pt>
                <c:pt idx="18">
                  <c:v>-22.000755000645643</c:v>
                </c:pt>
                <c:pt idx="19">
                  <c:v>-21.928780296506446</c:v>
                </c:pt>
                <c:pt idx="20">
                  <c:v>-21.854523432389129</c:v>
                </c:pt>
                <c:pt idx="21">
                  <c:v>-21.777864294610652</c:v>
                </c:pt>
                <c:pt idx="22">
                  <c:v>-21.698682769487945</c:v>
                </c:pt>
                <c:pt idx="23">
                  <c:v>-21.61685874333795</c:v>
                </c:pt>
                <c:pt idx="24">
                  <c:v>-21.532272102477609</c:v>
                </c:pt>
                <c:pt idx="25">
                  <c:v>-21.444802733223867</c:v>
                </c:pt>
                <c:pt idx="26">
                  <c:v>-21.354330521893662</c:v>
                </c:pt>
                <c:pt idx="27">
                  <c:v>-21.260735354803941</c:v>
                </c:pt>
                <c:pt idx="28">
                  <c:v>-21.163897118271635</c:v>
                </c:pt>
                <c:pt idx="29">
                  <c:v>-21.063695698613696</c:v>
                </c:pt>
                <c:pt idx="30">
                  <c:v>-20.960010982147061</c:v>
                </c:pt>
                <c:pt idx="31">
                  <c:v>-20.852722855188674</c:v>
                </c:pt>
                <c:pt idx="32">
                  <c:v>-20.74171120405547</c:v>
                </c:pt>
                <c:pt idx="33">
                  <c:v>-20.626855915064397</c:v>
                </c:pt>
                <c:pt idx="34">
                  <c:v>-20.508036874532397</c:v>
                </c:pt>
                <c:pt idx="35">
                  <c:v>-20.385133968776412</c:v>
                </c:pt>
                <c:pt idx="36">
                  <c:v>-20.258027084113372</c:v>
                </c:pt>
                <c:pt idx="37">
                  <c:v>-20.126596106860234</c:v>
                </c:pt>
                <c:pt idx="38">
                  <c:v>-19.990720923333935</c:v>
                </c:pt>
                <c:pt idx="39">
                  <c:v>-19.850281419851409</c:v>
                </c:pt>
                <c:pt idx="40">
                  <c:v>-19.705157482729604</c:v>
                </c:pt>
                <c:pt idx="41">
                  <c:v>-19.614792477624167</c:v>
                </c:pt>
                <c:pt idx="42">
                  <c:v>-19.519932085786841</c:v>
                </c:pt>
                <c:pt idx="43">
                  <c:v>-19.420885467808077</c:v>
                </c:pt>
                <c:pt idx="44">
                  <c:v>-19.317961784278324</c:v>
                </c:pt>
                <c:pt idx="45">
                  <c:v>-19.211470195788031</c:v>
                </c:pt>
                <c:pt idx="46">
                  <c:v>-19.101719862927649</c:v>
                </c:pt>
                <c:pt idx="47">
                  <c:v>-18.989019946287623</c:v>
                </c:pt>
                <c:pt idx="48">
                  <c:v>-18.87367960645841</c:v>
                </c:pt>
                <c:pt idx="49">
                  <c:v>-18.756008004030456</c:v>
                </c:pt>
                <c:pt idx="50">
                  <c:v>-18.636314299594208</c:v>
                </c:pt>
                <c:pt idx="51">
                  <c:v>-18.514907653740117</c:v>
                </c:pt>
                <c:pt idx="52">
                  <c:v>-18.392097227058638</c:v>
                </c:pt>
                <c:pt idx="53">
                  <c:v>-18.268192180140218</c:v>
                </c:pt>
                <c:pt idx="54">
                  <c:v>-18.143501673575305</c:v>
                </c:pt>
                <c:pt idx="55">
                  <c:v>-18.018334867954351</c:v>
                </c:pt>
                <c:pt idx="56">
                  <c:v>-17.893000923867799</c:v>
                </c:pt>
                <c:pt idx="57">
                  <c:v>-17.767809001906105</c:v>
                </c:pt>
                <c:pt idx="58">
                  <c:v>-17.643068262659721</c:v>
                </c:pt>
                <c:pt idx="59">
                  <c:v>-17.51908786671909</c:v>
                </c:pt>
                <c:pt idx="60">
                  <c:v>-17.396176974674667</c:v>
                </c:pt>
                <c:pt idx="61">
                  <c:v>-17.274644747116898</c:v>
                </c:pt>
                <c:pt idx="62">
                  <c:v>-17.154800344636236</c:v>
                </c:pt>
                <c:pt idx="63">
                  <c:v>-17.036952927823126</c:v>
                </c:pt>
                <c:pt idx="64">
                  <c:v>-16.921411657268024</c:v>
                </c:pt>
                <c:pt idx="65">
                  <c:v>-16.808485693561376</c:v>
                </c:pt>
                <c:pt idx="66">
                  <c:v>-16.698412519791596</c:v>
                </c:pt>
                <c:pt idx="67">
                  <c:v>-16.591142909038979</c:v>
                </c:pt>
                <c:pt idx="68">
                  <c:v>-16.486555956881773</c:v>
                </c:pt>
                <c:pt idx="69">
                  <c:v>-16.384530758898233</c:v>
                </c:pt>
                <c:pt idx="70">
                  <c:v>-16.284946410666613</c:v>
                </c:pt>
                <c:pt idx="71">
                  <c:v>-16.187682007765169</c:v>
                </c:pt>
                <c:pt idx="72">
                  <c:v>-16.092616645772154</c:v>
                </c:pt>
                <c:pt idx="73">
                  <c:v>-15.999629420265821</c:v>
                </c:pt>
                <c:pt idx="74">
                  <c:v>-15.908599426824427</c:v>
                </c:pt>
                <c:pt idx="75">
                  <c:v>-15.819405761026223</c:v>
                </c:pt>
                <c:pt idx="76">
                  <c:v>-15.731927518449464</c:v>
                </c:pt>
                <c:pt idx="77">
                  <c:v>-15.646043794672405</c:v>
                </c:pt>
                <c:pt idx="78">
                  <c:v>-15.561633685273298</c:v>
                </c:pt>
                <c:pt idx="79">
                  <c:v>-15.478576285830401</c:v>
                </c:pt>
                <c:pt idx="80">
                  <c:v>-15.396750691921964</c:v>
                </c:pt>
                <c:pt idx="81">
                  <c:v>-15.316035999126244</c:v>
                </c:pt>
                <c:pt idx="82">
                  <c:v>-15.236311303021493</c:v>
                </c:pt>
                <c:pt idx="83">
                  <c:v>-15.157455699185967</c:v>
                </c:pt>
                <c:pt idx="84">
                  <c:v>-15.07934828319792</c:v>
                </c:pt>
                <c:pt idx="85">
                  <c:v>-15.001868150635604</c:v>
                </c:pt>
                <c:pt idx="86">
                  <c:v>-14.924894397077276</c:v>
                </c:pt>
                <c:pt idx="87">
                  <c:v>-14.848306118101188</c:v>
                </c:pt>
                <c:pt idx="88">
                  <c:v>-14.771982409285593</c:v>
                </c:pt>
                <c:pt idx="89">
                  <c:v>-14.695802366208749</c:v>
                </c:pt>
                <c:pt idx="90">
                  <c:v>-14.619645084448907</c:v>
                </c:pt>
                <c:pt idx="91">
                  <c:v>-14.54339952842289</c:v>
                </c:pt>
                <c:pt idx="92">
                  <c:v>-14.466994137901795</c:v>
                </c:pt>
                <c:pt idx="93">
                  <c:v>-14.390367221495282</c:v>
                </c:pt>
                <c:pt idx="94">
                  <c:v>-14.313457087813015</c:v>
                </c:pt>
                <c:pt idx="95">
                  <c:v>-14.23620204546466</c:v>
                </c:pt>
                <c:pt idx="96">
                  <c:v>-14.158540403059874</c:v>
                </c:pt>
                <c:pt idx="97">
                  <c:v>-14.080410469208326</c:v>
                </c:pt>
                <c:pt idx="98">
                  <c:v>-14.001750552519677</c:v>
                </c:pt>
                <c:pt idx="99">
                  <c:v>-13.922498961603591</c:v>
                </c:pt>
                <c:pt idx="100">
                  <c:v>-13.842594005069728</c:v>
                </c:pt>
                <c:pt idx="101">
                  <c:v>-13.761973991527755</c:v>
                </c:pt>
                <c:pt idx="102">
                  <c:v>-13.680577229587334</c:v>
                </c:pt>
                <c:pt idx="103">
                  <c:v>-13.598342027858127</c:v>
                </c:pt>
                <c:pt idx="104">
                  <c:v>-13.515206694949796</c:v>
                </c:pt>
                <c:pt idx="105">
                  <c:v>-13.431109539472008</c:v>
                </c:pt>
                <c:pt idx="106">
                  <c:v>-13.345988870034422</c:v>
                </c:pt>
                <c:pt idx="107">
                  <c:v>-13.259782995246704</c:v>
                </c:pt>
                <c:pt idx="108">
                  <c:v>-13.172430223718516</c:v>
                </c:pt>
                <c:pt idx="109">
                  <c:v>-13.083868864059522</c:v>
                </c:pt>
                <c:pt idx="110">
                  <c:v>-12.994037224879383</c:v>
                </c:pt>
                <c:pt idx="111">
                  <c:v>-12.902873614787765</c:v>
                </c:pt>
                <c:pt idx="112">
                  <c:v>-12.810316342394328</c:v>
                </c:pt>
                <c:pt idx="113">
                  <c:v>-12.71630371630874</c:v>
                </c:pt>
                <c:pt idx="114">
                  <c:v>-12.62077404514066</c:v>
                </c:pt>
                <c:pt idx="115">
                  <c:v>-12.523665637499748</c:v>
                </c:pt>
                <c:pt idx="116">
                  <c:v>-12.424916801995675</c:v>
                </c:pt>
                <c:pt idx="117">
                  <c:v>-12.324465847238098</c:v>
                </c:pt>
                <c:pt idx="118">
                  <c:v>-12.222251081836685</c:v>
                </c:pt>
                <c:pt idx="119">
                  <c:v>-12.118210814401094</c:v>
                </c:pt>
                <c:pt idx="120">
                  <c:v>-12.012283353540992</c:v>
                </c:pt>
                <c:pt idx="121">
                  <c:v>-11.904423032712371</c:v>
                </c:pt>
                <c:pt idx="122">
                  <c:v>-11.794648284756542</c:v>
                </c:pt>
                <c:pt idx="123">
                  <c:v>-11.682993567361141</c:v>
                </c:pt>
                <c:pt idx="124">
                  <c:v>-11.569493338213809</c:v>
                </c:pt>
                <c:pt idx="125">
                  <c:v>-11.454182055002187</c:v>
                </c:pt>
                <c:pt idx="126">
                  <c:v>-11.337094175413915</c:v>
                </c:pt>
                <c:pt idx="127">
                  <c:v>-11.218264157136632</c:v>
                </c:pt>
                <c:pt idx="128">
                  <c:v>-11.097726457857979</c:v>
                </c:pt>
                <c:pt idx="129">
                  <c:v>-10.975515535265593</c:v>
                </c:pt>
                <c:pt idx="130">
                  <c:v>-10.851665847047116</c:v>
                </c:pt>
                <c:pt idx="131">
                  <c:v>-10.72621185089019</c:v>
                </c:pt>
                <c:pt idx="132">
                  <c:v>-10.599188004482448</c:v>
                </c:pt>
                <c:pt idx="133">
                  <c:v>-10.470628765511535</c:v>
                </c:pt>
                <c:pt idx="134">
                  <c:v>-10.34056859166509</c:v>
                </c:pt>
                <c:pt idx="135">
                  <c:v>-10.209041940630749</c:v>
                </c:pt>
                <c:pt idx="136">
                  <c:v>-10.076083270096159</c:v>
                </c:pt>
                <c:pt idx="137">
                  <c:v>-9.9417270377489562</c:v>
                </c:pt>
                <c:pt idx="138">
                  <c:v>-9.8060077012767763</c:v>
                </c:pt>
                <c:pt idx="139">
                  <c:v>-9.6689597183672653</c:v>
                </c:pt>
                <c:pt idx="140">
                  <c:v>-9.5306175467080596</c:v>
                </c:pt>
                <c:pt idx="141">
                  <c:v>-9.3910156439867993</c:v>
                </c:pt>
                <c:pt idx="142">
                  <c:v>-9.2501884678911246</c:v>
                </c:pt>
                <c:pt idx="143">
                  <c:v>-9.1081704761086755</c:v>
                </c:pt>
                <c:pt idx="144">
                  <c:v>-8.9649961263270903</c:v>
                </c:pt>
                <c:pt idx="145">
                  <c:v>-8.8206998762340092</c:v>
                </c:pt>
                <c:pt idx="146">
                  <c:v>-8.6753161835170758</c:v>
                </c:pt>
                <c:pt idx="147">
                  <c:v>-8.5288795058639231</c:v>
                </c:pt>
                <c:pt idx="148">
                  <c:v>-8.3814243009621947</c:v>
                </c:pt>
                <c:pt idx="149">
                  <c:v>-8.2329850264995308</c:v>
                </c:pt>
                <c:pt idx="150">
                  <c:v>-8.0835961401635714</c:v>
                </c:pt>
                <c:pt idx="151">
                  <c:v>-7.9332920996419531</c:v>
                </c:pt>
                <c:pt idx="152">
                  <c:v>-7.7821073626223196</c:v>
                </c:pt>
                <c:pt idx="153">
                  <c:v>-7.6300763867923083</c:v>
                </c:pt>
                <c:pt idx="154">
                  <c:v>-7.4772336298395583</c:v>
                </c:pt>
                <c:pt idx="155">
                  <c:v>-7.3236135494517107</c:v>
                </c:pt>
                <c:pt idx="156">
                  <c:v>-7.1692506033164065</c:v>
                </c:pt>
                <c:pt idx="157">
                  <c:v>-7.0141792491212822</c:v>
                </c:pt>
                <c:pt idx="158">
                  <c:v>-6.8584339445539806</c:v>
                </c:pt>
                <c:pt idx="159">
                  <c:v>-6.7020491473021391</c:v>
                </c:pt>
                <c:pt idx="160">
                  <c:v>-6.5450593150533996</c:v>
                </c:pt>
                <c:pt idx="161">
                  <c:v>-6.3874989054953994</c:v>
                </c:pt>
                <c:pt idx="162">
                  <c:v>-6.2294023763157806</c:v>
                </c:pt>
                <c:pt idx="163">
                  <c:v>-6.0708041852021815</c:v>
                </c:pt>
                <c:pt idx="164">
                  <c:v>-5.911738789842242</c:v>
                </c:pt>
                <c:pt idx="165">
                  <c:v>-5.7522406479236023</c:v>
                </c:pt>
                <c:pt idx="166">
                  <c:v>-5.5923403707996338</c:v>
                </c:pt>
                <c:pt idx="167">
                  <c:v>-5.4320531844866355</c:v>
                </c:pt>
                <c:pt idx="168">
                  <c:v>-5.2713904686666364</c:v>
                </c:pt>
                <c:pt idx="169">
                  <c:v>-5.1103636030216677</c:v>
                </c:pt>
                <c:pt idx="170">
                  <c:v>-4.9489839672337599</c:v>
                </c:pt>
                <c:pt idx="171">
                  <c:v>-4.7872629409849425</c:v>
                </c:pt>
                <c:pt idx="172">
                  <c:v>-4.625211903957247</c:v>
                </c:pt>
                <c:pt idx="173">
                  <c:v>-4.4628422358327029</c:v>
                </c:pt>
                <c:pt idx="174">
                  <c:v>-4.3001653162933398</c:v>
                </c:pt>
                <c:pt idx="175">
                  <c:v>-4.1371925250211889</c:v>
                </c:pt>
                <c:pt idx="176">
                  <c:v>-3.9739352416982818</c:v>
                </c:pt>
                <c:pt idx="177">
                  <c:v>-3.8104048460066462</c:v>
                </c:pt>
                <c:pt idx="178">
                  <c:v>-3.6466127176283138</c:v>
                </c:pt>
                <c:pt idx="179">
                  <c:v>-3.4825702362453153</c:v>
                </c:pt>
                <c:pt idx="180">
                  <c:v>-3.3182887815396795</c:v>
                </c:pt>
                <c:pt idx="181">
                  <c:v>-3.1537797331934381</c:v>
                </c:pt>
                <c:pt idx="182">
                  <c:v>-2.9890544708886209</c:v>
                </c:pt>
                <c:pt idx="183">
                  <c:v>-2.8241243743072579</c:v>
                </c:pt>
                <c:pt idx="184">
                  <c:v>-2.6590008231313802</c:v>
                </c:pt>
                <c:pt idx="185">
                  <c:v>-2.4936951970430177</c:v>
                </c:pt>
                <c:pt idx="186">
                  <c:v>-2.3282188757241999</c:v>
                </c:pt>
                <c:pt idx="187">
                  <c:v>-2.1625832388569588</c:v>
                </c:pt>
                <c:pt idx="188">
                  <c:v>-1.9967996661233234</c:v>
                </c:pt>
                <c:pt idx="189">
                  <c:v>-1.8308795372053241</c:v>
                </c:pt>
                <c:pt idx="190">
                  <c:v>-1.6648342317849916</c:v>
                </c:pt>
                <c:pt idx="191">
                  <c:v>-1.4986751295443563</c:v>
                </c:pt>
                <c:pt idx="192">
                  <c:v>-1.332413610165448</c:v>
                </c:pt>
                <c:pt idx="193">
                  <c:v>-1.1660610533302971</c:v>
                </c:pt>
                <c:pt idx="194">
                  <c:v>-0.99962883872093444</c:v>
                </c:pt>
                <c:pt idx="195">
                  <c:v>-0.83312834601938979</c:v>
                </c:pt>
                <c:pt idx="196">
                  <c:v>-0.66657095490769369</c:v>
                </c:pt>
                <c:pt idx="197">
                  <c:v>-0.49996804506787634</c:v>
                </c:pt>
                <c:pt idx="198">
                  <c:v>-0.33333099618196804</c:v>
                </c:pt>
                <c:pt idx="199">
                  <c:v>-0.16667118793199917</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-23.042979917580961</c:v>
                </c:pt>
                <c:pt idx="1">
                  <c:v>-19.705157482729604</c:v>
                </c:pt>
                <c:pt idx="2">
                  <c:v>-16.808485693561376</c:v>
                </c:pt>
                <c:pt idx="3">
                  <c:v>-14.619645084448907</c:v>
                </c:pt>
                <c:pt idx="4">
                  <c:v>-12.012283353540994</c:v>
                </c:pt>
                <c:pt idx="5">
                  <c:v>-5.7522406479236023</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-23.090297244078783</c:v>
                </c:pt>
                <c:pt idx="1">
                  <c:v>-23.015081870331642</c:v>
                </c:pt>
                <c:pt idx="2">
                  <c:v>-22.945739137883493</c:v>
                </c:pt>
                <c:pt idx="3">
                  <c:v>-22.881224939266758</c:v>
                </c:pt>
                <c:pt idx="4">
                  <c:v>-22.820580531646101</c:v>
                </c:pt>
                <c:pt idx="5">
                  <c:v>-22.762928246831279</c:v>
                </c:pt>
                <c:pt idx="6">
                  <c:v>-22.707467339269442</c:v>
                </c:pt>
                <c:pt idx="7">
                  <c:v>-22.653469969339994</c:v>
                </c:pt>
                <c:pt idx="8">
                  <c:v>-22.600277319313591</c:v>
                </c:pt>
                <c:pt idx="9">
                  <c:v>-22.5472958393716</c:v>
                </c:pt>
                <c:pt idx="10">
                  <c:v>-22.493993621064988</c:v>
                </c:pt>
                <c:pt idx="11">
                  <c:v>-22.439896895680818</c:v>
                </c:pt>
                <c:pt idx="12">
                  <c:v>-22.384586654943973</c:v>
                </c:pt>
                <c:pt idx="13">
                  <c:v>-22.327695391543898</c:v>
                </c:pt>
                <c:pt idx="14">
                  <c:v>-22.268903956994336</c:v>
                </c:pt>
                <c:pt idx="15">
                  <c:v>-22.207938534345431</c:v>
                </c:pt>
                <c:pt idx="16">
                  <c:v>-22.14456772330243</c:v>
                </c:pt>
                <c:pt idx="17">
                  <c:v>-22.078599735323451</c:v>
                </c:pt>
                <c:pt idx="18">
                  <c:v>-22.009879696308417</c:v>
                </c:pt>
                <c:pt idx="19">
                  <c:v>-21.9382870544772</c:v>
                </c:pt>
                <c:pt idx="20">
                  <c:v>-21.863733091112408</c:v>
                </c:pt>
                <c:pt idx="21">
                  <c:v>-21.786158531809861</c:v>
                </c:pt>
                <c:pt idx="22">
                  <c:v>-21.705531255960068</c:v>
                </c:pt>
                <c:pt idx="23">
                  <c:v>-21.621844102148088</c:v>
                </c:pt>
                <c:pt idx="24">
                  <c:v>-21.535112767240889</c:v>
                </c:pt>
                <c:pt idx="25">
                  <c:v>-21.44537379691792</c:v>
                </c:pt>
                <c:pt idx="26">
                  <c:v>-21.352682665424595</c:v>
                </c:pt>
                <c:pt idx="27">
                  <c:v>-21.257111942385279</c:v>
                </c:pt>
                <c:pt idx="28">
                  <c:v>-21.158749544491798</c:v>
                </c:pt>
                <c:pt idx="29">
                  <c:v>-21.057697069946812</c:v>
                </c:pt>
                <c:pt idx="30">
                  <c:v>-20.95406821353231</c:v>
                </c:pt>
                <c:pt idx="31">
                  <c:v>-20.847987260225466</c:v>
                </c:pt>
                <c:pt idx="32">
                  <c:v>-20.739587655288233</c:v>
                </c:pt>
                <c:pt idx="33">
                  <c:v>-20.629010648790654</c:v>
                </c:pt>
                <c:pt idx="34">
                  <c:v>-20.516404012548662</c:v>
                </c:pt>
                <c:pt idx="35">
                  <c:v>-20.401920827481263</c:v>
                </c:pt>
                <c:pt idx="36">
                  <c:v>-20.28571833941669</c:v>
                </c:pt>
                <c:pt idx="37">
                  <c:v>-20.167956881399277</c:v>
                </c:pt>
                <c:pt idx="38">
                  <c:v>-20.048798860577847</c:v>
                </c:pt>
                <c:pt idx="39">
                  <c:v>-19.928407807768508</c:v>
                </c:pt>
                <c:pt idx="40">
                  <c:v>-19.806947487826875</c:v>
                </c:pt>
                <c:pt idx="41">
                  <c:v>-19.68458106896972</c:v>
                </c:pt>
                <c:pt idx="42">
                  <c:v>-19.561470349221565</c:v>
                </c:pt>
                <c:pt idx="43">
                  <c:v>-19.43777503818302</c:v>
                </c:pt>
                <c:pt idx="44">
                  <c:v>-19.313652092342636</c:v>
                </c:pt>
                <c:pt idx="45">
                  <c:v>-19.189255102170875</c:v>
                </c:pt>
                <c:pt idx="46">
                  <c:v>-19.064733729271353</c:v>
                </c:pt>
                <c:pt idx="47">
                  <c:v>-18.94023319187346</c:v>
                </c:pt>
                <c:pt idx="48">
                  <c:v>-18.815893796991958</c:v>
                </c:pt>
                <c:pt idx="49">
                  <c:v>-18.691850517582509</c:v>
                </c:pt>
                <c:pt idx="50">
                  <c:v>-18.568232613064566</c:v>
                </c:pt>
                <c:pt idx="51">
                  <c:v>-18.445163291595946</c:v>
                </c:pt>
                <c:pt idx="52">
                  <c:v>-18.32275941251109</c:v>
                </c:pt>
                <c:pt idx="53">
                  <c:v>-18.201131227356541</c:v>
                </c:pt>
                <c:pt idx="54">
                  <c:v>-18.080382157987486</c:v>
                </c:pt>
                <c:pt idx="55">
                  <c:v>-17.960608610202442</c:v>
                </c:pt>
                <c:pt idx="56">
                  <c:v>-17.841899821427063</c:v>
                </c:pt>
                <c:pt idx="57">
                  <c:v>-17.72433774097685</c:v>
                </c:pt>
                <c:pt idx="58">
                  <c:v>-17.607996941452967</c:v>
                </c:pt>
                <c:pt idx="59">
                  <c:v>-17.492944559850059</c:v>
                </c:pt>
                <c:pt idx="60">
                  <c:v>-17.379240266979451</c:v>
                </c:pt>
                <c:pt idx="61">
                  <c:v>-17.266936263833401</c:v>
                </c:pt>
                <c:pt idx="62">
                  <c:v>-17.15607730353905</c:v>
                </c:pt>
                <c:pt idx="63">
                  <c:v>-17.046700737580224</c:v>
                </c:pt>
                <c:pt idx="64">
                  <c:v>-16.938836584981502</c:v>
                </c:pt>
                <c:pt idx="65">
                  <c:v>-16.832507623178202</c:v>
                </c:pt>
                <c:pt idx="66">
                  <c:v>-16.727729499317576</c:v>
                </c:pt>
                <c:pt idx="67">
                  <c:v>-16.624510860762051</c:v>
                </c:pt>
                <c:pt idx="68">
                  <c:v>-16.522853503586937</c:v>
                </c:pt>
                <c:pt idx="69">
                  <c:v>-16.422752537890119</c:v>
                </c:pt>
                <c:pt idx="70">
                  <c:v>-16.324196568756442</c:v>
                </c:pt>
                <c:pt idx="71">
                  <c:v>-16.227167891741431</c:v>
                </c:pt>
                <c:pt idx="72">
                  <c:v>-16.131642701762154</c:v>
                </c:pt>
                <c:pt idx="73">
                  <c:v>-16.03759131431157</c:v>
                </c:pt>
                <c:pt idx="74">
                  <c:v>-15.944978397930214</c:v>
                </c:pt>
                <c:pt idx="75">
                  <c:v>-15.853763216897839</c:v>
                </c:pt>
                <c:pt idx="76">
                  <c:v>-15.763899883129412</c:v>
                </c:pt>
                <c:pt idx="77">
                  <c:v>-15.675337616284168</c:v>
                </c:pt>
                <c:pt idx="78">
                  <c:v>-15.588021011120148</c:v>
                </c:pt>
                <c:pt idx="79">
                  <c:v>-15.501890311150785</c:v>
                </c:pt>
                <c:pt idx="80">
                  <c:v>-15.416881687684686</c:v>
                </c:pt>
                <c:pt idx="81">
                  <c:v>-15.332927523351003</c:v>
                </c:pt>
                <c:pt idx="82">
                  <c:v>-15.249956699240762</c:v>
                </c:pt>
                <c:pt idx="83">
                  <c:v>-15.167894884814299</c:v>
                </c:pt>
                <c:pt idx="84">
                  <c:v>-15.086664829752539</c:v>
                </c:pt>
                <c:pt idx="85">
                  <c:v>-15.006186656950295</c:v>
                </c:pt>
                <c:pt idx="86">
                  <c:v>-14.926378155876197</c:v>
                </c:pt>
                <c:pt idx="87">
                  <c:v>-14.847155075546976</c:v>
                </c:pt>
                <c:pt idx="88">
                  <c:v>-14.76843141638745</c:v>
                </c:pt>
                <c:pt idx="89">
                  <c:v>-14.690119720270914</c:v>
                </c:pt>
                <c:pt idx="90">
                  <c:v>-14.612131358060743</c:v>
                </c:pt>
                <c:pt idx="91">
                  <c:v>-14.534376813994847</c:v>
                </c:pt>
                <c:pt idx="92">
                  <c:v>-14.45676596628123</c:v>
                </c:pt>
                <c:pt idx="93">
                  <c:v>-14.379208363294902</c:v>
                </c:pt>
                <c:pt idx="94">
                  <c:v>-14.301613494791388</c:v>
                </c:pt>
                <c:pt idx="95">
                  <c:v>-14.223891057575669</c:v>
                </c:pt>
                <c:pt idx="96">
                  <c:v>-14.145951215088594</c:v>
                </c:pt>
                <c:pt idx="97">
                  <c:v>-14.067704850398343</c:v>
                </c:pt>
                <c:pt idx="98">
                  <c:v>-13.989063812106508</c:v>
                </c:pt>
                <c:pt idx="99">
                  <c:v>-13.909941152703418</c:v>
                </c:pt>
                <c:pt idx="100">
                  <c:v>-13.830251358931246</c:v>
                </c:pt>
                <c:pt idx="101">
                  <c:v>-13.749910573736479</c:v>
                </c:pt>
                <c:pt idx="102">
                  <c:v>-13.668836809418202</c:v>
                </c:pt>
                <c:pt idx="103">
                  <c:v>-13.586950151601922</c:v>
                </c:pt>
                <c:pt idx="104">
                  <c:v>-13.504172953692839</c:v>
                </c:pt>
                <c:pt idx="105">
                  <c:v>-13.420430021486077</c:v>
                </c:pt>
                <c:pt idx="106">
                  <c:v>-13.335648787635652</c:v>
                </c:pt>
                <c:pt idx="107">
                  <c:v>-13.24975947570768</c:v>
                </c:pt>
                <c:pt idx="108">
                  <c:v>-13.162695253567074</c:v>
                </c:pt>
                <c:pt idx="109">
                  <c:v>-13.074392375870918</c:v>
                </c:pt>
                <c:pt idx="110">
                  <c:v>-12.9847903154661</c:v>
                </c:pt>
                <c:pt idx="111">
                  <c:v>-12.893831883511664</c:v>
                </c:pt>
                <c:pt idx="112">
                  <c:v>-12.801463338171466</c:v>
                </c:pt>
                <c:pt idx="113">
                  <c:v>-12.707634481745403</c:v>
                </c:pt>
                <c:pt idx="114">
                  <c:v>-12.612298746132305</c:v>
                </c:pt>
                <c:pt idx="115">
                  <c:v>-12.515413266541069</c:v>
                </c:pt>
                <c:pt idx="116">
                  <c:v>-12.416938943390477</c:v>
                </c:pt>
                <c:pt idx="117">
                  <c:v>-12.316840492362058</c:v>
                </c:pt>
                <c:pt idx="118">
                  <c:v>-12.215086482594575</c:v>
                </c:pt>
                <c:pt idx="119">
                  <c:v>-12.111649363031969</c:v>
                </c:pt>
                <c:pt idx="120">
                  <c:v>-12.006505476961191</c:v>
                </c:pt>
                <c:pt idx="121">
                  <c:v>-11.899635064799661</c:v>
                </c:pt>
                <c:pt idx="122">
                  <c:v>-11.791022255216353</c:v>
                </c:pt>
                <c:pt idx="123">
                  <c:v>-11.680655044694342</c:v>
                </c:pt>
                <c:pt idx="124">
                  <c:v>-11.568525265666237</c:v>
                </c:pt>
                <c:pt idx="125">
                  <c:v>-11.454628543378368</c:v>
                </c:pt>
                <c:pt idx="126">
                  <c:v>-11.338964241662989</c:v>
                </c:pt>
                <c:pt idx="127">
                  <c:v>-11.221535397821796</c:v>
                </c:pt>
                <c:pt idx="128">
                  <c:v>-11.102348646848244</c:v>
                </c:pt>
                <c:pt idx="129">
                  <c:v>-10.981414135239508</c:v>
                </c:pt>
                <c:pt idx="130">
                  <c:v>-10.858745424673259</c:v>
                </c:pt>
                <c:pt idx="131">
                  <c:v>-10.734359385848238</c:v>
                </c:pt>
                <c:pt idx="132">
                  <c:v>-10.608276082811257</c:v>
                </c:pt>
                <c:pt idx="133">
                  <c:v>-10.480518648117464</c:v>
                </c:pt>
                <c:pt idx="134">
                  <c:v>-10.351113149194454</c:v>
                </c:pt>
                <c:pt idx="135">
                  <c:v>-10.220088446304652</c:v>
                </c:pt>
                <c:pt idx="136">
                  <c:v>-10.087476042524431</c:v>
                </c:pt>
                <c:pt idx="137">
                  <c:v>-9.9533099261821576</c:v>
                </c:pt>
                <c:pt idx="138">
                  <c:v>-9.8176264062214074</c:v>
                </c:pt>
                <c:pt idx="139">
                  <c:v>-9.680463940979374</c:v>
                </c:pt>
                <c:pt idx="140">
                  <c:v>-9.5418629608944183</c:v>
                </c:pt>
                <c:pt idx="141">
                  <c:v>-9.4018656856806437</c:v>
                </c:pt>
                <c:pt idx="142">
                  <c:v>-9.2605159365311671</c:v>
                </c:pt>
                <c:pt idx="143">
                  <c:v>-9.1178589439358237</c:v>
                </c:pt>
                <c:pt idx="144">
                  <c:v>-8.9739411517227037</c:v>
                </c:pt>
                <c:pt idx="145">
                  <c:v>-8.8288100179570748</c:v>
                </c:pt>
                <c:pt idx="146">
                  <c:v>-8.6825138133548858</c:v>
                </c:pt>
                <c:pt idx="147">
                  <c:v>-8.5351014178921201</c:v>
                </c:pt>
                <c:pt idx="148">
                  <c:v>-8.3866221163150918</c:v>
                </c:pt>
                <c:pt idx="149">
                  <c:v>-8.2371253932806621</c:v>
                </c:pt>
                <c:pt idx="150">
                  <c:v>-8.0866607288792416</c:v>
                </c:pt>
                <c:pt idx="151">
                  <c:v>-7.9352773953174163</c:v>
                </c:pt>
                <c:pt idx="152">
                  <c:v>-7.7830242555608056</c:v>
                </c:pt>
                <c:pt idx="153">
                  <c:v>-7.6299495647617297</c:v>
                </c:pt>
                <c:pt idx="154">
                  <c:v>-7.476100775320166</c:v>
                </c:pt>
                <c:pt idx="155">
                  <c:v>-7.321524346450329</c:v>
                </c:pt>
                <c:pt idx="156">
                  <c:v>-7.166265559149104</c:v>
                </c:pt>
                <c:pt idx="157">
                  <c:v>-7.0103683374864794</c:v>
                </c:pt>
                <c:pt idx="158">
                  <c:v>-6.853875077162022</c:v>
                </c:pt>
                <c:pt idx="159">
                  <c:v>-6.6968264822952746</c:v>
                </c:pt>
                <c:pt idx="160">
                  <c:v>-6.5392614114419336</c:v>
                </c:pt>
                <c:pt idx="161">
                  <c:v>-6.3812167338514953</c:v>
                </c:pt>
                <c:pt idx="162">
                  <c:v>-6.2227271970059457</c:v>
                </c:pt>
                <c:pt idx="163">
                  <c:v>-6.0638253065030421</c:v>
                </c:pt>
                <c:pt idx="164">
                  <c:v>-5.9045412193715219</c:v>
                </c:pt>
                <c:pt idx="165">
                  <c:v>-5.744902651929535</c:v>
                </c:pt>
                <c:pt idx="166">
                  <c:v>-5.5849348033214836</c:v>
                </c:pt>
                <c:pt idx="167">
                  <c:v>-5.4246602958923091</c:v>
                </c:pt>
                <c:pt idx="168">
                  <c:v>-5.2640991335822065</c:v>
                </c:pt>
                <c:pt idx="169">
                  <c:v>-5.1032686795486049</c:v>
                </c:pt>
                <c:pt idx="170">
                  <c:v>-4.9421836542461577</c:v>
                </c:pt>
                <c:pt idx="171">
                  <c:v>-4.7808561552193831</c:v>
                </c:pt>
                <c:pt idx="172">
                  <c:v>-4.6192956998864911</c:v>
                </c:pt>
                <c:pt idx="173">
                  <c:v>-4.4575092926167876</c:v>
                </c:pt>
                <c:pt idx="174">
                  <c:v>-4.2955015174280273</c:v>
                </c:pt>
                <c:pt idx="175">
                  <c:v>-4.1332746576538621</c:v>
                </c:pt>
                <c:pt idx="176">
                  <c:v>-3.9708288439555339</c:v>
                </c:pt>
                <c:pt idx="177">
                  <c:v>-3.8081622320757784</c:v>
                </c:pt>
                <c:pt idx="178">
                  <c:v>-3.6452712117568424</c:v>
                </c:pt>
                <c:pt idx="179">
                  <c:v>-3.4821506482683842</c:v>
                </c:pt>
                <c:pt idx="180">
                  <c:v>-3.3187941580149429</c:v>
                </c:pt>
                <c:pt idx="181">
                  <c:v>-3.1551944197165223</c:v>
                </c:pt>
                <c:pt idx="182">
                  <c:v>-2.9913435226797813</c:v>
                </c:pt>
                <c:pt idx="183">
                  <c:v>-2.8272333537011445</c:v>
                </c:pt>
                <c:pt idx="184">
                  <c:v>-2.6628560241671093</c:v>
                </c:pt>
                <c:pt idx="185">
                  <c:v>-2.4982043389408752</c:v>
                </c:pt>
                <c:pt idx="186">
                  <c:v>-2.3332723086483216</c:v>
                </c:pt>
                <c:pt idx="187">
                  <c:v>-2.1680557070002711</c:v>
                </c:pt>
                <c:pt idx="188">
                  <c:v>-2.0025526748118403</c:v>
                </c:pt>
                <c:pt idx="189">
                  <c:v>-1.8367643724036098</c:v>
                </c:pt>
                <c:pt idx="190">
                  <c:v>-1.6706956820931853</c:v>
                </c:pt>
                <c:pt idx="191">
                  <c:v>-1.5043559625096823</c:v>
                </c:pt>
                <c:pt idx="192">
                  <c:v>-1.3377598564874915</c:v>
                </c:pt>
                <c:pt idx="193">
                  <c:v>-1.1709281543196279</c:v>
                </c:pt>
                <c:pt idx="194">
                  <c:v>-1.0038887141748294</c:v>
                </c:pt>
                <c:pt idx="195">
                  <c:v>-0.83667744150647638</c:v>
                </c:pt>
                <c:pt idx="196">
                  <c:v>-0.66933932930528928</c:v>
                </c:pt>
                <c:pt idx="197">
                  <c:v>-0.50192956107166498</c:v>
                </c:pt>
                <c:pt idx="198">
                  <c:v>-0.33451467840739219</c:v>
                </c:pt>
                <c:pt idx="199">
                  <c:v>-0.16717381515038973</c:v>
                </c:pt>
                <c:pt idx="200">
                  <c:v>0</c:v>
                </c:pt>
              </c:numCache>
            </c:numRef>
          </c:yVal>
          <c:smooth val="1"/>
        </c:ser>
        <c:dLbls>
          <c:showLegendKey val="0"/>
          <c:showVal val="0"/>
          <c:showCatName val="0"/>
          <c:showSerName val="0"/>
          <c:showPercent val="0"/>
          <c:showBubbleSize val="0"/>
        </c:dLbls>
        <c:axId val="485481656"/>
        <c:axId val="485475384"/>
      </c:scatterChart>
      <c:valAx>
        <c:axId val="48548165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475384"/>
        <c:crossesAt val="-1000"/>
        <c:crossBetween val="midCat"/>
      </c:valAx>
      <c:valAx>
        <c:axId val="485475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548165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1.9178677428571428E-5</v>
      </c>
    </row>
    <row r="26" spans="1:2" s="11" customFormat="1" x14ac:dyDescent="0.25">
      <c r="A26" s="61" t="s">
        <v>148</v>
      </c>
      <c r="B26" s="53">
        <f>CTE!O6</f>
        <v>2.1154238571428571E-5</v>
      </c>
    </row>
    <row r="27" spans="1:2" s="11" customFormat="1" x14ac:dyDescent="0.25">
      <c r="A27" s="61" t="s">
        <v>149</v>
      </c>
      <c r="B27" s="53">
        <f>CTE!O8</f>
        <v>5.9200051428571433E-5</v>
      </c>
    </row>
    <row r="28" spans="1:2" s="11" customFormat="1" x14ac:dyDescent="0.25">
      <c r="A28" s="61" t="s">
        <v>150</v>
      </c>
      <c r="B28" s="53">
        <f>CTE!O9</f>
        <v>5.9157857142857142E-5</v>
      </c>
    </row>
    <row r="29" spans="1:2" s="11" customFormat="1" x14ac:dyDescent="0.25">
      <c r="A29" s="61"/>
    </row>
    <row r="30" spans="1:2" s="11" customFormat="1" x14ac:dyDescent="0.25">
      <c r="A30" s="61" t="s">
        <v>151</v>
      </c>
      <c r="B30" s="52">
        <f>CTE!P5</f>
        <v>1.9777143684210526E-5</v>
      </c>
    </row>
    <row r="31" spans="1:2" s="11" customFormat="1" x14ac:dyDescent="0.25">
      <c r="A31" s="61" t="s">
        <v>152</v>
      </c>
      <c r="B31" s="52">
        <f>CTE!P6</f>
        <v>2.1845439578947371E-5</v>
      </c>
    </row>
    <row r="32" spans="1:2" s="11" customFormat="1" x14ac:dyDescent="0.25">
      <c r="A32" s="61" t="s">
        <v>153</v>
      </c>
      <c r="B32" s="52">
        <f>CTE!P8</f>
        <v>6.052054E-5</v>
      </c>
    </row>
    <row r="33" spans="1:2" s="11" customFormat="1" x14ac:dyDescent="0.25">
      <c r="A33" s="61" t="s">
        <v>154</v>
      </c>
      <c r="B33" s="52">
        <f>CTE!P9</f>
        <v>6.0679988421052626E-5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0.16705553559392336</v>
      </c>
      <c r="D59" s="55">
        <v>1</v>
      </c>
    </row>
    <row r="60" spans="1:4" s="11" customFormat="1" x14ac:dyDescent="0.25">
      <c r="A60" s="54">
        <v>2</v>
      </c>
      <c r="B60" s="56">
        <f>'Shiftfunktion bestimmen'!N2</f>
        <v>-1.369763955103716E-4</v>
      </c>
      <c r="D60" s="55">
        <v>2</v>
      </c>
    </row>
    <row r="61" spans="1:4" s="11" customFormat="1" x14ac:dyDescent="0.25">
      <c r="A61" s="54">
        <v>3</v>
      </c>
      <c r="B61" s="56">
        <f>'Shiftfunktion bestimmen'!N3</f>
        <v>-1.9380469575411443E-5</v>
      </c>
      <c r="D61" s="55">
        <v>3</v>
      </c>
    </row>
    <row r="62" spans="1:4" s="11" customFormat="1" x14ac:dyDescent="0.25">
      <c r="A62" s="54">
        <v>4</v>
      </c>
      <c r="B62" s="56">
        <f>'Shiftfunktion bestimmen'!N4</f>
        <v>-6.958783840210885E-7</v>
      </c>
      <c r="D62" s="55">
        <v>4</v>
      </c>
    </row>
    <row r="63" spans="1:4" s="11" customFormat="1" x14ac:dyDescent="0.25">
      <c r="A63" s="54">
        <v>5</v>
      </c>
      <c r="B63" s="56">
        <f>'Shiftfunktion bestimmen'!N5</f>
        <v>-1.2350881475956887E-8</v>
      </c>
      <c r="D63" s="55">
        <v>5</v>
      </c>
    </row>
    <row r="64" spans="1:4" s="11" customFormat="1" x14ac:dyDescent="0.25">
      <c r="A64" s="54">
        <v>6</v>
      </c>
      <c r="B64" s="56">
        <f>'Shiftfunktion bestimmen'!N6</f>
        <v>-1.0343130358375534E-10</v>
      </c>
      <c r="D64" s="55">
        <v>6</v>
      </c>
    </row>
    <row r="65" spans="1:5" s="11" customFormat="1" x14ac:dyDescent="0.25">
      <c r="A65" s="54">
        <v>7</v>
      </c>
      <c r="B65" s="56">
        <f>'Shiftfunktion bestimmen'!N7</f>
        <v>-4.0300762608368391E-13</v>
      </c>
      <c r="D65" s="55">
        <v>7</v>
      </c>
    </row>
    <row r="66" spans="1:5" x14ac:dyDescent="0.25">
      <c r="A66" s="54">
        <v>8</v>
      </c>
      <c r="B66" s="56">
        <f>'Shiftfunktion bestimmen'!N8</f>
        <v>-5.9258388019197073E-16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0.23378333179810445</v>
      </c>
      <c r="D74" s="51">
        <v>1</v>
      </c>
      <c r="E74" s="56">
        <f>'Mastercurve bestimmen'!A18</f>
        <v>1.0000000000000001E-20</v>
      </c>
    </row>
    <row r="75" spans="1:5" x14ac:dyDescent="0.25">
      <c r="A75" s="50">
        <f>A74+1</f>
        <v>2</v>
      </c>
      <c r="B75" s="56">
        <f>'Mastercurve bestimmen'!C19</f>
        <v>6.1002041254066636E-2</v>
      </c>
      <c r="D75" s="51">
        <v>2</v>
      </c>
      <c r="E75" s="56">
        <f>'Mastercurve bestimmen'!A19</f>
        <v>3.9038946506297401E-14</v>
      </c>
    </row>
    <row r="76" spans="1:5" x14ac:dyDescent="0.25">
      <c r="A76" s="50">
        <f t="shared" ref="A76:A104" si="0">A75+1</f>
        <v>3</v>
      </c>
      <c r="B76" s="56">
        <f>'Mastercurve bestimmen'!C20</f>
        <v>3.0700763224642783E-2</v>
      </c>
      <c r="D76" s="51">
        <v>3</v>
      </c>
      <c r="E76" s="56">
        <f>'Mastercurve bestimmen'!A20</f>
        <v>4.3276437088188502E-13</v>
      </c>
    </row>
    <row r="77" spans="1:5" x14ac:dyDescent="0.25">
      <c r="A77" s="50">
        <f t="shared" si="0"/>
        <v>4</v>
      </c>
      <c r="B77" s="56">
        <f>'Mastercurve bestimmen'!C21</f>
        <v>4.1198622757823058E-2</v>
      </c>
      <c r="D77" s="51">
        <v>4</v>
      </c>
      <c r="E77" s="56">
        <f>'Mastercurve bestimmen'!A21</f>
        <v>4.7973886968128502E-12</v>
      </c>
    </row>
    <row r="78" spans="1:5" x14ac:dyDescent="0.25">
      <c r="A78" s="50">
        <f t="shared" si="0"/>
        <v>5</v>
      </c>
      <c r="B78" s="56">
        <f>'Mastercurve bestimmen'!C22</f>
        <v>2.6960630065441731E-2</v>
      </c>
      <c r="D78" s="51">
        <v>5</v>
      </c>
      <c r="E78" s="56">
        <f>'Mastercurve bestimmen'!A22</f>
        <v>5.31812225239524E-11</v>
      </c>
    </row>
    <row r="79" spans="1:5" x14ac:dyDescent="0.25">
      <c r="A79" s="50">
        <f t="shared" si="0"/>
        <v>6</v>
      </c>
      <c r="B79" s="56">
        <f>'Mastercurve bestimmen'!C23</f>
        <v>3.033745796613458E-2</v>
      </c>
      <c r="D79" s="51">
        <v>6</v>
      </c>
      <c r="E79" s="56">
        <f>'Mastercurve bestimmen'!A23</f>
        <v>5.8953789402578301E-10</v>
      </c>
    </row>
    <row r="80" spans="1:5" x14ac:dyDescent="0.25">
      <c r="A80" s="50">
        <f t="shared" si="0"/>
        <v>7</v>
      </c>
      <c r="B80" s="56">
        <f>'Mastercurve bestimmen'!C24</f>
        <v>2.6917138415699805E-2</v>
      </c>
      <c r="D80" s="51">
        <v>7</v>
      </c>
      <c r="E80" s="56">
        <f>'Mastercurve bestimmen'!A24</f>
        <v>6.5352940755699598E-9</v>
      </c>
    </row>
    <row r="81" spans="1:5" x14ac:dyDescent="0.25">
      <c r="A81" s="50">
        <f t="shared" si="0"/>
        <v>8</v>
      </c>
      <c r="B81" s="56">
        <f>'Mastercurve bestimmen'!C25</f>
        <v>3.0984948547383363E-2</v>
      </c>
      <c r="D81" s="51">
        <v>8</v>
      </c>
      <c r="E81" s="56">
        <f>'Mastercurve bestimmen'!A25</f>
        <v>7.2446689325643296E-8</v>
      </c>
    </row>
    <row r="82" spans="1:5" x14ac:dyDescent="0.25">
      <c r="A82" s="50">
        <f t="shared" si="0"/>
        <v>9</v>
      </c>
      <c r="B82" s="56">
        <f>'Mastercurve bestimmen'!C26</f>
        <v>2.3928257549635897E-2</v>
      </c>
      <c r="D82" s="51">
        <f>A82</f>
        <v>9</v>
      </c>
      <c r="E82" s="56">
        <f>'Mastercurve bestimmen'!A26</f>
        <v>8.03104303120212E-7</v>
      </c>
    </row>
    <row r="83" spans="1:5" x14ac:dyDescent="0.25">
      <c r="A83" s="50">
        <f t="shared" si="0"/>
        <v>10</v>
      </c>
      <c r="B83" s="56">
        <f>'Mastercurve bestimmen'!C27</f>
        <v>3.7994873493170121E-2</v>
      </c>
      <c r="C83" s="11"/>
      <c r="D83" s="51">
        <f t="shared" ref="D83:D104" si="1">A83</f>
        <v>10</v>
      </c>
      <c r="E83" s="56">
        <f>'Mastercurve bestimmen'!A27</f>
        <v>8.9027742702096099E-6</v>
      </c>
    </row>
    <row r="84" spans="1:5" x14ac:dyDescent="0.25">
      <c r="A84" s="50">
        <f t="shared" si="0"/>
        <v>11</v>
      </c>
      <c r="B84" s="56">
        <f>'Mastercurve bestimmen'!C28</f>
        <v>3.3319642680735451E-2</v>
      </c>
      <c r="C84" s="11"/>
      <c r="D84" s="51">
        <f t="shared" si="1"/>
        <v>11</v>
      </c>
      <c r="E84" s="56">
        <f>'Mastercurve bestimmen'!A28</f>
        <v>9.86912775817142E-5</v>
      </c>
    </row>
    <row r="85" spans="1:5" x14ac:dyDescent="0.25">
      <c r="A85" s="50">
        <f t="shared" si="0"/>
        <v>12</v>
      </c>
      <c r="B85" s="56">
        <f>'Mastercurve bestimmen'!C29</f>
        <v>4.1691387602332118E-2</v>
      </c>
      <c r="C85" s="11"/>
      <c r="D85" s="51">
        <f t="shared" si="1"/>
        <v>12</v>
      </c>
      <c r="E85" s="56">
        <f>'Mastercurve bestimmen'!A29</f>
        <v>1.0940374286813801E-3</v>
      </c>
    </row>
    <row r="86" spans="1:5" x14ac:dyDescent="0.25">
      <c r="A86" s="50">
        <f t="shared" si="0"/>
        <v>13</v>
      </c>
      <c r="B86" s="56">
        <f>'Mastercurve bestimmen'!C30</f>
        <v>4.6685392649651804E-2</v>
      </c>
      <c r="C86" s="11"/>
      <c r="D86" s="51">
        <f t="shared" si="1"/>
        <v>13</v>
      </c>
      <c r="E86" s="56">
        <f>'Mastercurve bestimmen'!A30</f>
        <v>1.2127899493091E-2</v>
      </c>
    </row>
    <row r="87" spans="1:5" x14ac:dyDescent="0.25">
      <c r="A87" s="50">
        <f t="shared" si="0"/>
        <v>14</v>
      </c>
      <c r="B87" s="56">
        <f>'Mastercurve bestimmen'!C31</f>
        <v>5.4975929481542167E-2</v>
      </c>
      <c r="C87" s="11"/>
      <c r="D87" s="51">
        <f t="shared" si="1"/>
        <v>14</v>
      </c>
      <c r="E87" s="56">
        <f>'Mastercurve bestimmen'!A31</f>
        <v>0.13444324870292301</v>
      </c>
    </row>
    <row r="88" spans="1:5" x14ac:dyDescent="0.25">
      <c r="A88" s="50">
        <f t="shared" si="0"/>
        <v>15</v>
      </c>
      <c r="B88" s="56">
        <f>'Mastercurve bestimmen'!C32</f>
        <v>6.9092387087620902E-2</v>
      </c>
      <c r="C88" s="11"/>
      <c r="D88" s="51">
        <f t="shared" si="1"/>
        <v>15</v>
      </c>
      <c r="E88" s="56">
        <f>'Mastercurve bestimmen'!A32</f>
        <v>1.49036419143257</v>
      </c>
    </row>
    <row r="89" spans="1:5" x14ac:dyDescent="0.25">
      <c r="A89" s="50">
        <f t="shared" si="0"/>
        <v>16</v>
      </c>
      <c r="B89" s="56">
        <f>'Mastercurve bestimmen'!C33</f>
        <v>5.879988531550847E-2</v>
      </c>
      <c r="C89" s="11"/>
      <c r="D89" s="51">
        <f t="shared" si="1"/>
        <v>16</v>
      </c>
      <c r="E89" s="56">
        <f>'Mastercurve bestimmen'!A33</f>
        <v>16.521360830937301</v>
      </c>
    </row>
    <row r="90" spans="1:5" x14ac:dyDescent="0.25">
      <c r="A90" s="50">
        <f t="shared" si="0"/>
        <v>17</v>
      </c>
      <c r="B90" s="56">
        <f>'Mastercurve bestimmen'!C34</f>
        <v>4.7913743582903463E-2</v>
      </c>
      <c r="C90" s="11"/>
      <c r="D90" s="51">
        <f t="shared" si="1"/>
        <v>17</v>
      </c>
      <c r="E90" s="56">
        <f>'Mastercurve bestimmen'!A34</f>
        <v>183.146753843879</v>
      </c>
    </row>
    <row r="91" spans="1:5" x14ac:dyDescent="0.25">
      <c r="A91" s="50">
        <f t="shared" si="0"/>
        <v>18</v>
      </c>
      <c r="B91" s="56">
        <f>'Mastercurve bestimmen'!C35</f>
        <v>2.5827932303493749E-2</v>
      </c>
      <c r="C91" s="11"/>
      <c r="D91" s="51">
        <f t="shared" si="1"/>
        <v>18</v>
      </c>
      <c r="E91" s="56">
        <f>'Mastercurve bestimmen'!A35</f>
        <v>2030.26456396616</v>
      </c>
    </row>
    <row r="92" spans="1:5" x14ac:dyDescent="0.25">
      <c r="A92" s="50">
        <f t="shared" si="0"/>
        <v>19</v>
      </c>
      <c r="B92" s="56">
        <f>'Mastercurve bestimmen'!C36</f>
        <v>1.4720074447505073E-2</v>
      </c>
      <c r="C92" s="11"/>
      <c r="D92" s="51">
        <f t="shared" si="1"/>
        <v>19</v>
      </c>
      <c r="E92" s="56">
        <f>'Mastercurve bestimmen'!A36</f>
        <v>22506.400540467101</v>
      </c>
    </row>
    <row r="93" spans="1:5" x14ac:dyDescent="0.25">
      <c r="A93" s="50">
        <f t="shared" si="0"/>
        <v>20</v>
      </c>
      <c r="B93" s="56">
        <f>'Mastercurve bestimmen'!C37</f>
        <v>5.9239967047518835E-3</v>
      </c>
      <c r="C93" s="11"/>
      <c r="D93" s="51">
        <f t="shared" si="1"/>
        <v>20</v>
      </c>
      <c r="E93" s="56">
        <f>'Mastercurve bestimmen'!A37</f>
        <v>249493.62476110301</v>
      </c>
    </row>
    <row r="94" spans="1:5" x14ac:dyDescent="0.25">
      <c r="A94" s="50">
        <f t="shared" si="0"/>
        <v>21</v>
      </c>
      <c r="B94" s="56">
        <f>'Mastercurve bestimmen'!C38</f>
        <v>1.8347081790420509E-3</v>
      </c>
      <c r="C94" s="11"/>
      <c r="D94" s="51">
        <f t="shared" si="1"/>
        <v>21</v>
      </c>
      <c r="E94" s="56">
        <f>'Mastercurve bestimmen'!A38</f>
        <v>2765749.6224023802</v>
      </c>
    </row>
    <row r="95" spans="1:5" x14ac:dyDescent="0.25">
      <c r="A95" s="50">
        <f t="shared" si="0"/>
        <v>22</v>
      </c>
      <c r="B95" s="56">
        <f>'Mastercurve bestimmen'!C39</f>
        <v>3.8370171737972247E-3</v>
      </c>
      <c r="C95" s="11"/>
      <c r="D95" s="51">
        <f t="shared" si="1"/>
        <v>22</v>
      </c>
      <c r="E95" s="56">
        <f>'Mastercurve bestimmen'!A39</f>
        <v>10000000</v>
      </c>
    </row>
    <row r="96" spans="1:5" x14ac:dyDescent="0.25">
      <c r="A96" s="50">
        <f t="shared" si="0"/>
        <v>23</v>
      </c>
      <c r="B96" s="56">
        <f>'Mastercurve bestimmen'!C40</f>
        <v>0</v>
      </c>
      <c r="C96" s="11"/>
      <c r="D96" s="51">
        <f t="shared" si="1"/>
        <v>23</v>
      </c>
      <c r="E96" s="56">
        <f>'Mastercurve bestimmen'!A40</f>
        <v>100000000</v>
      </c>
    </row>
    <row r="97" spans="1:5" x14ac:dyDescent="0.25">
      <c r="A97" s="50">
        <f t="shared" si="0"/>
        <v>24</v>
      </c>
      <c r="B97" s="56">
        <f>'Mastercurve bestimmen'!C41</f>
        <v>1.7399495856337129E-3</v>
      </c>
      <c r="C97" s="11"/>
      <c r="D97" s="51">
        <f t="shared" si="1"/>
        <v>24</v>
      </c>
      <c r="E97" s="56">
        <f>'Mastercurve bestimmen'!A41</f>
        <v>1000000000</v>
      </c>
    </row>
    <row r="98" spans="1:5" x14ac:dyDescent="0.25">
      <c r="A98" s="50">
        <f t="shared" si="0"/>
        <v>25</v>
      </c>
      <c r="B98" s="56">
        <f>'Mastercurve bestimmen'!C42</f>
        <v>3.0775072994127634E-3</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0</v>
      </c>
      <c r="C100" s="11"/>
      <c r="D100" s="51">
        <f t="shared" si="1"/>
        <v>27</v>
      </c>
      <c r="E100" s="56">
        <f>'Mastercurve bestimmen'!A44</f>
        <v>1000000000000</v>
      </c>
    </row>
    <row r="101" spans="1:5" x14ac:dyDescent="0.25">
      <c r="A101" s="50">
        <f t="shared" si="0"/>
        <v>28</v>
      </c>
      <c r="B101" s="56">
        <f>'Mastercurve bestimmen'!C45</f>
        <v>3.9641523668516518E-5</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4.3007652150806221E-4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27691.328000000001</v>
      </c>
    </row>
    <row r="108" spans="1:5" s="11" customFormat="1" x14ac:dyDescent="0.25">
      <c r="A108" s="61" t="str">
        <f>STUTT!B3</f>
        <v>mp,PRXY,MatID,</v>
      </c>
      <c r="B108" s="52">
        <f>STUTT!C3</f>
        <v>0.35195679000000002</v>
      </c>
    </row>
    <row r="109" spans="1:5" s="11" customFormat="1" x14ac:dyDescent="0.25">
      <c r="A109" s="61" t="str">
        <f>STUTT!B4</f>
        <v>mp,ey,MatID,</v>
      </c>
      <c r="B109" s="52">
        <f>STUTT!C4</f>
        <v>27960.883999999998</v>
      </c>
    </row>
    <row r="110" spans="1:5" s="11" customFormat="1" x14ac:dyDescent="0.25">
      <c r="A110" s="61" t="str">
        <f>STUTT!B5</f>
        <v>mp,PRYZ,MatID,</v>
      </c>
      <c r="B110" s="52">
        <f>STUTT!C5</f>
        <v>0.35541003999999998</v>
      </c>
    </row>
    <row r="111" spans="1:5" s="11" customFormat="1" x14ac:dyDescent="0.25">
      <c r="A111" s="61" t="str">
        <f>STUTT!B6</f>
        <v>mp,ez,MatID,</v>
      </c>
      <c r="B111" s="52">
        <f>STUTT!C6</f>
        <v>27691.328000000001</v>
      </c>
    </row>
    <row r="112" spans="1:5" s="11" customFormat="1" x14ac:dyDescent="0.25">
      <c r="A112" s="61" t="str">
        <f>STUTT!B7</f>
        <v>mp,PRXZ,MatID,</v>
      </c>
      <c r="B112" s="52">
        <f>STUTT!C7</f>
        <v>0.35911014000000002</v>
      </c>
    </row>
    <row r="113" spans="1:4" s="11" customFormat="1" x14ac:dyDescent="0.25">
      <c r="A113" s="61" t="str">
        <f>STUTT!B8</f>
        <v>MP,GXZ,</v>
      </c>
      <c r="B113" s="52" t="str">
        <f>STUTT!C8</f>
        <v>MatID,</v>
      </c>
      <c r="C113" s="112">
        <f>STUTT!D8</f>
        <v>10187.300999999999</v>
      </c>
      <c r="D113" s="112"/>
    </row>
    <row r="114" spans="1:4" s="11" customFormat="1" x14ac:dyDescent="0.25">
      <c r="A114" s="61" t="str">
        <f>STUTT!B9</f>
        <v>MP,GXY,</v>
      </c>
      <c r="B114" s="52" t="str">
        <f>STUTT!C9</f>
        <v>MatID,</v>
      </c>
      <c r="C114" s="112">
        <f>STUTT!D9</f>
        <v>10360.254000000001</v>
      </c>
      <c r="D114" s="112"/>
    </row>
    <row r="115" spans="1:4" x14ac:dyDescent="0.25">
      <c r="A115" s="61" t="str">
        <f>STUTT!B10</f>
        <v>MP,GYZ,</v>
      </c>
      <c r="B115" s="52" t="str">
        <f>STUTT!C10</f>
        <v>MatID,</v>
      </c>
      <c r="C115" s="112">
        <f>STUTT!D10</f>
        <v>10360.254000000001</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1.0879999999999999E-7</v>
      </c>
      <c r="C3" s="3">
        <v>3.8299999999999999E-8</v>
      </c>
      <c r="D3" s="3">
        <v>1.0879999999999999E-7</v>
      </c>
      <c r="E3" s="3">
        <v>-1.0000000000000001E-5</v>
      </c>
      <c r="F3" s="3">
        <v>-1.0000000000000001E-5</v>
      </c>
      <c r="G3" s="3">
        <v>-1.0000000000000001E-5</v>
      </c>
      <c r="H3" s="3">
        <v>-3.3571118E-6</v>
      </c>
      <c r="I3" s="3">
        <v>-9.3909650000000005E-7</v>
      </c>
      <c r="J3" s="3">
        <v>-3.3571118E-6</v>
      </c>
      <c r="L3" s="48">
        <f>ABS(H3/(-0.5)/$L$1)</f>
        <v>1.9183496000000003E-5</v>
      </c>
      <c r="R3">
        <f>ABS(I3/(-0.5)/$R$1)</f>
        <v>1.9770452631578948E-5</v>
      </c>
    </row>
    <row r="4" spans="1:18" x14ac:dyDescent="0.25">
      <c r="A4">
        <v>-39</v>
      </c>
      <c r="B4" s="3">
        <v>-1.0879999999999999E-7</v>
      </c>
      <c r="C4" s="3">
        <v>-3.8229999999999999E-8</v>
      </c>
      <c r="D4" s="3">
        <v>-1.0879999999999999E-7</v>
      </c>
      <c r="E4" s="3">
        <v>1.0000000000000001E-5</v>
      </c>
      <c r="F4" s="3">
        <v>1.0000000000000001E-5</v>
      </c>
      <c r="G4" s="3">
        <v>1.0000000000000001E-5</v>
      </c>
      <c r="H4" s="3">
        <v>3.3570912999999998E-6</v>
      </c>
      <c r="I4" s="3">
        <v>9.3910432999999997E-7</v>
      </c>
      <c r="J4" s="3">
        <v>3.3570912999999998E-6</v>
      </c>
      <c r="L4" s="48">
        <f t="shared" ref="L4:L14" si="0">ABS(H4/(-0.5)/$L$1)</f>
        <v>1.9183378857142858E-5</v>
      </c>
      <c r="N4" s="39" t="s">
        <v>27</v>
      </c>
      <c r="O4" s="39" t="s">
        <v>131</v>
      </c>
      <c r="P4" s="85" t="s">
        <v>132</v>
      </c>
      <c r="R4" s="11">
        <f t="shared" ref="R4:R14" si="1">ABS(I4/(-0.5)/$R$1)</f>
        <v>1.9770617473684209E-5</v>
      </c>
    </row>
    <row r="5" spans="1:18" x14ac:dyDescent="0.25">
      <c r="A5">
        <v>0</v>
      </c>
      <c r="B5" s="3">
        <v>1.1000000000000001E-7</v>
      </c>
      <c r="C5" s="3">
        <v>3.5479999999999997E-8</v>
      </c>
      <c r="D5" s="3">
        <v>1.1000000000000001E-7</v>
      </c>
      <c r="E5" s="3">
        <v>-1.0000000000000001E-5</v>
      </c>
      <c r="F5" s="3">
        <v>-1.0000000000000001E-5</v>
      </c>
      <c r="G5" s="3">
        <v>-1.0000000000000001E-5</v>
      </c>
      <c r="H5" s="3">
        <v>-3.3562790999999999E-6</v>
      </c>
      <c r="I5" s="3">
        <v>-9.3941038999999995E-7</v>
      </c>
      <c r="J5" s="3">
        <v>-3.3562790999999999E-6</v>
      </c>
      <c r="L5" s="48">
        <f t="shared" si="0"/>
        <v>1.9178737714285714E-5</v>
      </c>
      <c r="M5" s="48"/>
      <c r="N5" s="10">
        <f>(INDEX(A:A,ROW(A2)*2+1)+INDEX(A:A,ROW(A2)*2+2))/2</f>
        <v>0.5</v>
      </c>
      <c r="O5" s="89">
        <f>(INDEX(L:L,ROW(L2)*2+1)+INDEX(L:L,ROW(L2)*2+2))/2</f>
        <v>1.9178677428571428E-5</v>
      </c>
      <c r="P5" s="89">
        <f>(INDEX(R:R,ROW(M2)*2+1)+INDEX(R:R,ROW(R2)*2+2))/2</f>
        <v>1.9777143684210526E-5</v>
      </c>
      <c r="R5" s="11">
        <f t="shared" si="1"/>
        <v>1.9777060842105263E-5</v>
      </c>
    </row>
    <row r="6" spans="1:18" x14ac:dyDescent="0.25">
      <c r="A6">
        <v>1</v>
      </c>
      <c r="B6" s="3">
        <v>-1.1000000000000001E-7</v>
      </c>
      <c r="C6" s="3">
        <v>-3.5409999999999997E-8</v>
      </c>
      <c r="D6" s="3">
        <v>-1.1000000000000001E-7</v>
      </c>
      <c r="E6" s="3">
        <v>1.0000000000000001E-5</v>
      </c>
      <c r="F6" s="3">
        <v>1.0000000000000001E-5</v>
      </c>
      <c r="G6" s="3">
        <v>1.0000000000000001E-5</v>
      </c>
      <c r="H6" s="3">
        <v>3.3562580000000001E-6</v>
      </c>
      <c r="I6" s="3">
        <v>9.3941826000000002E-7</v>
      </c>
      <c r="J6" s="3">
        <v>3.3562580000000001E-6</v>
      </c>
      <c r="L6" s="48">
        <f t="shared" si="0"/>
        <v>1.9178617142857144E-5</v>
      </c>
      <c r="M6" s="49"/>
      <c r="N6" s="10">
        <f>(INDEX(A:A,ROW(A3)*2+1)+INDEX(A:A,ROW(A3)*2+2))/2</f>
        <v>151.5</v>
      </c>
      <c r="O6" s="89">
        <f t="shared" ref="O6:O7" si="2">(INDEX(L:L,ROW(L3)*2+1)+INDEX(L:L,ROW(L3)*2+2))/2</f>
        <v>2.1154238571428571E-5</v>
      </c>
      <c r="P6" s="89">
        <f t="shared" ref="P6:P9" si="3">(INDEX(R:R,ROW(M3)*2+1)+INDEX(R:R,ROW(R3)*2+2))/2</f>
        <v>2.1845439578947371E-5</v>
      </c>
      <c r="R6" s="11">
        <f t="shared" si="1"/>
        <v>1.9777226526315789E-5</v>
      </c>
    </row>
    <row r="7" spans="1:18" x14ac:dyDescent="0.25">
      <c r="A7">
        <v>151</v>
      </c>
      <c r="B7" s="3">
        <v>1.268E-7</v>
      </c>
      <c r="C7" s="3">
        <v>1.7590000000000001E-7</v>
      </c>
      <c r="D7" s="3">
        <v>1.268E-7</v>
      </c>
      <c r="E7" s="3">
        <v>-1.0689999999999999E-5</v>
      </c>
      <c r="F7" s="3">
        <v>-1.0689999999999999E-5</v>
      </c>
      <c r="G7" s="3">
        <v>-1.0689999999999999E-5</v>
      </c>
      <c r="H7" s="3">
        <v>-3.5274511000000002E-6</v>
      </c>
      <c r="I7" s="3">
        <v>-9.8912186000000008E-7</v>
      </c>
      <c r="J7" s="3">
        <v>-3.5274511000000002E-6</v>
      </c>
      <c r="L7" s="48">
        <f t="shared" si="0"/>
        <v>2.015686342857143E-5</v>
      </c>
      <c r="M7" s="48"/>
      <c r="N7" s="10">
        <f>(INDEX(A:A,ROW(A4)*2+1)+INDEX(A:A,ROW(A4)*2+2))/2</f>
        <v>156.5</v>
      </c>
      <c r="O7" s="89">
        <f t="shared" si="2"/>
        <v>4.1120605142857142E-5</v>
      </c>
      <c r="P7" s="89">
        <f t="shared" si="3"/>
        <v>4.226697684210527E-5</v>
      </c>
      <c r="R7" s="11">
        <f t="shared" si="1"/>
        <v>2.082361810526316E-5</v>
      </c>
    </row>
    <row r="8" spans="1:18" x14ac:dyDescent="0.25">
      <c r="A8">
        <v>152</v>
      </c>
      <c r="B8" s="3">
        <v>-1.515E-7</v>
      </c>
      <c r="C8" s="3">
        <v>-4.7759999999999999E-7</v>
      </c>
      <c r="D8" s="3">
        <v>-1.515E-7</v>
      </c>
      <c r="E8" s="3">
        <v>1.206E-5</v>
      </c>
      <c r="F8" s="3">
        <v>1.206E-5</v>
      </c>
      <c r="G8" s="3">
        <v>1.206E-5</v>
      </c>
      <c r="H8" s="3">
        <v>3.8765323999999999E-6</v>
      </c>
      <c r="I8" s="3">
        <v>1.0861949E-6</v>
      </c>
      <c r="J8" s="3">
        <v>3.8765323999999999E-6</v>
      </c>
      <c r="L8" s="48">
        <f t="shared" si="0"/>
        <v>2.2151613714285715E-5</v>
      </c>
      <c r="M8" s="49"/>
      <c r="N8" s="10">
        <f>(INDEX(A:A,ROW(A5)*2+1)+INDEX(A:A,ROW(A5)*2+2))/2</f>
        <v>161.5</v>
      </c>
      <c r="O8" s="89">
        <f t="shared" ref="O8:O9" si="4">(INDEX(L:L,ROW(L5)*2+1)+INDEX(L:L,ROW(L5)*2+2))/2</f>
        <v>5.9200051428571433E-5</v>
      </c>
      <c r="P8" s="89">
        <f t="shared" si="3"/>
        <v>6.052054E-5</v>
      </c>
      <c r="R8" s="11">
        <f t="shared" si="1"/>
        <v>2.2867261052631578E-5</v>
      </c>
    </row>
    <row r="9" spans="1:18" x14ac:dyDescent="0.25">
      <c r="A9">
        <v>156</v>
      </c>
      <c r="B9" s="3">
        <v>3.7329999999999999E-7</v>
      </c>
      <c r="C9" s="3">
        <v>3.1930000000000002E-6</v>
      </c>
      <c r="D9" s="3">
        <v>3.7329999999999999E-7</v>
      </c>
      <c r="E9" s="3">
        <v>-2.444E-5</v>
      </c>
      <c r="F9" s="3">
        <v>-2.444E-5</v>
      </c>
      <c r="G9" s="3">
        <v>-2.444E-5</v>
      </c>
      <c r="H9" s="3">
        <v>-7.0206212999999999E-6</v>
      </c>
      <c r="I9" s="3">
        <v>-1.9594163000000001E-6</v>
      </c>
      <c r="J9" s="3">
        <v>-7.0206212999999999E-6</v>
      </c>
      <c r="L9" s="48">
        <f t="shared" si="0"/>
        <v>4.0117836000000003E-5</v>
      </c>
      <c r="M9" s="48"/>
      <c r="N9" s="10">
        <f>(INDEX(A:A,ROW(A6)*2+1)+INDEX(A:A,ROW(A6)*2+2))/2</f>
        <v>180.5</v>
      </c>
      <c r="O9" s="89">
        <f t="shared" si="4"/>
        <v>5.9157857142857142E-5</v>
      </c>
      <c r="P9" s="89">
        <f t="shared" si="3"/>
        <v>6.0679988421052626E-5</v>
      </c>
      <c r="R9" s="11">
        <f t="shared" si="1"/>
        <v>4.1250869473684213E-5</v>
      </c>
    </row>
    <row r="10" spans="1:18" x14ac:dyDescent="0.25">
      <c r="A10">
        <v>157</v>
      </c>
      <c r="B10" s="3">
        <v>-3.967E-7</v>
      </c>
      <c r="C10" s="3">
        <v>-3.4979999999999998E-6</v>
      </c>
      <c r="D10" s="3">
        <v>-3.967E-7</v>
      </c>
      <c r="E10" s="3">
        <v>2.5809999999999999E-5</v>
      </c>
      <c r="F10" s="3">
        <v>2.5809999999999999E-5</v>
      </c>
      <c r="G10" s="3">
        <v>2.5809999999999999E-5</v>
      </c>
      <c r="H10" s="3">
        <v>7.3715904999999997E-6</v>
      </c>
      <c r="I10" s="3">
        <v>2.0559465000000002E-6</v>
      </c>
      <c r="J10" s="3">
        <v>7.3715904999999997E-6</v>
      </c>
      <c r="L10" s="48">
        <f t="shared" si="0"/>
        <v>4.2123374285714289E-5</v>
      </c>
      <c r="M10" s="49"/>
      <c r="N10" s="10"/>
      <c r="O10" s="3"/>
      <c r="R10" s="11">
        <f t="shared" si="1"/>
        <v>4.3283084210526321E-5</v>
      </c>
    </row>
    <row r="11" spans="1:18" x14ac:dyDescent="0.25">
      <c r="A11">
        <v>161</v>
      </c>
      <c r="B11" s="3">
        <v>5.7840000000000004E-7</v>
      </c>
      <c r="C11" s="3">
        <v>6.117E-6</v>
      </c>
      <c r="D11" s="3">
        <v>5.7840000000000004E-7</v>
      </c>
      <c r="E11" s="3">
        <v>-3.7499999999999997E-5</v>
      </c>
      <c r="F11" s="3">
        <v>-3.7499999999999997E-5</v>
      </c>
      <c r="G11" s="3">
        <v>-3.7499999999999997E-5</v>
      </c>
      <c r="H11" s="3">
        <v>-1.0360211E-5</v>
      </c>
      <c r="I11" s="3">
        <v>-2.8745259000000001E-6</v>
      </c>
      <c r="J11" s="3">
        <v>-1.0360211E-5</v>
      </c>
      <c r="L11" s="48">
        <f t="shared" si="0"/>
        <v>5.9201205714285719E-5</v>
      </c>
      <c r="M11" s="48"/>
      <c r="N11" s="10"/>
      <c r="O11" s="3"/>
      <c r="R11" s="11">
        <f t="shared" si="1"/>
        <v>6.0516334736842108E-5</v>
      </c>
    </row>
    <row r="12" spans="1:18" x14ac:dyDescent="0.25">
      <c r="A12">
        <v>162</v>
      </c>
      <c r="B12" s="3">
        <v>-5.7950000000000002E-7</v>
      </c>
      <c r="C12" s="3">
        <v>-6.1129999999999997E-6</v>
      </c>
      <c r="D12" s="3">
        <v>-5.7950000000000002E-7</v>
      </c>
      <c r="E12" s="3">
        <v>3.7499999999999997E-5</v>
      </c>
      <c r="F12" s="3">
        <v>3.7499999999999997E-5</v>
      </c>
      <c r="G12" s="3">
        <v>3.7499999999999997E-5</v>
      </c>
      <c r="H12" s="3">
        <v>1.0359806999999999E-5</v>
      </c>
      <c r="I12" s="3">
        <v>2.8749254E-6</v>
      </c>
      <c r="J12" s="3">
        <v>1.0359806999999999E-5</v>
      </c>
      <c r="L12" s="48">
        <f t="shared" si="0"/>
        <v>5.9198897142857147E-5</v>
      </c>
      <c r="M12" s="49"/>
      <c r="N12" s="10"/>
      <c r="O12" s="3"/>
      <c r="R12" s="11">
        <f t="shared" si="1"/>
        <v>6.0524745263157893E-5</v>
      </c>
    </row>
    <row r="13" spans="1:18" x14ac:dyDescent="0.25">
      <c r="A13">
        <v>180</v>
      </c>
      <c r="B13" s="3">
        <v>6.0019999999999999E-7</v>
      </c>
      <c r="C13" s="3">
        <v>6.0449999999999997E-6</v>
      </c>
      <c r="D13" s="3">
        <v>6.0019999999999999E-7</v>
      </c>
      <c r="E13" s="3">
        <v>-3.7499999999999997E-5</v>
      </c>
      <c r="F13" s="3">
        <v>-3.7499999999999997E-5</v>
      </c>
      <c r="G13" s="3">
        <v>-3.7499999999999997E-5</v>
      </c>
      <c r="H13" s="3">
        <v>-1.035282E-5</v>
      </c>
      <c r="I13" s="3">
        <v>-2.8820989000000001E-6</v>
      </c>
      <c r="J13" s="3">
        <v>-1.035282E-5</v>
      </c>
      <c r="L13" s="48">
        <f t="shared" si="0"/>
        <v>5.9158971428571432E-5</v>
      </c>
      <c r="M13" s="48"/>
      <c r="N13" s="10"/>
      <c r="O13" s="3"/>
      <c r="R13" s="11">
        <f t="shared" si="1"/>
        <v>6.0675766315789475E-5</v>
      </c>
    </row>
    <row r="14" spans="1:18" x14ac:dyDescent="0.25">
      <c r="A14" s="11">
        <v>181</v>
      </c>
      <c r="B14" s="3">
        <v>-6.0129999999999996E-7</v>
      </c>
      <c r="C14" s="3">
        <v>-6.0410000000000003E-6</v>
      </c>
      <c r="D14" s="3">
        <v>-6.0129999999999996E-7</v>
      </c>
      <c r="E14" s="3">
        <v>3.7499999999999997E-5</v>
      </c>
      <c r="F14" s="3">
        <v>3.7499999999999997E-5</v>
      </c>
      <c r="G14" s="3">
        <v>3.7499999999999997E-5</v>
      </c>
      <c r="H14" s="3">
        <v>1.035243E-5</v>
      </c>
      <c r="I14" s="3">
        <v>2.8824999999999999E-6</v>
      </c>
      <c r="J14" s="3">
        <v>1.035243E-5</v>
      </c>
      <c r="L14" s="48">
        <f t="shared" si="0"/>
        <v>5.9156742857142859E-5</v>
      </c>
      <c r="M14" s="49"/>
      <c r="N14" s="10"/>
      <c r="O14" s="3"/>
      <c r="R14" s="11">
        <f t="shared" si="1"/>
        <v>6.0684210526315785E-5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27691.328000000001</v>
      </c>
    </row>
    <row r="3" spans="2:4" x14ac:dyDescent="0.25">
      <c r="B3" t="s">
        <v>119</v>
      </c>
      <c r="C3" s="3">
        <v>0.35195679000000002</v>
      </c>
    </row>
    <row r="4" spans="2:4" x14ac:dyDescent="0.25">
      <c r="B4" t="s">
        <v>120</v>
      </c>
      <c r="C4" s="3">
        <v>27960.883999999998</v>
      </c>
    </row>
    <row r="5" spans="2:4" x14ac:dyDescent="0.25">
      <c r="B5" t="s">
        <v>121</v>
      </c>
      <c r="C5" s="3">
        <v>0.35541003999999998</v>
      </c>
    </row>
    <row r="6" spans="2:4" x14ac:dyDescent="0.25">
      <c r="B6" t="s">
        <v>122</v>
      </c>
      <c r="C6" s="3">
        <v>27691.328000000001</v>
      </c>
    </row>
    <row r="7" spans="2:4" x14ac:dyDescent="0.25">
      <c r="B7" t="s">
        <v>123</v>
      </c>
      <c r="C7" s="3">
        <v>0.35911014000000002</v>
      </c>
    </row>
    <row r="8" spans="2:4" x14ac:dyDescent="0.25">
      <c r="B8" t="s">
        <v>124</v>
      </c>
      <c r="C8" t="s">
        <v>125</v>
      </c>
      <c r="D8" s="3">
        <v>10187.300999999999</v>
      </c>
    </row>
    <row r="9" spans="2:4" x14ac:dyDescent="0.25">
      <c r="B9" t="s">
        <v>126</v>
      </c>
      <c r="C9" t="s">
        <v>125</v>
      </c>
      <c r="D9" s="3">
        <v>10360.254000000001</v>
      </c>
    </row>
    <row r="10" spans="2:4" x14ac:dyDescent="0.25">
      <c r="B10" t="s">
        <v>127</v>
      </c>
      <c r="C10" t="s">
        <v>125</v>
      </c>
      <c r="D10" s="3">
        <v>10360.254000000001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-3.5999508571428571E-4</v>
      </c>
      <c r="C3" s="2">
        <f>IF('Modell einstellen'!$B$2="Ja",creep_res0!O3,creep_res0!C3)</f>
        <v>-3.6499157142857151E-4</v>
      </c>
      <c r="D3" s="2">
        <f>IF('Modell einstellen'!$B$2="Ja",creep_res25!O3,creep_res25!C3)</f>
        <v>-3.7633954285714287E-4</v>
      </c>
      <c r="E3" s="2">
        <f>IF('Modell einstellen'!$B$2="Ja",creep_res50!O3,creep_res50!C3)</f>
        <v>-3.8382265714285714E-4</v>
      </c>
      <c r="F3" s="2">
        <f>IF('Modell einstellen'!$B$2="Ja",creep_res80!O3,creep_res80!C3)</f>
        <v>-3.9366482857142865E-4</v>
      </c>
      <c r="G3" s="2">
        <f>IF('Modell einstellen'!$B$2="Ja",creep_res125!O3,creep_res125!C3)</f>
        <v>-4.2099691428571434E-4</v>
      </c>
      <c r="H3" s="2">
        <f>IF('Modell einstellen'!$B$2="Ja",creep_res160!O3,creep_res160!C3)</f>
        <v>-4.5570065714285718E-4</v>
      </c>
      <c r="M3" s="9">
        <v>-10</v>
      </c>
      <c r="N3" s="2">
        <f t="shared" ref="N3:N33" si="4">A3</f>
        <v>1.0000000000000001E-15</v>
      </c>
      <c r="O3" s="2">
        <f t="shared" ref="O3:O33" si="5">$M$3/B3</f>
        <v>27778.156971666598</v>
      </c>
      <c r="P3" s="2">
        <f t="shared" ref="P3:P33" si="6">$M$3/C3</f>
        <v>27397.892945473101</v>
      </c>
      <c r="Q3" s="2">
        <f t="shared" ref="Q3:Q33" si="7">$M$3/D3</f>
        <v>26571.749341248375</v>
      </c>
      <c r="R3" s="2">
        <f t="shared" ref="R3:R33" si="8">$M$3/E3</f>
        <v>26053.699055806504</v>
      </c>
      <c r="S3" s="2">
        <f t="shared" ref="S3:S33" si="9">$M$3/F3</f>
        <v>25402.320131795943</v>
      </c>
      <c r="T3" s="2">
        <f t="shared" ref="T3:T33" si="10">$M$3/G3</f>
        <v>23753.143219509173</v>
      </c>
      <c r="U3" s="2">
        <f t="shared" ref="U3:U33" si="11">$M$3/H3</f>
        <v>21944.22993088884</v>
      </c>
      <c r="Z3" s="2">
        <v>1.0000000000000001E-15</v>
      </c>
      <c r="AA3" s="3">
        <f>IF('Modell einstellen'!$B$2="Ja",'creep_res-40'!P3,'creep_res-40'!L3)</f>
        <v>0.35918667302442542</v>
      </c>
      <c r="AB3" s="2">
        <f>IF('Modell einstellen'!$B$2="Ja",creep_res0!P3,creep_res0!L3)</f>
        <v>0.36097437866471271</v>
      </c>
      <c r="AC3" s="2">
        <f>IF('Modell einstellen'!$B$2="Ja",creep_res25!P3,creep_res25!L3)</f>
        <v>0.36545239845719868</v>
      </c>
      <c r="AD3" s="2">
        <f>IF('Modell einstellen'!$B$2="Ja",creep_res50!P3,creep_res50!L3)</f>
        <v>0.36817847349590693</v>
      </c>
      <c r="AE3" s="2">
        <f>IF('Modell einstellen'!$B$2="Ja",creep_res80!P3,creep_res80!L3)</f>
        <v>0.3716299195494005</v>
      </c>
      <c r="AF3" s="2">
        <f>IF('Modell einstellen'!$B$2="Ja",creep_res125!P3,creep_res125!L3)</f>
        <v>0.38085536018859178</v>
      </c>
      <c r="AG3" s="2">
        <f>IF('Modell einstellen'!$B$2="Ja",creep_res160!P3,creep_res160!L3)</f>
        <v>0.39151321954894824</v>
      </c>
      <c r="AL3" s="2">
        <f t="shared" ref="AL3:AL33" si="12">Z3</f>
        <v>1.0000000000000001E-15</v>
      </c>
      <c r="AM3" s="2">
        <f t="shared" ref="AM3:AM33" si="13">O3/(2*(1+AA3))</f>
        <v>10218.668827091791</v>
      </c>
      <c r="AN3" s="2">
        <f t="shared" ref="AN3:AN33" si="14">P3/(2*(1+AB3))</f>
        <v>10065.543251576082</v>
      </c>
      <c r="AO3" s="2">
        <f t="shared" ref="AO3:AO33" si="15">Q3/(2*(1+AC3))</f>
        <v>9730.0167223959397</v>
      </c>
      <c r="AP3" s="2">
        <f t="shared" ref="AP3:AP33" si="16">R3/(2*(1+AD3))</f>
        <v>9521.3086452220268</v>
      </c>
      <c r="AQ3" s="2">
        <f t="shared" ref="AQ3:AQ33" si="17">S3/(2*(1+AE3))</f>
        <v>9259.9030429946288</v>
      </c>
      <c r="AR3" s="2">
        <f t="shared" ref="AR3:AR33" si="18">T3/(2*(1+AF3))</f>
        <v>8600.88026028485</v>
      </c>
      <c r="AS3" s="2">
        <f t="shared" ref="AS3:AS33" si="19">U3/(2*(1+AG3))</f>
        <v>7885.0238799750496</v>
      </c>
      <c r="AX3" s="2">
        <f>AL3</f>
        <v>1.0000000000000001E-15</v>
      </c>
      <c r="AY3" s="37">
        <f t="shared" ref="AY3:AY33" si="20">O3/(3*(1-(2*AA3)))</f>
        <v>32878.229128228493</v>
      </c>
      <c r="AZ3" s="37">
        <f t="shared" ref="AZ3:AZ33" si="21">P3/(3*(1-(2*AB3)))</f>
        <v>32845.136364466423</v>
      </c>
      <c r="BA3" s="37">
        <f t="shared" ref="BA3:BA33" si="22">Q3/(3*(1-(2*AC3)))</f>
        <v>32914.930027937065</v>
      </c>
      <c r="BB3" s="37">
        <f t="shared" ref="BB3:BB33" si="23">R3/(3*(1-(2*AD3)))</f>
        <v>32940.622758096513</v>
      </c>
      <c r="BC3" s="37">
        <f t="shared" ref="BC3:BC33" si="24">S3/(3*(1-(2*AE3)))</f>
        <v>32980.582446509005</v>
      </c>
      <c r="BD3" s="37">
        <f t="shared" ref="BD3:BD33" si="25">T3/(3*(1-(2*AF3)))</f>
        <v>33227.321090717371</v>
      </c>
      <c r="BE3" s="37">
        <f t="shared" ref="BE3:BE33" si="26">U3/(3*(1-(2*AG3)))</f>
        <v>33712.602032634866</v>
      </c>
    </row>
    <row r="4" spans="1:308" x14ac:dyDescent="0.25">
      <c r="A4" s="2">
        <f>'creep_res-40'!A4</f>
        <v>1E-14</v>
      </c>
      <c r="B4" s="3">
        <f>'creep_res-40'!O4</f>
        <v>-3.6278599999999998E-4</v>
      </c>
      <c r="C4" s="2">
        <f>IF('Modell einstellen'!$B$2="Ja",creep_res0!O4,creep_res0!C4)</f>
        <v>-3.7702474285714288E-4</v>
      </c>
      <c r="D4" s="2">
        <f>IF('Modell einstellen'!$B$2="Ja",creep_res25!O4,creep_res25!C4)</f>
        <v>-3.8540391428571434E-4</v>
      </c>
      <c r="E4" s="2">
        <f>IF('Modell einstellen'!$B$2="Ja",creep_res50!O4,creep_res50!C4)</f>
        <v>-3.9338445714285714E-4</v>
      </c>
      <c r="F4" s="2">
        <f>IF('Modell einstellen'!$B$2="Ja",creep_res80!O4,creep_res80!C4)</f>
        <v>-4.0491805714285717E-4</v>
      </c>
      <c r="G4" s="2">
        <f>IF('Modell einstellen'!$B$2="Ja",creep_res125!O4,creep_res125!C4)</f>
        <v>-4.3679314285714293E-4</v>
      </c>
      <c r="H4" s="2">
        <f>IF('Modell einstellen'!$B$2="Ja",creep_res160!O4,creep_res160!C4)</f>
        <v>-4.7502377142857145E-4</v>
      </c>
      <c r="M4" s="9">
        <f t="shared" ref="M4:M31" si="27">M3</f>
        <v>-10</v>
      </c>
      <c r="N4" s="2">
        <f t="shared" si="4"/>
        <v>1E-14</v>
      </c>
      <c r="O4" s="2">
        <f t="shared" si="5"/>
        <v>27564.45948851389</v>
      </c>
      <c r="P4" s="2">
        <f t="shared" si="6"/>
        <v>26523.458180008798</v>
      </c>
      <c r="Q4" s="2">
        <f t="shared" si="7"/>
        <v>25946.804454577039</v>
      </c>
      <c r="R4" s="2">
        <f t="shared" si="8"/>
        <v>25420.424773845374</v>
      </c>
      <c r="S4" s="2">
        <f t="shared" si="9"/>
        <v>24696.354789808618</v>
      </c>
      <c r="T4" s="2">
        <f t="shared" si="10"/>
        <v>22894.132299303492</v>
      </c>
      <c r="U4" s="2">
        <f t="shared" si="11"/>
        <v>21051.578050349599</v>
      </c>
      <c r="Z4" s="2">
        <v>1E-14</v>
      </c>
      <c r="AA4" s="3">
        <f>IF('Modell einstellen'!$B$2="Ja",'creep_res-40'!P4,'creep_res-40'!L4)</f>
        <v>0.36043716445192803</v>
      </c>
      <c r="AB4" s="2">
        <f>IF('Modell einstellen'!$B$2="Ja",creep_res0!P4,creep_res0!L4)</f>
        <v>0.3659566109567951</v>
      </c>
      <c r="AC4" s="2">
        <f>IF('Modell einstellen'!$B$2="Ja",creep_res25!P4,creep_res25!L4)</f>
        <v>0.36905797605880936</v>
      </c>
      <c r="AD4" s="2">
        <f>IF('Modell einstellen'!$B$2="Ja",creep_res50!P4,creep_res50!L4)</f>
        <v>0.37185876179580335</v>
      </c>
      <c r="AE4" s="2">
        <f>IF('Modell einstellen'!$B$2="Ja",creep_res80!P4,creep_res80!L4)</f>
        <v>0.37577445651790431</v>
      </c>
      <c r="AF4" s="2">
        <f>IF('Modell einstellen'!$B$2="Ja",creep_res125!P4,creep_res125!L4)</f>
        <v>0.38609265844047785</v>
      </c>
      <c r="AG4" s="2">
        <f>IF('Modell einstellen'!$B$2="Ja",creep_res160!P4,creep_res160!L4)</f>
        <v>0.39725240216549768</v>
      </c>
      <c r="AL4" s="2">
        <f t="shared" si="12"/>
        <v>1E-14</v>
      </c>
      <c r="AM4" s="2">
        <f t="shared" si="13"/>
        <v>10130.735990154546</v>
      </c>
      <c r="AN4" s="2">
        <f t="shared" si="14"/>
        <v>9708.7484211633309</v>
      </c>
      <c r="AO4" s="2">
        <f t="shared" si="15"/>
        <v>9476.1525473419642</v>
      </c>
      <c r="AP4" s="2">
        <f t="shared" si="16"/>
        <v>9264.9569626866305</v>
      </c>
      <c r="AQ4" s="2">
        <f t="shared" si="17"/>
        <v>8975.4373156175916</v>
      </c>
      <c r="AR4" s="2">
        <f t="shared" si="18"/>
        <v>8258.5143784911779</v>
      </c>
      <c r="AS4" s="2">
        <f t="shared" si="19"/>
        <v>7533.2051738552464</v>
      </c>
      <c r="AX4" s="2">
        <f t="shared" ref="AX4:AX32" si="28">AL4</f>
        <v>1E-14</v>
      </c>
      <c r="AY4" s="37">
        <f t="shared" si="20"/>
        <v>32917.621395250077</v>
      </c>
      <c r="AZ4" s="37">
        <f t="shared" si="21"/>
        <v>32978.697382158534</v>
      </c>
      <c r="BA4" s="37">
        <f t="shared" si="22"/>
        <v>33025.817678199324</v>
      </c>
      <c r="BB4" s="37">
        <f t="shared" si="23"/>
        <v>33063.028902188402</v>
      </c>
      <c r="BC4" s="37">
        <f t="shared" si="24"/>
        <v>33133.758293663705</v>
      </c>
      <c r="BD4" s="37">
        <f t="shared" si="25"/>
        <v>33498.180752086977</v>
      </c>
      <c r="BE4" s="37">
        <f t="shared" si="26"/>
        <v>34147.721364506273</v>
      </c>
      <c r="BF4" s="5"/>
      <c r="BG4" s="5"/>
    </row>
    <row r="5" spans="1:308" x14ac:dyDescent="0.25">
      <c r="A5" s="2">
        <f>'creep_res-40'!A5</f>
        <v>1E-13</v>
      </c>
      <c r="B5" s="3">
        <f>'creep_res-40'!O5</f>
        <v>-3.7324014285714294E-4</v>
      </c>
      <c r="C5" s="2">
        <f>IF('Modell einstellen'!$B$2="Ja",creep_res0!O5,creep_res0!C5)</f>
        <v>-3.8432448571428576E-4</v>
      </c>
      <c r="D5" s="2">
        <f>IF('Modell einstellen'!$B$2="Ja",creep_res25!O5,creep_res25!C5)</f>
        <v>-3.9335028571428572E-4</v>
      </c>
      <c r="E5" s="2">
        <f>IF('Modell einstellen'!$B$2="Ja",creep_res50!O5,creep_res50!C5)</f>
        <v>-4.0219902857142859E-4</v>
      </c>
      <c r="F5" s="2">
        <f>IF('Modell einstellen'!$B$2="Ja",creep_res80!O5,creep_res80!C5)</f>
        <v>-4.1571082857142861E-4</v>
      </c>
      <c r="G5" s="2">
        <f>IF('Modell einstellen'!$B$2="Ja",creep_res125!O5,creep_res125!C5)</f>
        <v>-4.5152640000000003E-4</v>
      </c>
      <c r="H5" s="2">
        <f>IF('Modell einstellen'!$B$2="Ja",creep_res160!O5,creep_res160!C5)</f>
        <v>-4.9555025714285712E-4</v>
      </c>
      <c r="M5" s="9">
        <f t="shared" si="27"/>
        <v>-10</v>
      </c>
      <c r="N5" s="2">
        <f t="shared" si="4"/>
        <v>1E-13</v>
      </c>
      <c r="O5" s="2">
        <f t="shared" si="5"/>
        <v>26792.4021340531</v>
      </c>
      <c r="P5" s="2">
        <f t="shared" si="6"/>
        <v>26019.67965016466</v>
      </c>
      <c r="Q5" s="2">
        <f t="shared" si="7"/>
        <v>25422.633116538804</v>
      </c>
      <c r="R5" s="2">
        <f t="shared" si="8"/>
        <v>24863.312165419735</v>
      </c>
      <c r="S5" s="2">
        <f t="shared" si="9"/>
        <v>24055.182864407325</v>
      </c>
      <c r="T5" s="2">
        <f t="shared" si="10"/>
        <v>22147.099261527121</v>
      </c>
      <c r="U5" s="2">
        <f t="shared" si="11"/>
        <v>20179.587954723233</v>
      </c>
      <c r="Z5" s="2">
        <v>1E-13</v>
      </c>
      <c r="AA5" s="3">
        <f>IF('Modell einstellen'!$B$2="Ja",'creep_res-40'!P5,'creep_res-40'!L5)</f>
        <v>0.36479927706444065</v>
      </c>
      <c r="AB5" s="2">
        <f>IF('Modell einstellen'!$B$2="Ja",creep_res0!P5,creep_res0!L5)</f>
        <v>0.36886885092708488</v>
      </c>
      <c r="AC5" s="2">
        <f>IF('Modell einstellen'!$B$2="Ja",creep_res25!P5,creep_res25!L5)</f>
        <v>0.37211216320458834</v>
      </c>
      <c r="AD5" s="2">
        <f>IF('Modell einstellen'!$B$2="Ja",creep_res50!P5,creep_res50!L5)</f>
        <v>0.3751344998631097</v>
      </c>
      <c r="AE5" s="2">
        <f>IF('Modell einstellen'!$B$2="Ja",creep_res80!P5,creep_res80!L5)</f>
        <v>0.37959892999797451</v>
      </c>
      <c r="AF5" s="2">
        <f>IF('Modell einstellen'!$B$2="Ja",creep_res125!P5,creep_res125!L5)</f>
        <v>0.39077334759859633</v>
      </c>
      <c r="AG5" s="2">
        <f>IF('Modell einstellen'!$B$2="Ja",creep_res160!P5,creep_res160!L5)</f>
        <v>0.40306722818195923</v>
      </c>
      <c r="AL5" s="2">
        <f t="shared" si="12"/>
        <v>1E-13</v>
      </c>
      <c r="AM5" s="2">
        <f t="shared" si="13"/>
        <v>9815.5100842671618</v>
      </c>
      <c r="AN5" s="2">
        <f t="shared" si="14"/>
        <v>9504.080552546171</v>
      </c>
      <c r="AO5" s="2">
        <f t="shared" si="15"/>
        <v>9264.0506360514537</v>
      </c>
      <c r="AP5" s="2">
        <f t="shared" si="16"/>
        <v>9040.3201170121174</v>
      </c>
      <c r="AQ5" s="2">
        <f t="shared" si="17"/>
        <v>8718.1797337443004</v>
      </c>
      <c r="AR5" s="2">
        <f t="shared" si="18"/>
        <v>7962.1526037178537</v>
      </c>
      <c r="AS5" s="2">
        <f t="shared" si="19"/>
        <v>7191.2405725815324</v>
      </c>
      <c r="AX5" s="2">
        <f t="shared" si="28"/>
        <v>1E-13</v>
      </c>
      <c r="AY5" s="37">
        <f t="shared" si="20"/>
        <v>33027.932534087544</v>
      </c>
      <c r="AZ5" s="37">
        <f t="shared" si="21"/>
        <v>33070.809686995737</v>
      </c>
      <c r="BA5" s="37">
        <f t="shared" si="22"/>
        <v>33131.419105957953</v>
      </c>
      <c r="BB5" s="37">
        <f t="shared" si="23"/>
        <v>33186.791838901372</v>
      </c>
      <c r="BC5" s="37">
        <f t="shared" si="24"/>
        <v>33298.683674492604</v>
      </c>
      <c r="BD5" s="37">
        <f t="shared" si="25"/>
        <v>33793.796011339487</v>
      </c>
      <c r="BE5" s="37">
        <f t="shared" si="26"/>
        <v>34696.879043487541</v>
      </c>
    </row>
    <row r="6" spans="1:308" x14ac:dyDescent="0.25">
      <c r="A6" s="2">
        <f>'creep_res-40'!A6</f>
        <v>9.9999999999999998E-13</v>
      </c>
      <c r="B6" s="3">
        <f>'creep_res-40'!O6</f>
        <v>-3.806628857142857E-4</v>
      </c>
      <c r="C6" s="2">
        <f>IF('Modell einstellen'!$B$2="Ja",creep_res0!O6,creep_res0!C6)</f>
        <v>-3.9200328571428571E-4</v>
      </c>
      <c r="D6" s="2">
        <f>IF('Modell einstellen'!$B$2="Ja",creep_res25!O6,creep_res25!C6)</f>
        <v>-4.0201937142857143E-4</v>
      </c>
      <c r="E6" s="2">
        <f>IF('Modell einstellen'!$B$2="Ja",creep_res50!O6,creep_res50!C6)</f>
        <v>-4.1229211428571433E-4</v>
      </c>
      <c r="F6" s="2">
        <f>IF('Modell einstellen'!$B$2="Ja",creep_res80!O6,creep_res80!C6)</f>
        <v>-4.2745811428571433E-4</v>
      </c>
      <c r="G6" s="2">
        <f>IF('Modell einstellen'!$B$2="Ja",creep_res125!O6,creep_res125!C6)</f>
        <v>-4.6579128571428574E-4</v>
      </c>
      <c r="H6" s="2">
        <f>IF('Modell einstellen'!$B$2="Ja",creep_res160!O6,creep_res160!C6)</f>
        <v>-5.2058842857142867E-4</v>
      </c>
      <c r="M6" s="9">
        <f t="shared" si="27"/>
        <v>-10</v>
      </c>
      <c r="N6" s="2">
        <f t="shared" si="4"/>
        <v>9.9999999999999998E-13</v>
      </c>
      <c r="O6" s="2">
        <f t="shared" si="5"/>
        <v>26269.963201786119</v>
      </c>
      <c r="P6" s="2">
        <f t="shared" si="6"/>
        <v>25509.990258828006</v>
      </c>
      <c r="Q6" s="2">
        <f t="shared" si="7"/>
        <v>24874.423250962038</v>
      </c>
      <c r="R6" s="2">
        <f t="shared" si="8"/>
        <v>24254.64774489987</v>
      </c>
      <c r="S6" s="2">
        <f t="shared" si="9"/>
        <v>23394.104979642449</v>
      </c>
      <c r="T6" s="2">
        <f t="shared" si="10"/>
        <v>21468.84303484792</v>
      </c>
      <c r="U6" s="2">
        <f t="shared" si="11"/>
        <v>19209.032416339858</v>
      </c>
      <c r="Z6" s="2">
        <v>9.9999999999999998E-13</v>
      </c>
      <c r="AA6" s="3">
        <f>IF('Modell einstellen'!$B$2="Ja",'creep_res-40'!P6,'creep_res-40'!L6)</f>
        <v>0.36782979555738898</v>
      </c>
      <c r="AB6" s="2">
        <f>IF('Modell einstellen'!$B$2="Ja",creep_res0!P6,creep_res0!L6)</f>
        <v>0.37185836999179678</v>
      </c>
      <c r="AC6" s="2">
        <f>IF('Modell einstellen'!$B$2="Ja",creep_res25!P6,creep_res25!L6)</f>
        <v>0.37536169188151419</v>
      </c>
      <c r="AD6" s="2">
        <f>IF('Modell einstellen'!$B$2="Ja",creep_res50!P6,creep_res50!L6)</f>
        <v>0.37878089764926726</v>
      </c>
      <c r="AE6" s="2">
        <f>IF('Modell einstellen'!$B$2="Ja",creep_res80!P6,creep_res80!L6)</f>
        <v>0.38363343736803218</v>
      </c>
      <c r="AF6" s="2">
        <f>IF('Modell einstellen'!$B$2="Ja",creep_res125!P6,creep_res125!L6)</f>
        <v>0.39514674107563202</v>
      </c>
      <c r="AG6" s="2">
        <f>IF('Modell einstellen'!$B$2="Ja",creep_res160!P6,creep_res160!L6)</f>
        <v>0.4098448760866481</v>
      </c>
      <c r="AL6" s="2">
        <f t="shared" si="12"/>
        <v>9.9999999999999998E-13</v>
      </c>
      <c r="AM6" s="2">
        <f t="shared" si="13"/>
        <v>9602.7895017015398</v>
      </c>
      <c r="AN6" s="2">
        <f t="shared" si="14"/>
        <v>9297.6034614201999</v>
      </c>
      <c r="AO6" s="2">
        <f t="shared" si="15"/>
        <v>9042.8661048910981</v>
      </c>
      <c r="AP6" s="2">
        <f t="shared" si="16"/>
        <v>8795.6860246078559</v>
      </c>
      <c r="AQ6" s="2">
        <f t="shared" si="17"/>
        <v>8453.8665906134283</v>
      </c>
      <c r="AR6" s="2">
        <f t="shared" si="18"/>
        <v>7694.1164691736458</v>
      </c>
      <c r="AS6" s="2">
        <f t="shared" si="19"/>
        <v>6812.4631092957497</v>
      </c>
      <c r="AX6" s="2">
        <f t="shared" si="28"/>
        <v>9.9999999999999998E-13</v>
      </c>
      <c r="AY6" s="37">
        <f t="shared" si="20"/>
        <v>33126.431322112228</v>
      </c>
      <c r="AZ6" s="37">
        <f t="shared" si="21"/>
        <v>33179.420636882976</v>
      </c>
      <c r="BA6" s="37">
        <f t="shared" si="22"/>
        <v>33262.142844177419</v>
      </c>
      <c r="BB6" s="37">
        <f t="shared" si="23"/>
        <v>33348.219978731839</v>
      </c>
      <c r="BC6" s="37">
        <f t="shared" si="24"/>
        <v>33506.339006837261</v>
      </c>
      <c r="BD6" s="37">
        <f t="shared" si="25"/>
        <v>34125.219783478031</v>
      </c>
      <c r="BE6" s="37">
        <f t="shared" si="26"/>
        <v>35511.075397115274</v>
      </c>
    </row>
    <row r="7" spans="1:308" x14ac:dyDescent="0.25">
      <c r="A7" s="2">
        <f>'creep_res-40'!A7</f>
        <v>9.9999999999999994E-12</v>
      </c>
      <c r="B7" s="3">
        <f>'creep_res-40'!O7</f>
        <v>-3.878932285714286E-4</v>
      </c>
      <c r="C7" s="2">
        <f>IF('Modell einstellen'!$B$2="Ja",creep_res0!O7,creep_res0!C7)</f>
        <v>-4.0057774285714288E-4</v>
      </c>
      <c r="D7" s="2">
        <f>IF('Modell einstellen'!$B$2="Ja",creep_res25!O7,creep_res25!C7)</f>
        <v>-4.1216908571428576E-4</v>
      </c>
      <c r="E7" s="2">
        <f>IF('Modell einstellen'!$B$2="Ja",creep_res50!O7,creep_res50!C7)</f>
        <v>-4.237640857142858E-4</v>
      </c>
      <c r="F7" s="2">
        <f>IF('Modell einstellen'!$B$2="Ja",creep_res80!O7,creep_res80!C7)</f>
        <v>-4.4150500000000002E-4</v>
      </c>
      <c r="G7" s="2">
        <f>IF('Modell einstellen'!$B$2="Ja",creep_res125!O7,creep_res125!C7)</f>
        <v>-4.8305622857142865E-4</v>
      </c>
      <c r="H7" s="2">
        <f>IF('Modell einstellen'!$B$2="Ja",creep_res160!O7,creep_res160!C7)</f>
        <v>-5.4701862857142855E-4</v>
      </c>
      <c r="M7" s="9">
        <f t="shared" si="27"/>
        <v>-10</v>
      </c>
      <c r="N7" s="2">
        <f t="shared" si="4"/>
        <v>9.9999999999999994E-12</v>
      </c>
      <c r="O7" s="2">
        <f t="shared" si="5"/>
        <v>25780.290202097585</v>
      </c>
      <c r="P7" s="2">
        <f t="shared" si="6"/>
        <v>24963.943150396844</v>
      </c>
      <c r="Q7" s="2">
        <f t="shared" si="7"/>
        <v>24261.887527712272</v>
      </c>
      <c r="R7" s="2">
        <f t="shared" si="8"/>
        <v>23598.035645574491</v>
      </c>
      <c r="S7" s="2">
        <f t="shared" si="9"/>
        <v>22649.800115513979</v>
      </c>
      <c r="T7" s="2">
        <f t="shared" si="10"/>
        <v>20701.523774103076</v>
      </c>
      <c r="U7" s="2">
        <f t="shared" si="11"/>
        <v>18280.913076243109</v>
      </c>
      <c r="Z7" s="2">
        <v>9.9999999999999994E-12</v>
      </c>
      <c r="AA7" s="3">
        <f>IF('Modell einstellen'!$B$2="Ja",'creep_res-40'!P7,'creep_res-40'!L7)</f>
        <v>0.37070936236282398</v>
      </c>
      <c r="AB7" s="2">
        <f>IF('Modell einstellen'!$B$2="Ja",creep_res0!P7,creep_res0!L7)</f>
        <v>0.37511400854522908</v>
      </c>
      <c r="AC7" s="2">
        <f>IF('Modell einstellen'!$B$2="Ja",creep_res25!P7,creep_res25!L7)</f>
        <v>0.37905983522157827</v>
      </c>
      <c r="AD7" s="2">
        <f>IF('Modell einstellen'!$B$2="Ja",creep_res50!P7,creep_res50!L7)</f>
        <v>0.38280144821818979</v>
      </c>
      <c r="AE7" s="2">
        <f>IF('Modell einstellen'!$B$2="Ja",creep_res80!P7,creep_res80!L7)</f>
        <v>0.38828927677570391</v>
      </c>
      <c r="AF7" s="2">
        <f>IF('Modell einstellen'!$B$2="Ja",creep_res125!P7,creep_res125!L7)</f>
        <v>0.40024421883332356</v>
      </c>
      <c r="AG7" s="2">
        <f>IF('Modell einstellen'!$B$2="Ja",creep_res160!P7,creep_res160!L7)</f>
        <v>0.41669179508746956</v>
      </c>
      <c r="AL7" s="2">
        <f t="shared" si="12"/>
        <v>9.9999999999999994E-12</v>
      </c>
      <c r="AM7" s="2">
        <f t="shared" si="13"/>
        <v>9403.9958104822508</v>
      </c>
      <c r="AN7" s="2">
        <f t="shared" si="14"/>
        <v>9077.0448832845814</v>
      </c>
      <c r="AO7" s="2">
        <f t="shared" si="15"/>
        <v>8796.5318501985184</v>
      </c>
      <c r="AP7" s="2">
        <f t="shared" si="16"/>
        <v>8532.6912536798991</v>
      </c>
      <c r="AQ7" s="2">
        <f t="shared" si="17"/>
        <v>8157.4497816903277</v>
      </c>
      <c r="AR7" s="2">
        <f t="shared" si="18"/>
        <v>7392.1118529421537</v>
      </c>
      <c r="AS7" s="2">
        <f t="shared" si="19"/>
        <v>6451.9725248759578</v>
      </c>
      <c r="AX7" s="2">
        <f t="shared" si="28"/>
        <v>9.9999999999999994E-12</v>
      </c>
      <c r="AY7" s="37">
        <f t="shared" si="20"/>
        <v>33232.994377679985</v>
      </c>
      <c r="AZ7" s="37">
        <f t="shared" si="21"/>
        <v>33315.643678415632</v>
      </c>
      <c r="BA7" s="37">
        <f t="shared" si="22"/>
        <v>33435.111723998991</v>
      </c>
      <c r="BB7" s="37">
        <f t="shared" si="23"/>
        <v>33558.485844186886</v>
      </c>
      <c r="BC7" s="37">
        <f t="shared" si="24"/>
        <v>33792.339508352357</v>
      </c>
      <c r="BD7" s="37">
        <f t="shared" si="25"/>
        <v>34587.007609971733</v>
      </c>
      <c r="BE7" s="37">
        <f t="shared" si="26"/>
        <v>36572.854369380897</v>
      </c>
    </row>
    <row r="8" spans="1:308" x14ac:dyDescent="0.25">
      <c r="A8" s="2">
        <f>'creep_res-40'!A8</f>
        <v>1E-10</v>
      </c>
      <c r="B8" s="3">
        <f>'creep_res-40'!O8</f>
        <v>-3.9618314285714287E-4</v>
      </c>
      <c r="C8" s="2">
        <f>IF('Modell einstellen'!$B$2="Ja",creep_res0!O8,creep_res0!C8)</f>
        <v>-4.1050514285714286E-4</v>
      </c>
      <c r="D8" s="2">
        <f>IF('Modell einstellen'!$B$2="Ja",creep_res25!O8,creep_res25!C8)</f>
        <v>-4.2365497142857146E-4</v>
      </c>
      <c r="E8" s="2">
        <f>IF('Modell einstellen'!$B$2="Ja",creep_res50!O8,creep_res50!C8)</f>
        <v>-4.3715760000000002E-4</v>
      </c>
      <c r="F8" s="2">
        <f>IF('Modell einstellen'!$B$2="Ja",creep_res80!O8,creep_res80!C8)</f>
        <v>-4.554939428571429E-4</v>
      </c>
      <c r="G8" s="2">
        <f>IF('Modell einstellen'!$B$2="Ja",creep_res125!O8,creep_res125!C8)</f>
        <v>-5.0552008571428568E-4</v>
      </c>
      <c r="H8" s="2">
        <f>IF('Modell einstellen'!$B$2="Ja",creep_res160!O8,creep_res160!C8)</f>
        <v>-5.7006357142857145E-4</v>
      </c>
      <c r="M8" s="9">
        <f t="shared" si="27"/>
        <v>-10</v>
      </c>
      <c r="N8" s="2">
        <f t="shared" si="4"/>
        <v>1E-10</v>
      </c>
      <c r="O8" s="2">
        <f t="shared" si="5"/>
        <v>25240.85181384367</v>
      </c>
      <c r="P8" s="2">
        <f t="shared" si="6"/>
        <v>24360.23074010557</v>
      </c>
      <c r="Q8" s="2">
        <f t="shared" si="7"/>
        <v>23604.113428150831</v>
      </c>
      <c r="R8" s="2">
        <f t="shared" si="8"/>
        <v>22875.045521340588</v>
      </c>
      <c r="S8" s="2">
        <f t="shared" si="9"/>
        <v>21954.188758853183</v>
      </c>
      <c r="T8" s="2">
        <f t="shared" si="10"/>
        <v>19781.607660297574</v>
      </c>
      <c r="U8" s="2">
        <f t="shared" si="11"/>
        <v>17541.903221319928</v>
      </c>
      <c r="Z8" s="2">
        <v>1E-10</v>
      </c>
      <c r="AA8" s="3">
        <f>IF('Modell einstellen'!$B$2="Ja",'creep_res-40'!P8,'creep_res-40'!L8)</f>
        <v>0.37393080112300153</v>
      </c>
      <c r="AB8" s="2">
        <f>IF('Modell einstellen'!$B$2="Ja",creep_res0!P8,creep_res0!L8)</f>
        <v>0.37877846666963633</v>
      </c>
      <c r="AC8" s="2">
        <f>IF('Modell einstellen'!$B$2="Ja",creep_res25!P8,creep_res25!L8)</f>
        <v>0.38311924852056162</v>
      </c>
      <c r="AD8" s="2">
        <f>IF('Modell einstellen'!$B$2="Ja",creep_res50!P8,creep_res50!L8)</f>
        <v>0.38733544019038313</v>
      </c>
      <c r="AE8" s="2">
        <f>IF('Modell einstellen'!$B$2="Ja",creep_res80!P8,creep_res80!L8)</f>
        <v>0.39277062991209288</v>
      </c>
      <c r="AF8" s="2">
        <f>IF('Modell einstellen'!$B$2="Ja",creep_res125!P8,creep_res125!L8)</f>
        <v>0.40660009383264306</v>
      </c>
      <c r="AG8" s="2">
        <f>IF('Modell einstellen'!$B$2="Ja",creep_res160!P8,creep_res160!L8)</f>
        <v>0.42244610312884906</v>
      </c>
      <c r="AL8" s="2">
        <f t="shared" si="12"/>
        <v>1E-10</v>
      </c>
      <c r="AM8" s="2">
        <f t="shared" si="13"/>
        <v>9185.6343104080297</v>
      </c>
      <c r="AN8" s="2">
        <f t="shared" si="14"/>
        <v>8833.9901329277236</v>
      </c>
      <c r="AO8" s="2">
        <f t="shared" si="15"/>
        <v>8532.9278199977016</v>
      </c>
      <c r="AP8" s="2">
        <f t="shared" si="16"/>
        <v>8244.2374276121209</v>
      </c>
      <c r="AQ8" s="2">
        <f t="shared" si="17"/>
        <v>7881.4803699008435</v>
      </c>
      <c r="AR8" s="2">
        <f t="shared" si="18"/>
        <v>7031.7099177768096</v>
      </c>
      <c r="AS8" s="2">
        <f t="shared" si="19"/>
        <v>6166.1047060884439</v>
      </c>
      <c r="AX8" s="2">
        <f t="shared" si="28"/>
        <v>1E-10</v>
      </c>
      <c r="AY8" s="37">
        <f t="shared" si="20"/>
        <v>33369.04393074676</v>
      </c>
      <c r="AZ8" s="37">
        <f t="shared" si="21"/>
        <v>33492.716559024913</v>
      </c>
      <c r="BA8" s="37">
        <f t="shared" si="22"/>
        <v>33658.398452236819</v>
      </c>
      <c r="BB8" s="37">
        <f t="shared" si="23"/>
        <v>33839.457530678323</v>
      </c>
      <c r="BC8" s="37">
        <f t="shared" si="24"/>
        <v>34123.407204660194</v>
      </c>
      <c r="BD8" s="37">
        <f t="shared" si="25"/>
        <v>35299.121223334449</v>
      </c>
      <c r="BE8" s="37">
        <f t="shared" si="26"/>
        <v>37698.306014771195</v>
      </c>
    </row>
    <row r="9" spans="1:308" x14ac:dyDescent="0.25">
      <c r="A9" s="2">
        <f>'creep_res-40'!A9</f>
        <v>1.0000000000000001E-9</v>
      </c>
      <c r="B9" s="3">
        <f>'creep_res-40'!O9</f>
        <v>-4.0530537142857145E-4</v>
      </c>
      <c r="C9" s="2">
        <f>IF('Modell einstellen'!$B$2="Ja",creep_res0!O9,creep_res0!C9)</f>
        <v>-4.2189285714285712E-4</v>
      </c>
      <c r="D9" s="2">
        <f>IF('Modell einstellen'!$B$2="Ja",creep_res25!O9,creep_res25!C9)</f>
        <v>-4.3714400000000004E-4</v>
      </c>
      <c r="E9" s="2">
        <f>IF('Modell einstellen'!$B$2="Ja",creep_res50!O9,creep_res50!C9)</f>
        <v>-4.5135482857142859E-4</v>
      </c>
      <c r="F9" s="2">
        <f>IF('Modell einstellen'!$B$2="Ja",creep_res80!O9,creep_res80!C9)</f>
        <v>-4.7038757142857146E-4</v>
      </c>
      <c r="G9" s="2">
        <f>IF('Modell einstellen'!$B$2="Ja",creep_res125!O9,creep_res125!C9)</f>
        <v>-5.3161102857142862E-4</v>
      </c>
      <c r="H9" s="2">
        <f>IF('Modell einstellen'!$B$2="Ja",creep_res160!O9,creep_res160!C9)</f>
        <v>-5.9517077142857142E-4</v>
      </c>
      <c r="M9" s="9">
        <f t="shared" si="27"/>
        <v>-10</v>
      </c>
      <c r="N9" s="2">
        <f t="shared" si="4"/>
        <v>1.0000000000000001E-9</v>
      </c>
      <c r="O9" s="2">
        <f t="shared" si="5"/>
        <v>24672.754680633043</v>
      </c>
      <c r="P9" s="2">
        <f t="shared" si="6"/>
        <v>23702.700414797258</v>
      </c>
      <c r="Q9" s="2">
        <f t="shared" si="7"/>
        <v>22875.757187562907</v>
      </c>
      <c r="R9" s="2">
        <f t="shared" si="8"/>
        <v>22155.517936189448</v>
      </c>
      <c r="S9" s="2">
        <f t="shared" si="9"/>
        <v>21259.065093131409</v>
      </c>
      <c r="T9" s="2">
        <f t="shared" si="10"/>
        <v>18810.745944967493</v>
      </c>
      <c r="U9" s="2">
        <f t="shared" si="11"/>
        <v>16801.90036213856</v>
      </c>
      <c r="Z9" s="2">
        <v>1.0000000000000001E-9</v>
      </c>
      <c r="AA9" s="3">
        <f>IF('Modell einstellen'!$B$2="Ja",'creep_res-40'!P9,'creep_res-40'!L9)</f>
        <v>0.37738349384252629</v>
      </c>
      <c r="AB9" s="2">
        <f>IF('Modell einstellen'!$B$2="Ja",creep_res0!P9,creep_res0!L9)</f>
        <v>0.38285604672818085</v>
      </c>
      <c r="AC9" s="2">
        <f>IF('Modell einstellen'!$B$2="Ja",creep_res25!P9,creep_res25!L9)</f>
        <v>0.38772336542910996</v>
      </c>
      <c r="AD9" s="2">
        <f>IF('Modell einstellen'!$B$2="Ja",creep_res50!P9,creep_res50!L9)</f>
        <v>0.39197927838718466</v>
      </c>
      <c r="AE9" s="2">
        <f>IF('Modell einstellen'!$B$2="Ja",creep_res80!P9,creep_res80!L9)</f>
        <v>0.39737282903186527</v>
      </c>
      <c r="AF9" s="2">
        <f>IF('Modell einstellen'!$B$2="Ja",creep_res125!P9,creep_res125!L9)</f>
        <v>0.41365429589604341</v>
      </c>
      <c r="AG9" s="2">
        <f>IF('Modell einstellen'!$B$2="Ja",creep_res160!P9,creep_res160!L9)</f>
        <v>0.42847665762388393</v>
      </c>
      <c r="AL9" s="2">
        <f t="shared" si="12"/>
        <v>1.0000000000000001E-9</v>
      </c>
      <c r="AM9" s="2">
        <f t="shared" si="13"/>
        <v>8956.3853461764484</v>
      </c>
      <c r="AN9" s="2">
        <f t="shared" si="14"/>
        <v>8570.1980588932365</v>
      </c>
      <c r="AO9" s="2">
        <f t="shared" si="15"/>
        <v>8242.1892422663423</v>
      </c>
      <c r="AP9" s="2">
        <f t="shared" si="16"/>
        <v>7958.2786468847135</v>
      </c>
      <c r="AQ9" s="2">
        <f t="shared" si="17"/>
        <v>7606.797789198542</v>
      </c>
      <c r="AR9" s="2">
        <f t="shared" si="18"/>
        <v>6653.2341038317008</v>
      </c>
      <c r="AS9" s="2">
        <f t="shared" si="19"/>
        <v>5881.0552739751101</v>
      </c>
      <c r="AX9" s="2">
        <f t="shared" si="28"/>
        <v>1.0000000000000001E-9</v>
      </c>
      <c r="AY9" s="37">
        <f t="shared" si="20"/>
        <v>33536.478154290198</v>
      </c>
      <c r="AZ9" s="37">
        <f t="shared" si="21"/>
        <v>33723.038695529671</v>
      </c>
      <c r="BA9" s="37">
        <f t="shared" si="22"/>
        <v>33957.432127339969</v>
      </c>
      <c r="BB9" s="37">
        <f t="shared" si="23"/>
        <v>34184.055314255194</v>
      </c>
      <c r="BC9" s="37">
        <f t="shared" si="24"/>
        <v>34524.750922170912</v>
      </c>
      <c r="BD9" s="37">
        <f t="shared" si="25"/>
        <v>36308.978619094836</v>
      </c>
      <c r="BE9" s="37">
        <f t="shared" si="26"/>
        <v>39152.486922342272</v>
      </c>
    </row>
    <row r="10" spans="1:308" x14ac:dyDescent="0.25">
      <c r="A10" s="2">
        <f>'creep_res-40'!A10</f>
        <v>1E-8</v>
      </c>
      <c r="B10" s="3">
        <f>'creep_res-40'!O10</f>
        <v>-4.1631285714285719E-4</v>
      </c>
      <c r="C10" s="2">
        <f>IF('Modell einstellen'!$B$2="Ja",creep_res0!O10,creep_res0!C10)</f>
        <v>-4.350891142857143E-4</v>
      </c>
      <c r="D10" s="2">
        <f>IF('Modell einstellen'!$B$2="Ja",creep_res25!O10,creep_res25!C10)</f>
        <v>-4.5126900000000002E-4</v>
      </c>
      <c r="E10" s="2">
        <f>IF('Modell einstellen'!$B$2="Ja",creep_res50!O10,creep_res50!C10)</f>
        <v>-4.6574105714285716E-4</v>
      </c>
      <c r="F10" s="2">
        <f>IF('Modell einstellen'!$B$2="Ja",creep_res80!O10,creep_res80!C10)</f>
        <v>-4.8958205714285719E-4</v>
      </c>
      <c r="G10" s="2">
        <f>IF('Modell einstellen'!$B$2="Ja",creep_res125!O10,creep_res125!C10)</f>
        <v>-5.5661174285714281E-4</v>
      </c>
      <c r="H10" s="2">
        <f>IF('Modell einstellen'!$B$2="Ja",creep_res160!O10,creep_res160!C10)</f>
        <v>-6.2135062857142864E-4</v>
      </c>
      <c r="M10" s="9">
        <f t="shared" si="27"/>
        <v>-10</v>
      </c>
      <c r="N10" s="2">
        <f t="shared" si="4"/>
        <v>1E-8</v>
      </c>
      <c r="O10" s="2">
        <f t="shared" si="5"/>
        <v>24020.396748324576</v>
      </c>
      <c r="P10" s="2">
        <f t="shared" si="6"/>
        <v>22983.797276603891</v>
      </c>
      <c r="Q10" s="2">
        <f t="shared" si="7"/>
        <v>22159.731778606551</v>
      </c>
      <c r="R10" s="2">
        <f t="shared" si="8"/>
        <v>21471.158375742449</v>
      </c>
      <c r="S10" s="2">
        <f t="shared" si="9"/>
        <v>20425.585157999485</v>
      </c>
      <c r="T10" s="2">
        <f t="shared" si="10"/>
        <v>17965.844465783306</v>
      </c>
      <c r="U10" s="2">
        <f t="shared" si="11"/>
        <v>16093.972614128335</v>
      </c>
      <c r="Z10" s="2">
        <v>1E-8</v>
      </c>
      <c r="AA10" s="3">
        <f>IF('Modell einstellen'!$B$2="Ja",'creep_res-40'!P10,'creep_res-40'!L10)</f>
        <v>0.38142777238272035</v>
      </c>
      <c r="AB10" s="2">
        <f>IF('Modell einstellen'!$B$2="Ja",creep_res0!P10,creep_res0!L10)</f>
        <v>0.38742078388013651</v>
      </c>
      <c r="AC10" s="2">
        <f>IF('Modell einstellen'!$B$2="Ja",creep_res25!P10,creep_res25!L10)</f>
        <v>0.39238278847301405</v>
      </c>
      <c r="AD10" s="2">
        <f>IF('Modell einstellen'!$B$2="Ja",creep_res50!P10,creep_res50!L10)</f>
        <v>0.39652056197751084</v>
      </c>
      <c r="AE10" s="2">
        <f>IF('Modell einstellen'!$B$2="Ja",creep_res80!P10,creep_res80!L10)</f>
        <v>0.40307057821680203</v>
      </c>
      <c r="AF10" s="2">
        <f>IF('Modell einstellen'!$B$2="Ja",creep_res125!P10,creep_res125!L10)</f>
        <v>0.42014317648757582</v>
      </c>
      <c r="AG10" s="2">
        <f>IF('Modell einstellen'!$B$2="Ja",creep_res160!P10,creep_res160!L10)</f>
        <v>0.43456650103056604</v>
      </c>
      <c r="AL10" s="2">
        <f t="shared" si="12"/>
        <v>1E-8</v>
      </c>
      <c r="AM10" s="2">
        <f t="shared" si="13"/>
        <v>8694.0472851843733</v>
      </c>
      <c r="AN10" s="2">
        <f t="shared" si="14"/>
        <v>8282.9223634397895</v>
      </c>
      <c r="AO10" s="2">
        <f t="shared" si="15"/>
        <v>7957.4855284258747</v>
      </c>
      <c r="AP10" s="2">
        <f t="shared" si="16"/>
        <v>7687.376383967704</v>
      </c>
      <c r="AQ10" s="2">
        <f t="shared" si="17"/>
        <v>7278.8872759198184</v>
      </c>
      <c r="AR10" s="2">
        <f t="shared" si="18"/>
        <v>6325.3637954371716</v>
      </c>
      <c r="AS10" s="2">
        <f t="shared" si="19"/>
        <v>5609.3504910949478</v>
      </c>
      <c r="AX10" s="2">
        <f t="shared" si="28"/>
        <v>1E-8</v>
      </c>
      <c r="AY10" s="37">
        <f t="shared" si="20"/>
        <v>33763.382357764502</v>
      </c>
      <c r="AZ10" s="37">
        <f t="shared" si="21"/>
        <v>34026.110781900396</v>
      </c>
      <c r="BA10" s="37">
        <f t="shared" si="22"/>
        <v>34318.754197061076</v>
      </c>
      <c r="BB10" s="37">
        <f t="shared" si="23"/>
        <v>34582.004544510135</v>
      </c>
      <c r="BC10" s="37">
        <f t="shared" si="24"/>
        <v>35121.061596903281</v>
      </c>
      <c r="BD10" s="37">
        <f t="shared" si="25"/>
        <v>37495.949366155641</v>
      </c>
      <c r="BE10" s="37">
        <f t="shared" si="26"/>
        <v>40993.203959250131</v>
      </c>
    </row>
    <row r="11" spans="1:308" x14ac:dyDescent="0.25">
      <c r="A11" s="2">
        <f>'creep_res-40'!A11</f>
        <v>9.9999999999999995E-8</v>
      </c>
      <c r="B11" s="3">
        <f>'creep_res-40'!O11</f>
        <v>-4.2841082857142859E-4</v>
      </c>
      <c r="C11" s="2">
        <f>IF('Modell einstellen'!$B$2="Ja",creep_res0!O11,creep_res0!C11)</f>
        <v>-4.4929674285714289E-4</v>
      </c>
      <c r="D11" s="2">
        <f>IF('Modell einstellen'!$B$2="Ja",creep_res25!O11,creep_res25!C11)</f>
        <v>-4.6570742857142861E-4</v>
      </c>
      <c r="E11" s="2">
        <f>IF('Modell einstellen'!$B$2="Ja",creep_res50!O11,creep_res50!C11)</f>
        <v>-4.8362802857142864E-4</v>
      </c>
      <c r="F11" s="2">
        <f>IF('Modell einstellen'!$B$2="Ja",creep_res80!O11,creep_res80!C11)</f>
        <v>-5.1373637142857148E-4</v>
      </c>
      <c r="G11" s="2">
        <f>IF('Modell einstellen'!$B$2="Ja",creep_res125!O11,creep_res125!C11)</f>
        <v>-5.7996000000000002E-4</v>
      </c>
      <c r="H11" s="2">
        <f>IF('Modell einstellen'!$B$2="Ja",creep_res160!O11,creep_res160!C11)</f>
        <v>-6.5162028571428578E-4</v>
      </c>
      <c r="M11" s="9">
        <f t="shared" si="27"/>
        <v>-10</v>
      </c>
      <c r="N11" s="2">
        <f t="shared" si="4"/>
        <v>9.9999999999999995E-8</v>
      </c>
      <c r="O11" s="2">
        <f t="shared" si="5"/>
        <v>23342.080388924409</v>
      </c>
      <c r="P11" s="2">
        <f t="shared" si="6"/>
        <v>22257.005328835807</v>
      </c>
      <c r="Q11" s="2">
        <f t="shared" si="7"/>
        <v>21472.708800620374</v>
      </c>
      <c r="R11" s="2">
        <f t="shared" si="8"/>
        <v>20677.048080812518</v>
      </c>
      <c r="S11" s="2">
        <f t="shared" si="9"/>
        <v>19465.236561298003</v>
      </c>
      <c r="T11" s="2">
        <f t="shared" si="10"/>
        <v>17242.568452996758</v>
      </c>
      <c r="U11" s="2">
        <f t="shared" si="11"/>
        <v>15346.360785926596</v>
      </c>
      <c r="Z11" s="2">
        <v>9.9999999999999995E-8</v>
      </c>
      <c r="AA11" s="3">
        <f>IF('Modell einstellen'!$B$2="Ja",'creep_res-40'!P11,'creep_res-40'!L11)</f>
        <v>0.38573236010641054</v>
      </c>
      <c r="AB11" s="2">
        <f>IF('Modell einstellen'!$B$2="Ja",creep_res0!P11,creep_res0!L11)</f>
        <v>0.39216940684317697</v>
      </c>
      <c r="AC11" s="2">
        <f>IF('Modell einstellen'!$B$2="Ja",creep_res25!P11,creep_res25!L11)</f>
        <v>0.39697961196974679</v>
      </c>
      <c r="AD11" s="2">
        <f>IF('Modell einstellen'!$B$2="Ja",creep_res50!P11,creep_res50!L11)</f>
        <v>0.40195329574718602</v>
      </c>
      <c r="AE11" s="2">
        <f>IF('Modell einstellen'!$B$2="Ja",creep_res80!P11,creep_res80!L11)</f>
        <v>0.40992917823944497</v>
      </c>
      <c r="AF11" s="2">
        <f>IF('Modell einstellen'!$B$2="Ja",creep_res125!P11,creep_res125!L11)</f>
        <v>0.42597248578719715</v>
      </c>
      <c r="AG11" s="2">
        <f>IF('Modell einstellen'!$B$2="Ja",creep_res160!P11,creep_res160!L11)</f>
        <v>0.44137137710787738</v>
      </c>
      <c r="AL11" s="2">
        <f t="shared" si="12"/>
        <v>9.9999999999999995E-8</v>
      </c>
      <c r="AM11" s="2">
        <f t="shared" si="13"/>
        <v>8422.2902852365987</v>
      </c>
      <c r="AN11" s="2">
        <f t="shared" si="14"/>
        <v>7993.641154385381</v>
      </c>
      <c r="AO11" s="2">
        <f t="shared" si="15"/>
        <v>7685.4052187432317</v>
      </c>
      <c r="AP11" s="2">
        <f t="shared" si="16"/>
        <v>7374.3712231841728</v>
      </c>
      <c r="AQ11" s="2">
        <f t="shared" si="17"/>
        <v>6902.9128773701668</v>
      </c>
      <c r="AR11" s="2">
        <f t="shared" si="18"/>
        <v>6045.8980186697399</v>
      </c>
      <c r="AS11" s="2">
        <f t="shared" si="19"/>
        <v>5323.5276590267758</v>
      </c>
      <c r="AX11" s="2">
        <f t="shared" si="28"/>
        <v>9.9999999999999995E-8</v>
      </c>
      <c r="AY11" s="37">
        <f t="shared" si="20"/>
        <v>34045.918294192881</v>
      </c>
      <c r="AZ11" s="37">
        <f t="shared" si="21"/>
        <v>34401.191531464567</v>
      </c>
      <c r="BA11" s="37">
        <f t="shared" si="22"/>
        <v>34738.607265315688</v>
      </c>
      <c r="BB11" s="37">
        <f t="shared" si="23"/>
        <v>35148.296991701412</v>
      </c>
      <c r="BC11" s="37">
        <f t="shared" si="24"/>
        <v>36018.391196364231</v>
      </c>
      <c r="BD11" s="37">
        <f t="shared" si="25"/>
        <v>38820.179758727929</v>
      </c>
      <c r="BE11" s="37">
        <f t="shared" si="26"/>
        <v>43625.906110069838</v>
      </c>
    </row>
    <row r="12" spans="1:308" x14ac:dyDescent="0.25">
      <c r="A12" s="2">
        <f>'creep_res-40'!A12</f>
        <v>9.9999999999999995E-7</v>
      </c>
      <c r="B12" s="3">
        <f>'creep_res-40'!O12</f>
        <v>-4.4282602857142865E-4</v>
      </c>
      <c r="C12" s="2">
        <f>IF('Modell einstellen'!$B$2="Ja",creep_res0!O12,creep_res0!C12)</f>
        <v>-4.6354088571428579E-4</v>
      </c>
      <c r="D12" s="2">
        <f>IF('Modell einstellen'!$B$2="Ja",creep_res25!O12,creep_res25!C12)</f>
        <v>-4.8378871428571426E-4</v>
      </c>
      <c r="E12" s="2">
        <f>IF('Modell einstellen'!$B$2="Ja",creep_res50!O12,creep_res50!C12)</f>
        <v>-5.0662740000000008E-4</v>
      </c>
      <c r="F12" s="2">
        <f>IF('Modell einstellen'!$B$2="Ja",creep_res80!O12,creep_res80!C12)</f>
        <v>-5.4002100000000001E-4</v>
      </c>
      <c r="G12" s="2">
        <f>IF('Modell einstellen'!$B$2="Ja",creep_res125!O12,creep_res125!C12)</f>
        <v>-6.0558114285714289E-4</v>
      </c>
      <c r="H12" s="2">
        <f>IF('Modell einstellen'!$B$2="Ja",creep_res160!O12,creep_res160!C12)</f>
        <v>-6.8221957142857142E-4</v>
      </c>
      <c r="M12" s="9">
        <f t="shared" si="27"/>
        <v>-10</v>
      </c>
      <c r="N12" s="2">
        <f t="shared" si="4"/>
        <v>9.9999999999999995E-7</v>
      </c>
      <c r="O12" s="2">
        <f t="shared" si="5"/>
        <v>22582.231745185189</v>
      </c>
      <c r="P12" s="2">
        <f t="shared" si="6"/>
        <v>21573.070053120908</v>
      </c>
      <c r="Q12" s="2">
        <f t="shared" si="7"/>
        <v>20670.180400475889</v>
      </c>
      <c r="R12" s="2">
        <f t="shared" si="8"/>
        <v>19738.371829079908</v>
      </c>
      <c r="S12" s="2">
        <f t="shared" si="9"/>
        <v>18517.798381914778</v>
      </c>
      <c r="T12" s="2">
        <f t="shared" si="10"/>
        <v>16513.063720610284</v>
      </c>
      <c r="U12" s="2">
        <f t="shared" si="11"/>
        <v>14658.037410243078</v>
      </c>
      <c r="Z12" s="2">
        <v>9.9999999999999995E-7</v>
      </c>
      <c r="AA12" s="3">
        <f>IF('Modell einstellen'!$B$2="Ja",'creep_res-40'!P12,'creep_res-40'!L12)</f>
        <v>0.39068337123814695</v>
      </c>
      <c r="AB12" s="2">
        <f>IF('Modell einstellen'!$B$2="Ja",creep_res0!P12,creep_res0!L12)</f>
        <v>0.39676538934984368</v>
      </c>
      <c r="AC12" s="2">
        <f>IF('Modell einstellen'!$B$2="Ja",creep_res25!P12,creep_res25!L12)</f>
        <v>0.40251787010917695</v>
      </c>
      <c r="AD12" s="2">
        <f>IF('Modell einstellen'!$B$2="Ja",creep_res50!P12,creep_res50!L12)</f>
        <v>0.40864505157044401</v>
      </c>
      <c r="AE12" s="2">
        <f>IF('Modell einstellen'!$B$2="Ja",creep_res80!P12,creep_res80!L12)</f>
        <v>0.41707084936114919</v>
      </c>
      <c r="AF12" s="2">
        <f>IF('Modell einstellen'!$B$2="Ja",creep_res125!P12,creep_res125!L12)</f>
        <v>0.43215616262820034</v>
      </c>
      <c r="AG12" s="2">
        <f>IF('Modell einstellen'!$B$2="Ja",creep_res160!P12,creep_res160!L12)</f>
        <v>0.4480558312080925</v>
      </c>
      <c r="AL12" s="2">
        <f t="shared" si="12"/>
        <v>9.9999999999999995E-7</v>
      </c>
      <c r="AM12" s="2">
        <f t="shared" si="13"/>
        <v>8119.1133122846923</v>
      </c>
      <c r="AN12" s="2">
        <f t="shared" si="14"/>
        <v>7722.5102431706819</v>
      </c>
      <c r="AO12" s="2">
        <f t="shared" si="15"/>
        <v>7368.9543787655439</v>
      </c>
      <c r="AP12" s="2">
        <f t="shared" si="16"/>
        <v>7006.1552436770207</v>
      </c>
      <c r="AQ12" s="2">
        <f t="shared" si="17"/>
        <v>6533.8294095397778</v>
      </c>
      <c r="AR12" s="2">
        <f t="shared" si="18"/>
        <v>5765.1058423358591</v>
      </c>
      <c r="AS12" s="2">
        <f t="shared" si="19"/>
        <v>5061.2818561056738</v>
      </c>
      <c r="AX12" s="2">
        <f t="shared" si="28"/>
        <v>9.9999999999999995E-7</v>
      </c>
      <c r="AY12" s="37">
        <f t="shared" si="20"/>
        <v>34429.394077487086</v>
      </c>
      <c r="AZ12" s="37">
        <f t="shared" si="21"/>
        <v>34828.548806220606</v>
      </c>
      <c r="BA12" s="37">
        <f t="shared" si="22"/>
        <v>35340.11895928318</v>
      </c>
      <c r="BB12" s="37">
        <f t="shared" si="23"/>
        <v>36010.404414126533</v>
      </c>
      <c r="BC12" s="37">
        <f t="shared" si="24"/>
        <v>37216.102016523655</v>
      </c>
      <c r="BD12" s="37">
        <f t="shared" si="25"/>
        <v>40566.356405900551</v>
      </c>
      <c r="BE12" s="37">
        <f t="shared" si="26"/>
        <v>47031.385656153085</v>
      </c>
    </row>
    <row r="13" spans="1:308" x14ac:dyDescent="0.25">
      <c r="A13" s="2">
        <f>'creep_res-40'!A13</f>
        <v>1.0000000000000001E-5</v>
      </c>
      <c r="B13" s="3">
        <f>'creep_res-40'!O13</f>
        <v>-4.5658385714285717E-4</v>
      </c>
      <c r="C13" s="2">
        <f>IF('Modell einstellen'!$B$2="Ja",creep_res0!O13,creep_res0!C13)</f>
        <v>-4.8108748571428574E-4</v>
      </c>
      <c r="D13" s="2">
        <f>IF('Modell einstellen'!$B$2="Ja",creep_res25!O13,creep_res25!C13)</f>
        <v>-5.0694940000000006E-4</v>
      </c>
      <c r="E13" s="2">
        <f>IF('Modell einstellen'!$B$2="Ja",creep_res50!O13,creep_res50!C13)</f>
        <v>-5.3271571428571435E-4</v>
      </c>
      <c r="F13" s="2">
        <f>IF('Modell einstellen'!$B$2="Ja",creep_res80!O13,creep_res80!C13)</f>
        <v>-5.6337371428571439E-4</v>
      </c>
      <c r="G13" s="2">
        <f>IF('Modell einstellen'!$B$2="Ja",creep_res125!O13,creep_res125!C13)</f>
        <v>-6.3340537142857146E-4</v>
      </c>
      <c r="H13" s="2">
        <f>IF('Modell einstellen'!$B$2="Ja",creep_res160!O13,creep_res160!C13)</f>
        <v>-7.24981542857143E-4</v>
      </c>
      <c r="M13" s="9">
        <f t="shared" si="27"/>
        <v>-10</v>
      </c>
      <c r="N13" s="2">
        <f t="shared" si="4"/>
        <v>1.0000000000000001E-5</v>
      </c>
      <c r="O13" s="2">
        <f t="shared" si="5"/>
        <v>21901.781772523715</v>
      </c>
      <c r="P13" s="2">
        <f t="shared" si="6"/>
        <v>20786.240126684414</v>
      </c>
      <c r="Q13" s="2">
        <f t="shared" si="7"/>
        <v>19725.834570471921</v>
      </c>
      <c r="R13" s="2">
        <f t="shared" si="8"/>
        <v>18771.738343420904</v>
      </c>
      <c r="S13" s="2">
        <f t="shared" si="9"/>
        <v>17750.206916697767</v>
      </c>
      <c r="T13" s="2">
        <f t="shared" si="10"/>
        <v>15787.67792487483</v>
      </c>
      <c r="U13" s="2">
        <f t="shared" si="11"/>
        <v>13793.454603809812</v>
      </c>
      <c r="Z13" s="2">
        <v>1.0000000000000001E-5</v>
      </c>
      <c r="AA13" s="3">
        <f>IF('Modell einstellen'!$B$2="Ja",'creep_res-40'!P13,'creep_res-40'!L13)</f>
        <v>0.39525261358655128</v>
      </c>
      <c r="AB13" s="2">
        <f>IF('Modell einstellen'!$B$2="Ja",creep_res0!P13,creep_res0!L13)</f>
        <v>0.40221594385387111</v>
      </c>
      <c r="AC13" s="2">
        <f>IF('Modell einstellen'!$B$2="Ja",creep_res25!P13,creep_res25!L13)</f>
        <v>0.4093140825720053</v>
      </c>
      <c r="AD13" s="2">
        <f>IF('Modell einstellen'!$B$2="Ja",creep_res50!P13,creep_res50!L13)</f>
        <v>0.41590602867785276</v>
      </c>
      <c r="AE13" s="2">
        <f>IF('Modell einstellen'!$B$2="Ja",creep_res80!P13,creep_res80!L13)</f>
        <v>0.42318615199857185</v>
      </c>
      <c r="AF13" s="2">
        <f>IF('Modell einstellen'!$B$2="Ja",creep_res125!P13,creep_res125!L13)</f>
        <v>0.43864868663660572</v>
      </c>
      <c r="AG13" s="2">
        <f>IF('Modell einstellen'!$B$2="Ja",creep_res160!P13,creep_res160!L13)</f>
        <v>0.45703185192419077</v>
      </c>
      <c r="AL13" s="2">
        <f t="shared" si="12"/>
        <v>1.0000000000000001E-5</v>
      </c>
      <c r="AM13" s="2">
        <f t="shared" si="13"/>
        <v>7848.6797155048253</v>
      </c>
      <c r="AN13" s="2">
        <f t="shared" si="14"/>
        <v>7411.9254661857585</v>
      </c>
      <c r="AO13" s="2">
        <f t="shared" si="15"/>
        <v>6998.3812744112274</v>
      </c>
      <c r="AP13" s="2">
        <f t="shared" si="16"/>
        <v>6628.8785990090082</v>
      </c>
      <c r="AQ13" s="2">
        <f t="shared" si="17"/>
        <v>6236.0805337275306</v>
      </c>
      <c r="AR13" s="2">
        <f t="shared" si="18"/>
        <v>5486.9816625574504</v>
      </c>
      <c r="AS13" s="2">
        <f t="shared" si="19"/>
        <v>4733.4087396901623</v>
      </c>
      <c r="AX13" s="2">
        <f t="shared" si="28"/>
        <v>1.0000000000000001E-5</v>
      </c>
      <c r="AY13" s="37">
        <f t="shared" si="20"/>
        <v>34848.57319188078</v>
      </c>
      <c r="AZ13" s="37">
        <f t="shared" si="21"/>
        <v>35428.816220000408</v>
      </c>
      <c r="BA13" s="37">
        <f t="shared" si="22"/>
        <v>36253.02790468061</v>
      </c>
      <c r="BB13" s="37">
        <f t="shared" si="23"/>
        <v>37203.892360508056</v>
      </c>
      <c r="BC13" s="37">
        <f t="shared" si="24"/>
        <v>38513.469855000949</v>
      </c>
      <c r="BD13" s="37">
        <f t="shared" si="25"/>
        <v>42888.725764683921</v>
      </c>
      <c r="BE13" s="37">
        <f t="shared" si="26"/>
        <v>53502.634011104579</v>
      </c>
    </row>
    <row r="14" spans="1:308" x14ac:dyDescent="0.25">
      <c r="A14" s="2">
        <f>'creep_res-40'!A14</f>
        <v>1E-4</v>
      </c>
      <c r="B14" s="3">
        <f>'creep_res-40'!O14</f>
        <v>-4.7222405714285716E-4</v>
      </c>
      <c r="C14" s="2">
        <f>IF('Modell einstellen'!$B$2="Ja",creep_res0!O14,creep_res0!C14)</f>
        <v>-5.0375437142857141E-4</v>
      </c>
      <c r="D14" s="2">
        <f>IF('Modell einstellen'!$B$2="Ja",creep_res25!O14,creep_res25!C14)</f>
        <v>-5.3302717142857147E-4</v>
      </c>
      <c r="E14" s="2">
        <f>IF('Modell einstellen'!$B$2="Ja",creep_res50!O14,creep_res50!C14)</f>
        <v>-5.569610571428572E-4</v>
      </c>
      <c r="F14" s="2">
        <f>IF('Modell einstellen'!$B$2="Ja",creep_res80!O14,creep_res80!C14)</f>
        <v>-5.8787177142857142E-4</v>
      </c>
      <c r="G14" s="2">
        <f>IF('Modell einstellen'!$B$2="Ja",creep_res125!O14,creep_res125!C14)</f>
        <v>-6.6375940000000001E-4</v>
      </c>
      <c r="H14" s="2">
        <f>IF('Modell einstellen'!$B$2="Ja",creep_res160!O14,creep_res160!C14)</f>
        <v>-7.7555411428571427E-4</v>
      </c>
      <c r="M14" s="9">
        <f t="shared" si="27"/>
        <v>-10</v>
      </c>
      <c r="N14" s="2">
        <f t="shared" si="4"/>
        <v>1E-4</v>
      </c>
      <c r="O14" s="2">
        <f t="shared" si="5"/>
        <v>21176.388302840744</v>
      </c>
      <c r="P14" s="2">
        <f t="shared" si="6"/>
        <v>19850.944363304498</v>
      </c>
      <c r="Q14" s="2">
        <f t="shared" si="7"/>
        <v>18760.769686841479</v>
      </c>
      <c r="R14" s="2">
        <f t="shared" si="8"/>
        <v>17954.576665195927</v>
      </c>
      <c r="S14" s="2">
        <f t="shared" si="9"/>
        <v>17010.512302196905</v>
      </c>
      <c r="T14" s="2">
        <f t="shared" si="10"/>
        <v>15065.700011178749</v>
      </c>
      <c r="U14" s="2">
        <f t="shared" si="11"/>
        <v>12894.006769869315</v>
      </c>
      <c r="Z14" s="2">
        <v>1E-4</v>
      </c>
      <c r="AA14" s="3">
        <f>IF('Modell einstellen'!$B$2="Ja",'creep_res-40'!P14,'creep_res-40'!L14)</f>
        <v>0.40026364603437042</v>
      </c>
      <c r="AB14" s="2">
        <f>IF('Modell einstellen'!$B$2="Ja",creep_res0!P14,creep_res0!L14)</f>
        <v>0.40896594559151084</v>
      </c>
      <c r="AC14" s="2">
        <f>IF('Modell einstellen'!$B$2="Ja",creep_res25!P14,creep_res25!L14)</f>
        <v>0.41663750617698336</v>
      </c>
      <c r="AD14" s="2">
        <f>IF('Modell einstellen'!$B$2="Ja",creep_res50!P14,creep_res50!L14)</f>
        <v>0.42239884737773664</v>
      </c>
      <c r="AE14" s="2">
        <f>IF('Modell einstellen'!$B$2="Ja",creep_res80!P14,creep_res80!L14)</f>
        <v>0.42935574580112512</v>
      </c>
      <c r="AF14" s="2">
        <f>IF('Modell einstellen'!$B$2="Ja",creep_res125!P14,creep_res125!L14)</f>
        <v>0.44552335422400691</v>
      </c>
      <c r="AG14" s="2">
        <f>IF('Modell einstellen'!$B$2="Ja",creep_res160!P14,creep_res160!L14)</f>
        <v>0.46730146195195965</v>
      </c>
      <c r="AL14" s="2">
        <f t="shared" si="12"/>
        <v>1E-4</v>
      </c>
      <c r="AM14" s="2">
        <f t="shared" si="13"/>
        <v>7561.5718378512247</v>
      </c>
      <c r="AN14" s="2">
        <f t="shared" si="14"/>
        <v>7044.5082173262499</v>
      </c>
      <c r="AO14" s="2">
        <f t="shared" si="15"/>
        <v>6621.5844226341051</v>
      </c>
      <c r="AP14" s="2">
        <f t="shared" si="16"/>
        <v>6311.3720523241727</v>
      </c>
      <c r="AQ14" s="2">
        <f t="shared" si="17"/>
        <v>5950.4123980915811</v>
      </c>
      <c r="AR14" s="2">
        <f t="shared" si="18"/>
        <v>5211.1575946368548</v>
      </c>
      <c r="AS14" s="2">
        <f t="shared" si="19"/>
        <v>4393.7824312927287</v>
      </c>
      <c r="AX14" s="2">
        <f t="shared" si="28"/>
        <v>1E-4</v>
      </c>
      <c r="AY14" s="37">
        <f t="shared" si="20"/>
        <v>35387.277658954059</v>
      </c>
      <c r="AZ14" s="37">
        <f t="shared" si="21"/>
        <v>36343.440361027038</v>
      </c>
      <c r="BA14" s="37">
        <f t="shared" si="22"/>
        <v>37508.414208976021</v>
      </c>
      <c r="BB14" s="37">
        <f t="shared" si="23"/>
        <v>38561.662334649511</v>
      </c>
      <c r="BC14" s="37">
        <f t="shared" si="24"/>
        <v>40131.860911409232</v>
      </c>
      <c r="BD14" s="37">
        <f t="shared" si="25"/>
        <v>46092.228442039224</v>
      </c>
      <c r="BE14" s="37">
        <f t="shared" si="26"/>
        <v>65721.627222423907</v>
      </c>
    </row>
    <row r="15" spans="1:308" x14ac:dyDescent="0.25">
      <c r="A15" s="2">
        <f>'creep_res-40'!A15</f>
        <v>1E-3</v>
      </c>
      <c r="B15" s="3">
        <f>'creep_res-40'!O15</f>
        <v>-4.9287082857142855E-4</v>
      </c>
      <c r="C15" s="2">
        <f>IF('Modell einstellen'!$B$2="Ja",creep_res0!O15,creep_res0!C15)</f>
        <v>-5.2969905714285719E-4</v>
      </c>
      <c r="D15" s="2">
        <f>IF('Modell einstellen'!$B$2="Ja",creep_res25!O15,creep_res25!C15)</f>
        <v>-5.5704579999999999E-4</v>
      </c>
      <c r="E15" s="2">
        <f>IF('Modell einstellen'!$B$2="Ja",creep_res50!O15,creep_res50!C15)</f>
        <v>-5.8063117142857139E-4</v>
      </c>
      <c r="F15" s="2">
        <f>IF('Modell einstellen'!$B$2="Ja",creep_res80!O15,creep_res80!C15)</f>
        <v>-6.1364405714285717E-4</v>
      </c>
      <c r="G15" s="2">
        <f>IF('Modell einstellen'!$B$2="Ja",creep_res125!O15,creep_res125!C15)</f>
        <v>-6.9877779999999998E-4</v>
      </c>
      <c r="H15" s="2">
        <f>IF('Modell einstellen'!$B$2="Ja",creep_res160!O15,creep_res160!C15)</f>
        <v>-8.4309208571428575E-4</v>
      </c>
      <c r="M15" s="9">
        <f t="shared" si="27"/>
        <v>-10</v>
      </c>
      <c r="N15" s="2">
        <f t="shared" si="4"/>
        <v>1E-3</v>
      </c>
      <c r="O15" s="2">
        <f t="shared" si="5"/>
        <v>20289.291677060097</v>
      </c>
      <c r="P15" s="2">
        <f t="shared" si="6"/>
        <v>18878.644137935571</v>
      </c>
      <c r="Q15" s="2">
        <f t="shared" si="7"/>
        <v>17951.845252221632</v>
      </c>
      <c r="R15" s="2">
        <f t="shared" si="8"/>
        <v>17222.637178428147</v>
      </c>
      <c r="S15" s="2">
        <f t="shared" si="9"/>
        <v>16296.091982965276</v>
      </c>
      <c r="T15" s="2">
        <f t="shared" si="10"/>
        <v>14310.70076925741</v>
      </c>
      <c r="U15" s="2">
        <f t="shared" si="11"/>
        <v>11861.100548142122</v>
      </c>
      <c r="Z15" s="2">
        <v>1E-3</v>
      </c>
      <c r="AA15" s="3">
        <f>IF('Modell einstellen'!$B$2="Ja",'creep_res-40'!P15,'creep_res-40'!L15)</f>
        <v>0.40661691191299681</v>
      </c>
      <c r="AB15" s="2">
        <f>IF('Modell einstellen'!$B$2="Ja",creep_res0!P15,creep_res0!L15)</f>
        <v>0.41636047034146129</v>
      </c>
      <c r="AC15" s="2">
        <f>IF('Modell einstellen'!$B$2="Ja",creep_res25!P15,creep_res25!L15)</f>
        <v>0.42313240927150236</v>
      </c>
      <c r="AD15" s="2">
        <f>IF('Modell einstellen'!$B$2="Ja",creep_res50!P15,creep_res50!L15)</f>
        <v>0.42849750549783489</v>
      </c>
      <c r="AE15" s="2">
        <f>IF('Modell einstellen'!$B$2="Ja",creep_res80!P15,creep_res80!L15)</f>
        <v>0.43564310571479736</v>
      </c>
      <c r="AF15" s="2">
        <f>IF('Modell einstellen'!$B$2="Ja",creep_res125!P15,creep_res125!L15)</f>
        <v>0.4531691925939425</v>
      </c>
      <c r="AG15" s="2">
        <f>IF('Modell einstellen'!$B$2="Ja",creep_res160!P15,creep_res160!L15)</f>
        <v>0.48037016664812376</v>
      </c>
      <c r="AL15" s="2">
        <f t="shared" si="12"/>
        <v>1E-3</v>
      </c>
      <c r="AM15" s="2">
        <f t="shared" si="13"/>
        <v>7212.0886309644511</v>
      </c>
      <c r="AN15" s="2">
        <f t="shared" si="14"/>
        <v>6664.4913259208079</v>
      </c>
      <c r="AO15" s="2">
        <f t="shared" si="15"/>
        <v>6307.1591705971805</v>
      </c>
      <c r="AP15" s="2">
        <f t="shared" si="16"/>
        <v>6028.2349504089671</v>
      </c>
      <c r="AQ15" s="2">
        <f t="shared" si="17"/>
        <v>5675.5372968728034</v>
      </c>
      <c r="AR15" s="2">
        <f t="shared" si="18"/>
        <v>4923.9623445747775</v>
      </c>
      <c r="AS15" s="2">
        <f t="shared" si="19"/>
        <v>4006.1265808261332</v>
      </c>
      <c r="AX15" s="2">
        <f t="shared" si="28"/>
        <v>1E-3</v>
      </c>
      <c r="AY15" s="37">
        <f t="shared" si="20"/>
        <v>36211.574088156383</v>
      </c>
      <c r="AZ15" s="37">
        <f t="shared" si="21"/>
        <v>37619.06245170653</v>
      </c>
      <c r="BA15" s="37">
        <f t="shared" si="22"/>
        <v>38923.741206765451</v>
      </c>
      <c r="BB15" s="37">
        <f t="shared" si="23"/>
        <v>40144.606838172716</v>
      </c>
      <c r="BC15" s="37">
        <f t="shared" si="24"/>
        <v>42202.398991753347</v>
      </c>
      <c r="BD15" s="37">
        <f t="shared" si="25"/>
        <v>50930.507650562598</v>
      </c>
      <c r="BE15" s="37">
        <f t="shared" si="26"/>
        <v>100706.41232255145</v>
      </c>
    </row>
    <row r="16" spans="1:308" x14ac:dyDescent="0.25">
      <c r="A16" s="2">
        <f>'creep_res-40'!A16</f>
        <v>0.01</v>
      </c>
      <c r="B16" s="3">
        <f>'creep_res-40'!O16</f>
        <v>-5.1801585714285716E-4</v>
      </c>
      <c r="C16" s="2">
        <f>IF('Modell einstellen'!$B$2="Ja",creep_res0!O16,creep_res0!C16)</f>
        <v>-5.5408702857142863E-4</v>
      </c>
      <c r="D16" s="2">
        <f>IF('Modell einstellen'!$B$2="Ja",creep_res25!O16,creep_res25!C16)</f>
        <v>-5.8081520000000011E-4</v>
      </c>
      <c r="E16" s="2">
        <f>IF('Modell einstellen'!$B$2="Ja",creep_res50!O16,creep_res50!C16)</f>
        <v>-6.0616185714285715E-4</v>
      </c>
      <c r="F16" s="2">
        <f>IF('Modell einstellen'!$B$2="Ja",creep_res80!O16,creep_res80!C16)</f>
        <v>-6.4314922857142858E-4</v>
      </c>
      <c r="G16" s="2">
        <f>IF('Modell einstellen'!$B$2="Ja",creep_res125!O16,creep_res125!C16)</f>
        <v>-7.4557468571428585E-4</v>
      </c>
      <c r="H16" s="2">
        <f>IF('Modell einstellen'!$B$2="Ja",creep_res160!O16,creep_res160!C16)</f>
        <v>-9.3429554285714294E-4</v>
      </c>
      <c r="M16" s="9">
        <f t="shared" si="27"/>
        <v>-10</v>
      </c>
      <c r="N16" s="2">
        <f t="shared" si="4"/>
        <v>0.01</v>
      </c>
      <c r="O16" s="2">
        <f t="shared" si="5"/>
        <v>19304.428353130945</v>
      </c>
      <c r="P16" s="2">
        <f t="shared" si="6"/>
        <v>18047.706378874158</v>
      </c>
      <c r="Q16" s="2">
        <f t="shared" si="7"/>
        <v>17217.180266632138</v>
      </c>
      <c r="R16" s="2">
        <f t="shared" si="8"/>
        <v>16497.243899731639</v>
      </c>
      <c r="S16" s="2">
        <f t="shared" si="9"/>
        <v>15548.491012283619</v>
      </c>
      <c r="T16" s="2">
        <f t="shared" si="10"/>
        <v>13412.472541794603</v>
      </c>
      <c r="U16" s="2">
        <f t="shared" si="11"/>
        <v>10703.251317478494</v>
      </c>
      <c r="Z16" s="2">
        <v>0.01</v>
      </c>
      <c r="AA16" s="3">
        <f>IF('Modell einstellen'!$B$2="Ja",'creep_res-40'!P16,'creep_res-40'!L16)</f>
        <v>0.41402304562656794</v>
      </c>
      <c r="AB16" s="2">
        <f>IF('Modell einstellen'!$B$2="Ja",creep_res0!P16,creep_res0!L16)</f>
        <v>0.42304896301488693</v>
      </c>
      <c r="AC16" s="2">
        <f>IF('Modell einstellen'!$B$2="Ja",creep_res25!P16,creep_res25!L16)</f>
        <v>0.4293171833558862</v>
      </c>
      <c r="AD16" s="2">
        <f>IF('Modell einstellen'!$B$2="Ja",creep_res50!P16,creep_res50!L16)</f>
        <v>0.43486516213373472</v>
      </c>
      <c r="AE16" s="2">
        <f>IF('Modell einstellen'!$B$2="Ja",creep_res80!P16,creep_res80!L16)</f>
        <v>0.44259302540005935</v>
      </c>
      <c r="AF16" s="2">
        <f>IF('Modell einstellen'!$B$2="Ja",creep_res125!P16,creep_res125!L16)</f>
        <v>0.46296053736343123</v>
      </c>
      <c r="AG16" s="2">
        <f>IF('Modell einstellen'!$B$2="Ja",creep_res160!P16,creep_res160!L16)</f>
        <v>0.49644199461632577</v>
      </c>
      <c r="AL16" s="2">
        <f t="shared" si="12"/>
        <v>0.01</v>
      </c>
      <c r="AM16" s="2">
        <f t="shared" si="13"/>
        <v>6826.065675816817</v>
      </c>
      <c r="AN16" s="2">
        <f t="shared" si="14"/>
        <v>6341.2106146502829</v>
      </c>
      <c r="AO16" s="2">
        <f t="shared" si="15"/>
        <v>6022.8689849680577</v>
      </c>
      <c r="AP16" s="2">
        <f t="shared" si="16"/>
        <v>5748.7087759518809</v>
      </c>
      <c r="AQ16" s="2">
        <f t="shared" si="17"/>
        <v>5389.077424650558</v>
      </c>
      <c r="AR16" s="2">
        <f t="shared" si="18"/>
        <v>4584.0172032140918</v>
      </c>
      <c r="AS16" s="2">
        <f t="shared" si="19"/>
        <v>3576.233277328839</v>
      </c>
      <c r="AX16" s="2">
        <f t="shared" si="28"/>
        <v>0.01</v>
      </c>
      <c r="AY16" s="37">
        <f t="shared" si="20"/>
        <v>37421.710840644082</v>
      </c>
      <c r="AZ16" s="37">
        <f t="shared" si="21"/>
        <v>39089.155663069367</v>
      </c>
      <c r="BA16" s="37">
        <f t="shared" si="22"/>
        <v>40597.279235301292</v>
      </c>
      <c r="BB16" s="37">
        <f t="shared" si="23"/>
        <v>42213.057405633284</v>
      </c>
      <c r="BC16" s="37">
        <f t="shared" si="24"/>
        <v>45141.120687391449</v>
      </c>
      <c r="BD16" s="37">
        <f t="shared" si="25"/>
        <v>60352.173902547278</v>
      </c>
      <c r="BE16" s="37">
        <f t="shared" si="26"/>
        <v>501369.45485383167</v>
      </c>
    </row>
    <row r="17" spans="1:57" x14ac:dyDescent="0.25">
      <c r="A17" s="2">
        <f>'creep_res-40'!A17</f>
        <v>0.1</v>
      </c>
      <c r="B17" s="3">
        <f>'creep_res-40'!O17</f>
        <v>-5.4382945714285722E-4</v>
      </c>
      <c r="C17" s="2">
        <f>IF('Modell einstellen'!$B$2="Ja",creep_res0!O17,creep_res0!C17)</f>
        <v>-5.774936857142857E-4</v>
      </c>
      <c r="D17" s="2">
        <f>IF('Modell einstellen'!$B$2="Ja",creep_res25!O17,creep_res25!C17)</f>
        <v>-6.0632237142857145E-4</v>
      </c>
      <c r="E17" s="2">
        <f>IF('Modell einstellen'!$B$2="Ja",creep_res50!O17,creep_res50!C17)</f>
        <v>-6.3452037142857146E-4</v>
      </c>
      <c r="F17" s="2">
        <f>IF('Modell einstellen'!$B$2="Ja",creep_res80!O17,creep_res80!C17)</f>
        <v>-6.7329702857142854E-4</v>
      </c>
      <c r="G17" s="2">
        <f>IF('Modell einstellen'!$B$2="Ja",creep_res125!O17,creep_res125!C17)</f>
        <v>-8.0384180000000007E-4</v>
      </c>
      <c r="H17" s="2">
        <f>IF('Modell einstellen'!$B$2="Ja",creep_res160!O17,creep_res160!C17)</f>
        <v>-1.0801062E-3</v>
      </c>
      <c r="M17" s="9">
        <f t="shared" si="27"/>
        <v>-10</v>
      </c>
      <c r="N17" s="2">
        <f t="shared" si="4"/>
        <v>0.1</v>
      </c>
      <c r="O17" s="2">
        <f t="shared" si="5"/>
        <v>18388.117577406487</v>
      </c>
      <c r="P17" s="2">
        <f t="shared" si="6"/>
        <v>17316.206648443753</v>
      </c>
      <c r="Q17" s="2">
        <f t="shared" si="7"/>
        <v>16492.876514582083</v>
      </c>
      <c r="R17" s="2">
        <f t="shared" si="8"/>
        <v>15759.935299611905</v>
      </c>
      <c r="S17" s="2">
        <f t="shared" si="9"/>
        <v>14852.2859535227</v>
      </c>
      <c r="T17" s="2">
        <f t="shared" si="10"/>
        <v>12440.258767334566</v>
      </c>
      <c r="U17" s="2">
        <f t="shared" si="11"/>
        <v>9258.3488549551894</v>
      </c>
      <c r="Z17" s="2">
        <v>0.1</v>
      </c>
      <c r="AA17" s="3">
        <f>IF('Modell einstellen'!$B$2="Ja",'creep_res-40'!P17,'creep_res-40'!L17)</f>
        <v>0.4213196458490584</v>
      </c>
      <c r="AB17" s="2">
        <f>IF('Modell einstellen'!$B$2="Ja",creep_res0!P17,creep_res0!L17)</f>
        <v>0.42922859416298381</v>
      </c>
      <c r="AC17" s="2">
        <f>IF('Modell einstellen'!$B$2="Ja",creep_res25!P17,creep_res25!L17)</f>
        <v>0.43574343266615878</v>
      </c>
      <c r="AD17" s="2">
        <f>IF('Modell einstellen'!$B$2="Ja",creep_res50!P17,creep_res50!L17)</f>
        <v>0.44169083752934107</v>
      </c>
      <c r="AE17" s="2">
        <f>IF('Modell einstellen'!$B$2="Ja",creep_res80!P17,creep_res80!L17)</f>
        <v>0.4494153631027461</v>
      </c>
      <c r="AF17" s="2">
        <f>IF('Modell einstellen'!$B$2="Ja",creep_res125!P17,creep_res125!L17)</f>
        <v>0.47355017936542809</v>
      </c>
      <c r="AG17" s="2">
        <f>IF('Modell einstellen'!$B$2="Ja",creep_res160!P17,creep_res160!L17)</f>
        <v>0.51303529227033418</v>
      </c>
      <c r="AL17" s="2">
        <f t="shared" si="12"/>
        <v>0.1</v>
      </c>
      <c r="AM17" s="2">
        <f t="shared" si="13"/>
        <v>6468.6777640443843</v>
      </c>
      <c r="AN17" s="2">
        <f t="shared" si="14"/>
        <v>6057.8856031721252</v>
      </c>
      <c r="AO17" s="2">
        <f t="shared" si="15"/>
        <v>5743.6712365645317</v>
      </c>
      <c r="AP17" s="2">
        <f t="shared" si="16"/>
        <v>5465.7818754747968</v>
      </c>
      <c r="AQ17" s="2">
        <f t="shared" si="17"/>
        <v>5123.5437168709832</v>
      </c>
      <c r="AR17" s="2">
        <f t="shared" si="18"/>
        <v>4221.1859974432145</v>
      </c>
      <c r="AS17" s="2">
        <f t="shared" si="19"/>
        <v>3059.5283871610445</v>
      </c>
      <c r="AX17" s="2">
        <f t="shared" si="28"/>
        <v>0.1</v>
      </c>
      <c r="AY17" s="37">
        <f t="shared" si="20"/>
        <v>38951.098987451682</v>
      </c>
      <c r="AZ17" s="37">
        <f t="shared" si="21"/>
        <v>40779.668105699609</v>
      </c>
      <c r="BA17" s="37">
        <f t="shared" si="22"/>
        <v>42778.705220106953</v>
      </c>
      <c r="BB17" s="37">
        <f t="shared" si="23"/>
        <v>45047.052160805426</v>
      </c>
      <c r="BC17" s="37">
        <f t="shared" si="24"/>
        <v>48935.430677929115</v>
      </c>
      <c r="BD17" s="37">
        <f t="shared" si="25"/>
        <v>78389.055633608659</v>
      </c>
      <c r="BE17" s="37">
        <f t="shared" si="26"/>
        <v>-118375.41579364783</v>
      </c>
    </row>
    <row r="18" spans="1:57" x14ac:dyDescent="0.25">
      <c r="A18" s="2">
        <f>'creep_res-40'!A18</f>
        <v>1</v>
      </c>
      <c r="B18" s="3">
        <f>'creep_res-40'!O18</f>
        <v>-5.6631957142857148E-4</v>
      </c>
      <c r="C18" s="2">
        <f>IF('Modell einstellen'!$B$2="Ja",creep_res0!O18,creep_res0!C18)</f>
        <v>-6.0290725714285721E-4</v>
      </c>
      <c r="D18" s="2">
        <f>IF('Modell einstellen'!$B$2="Ja",creep_res25!O18,creep_res25!C18)</f>
        <v>-6.3484974285714293E-4</v>
      </c>
      <c r="E18" s="2">
        <f>IF('Modell einstellen'!$B$2="Ja",creep_res50!O18,creep_res50!C18)</f>
        <v>-6.6471354285714285E-4</v>
      </c>
      <c r="F18" s="2">
        <f>IF('Modell einstellen'!$B$2="Ja",creep_res80!O18,creep_res80!C18)</f>
        <v>-7.1481365714285718E-4</v>
      </c>
      <c r="G18" s="2">
        <f>IF('Modell einstellen'!$B$2="Ja",creep_res125!O18,creep_res125!C18)</f>
        <v>-8.9073805714285725E-4</v>
      </c>
      <c r="H18" s="2">
        <f>IF('Modell einstellen'!$B$2="Ja",creep_res160!O18,creep_res160!C18)</f>
        <v>-1.3319143428571429E-3</v>
      </c>
      <c r="M18" s="9">
        <f t="shared" si="27"/>
        <v>-10</v>
      </c>
      <c r="N18" s="2">
        <f t="shared" si="4"/>
        <v>1</v>
      </c>
      <c r="O18" s="2">
        <f t="shared" si="5"/>
        <v>17657.874642711824</v>
      </c>
      <c r="P18" s="2">
        <f t="shared" si="6"/>
        <v>16586.298939889071</v>
      </c>
      <c r="Q18" s="2">
        <f t="shared" si="7"/>
        <v>15751.758762624639</v>
      </c>
      <c r="R18" s="2">
        <f t="shared" si="8"/>
        <v>15044.074409883286</v>
      </c>
      <c r="S18" s="2">
        <f t="shared" si="9"/>
        <v>13989.659962528494</v>
      </c>
      <c r="T18" s="2">
        <f t="shared" si="10"/>
        <v>11226.645049922003</v>
      </c>
      <c r="U18" s="2">
        <f t="shared" si="11"/>
        <v>7507.9903250749585</v>
      </c>
      <c r="Z18" s="2">
        <v>1</v>
      </c>
      <c r="AA18" s="3">
        <f>IF('Modell einstellen'!$B$2="Ja",'creep_res-40'!P18,'creep_res-40'!L18)</f>
        <v>0.42745693055183126</v>
      </c>
      <c r="AB18" s="2">
        <f>IF('Modell einstellen'!$B$2="Ja",creep_res0!P18,creep_res0!L18)</f>
        <v>0.43572199258886246</v>
      </c>
      <c r="AC18" s="2">
        <f>IF('Modell einstellen'!$B$2="Ja",creep_res25!P18,creep_res25!L18)</f>
        <v>0.44266577184675554</v>
      </c>
      <c r="AD18" s="2">
        <f>IF('Modell einstellen'!$B$2="Ja",creep_res50!P18,creep_res50!L18)</f>
        <v>0.44859117401119813</v>
      </c>
      <c r="AE18" s="2">
        <f>IF('Modell einstellen'!$B$2="Ja",creep_res80!P18,creep_res80!L18)</f>
        <v>0.45747459138001917</v>
      </c>
      <c r="AF18" s="2">
        <f>IF('Modell einstellen'!$B$2="Ja",creep_res125!P18,creep_res125!L18)</f>
        <v>0.48111219613962503</v>
      </c>
      <c r="AG18" s="2">
        <f>IF('Modell einstellen'!$B$2="Ja",creep_res160!P18,creep_res160!L18)</f>
        <v>0.52011225432300434</v>
      </c>
      <c r="AL18" s="2">
        <f t="shared" si="12"/>
        <v>1</v>
      </c>
      <c r="AM18" s="2">
        <f t="shared" si="13"/>
        <v>6185.0814076350389</v>
      </c>
      <c r="AN18" s="2">
        <f t="shared" si="14"/>
        <v>5776.2920069159836</v>
      </c>
      <c r="AO18" s="2">
        <f t="shared" si="15"/>
        <v>5459.2543435964462</v>
      </c>
      <c r="AP18" s="2">
        <f t="shared" si="16"/>
        <v>5192.657072535425</v>
      </c>
      <c r="AQ18" s="2">
        <f t="shared" si="17"/>
        <v>4799.280908658001</v>
      </c>
      <c r="AR18" s="2">
        <f t="shared" si="18"/>
        <v>3789.937412973562</v>
      </c>
      <c r="AS18" s="2">
        <f t="shared" si="19"/>
        <v>2469.5512794279489</v>
      </c>
      <c r="AX18" s="2">
        <f t="shared" si="28"/>
        <v>1</v>
      </c>
      <c r="AY18" s="37">
        <f t="shared" si="20"/>
        <v>40568.71496485774</v>
      </c>
      <c r="AZ18" s="37">
        <f t="shared" si="21"/>
        <v>43006.671612679616</v>
      </c>
      <c r="BA18" s="37">
        <f t="shared" si="22"/>
        <v>45789.281754821095</v>
      </c>
      <c r="BB18" s="37">
        <f t="shared" si="23"/>
        <v>48772.670582415376</v>
      </c>
      <c r="BC18" s="37">
        <f t="shared" si="24"/>
        <v>54828.632326397623</v>
      </c>
      <c r="BD18" s="37">
        <f t="shared" si="25"/>
        <v>99064.323314250432</v>
      </c>
      <c r="BE18" s="37">
        <f t="shared" si="26"/>
        <v>-62217.37756242256</v>
      </c>
    </row>
    <row r="19" spans="1:57" x14ac:dyDescent="0.25">
      <c r="A19" s="2">
        <f>'creep_res-40'!A19</f>
        <v>10</v>
      </c>
      <c r="B19" s="3">
        <f>'creep_res-40'!O19</f>
        <v>-5.9135617142857145E-4</v>
      </c>
      <c r="C19" s="2">
        <f>IF('Modell einstellen'!$B$2="Ja",creep_res0!O19,creep_res0!C19)</f>
        <v>-6.3093077142857145E-4</v>
      </c>
      <c r="D19" s="2">
        <f>IF('Modell einstellen'!$B$2="Ja",creep_res25!O19,creep_res25!C19)</f>
        <v>-6.6514245714285717E-4</v>
      </c>
      <c r="E19" s="2">
        <f>IF('Modell einstellen'!$B$2="Ja",creep_res50!O19,creep_res50!C19)</f>
        <v>-7.0354954285714285E-4</v>
      </c>
      <c r="F19" s="2">
        <f>IF('Modell einstellen'!$B$2="Ja",creep_res80!O19,creep_res80!C19)</f>
        <v>-7.7185057142857148E-4</v>
      </c>
      <c r="G19" s="2">
        <f>IF('Modell einstellen'!$B$2="Ja",creep_res125!O19,creep_res125!C19)</f>
        <v>-1.0281325428571429E-3</v>
      </c>
      <c r="H19" s="2">
        <f>IF('Modell einstellen'!$B$2="Ja",creep_res160!O19,creep_res160!C19)</f>
        <v>-1.7799718571428571E-3</v>
      </c>
      <c r="M19" s="9">
        <f t="shared" si="27"/>
        <v>-10</v>
      </c>
      <c r="N19" s="2">
        <f t="shared" si="4"/>
        <v>10</v>
      </c>
      <c r="O19" s="2">
        <f t="shared" si="5"/>
        <v>16910.282640396654</v>
      </c>
      <c r="P19" s="2">
        <f t="shared" si="6"/>
        <v>15849.59943760187</v>
      </c>
      <c r="Q19" s="2">
        <f t="shared" si="7"/>
        <v>15034.373302458171</v>
      </c>
      <c r="R19" s="2">
        <f t="shared" si="8"/>
        <v>14213.640107546087</v>
      </c>
      <c r="S19" s="2">
        <f t="shared" si="9"/>
        <v>12955.875619152041</v>
      </c>
      <c r="T19" s="2">
        <f t="shared" si="10"/>
        <v>9726.3724112947184</v>
      </c>
      <c r="U19" s="2">
        <f t="shared" si="11"/>
        <v>5618.0663530555021</v>
      </c>
      <c r="Z19" s="2">
        <v>10</v>
      </c>
      <c r="AA19" s="3">
        <f>IF('Modell einstellen'!$B$2="Ja",'creep_res-40'!P19,'creep_res-40'!L19)</f>
        <v>0.43404531260010282</v>
      </c>
      <c r="AB19" s="2">
        <f>IF('Modell einstellen'!$B$2="Ja",creep_res0!P19,creep_res0!L19)</f>
        <v>0.44260824721679903</v>
      </c>
      <c r="AC19" s="2">
        <f>IF('Modell einstellen'!$B$2="Ja",creep_res25!P19,creep_res25!L19)</f>
        <v>0.44948016721315892</v>
      </c>
      <c r="AD19" s="2">
        <f>IF('Modell einstellen'!$B$2="Ja",creep_res50!P19,creep_res50!L19)</f>
        <v>0.45544880705730789</v>
      </c>
      <c r="AE19" s="2">
        <f>IF('Modell einstellen'!$B$2="Ja",creep_res80!P19,creep_res80!L19)</f>
        <v>0.4620685647147838</v>
      </c>
      <c r="AF19" s="2">
        <f>IF('Modell einstellen'!$B$2="Ja",creep_res125!P19,creep_res125!L19)</f>
        <v>0.48093212773372551</v>
      </c>
      <c r="AG19" s="2">
        <f>IF('Modell einstellen'!$B$2="Ja",creep_res160!P19,creep_res160!L19)</f>
        <v>0.52432910857418857</v>
      </c>
      <c r="AL19" s="2">
        <f t="shared" si="12"/>
        <v>10</v>
      </c>
      <c r="AM19" s="2">
        <f t="shared" si="13"/>
        <v>5896.0070828362468</v>
      </c>
      <c r="AN19" s="2">
        <f t="shared" si="14"/>
        <v>5493.3830678495879</v>
      </c>
      <c r="AO19" s="2">
        <f t="shared" si="15"/>
        <v>5186.1259100095131</v>
      </c>
      <c r="AP19" s="2">
        <f t="shared" si="16"/>
        <v>4882.9062343607484</v>
      </c>
      <c r="AQ19" s="2">
        <f t="shared" si="17"/>
        <v>4430.6662258617935</v>
      </c>
      <c r="AR19" s="2">
        <f t="shared" si="18"/>
        <v>3283.8683924627298</v>
      </c>
      <c r="AS19" s="2">
        <f t="shared" si="19"/>
        <v>1842.799668868907</v>
      </c>
      <c r="AX19" s="2">
        <f t="shared" si="28"/>
        <v>10</v>
      </c>
      <c r="AY19" s="37">
        <f t="shared" si="20"/>
        <v>42732.071838619653</v>
      </c>
      <c r="AZ19" s="37">
        <f t="shared" si="21"/>
        <v>46027.517511892336</v>
      </c>
      <c r="BA19" s="37">
        <f t="shared" si="22"/>
        <v>49598.914832427879</v>
      </c>
      <c r="BB19" s="37">
        <f t="shared" si="23"/>
        <v>53173.436252798107</v>
      </c>
      <c r="BC19" s="37">
        <f t="shared" si="24"/>
        <v>56926.730743394786</v>
      </c>
      <c r="BD19" s="37">
        <f t="shared" si="25"/>
        <v>85015.362275963344</v>
      </c>
      <c r="BE19" s="37">
        <f t="shared" si="26"/>
        <v>-38486.588578477997</v>
      </c>
    </row>
    <row r="20" spans="1:57" x14ac:dyDescent="0.25">
      <c r="A20" s="2">
        <f>'creep_res-40'!A20</f>
        <v>100</v>
      </c>
      <c r="B20" s="3">
        <f>'creep_res-40'!O20</f>
        <v>-6.1750360000000003E-4</v>
      </c>
      <c r="C20" s="2">
        <f>IF('Modell einstellen'!$B$2="Ja",creep_res0!O20,creep_res0!C20)</f>
        <v>-6.6142368571428577E-4</v>
      </c>
      <c r="D20" s="2">
        <f>IF('Modell einstellen'!$B$2="Ja",creep_res25!O20,creep_res25!C20)</f>
        <v>-7.0607157142857152E-4</v>
      </c>
      <c r="E20" s="2">
        <f>IF('Modell einstellen'!$B$2="Ja",creep_res50!O20,creep_res50!C20)</f>
        <v>-7.6183774285714279E-4</v>
      </c>
      <c r="F20" s="2">
        <f>IF('Modell einstellen'!$B$2="Ja",creep_res80!O20,creep_res80!C20)</f>
        <v>-8.5811151428571433E-4</v>
      </c>
      <c r="G20" s="2">
        <f>IF('Modell einstellen'!$B$2="Ja",creep_res125!O20,creep_res125!C20)</f>
        <v>-1.2448388857142858E-3</v>
      </c>
      <c r="H20" s="2">
        <f>IF('Modell einstellen'!$B$2="Ja",creep_res160!O20,creep_res160!C20)</f>
        <v>-2.461023085714286E-3</v>
      </c>
      <c r="M20" s="9">
        <f t="shared" si="27"/>
        <v>-10</v>
      </c>
      <c r="N20" s="2">
        <f t="shared" si="4"/>
        <v>100</v>
      </c>
      <c r="O20" s="2">
        <f t="shared" si="5"/>
        <v>16194.23757205626</v>
      </c>
      <c r="P20" s="2">
        <f t="shared" si="6"/>
        <v>15118.902174180206</v>
      </c>
      <c r="Q20" s="2">
        <f t="shared" si="7"/>
        <v>14162.870174431931</v>
      </c>
      <c r="R20" s="2">
        <f t="shared" si="8"/>
        <v>13126.154609374827</v>
      </c>
      <c r="S20" s="2">
        <f t="shared" si="9"/>
        <v>11653.497049650856</v>
      </c>
      <c r="T20" s="2">
        <f t="shared" si="10"/>
        <v>8033.1680788249332</v>
      </c>
      <c r="U20" s="2">
        <f t="shared" si="11"/>
        <v>4063.3507495512199</v>
      </c>
      <c r="Z20" s="2">
        <v>100</v>
      </c>
      <c r="AA20" s="3">
        <f>IF('Modell einstellen'!$B$2="Ja",'creep_res-40'!P20,'creep_res-40'!L20)</f>
        <v>0.44070882455468396</v>
      </c>
      <c r="AB20" s="2">
        <f>IF('Modell einstellen'!$B$2="Ja",creep_res0!P20,creep_res0!L20)</f>
        <v>0.44941105180517749</v>
      </c>
      <c r="AC20" s="2">
        <f>IF('Modell einstellen'!$B$2="Ja",creep_res25!P20,creep_res25!L20)</f>
        <v>0.45543505201111745</v>
      </c>
      <c r="AD20" s="2">
        <f>IF('Modell einstellen'!$B$2="Ja",creep_res50!P20,creep_res50!L20)</f>
        <v>0.45796272104585001</v>
      </c>
      <c r="AE20" s="2">
        <f>IF('Modell einstellen'!$B$2="Ja",creep_res80!P20,creep_res80!L20)</f>
        <v>0.460190438785129</v>
      </c>
      <c r="AF20" s="2">
        <f>IF('Modell einstellen'!$B$2="Ja",creep_res125!P20,creep_res125!L20)</f>
        <v>0.47956292037425102</v>
      </c>
      <c r="AG20" s="2">
        <f>IF('Modell einstellen'!$B$2="Ja",creep_res160!P20,creep_res160!L20)</f>
        <v>0.52898518116878868</v>
      </c>
      <c r="AL20" s="2">
        <f t="shared" si="12"/>
        <v>100</v>
      </c>
      <c r="AM20" s="2">
        <f t="shared" si="13"/>
        <v>5620.2326577203476</v>
      </c>
      <c r="AN20" s="2">
        <f t="shared" si="14"/>
        <v>5215.5329419319251</v>
      </c>
      <c r="AO20" s="2">
        <f t="shared" si="15"/>
        <v>4865.5108844814831</v>
      </c>
      <c r="AP20" s="2">
        <f t="shared" si="16"/>
        <v>4501.5398610325774</v>
      </c>
      <c r="AQ20" s="2">
        <f t="shared" si="17"/>
        <v>3990.4031488339651</v>
      </c>
      <c r="AR20" s="2">
        <f t="shared" si="18"/>
        <v>2714.7098539050189</v>
      </c>
      <c r="AS20" s="2">
        <f t="shared" si="19"/>
        <v>1328.7737512423464</v>
      </c>
      <c r="AX20" s="2">
        <f t="shared" si="28"/>
        <v>100</v>
      </c>
      <c r="AY20" s="37">
        <f t="shared" si="20"/>
        <v>45521.775796670132</v>
      </c>
      <c r="AZ20" s="37">
        <f t="shared" si="21"/>
        <v>49809.634691869775</v>
      </c>
      <c r="BA20" s="37">
        <f t="shared" si="22"/>
        <v>52967.151739842295</v>
      </c>
      <c r="BB20" s="37">
        <f t="shared" si="23"/>
        <v>52041.72318769533</v>
      </c>
      <c r="BC20" s="37">
        <f t="shared" si="24"/>
        <v>48788.518361001385</v>
      </c>
      <c r="BD20" s="37">
        <f t="shared" si="25"/>
        <v>65511.382789934971</v>
      </c>
      <c r="BE20" s="37">
        <f t="shared" si="26"/>
        <v>-23364.529653326481</v>
      </c>
    </row>
    <row r="21" spans="1:57" x14ac:dyDescent="0.25">
      <c r="A21" s="2">
        <f>'creep_res-40'!A21</f>
        <v>1000</v>
      </c>
      <c r="B21" s="3">
        <f>'creep_res-40'!O21</f>
        <v>-6.4772062857142859E-4</v>
      </c>
      <c r="C21" s="2">
        <f>IF('Modell einstellen'!$B$2="Ja",creep_res0!O21,creep_res0!C21)</f>
        <v>-7.0192851428571438E-4</v>
      </c>
      <c r="D21" s="2">
        <f>IF('Modell einstellen'!$B$2="Ja",creep_res25!O21,creep_res25!C21)</f>
        <v>-7.6816097142857142E-4</v>
      </c>
      <c r="E21" s="2">
        <f>IF('Modell einstellen'!$B$2="Ja",creep_res50!O21,creep_res50!C21)</f>
        <v>-8.4521674285714286E-4</v>
      </c>
      <c r="F21" s="2">
        <f>IF('Modell einstellen'!$B$2="Ja",creep_res80!O21,creep_res80!C21)</f>
        <v>-9.7714334285714283E-4</v>
      </c>
      <c r="G21" s="2">
        <f>IF('Modell einstellen'!$B$2="Ja",creep_res125!O21,creep_res125!C21)</f>
        <v>-1.5896212285714288E-3</v>
      </c>
      <c r="H21" s="2">
        <f>IF('Modell einstellen'!$B$2="Ja",creep_res160!O21,creep_res160!C21)</f>
        <v>-3.4348485714285715E-3</v>
      </c>
      <c r="M21" s="9">
        <f t="shared" si="27"/>
        <v>-10</v>
      </c>
      <c r="N21" s="2">
        <f t="shared" si="4"/>
        <v>1000</v>
      </c>
      <c r="O21" s="2">
        <f t="shared" si="5"/>
        <v>15438.754856480893</v>
      </c>
      <c r="P21" s="2">
        <f t="shared" si="6"/>
        <v>14246.464983939348</v>
      </c>
      <c r="Q21" s="2">
        <f t="shared" si="7"/>
        <v>13018.104761821871</v>
      </c>
      <c r="R21" s="2">
        <f t="shared" si="8"/>
        <v>11831.284797076225</v>
      </c>
      <c r="S21" s="2">
        <f t="shared" si="9"/>
        <v>10233.913041622172</v>
      </c>
      <c r="T21" s="2">
        <f t="shared" si="10"/>
        <v>6290.8067785348248</v>
      </c>
      <c r="U21" s="2">
        <f t="shared" si="11"/>
        <v>2911.3364947674963</v>
      </c>
      <c r="Z21" s="2">
        <v>1000</v>
      </c>
      <c r="AA21" s="3">
        <f>IF('Modell einstellen'!$B$2="Ja",'creep_res-40'!P21,'creep_res-40'!L21)</f>
        <v>0.44807624733449902</v>
      </c>
      <c r="AB21" s="2">
        <f>IF('Modell einstellen'!$B$2="Ja",creep_res0!P21,creep_res0!L21)</f>
        <v>0.45440146163846229</v>
      </c>
      <c r="AC21" s="2">
        <f>IF('Modell einstellen'!$B$2="Ja",creep_res25!P21,creep_res25!L21)</f>
        <v>0.4557357286050982</v>
      </c>
      <c r="AD21" s="2">
        <f>IF('Modell einstellen'!$B$2="Ja",creep_res50!P21,creep_res50!L21)</f>
        <v>0.45468628063821065</v>
      </c>
      <c r="AE21" s="2">
        <f>IF('Modell einstellen'!$B$2="Ja",creep_res80!P21,creep_res80!L21)</f>
        <v>0.45673608875691496</v>
      </c>
      <c r="AF21" s="2">
        <f>IF('Modell einstellen'!$B$2="Ja",creep_res125!P21,creep_res125!L21)</f>
        <v>0.48344366599604865</v>
      </c>
      <c r="AG21" s="2">
        <f>IF('Modell einstellen'!$B$2="Ja",creep_res160!P21,creep_res160!L21)</f>
        <v>0.53416238769519475</v>
      </c>
      <c r="AL21" s="2">
        <f t="shared" si="12"/>
        <v>1000</v>
      </c>
      <c r="AM21" s="2">
        <f t="shared" si="13"/>
        <v>5330.7810569019748</v>
      </c>
      <c r="AN21" s="2">
        <f t="shared" si="14"/>
        <v>4897.7071873573095</v>
      </c>
      <c r="AO21" s="2">
        <f t="shared" si="15"/>
        <v>4471.3145751722259</v>
      </c>
      <c r="AP21" s="2">
        <f t="shared" si="16"/>
        <v>4066.6104281555185</v>
      </c>
      <c r="AQ21" s="2">
        <f t="shared" si="17"/>
        <v>3512.6173919241392</v>
      </c>
      <c r="AR21" s="2">
        <f t="shared" si="18"/>
        <v>2120.3389527808267</v>
      </c>
      <c r="AS21" s="2">
        <f t="shared" si="19"/>
        <v>948.83583319405307</v>
      </c>
      <c r="AX21" s="2">
        <f t="shared" si="28"/>
        <v>1000</v>
      </c>
      <c r="AY21" s="37">
        <f t="shared" si="20"/>
        <v>49555.852135531619</v>
      </c>
      <c r="AZ21" s="37">
        <f t="shared" si="21"/>
        <v>52072.08204417731</v>
      </c>
      <c r="BA21" s="37">
        <f t="shared" si="22"/>
        <v>49016.600942407204</v>
      </c>
      <c r="BB21" s="37">
        <f t="shared" si="23"/>
        <v>43516.198345340119</v>
      </c>
      <c r="BC21" s="37">
        <f t="shared" si="24"/>
        <v>39424.36373864171</v>
      </c>
      <c r="BD21" s="37">
        <f t="shared" si="25"/>
        <v>63327.291909685009</v>
      </c>
      <c r="BE21" s="37">
        <f t="shared" si="26"/>
        <v>-14203.42024852575</v>
      </c>
    </row>
    <row r="22" spans="1:57" x14ac:dyDescent="0.25">
      <c r="A22" s="2">
        <f>'creep_res-40'!A22</f>
        <v>10000</v>
      </c>
      <c r="B22" s="3">
        <f>'creep_res-40'!O22</f>
        <v>-6.7977485714285719E-4</v>
      </c>
      <c r="C22" s="2">
        <f>IF('Modell einstellen'!$B$2="Ja",creep_res0!O22,creep_res0!C22)</f>
        <v>-7.6508594285714293E-4</v>
      </c>
      <c r="D22" s="2">
        <f>IF('Modell einstellen'!$B$2="Ja",creep_res25!O22,creep_res25!C22)</f>
        <v>-8.5432602857142862E-4</v>
      </c>
      <c r="E22" s="2">
        <f>IF('Modell einstellen'!$B$2="Ja",creep_res50!O22,creep_res50!C22)</f>
        <v>-9.5746677142857144E-4</v>
      </c>
      <c r="F22" s="2">
        <f>IF('Modell einstellen'!$B$2="Ja",creep_res80!O22,creep_res80!C22)</f>
        <v>-1.1450628000000001E-3</v>
      </c>
      <c r="G22" s="2">
        <f>IF('Modell einstellen'!$B$2="Ja",creep_res125!O22,creep_res125!C22)</f>
        <v>-2.1613843714285716E-3</v>
      </c>
      <c r="H22" s="2">
        <f>IF('Modell einstellen'!$B$2="Ja",creep_res160!O22,creep_res160!C22)</f>
        <v>-4.4121640000000005E-3</v>
      </c>
      <c r="M22" s="9">
        <f t="shared" si="27"/>
        <v>-10</v>
      </c>
      <c r="N22" s="2">
        <f t="shared" si="4"/>
        <v>10000</v>
      </c>
      <c r="O22" s="2">
        <f t="shared" si="5"/>
        <v>14710.752971992406</v>
      </c>
      <c r="P22" s="2">
        <f t="shared" si="6"/>
        <v>13070.427045955023</v>
      </c>
      <c r="Q22" s="2">
        <f t="shared" si="7"/>
        <v>11705.13324605317</v>
      </c>
      <c r="R22" s="2">
        <f t="shared" si="8"/>
        <v>10444.226680660338</v>
      </c>
      <c r="S22" s="2">
        <f t="shared" si="9"/>
        <v>8733.14546590807</v>
      </c>
      <c r="T22" s="2">
        <f t="shared" si="10"/>
        <v>4626.6643417017394</v>
      </c>
      <c r="U22" s="2">
        <f t="shared" si="11"/>
        <v>2266.4615367878437</v>
      </c>
      <c r="Z22" s="2">
        <v>10000</v>
      </c>
      <c r="AA22" s="3">
        <f>IF('Modell einstellen'!$B$2="Ja",'creep_res-40'!P22,'creep_res-40'!L22)</f>
        <v>0.45464973276866461</v>
      </c>
      <c r="AB22" s="2">
        <f>IF('Modell einstellen'!$B$2="Ja",creep_res0!P22,creep_res0!L22)</f>
        <v>0.45365170553388434</v>
      </c>
      <c r="AC22" s="2">
        <f>IF('Modell einstellen'!$B$2="Ja",creep_res25!P22,creep_res25!L22)</f>
        <v>0.45179784325227995</v>
      </c>
      <c r="AD22" s="2">
        <f>IF('Modell einstellen'!$B$2="Ja",creep_res50!P22,creep_res50!L22)</f>
        <v>0.45156742030316488</v>
      </c>
      <c r="AE22" s="2">
        <f>IF('Modell einstellen'!$B$2="Ja",creep_res80!P22,creep_res80!L22)</f>
        <v>0.45691949322405223</v>
      </c>
      <c r="AF22" s="2">
        <f>IF('Modell einstellen'!$B$2="Ja",creep_res125!P22,creep_res125!L22)</f>
        <v>0.49321881043621607</v>
      </c>
      <c r="AG22" s="2">
        <f>IF('Modell einstellen'!$B$2="Ja",creep_res160!P22,creep_res160!L22)</f>
        <v>0.53264624796358429</v>
      </c>
      <c r="AL22" s="2">
        <f t="shared" si="12"/>
        <v>10000</v>
      </c>
      <c r="AM22" s="2">
        <f t="shared" si="13"/>
        <v>5056.458830124393</v>
      </c>
      <c r="AN22" s="2">
        <f t="shared" si="14"/>
        <v>4495.7217042422935</v>
      </c>
      <c r="AO22" s="2">
        <f t="shared" si="15"/>
        <v>4031.2545236434685</v>
      </c>
      <c r="AP22" s="2">
        <f t="shared" si="16"/>
        <v>3597.5685781370817</v>
      </c>
      <c r="AQ22" s="2">
        <f t="shared" si="17"/>
        <v>2997.1269883218743</v>
      </c>
      <c r="AR22" s="2">
        <f t="shared" si="18"/>
        <v>1549.2251736201158</v>
      </c>
      <c r="AS22" s="2">
        <f t="shared" si="19"/>
        <v>739.39486681916139</v>
      </c>
      <c r="AX22" s="2">
        <f t="shared" si="28"/>
        <v>10000</v>
      </c>
      <c r="AY22" s="37">
        <f t="shared" si="20"/>
        <v>54063.455668120841</v>
      </c>
      <c r="AZ22" s="37">
        <f t="shared" si="21"/>
        <v>47000.747983332156</v>
      </c>
      <c r="BA22" s="37">
        <f t="shared" si="22"/>
        <v>40472.370380006629</v>
      </c>
      <c r="BB22" s="37">
        <f t="shared" si="23"/>
        <v>35940.774942666772</v>
      </c>
      <c r="BC22" s="37">
        <f t="shared" si="24"/>
        <v>33786.14490047373</v>
      </c>
      <c r="BD22" s="37">
        <f t="shared" si="25"/>
        <v>113713.19388197045</v>
      </c>
      <c r="BE22" s="37">
        <f t="shared" si="26"/>
        <v>-11570.811747984026</v>
      </c>
    </row>
    <row r="23" spans="1:57" x14ac:dyDescent="0.25">
      <c r="A23" s="2">
        <f>'creep_res-40'!A23</f>
        <v>100000</v>
      </c>
      <c r="B23" s="3">
        <f>'creep_res-40'!O23</f>
        <v>-7.3137274285714287E-4</v>
      </c>
      <c r="C23" s="2">
        <f>IF('Modell einstellen'!$B$2="Ja",creep_res0!O23,creep_res0!C23)</f>
        <v>-8.4982022857142865E-4</v>
      </c>
      <c r="D23" s="2">
        <f>IF('Modell einstellen'!$B$2="Ja",creep_res25!O23,creep_res25!C23)</f>
        <v>-9.6764748571428582E-4</v>
      </c>
      <c r="E23" s="2">
        <f>IF('Modell einstellen'!$B$2="Ja",creep_res50!O23,creep_res50!C23)</f>
        <v>-1.1098411428571431E-3</v>
      </c>
      <c r="F23" s="2">
        <f>IF('Modell einstellen'!$B$2="Ja",creep_res80!O23,creep_res80!C23)</f>
        <v>-1.3958689142857146E-3</v>
      </c>
      <c r="G23" s="2">
        <f>IF('Modell einstellen'!$B$2="Ja",creep_res125!O23,creep_res125!C23)</f>
        <v>-2.981823142857143E-3</v>
      </c>
      <c r="H23" s="2">
        <f>IF('Modell einstellen'!$B$2="Ja",creep_res160!O23,creep_res160!C23)</f>
        <v>-5.2413105714285719E-3</v>
      </c>
      <c r="M23" s="9">
        <f t="shared" si="27"/>
        <v>-10</v>
      </c>
      <c r="N23" s="2">
        <f t="shared" si="4"/>
        <v>100000</v>
      </c>
      <c r="O23" s="2">
        <f t="shared" si="5"/>
        <v>13672.918628242171</v>
      </c>
      <c r="P23" s="2">
        <f t="shared" si="6"/>
        <v>11767.194594567696</v>
      </c>
      <c r="Q23" s="2">
        <f t="shared" si="7"/>
        <v>10334.341945422744</v>
      </c>
      <c r="R23" s="2">
        <f t="shared" si="8"/>
        <v>9010.2985137641299</v>
      </c>
      <c r="S23" s="2">
        <f t="shared" si="9"/>
        <v>7163.9964882498571</v>
      </c>
      <c r="T23" s="2">
        <f t="shared" si="10"/>
        <v>3353.6529569014392</v>
      </c>
      <c r="U23" s="2">
        <f t="shared" si="11"/>
        <v>1907.9197585642019</v>
      </c>
      <c r="Z23" s="2">
        <v>100000</v>
      </c>
      <c r="AA23" s="3">
        <f>IF('Modell einstellen'!$B$2="Ja",'creep_res-40'!P23,'creep_res-40'!L23)</f>
        <v>0.45902632568126489</v>
      </c>
      <c r="AB23" s="2">
        <f>IF('Modell einstellen'!$B$2="Ja",creep_res0!P23,creep_res0!L23)</f>
        <v>0.44944914063841662</v>
      </c>
      <c r="AC23" s="2">
        <f>IF('Modell einstellen'!$B$2="Ja",creep_res25!P23,creep_res25!L23)</f>
        <v>0.44927597895597277</v>
      </c>
      <c r="AD23" s="2">
        <f>IF('Modell einstellen'!$B$2="Ja",creep_res50!P23,creep_res50!L23)</f>
        <v>0.45211613296523251</v>
      </c>
      <c r="AE23" s="2">
        <f>IF('Modell einstellen'!$B$2="Ja",creep_res80!P23,creep_res80!L23)</f>
        <v>0.46174184346250108</v>
      </c>
      <c r="AF23" s="2">
        <f>IF('Modell einstellen'!$B$2="Ja",creep_res125!P23,creep_res125!L23)</f>
        <v>0.50380438391430893</v>
      </c>
      <c r="AG23" s="2">
        <f>IF('Modell einstellen'!$B$2="Ja",creep_res160!P23,creep_res160!L23)</f>
        <v>0.52841957684847307</v>
      </c>
      <c r="AL23" s="2">
        <f t="shared" si="12"/>
        <v>100000</v>
      </c>
      <c r="AM23" s="2">
        <f t="shared" si="13"/>
        <v>4685.6312280238881</v>
      </c>
      <c r="AN23" s="2">
        <f t="shared" si="14"/>
        <v>4059.1954090175182</v>
      </c>
      <c r="AO23" s="2">
        <f t="shared" si="15"/>
        <v>3565.3464541885878</v>
      </c>
      <c r="AP23" s="2">
        <f t="shared" si="16"/>
        <v>3102.4717339118838</v>
      </c>
      <c r="AQ23" s="2">
        <f t="shared" si="17"/>
        <v>2450.4999019800034</v>
      </c>
      <c r="AR23" s="2">
        <f t="shared" si="18"/>
        <v>1115.0562509241029</v>
      </c>
      <c r="AS23" s="2">
        <f t="shared" si="19"/>
        <v>624.14790659062351</v>
      </c>
      <c r="AX23" s="2">
        <f t="shared" si="28"/>
        <v>100000</v>
      </c>
      <c r="AY23" s="37">
        <f t="shared" si="20"/>
        <v>55616.680936317942</v>
      </c>
      <c r="AZ23" s="37">
        <f t="shared" si="21"/>
        <v>38796.5530925286</v>
      </c>
      <c r="BA23" s="37">
        <f t="shared" si="22"/>
        <v>33956.107753013719</v>
      </c>
      <c r="BB23" s="37">
        <f t="shared" si="23"/>
        <v>31361.636224374335</v>
      </c>
      <c r="BC23" s="37">
        <f t="shared" si="24"/>
        <v>31209.015874510449</v>
      </c>
      <c r="BD23" s="37">
        <f t="shared" si="25"/>
        <v>-146920.54536906688</v>
      </c>
      <c r="BE23" s="37">
        <f t="shared" si="26"/>
        <v>-11188.999333902882</v>
      </c>
    </row>
    <row r="24" spans="1:57" x14ac:dyDescent="0.25">
      <c r="A24" s="2">
        <f>'creep_res-40'!A24</f>
        <v>1000000</v>
      </c>
      <c r="B24" s="3">
        <f>'creep_res-40'!O24</f>
        <v>-8.0382091428571442E-4</v>
      </c>
      <c r="C24" s="2">
        <f>IF('Modell einstellen'!$B$2="Ja",creep_res0!O24,creep_res0!C24)</f>
        <v>-9.6031400000000009E-4</v>
      </c>
      <c r="D24" s="2">
        <f>IF('Modell einstellen'!$B$2="Ja",creep_res25!O24,creep_res25!C24)</f>
        <v>-1.1218572857142858E-3</v>
      </c>
      <c r="E24" s="2">
        <f>IF('Modell einstellen'!$B$2="Ja",creep_res50!O24,creep_res50!C24)</f>
        <v>-1.3359454857142859E-3</v>
      </c>
      <c r="F24" s="2">
        <f>IF('Modell einstellen'!$B$2="Ja",creep_res80!O24,creep_res80!C24)</f>
        <v>-1.8148498000000002E-3</v>
      </c>
      <c r="G24" s="2">
        <f>IF('Modell einstellen'!$B$2="Ja",creep_res125!O24,creep_res125!C24)</f>
        <v>-4.0335100000000006E-3</v>
      </c>
      <c r="H24" s="2">
        <f>IF('Modell einstellen'!$B$2="Ja",creep_res160!O24,creep_res160!C24)</f>
        <v>-5.7147317142857146E-3</v>
      </c>
      <c r="M24" s="9">
        <f t="shared" si="27"/>
        <v>-10</v>
      </c>
      <c r="N24" s="2">
        <f t="shared" si="4"/>
        <v>1000000</v>
      </c>
      <c r="O24" s="2">
        <f t="shared" si="5"/>
        <v>12440.582003127063</v>
      </c>
      <c r="P24" s="2">
        <f t="shared" si="6"/>
        <v>10413.260662658255</v>
      </c>
      <c r="Q24" s="2">
        <f t="shared" si="7"/>
        <v>8913.7897728524422</v>
      </c>
      <c r="R24" s="2">
        <f t="shared" si="8"/>
        <v>7485.3353725382967</v>
      </c>
      <c r="S24" s="2">
        <f t="shared" si="9"/>
        <v>5510.0978604400207</v>
      </c>
      <c r="T24" s="2">
        <f t="shared" si="10"/>
        <v>2479.2302485924165</v>
      </c>
      <c r="U24" s="2">
        <f t="shared" si="11"/>
        <v>1749.8634231598223</v>
      </c>
      <c r="Z24" s="2">
        <v>1000000</v>
      </c>
      <c r="AA24" s="3">
        <f>IF('Modell einstellen'!$B$2="Ja",'creep_res-40'!P24,'creep_res-40'!L24)</f>
        <v>0.45611858391200993</v>
      </c>
      <c r="AB24" s="2">
        <f>IF('Modell einstellen'!$B$2="Ja",creep_res0!P24,creep_res0!L24)</f>
        <v>0.44725885789142183</v>
      </c>
      <c r="AC24" s="2">
        <f>IF('Modell einstellen'!$B$2="Ja",creep_res25!P24,creep_res25!L24)</f>
        <v>0.45067991204890967</v>
      </c>
      <c r="AD24" s="2">
        <f>IF('Modell einstellen'!$B$2="Ja",creep_res50!P24,creep_res50!L24)</f>
        <v>0.45707301315887733</v>
      </c>
      <c r="AE24" s="2">
        <f>IF('Modell einstellen'!$B$2="Ja",creep_res80!P24,creep_res80!L24)</f>
        <v>0.47159269835206985</v>
      </c>
      <c r="AF24" s="2">
        <f>IF('Modell einstellen'!$B$2="Ja",creep_res125!P24,creep_res125!L24)</f>
        <v>0.51251415551928003</v>
      </c>
      <c r="AG24" s="2">
        <f>IF('Modell einstellen'!$B$2="Ja",creep_res160!P24,creep_res160!L24)</f>
        <v>0.52202235615510217</v>
      </c>
      <c r="AL24" s="2">
        <f t="shared" si="12"/>
        <v>1000000</v>
      </c>
      <c r="AM24" s="2">
        <f t="shared" si="13"/>
        <v>4271.8299665210579</v>
      </c>
      <c r="AN24" s="2">
        <f t="shared" si="14"/>
        <v>3597.5805592338243</v>
      </c>
      <c r="AO24" s="2">
        <f t="shared" si="15"/>
        <v>3072.2800042990852</v>
      </c>
      <c r="AP24" s="2">
        <f t="shared" si="16"/>
        <v>2568.6205512482802</v>
      </c>
      <c r="AQ24" s="2">
        <f t="shared" si="17"/>
        <v>1872.1545257089074</v>
      </c>
      <c r="AR24" s="2">
        <f t="shared" si="18"/>
        <v>819.57257707159806</v>
      </c>
      <c r="AS24" s="2">
        <f t="shared" si="19"/>
        <v>574.84813415628378</v>
      </c>
      <c r="AX24" s="2">
        <f t="shared" si="28"/>
        <v>1000000</v>
      </c>
      <c r="AY24" s="37">
        <f t="shared" si="20"/>
        <v>47250.76168227828</v>
      </c>
      <c r="AZ24" s="37">
        <f t="shared" si="21"/>
        <v>32906.823295623995</v>
      </c>
      <c r="BA24" s="37">
        <f t="shared" si="22"/>
        <v>30122.242082820478</v>
      </c>
      <c r="BB24" s="37">
        <f t="shared" si="23"/>
        <v>29062.27497495657</v>
      </c>
      <c r="BC24" s="37">
        <f t="shared" si="24"/>
        <v>32327.943526223095</v>
      </c>
      <c r="BD24" s="37">
        <f t="shared" si="25"/>
        <v>-33019.011214577105</v>
      </c>
      <c r="BE24" s="37">
        <f t="shared" si="26"/>
        <v>-13243.083610397513</v>
      </c>
    </row>
    <row r="25" spans="1:57" x14ac:dyDescent="0.25">
      <c r="A25" s="2">
        <f>'creep_res-40'!A25</f>
        <v>10000000</v>
      </c>
      <c r="B25" s="3">
        <f>'creep_res-40'!O25</f>
        <v>-9.0442820000000005E-4</v>
      </c>
      <c r="C25" s="2">
        <f>IF('Modell einstellen'!$B$2="Ja",creep_res0!O25,creep_res0!C25)</f>
        <v>-1.1084513428571429E-3</v>
      </c>
      <c r="D25" s="2">
        <f>IF('Modell einstellen'!$B$2="Ja",creep_res25!O25,creep_res25!C25)</f>
        <v>-1.3513724571428572E-3</v>
      </c>
      <c r="E25" s="2">
        <f>IF('Modell einstellen'!$B$2="Ja",creep_res50!O25,creep_res50!C25)</f>
        <v>-1.7043230571428571E-3</v>
      </c>
      <c r="F25" s="2">
        <f>IF('Modell einstellen'!$B$2="Ja",creep_res80!O25,creep_res80!C25)</f>
        <v>-2.464179485714286E-3</v>
      </c>
      <c r="G25" s="2">
        <f>IF('Modell einstellen'!$B$2="Ja",creep_res125!O25,creep_res125!C25)</f>
        <v>-4.9064134285714284E-3</v>
      </c>
      <c r="H25" s="2">
        <f>IF('Modell einstellen'!$B$2="Ja",creep_res160!O25,creep_res160!C25)</f>
        <v>-6.0956394285714291E-3</v>
      </c>
      <c r="M25" s="9">
        <f t="shared" si="27"/>
        <v>-10</v>
      </c>
      <c r="N25" s="2">
        <f t="shared" si="4"/>
        <v>10000000</v>
      </c>
      <c r="O25" s="2">
        <f t="shared" si="5"/>
        <v>11056.709642622818</v>
      </c>
      <c r="P25" s="2">
        <f t="shared" si="6"/>
        <v>9021.5958187429424</v>
      </c>
      <c r="Q25" s="2">
        <f t="shared" si="7"/>
        <v>7399.8844264907739</v>
      </c>
      <c r="R25" s="2">
        <f t="shared" si="8"/>
        <v>5867.432208987475</v>
      </c>
      <c r="S25" s="2">
        <f t="shared" si="9"/>
        <v>4058.1459499900525</v>
      </c>
      <c r="T25" s="2">
        <f t="shared" si="10"/>
        <v>2038.148669202473</v>
      </c>
      <c r="U25" s="2">
        <f t="shared" si="11"/>
        <v>1640.5169822099524</v>
      </c>
      <c r="Z25" s="2">
        <v>10000000</v>
      </c>
      <c r="AA25" s="3">
        <f>IF('Modell einstellen'!$B$2="Ja",'creep_res-40'!P25,'creep_res-40'!L25)</f>
        <v>0.45197586086514591</v>
      </c>
      <c r="AB25" s="2">
        <f>IF('Modell einstellen'!$B$2="Ja",creep_res0!P25,creep_res0!L25)</f>
        <v>0.4488808671722867</v>
      </c>
      <c r="AC25" s="2">
        <f>IF('Modell einstellen'!$B$2="Ja",creep_res25!P25,creep_res25!L25)</f>
        <v>0.45622970475983404</v>
      </c>
      <c r="AD25" s="2">
        <f>IF('Modell einstellen'!$B$2="Ja",creep_res50!P25,creep_res50!L25)</f>
        <v>0.46632160130204697</v>
      </c>
      <c r="AE25" s="2">
        <f>IF('Modell einstellen'!$B$2="Ja",creep_res80!P25,creep_res80!L25)</f>
        <v>0.48383582494605387</v>
      </c>
      <c r="AF25" s="2">
        <f>IF('Modell einstellen'!$B$2="Ja",creep_res125!P25,creep_res125!L25)</f>
        <v>0.5148750029625947</v>
      </c>
      <c r="AG25" s="2">
        <f>IF('Modell einstellen'!$B$2="Ja",creep_res160!P25,creep_res160!L25)</f>
        <v>0.51894258087444056</v>
      </c>
      <c r="AL25" s="2">
        <f t="shared" si="12"/>
        <v>10000000</v>
      </c>
      <c r="AM25" s="2">
        <f t="shared" si="13"/>
        <v>3807.4701999642007</v>
      </c>
      <c r="AN25" s="2">
        <f t="shared" si="14"/>
        <v>3113.2980023229825</v>
      </c>
      <c r="AO25" s="2">
        <f t="shared" si="15"/>
        <v>2540.7682600840731</v>
      </c>
      <c r="AP25" s="2">
        <f t="shared" si="16"/>
        <v>2000.7316961631682</v>
      </c>
      <c r="AQ25" s="2">
        <f t="shared" si="17"/>
        <v>1367.4511296212941</v>
      </c>
      <c r="AR25" s="2">
        <f t="shared" si="18"/>
        <v>672.71182943032534</v>
      </c>
      <c r="AS25" s="2">
        <f t="shared" si="19"/>
        <v>540.01941971549797</v>
      </c>
      <c r="AX25" s="2">
        <f t="shared" si="28"/>
        <v>10000000</v>
      </c>
      <c r="AY25" s="37">
        <f t="shared" si="20"/>
        <v>38372.055671055496</v>
      </c>
      <c r="AZ25" s="37">
        <f t="shared" si="21"/>
        <v>29413.630864815354</v>
      </c>
      <c r="BA25" s="37">
        <f t="shared" si="22"/>
        <v>28176.964864290905</v>
      </c>
      <c r="BB25" s="37">
        <f t="shared" si="23"/>
        <v>29036.575549063033</v>
      </c>
      <c r="BC25" s="37">
        <f t="shared" si="24"/>
        <v>41843.0050450708</v>
      </c>
      <c r="BD25" s="37">
        <f t="shared" si="25"/>
        <v>-22836.395106695516</v>
      </c>
      <c r="BE25" s="37">
        <f t="shared" si="26"/>
        <v>-14434.120611511818</v>
      </c>
    </row>
    <row r="26" spans="1:57" x14ac:dyDescent="0.25">
      <c r="A26" s="2">
        <f>'creep_res-40'!A26</f>
        <v>100000000</v>
      </c>
      <c r="B26" s="3">
        <f>'creep_res-40'!O26</f>
        <v>-1.0340307714285716E-3</v>
      </c>
      <c r="C26" s="2">
        <f>IF('Modell einstellen'!$B$2="Ja",creep_res0!O26,creep_res0!C26)</f>
        <v>-1.3287063714285715E-3</v>
      </c>
      <c r="D26" s="2">
        <f>IF('Modell einstellen'!$B$2="Ja",creep_res25!O26,creep_res25!C26)</f>
        <v>-1.7279395999999999E-3</v>
      </c>
      <c r="E26" s="2">
        <f>IF('Modell einstellen'!$B$2="Ja",creep_res50!O26,creep_res50!C26)</f>
        <v>-2.3040462857142857E-3</v>
      </c>
      <c r="F26" s="2">
        <f>IF('Modell einstellen'!$B$2="Ja",creep_res80!O26,creep_res80!C26)</f>
        <v>-3.3960300000000004E-3</v>
      </c>
      <c r="G26" s="2">
        <f>IF('Modell einstellen'!$B$2="Ja",creep_res125!O26,creep_res125!C26)</f>
        <v>-5.5716142857142863E-3</v>
      </c>
      <c r="H26" s="2">
        <f>IF('Modell einstellen'!$B$2="Ja",creep_res160!O26,creep_res160!C26)</f>
        <v>-6.2988837142857138E-3</v>
      </c>
      <c r="M26" s="9">
        <f t="shared" si="27"/>
        <v>-10</v>
      </c>
      <c r="N26" s="2">
        <f t="shared" si="4"/>
        <v>100000000</v>
      </c>
      <c r="O26" s="2">
        <f t="shared" si="5"/>
        <v>9670.892082045526</v>
      </c>
      <c r="P26" s="2">
        <f t="shared" si="6"/>
        <v>7526.1172935058657</v>
      </c>
      <c r="Q26" s="2">
        <f t="shared" si="7"/>
        <v>5787.2393224855778</v>
      </c>
      <c r="R26" s="2">
        <f t="shared" si="8"/>
        <v>4340.1905864490318</v>
      </c>
      <c r="S26" s="2">
        <f t="shared" si="9"/>
        <v>2944.6147413303179</v>
      </c>
      <c r="T26" s="2">
        <f t="shared" si="10"/>
        <v>1794.8119678062012</v>
      </c>
      <c r="U26" s="2">
        <f t="shared" si="11"/>
        <v>1587.5828882695905</v>
      </c>
      <c r="Z26" s="2">
        <v>100000000</v>
      </c>
      <c r="AA26" s="3">
        <f>IF('Modell einstellen'!$B$2="Ja",'creep_res-40'!P26,'creep_res-40'!L26)</f>
        <v>0.45058299867671792</v>
      </c>
      <c r="AB26" s="2">
        <f>IF('Modell einstellen'!$B$2="Ja",creep_res0!P26,creep_res0!L26)</f>
        <v>0.45450968496253596</v>
      </c>
      <c r="AC26" s="2">
        <f>IF('Modell einstellen'!$B$2="Ja",creep_res25!P26,creep_res25!L26)</f>
        <v>0.46582306134179358</v>
      </c>
      <c r="AD26" s="2">
        <f>IF('Modell einstellen'!$B$2="Ja",creep_res50!P26,creep_res50!L26)</f>
        <v>0.47876596477104505</v>
      </c>
      <c r="AE26" s="2">
        <f>IF('Modell einstellen'!$B$2="Ja",creep_res80!P26,creep_res80!L26)</f>
        <v>0.49653332189140181</v>
      </c>
      <c r="AF26" s="2">
        <f>IF('Modell einstellen'!$B$2="Ja",creep_res125!P26,creep_res125!L26)</f>
        <v>0.51520544186988637</v>
      </c>
      <c r="AG26" s="2">
        <f>IF('Modell einstellen'!$B$2="Ja",creep_res160!P26,creep_res160!L26)</f>
        <v>0.51801437107246184</v>
      </c>
      <c r="AL26" s="2">
        <f t="shared" si="12"/>
        <v>100000000</v>
      </c>
      <c r="AM26" s="2">
        <f t="shared" si="13"/>
        <v>3333.4500993282409</v>
      </c>
      <c r="AN26" s="2">
        <f t="shared" si="14"/>
        <v>2587.1664421745386</v>
      </c>
      <c r="AO26" s="2">
        <f t="shared" si="15"/>
        <v>1974.0579457073152</v>
      </c>
      <c r="AP26" s="2">
        <f t="shared" si="16"/>
        <v>1467.5042196825975</v>
      </c>
      <c r="AQ26" s="2">
        <f t="shared" si="17"/>
        <v>983.81195335121254</v>
      </c>
      <c r="AR26" s="2">
        <f t="shared" si="18"/>
        <v>592.26686963031818</v>
      </c>
      <c r="AS26" s="2">
        <f t="shared" si="19"/>
        <v>522.91431442377564</v>
      </c>
      <c r="AX26" s="2">
        <f t="shared" si="28"/>
        <v>100000000</v>
      </c>
      <c r="AY26" s="37">
        <f t="shared" si="20"/>
        <v>32616.615817362534</v>
      </c>
      <c r="AZ26" s="37">
        <f t="shared" si="21"/>
        <v>27574.064528195548</v>
      </c>
      <c r="BA26" s="37">
        <f t="shared" si="22"/>
        <v>28221.950968956324</v>
      </c>
      <c r="BB26" s="37">
        <f t="shared" si="23"/>
        <v>34066.30392866247</v>
      </c>
      <c r="BC26" s="37">
        <f t="shared" si="24"/>
        <v>141567.54915832213</v>
      </c>
      <c r="BD26" s="37">
        <f t="shared" si="25"/>
        <v>-19672.912535355055</v>
      </c>
      <c r="BE26" s="37">
        <f t="shared" si="26"/>
        <v>-14688.114671370091</v>
      </c>
    </row>
    <row r="27" spans="1:57" x14ac:dyDescent="0.25">
      <c r="A27" s="2">
        <f>'creep_res-40'!A27</f>
        <v>1000000000</v>
      </c>
      <c r="B27" s="3">
        <f>'creep_res-40'!O27</f>
        <v>-1.2221332857142858E-3</v>
      </c>
      <c r="C27" s="2">
        <f>IF('Modell einstellen'!$B$2="Ja",creep_res0!O27,creep_res0!C27)</f>
        <v>-1.6862730571428571E-3</v>
      </c>
      <c r="D27" s="2">
        <f>IF('Modell einstellen'!$B$2="Ja",creep_res25!O27,creep_res25!C27)</f>
        <v>-2.3361168857142858E-3</v>
      </c>
      <c r="E27" s="2">
        <f>IF('Modell einstellen'!$B$2="Ja",creep_res50!O27,creep_res50!C27)</f>
        <v>-3.1656362857142859E-3</v>
      </c>
      <c r="F27" s="2">
        <f>IF('Modell einstellen'!$B$2="Ja",creep_res80!O27,creep_res80!C27)</f>
        <v>-4.3980477142857143E-3</v>
      </c>
      <c r="G27" s="2">
        <f>IF('Modell einstellen'!$B$2="Ja",creep_res125!O27,creep_res125!C27)</f>
        <v>-5.9386188571428581E-3</v>
      </c>
      <c r="H27" s="2">
        <f>IF('Modell einstellen'!$B$2="Ja",creep_res160!O27,creep_res160!C27)</f>
        <v>-6.4397999999999999E-3</v>
      </c>
      <c r="M27" s="9">
        <f t="shared" si="27"/>
        <v>-10</v>
      </c>
      <c r="N27" s="2">
        <f t="shared" si="4"/>
        <v>1000000000</v>
      </c>
      <c r="O27" s="2">
        <f t="shared" si="5"/>
        <v>8182.4135852378968</v>
      </c>
      <c r="P27" s="2">
        <f t="shared" si="6"/>
        <v>5930.2376668127145</v>
      </c>
      <c r="Q27" s="2">
        <f t="shared" si="7"/>
        <v>4280.6077303543925</v>
      </c>
      <c r="R27" s="2">
        <f t="shared" si="8"/>
        <v>3158.9225980026404</v>
      </c>
      <c r="S27" s="2">
        <f t="shared" si="9"/>
        <v>2273.7361324021235</v>
      </c>
      <c r="T27" s="2">
        <f t="shared" si="10"/>
        <v>1683.8932149976572</v>
      </c>
      <c r="U27" s="2">
        <f t="shared" si="11"/>
        <v>1552.8432560017393</v>
      </c>
      <c r="Z27" s="2">
        <v>1000000000</v>
      </c>
      <c r="AA27" s="3">
        <f>IF('Modell einstellen'!$B$2="Ja",'creep_res-40'!P27,'creep_res-40'!L27)</f>
        <v>0.45391004231126064</v>
      </c>
      <c r="AB27" s="2">
        <f>IF('Modell einstellen'!$B$2="Ja",creep_res0!P27,creep_res0!L27)</f>
        <v>0.46385924245415805</v>
      </c>
      <c r="AC27" s="2">
        <f>IF('Modell einstellen'!$B$2="Ja",creep_res25!P27,creep_res25!L27)</f>
        <v>0.47834590370484276</v>
      </c>
      <c r="AD27" s="2">
        <f>IF('Modell einstellen'!$B$2="Ja",creep_res50!P27,creep_res50!L27)</f>
        <v>0.49171466047854784</v>
      </c>
      <c r="AE27" s="2">
        <f>IF('Modell einstellen'!$B$2="Ja",creep_res80!P27,creep_res80!L27)</f>
        <v>0.50529837687072454</v>
      </c>
      <c r="AF27" s="2">
        <f>IF('Modell einstellen'!$B$2="Ja",creep_res125!P27,creep_res125!L27)</f>
        <v>0.5139557220760228</v>
      </c>
      <c r="AG27" s="2">
        <f>IF('Modell einstellen'!$B$2="Ja",creep_res160!P27,creep_res160!L27)</f>
        <v>0.51561295160009402</v>
      </c>
      <c r="AL27" s="2">
        <f t="shared" si="12"/>
        <v>1000000000</v>
      </c>
      <c r="AM27" s="2">
        <f t="shared" si="13"/>
        <v>2813.9339254547094</v>
      </c>
      <c r="AN27" s="2">
        <f t="shared" si="14"/>
        <v>2025.5491425769458</v>
      </c>
      <c r="AO27" s="2">
        <f t="shared" si="15"/>
        <v>1447.7693345065175</v>
      </c>
      <c r="AP27" s="2">
        <f t="shared" si="16"/>
        <v>1058.8226695409851</v>
      </c>
      <c r="AQ27" s="2">
        <f t="shared" si="17"/>
        <v>755.24433140254177</v>
      </c>
      <c r="AR27" s="2">
        <f t="shared" si="18"/>
        <v>556.12366677692739</v>
      </c>
      <c r="AS27" s="2">
        <f t="shared" si="19"/>
        <v>512.28225991416207</v>
      </c>
      <c r="AX27" s="2">
        <f t="shared" si="28"/>
        <v>1000000000</v>
      </c>
      <c r="AY27" s="37">
        <f t="shared" si="20"/>
        <v>29588.562583402756</v>
      </c>
      <c r="AZ27" s="37">
        <f t="shared" si="21"/>
        <v>27347.875683433191</v>
      </c>
      <c r="BA27" s="37">
        <f t="shared" si="22"/>
        <v>32946.866588253128</v>
      </c>
      <c r="BB27" s="37">
        <f t="shared" si="23"/>
        <v>63544.420636467767</v>
      </c>
      <c r="BC27" s="37">
        <f t="shared" si="24"/>
        <v>-71523.040227827194</v>
      </c>
      <c r="BD27" s="37">
        <f t="shared" si="25"/>
        <v>-20109.949713634411</v>
      </c>
      <c r="BE27" s="37">
        <f t="shared" si="26"/>
        <v>-16576.443453015301</v>
      </c>
    </row>
    <row r="28" spans="1:57" x14ac:dyDescent="0.25">
      <c r="A28" s="2">
        <f>'creep_res-40'!A28</f>
        <v>10000000000</v>
      </c>
      <c r="B28" s="3">
        <f>'creep_res-40'!O28</f>
        <v>-1.5110083142857143E-3</v>
      </c>
      <c r="C28" s="2">
        <f>IF('Modell einstellen'!$B$2="Ja",creep_res0!O28,creep_res0!C28)</f>
        <v>-2.2753457428571428E-3</v>
      </c>
      <c r="D28" s="2">
        <f>IF('Modell einstellen'!$B$2="Ja",creep_res25!O28,creep_res25!C28)</f>
        <v>-3.210096E-3</v>
      </c>
      <c r="E28" s="2">
        <f>IF('Modell einstellen'!$B$2="Ja",creep_res50!O28,creep_res50!C28)</f>
        <v>-4.2048082857142864E-3</v>
      </c>
      <c r="F28" s="2">
        <f>IF('Modell einstellen'!$B$2="Ja",creep_res80!O28,creep_res80!C28)</f>
        <v>-5.2293177142857146E-3</v>
      </c>
      <c r="G28" s="2">
        <f>IF('Modell einstellen'!$B$2="Ja",creep_res125!O28,creep_res125!C28)</f>
        <v>-6.2464694285714285E-3</v>
      </c>
      <c r="H28" s="2">
        <f>IF('Modell einstellen'!$B$2="Ja",creep_res160!O28,creep_res160!C28)</f>
        <v>-6.7772074285714287E-3</v>
      </c>
      <c r="M28" s="9">
        <f t="shared" si="27"/>
        <v>-10</v>
      </c>
      <c r="N28" s="2">
        <f t="shared" si="4"/>
        <v>10000000000</v>
      </c>
      <c r="O28" s="2">
        <f t="shared" si="5"/>
        <v>6618.0972701842556</v>
      </c>
      <c r="P28" s="2">
        <f t="shared" si="6"/>
        <v>4394.9364756509658</v>
      </c>
      <c r="Q28" s="2">
        <f t="shared" si="7"/>
        <v>3115.1716334963194</v>
      </c>
      <c r="R28" s="2">
        <f t="shared" si="8"/>
        <v>2378.2297123925264</v>
      </c>
      <c r="S28" s="2">
        <f t="shared" si="9"/>
        <v>1912.2953598098456</v>
      </c>
      <c r="T28" s="2">
        <f t="shared" si="10"/>
        <v>1600.9043371380121</v>
      </c>
      <c r="U28" s="2">
        <f t="shared" si="11"/>
        <v>1475.5340020790695</v>
      </c>
      <c r="Z28" s="2">
        <v>10000000000</v>
      </c>
      <c r="AA28" s="3">
        <f>IF('Modell einstellen'!$B$2="Ja",'creep_res-40'!P28,'creep_res-40'!L28)</f>
        <v>0.46122257321038468</v>
      </c>
      <c r="AB28" s="2">
        <f>IF('Modell einstellen'!$B$2="Ja",creep_res0!P28,creep_res0!L28)</f>
        <v>0.47640147021424106</v>
      </c>
      <c r="AC28" s="2">
        <f>IF('Modell einstellen'!$B$2="Ja",creep_res25!P28,creep_res25!L28)</f>
        <v>0.49143015393576134</v>
      </c>
      <c r="AD28" s="2">
        <f>IF('Modell einstellen'!$B$2="Ja",creep_res50!P28,creep_res50!L28)</f>
        <v>0.50240444459876499</v>
      </c>
      <c r="AE28" s="2">
        <f>IF('Modell einstellen'!$B$2="Ja",creep_res80!P28,creep_res80!L28)</f>
        <v>0.50981945637048953</v>
      </c>
      <c r="AF28" s="2">
        <f>IF('Modell einstellen'!$B$2="Ja",creep_res125!P28,creep_res125!L28)</f>
        <v>0.5138482570474211</v>
      </c>
      <c r="AG28" s="2">
        <f>IF('Modell einstellen'!$B$2="Ja",creep_res160!P28,creep_res160!L28)</f>
        <v>0.51708301598812767</v>
      </c>
      <c r="AL28" s="2">
        <f t="shared" si="12"/>
        <v>10000000000</v>
      </c>
      <c r="AM28" s="2">
        <f t="shared" si="13"/>
        <v>2264.5753602217969</v>
      </c>
      <c r="AN28" s="2">
        <f t="shared" si="14"/>
        <v>1488.3947775442189</v>
      </c>
      <c r="AO28" s="2">
        <f t="shared" si="15"/>
        <v>1044.3571981147218</v>
      </c>
      <c r="AP28" s="2">
        <f t="shared" si="16"/>
        <v>791.47453302018846</v>
      </c>
      <c r="AQ28" s="2">
        <f t="shared" si="17"/>
        <v>633.28610309701617</v>
      </c>
      <c r="AR28" s="2">
        <f t="shared" si="18"/>
        <v>528.75323853804991</v>
      </c>
      <c r="AS28" s="2">
        <f t="shared" si="19"/>
        <v>486.30628203230003</v>
      </c>
      <c r="AX28" s="2">
        <f t="shared" si="28"/>
        <v>10000000000</v>
      </c>
      <c r="AY28" s="37">
        <f t="shared" si="20"/>
        <v>28444.801602791398</v>
      </c>
      <c r="AZ28" s="37">
        <f t="shared" si="21"/>
        <v>31039.620656814455</v>
      </c>
      <c r="BA28" s="37">
        <f t="shared" si="22"/>
        <v>60583.96712817868</v>
      </c>
      <c r="BB28" s="37">
        <f t="shared" si="23"/>
        <v>-164849.55358741846</v>
      </c>
      <c r="BC28" s="37">
        <f t="shared" si="24"/>
        <v>-32457.590448640276</v>
      </c>
      <c r="BD28" s="37">
        <f t="shared" si="25"/>
        <v>-19267.218149499204</v>
      </c>
      <c r="BE28" s="37">
        <f t="shared" si="26"/>
        <v>-14395.721098121998</v>
      </c>
    </row>
    <row r="29" spans="1:57" x14ac:dyDescent="0.25">
      <c r="A29" s="2">
        <f>'creep_res-40'!A29</f>
        <v>100000000000</v>
      </c>
      <c r="B29" s="3">
        <f>'creep_res-40'!O29</f>
        <v>-2.0067045714285713E-3</v>
      </c>
      <c r="C29" s="2">
        <f>IF('Modell einstellen'!$B$2="Ja",creep_res0!O29,creep_res0!C29)</f>
        <v>-3.1217257142857145E-3</v>
      </c>
      <c r="D29" s="2">
        <f>IF('Modell einstellen'!$B$2="Ja",creep_res25!O29,creep_res25!C29)</f>
        <v>-4.2436945714285712E-3</v>
      </c>
      <c r="E29" s="2">
        <f>IF('Modell einstellen'!$B$2="Ja",creep_res50!O29,creep_res50!C29)</f>
        <v>-5.0564605714285716E-3</v>
      </c>
      <c r="F29" s="2">
        <f>IF('Modell einstellen'!$B$2="Ja",creep_res80!O29,creep_res80!C29)</f>
        <v>-5.7320725714285724E-3</v>
      </c>
      <c r="G29" s="2">
        <f>IF('Modell einstellen'!$B$2="Ja",creep_res125!O29,creep_res125!C29)</f>
        <v>-6.358090857142857E-3</v>
      </c>
      <c r="H29" s="2">
        <f>IF('Modell einstellen'!$B$2="Ja",creep_res160!O29,creep_res160!C29)</f>
        <v>-6.9143051428571436E-3</v>
      </c>
      <c r="M29" s="9">
        <f t="shared" si="27"/>
        <v>-10</v>
      </c>
      <c r="N29" s="2">
        <f t="shared" si="4"/>
        <v>100000000000</v>
      </c>
      <c r="O29" s="2">
        <f t="shared" si="5"/>
        <v>4983.2945727935466</v>
      </c>
      <c r="P29" s="2">
        <f t="shared" si="6"/>
        <v>3203.3563852960447</v>
      </c>
      <c r="Q29" s="2">
        <f t="shared" si="7"/>
        <v>2356.4372580738441</v>
      </c>
      <c r="R29" s="2">
        <f t="shared" si="8"/>
        <v>1977.667947517439</v>
      </c>
      <c r="S29" s="2">
        <f t="shared" si="9"/>
        <v>1744.5696779634031</v>
      </c>
      <c r="T29" s="2">
        <f t="shared" si="10"/>
        <v>1572.7991663984669</v>
      </c>
      <c r="U29" s="2">
        <f t="shared" si="11"/>
        <v>1446.2769278168969</v>
      </c>
      <c r="Z29" s="2">
        <v>100000000000</v>
      </c>
      <c r="AA29" s="3">
        <f>IF('Modell einstellen'!$B$2="Ja",'creep_res-40'!P29,'creep_res-40'!L29)</f>
        <v>0.47286559086354235</v>
      </c>
      <c r="AB29" s="2">
        <f>IF('Modell einstellen'!$B$2="Ja",creep_res0!P29,creep_res0!L29)</f>
        <v>0.48953970514477341</v>
      </c>
      <c r="AC29" s="2">
        <f>IF('Modell einstellen'!$B$2="Ja",creep_res25!P29,creep_res25!L29)</f>
        <v>0.50204461328205197</v>
      </c>
      <c r="AD29" s="2">
        <f>IF('Modell einstellen'!$B$2="Ja",creep_res50!P29,creep_res50!L29)</f>
        <v>0.50782834429865453</v>
      </c>
      <c r="AE29" s="2">
        <f>IF('Modell einstellen'!$B$2="Ja",creep_res80!P29,creep_res80!L29)</f>
        <v>0.51110657855293817</v>
      </c>
      <c r="AF29" s="2">
        <f>IF('Modell einstellen'!$B$2="Ja",creep_res125!P29,creep_res125!L29)</f>
        <v>0.51946392892960958</v>
      </c>
      <c r="AG29" s="2">
        <f>IF('Modell einstellen'!$B$2="Ja",creep_res160!P29,creep_res160!L29)</f>
        <v>0.51549446059407766</v>
      </c>
      <c r="AL29" s="2">
        <f t="shared" si="12"/>
        <v>100000000000</v>
      </c>
      <c r="AM29" s="2">
        <f t="shared" si="13"/>
        <v>1691.7003845109305</v>
      </c>
      <c r="AN29" s="2">
        <f t="shared" si="14"/>
        <v>1075.2839868020503</v>
      </c>
      <c r="AO29" s="2">
        <f t="shared" si="15"/>
        <v>784.40987612375113</v>
      </c>
      <c r="AP29" s="2">
        <f t="shared" si="16"/>
        <v>655.80009654126911</v>
      </c>
      <c r="AQ29" s="2">
        <f t="shared" si="17"/>
        <v>577.24905136540178</v>
      </c>
      <c r="AR29" s="2">
        <f t="shared" si="18"/>
        <v>517.55067575260887</v>
      </c>
      <c r="AS29" s="2">
        <f t="shared" si="19"/>
        <v>477.16338311456207</v>
      </c>
      <c r="AX29" s="2">
        <f t="shared" si="28"/>
        <v>100000000000</v>
      </c>
      <c r="AY29" s="37">
        <f t="shared" si="20"/>
        <v>30608.703926029837</v>
      </c>
      <c r="AZ29" s="37">
        <f t="shared" si="21"/>
        <v>51039.931309002168</v>
      </c>
      <c r="BA29" s="37">
        <f t="shared" si="22"/>
        <v>-192085.0003567205</v>
      </c>
      <c r="BB29" s="37">
        <f t="shared" si="23"/>
        <v>-42104.857938209301</v>
      </c>
      <c r="BC29" s="37">
        <f t="shared" si="24"/>
        <v>-26179.224466654621</v>
      </c>
      <c r="BD29" s="37">
        <f t="shared" si="25"/>
        <v>-13467.640338584128</v>
      </c>
      <c r="BE29" s="37">
        <f t="shared" si="26"/>
        <v>-15556.924564917272</v>
      </c>
    </row>
    <row r="30" spans="1:57" x14ac:dyDescent="0.25">
      <c r="A30" s="2">
        <f>'creep_res-40'!A30</f>
        <v>1000000000000</v>
      </c>
      <c r="B30" s="3">
        <f>'creep_res-40'!O30</f>
        <v>-2.7355667999999999E-3</v>
      </c>
      <c r="C30" s="2">
        <f>IF('Modell einstellen'!$B$2="Ja",creep_res0!O30,creep_res0!C30)</f>
        <v>-4.1663445714285718E-3</v>
      </c>
      <c r="D30" s="2">
        <f>IF('Modell einstellen'!$B$2="Ja",creep_res25!O30,creep_res25!C30)</f>
        <v>-5.0913620000000003E-3</v>
      </c>
      <c r="E30" s="2">
        <f>IF('Modell einstellen'!$B$2="Ja",creep_res50!O30,creep_res50!C30)</f>
        <v>-5.6548028571428571E-3</v>
      </c>
      <c r="F30" s="2">
        <f>IF('Modell einstellen'!$B$2="Ja",creep_res80!O30,creep_res80!C30)</f>
        <v>-6.0948040000000005E-3</v>
      </c>
      <c r="G30" s="2">
        <f>IF('Modell einstellen'!$B$2="Ja",creep_res125!O30,creep_res125!C30)</f>
        <v>-6.6076685714285726E-3</v>
      </c>
      <c r="H30" s="2">
        <f>IF('Modell einstellen'!$B$2="Ja",creep_res160!O30,creep_res160!C30)</f>
        <v>-6.9280194285714298E-3</v>
      </c>
      <c r="M30" s="9">
        <f t="shared" si="27"/>
        <v>-10</v>
      </c>
      <c r="N30" s="2">
        <f t="shared" si="4"/>
        <v>1000000000000</v>
      </c>
      <c r="O30" s="2">
        <f t="shared" si="5"/>
        <v>3655.5495555802186</v>
      </c>
      <c r="P30" s="2">
        <f t="shared" si="6"/>
        <v>2400.1855412000077</v>
      </c>
      <c r="Q30" s="2">
        <f t="shared" si="7"/>
        <v>1964.1109785554434</v>
      </c>
      <c r="R30" s="2">
        <f t="shared" si="8"/>
        <v>1768.4082456329159</v>
      </c>
      <c r="S30" s="2">
        <f t="shared" si="9"/>
        <v>1640.7418515837423</v>
      </c>
      <c r="T30" s="2">
        <f t="shared" si="10"/>
        <v>1513.3930965060508</v>
      </c>
      <c r="U30" s="2">
        <f t="shared" si="11"/>
        <v>1443.4139660116425</v>
      </c>
      <c r="Z30" s="2">
        <v>1000000000000</v>
      </c>
      <c r="AA30" s="3">
        <f>IF('Modell einstellen'!$B$2="Ja",'creep_res-40'!P30,'creep_res-40'!L30)</f>
        <v>0.48557251723586398</v>
      </c>
      <c r="AB30" s="2">
        <f>IF('Modell einstellen'!$B$2="Ja",creep_res0!P30,creep_res0!L30)</f>
        <v>0.50085273791907747</v>
      </c>
      <c r="AC30" s="2">
        <f>IF('Modell einstellen'!$B$2="Ja",creep_res25!P30,creep_res25!L30)</f>
        <v>0.5075886570234055</v>
      </c>
      <c r="AD30" s="2">
        <f>IF('Modell einstellen'!$B$2="Ja",creep_res50!P30,creep_res50!L30)</f>
        <v>0.51034443034770449</v>
      </c>
      <c r="AE30" s="2">
        <f>IF('Modell einstellen'!$B$2="Ja",creep_res80!P30,creep_res80!L30)</f>
        <v>0.51202354380176018</v>
      </c>
      <c r="AF30" s="2">
        <f>IF('Modell einstellen'!$B$2="Ja",creep_res125!P30,creep_res125!L30)</f>
        <v>0.5141155471305201</v>
      </c>
      <c r="AG30" s="2">
        <f>IF('Modell einstellen'!$B$2="Ja",creep_res160!P30,creep_res160!L30)</f>
        <v>0.51547183058048163</v>
      </c>
      <c r="AL30" s="2">
        <f t="shared" si="12"/>
        <v>1000000000000</v>
      </c>
      <c r="AM30" s="2">
        <f t="shared" si="13"/>
        <v>1230.3504248927311</v>
      </c>
      <c r="AN30" s="2">
        <f t="shared" si="14"/>
        <v>799.60727676982128</v>
      </c>
      <c r="AO30" s="2">
        <f t="shared" si="15"/>
        <v>651.40811766035665</v>
      </c>
      <c r="AP30" s="2">
        <f t="shared" si="16"/>
        <v>585.43210743850034</v>
      </c>
      <c r="AQ30" s="2">
        <f t="shared" si="17"/>
        <v>542.56491517927657</v>
      </c>
      <c r="AR30" s="2">
        <f t="shared" si="18"/>
        <v>499.76142817308812</v>
      </c>
      <c r="AS30" s="2">
        <f t="shared" si="19"/>
        <v>476.22593072507385</v>
      </c>
      <c r="AX30" s="2">
        <f t="shared" si="28"/>
        <v>1000000000000</v>
      </c>
      <c r="AY30" s="37">
        <f t="shared" si="20"/>
        <v>42229.006211524982</v>
      </c>
      <c r="AZ30" s="37">
        <f t="shared" si="21"/>
        <v>-469113.5630113699</v>
      </c>
      <c r="BA30" s="37">
        <f t="shared" si="22"/>
        <v>-43136.991005074786</v>
      </c>
      <c r="BB30" s="37">
        <f t="shared" si="23"/>
        <v>-28492.115824520955</v>
      </c>
      <c r="BC30" s="37">
        <f t="shared" si="24"/>
        <v>-22743.458981196909</v>
      </c>
      <c r="BD30" s="37">
        <f t="shared" si="25"/>
        <v>-17869.104216700292</v>
      </c>
      <c r="BE30" s="37">
        <f t="shared" si="26"/>
        <v>-15548.838457342066</v>
      </c>
    </row>
    <row r="31" spans="1:57" x14ac:dyDescent="0.25">
      <c r="A31" s="2">
        <f>'creep_res-40'!A31</f>
        <v>10000000000000</v>
      </c>
      <c r="B31" s="3">
        <f>'creep_res-40'!O31</f>
        <v>-3.7568405714285716E-3</v>
      </c>
      <c r="C31" s="2">
        <f>IF('Modell einstellen'!$B$2="Ja",creep_res0!O31,creep_res0!C31)</f>
        <v>-5.0214025714285723E-3</v>
      </c>
      <c r="D31" s="2">
        <f>IF('Modell einstellen'!$B$2="Ja",creep_res25!O31,creep_res25!C31)</f>
        <v>-5.6714805714285716E-3</v>
      </c>
      <c r="E31" s="2">
        <f>IF('Modell einstellen'!$B$2="Ja",creep_res50!O31,creep_res50!C31)</f>
        <v>-6.0127154285714293E-3</v>
      </c>
      <c r="F31" s="2">
        <f>IF('Modell einstellen'!$B$2="Ja",creep_res80!O31,creep_res80!C31)</f>
        <v>-6.3178514285714285E-3</v>
      </c>
      <c r="G31" s="2">
        <f>IF('Modell einstellen'!$B$2="Ja",creep_res125!O31,creep_res125!C31)</f>
        <v>-6.8895494285714292E-3</v>
      </c>
      <c r="H31" s="2">
        <f>IF('Modell einstellen'!$B$2="Ja",creep_res160!O31,creep_res160!C31)</f>
        <v>-6.9320440000000001E-3</v>
      </c>
      <c r="M31" s="9">
        <f t="shared" si="27"/>
        <v>-10</v>
      </c>
      <c r="N31" s="2">
        <f t="shared" si="4"/>
        <v>10000000000000</v>
      </c>
      <c r="O31" s="2">
        <f t="shared" si="5"/>
        <v>2661.8111175788895</v>
      </c>
      <c r="P31" s="2">
        <f t="shared" si="6"/>
        <v>1991.4754608402236</v>
      </c>
      <c r="Q31" s="2">
        <f t="shared" si="7"/>
        <v>1763.2080149189565</v>
      </c>
      <c r="R31" s="2">
        <f t="shared" si="8"/>
        <v>1663.1420726285587</v>
      </c>
      <c r="S31" s="2">
        <f t="shared" si="9"/>
        <v>1582.8165814056135</v>
      </c>
      <c r="T31" s="2">
        <f t="shared" si="10"/>
        <v>1451.473728968301</v>
      </c>
      <c r="U31" s="2">
        <f t="shared" si="11"/>
        <v>1442.5759559518087</v>
      </c>
      <c r="Z31" s="2">
        <v>10000000000000</v>
      </c>
      <c r="AA31" s="3">
        <f>IF('Modell einstellen'!$B$2="Ja",'creep_res-40'!P31,'creep_res-40'!L31)</f>
        <v>0.49833434507506391</v>
      </c>
      <c r="AB31" s="2">
        <f>IF('Modell einstellen'!$B$2="Ja",creep_res0!P31,creep_res0!L31)</f>
        <v>0.50676640203371748</v>
      </c>
      <c r="AC31" s="2">
        <f>IF('Modell einstellen'!$B$2="Ja",creep_res25!P31,creep_res25!L31)</f>
        <v>0.51010993249331416</v>
      </c>
      <c r="AD31" s="2">
        <f>IF('Modell einstellen'!$B$2="Ja",creep_res50!P31,creep_res50!L31)</f>
        <v>0.5113163988089241</v>
      </c>
      <c r="AE31" s="2">
        <f>IF('Modell einstellen'!$B$2="Ja",creep_res80!P31,creep_res80!L31)</f>
        <v>0.51307827073218382</v>
      </c>
      <c r="AF31" s="2">
        <f>IF('Modell einstellen'!$B$2="Ja",creep_res125!P31,creep_res125!L31)</f>
        <v>0.51521146541492668</v>
      </c>
      <c r="AG31" s="2">
        <f>IF('Modell einstellen'!$B$2="Ja",creep_res160!P31,creep_res160!L31)</f>
        <v>0.51537303736510776</v>
      </c>
      <c r="AL31" s="2">
        <f t="shared" si="12"/>
        <v>10000000000000</v>
      </c>
      <c r="AM31" s="2">
        <f t="shared" si="13"/>
        <v>888.25672531905332</v>
      </c>
      <c r="AN31" s="2">
        <f t="shared" si="14"/>
        <v>660.84412890819806</v>
      </c>
      <c r="AO31" s="2">
        <f t="shared" si="15"/>
        <v>583.80121108393644</v>
      </c>
      <c r="AP31" s="2">
        <f t="shared" si="16"/>
        <v>550.22961238933465</v>
      </c>
      <c r="AQ31" s="2">
        <f t="shared" si="17"/>
        <v>523.04517618896307</v>
      </c>
      <c r="AR31" s="2">
        <f t="shared" si="18"/>
        <v>478.96737917397832</v>
      </c>
      <c r="AS31" s="2">
        <f t="shared" si="19"/>
        <v>475.98047490013522</v>
      </c>
      <c r="AX31" s="2">
        <f t="shared" si="28"/>
        <v>10000000000000</v>
      </c>
      <c r="AY31" s="37">
        <f t="shared" si="20"/>
        <v>266342.79382938251</v>
      </c>
      <c r="AZ31" s="37">
        <f t="shared" si="21"/>
        <v>-49053.038106922882</v>
      </c>
      <c r="BA31" s="37">
        <f t="shared" si="22"/>
        <v>-29067.25664892737</v>
      </c>
      <c r="BB31" s="37">
        <f t="shared" si="23"/>
        <v>-24494.572002844325</v>
      </c>
      <c r="BC31" s="37">
        <f t="shared" si="24"/>
        <v>-20171.073758124621</v>
      </c>
      <c r="BD31" s="37">
        <f t="shared" si="25"/>
        <v>-15903.286209624497</v>
      </c>
      <c r="BE31" s="37">
        <f t="shared" si="26"/>
        <v>-15639.676160397003</v>
      </c>
    </row>
    <row r="32" spans="1:57" x14ac:dyDescent="0.25">
      <c r="A32" s="2">
        <f>'creep_res-40'!A32</f>
        <v>100000000000000</v>
      </c>
      <c r="B32" s="3">
        <f>'creep_res-40'!O32</f>
        <v>-4.6848757142857146E-3</v>
      </c>
      <c r="C32" s="2">
        <f>IF('Modell einstellen'!$B$2="Ja",creep_res0!O32,creep_res0!C32)</f>
        <v>-5.6401380000000003E-3</v>
      </c>
      <c r="D32" s="2">
        <f>IF('Modell einstellen'!$B$2="Ja",creep_res25!O32,creep_res25!C32)</f>
        <v>-6.0295740000000002E-3</v>
      </c>
      <c r="E32" s="2">
        <f>IF('Modell einstellen'!$B$2="Ja",creep_res50!O32,creep_res50!C32)</f>
        <v>-6.2865677142857146E-3</v>
      </c>
      <c r="F32" s="2">
        <f>IF('Modell einstellen'!$B$2="Ja",creep_res80!O32,creep_res80!C32)</f>
        <v>-6.4428497142857144E-3</v>
      </c>
      <c r="G32" s="2">
        <f>IF('Modell einstellen'!$B$2="Ja",creep_res125!O32,creep_res125!C32)</f>
        <v>-6.9306028571428577E-3</v>
      </c>
      <c r="H32" s="2">
        <f>IF('Modell einstellen'!$B$2="Ja",creep_res160!O32,creep_res160!C32)</f>
        <v>-6.9347925714285724E-3</v>
      </c>
      <c r="M32" s="9">
        <v>-1</v>
      </c>
      <c r="N32" s="2">
        <f t="shared" si="4"/>
        <v>100000000000000</v>
      </c>
      <c r="O32" s="2">
        <f t="shared" si="5"/>
        <v>2134.5283439444802</v>
      </c>
      <c r="P32" s="2">
        <f t="shared" si="6"/>
        <v>1773.0062633219256</v>
      </c>
      <c r="Q32" s="2">
        <f t="shared" si="7"/>
        <v>1658.491959796828</v>
      </c>
      <c r="R32" s="2">
        <f t="shared" si="8"/>
        <v>1590.6931181661835</v>
      </c>
      <c r="S32" s="2">
        <f t="shared" si="9"/>
        <v>1552.1082197256635</v>
      </c>
      <c r="T32" s="2">
        <f t="shared" si="10"/>
        <v>1442.8759238013101</v>
      </c>
      <c r="U32" s="2">
        <f t="shared" si="11"/>
        <v>1442.004197962621</v>
      </c>
      <c r="Z32" s="2">
        <v>100000000000000</v>
      </c>
      <c r="AA32" s="3">
        <f>IF('Modell einstellen'!$B$2="Ja",'creep_res-40'!P32,'creep_res-40'!L32)</f>
        <v>0.50559271430588337</v>
      </c>
      <c r="AB32" s="2">
        <f>IF('Modell einstellen'!$B$2="Ja",creep_res0!P32,creep_res0!L32)</f>
        <v>0.50979522638833097</v>
      </c>
      <c r="AC32" s="2">
        <f>IF('Modell einstellen'!$B$2="Ja",creep_res25!P32,creep_res25!L32)</f>
        <v>0.51124057141397672</v>
      </c>
      <c r="AD32" s="2">
        <f>IF('Modell einstellen'!$B$2="Ja",creep_res50!P32,creep_res50!L32)</f>
        <v>0.51220909233823575</v>
      </c>
      <c r="AE32" s="2">
        <f>IF('Modell einstellen'!$B$2="Ja",creep_res80!P32,creep_res80!L32)</f>
        <v>0.51270569092452178</v>
      </c>
      <c r="AF32" s="2">
        <f>IF('Modell einstellen'!$B$2="Ja",creep_res125!P32,creep_res125!L32)</f>
        <v>0.51667832647829848</v>
      </c>
      <c r="AG32" s="2">
        <f>IF('Modell einstellen'!$B$2="Ja",creep_res160!P32,creep_res160!L32)</f>
        <v>0.51545132218188916</v>
      </c>
      <c r="AL32" s="2">
        <f t="shared" si="12"/>
        <v>100000000000000</v>
      </c>
      <c r="AM32" s="2">
        <f t="shared" si="13"/>
        <v>708.86645626754114</v>
      </c>
      <c r="AN32" s="2">
        <f t="shared" si="14"/>
        <v>587.16779346403064</v>
      </c>
      <c r="AO32" s="2">
        <f t="shared" si="15"/>
        <v>548.71871201984641</v>
      </c>
      <c r="AP32" s="2">
        <f t="shared" si="16"/>
        <v>525.95012363885235</v>
      </c>
      <c r="AQ32" s="2">
        <f t="shared" si="17"/>
        <v>513.02385818918287</v>
      </c>
      <c r="AR32" s="2">
        <f t="shared" si="18"/>
        <v>475.66972462501121</v>
      </c>
      <c r="AS32" s="2">
        <f t="shared" si="19"/>
        <v>475.76724400704541</v>
      </c>
      <c r="AX32" s="2">
        <f t="shared" si="28"/>
        <v>100000000000000</v>
      </c>
      <c r="AY32" s="37">
        <f t="shared" si="20"/>
        <v>-63610.38746722733</v>
      </c>
      <c r="AZ32" s="37">
        <f t="shared" si="21"/>
        <v>-30167.862606934468</v>
      </c>
      <c r="BA32" s="37">
        <f t="shared" si="22"/>
        <v>-24590.860771464442</v>
      </c>
      <c r="BB32" s="37">
        <f t="shared" si="23"/>
        <v>-21714.596986386121</v>
      </c>
      <c r="BC32" s="37">
        <f t="shared" si="24"/>
        <v>-20359.75098279411</v>
      </c>
      <c r="BD32" s="37">
        <f t="shared" si="25"/>
        <v>-14418.672097974508</v>
      </c>
      <c r="BE32" s="37">
        <f t="shared" si="26"/>
        <v>-15554.269735924026</v>
      </c>
    </row>
    <row r="33" spans="1:60" x14ac:dyDescent="0.25">
      <c r="A33" s="2">
        <f>'creep_res-40'!A33</f>
        <v>1000000000000000</v>
      </c>
      <c r="B33" s="3">
        <f>'creep_res-40'!O33</f>
        <v>-5.4542020000000009E-3</v>
      </c>
      <c r="C33" s="2">
        <f>IF('Modell einstellen'!$B$2="Ja",creep_res0!O33,creep_res0!C33)</f>
        <v>-5.9958525714285723E-3</v>
      </c>
      <c r="D33" s="2">
        <f>IF('Modell einstellen'!$B$2="Ja",creep_res25!O33,creep_res25!C33)</f>
        <v>-6.2946374285714288E-3</v>
      </c>
      <c r="E33" s="2">
        <f>IF('Modell einstellen'!$B$2="Ja",creep_res50!O33,creep_res50!C33)</f>
        <v>-6.4140320000000009E-3</v>
      </c>
      <c r="F33" s="2">
        <f>IF('Modell einstellen'!$B$2="Ja",creep_res80!O33,creep_res80!C33)</f>
        <v>-6.7568782857142864E-3</v>
      </c>
      <c r="G33" s="2">
        <f>IF('Modell einstellen'!$B$2="Ja",creep_res125!O33,creep_res125!C33)</f>
        <v>-6.9356111428571432E-3</v>
      </c>
      <c r="H33" s="2">
        <f>IF('Modell einstellen'!$B$2="Ja",creep_res160!O33,creep_res160!C33)</f>
        <v>-6.9376311428571442E-3</v>
      </c>
      <c r="M33" s="9">
        <f>M31</f>
        <v>-10</v>
      </c>
      <c r="N33" s="2">
        <f t="shared" si="4"/>
        <v>1000000000000000</v>
      </c>
      <c r="O33" s="2">
        <f t="shared" si="5"/>
        <v>1833.4487794914817</v>
      </c>
      <c r="P33" s="2">
        <f t="shared" si="6"/>
        <v>1667.8195270597521</v>
      </c>
      <c r="Q33" s="2">
        <f t="shared" si="7"/>
        <v>1588.6538523426129</v>
      </c>
      <c r="R33" s="2">
        <f t="shared" si="8"/>
        <v>1559.0817133434941</v>
      </c>
      <c r="S33" s="2">
        <f t="shared" si="9"/>
        <v>1479.9733807759237</v>
      </c>
      <c r="T33" s="2">
        <f t="shared" si="10"/>
        <v>1441.8340062647276</v>
      </c>
      <c r="U33" s="2">
        <f t="shared" si="11"/>
        <v>1441.4141937044049</v>
      </c>
      <c r="Z33" s="2">
        <v>1000000000000000</v>
      </c>
      <c r="AA33" s="3">
        <f>IF('Modell einstellen'!$B$2="Ja",'creep_res-40'!P33,'creep_res-40'!L33)</f>
        <v>0.50983684034542798</v>
      </c>
      <c r="AB33" s="2">
        <f>IF('Modell einstellen'!$B$2="Ja",creep_res0!P33,creep_res0!L33)</f>
        <v>0.51094623311999854</v>
      </c>
      <c r="AC33" s="2">
        <f>IF('Modell einstellen'!$B$2="Ja",creep_res25!P33,creep_res25!L33)</f>
        <v>0.51214101472586804</v>
      </c>
      <c r="AD33" s="2">
        <f>IF('Modell einstellen'!$B$2="Ja",creep_res50!P33,creep_res50!L33)</f>
        <v>0.51264241543273503</v>
      </c>
      <c r="AE33" s="2">
        <f>IF('Modell einstellen'!$B$2="Ja",creep_res80!P33,creep_res80!L33)</f>
        <v>0.51418250033806812</v>
      </c>
      <c r="AF33" s="2">
        <f>IF('Modell einstellen'!$B$2="Ja",creep_res125!P33,creep_res125!L33)</f>
        <v>0.5162885429521733</v>
      </c>
      <c r="AG33" s="2">
        <f>IF('Modell einstellen'!$B$2="Ja",creep_res160!P33,creep_res160!L33)</f>
        <v>0.51551013151504277</v>
      </c>
      <c r="AL33" s="2">
        <f t="shared" si="12"/>
        <v>1000000000000000</v>
      </c>
      <c r="AM33" s="2">
        <f t="shared" si="13"/>
        <v>607.16785102157667</v>
      </c>
      <c r="AN33" s="2">
        <f t="shared" si="14"/>
        <v>551.91226878266252</v>
      </c>
      <c r="AO33" s="2">
        <f t="shared" si="15"/>
        <v>525.29950476563715</v>
      </c>
      <c r="AP33" s="2">
        <f t="shared" si="16"/>
        <v>515.3503886433972</v>
      </c>
      <c r="AQ33" s="2">
        <f t="shared" si="17"/>
        <v>488.70376604058401</v>
      </c>
      <c r="AR33" s="2">
        <f t="shared" si="18"/>
        <v>475.44842733478526</v>
      </c>
      <c r="AS33" s="2">
        <f t="shared" si="19"/>
        <v>475.55412653805064</v>
      </c>
      <c r="AX33" s="2">
        <f>AL33</f>
        <v>1000000000000000</v>
      </c>
      <c r="AY33" s="37">
        <f t="shared" si="20"/>
        <v>-31064.324097111163</v>
      </c>
      <c r="AZ33" s="37">
        <f t="shared" si="21"/>
        <v>-25394.116691045081</v>
      </c>
      <c r="BA33" s="37">
        <f t="shared" si="22"/>
        <v>-21808.361824400279</v>
      </c>
      <c r="BB33" s="37">
        <f t="shared" si="23"/>
        <v>-20553.584368940563</v>
      </c>
      <c r="BC33" s="37">
        <f t="shared" si="24"/>
        <v>-17392.012991336898</v>
      </c>
      <c r="BD33" s="37">
        <f t="shared" si="25"/>
        <v>-14753.048717517431</v>
      </c>
      <c r="BE33" s="37">
        <f t="shared" si="26"/>
        <v>-15488.953057408791</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D7" sqref="D7"/>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111</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7885.0238799750496</v>
      </c>
      <c r="G16" s="26">
        <f>INDEX(Comparison!$AM$3:$AS$33,G14,$B$3)</f>
        <v>7533.2051738552464</v>
      </c>
      <c r="H16" s="26">
        <f>INDEX(Comparison!$AM$3:$AS$33,H14,$B$3)</f>
        <v>7191.2405725815324</v>
      </c>
      <c r="I16" s="26">
        <f>INDEX(Comparison!$AM$3:$AS$33,I14,$B$3)</f>
        <v>6812.4631092957497</v>
      </c>
      <c r="J16" s="26">
        <f>INDEX(Comparison!$AM$3:$AS$33,J14,$B$3)</f>
        <v>6451.9725248759578</v>
      </c>
      <c r="K16" s="26">
        <f>INDEX(Comparison!$AM$3:$AS$33,K14,$B$3)</f>
        <v>6166.1047060884439</v>
      </c>
      <c r="L16" s="26">
        <f>INDEX(Comparison!$AM$3:$AS$33,L14,$B$3)</f>
        <v>5881.0552739751101</v>
      </c>
      <c r="M16" s="26">
        <f>INDEX(Comparison!$AM$3:$AS$33,M14,$B$3)</f>
        <v>5609.3504910949478</v>
      </c>
      <c r="N16" s="26">
        <f>INDEX(Comparison!$AM$3:$AS$33,N14,$B$3)</f>
        <v>5323.5276590267758</v>
      </c>
      <c r="O16" s="26">
        <f>INDEX(Comparison!$AM$3:$AS$33,O14,$B$3)</f>
        <v>5061.2818561056738</v>
      </c>
      <c r="P16" s="26">
        <f>INDEX(Comparison!$AM$3:$AS$33,P14,$B$3)</f>
        <v>4733.4087396901623</v>
      </c>
      <c r="Q16" s="26">
        <f>INDEX(Comparison!$AM$3:$AS$33,Q14,$B$3)</f>
        <v>4393.7824312927287</v>
      </c>
      <c r="R16" s="26">
        <f>INDEX(Comparison!$AM$3:$AS$33,R14,$B$3)</f>
        <v>4006.1265808261332</v>
      </c>
      <c r="S16" s="26">
        <f>INDEX(Comparison!$AM$3:$AS$33,S14,$B$3)</f>
        <v>3576.233277328839</v>
      </c>
      <c r="T16" s="26">
        <f>INDEX(Comparison!$AM$3:$AS$33,T14,$B$3)</f>
        <v>3059.5283871610445</v>
      </c>
      <c r="U16" s="26">
        <f>INDEX(Comparison!$AM$3:$AS$33,U14,$B$3)</f>
        <v>2469.5512794279489</v>
      </c>
      <c r="V16" s="26">
        <f>INDEX(Comparison!$AM$3:$AS$33,V14,$B$3)</f>
        <v>1842.799668868907</v>
      </c>
      <c r="W16" s="26">
        <f>INDEX(Comparison!$AM$3:$AS$33,W14,$B$3)</f>
        <v>1328.7737512423464</v>
      </c>
      <c r="X16" s="26">
        <f>INDEX(Comparison!$AM$3:$AS$33,X14,$B$3)</f>
        <v>948.83583319405307</v>
      </c>
      <c r="Y16" s="26">
        <f>INDEX(Comparison!$AM$3:$AS$33,Y14,$B$3)</f>
        <v>739.39486681916139</v>
      </c>
      <c r="Z16" s="26">
        <f>INDEX(Comparison!$AM$3:$AS$33,Z14,$B$3)</f>
        <v>624.14790659062351</v>
      </c>
      <c r="AA16" s="26">
        <f>INDEX(Comparison!$AM$3:$AS$33,AA14,$B$3)</f>
        <v>574.84813415628378</v>
      </c>
      <c r="AB16" s="26">
        <f>INDEX(Comparison!$AM$3:$AS$33,AB14,$B$3)</f>
        <v>540.01941971549797</v>
      </c>
      <c r="AC16" s="26">
        <f>INDEX(Comparison!$AM$3:$AS$33,AC14,$B$3)</f>
        <v>522.91431442377564</v>
      </c>
      <c r="AD16" s="26">
        <f>INDEX(Comparison!$AM$3:$AS$33,AD14,$B$3)</f>
        <v>512.28225991416207</v>
      </c>
      <c r="AE16" s="26">
        <f>INDEX(Comparison!$AM$3:$AS$33,AE14,$B$3)</f>
        <v>486.30628203230003</v>
      </c>
      <c r="AF16" s="26">
        <f>INDEX(Comparison!$AM$3:$AS$33,AF14,$B$3)</f>
        <v>477.16338311456207</v>
      </c>
      <c r="AG16" s="26">
        <f>INDEX(Comparison!$AM$3:$AS$33,AG14,$B$3)</f>
        <v>476.22593072507385</v>
      </c>
      <c r="AH16" s="26">
        <f>INDEX(Comparison!$AM$3:$AS$33,AH14,$B$3)</f>
        <v>475.98047490013522</v>
      </c>
      <c r="AI16" s="26">
        <f>INDEX(Comparison!$AM$3:$AS$33,AI14,$B$3)</f>
        <v>475.76724400704541</v>
      </c>
      <c r="AJ16" s="26">
        <f>INDEX(Comparison!$AM$3:$AS$33,AJ14,$B$3)</f>
        <v>475.55412653805064</v>
      </c>
    </row>
    <row r="17" spans="1:36" x14ac:dyDescent="0.25">
      <c r="A17" s="14" t="s">
        <v>20</v>
      </c>
      <c r="B17" s="105">
        <v>2.7397591612902557E-2</v>
      </c>
      <c r="C17" s="18">
        <f t="shared" ref="C17:C48" si="3">ABS(B17/$B$49)</f>
        <v>4.6282662788790133E-2</v>
      </c>
      <c r="D17" s="66"/>
      <c r="E17" s="65" t="s">
        <v>22</v>
      </c>
      <c r="F17" s="27">
        <f>($C$17+SUM(F18:F48))*$B$51</f>
        <v>7789.1482861492295</v>
      </c>
      <c r="G17" s="27">
        <f t="shared" ref="G17:M17" si="4">($C$17+SUM(G18:G48))*$B$51</f>
        <v>7657.1715092233853</v>
      </c>
      <c r="H17" s="27">
        <f t="shared" si="4"/>
        <v>7158.4415508413276</v>
      </c>
      <c r="I17" s="27">
        <f t="shared" si="4"/>
        <v>6817.8417517548996</v>
      </c>
      <c r="J17" s="27">
        <f t="shared" si="4"/>
        <v>6451.2280714501876</v>
      </c>
      <c r="K17" s="27">
        <f t="shared" si="4"/>
        <v>6166.1585974200225</v>
      </c>
      <c r="L17" s="27">
        <f t="shared" si="4"/>
        <v>5881.148115953154</v>
      </c>
      <c r="M17" s="27">
        <f t="shared" si="4"/>
        <v>5609.0282225405099</v>
      </c>
      <c r="N17" s="27">
        <f t="shared" ref="N17" si="5">($C$17+SUM(N18:N48))*$B$51</f>
        <v>5324.3304450178475</v>
      </c>
      <c r="O17" s="27">
        <f t="shared" ref="O17" si="6">($C$17+SUM(O18:O48))*$B$51</f>
        <v>5059.6299905213327</v>
      </c>
      <c r="P17" s="27">
        <f t="shared" ref="P17" si="7">($C$17+SUM(P18:P48))*$B$51</f>
        <v>4736.235898825802</v>
      </c>
      <c r="Q17" s="27">
        <f t="shared" ref="Q17" si="8">($C$17+SUM(Q18:Q48))*$B$51</f>
        <v>4389.6863112958335</v>
      </c>
      <c r="R17" s="27">
        <f t="shared" ref="R17" si="9">($C$17+SUM(R18:R48))*$B$51</f>
        <v>4011.1855824832892</v>
      </c>
      <c r="S17" s="27">
        <f t="shared" ref="S17:T17" si="10">($C$17+SUM(S18:S48))*$B$51</f>
        <v>3570.9272556330552</v>
      </c>
      <c r="T17" s="27">
        <f t="shared" si="10"/>
        <v>3064.2969881185331</v>
      </c>
      <c r="U17" s="27">
        <f t="shared" ref="U17" si="11">($C$17+SUM(U18:U48))*$B$51</f>
        <v>2465.8610349897981</v>
      </c>
      <c r="V17" s="27">
        <f t="shared" ref="V17" si="12">($C$17+SUM(V18:V48))*$B$51</f>
        <v>1845.2468319979378</v>
      </c>
      <c r="W17" s="27">
        <f t="shared" ref="W17" si="13">($C$17+SUM(W18:W48))*$B$51</f>
        <v>1327.3757863239277</v>
      </c>
      <c r="X17" s="27">
        <f t="shared" ref="X17" si="14">($C$17+SUM(X18:X48))*$B$51</f>
        <v>949.53365723484922</v>
      </c>
      <c r="Y17" s="27">
        <f t="shared" ref="Y17" si="15">($C$17+SUM(Y18:Y48))*$B$51</f>
        <v>739.08101654231075</v>
      </c>
      <c r="Z17" s="27">
        <f t="shared" ref="Z17:AA17" si="16">($C$17+SUM(Z18:Z48))*$B$51</f>
        <v>624.26623755759795</v>
      </c>
      <c r="AA17" s="27">
        <f t="shared" si="16"/>
        <v>574.82173996196866</v>
      </c>
      <c r="AB17" s="27">
        <f t="shared" ref="AB17" si="17">($C$17+SUM(AB18:AB48))*$B$51</f>
        <v>540.0325032083116</v>
      </c>
      <c r="AC17" s="27">
        <f t="shared" ref="AC17" si="18">($C$17+SUM(AC18:AC48))*$B$51</f>
        <v>523.36048345075631</v>
      </c>
      <c r="AD17" s="27">
        <f t="shared" ref="AD17" si="19">($C$17+SUM(AD18:AD48))*$B$51</f>
        <v>511.1693459749431</v>
      </c>
      <c r="AE17" s="27">
        <f t="shared" ref="AE17" si="20">($C$17+SUM(AE18:AE48))*$B$51</f>
        <v>487.81454252831168</v>
      </c>
      <c r="AF17" s="27">
        <f t="shared" ref="AF17" si="21">($C$17+SUM(AF18:AF48))*$B$51</f>
        <v>476.27793728839873</v>
      </c>
      <c r="AG17" s="27">
        <f t="shared" ref="AG17:AH17" si="22">($C$17+SUM(AG18:AG48))*$B$51</f>
        <v>476.24170744243349</v>
      </c>
      <c r="AH17" s="27">
        <f t="shared" si="22"/>
        <v>476.02092124220371</v>
      </c>
      <c r="AI17" s="27">
        <f t="shared" ref="AI17" si="23">($C$17+SUM(AI18:AI48))*$B$51</f>
        <v>475.83315937062838</v>
      </c>
      <c r="AJ17" s="27">
        <f t="shared" ref="AJ17" si="24">($C$17+SUM(AJ18:AJ48))*$B$51</f>
        <v>475.4597982622202</v>
      </c>
    </row>
    <row r="18" spans="1:36" x14ac:dyDescent="0.25">
      <c r="A18" s="3">
        <f>0.000000000000001/10^5</f>
        <v>1.0000000000000001E-20</v>
      </c>
      <c r="B18" s="106">
        <v>0.13839091928953376</v>
      </c>
      <c r="C18" s="18">
        <f t="shared" si="3"/>
        <v>0.23378333179810445</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3.6110908775048925E-2</v>
      </c>
      <c r="C19" s="18">
        <f t="shared" si="3"/>
        <v>6.1002041254066636E-2</v>
      </c>
      <c r="D19" s="17"/>
      <c r="F19" s="3">
        <f t="shared" si="25"/>
        <v>5.945929028338505E-2</v>
      </c>
      <c r="G19" s="3">
        <f t="shared" si="25"/>
        <v>4.7216946939941405E-2</v>
      </c>
      <c r="H19" s="3">
        <f t="shared" si="25"/>
        <v>4.7084689605277419E-3</v>
      </c>
      <c r="I19" s="3">
        <f t="shared" si="25"/>
        <v>4.5782321311300283E-13</v>
      </c>
      <c r="J19" s="3">
        <f t="shared" si="25"/>
        <v>3.4584283410658704E-113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1.8173694475437683E-2</v>
      </c>
      <c r="C20" s="18">
        <f t="shared" si="3"/>
        <v>3.0700763224642783E-2</v>
      </c>
      <c r="D20" s="17"/>
      <c r="F20" s="3">
        <f t="shared" si="25"/>
        <v>3.0629904064178062E-2</v>
      </c>
      <c r="G20" s="3">
        <f t="shared" si="25"/>
        <v>2.9999486124545123E-2</v>
      </c>
      <c r="H20" s="3">
        <f t="shared" si="25"/>
        <v>2.4366637671653528E-2</v>
      </c>
      <c r="I20" s="3">
        <f t="shared" si="25"/>
        <v>3.0451837562337322E-3</v>
      </c>
      <c r="J20" s="3">
        <f t="shared" si="25"/>
        <v>2.8300394851561369E-12</v>
      </c>
      <c r="K20" s="3">
        <f t="shared" si="25"/>
        <v>1.3601361987172896E-102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2.4388031572078351E-2</v>
      </c>
      <c r="C21" s="18">
        <f t="shared" si="3"/>
        <v>4.1198622757823058E-2</v>
      </c>
      <c r="D21" s="17"/>
      <c r="F21" s="3">
        <f t="shared" si="25"/>
        <v>4.1190035934490526E-2</v>
      </c>
      <c r="G21" s="3">
        <f t="shared" si="25"/>
        <v>4.1112835016644686E-2</v>
      </c>
      <c r="H21" s="3">
        <f t="shared" si="25"/>
        <v>4.0348739469102182E-2</v>
      </c>
      <c r="I21" s="3">
        <f t="shared" si="25"/>
        <v>3.3446866155340337E-2</v>
      </c>
      <c r="J21" s="3">
        <f t="shared" si="25"/>
        <v>5.124010838212463E-3</v>
      </c>
      <c r="K21" s="3">
        <f t="shared" si="25"/>
        <v>3.6488508698124087E-11</v>
      </c>
      <c r="L21" s="3">
        <f t="shared" si="25"/>
        <v>1.2235362933590354E-92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1.5959676640264975E-2</v>
      </c>
      <c r="C22" s="18">
        <f t="shared" si="3"/>
        <v>2.6960630065441731E-2</v>
      </c>
      <c r="D22" s="17"/>
      <c r="F22" s="3">
        <f t="shared" si="25"/>
        <v>2.6960123112511569E-2</v>
      </c>
      <c r="G22" s="3">
        <f t="shared" si="25"/>
        <v>2.6955560965079534E-2</v>
      </c>
      <c r="H22" s="3">
        <f t="shared" si="25"/>
        <v>2.6909981929158736E-2</v>
      </c>
      <c r="I22" s="3">
        <f t="shared" si="25"/>
        <v>2.6458408956504021E-2</v>
      </c>
      <c r="J22" s="3">
        <f t="shared" si="25"/>
        <v>2.2339163793553274E-2</v>
      </c>
      <c r="K22" s="3">
        <f t="shared" si="25"/>
        <v>4.1124325509978724E-3</v>
      </c>
      <c r="L22" s="3">
        <f t="shared" si="25"/>
        <v>1.838304897112271E-10</v>
      </c>
      <c r="M22" s="3">
        <f t="shared" si="25"/>
        <v>5.8560544335401128E-84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1.7958631458237242E-2</v>
      </c>
      <c r="C23" s="18">
        <f t="shared" si="3"/>
        <v>3.033745796613458E-2</v>
      </c>
      <c r="D23" s="17"/>
      <c r="F23" s="3">
        <f t="shared" si="25"/>
        <v>3.0337406506453116E-2</v>
      </c>
      <c r="G23" s="3">
        <f t="shared" si="25"/>
        <v>3.033694337324791E-2</v>
      </c>
      <c r="H23" s="3">
        <f t="shared" si="25"/>
        <v>3.0332312430040507E-2</v>
      </c>
      <c r="I23" s="3">
        <f t="shared" si="25"/>
        <v>3.028604186048196E-2</v>
      </c>
      <c r="J23" s="3">
        <f t="shared" si="25"/>
        <v>2.982720055433704E-2</v>
      </c>
      <c r="K23" s="3">
        <f t="shared" si="25"/>
        <v>2.5604261567305695E-2</v>
      </c>
      <c r="L23" s="3">
        <f t="shared" si="25"/>
        <v>5.5630102935443184E-3</v>
      </c>
      <c r="M23" s="3">
        <f t="shared" si="25"/>
        <v>1.3040250883758252E-9</v>
      </c>
      <c r="N23" s="3">
        <f t="shared" si="25"/>
        <v>6.5320090986646148E-76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1.5933931223160554E-2</v>
      </c>
      <c r="C24" s="18">
        <f t="shared" si="3"/>
        <v>2.6917138415699805E-2</v>
      </c>
      <c r="D24" s="17"/>
      <c r="F24" s="3">
        <f t="shared" si="25"/>
        <v>2.6917134296966044E-2</v>
      </c>
      <c r="G24" s="3">
        <f t="shared" si="25"/>
        <v>2.691709722839054E-2</v>
      </c>
      <c r="H24" s="3">
        <f t="shared" si="25"/>
        <v>2.6916726545443182E-2</v>
      </c>
      <c r="I24" s="3">
        <f t="shared" si="25"/>
        <v>2.6913019996720879E-2</v>
      </c>
      <c r="J24" s="3">
        <f t="shared" si="25"/>
        <v>2.6875982570325287E-2</v>
      </c>
      <c r="K24" s="3">
        <f t="shared" si="25"/>
        <v>2.6508400143491598E-2</v>
      </c>
      <c r="L24" s="3">
        <f t="shared" si="25"/>
        <v>2.3098043039761068E-2</v>
      </c>
      <c r="M24" s="3">
        <f t="shared" si="25"/>
        <v>5.827628687072115E-3</v>
      </c>
      <c r="N24" s="3">
        <f t="shared" si="25"/>
        <v>6.0905811615330817E-9</v>
      </c>
      <c r="O24" s="3">
        <f t="shared" si="25"/>
        <v>9.4695067644588263E-69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1.8341921473317181E-2</v>
      </c>
      <c r="C25" s="18">
        <f t="shared" si="3"/>
        <v>3.0984948547383363E-2</v>
      </c>
      <c r="D25" s="17"/>
      <c r="F25" s="3">
        <f t="shared" si="25"/>
        <v>3.0984948119690273E-2</v>
      </c>
      <c r="G25" s="3">
        <f t="shared" si="25"/>
        <v>3.098494427045274E-2</v>
      </c>
      <c r="H25" s="3">
        <f t="shared" si="25"/>
        <v>3.0984905778103703E-2</v>
      </c>
      <c r="I25" s="3">
        <f t="shared" si="25"/>
        <v>3.098452085724334E-2</v>
      </c>
      <c r="J25" s="3">
        <f t="shared" si="25"/>
        <v>3.0980671911629721E-2</v>
      </c>
      <c r="K25" s="3">
        <f t="shared" si="25"/>
        <v>3.0942208742408314E-2</v>
      </c>
      <c r="L25" s="3">
        <f t="shared" si="25"/>
        <v>3.0560193698984585E-2</v>
      </c>
      <c r="M25" s="3">
        <f t="shared" si="25"/>
        <v>2.6990070074274026E-2</v>
      </c>
      <c r="N25" s="3">
        <f t="shared" si="25"/>
        <v>7.7926129767220418E-3</v>
      </c>
      <c r="O25" s="3">
        <f t="shared" si="25"/>
        <v>3.1367077708003521E-8</v>
      </c>
      <c r="P25" s="3">
        <f t="shared" si="25"/>
        <v>3.5025438779175723E-62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1.4164626424909597E-2</v>
      </c>
      <c r="C26" s="18">
        <f t="shared" si="3"/>
        <v>2.3928257549635897E-2</v>
      </c>
      <c r="D26" s="17"/>
      <c r="F26" s="3">
        <f t="shared" si="25"/>
        <v>2.3928257519841189E-2</v>
      </c>
      <c r="G26" s="3">
        <f t="shared" si="25"/>
        <v>2.3928257251688827E-2</v>
      </c>
      <c r="H26" s="3">
        <f t="shared" si="25"/>
        <v>2.3928254570165366E-2</v>
      </c>
      <c r="I26" s="3">
        <f t="shared" si="25"/>
        <v>2.3928227754947261E-2</v>
      </c>
      <c r="J26" s="3">
        <f t="shared" si="25"/>
        <v>2.392795960441902E-2</v>
      </c>
      <c r="K26" s="3">
        <f t="shared" si="25"/>
        <v>2.3925278264406925E-2</v>
      </c>
      <c r="L26" s="3">
        <f t="shared" si="25"/>
        <v>2.3898481384467252E-2</v>
      </c>
      <c r="M26" s="3">
        <f t="shared" si="25"/>
        <v>2.3632157773740618E-2</v>
      </c>
      <c r="N26" s="3">
        <f t="shared" si="25"/>
        <v>2.1126818603243402E-2</v>
      </c>
      <c r="O26" s="3">
        <f t="shared" si="25"/>
        <v>6.8887649023288587E-3</v>
      </c>
      <c r="P26" s="3">
        <f t="shared" si="25"/>
        <v>9.358666354019035E-8</v>
      </c>
      <c r="Q26" s="3">
        <f t="shared" si="25"/>
        <v>2.0041949997511846E-56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2.2491532781944833E-2</v>
      </c>
      <c r="C27" s="18">
        <f t="shared" si="3"/>
        <v>3.7994873493170121E-2</v>
      </c>
      <c r="D27" s="17"/>
      <c r="F27" s="3">
        <f t="shared" si="25"/>
        <v>3.7994873488902368E-2</v>
      </c>
      <c r="G27" s="3">
        <f t="shared" si="25"/>
        <v>3.7994873450492558E-2</v>
      </c>
      <c r="H27" s="3">
        <f t="shared" si="25"/>
        <v>3.7994873066394465E-2</v>
      </c>
      <c r="I27" s="3">
        <f t="shared" si="25"/>
        <v>3.7994869225413778E-2</v>
      </c>
      <c r="J27" s="3">
        <f t="shared" si="25"/>
        <v>3.7994830815628267E-2</v>
      </c>
      <c r="K27" s="3">
        <f t="shared" si="25"/>
        <v>3.7994446719908745E-2</v>
      </c>
      <c r="L27" s="3">
        <f t="shared" si="25"/>
        <v>3.7990605976265655E-2</v>
      </c>
      <c r="M27" s="3">
        <f t="shared" si="25"/>
        <v>3.795221988706371E-2</v>
      </c>
      <c r="N27" s="3">
        <f t="shared" si="25"/>
        <v>3.7570485754751845E-2</v>
      </c>
      <c r="O27" s="3">
        <f t="shared" si="25"/>
        <v>3.3958076012459718E-2</v>
      </c>
      <c r="P27" s="3">
        <f t="shared" si="25"/>
        <v>1.2356791985112784E-2</v>
      </c>
      <c r="Q27" s="3">
        <f t="shared" si="25"/>
        <v>5.029587089240109E-7</v>
      </c>
      <c r="R27" s="3">
        <f t="shared" si="25"/>
        <v>6.2776673617741695E-51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1.9723972387252767E-2</v>
      </c>
      <c r="C28" s="18">
        <f t="shared" si="3"/>
        <v>3.3319642680735451E-2</v>
      </c>
      <c r="D28" s="17"/>
      <c r="F28" s="3">
        <f t="shared" si="25"/>
        <v>3.3319642680397839E-2</v>
      </c>
      <c r="G28" s="3">
        <f t="shared" si="25"/>
        <v>3.3319642677359304E-2</v>
      </c>
      <c r="H28" s="3">
        <f t="shared" si="25"/>
        <v>3.3319642646973964E-2</v>
      </c>
      <c r="I28" s="3">
        <f t="shared" si="25"/>
        <v>3.3319642343120584E-2</v>
      </c>
      <c r="J28" s="3">
        <f t="shared" si="25"/>
        <v>3.3319639304586937E-2</v>
      </c>
      <c r="K28" s="3">
        <f t="shared" si="25"/>
        <v>3.3319608919265727E-2</v>
      </c>
      <c r="L28" s="3">
        <f t="shared" si="25"/>
        <v>3.3319305067577631E-2</v>
      </c>
      <c r="M28" s="3">
        <f t="shared" si="25"/>
        <v>3.3316266703092866E-2</v>
      </c>
      <c r="N28" s="3">
        <f t="shared" si="25"/>
        <v>3.3285898292727267E-2</v>
      </c>
      <c r="O28" s="3">
        <f t="shared" si="25"/>
        <v>3.2983732509434288E-2</v>
      </c>
      <c r="P28" s="3">
        <f t="shared" si="25"/>
        <v>3.0108906237792003E-2</v>
      </c>
      <c r="Q28" s="3">
        <f t="shared" si="25"/>
        <v>1.2096139141965086E-2</v>
      </c>
      <c r="R28" s="3">
        <f t="shared" si="25"/>
        <v>1.3248439298603083E-6</v>
      </c>
      <c r="S28" s="3">
        <f t="shared" si="25"/>
        <v>3.291123532495218E-46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2.4679729783839938E-2</v>
      </c>
      <c r="C29" s="18">
        <f t="shared" si="3"/>
        <v>4.1691387602332118E-2</v>
      </c>
      <c r="D29" s="17"/>
      <c r="F29" s="3">
        <f t="shared" si="25"/>
        <v>4.169138760229401E-2</v>
      </c>
      <c r="G29" s="3">
        <f t="shared" si="25"/>
        <v>4.1691387601951041E-2</v>
      </c>
      <c r="H29" s="3">
        <f t="shared" si="25"/>
        <v>4.1691387598521333E-2</v>
      </c>
      <c r="I29" s="3">
        <f t="shared" si="25"/>
        <v>4.1691387564224296E-2</v>
      </c>
      <c r="J29" s="3">
        <f t="shared" si="25"/>
        <v>4.1691387221253866E-2</v>
      </c>
      <c r="K29" s="3">
        <f t="shared" si="25"/>
        <v>4.1691383791549727E-2</v>
      </c>
      <c r="L29" s="3">
        <f t="shared" si="25"/>
        <v>4.1691349494523869E-2</v>
      </c>
      <c r="M29" s="3">
        <f t="shared" si="25"/>
        <v>4.1691006525817087E-2</v>
      </c>
      <c r="N29" s="3">
        <f t="shared" si="25"/>
        <v>4.1687576993921824E-2</v>
      </c>
      <c r="O29" s="3">
        <f t="shared" si="25"/>
        <v>4.1653297187506204E-2</v>
      </c>
      <c r="P29" s="3">
        <f t="shared" si="25"/>
        <v>4.1312045665758947E-2</v>
      </c>
      <c r="Q29" s="3">
        <f t="shared" si="25"/>
        <v>3.8049579161664904E-2</v>
      </c>
      <c r="R29" s="3">
        <f t="shared" si="25"/>
        <v>1.6714039663728489E-2</v>
      </c>
      <c r="S29" s="3">
        <f t="shared" si="25"/>
        <v>4.4709224374673748E-6</v>
      </c>
      <c r="T29" s="3">
        <f t="shared" si="25"/>
        <v>8.385987451605433E-42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2.7635992508472498E-2</v>
      </c>
      <c r="C30" s="18">
        <f t="shared" si="3"/>
        <v>4.6685392649651804E-2</v>
      </c>
      <c r="D30" s="17"/>
      <c r="F30" s="3">
        <f t="shared" si="25"/>
        <v>4.6685392649647953E-2</v>
      </c>
      <c r="G30" s="3">
        <f t="shared" si="25"/>
        <v>4.6685392649613307E-2</v>
      </c>
      <c r="H30" s="3">
        <f t="shared" si="25"/>
        <v>4.6685392649266862E-2</v>
      </c>
      <c r="I30" s="3">
        <f t="shared" si="25"/>
        <v>4.6685392645802383E-2</v>
      </c>
      <c r="J30" s="3">
        <f t="shared" si="25"/>
        <v>4.6685392611157589E-2</v>
      </c>
      <c r="K30" s="3">
        <f t="shared" si="25"/>
        <v>4.6685392264709691E-2</v>
      </c>
      <c r="L30" s="3">
        <f t="shared" si="25"/>
        <v>4.6685388800230827E-2</v>
      </c>
      <c r="M30" s="3">
        <f t="shared" si="25"/>
        <v>4.6685354155456306E-2</v>
      </c>
      <c r="N30" s="3">
        <f t="shared" si="25"/>
        <v>4.6685007709125162E-2</v>
      </c>
      <c r="O30" s="3">
        <f t="shared" si="25"/>
        <v>4.6681543387212039E-2</v>
      </c>
      <c r="P30" s="3">
        <f t="shared" si="25"/>
        <v>4.6646914304032679E-2</v>
      </c>
      <c r="Q30" s="3">
        <f t="shared" si="25"/>
        <v>4.6302033193760916E-2</v>
      </c>
      <c r="R30" s="3">
        <f t="shared" si="25"/>
        <v>4.2990399156972392E-2</v>
      </c>
      <c r="S30" s="3">
        <f t="shared" si="25"/>
        <v>2.046848186018619E-2</v>
      </c>
      <c r="T30" s="3">
        <f t="shared" si="25"/>
        <v>1.2252569697526843E-5</v>
      </c>
      <c r="U30" s="3">
        <f t="shared" si="25"/>
        <v>7.2384015851995664E-38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3.2543677777325995E-2</v>
      </c>
      <c r="C31" s="18">
        <f t="shared" si="3"/>
        <v>5.4975929481542167E-2</v>
      </c>
      <c r="D31" s="17"/>
      <c r="F31" s="3">
        <f t="shared" si="25"/>
        <v>5.4975929481541758E-2</v>
      </c>
      <c r="G31" s="3">
        <f t="shared" si="25"/>
        <v>5.497592948153808E-2</v>
      </c>
      <c r="H31" s="3">
        <f t="shared" si="25"/>
        <v>5.4975929481501276E-2</v>
      </c>
      <c r="I31" s="3">
        <f t="shared" si="25"/>
        <v>5.4975929481133251E-2</v>
      </c>
      <c r="J31" s="3">
        <f t="shared" si="25"/>
        <v>5.4975929477453014E-2</v>
      </c>
      <c r="K31" s="3">
        <f t="shared" si="25"/>
        <v>5.497592944065062E-2</v>
      </c>
      <c r="L31" s="3">
        <f t="shared" si="25"/>
        <v>5.4975929072626654E-2</v>
      </c>
      <c r="M31" s="3">
        <f t="shared" si="25"/>
        <v>5.4975925392387229E-2</v>
      </c>
      <c r="N31" s="3">
        <f t="shared" si="25"/>
        <v>5.4975888590006468E-2</v>
      </c>
      <c r="O31" s="3">
        <f t="shared" si="25"/>
        <v>5.4975520567553886E-2</v>
      </c>
      <c r="P31" s="3">
        <f t="shared" si="25"/>
        <v>5.4971840478525276E-2</v>
      </c>
      <c r="Q31" s="3">
        <f t="shared" si="25"/>
        <v>5.4935053134604263E-2</v>
      </c>
      <c r="R31" s="3">
        <f t="shared" si="25"/>
        <v>5.4568530982630772E-2</v>
      </c>
      <c r="S31" s="3">
        <f t="shared" si="25"/>
        <v>5.1035150296445959E-2</v>
      </c>
      <c r="T31" s="3">
        <f t="shared" si="25"/>
        <v>2.613008089422578E-2</v>
      </c>
      <c r="U31" s="3">
        <f t="shared" si="25"/>
        <v>3.2348512544230964E-5</v>
      </c>
      <c r="V31" s="3">
        <f t="shared" si="26"/>
        <v>2.7352053031912436E-34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4.0900088519662793E-2</v>
      </c>
      <c r="C32" s="18">
        <f t="shared" si="3"/>
        <v>6.9092387087620902E-2</v>
      </c>
      <c r="D32" s="17"/>
      <c r="F32" s="3">
        <f t="shared" si="25"/>
        <v>6.909238708762086E-2</v>
      </c>
      <c r="G32" s="3">
        <f t="shared" si="25"/>
        <v>6.9092387087620444E-2</v>
      </c>
      <c r="H32" s="3">
        <f t="shared" si="25"/>
        <v>6.9092387087616267E-2</v>
      </c>
      <c r="I32" s="3">
        <f t="shared" si="25"/>
        <v>6.9092387087574536E-2</v>
      </c>
      <c r="J32" s="3">
        <f t="shared" si="25"/>
        <v>6.9092387087157314E-2</v>
      </c>
      <c r="K32" s="3">
        <f t="shared" si="25"/>
        <v>6.9092387082984957E-2</v>
      </c>
      <c r="L32" s="3">
        <f t="shared" si="25"/>
        <v>6.9092387041261499E-2</v>
      </c>
      <c r="M32" s="3">
        <f t="shared" si="25"/>
        <v>6.9092386624026919E-2</v>
      </c>
      <c r="N32" s="3">
        <f t="shared" si="25"/>
        <v>6.9092382451681228E-2</v>
      </c>
      <c r="O32" s="3">
        <f t="shared" si="25"/>
        <v>6.9092340728238208E-2</v>
      </c>
      <c r="P32" s="3">
        <f t="shared" si="25"/>
        <v>6.9091923495193705E-2</v>
      </c>
      <c r="Q32" s="3">
        <f t="shared" si="25"/>
        <v>6.9087751303322897E-2</v>
      </c>
      <c r="R32" s="3">
        <f t="shared" si="25"/>
        <v>6.9046043238936788E-2</v>
      </c>
      <c r="S32" s="3">
        <f t="shared" si="25"/>
        <v>6.8630344936725651E-2</v>
      </c>
      <c r="T32" s="3">
        <f t="shared" si="25"/>
        <v>6.4608556696755443E-2</v>
      </c>
      <c r="U32" s="3">
        <f t="shared" si="25"/>
        <v>3.5320644231979219E-2</v>
      </c>
      <c r="V32" s="3">
        <f t="shared" si="26"/>
        <v>8.4219834910415097E-5</v>
      </c>
      <c r="W32" s="3">
        <f t="shared" si="26"/>
        <v>5.0034789893536351E-31</v>
      </c>
      <c r="X32" s="3">
        <f t="shared" si="26"/>
        <v>2.7406212893647218E-293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3.4807315476022969E-2</v>
      </c>
      <c r="C33" s="18">
        <f t="shared" si="3"/>
        <v>5.879988531550847E-2</v>
      </c>
      <c r="D33" s="17"/>
      <c r="F33" s="3">
        <f t="shared" si="25"/>
        <v>5.8799885315508463E-2</v>
      </c>
      <c r="G33" s="3">
        <f t="shared" si="25"/>
        <v>5.8799885315508435E-2</v>
      </c>
      <c r="H33" s="3">
        <f t="shared" si="25"/>
        <v>5.8799885315508109E-2</v>
      </c>
      <c r="I33" s="3">
        <f t="shared" si="25"/>
        <v>5.879988531550491E-2</v>
      </c>
      <c r="J33" s="3">
        <f t="shared" si="25"/>
        <v>5.879988531547288E-2</v>
      </c>
      <c r="K33" s="3">
        <f t="shared" si="25"/>
        <v>5.8799885315152567E-2</v>
      </c>
      <c r="L33" s="3">
        <f t="shared" si="25"/>
        <v>5.8799885311949449E-2</v>
      </c>
      <c r="M33" s="3">
        <f t="shared" si="25"/>
        <v>5.8799885279918251E-2</v>
      </c>
      <c r="N33" s="3">
        <f t="shared" si="25"/>
        <v>5.879988495960628E-2</v>
      </c>
      <c r="O33" s="3">
        <f t="shared" si="25"/>
        <v>5.8799881756486663E-2</v>
      </c>
      <c r="P33" s="3">
        <f t="shared" si="25"/>
        <v>5.8799849725300057E-2</v>
      </c>
      <c r="Q33" s="3">
        <f t="shared" si="25"/>
        <v>5.8799529414393745E-2</v>
      </c>
      <c r="R33" s="3">
        <f t="shared" si="25"/>
        <v>5.8796326401297824E-2</v>
      </c>
      <c r="S33" s="3">
        <f t="shared" si="25"/>
        <v>5.8764305865124683E-2</v>
      </c>
      <c r="T33" s="3">
        <f t="shared" si="25"/>
        <v>5.8445058050919228E-2</v>
      </c>
      <c r="U33" s="3">
        <f t="shared" ref="P33:AE48" si="27">$C33*EXP(-U$15/$A33)</f>
        <v>5.5346432455158523E-2</v>
      </c>
      <c r="V33" s="3">
        <f t="shared" si="27"/>
        <v>3.2100220122726189E-2</v>
      </c>
      <c r="W33" s="3">
        <f t="shared" si="27"/>
        <v>1.3825848513111279E-4</v>
      </c>
      <c r="X33" s="3">
        <f t="shared" si="27"/>
        <v>3.0375933252217038E-28</v>
      </c>
      <c r="Y33" s="3">
        <f t="shared" si="27"/>
        <v>7.9599068778732476E-265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2.8363129954736888E-2</v>
      </c>
      <c r="C34" s="18">
        <f t="shared" si="3"/>
        <v>4.7913743582903463E-2</v>
      </c>
      <c r="D34" s="17"/>
      <c r="F34" s="3">
        <f t="shared" ref="F34:O48" si="28">$C34*EXP(-F$15/$A34)</f>
        <v>4.7913743582903463E-2</v>
      </c>
      <c r="G34" s="3">
        <f t="shared" si="28"/>
        <v>4.7913743582903463E-2</v>
      </c>
      <c r="H34" s="3">
        <f t="shared" si="28"/>
        <v>4.7913743582903436E-2</v>
      </c>
      <c r="I34" s="3">
        <f t="shared" si="28"/>
        <v>4.79137435829032E-2</v>
      </c>
      <c r="J34" s="3">
        <f t="shared" si="28"/>
        <v>4.7913743582900847E-2</v>
      </c>
      <c r="K34" s="3">
        <f t="shared" si="28"/>
        <v>4.7913743582877304E-2</v>
      </c>
      <c r="L34" s="3">
        <f t="shared" si="28"/>
        <v>4.7913743582641853E-2</v>
      </c>
      <c r="M34" s="3">
        <f t="shared" si="28"/>
        <v>4.7913743580287327E-2</v>
      </c>
      <c r="N34" s="3">
        <f t="shared" si="28"/>
        <v>4.7913743556742071E-2</v>
      </c>
      <c r="O34" s="3">
        <f t="shared" si="28"/>
        <v>4.7913743321289524E-2</v>
      </c>
      <c r="P34" s="3">
        <f t="shared" si="27"/>
        <v>4.7913740966764151E-2</v>
      </c>
      <c r="Q34" s="3">
        <f t="shared" si="27"/>
        <v>4.791371742151676E-2</v>
      </c>
      <c r="R34" s="3">
        <f t="shared" si="27"/>
        <v>4.7913481969679254E-2</v>
      </c>
      <c r="S34" s="3">
        <f t="shared" si="27"/>
        <v>4.7911127514939852E-2</v>
      </c>
      <c r="T34" s="3">
        <f t="shared" si="27"/>
        <v>4.788758932995546E-2</v>
      </c>
      <c r="U34" s="3">
        <f t="shared" si="27"/>
        <v>4.7652842565771902E-2</v>
      </c>
      <c r="V34" s="3">
        <f t="shared" si="27"/>
        <v>4.5367743789452228E-2</v>
      </c>
      <c r="W34" s="3">
        <f t="shared" si="27"/>
        <v>2.7754338273650259E-2</v>
      </c>
      <c r="X34" s="3">
        <f t="shared" si="27"/>
        <v>2.037829444538289E-4</v>
      </c>
      <c r="Y34" s="3">
        <f t="shared" si="27"/>
        <v>9.2797738260082301E-26</v>
      </c>
      <c r="Z34" s="3">
        <f t="shared" si="27"/>
        <v>3.5582214596787162E-239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1.5289162265491018E-2</v>
      </c>
      <c r="C35" s="18">
        <f t="shared" si="3"/>
        <v>2.5827932303493749E-2</v>
      </c>
      <c r="D35" s="17"/>
      <c r="F35" s="3">
        <f t="shared" si="28"/>
        <v>2.5827932303493749E-2</v>
      </c>
      <c r="G35" s="3">
        <f t="shared" si="28"/>
        <v>2.5827932303493749E-2</v>
      </c>
      <c r="H35" s="3">
        <f t="shared" si="28"/>
        <v>2.5827932303493749E-2</v>
      </c>
      <c r="I35" s="3">
        <f t="shared" si="28"/>
        <v>2.5827932303493738E-2</v>
      </c>
      <c r="J35" s="3">
        <f t="shared" si="28"/>
        <v>2.5827932303493624E-2</v>
      </c>
      <c r="K35" s="3">
        <f t="shared" si="28"/>
        <v>2.5827932303492476E-2</v>
      </c>
      <c r="L35" s="3">
        <f t="shared" si="28"/>
        <v>2.582793230348103E-2</v>
      </c>
      <c r="M35" s="3">
        <f t="shared" si="28"/>
        <v>2.5827932303366535E-2</v>
      </c>
      <c r="N35" s="3">
        <f t="shared" si="28"/>
        <v>2.58279323022216E-2</v>
      </c>
      <c r="O35" s="3">
        <f t="shared" si="28"/>
        <v>2.5827932290772286E-2</v>
      </c>
      <c r="P35" s="3">
        <f t="shared" si="27"/>
        <v>2.5827932176279135E-2</v>
      </c>
      <c r="Q35" s="3">
        <f t="shared" si="27"/>
        <v>2.5827931031347638E-2</v>
      </c>
      <c r="R35" s="3">
        <f t="shared" si="27"/>
        <v>2.582791958203547E-2</v>
      </c>
      <c r="S35" s="3">
        <f t="shared" si="27"/>
        <v>2.582780508919294E-2</v>
      </c>
      <c r="T35" s="3">
        <f t="shared" si="27"/>
        <v>2.5826660188681756E-2</v>
      </c>
      <c r="U35" s="3">
        <f t="shared" si="27"/>
        <v>2.5815213974525561E-2</v>
      </c>
      <c r="V35" s="3">
        <f t="shared" si="27"/>
        <v>2.5701030471303326E-2</v>
      </c>
      <c r="W35" s="3">
        <f t="shared" si="27"/>
        <v>2.4586607624368539E-2</v>
      </c>
      <c r="X35" s="3">
        <f t="shared" si="27"/>
        <v>1.5782629056811149E-2</v>
      </c>
      <c r="Y35" s="3">
        <f t="shared" si="27"/>
        <v>1.8749372533170499E-4</v>
      </c>
      <c r="Z35" s="3">
        <f t="shared" si="27"/>
        <v>1.0496889542135654E-23</v>
      </c>
      <c r="AA35" s="3">
        <f t="shared" si="27"/>
        <v>3.1754078714608502E-216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8.7137291573886281E-3</v>
      </c>
      <c r="C36" s="18">
        <f t="shared" si="3"/>
        <v>1.4720074447505073E-2</v>
      </c>
      <c r="D36" s="17"/>
      <c r="F36" s="3">
        <f t="shared" si="28"/>
        <v>1.4720074447505073E-2</v>
      </c>
      <c r="G36" s="3">
        <f t="shared" si="28"/>
        <v>1.4720074447505073E-2</v>
      </c>
      <c r="H36" s="3">
        <f t="shared" si="28"/>
        <v>1.4720074447505073E-2</v>
      </c>
      <c r="I36" s="3">
        <f t="shared" si="28"/>
        <v>1.4720074447505073E-2</v>
      </c>
      <c r="J36" s="3">
        <f t="shared" si="28"/>
        <v>1.4720074447505066E-2</v>
      </c>
      <c r="K36" s="3">
        <f t="shared" si="28"/>
        <v>1.4720074447505007E-2</v>
      </c>
      <c r="L36" s="3">
        <f t="shared" si="28"/>
        <v>1.4720074447504419E-2</v>
      </c>
      <c r="M36" s="3">
        <f t="shared" si="28"/>
        <v>1.4720074447498533E-2</v>
      </c>
      <c r="N36" s="3">
        <f t="shared" si="28"/>
        <v>1.4720074447439668E-2</v>
      </c>
      <c r="O36" s="3">
        <f t="shared" si="28"/>
        <v>1.4720074446851033E-2</v>
      </c>
      <c r="P36" s="3">
        <f t="shared" si="27"/>
        <v>1.4720074440964678E-2</v>
      </c>
      <c r="Q36" s="3">
        <f t="shared" si="27"/>
        <v>1.4720074382101125E-2</v>
      </c>
      <c r="R36" s="3">
        <f t="shared" si="27"/>
        <v>1.4720073793465609E-2</v>
      </c>
      <c r="S36" s="3">
        <f t="shared" si="27"/>
        <v>1.4720067907111752E-2</v>
      </c>
      <c r="T36" s="3">
        <f t="shared" si="27"/>
        <v>1.4720009043702634E-2</v>
      </c>
      <c r="U36" s="3">
        <f t="shared" si="27"/>
        <v>1.4719420422557541E-2</v>
      </c>
      <c r="V36" s="3">
        <f t="shared" si="27"/>
        <v>1.4713535505523683E-2</v>
      </c>
      <c r="W36" s="3">
        <f t="shared" si="27"/>
        <v>1.4654815585577925E-2</v>
      </c>
      <c r="X36" s="3">
        <f t="shared" si="27"/>
        <v>1.4080352217520901E-2</v>
      </c>
      <c r="Y36" s="3">
        <f t="shared" si="27"/>
        <v>9.4394160665984654E-3</v>
      </c>
      <c r="Z36" s="3">
        <f t="shared" si="27"/>
        <v>1.7308571775440657E-4</v>
      </c>
      <c r="AA36" s="3">
        <f t="shared" si="27"/>
        <v>7.4374194508792359E-22</v>
      </c>
      <c r="AB36" s="3">
        <f t="shared" si="27"/>
        <v>1.5959992913530844E-195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3.506782727122675E-3</v>
      </c>
      <c r="C37" s="18">
        <f t="shared" si="3"/>
        <v>5.9239967047518835E-3</v>
      </c>
      <c r="D37" s="17"/>
      <c r="F37" s="3">
        <f t="shared" si="28"/>
        <v>5.9239967047518835E-3</v>
      </c>
      <c r="G37" s="3">
        <f t="shared" si="28"/>
        <v>5.9239967047518835E-3</v>
      </c>
      <c r="H37" s="3">
        <f t="shared" si="28"/>
        <v>5.9239967047518835E-3</v>
      </c>
      <c r="I37" s="3">
        <f t="shared" si="28"/>
        <v>5.9239967047518835E-3</v>
      </c>
      <c r="J37" s="3">
        <f t="shared" si="28"/>
        <v>5.9239967047518835E-3</v>
      </c>
      <c r="K37" s="3">
        <f t="shared" si="28"/>
        <v>5.9239967047518809E-3</v>
      </c>
      <c r="L37" s="3">
        <f t="shared" si="28"/>
        <v>5.9239967047518601E-3</v>
      </c>
      <c r="M37" s="3">
        <f t="shared" si="28"/>
        <v>5.9239967047516459E-3</v>
      </c>
      <c r="N37" s="3">
        <f t="shared" si="28"/>
        <v>5.9239967047495096E-3</v>
      </c>
      <c r="O37" s="3">
        <f t="shared" si="28"/>
        <v>5.9239967047281395E-3</v>
      </c>
      <c r="P37" s="3">
        <f t="shared" si="27"/>
        <v>5.9239967045144433E-3</v>
      </c>
      <c r="Q37" s="3">
        <f t="shared" si="27"/>
        <v>5.9239967023774756E-3</v>
      </c>
      <c r="R37" s="3">
        <f t="shared" si="27"/>
        <v>5.9239966810078031E-3</v>
      </c>
      <c r="S37" s="3">
        <f t="shared" si="27"/>
        <v>5.923996467311083E-3</v>
      </c>
      <c r="T37" s="3">
        <f t="shared" si="27"/>
        <v>5.9239943303443119E-3</v>
      </c>
      <c r="U37" s="3">
        <f t="shared" si="27"/>
        <v>5.9239729607189918E-3</v>
      </c>
      <c r="V37" s="3">
        <f t="shared" si="27"/>
        <v>5.9237592687055073E-3</v>
      </c>
      <c r="W37" s="3">
        <f t="shared" si="27"/>
        <v>5.92162277248608E-3</v>
      </c>
      <c r="X37" s="3">
        <f t="shared" si="27"/>
        <v>5.9003001453074968E-3</v>
      </c>
      <c r="Y37" s="3">
        <f t="shared" si="27"/>
        <v>5.6912514114710409E-3</v>
      </c>
      <c r="Z37" s="3">
        <f t="shared" si="27"/>
        <v>3.9677512378245676E-3</v>
      </c>
      <c r="AA37" s="3">
        <f t="shared" si="27"/>
        <v>1.0762448433108506E-4</v>
      </c>
      <c r="AB37" s="3">
        <f t="shared" si="27"/>
        <v>2.3204785677080125E-20</v>
      </c>
      <c r="AC37" s="3">
        <f t="shared" si="27"/>
        <v>5.0378164618649709E-177</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1.0860780773923192E-3</v>
      </c>
      <c r="C38" s="18">
        <f t="shared" si="3"/>
        <v>1.8347081790420509E-3</v>
      </c>
      <c r="D38" s="17"/>
      <c r="F38" s="3">
        <f t="shared" si="28"/>
        <v>1.8347081790420509E-3</v>
      </c>
      <c r="G38" s="3">
        <f t="shared" si="28"/>
        <v>1.8347081790420509E-3</v>
      </c>
      <c r="H38" s="3">
        <f t="shared" si="28"/>
        <v>1.8347081790420509E-3</v>
      </c>
      <c r="I38" s="3">
        <f t="shared" si="28"/>
        <v>1.8347081790420509E-3</v>
      </c>
      <c r="J38" s="3">
        <f t="shared" si="28"/>
        <v>1.8347081790420509E-3</v>
      </c>
      <c r="K38" s="3">
        <f t="shared" si="28"/>
        <v>1.8347081790420509E-3</v>
      </c>
      <c r="L38" s="3">
        <f t="shared" si="28"/>
        <v>1.8347081790420503E-3</v>
      </c>
      <c r="M38" s="3">
        <f t="shared" si="28"/>
        <v>1.8347081790420442E-3</v>
      </c>
      <c r="N38" s="3">
        <f t="shared" si="28"/>
        <v>1.8347081790419846E-3</v>
      </c>
      <c r="O38" s="3">
        <f t="shared" si="28"/>
        <v>1.8347081790413874E-3</v>
      </c>
      <c r="P38" s="3">
        <f t="shared" si="27"/>
        <v>1.8347081790354173E-3</v>
      </c>
      <c r="Q38" s="3">
        <f t="shared" si="27"/>
        <v>1.8347081789757142E-3</v>
      </c>
      <c r="R38" s="3">
        <f t="shared" si="27"/>
        <v>1.8347081783786834E-3</v>
      </c>
      <c r="S38" s="3">
        <f t="shared" si="27"/>
        <v>1.8347081724083766E-3</v>
      </c>
      <c r="T38" s="3">
        <f t="shared" si="27"/>
        <v>1.8347081127053106E-3</v>
      </c>
      <c r="U38" s="3">
        <f t="shared" si="27"/>
        <v>1.8347075156747554E-3</v>
      </c>
      <c r="V38" s="3">
        <f t="shared" si="27"/>
        <v>1.8347015453798882E-3</v>
      </c>
      <c r="W38" s="3">
        <f t="shared" si="27"/>
        <v>1.8346418434997368E-3</v>
      </c>
      <c r="X38" s="3">
        <f t="shared" si="27"/>
        <v>1.8340449315374873E-3</v>
      </c>
      <c r="Y38" s="3">
        <f t="shared" si="27"/>
        <v>1.8280864829888954E-3</v>
      </c>
      <c r="Z38" s="3">
        <f t="shared" si="27"/>
        <v>1.769556367841915E-3</v>
      </c>
      <c r="AA38" s="3">
        <f t="shared" si="27"/>
        <v>1.2780299746780268E-3</v>
      </c>
      <c r="AB38" s="3">
        <f t="shared" si="27"/>
        <v>4.935230313270186E-5</v>
      </c>
      <c r="AC38" s="3">
        <f t="shared" si="27"/>
        <v>3.6389096652374124E-19</v>
      </c>
      <c r="AD38" s="3">
        <f t="shared" si="27"/>
        <v>1.7282627588276401E-160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2.2713695194921169E-3</v>
      </c>
      <c r="C39" s="18">
        <f t="shared" si="3"/>
        <v>3.8370171737972247E-3</v>
      </c>
      <c r="D39" s="17"/>
      <c r="F39" s="3">
        <f t="shared" si="28"/>
        <v>3.8370171737972247E-3</v>
      </c>
      <c r="G39" s="3">
        <f t="shared" si="28"/>
        <v>3.8370171737972247E-3</v>
      </c>
      <c r="H39" s="3">
        <f t="shared" si="28"/>
        <v>3.8370171737972247E-3</v>
      </c>
      <c r="I39" s="3">
        <f t="shared" si="28"/>
        <v>3.8370171737972247E-3</v>
      </c>
      <c r="J39" s="3">
        <f t="shared" si="28"/>
        <v>3.8370171737972247E-3</v>
      </c>
      <c r="K39" s="3">
        <f t="shared" si="28"/>
        <v>3.8370171737972247E-3</v>
      </c>
      <c r="L39" s="3">
        <f t="shared" si="28"/>
        <v>3.8370171737972243E-3</v>
      </c>
      <c r="M39" s="3">
        <f t="shared" si="28"/>
        <v>3.8370171737972208E-3</v>
      </c>
      <c r="N39" s="3">
        <f t="shared" si="28"/>
        <v>3.8370171737971866E-3</v>
      </c>
      <c r="O39" s="3">
        <f t="shared" si="28"/>
        <v>3.8370171737968409E-3</v>
      </c>
      <c r="P39" s="3">
        <f t="shared" si="27"/>
        <v>3.837017173793388E-3</v>
      </c>
      <c r="Q39" s="3">
        <f t="shared" si="27"/>
        <v>3.8370171737588544E-3</v>
      </c>
      <c r="R39" s="3">
        <f t="shared" si="27"/>
        <v>3.837017173413523E-3</v>
      </c>
      <c r="S39" s="3">
        <f t="shared" si="27"/>
        <v>3.8370171699602077E-3</v>
      </c>
      <c r="T39" s="3">
        <f t="shared" si="27"/>
        <v>3.8370171354270531E-3</v>
      </c>
      <c r="U39" s="3">
        <f t="shared" si="27"/>
        <v>3.8370167900955267E-3</v>
      </c>
      <c r="V39" s="3">
        <f t="shared" si="27"/>
        <v>3.8370133367819693E-3</v>
      </c>
      <c r="W39" s="3">
        <f t="shared" si="27"/>
        <v>3.8369788038173369E-3</v>
      </c>
      <c r="X39" s="3">
        <f t="shared" si="27"/>
        <v>3.8366334912642913E-3</v>
      </c>
      <c r="Y39" s="3">
        <f t="shared" si="27"/>
        <v>3.8331820744926717E-3</v>
      </c>
      <c r="Z39" s="3">
        <f t="shared" si="27"/>
        <v>3.7988382150106453E-3</v>
      </c>
      <c r="AA39" s="3">
        <f t="shared" si="27"/>
        <v>3.4718767124983152E-3</v>
      </c>
      <c r="AB39" s="3">
        <f t="shared" si="27"/>
        <v>1.41155973366175E-3</v>
      </c>
      <c r="AC39" s="3">
        <f t="shared" si="27"/>
        <v>1.7420031018784215E-7</v>
      </c>
      <c r="AD39" s="3">
        <f t="shared" si="27"/>
        <v>1.4273995407822421E-46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0</v>
      </c>
      <c r="C40" s="18">
        <f t="shared" si="3"/>
        <v>0</v>
      </c>
      <c r="D40" s="17"/>
      <c r="F40" s="3">
        <f t="shared" si="28"/>
        <v>0</v>
      </c>
      <c r="G40" s="3">
        <f t="shared" si="28"/>
        <v>0</v>
      </c>
      <c r="H40" s="3">
        <f t="shared" si="28"/>
        <v>0</v>
      </c>
      <c r="I40" s="3">
        <f t="shared" si="28"/>
        <v>0</v>
      </c>
      <c r="J40" s="3">
        <f t="shared" si="28"/>
        <v>0</v>
      </c>
      <c r="K40" s="3">
        <f t="shared" si="28"/>
        <v>0</v>
      </c>
      <c r="L40" s="3">
        <f t="shared" si="28"/>
        <v>0</v>
      </c>
      <c r="M40" s="3">
        <f t="shared" si="28"/>
        <v>0</v>
      </c>
      <c r="N40" s="3">
        <f t="shared" si="28"/>
        <v>0</v>
      </c>
      <c r="O40" s="3">
        <f t="shared" si="28"/>
        <v>0</v>
      </c>
      <c r="P40" s="3">
        <f t="shared" si="27"/>
        <v>0</v>
      </c>
      <c r="Q40" s="3">
        <f t="shared" si="27"/>
        <v>0</v>
      </c>
      <c r="R40" s="3">
        <f t="shared" si="27"/>
        <v>0</v>
      </c>
      <c r="S40" s="3">
        <f t="shared" si="27"/>
        <v>0</v>
      </c>
      <c r="T40" s="3">
        <f t="shared" si="27"/>
        <v>0</v>
      </c>
      <c r="U40" s="3">
        <f t="shared" si="27"/>
        <v>0</v>
      </c>
      <c r="V40" s="3">
        <f t="shared" si="27"/>
        <v>0</v>
      </c>
      <c r="W40" s="3">
        <f t="shared" si="27"/>
        <v>0</v>
      </c>
      <c r="X40" s="3">
        <f t="shared" si="27"/>
        <v>0</v>
      </c>
      <c r="Y40" s="3">
        <f t="shared" si="27"/>
        <v>0</v>
      </c>
      <c r="Z40" s="3">
        <f t="shared" si="27"/>
        <v>0</v>
      </c>
      <c r="AA40" s="3">
        <f t="shared" si="27"/>
        <v>0</v>
      </c>
      <c r="AB40" s="3">
        <f t="shared" si="27"/>
        <v>0</v>
      </c>
      <c r="AC40" s="3">
        <f t="shared" si="27"/>
        <v>0</v>
      </c>
      <c r="AD40" s="3">
        <f t="shared" si="27"/>
        <v>0</v>
      </c>
      <c r="AE40" s="3">
        <f t="shared" si="27"/>
        <v>0</v>
      </c>
      <c r="AF40" s="3">
        <f t="shared" si="29"/>
        <v>0</v>
      </c>
      <c r="AG40" s="3">
        <f t="shared" si="29"/>
        <v>0</v>
      </c>
      <c r="AH40" s="3">
        <f t="shared" si="29"/>
        <v>0</v>
      </c>
      <c r="AI40" s="3">
        <f t="shared" si="29"/>
        <v>0</v>
      </c>
      <c r="AJ40" s="3">
        <f t="shared" si="29"/>
        <v>0</v>
      </c>
    </row>
    <row r="41" spans="1:36" x14ac:dyDescent="0.25">
      <c r="A41" s="3">
        <f t="shared" si="30"/>
        <v>1000000000</v>
      </c>
      <c r="B41" s="106">
        <v>1.0299845622922432E-3</v>
      </c>
      <c r="C41" s="18">
        <f t="shared" si="3"/>
        <v>1.7399495856337129E-3</v>
      </c>
      <c r="D41" s="17"/>
      <c r="F41" s="3">
        <f t="shared" si="28"/>
        <v>1.7399495856337129E-3</v>
      </c>
      <c r="G41" s="3">
        <f t="shared" si="28"/>
        <v>1.7399495856337129E-3</v>
      </c>
      <c r="H41" s="3">
        <f t="shared" si="28"/>
        <v>1.7399495856337129E-3</v>
      </c>
      <c r="I41" s="3">
        <f t="shared" si="28"/>
        <v>1.7399495856337129E-3</v>
      </c>
      <c r="J41" s="3">
        <f t="shared" si="28"/>
        <v>1.7399495856337129E-3</v>
      </c>
      <c r="K41" s="3">
        <f t="shared" si="28"/>
        <v>1.7399495856337129E-3</v>
      </c>
      <c r="L41" s="3">
        <f t="shared" si="28"/>
        <v>1.7399495856337129E-3</v>
      </c>
      <c r="M41" s="3">
        <f t="shared" si="28"/>
        <v>1.7399495856337129E-3</v>
      </c>
      <c r="N41" s="3">
        <f t="shared" si="28"/>
        <v>1.7399495856337127E-3</v>
      </c>
      <c r="O41" s="3">
        <f t="shared" si="28"/>
        <v>1.7399495856337112E-3</v>
      </c>
      <c r="P41" s="3">
        <f t="shared" si="27"/>
        <v>1.7399495856336956E-3</v>
      </c>
      <c r="Q41" s="3">
        <f t="shared" si="27"/>
        <v>1.7399495856335388E-3</v>
      </c>
      <c r="R41" s="3">
        <f t="shared" si="27"/>
        <v>1.739949585631973E-3</v>
      </c>
      <c r="S41" s="3">
        <f t="shared" si="27"/>
        <v>1.7399495856163134E-3</v>
      </c>
      <c r="T41" s="3">
        <f t="shared" si="27"/>
        <v>1.739949585459718E-3</v>
      </c>
      <c r="U41" s="3">
        <f t="shared" si="27"/>
        <v>1.7399495838937634E-3</v>
      </c>
      <c r="V41" s="3">
        <f t="shared" si="27"/>
        <v>1.7399495682342172E-3</v>
      </c>
      <c r="W41" s="3">
        <f t="shared" si="27"/>
        <v>1.7399494116387632E-3</v>
      </c>
      <c r="X41" s="3">
        <f t="shared" si="27"/>
        <v>1.7399478456849972E-3</v>
      </c>
      <c r="Y41" s="3">
        <f t="shared" si="27"/>
        <v>1.7399321862248537E-3</v>
      </c>
      <c r="Z41" s="3">
        <f t="shared" si="27"/>
        <v>1.7397755993746075E-3</v>
      </c>
      <c r="AA41" s="3">
        <f t="shared" si="27"/>
        <v>1.7382105057329529E-3</v>
      </c>
      <c r="AB41" s="3">
        <f t="shared" si="27"/>
        <v>1.7226367979885915E-3</v>
      </c>
      <c r="AC41" s="3">
        <f t="shared" si="27"/>
        <v>1.5743714905775464E-3</v>
      </c>
      <c r="AD41" s="3">
        <f t="shared" si="27"/>
        <v>6.4009168122941291E-4</v>
      </c>
      <c r="AE41" s="3">
        <f t="shared" si="27"/>
        <v>7.8993588978035195E-8</v>
      </c>
      <c r="AF41" s="3">
        <f t="shared" si="29"/>
        <v>6.4727446530033845E-47</v>
      </c>
      <c r="AG41" s="3">
        <f t="shared" si="29"/>
        <v>0</v>
      </c>
      <c r="AH41" s="3">
        <f t="shared" si="29"/>
        <v>0</v>
      </c>
      <c r="AI41" s="3">
        <f t="shared" si="29"/>
        <v>0</v>
      </c>
      <c r="AJ41" s="3">
        <f t="shared" si="29"/>
        <v>0</v>
      </c>
    </row>
    <row r="42" spans="1:36" x14ac:dyDescent="0.25">
      <c r="A42" s="3">
        <f t="shared" si="30"/>
        <v>10000000000</v>
      </c>
      <c r="B42" s="106">
        <v>1.8217683057652272E-3</v>
      </c>
      <c r="C42" s="18">
        <f t="shared" si="3"/>
        <v>3.0775072994127634E-3</v>
      </c>
      <c r="D42" s="17"/>
      <c r="F42" s="3">
        <f t="shared" si="28"/>
        <v>3.0775072994127634E-3</v>
      </c>
      <c r="G42" s="3">
        <f t="shared" si="28"/>
        <v>3.0775072994127634E-3</v>
      </c>
      <c r="H42" s="3">
        <f t="shared" si="28"/>
        <v>3.0775072994127634E-3</v>
      </c>
      <c r="I42" s="3">
        <f t="shared" si="28"/>
        <v>3.0775072994127634E-3</v>
      </c>
      <c r="J42" s="3">
        <f t="shared" si="28"/>
        <v>3.0775072994127634E-3</v>
      </c>
      <c r="K42" s="3">
        <f t="shared" si="28"/>
        <v>3.0775072994127634E-3</v>
      </c>
      <c r="L42" s="3">
        <f t="shared" si="28"/>
        <v>3.0775072994127634E-3</v>
      </c>
      <c r="M42" s="3">
        <f t="shared" si="28"/>
        <v>3.0775072994127634E-3</v>
      </c>
      <c r="N42" s="3">
        <f t="shared" si="28"/>
        <v>3.0775072994127634E-3</v>
      </c>
      <c r="O42" s="3">
        <f t="shared" si="28"/>
        <v>3.077507299412763E-3</v>
      </c>
      <c r="P42" s="3">
        <f t="shared" si="27"/>
        <v>3.0775072994127604E-3</v>
      </c>
      <c r="Q42" s="3">
        <f t="shared" si="27"/>
        <v>3.0775072994127326E-3</v>
      </c>
      <c r="R42" s="3">
        <f t="shared" si="27"/>
        <v>3.0775072994124555E-3</v>
      </c>
      <c r="S42" s="3">
        <f t="shared" si="27"/>
        <v>3.077507299409686E-3</v>
      </c>
      <c r="T42" s="3">
        <f t="shared" si="27"/>
        <v>3.0775072993819885E-3</v>
      </c>
      <c r="U42" s="3">
        <f t="shared" si="27"/>
        <v>3.0775072991050126E-3</v>
      </c>
      <c r="V42" s="3">
        <f t="shared" si="27"/>
        <v>3.0775072963352564E-3</v>
      </c>
      <c r="W42" s="3">
        <f t="shared" si="27"/>
        <v>3.0775072686376908E-3</v>
      </c>
      <c r="X42" s="3">
        <f t="shared" si="27"/>
        <v>3.0775069916620492E-3</v>
      </c>
      <c r="Y42" s="3">
        <f t="shared" si="27"/>
        <v>3.0775042219070028E-3</v>
      </c>
      <c r="Z42" s="3">
        <f t="shared" si="27"/>
        <v>3.0774765244936443E-3</v>
      </c>
      <c r="AA42" s="3">
        <f t="shared" si="27"/>
        <v>3.0771995640698456E-3</v>
      </c>
      <c r="AB42" s="3">
        <f t="shared" si="27"/>
        <v>3.0744313303542109E-3</v>
      </c>
      <c r="AC42" s="3">
        <f t="shared" si="27"/>
        <v>3.0468855901454577E-3</v>
      </c>
      <c r="AD42" s="3">
        <f t="shared" si="27"/>
        <v>2.7846437587874633E-3</v>
      </c>
      <c r="AE42" s="3">
        <f t="shared" si="27"/>
        <v>1.1321516655090022E-3</v>
      </c>
      <c r="AF42" s="3">
        <f t="shared" si="29"/>
        <v>1.3971861523687392E-7</v>
      </c>
      <c r="AG42" s="3">
        <f t="shared" si="29"/>
        <v>1.1448560970574183E-46</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0</v>
      </c>
      <c r="C44" s="18">
        <f t="shared" si="3"/>
        <v>0</v>
      </c>
      <c r="D44" s="17"/>
      <c r="F44" s="3">
        <f t="shared" si="28"/>
        <v>0</v>
      </c>
      <c r="G44" s="3">
        <f t="shared" si="28"/>
        <v>0</v>
      </c>
      <c r="H44" s="3">
        <f t="shared" si="28"/>
        <v>0</v>
      </c>
      <c r="I44" s="3">
        <f t="shared" si="28"/>
        <v>0</v>
      </c>
      <c r="J44" s="3">
        <f t="shared" si="28"/>
        <v>0</v>
      </c>
      <c r="K44" s="3">
        <f t="shared" si="28"/>
        <v>0</v>
      </c>
      <c r="L44" s="3">
        <f t="shared" si="28"/>
        <v>0</v>
      </c>
      <c r="M44" s="3">
        <f t="shared" si="28"/>
        <v>0</v>
      </c>
      <c r="N44" s="3">
        <f t="shared" si="28"/>
        <v>0</v>
      </c>
      <c r="O44" s="3">
        <f t="shared" si="28"/>
        <v>0</v>
      </c>
      <c r="P44" s="3">
        <f t="shared" si="27"/>
        <v>0</v>
      </c>
      <c r="Q44" s="3">
        <f t="shared" si="27"/>
        <v>0</v>
      </c>
      <c r="R44" s="3">
        <f t="shared" si="27"/>
        <v>0</v>
      </c>
      <c r="S44" s="3">
        <f t="shared" si="27"/>
        <v>0</v>
      </c>
      <c r="T44" s="3">
        <f t="shared" si="27"/>
        <v>0</v>
      </c>
      <c r="U44" s="3">
        <f t="shared" si="27"/>
        <v>0</v>
      </c>
      <c r="V44" s="3">
        <f t="shared" si="27"/>
        <v>0</v>
      </c>
      <c r="W44" s="3">
        <f t="shared" si="27"/>
        <v>0</v>
      </c>
      <c r="X44" s="3">
        <f t="shared" si="27"/>
        <v>0</v>
      </c>
      <c r="Y44" s="3">
        <f t="shared" si="27"/>
        <v>0</v>
      </c>
      <c r="Z44" s="3">
        <f t="shared" si="27"/>
        <v>0</v>
      </c>
      <c r="AA44" s="3">
        <f t="shared" si="27"/>
        <v>0</v>
      </c>
      <c r="AB44" s="3">
        <f t="shared" si="27"/>
        <v>0</v>
      </c>
      <c r="AC44" s="3">
        <f t="shared" si="27"/>
        <v>0</v>
      </c>
      <c r="AD44" s="3">
        <f t="shared" si="27"/>
        <v>0</v>
      </c>
      <c r="AE44" s="3">
        <f t="shared" si="27"/>
        <v>0</v>
      </c>
      <c r="AF44" s="3">
        <f t="shared" si="29"/>
        <v>0</v>
      </c>
      <c r="AG44" s="3">
        <f t="shared" si="29"/>
        <v>0</v>
      </c>
      <c r="AH44" s="3">
        <f t="shared" si="29"/>
        <v>0</v>
      </c>
      <c r="AI44" s="3">
        <f t="shared" si="29"/>
        <v>0</v>
      </c>
      <c r="AJ44" s="3">
        <f t="shared" si="29"/>
        <v>0</v>
      </c>
    </row>
    <row r="45" spans="1:36" x14ac:dyDescent="0.25">
      <c r="A45" s="3">
        <f t="shared" si="30"/>
        <v>10000000000000</v>
      </c>
      <c r="B45" s="106">
        <v>2.3466287610536541E-5</v>
      </c>
      <c r="C45" s="18">
        <f t="shared" si="3"/>
        <v>3.9641523668516518E-5</v>
      </c>
      <c r="D45" s="17"/>
      <c r="F45" s="3">
        <f t="shared" si="28"/>
        <v>3.9641523668516518E-5</v>
      </c>
      <c r="G45" s="3">
        <f t="shared" si="28"/>
        <v>3.9641523668516518E-5</v>
      </c>
      <c r="H45" s="3">
        <f t="shared" si="28"/>
        <v>3.9641523668516518E-5</v>
      </c>
      <c r="I45" s="3">
        <f t="shared" si="28"/>
        <v>3.9641523668516518E-5</v>
      </c>
      <c r="J45" s="3">
        <f t="shared" si="28"/>
        <v>3.9641523668516518E-5</v>
      </c>
      <c r="K45" s="3">
        <f t="shared" si="28"/>
        <v>3.9641523668516518E-5</v>
      </c>
      <c r="L45" s="3">
        <f t="shared" si="28"/>
        <v>3.9641523668516518E-5</v>
      </c>
      <c r="M45" s="3">
        <f t="shared" si="28"/>
        <v>3.9641523668516518E-5</v>
      </c>
      <c r="N45" s="3">
        <f t="shared" si="28"/>
        <v>3.9641523668516518E-5</v>
      </c>
      <c r="O45" s="3">
        <f t="shared" si="28"/>
        <v>3.9641523668516518E-5</v>
      </c>
      <c r="P45" s="3">
        <f t="shared" si="27"/>
        <v>3.9641523668516518E-5</v>
      </c>
      <c r="Q45" s="3">
        <f t="shared" si="27"/>
        <v>3.9641523668516518E-5</v>
      </c>
      <c r="R45" s="3">
        <f t="shared" si="27"/>
        <v>3.9641523668516511E-5</v>
      </c>
      <c r="S45" s="3">
        <f t="shared" si="27"/>
        <v>3.9641523668516477E-5</v>
      </c>
      <c r="T45" s="3">
        <f t="shared" si="27"/>
        <v>3.9641523668516125E-5</v>
      </c>
      <c r="U45" s="3">
        <f t="shared" si="27"/>
        <v>3.9641523668512554E-5</v>
      </c>
      <c r="V45" s="3">
        <f t="shared" si="27"/>
        <v>3.9641523668476877E-5</v>
      </c>
      <c r="W45" s="3">
        <f t="shared" si="27"/>
        <v>3.96415236681201E-5</v>
      </c>
      <c r="X45" s="3">
        <f t="shared" si="27"/>
        <v>3.9641523664552363E-5</v>
      </c>
      <c r="Y45" s="3">
        <f t="shared" si="27"/>
        <v>3.9641523628874996E-5</v>
      </c>
      <c r="Z45" s="3">
        <f t="shared" si="27"/>
        <v>3.9641523272101284E-5</v>
      </c>
      <c r="AA45" s="3">
        <f t="shared" si="27"/>
        <v>3.9641519704364351E-5</v>
      </c>
      <c r="AB45" s="3">
        <f t="shared" si="27"/>
        <v>3.9641484027012673E-5</v>
      </c>
      <c r="AC45" s="3">
        <f t="shared" si="27"/>
        <v>3.9641127255261899E-5</v>
      </c>
      <c r="AD45" s="3">
        <f t="shared" si="27"/>
        <v>3.963755971435068E-5</v>
      </c>
      <c r="AE45" s="3">
        <f t="shared" si="27"/>
        <v>3.9601901959004571E-5</v>
      </c>
      <c r="AF45" s="3">
        <f t="shared" si="29"/>
        <v>3.9247083917578492E-5</v>
      </c>
      <c r="AG45" s="3">
        <f t="shared" si="29"/>
        <v>3.5869133923231864E-5</v>
      </c>
      <c r="AH45" s="3">
        <f t="shared" si="29"/>
        <v>1.4583301574358362E-5</v>
      </c>
      <c r="AI45" s="3">
        <f t="shared" si="29"/>
        <v>1.7997223902285309E-9</v>
      </c>
      <c r="AJ45" s="3">
        <f t="shared" si="29"/>
        <v>1.4746947985210965E-48</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2.5458908776159486E-4</v>
      </c>
      <c r="C48" s="18">
        <f t="shared" si="3"/>
        <v>4.3007652150806221E-4</v>
      </c>
      <c r="D48" s="17"/>
      <c r="F48" s="3">
        <f t="shared" si="28"/>
        <v>4.3007652150806221E-4</v>
      </c>
      <c r="G48" s="3">
        <f t="shared" si="28"/>
        <v>4.3007652150806221E-4</v>
      </c>
      <c r="H48" s="3">
        <f t="shared" si="28"/>
        <v>4.3007652150806221E-4</v>
      </c>
      <c r="I48" s="3">
        <f t="shared" si="28"/>
        <v>4.3007652150806221E-4</v>
      </c>
      <c r="J48" s="3">
        <f t="shared" si="28"/>
        <v>4.3007652150806221E-4</v>
      </c>
      <c r="K48" s="3">
        <f t="shared" si="28"/>
        <v>4.3007652150806221E-4</v>
      </c>
      <c r="L48" s="3">
        <f t="shared" si="28"/>
        <v>4.3007652150806221E-4</v>
      </c>
      <c r="M48" s="3">
        <f t="shared" si="28"/>
        <v>4.3007652150806221E-4</v>
      </c>
      <c r="N48" s="3">
        <f t="shared" si="28"/>
        <v>4.3007652150806221E-4</v>
      </c>
      <c r="O48" s="3">
        <f t="shared" si="28"/>
        <v>4.3007652150806221E-4</v>
      </c>
      <c r="P48" s="3">
        <f t="shared" si="27"/>
        <v>4.3007652150806221E-4</v>
      </c>
      <c r="Q48" s="3">
        <f t="shared" si="27"/>
        <v>4.3007652150806221E-4</v>
      </c>
      <c r="R48" s="3">
        <f t="shared" si="27"/>
        <v>4.3007652150806221E-4</v>
      </c>
      <c r="S48" s="3">
        <f t="shared" si="27"/>
        <v>4.3007652150806221E-4</v>
      </c>
      <c r="T48" s="3">
        <f t="shared" si="27"/>
        <v>4.3007652150806221E-4</v>
      </c>
      <c r="U48" s="3">
        <f t="shared" si="27"/>
        <v>4.3007652150806215E-4</v>
      </c>
      <c r="V48" s="3">
        <f t="shared" si="27"/>
        <v>4.3007652150806177E-4</v>
      </c>
      <c r="W48" s="3">
        <f t="shared" si="27"/>
        <v>4.3007652150805792E-4</v>
      </c>
      <c r="X48" s="3">
        <f t="shared" si="27"/>
        <v>4.3007652150801916E-4</v>
      </c>
      <c r="Y48" s="3">
        <f t="shared" si="27"/>
        <v>4.3007652150763216E-4</v>
      </c>
      <c r="Z48" s="3">
        <f t="shared" si="27"/>
        <v>4.3007652150376145E-4</v>
      </c>
      <c r="AA48" s="3">
        <f t="shared" si="27"/>
        <v>4.3007652146505456E-4</v>
      </c>
      <c r="AB48" s="3">
        <f t="shared" si="27"/>
        <v>4.3007652107798571E-4</v>
      </c>
      <c r="AC48" s="3">
        <f t="shared" si="27"/>
        <v>4.30076517207297E-4</v>
      </c>
      <c r="AD48" s="3">
        <f t="shared" si="27"/>
        <v>4.3007647850041225E-4</v>
      </c>
      <c r="AE48" s="3">
        <f t="shared" si="27"/>
        <v>4.3007609143175577E-4</v>
      </c>
      <c r="AF48" s="3">
        <f t="shared" si="29"/>
        <v>4.300722207643509E-4</v>
      </c>
      <c r="AG48" s="3">
        <f t="shared" si="29"/>
        <v>4.3003351600622231E-4</v>
      </c>
      <c r="AH48" s="3">
        <f t="shared" si="29"/>
        <v>4.2964665995315343E-4</v>
      </c>
      <c r="AI48" s="3">
        <f t="shared" si="29"/>
        <v>4.257971886184775E-4</v>
      </c>
      <c r="AJ48" s="3">
        <f t="shared" si="29"/>
        <v>3.8914932927924182E-4</v>
      </c>
    </row>
    <row r="49" spans="1:36" x14ac:dyDescent="0.25">
      <c r="B49" s="16">
        <f>SUM(B17:B48)</f>
        <v>0.59196230212446588</v>
      </c>
      <c r="C49" s="18">
        <f>SUM(C17:C48)</f>
        <v>1.0000000000000002</v>
      </c>
      <c r="F49" s="3">
        <f t="shared" ref="F49:AJ49" si="31">F16-F17</f>
        <v>95.875593825820033</v>
      </c>
      <c r="G49" s="3">
        <f t="shared" si="31"/>
        <v>-123.96633536813897</v>
      </c>
      <c r="H49" s="3">
        <f t="shared" si="31"/>
        <v>32.799021740204807</v>
      </c>
      <c r="I49" s="3">
        <f t="shared" si="31"/>
        <v>-5.3786424591498871</v>
      </c>
      <c r="J49" s="3">
        <f t="shared" si="31"/>
        <v>0.74445342577018891</v>
      </c>
      <c r="K49" s="3">
        <f t="shared" si="31"/>
        <v>-5.3891331578597601E-2</v>
      </c>
      <c r="L49" s="3">
        <f t="shared" si="31"/>
        <v>-9.2841978043907147E-2</v>
      </c>
      <c r="M49" s="3">
        <f t="shared" si="31"/>
        <v>0.32226855443786917</v>
      </c>
      <c r="N49" s="3">
        <f t="shared" si="31"/>
        <v>-0.80278599107168702</v>
      </c>
      <c r="O49" s="3">
        <f t="shared" si="31"/>
        <v>1.651865584341067</v>
      </c>
      <c r="P49" s="3">
        <f t="shared" si="31"/>
        <v>-2.8271591356397039</v>
      </c>
      <c r="Q49" s="3">
        <f t="shared" si="31"/>
        <v>4.0961199968951405</v>
      </c>
      <c r="R49" s="3">
        <f t="shared" si="31"/>
        <v>-5.0590016571559318</v>
      </c>
      <c r="S49" s="3">
        <f t="shared" si="31"/>
        <v>5.3060216957837838</v>
      </c>
      <c r="T49" s="3">
        <f t="shared" si="31"/>
        <v>-4.7686009574886157</v>
      </c>
      <c r="U49" s="3">
        <f t="shared" si="31"/>
        <v>3.6902444381507848</v>
      </c>
      <c r="V49" s="3">
        <f t="shared" si="31"/>
        <v>-2.4471631290307414</v>
      </c>
      <c r="W49" s="3">
        <f t="shared" si="31"/>
        <v>1.3979649184186655</v>
      </c>
      <c r="X49" s="3">
        <f t="shared" si="31"/>
        <v>-0.69782404079614935</v>
      </c>
      <c r="Y49" s="3">
        <f t="shared" si="31"/>
        <v>0.31385027685064415</v>
      </c>
      <c r="Z49" s="3">
        <f t="shared" si="31"/>
        <v>-0.11833096697444034</v>
      </c>
      <c r="AA49" s="3">
        <f t="shared" si="31"/>
        <v>2.6394194315116692E-2</v>
      </c>
      <c r="AB49" s="3">
        <f t="shared" si="31"/>
        <v>-1.3083492813620978E-2</v>
      </c>
      <c r="AC49" s="3">
        <f t="shared" si="31"/>
        <v>-0.44616902698066951</v>
      </c>
      <c r="AD49" s="3">
        <f t="shared" si="31"/>
        <v>1.11291393921897</v>
      </c>
      <c r="AE49" s="3">
        <f t="shared" si="31"/>
        <v>-1.5082604960116441</v>
      </c>
      <c r="AF49" s="3">
        <f t="shared" si="31"/>
        <v>0.885445826163334</v>
      </c>
      <c r="AG49" s="3">
        <f t="shared" si="31"/>
        <v>-1.5776717359642589E-2</v>
      </c>
      <c r="AH49" s="3">
        <f t="shared" si="31"/>
        <v>-4.0446342068491958E-2</v>
      </c>
      <c r="AI49" s="3">
        <f t="shared" si="31"/>
        <v>-6.5915363582973896E-2</v>
      </c>
      <c r="AJ49" s="3">
        <f t="shared" si="31"/>
        <v>9.4328275830434904E-2</v>
      </c>
    </row>
    <row r="50" spans="1:36" x14ac:dyDescent="0.25">
      <c r="F50" s="57">
        <f t="shared" ref="F50:AJ50" si="32">F49/F17</f>
        <v>1.2308867452980364E-2</v>
      </c>
      <c r="G50" s="57">
        <f t="shared" si="32"/>
        <v>-1.6189572770939804E-2</v>
      </c>
      <c r="H50" s="57">
        <f t="shared" si="32"/>
        <v>4.5818662494142952E-3</v>
      </c>
      <c r="I50" s="57">
        <f t="shared" si="32"/>
        <v>-7.8890690851917094E-4</v>
      </c>
      <c r="J50" s="57">
        <f t="shared" si="32"/>
        <v>1.1539716431120399E-4</v>
      </c>
      <c r="K50" s="57">
        <f t="shared" si="32"/>
        <v>-8.7398549238007325E-6</v>
      </c>
      <c r="L50" s="57">
        <f t="shared" si="32"/>
        <v>-1.5786369636239014E-5</v>
      </c>
      <c r="M50" s="57">
        <f t="shared" si="32"/>
        <v>5.7455327670272153E-5</v>
      </c>
      <c r="N50" s="57">
        <f t="shared" si="32"/>
        <v>-1.5077689098408242E-4</v>
      </c>
      <c r="O50" s="57">
        <f t="shared" si="32"/>
        <v>3.2647952269941827E-4</v>
      </c>
      <c r="P50" s="57">
        <f t="shared" si="32"/>
        <v>-5.9692109853324822E-4</v>
      </c>
      <c r="Q50" s="57">
        <f t="shared" si="32"/>
        <v>9.3312362351604295E-4</v>
      </c>
      <c r="R50" s="57">
        <f t="shared" si="32"/>
        <v>-1.2612235343207304E-3</v>
      </c>
      <c r="S50" s="57">
        <f t="shared" si="32"/>
        <v>1.4858946475074946E-3</v>
      </c>
      <c r="T50" s="57">
        <f t="shared" si="32"/>
        <v>-1.5561810672980881E-3</v>
      </c>
      <c r="U50" s="57">
        <f t="shared" si="32"/>
        <v>1.4965338215687618E-3</v>
      </c>
      <c r="V50" s="57">
        <f t="shared" si="32"/>
        <v>-1.3261982552117864E-3</v>
      </c>
      <c r="W50" s="57">
        <f t="shared" si="32"/>
        <v>1.0531794634360699E-3</v>
      </c>
      <c r="X50" s="57">
        <f t="shared" si="32"/>
        <v>-7.3491238091369284E-4</v>
      </c>
      <c r="Y50" s="57">
        <f t="shared" si="32"/>
        <v>4.2464935484197615E-4</v>
      </c>
      <c r="Z50" s="57">
        <f t="shared" si="32"/>
        <v>-1.8955208508056234E-4</v>
      </c>
      <c r="AA50" s="57">
        <f t="shared" si="32"/>
        <v>4.5917181762928772E-5</v>
      </c>
      <c r="AB50" s="57">
        <f t="shared" si="32"/>
        <v>-2.4227232131200377E-5</v>
      </c>
      <c r="AC50" s="57">
        <f t="shared" si="32"/>
        <v>-8.5250805341448776E-4</v>
      </c>
      <c r="AD50" s="57">
        <f t="shared" si="32"/>
        <v>2.1771922514178376E-3</v>
      </c>
      <c r="AE50" s="57">
        <f t="shared" si="32"/>
        <v>-3.0918727600748146E-3</v>
      </c>
      <c r="AF50" s="57">
        <f t="shared" si="32"/>
        <v>1.8590947781550785E-3</v>
      </c>
      <c r="AG50" s="57">
        <f t="shared" si="32"/>
        <v>-3.3127542407758617E-5</v>
      </c>
      <c r="AH50" s="57">
        <f t="shared" si="32"/>
        <v>-8.4967572355737906E-5</v>
      </c>
      <c r="AI50" s="57">
        <f t="shared" si="32"/>
        <v>-1.3852620878746316E-4</v>
      </c>
      <c r="AJ50" s="57">
        <f t="shared" si="32"/>
        <v>1.9839379938156631E-4</v>
      </c>
    </row>
    <row r="51" spans="1:36" x14ac:dyDescent="0.25">
      <c r="A51" s="13" t="s">
        <v>21</v>
      </c>
      <c r="B51" s="3">
        <f>STUTT!D8</f>
        <v>10187.300999999999</v>
      </c>
      <c r="E51" s="11" t="s">
        <v>24</v>
      </c>
      <c r="F51" s="20">
        <f t="shared" ref="F51:AJ51" si="33">(F16-F17)^2</f>
        <v>9192.1294914536211</v>
      </c>
      <c r="G51" s="20">
        <f t="shared" si="33"/>
        <v>15367.652304605903</v>
      </c>
      <c r="H51" s="20">
        <f t="shared" si="33"/>
        <v>1075.7758271144276</v>
      </c>
      <c r="I51" s="20">
        <f t="shared" si="33"/>
        <v>28.929794703369947</v>
      </c>
      <c r="J51" s="20">
        <f t="shared" si="33"/>
        <v>0.55421090314097021</v>
      </c>
      <c r="K51" s="20">
        <f t="shared" si="33"/>
        <v>2.9042756193143511E-3</v>
      </c>
      <c r="L51" s="20">
        <f t="shared" si="33"/>
        <v>8.6196328871053374E-3</v>
      </c>
      <c r="M51" s="20">
        <f t="shared" si="33"/>
        <v>0.10385702117947385</v>
      </c>
      <c r="N51" s="20">
        <f t="shared" si="33"/>
        <v>0.64446534746095074</v>
      </c>
      <c r="O51" s="20">
        <f t="shared" si="33"/>
        <v>2.7286599087304548</v>
      </c>
      <c r="P51" s="20">
        <f t="shared" si="33"/>
        <v>7.9928287782310372</v>
      </c>
      <c r="Q51" s="20">
        <f t="shared" si="33"/>
        <v>16.778199028964245</v>
      </c>
      <c r="R51" s="20">
        <f t="shared" si="33"/>
        <v>25.593497767106463</v>
      </c>
      <c r="S51" s="20">
        <f t="shared" si="33"/>
        <v>28.15386623612822</v>
      </c>
      <c r="T51" s="20">
        <f t="shared" si="33"/>
        <v>22.739555091761343</v>
      </c>
      <c r="U51" s="20">
        <f t="shared" si="33"/>
        <v>13.617904013302802</v>
      </c>
      <c r="V51" s="20">
        <f t="shared" si="33"/>
        <v>5.9886073800875295</v>
      </c>
      <c r="W51" s="20">
        <f t="shared" si="33"/>
        <v>1.9543059131293061</v>
      </c>
      <c r="X51" s="20">
        <f t="shared" si="33"/>
        <v>0.48695839191306589</v>
      </c>
      <c r="Y51" s="20">
        <f t="shared" si="33"/>
        <v>9.8501996279225984E-2</v>
      </c>
      <c r="Z51" s="20">
        <f t="shared" si="33"/>
        <v>1.4002217745106091E-2</v>
      </c>
      <c r="AA51" s="20">
        <f t="shared" si="33"/>
        <v>6.9665349354413838E-4</v>
      </c>
      <c r="AB51" s="20">
        <f t="shared" si="33"/>
        <v>1.7117778420407177E-4</v>
      </c>
      <c r="AC51" s="20">
        <f t="shared" si="33"/>
        <v>0.1990668006368774</v>
      </c>
      <c r="AD51" s="20">
        <f t="shared" si="33"/>
        <v>1.2385774361078852</v>
      </c>
      <c r="AE51" s="20">
        <f t="shared" si="33"/>
        <v>2.2748497238292908</v>
      </c>
      <c r="AF51" s="20">
        <f t="shared" si="33"/>
        <v>0.78401431107006914</v>
      </c>
      <c r="AG51" s="20">
        <f t="shared" si="33"/>
        <v>2.4890481064604783E-4</v>
      </c>
      <c r="AH51" s="20">
        <f t="shared" si="33"/>
        <v>1.6359065867214623E-3</v>
      </c>
      <c r="AI51" s="20">
        <f t="shared" si="33"/>
        <v>4.3448351562756409E-3</v>
      </c>
      <c r="AJ51" s="20">
        <f t="shared" si="33"/>
        <v>8.8978236211426105E-3</v>
      </c>
    </row>
    <row r="52" spans="1:36" x14ac:dyDescent="0.25">
      <c r="A52" s="13"/>
    </row>
    <row r="53" spans="1:36" x14ac:dyDescent="0.25">
      <c r="E53" s="118" t="s">
        <v>25</v>
      </c>
      <c r="F53" s="118"/>
      <c r="G53" s="104">
        <f>SUM(F51:AJ51)</f>
        <v>25796.460865354078</v>
      </c>
      <c r="I53" s="3">
        <f>G53+C123</f>
        <v>25796.460865354078</v>
      </c>
      <c r="K53" s="3">
        <f>SUM(Z51:AJ51)</f>
        <v>4.526505790841763</v>
      </c>
    </row>
    <row r="55" spans="1:36" x14ac:dyDescent="0.25">
      <c r="E55" s="30" t="s">
        <v>30</v>
      </c>
      <c r="F55" s="31">
        <f t="shared" ref="F55:AJ55" si="34">ABS(F17-F16)/F16</f>
        <v>1.2159201453949612E-2</v>
      </c>
      <c r="G55" s="31">
        <f t="shared" si="34"/>
        <v>1.6455988189247352E-2</v>
      </c>
      <c r="H55" s="31">
        <f t="shared" si="34"/>
        <v>4.5609685017713878E-3</v>
      </c>
      <c r="I55" s="31">
        <f t="shared" si="34"/>
        <v>7.8952977401237098E-4</v>
      </c>
      <c r="J55" s="31">
        <f t="shared" si="34"/>
        <v>1.1538384934218259E-4</v>
      </c>
      <c r="K55" s="31">
        <f t="shared" si="34"/>
        <v>8.7399313095324211E-6</v>
      </c>
      <c r="L55" s="31">
        <f t="shared" si="34"/>
        <v>1.5786618849639479E-5</v>
      </c>
      <c r="M55" s="31">
        <f t="shared" si="34"/>
        <v>5.7452026745250178E-5</v>
      </c>
      <c r="N55" s="31">
        <f t="shared" si="34"/>
        <v>1.5079962808316636E-4</v>
      </c>
      <c r="O55" s="31">
        <f t="shared" si="34"/>
        <v>3.2637296860840503E-4</v>
      </c>
      <c r="P55" s="31">
        <f t="shared" si="34"/>
        <v>5.9727762614997899E-4</v>
      </c>
      <c r="Q55" s="31">
        <f t="shared" si="34"/>
        <v>9.3225371555095168E-4</v>
      </c>
      <c r="R55" s="31">
        <f t="shared" si="34"/>
        <v>1.2628162278668382E-3</v>
      </c>
      <c r="S55" s="31">
        <f t="shared" si="34"/>
        <v>1.4836900404178776E-3</v>
      </c>
      <c r="T55" s="31">
        <f t="shared" si="34"/>
        <v>1.558606541289009E-3</v>
      </c>
      <c r="U55" s="31">
        <f t="shared" si="34"/>
        <v>1.494297554738608E-3</v>
      </c>
      <c r="V55" s="31">
        <f t="shared" si="34"/>
        <v>1.3279593926412993E-3</v>
      </c>
      <c r="W55" s="31">
        <f t="shared" si="34"/>
        <v>1.0520714433978158E-3</v>
      </c>
      <c r="X55" s="31">
        <f t="shared" si="34"/>
        <v>7.3545287433662138E-4</v>
      </c>
      <c r="Y55" s="31">
        <f t="shared" si="34"/>
        <v>4.2446910431068023E-4</v>
      </c>
      <c r="Z55" s="31">
        <f t="shared" si="34"/>
        <v>1.8958802188541701E-4</v>
      </c>
      <c r="AA55" s="31">
        <f t="shared" si="34"/>
        <v>4.5915073472154491E-5</v>
      </c>
      <c r="AB55" s="31">
        <f t="shared" si="34"/>
        <v>2.422781910419785E-5</v>
      </c>
      <c r="AC55" s="31">
        <f t="shared" si="34"/>
        <v>8.5323544350153155E-4</v>
      </c>
      <c r="AD55" s="31">
        <f t="shared" si="34"/>
        <v>2.1724623831507451E-3</v>
      </c>
      <c r="AE55" s="31">
        <f t="shared" si="34"/>
        <v>3.1014620862155895E-3</v>
      </c>
      <c r="AF55" s="31">
        <f t="shared" si="34"/>
        <v>1.8556449583029876E-3</v>
      </c>
      <c r="AG55" s="31">
        <f t="shared" si="34"/>
        <v>3.3128639878181093E-5</v>
      </c>
      <c r="AH55" s="31">
        <f t="shared" si="34"/>
        <v>8.4974792457564457E-5</v>
      </c>
      <c r="AI55" s="31">
        <f t="shared" si="34"/>
        <v>1.3854540095660262E-4</v>
      </c>
      <c r="AJ55" s="31">
        <f t="shared" si="34"/>
        <v>1.9835444708918407E-4</v>
      </c>
    </row>
    <row r="56" spans="1:36" x14ac:dyDescent="0.25">
      <c r="E56" s="13" t="s">
        <v>31</v>
      </c>
      <c r="F56" s="32">
        <f>AVERAGE(F55:AJ55)</f>
        <v>1.7486018235042821E-3</v>
      </c>
    </row>
    <row r="57" spans="1:36" x14ac:dyDescent="0.25">
      <c r="A57" s="42"/>
      <c r="B57" s="15"/>
      <c r="C57" s="15"/>
      <c r="D57" s="15"/>
      <c r="F57" s="60">
        <f>AVERAGE(S55:X55)</f>
        <v>1.2753463078035384E-3</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-23.042979917580961</v>
      </c>
    </row>
    <row r="119" spans="1:14" x14ac:dyDescent="0.25">
      <c r="L119" s="11">
        <f>L118+1</f>
        <v>2</v>
      </c>
      <c r="M119" s="11">
        <f t="shared" ref="M119:M124" si="35">INDEX($B$125:$K$126,1,L119)</f>
        <v>0</v>
      </c>
      <c r="N119" s="11">
        <f t="shared" ref="N119:N124" si="36">IF(L119=$B$3,0,INDEX($B$125:$K$126,2,L119))</f>
        <v>-19.705157482729604</v>
      </c>
    </row>
    <row r="120" spans="1:14" x14ac:dyDescent="0.25">
      <c r="L120" s="11">
        <f t="shared" ref="L120:L124" si="37">L119+1</f>
        <v>3</v>
      </c>
      <c r="M120" s="11">
        <f t="shared" si="35"/>
        <v>25</v>
      </c>
      <c r="N120" s="11">
        <f t="shared" si="36"/>
        <v>-16.808485693561376</v>
      </c>
    </row>
    <row r="121" spans="1:14" x14ac:dyDescent="0.25">
      <c r="A121" s="103">
        <f>(A165+A204+A243+A282+A321+A360+A399)*10^9</f>
        <v>1.9179830638236792E+16</v>
      </c>
      <c r="L121" s="11">
        <f t="shared" si="37"/>
        <v>4</v>
      </c>
      <c r="M121" s="11">
        <f t="shared" si="35"/>
        <v>50</v>
      </c>
      <c r="N121" s="11">
        <f t="shared" si="36"/>
        <v>-14.619645084448907</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-12.012283353540994</v>
      </c>
    </row>
    <row r="123" spans="1:14" x14ac:dyDescent="0.25">
      <c r="A123" s="118"/>
      <c r="B123" s="118"/>
      <c r="C123" s="3"/>
      <c r="D123" s="3"/>
      <c r="E123" s="3"/>
      <c r="F123" s="3"/>
      <c r="G123" s="3"/>
      <c r="H123" s="3"/>
      <c r="I123" s="3"/>
      <c r="J123" s="3"/>
      <c r="K123" s="3"/>
      <c r="L123" s="11">
        <f t="shared" si="37"/>
        <v>6</v>
      </c>
      <c r="M123" s="11">
        <f t="shared" si="35"/>
        <v>125</v>
      </c>
      <c r="N123" s="11">
        <f t="shared" si="36"/>
        <v>-5.7522406479236023</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-23.042979917580961</v>
      </c>
      <c r="C126" s="107">
        <v>-19.705157482729604</v>
      </c>
      <c r="D126" s="107">
        <v>-16.808485693561376</v>
      </c>
      <c r="E126" s="107">
        <v>-14.619645084448907</v>
      </c>
      <c r="F126" s="107">
        <v>-12.012283353540994</v>
      </c>
      <c r="G126" s="107">
        <v>-5.7522406479236023</v>
      </c>
      <c r="H126" s="107">
        <v>1.6583348536892802E-2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10218.668827091791</v>
      </c>
      <c r="C130" s="26">
        <f>INDEX(Comparison!$AM$3:$AS$33,G14,$B$122)</f>
        <v>10130.735990154546</v>
      </c>
      <c r="D130" s="26">
        <f>INDEX(Comparison!$AM$3:$AS$33,H14,$B$122)</f>
        <v>9815.5100842671618</v>
      </c>
      <c r="E130" s="26">
        <f>INDEX(Comparison!$AM$3:$AS$33,I14,$B$122)</f>
        <v>9602.7895017015398</v>
      </c>
      <c r="F130" s="26">
        <f>INDEX(Comparison!$AM$3:$AS$33,J14,$B$122)</f>
        <v>9403.9958104822508</v>
      </c>
      <c r="G130" s="26">
        <f>INDEX(Comparison!$AM$3:$AS$33,K14,$B$122)</f>
        <v>9185.6343104080297</v>
      </c>
      <c r="H130" s="26">
        <f>INDEX(Comparison!$AM$3:$AS$33,L14,$B$122)</f>
        <v>8956.3853461764484</v>
      </c>
      <c r="I130" s="26">
        <f>INDEX(Comparison!$AM$3:$AS$33,M14,$B$122)</f>
        <v>8694.0472851843733</v>
      </c>
      <c r="J130" s="26">
        <f>INDEX(Comparison!$AM$3:$AS$33,N14,$B$122)</f>
        <v>8422.2902852365987</v>
      </c>
      <c r="K130" s="26">
        <f>INDEX(Comparison!$AM$3:$AS$33,O14,$B$122)</f>
        <v>8119.1133122846923</v>
      </c>
      <c r="L130" s="26">
        <f>INDEX(Comparison!$AM$3:$AS$33,P14,$B$122)</f>
        <v>7848.6797155048253</v>
      </c>
      <c r="M130" s="26">
        <f>INDEX(Comparison!$AM$3:$AS$33,Q14,$B$122)</f>
        <v>7561.5718378512247</v>
      </c>
      <c r="N130" s="26">
        <f>INDEX(Comparison!$AM$3:$AS$33,R14,$B$122)</f>
        <v>7212.0886309644511</v>
      </c>
      <c r="O130" s="26">
        <f>INDEX(Comparison!$AM$3:$AS$33,S14,$B$122)</f>
        <v>6826.065675816817</v>
      </c>
      <c r="P130" s="26">
        <f>INDEX(Comparison!$AM$3:$AS$33,T14,$B$122)</f>
        <v>6468.6777640443843</v>
      </c>
      <c r="Q130" s="26">
        <f>INDEX(Comparison!$AM$3:$AS$33,U14,$B$122)</f>
        <v>6185.0814076350389</v>
      </c>
      <c r="R130" s="26">
        <f>INDEX(Comparison!$AM$3:$AS$33,V14,$B$122)</f>
        <v>5896.0070828362468</v>
      </c>
      <c r="S130" s="26">
        <f>INDEX(Comparison!$AM$3:$AS$33,W14,$B$122)</f>
        <v>5620.2326577203476</v>
      </c>
      <c r="T130" s="26">
        <f>INDEX(Comparison!$AM$3:$AS$33,X14,$B$122)</f>
        <v>5330.7810569019748</v>
      </c>
      <c r="U130" s="26">
        <f>INDEX(Comparison!$AM$3:$AS$33,Y14,$B$122)</f>
        <v>5056.458830124393</v>
      </c>
      <c r="V130" s="26">
        <f>INDEX(Comparison!$AM$3:$AS$33,Z14,$B$122)</f>
        <v>4685.6312280238881</v>
      </c>
      <c r="W130" s="26">
        <f>INDEX(Comparison!$AM$3:$AS$33,AA14,$B$122)</f>
        <v>4271.8299665210579</v>
      </c>
      <c r="X130" s="26">
        <f>INDEX(Comparison!$AM$3:$AS$33,AB14,$B$122)</f>
        <v>3807.4701999642007</v>
      </c>
      <c r="Y130" s="26">
        <f>INDEX(Comparison!$AM$3:$AS$33,AC14,$B$122)</f>
        <v>3333.4500993282409</v>
      </c>
      <c r="Z130" s="26">
        <f>INDEX(Comparison!$AM$3:$AS$33,AD14,$B$122)</f>
        <v>2813.9339254547094</v>
      </c>
      <c r="AA130" s="26">
        <f>INDEX(Comparison!$AM$3:$AS$33,AE14,$B$122)</f>
        <v>2264.5753602217969</v>
      </c>
      <c r="AB130" s="26">
        <f>INDEX(Comparison!$AM$3:$AS$33,AF14,$B$122)</f>
        <v>1691.7003845109305</v>
      </c>
      <c r="AC130" s="26">
        <f>INDEX(Comparison!$AM$3:$AS$33,AG14,$B$122)</f>
        <v>1230.3504248927311</v>
      </c>
      <c r="AD130" s="26">
        <f>INDEX(Comparison!$AM$3:$AS$33,AH14,$B$122)</f>
        <v>888.25672531905332</v>
      </c>
      <c r="AE130" s="26">
        <f>INDEX(Comparison!$AM$3:$AS$33,AI14,$B$122)</f>
        <v>708.86645626754114</v>
      </c>
      <c r="AF130" s="26">
        <f>INDEX(Comparison!$AM$3:$AS$33,AJ14,$B$122)</f>
        <v>607.16785102157667</v>
      </c>
    </row>
    <row r="131" spans="1:33" x14ac:dyDescent="0.25">
      <c r="A131" s="68" t="s">
        <v>22</v>
      </c>
      <c r="B131" s="27">
        <f>($C$17+SUM(B132:B162))*$B$51</f>
        <v>10187.277588375322</v>
      </c>
      <c r="C131" s="27">
        <f t="shared" ref="C131:AF131" si="40">($C$17+SUM(C132:C162))*$B$51</f>
        <v>10187.066894109208</v>
      </c>
      <c r="D131" s="27">
        <f t="shared" si="40"/>
        <v>10184.960976354894</v>
      </c>
      <c r="E131" s="27">
        <f t="shared" si="40"/>
        <v>10164.003954790449</v>
      </c>
      <c r="F131" s="27">
        <f t="shared" si="40"/>
        <v>9964.322701727684</v>
      </c>
      <c r="G131" s="27">
        <f t="shared" si="40"/>
        <v>8696.8359533651037</v>
      </c>
      <c r="H131" s="27">
        <f t="shared" si="40"/>
        <v>7805.8063251285303</v>
      </c>
      <c r="I131" s="27">
        <f t="shared" si="40"/>
        <v>7805.6633800532964</v>
      </c>
      <c r="J131" s="27">
        <f t="shared" si="40"/>
        <v>7805.5153466275233</v>
      </c>
      <c r="K131" s="27">
        <f t="shared" si="40"/>
        <v>7804.0367734064048</v>
      </c>
      <c r="L131" s="27">
        <f t="shared" si="40"/>
        <v>7789.4256826346491</v>
      </c>
      <c r="M131" s="27">
        <f t="shared" si="40"/>
        <v>7659.4043779564436</v>
      </c>
      <c r="N131" s="27">
        <f t="shared" si="40"/>
        <v>7161.7056117529728</v>
      </c>
      <c r="O131" s="27">
        <f t="shared" si="40"/>
        <v>6820.3874997140028</v>
      </c>
      <c r="P131" s="27">
        <f t="shared" si="40"/>
        <v>6453.9324569471573</v>
      </c>
      <c r="Q131" s="27">
        <f t="shared" si="40"/>
        <v>6168.3487339943676</v>
      </c>
      <c r="R131" s="27">
        <f t="shared" si="40"/>
        <v>5883.4956647832405</v>
      </c>
      <c r="S131" s="27">
        <f t="shared" si="40"/>
        <v>5611.2954885701156</v>
      </c>
      <c r="T131" s="27">
        <f t="shared" si="40"/>
        <v>5326.7486291615151</v>
      </c>
      <c r="U131" s="27">
        <f t="shared" si="40"/>
        <v>5061.8556336001875</v>
      </c>
      <c r="V131" s="27">
        <f t="shared" si="40"/>
        <v>4739.2616006673279</v>
      </c>
      <c r="W131" s="27">
        <f t="shared" si="40"/>
        <v>4392.5024520839788</v>
      </c>
      <c r="X131" s="27">
        <f t="shared" si="40"/>
        <v>4014.5445346949605</v>
      </c>
      <c r="Y131" s="27">
        <f t="shared" si="40"/>
        <v>3574.6188838328089</v>
      </c>
      <c r="Z131" s="27">
        <f t="shared" si="40"/>
        <v>3068.5161157124148</v>
      </c>
      <c r="AA131" s="27">
        <f t="shared" si="40"/>
        <v>2470.6563544776272</v>
      </c>
      <c r="AB131" s="27">
        <f t="shared" si="40"/>
        <v>1849.1811176699989</v>
      </c>
      <c r="AC131" s="27">
        <f t="shared" si="40"/>
        <v>1330.3836217272506</v>
      </c>
      <c r="AD131" s="27">
        <f t="shared" si="40"/>
        <v>951.1985069723878</v>
      </c>
      <c r="AE131" s="27">
        <f t="shared" si="40"/>
        <v>740.01733056357864</v>
      </c>
      <c r="AF131" s="27">
        <f t="shared" si="40"/>
        <v>624.69820646894595</v>
      </c>
    </row>
    <row r="132" spans="1:33" x14ac:dyDescent="0.25">
      <c r="B132" s="3">
        <f t="shared" ref="B132:Z133" si="41">$C18*EXP(-B$129/$A18/EXP(-$B$126))</f>
        <v>0.23378103367978703</v>
      </c>
      <c r="C132" s="3">
        <f t="shared" ref="C132:AF132" si="42">$C18*EXP(-C$129/$A18/EXP(-$B$126))</f>
        <v>0.23376035163148887</v>
      </c>
      <c r="D132" s="3">
        <f t="shared" si="42"/>
        <v>0.23355363175482463</v>
      </c>
      <c r="E132" s="3">
        <f t="shared" si="42"/>
        <v>0.23149646076479363</v>
      </c>
      <c r="F132" s="3">
        <f t="shared" si="42"/>
        <v>0.21189546553971253</v>
      </c>
      <c r="G132" s="3">
        <f t="shared" si="42"/>
        <v>8.7477172577760054E-2</v>
      </c>
      <c r="H132" s="3">
        <f t="shared" si="42"/>
        <v>1.257840228232691E-5</v>
      </c>
      <c r="I132" s="3">
        <f t="shared" si="42"/>
        <v>4.7526179984270486E-44</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6.1002041253913029E-2</v>
      </c>
      <c r="C133" s="3">
        <f t="shared" si="41"/>
        <v>6.100204125253058E-2</v>
      </c>
      <c r="D133" s="3">
        <f t="shared" si="41"/>
        <v>6.1002041238706069E-2</v>
      </c>
      <c r="E133" s="3">
        <f t="shared" si="41"/>
        <v>6.1002041100460959E-2</v>
      </c>
      <c r="F133" s="3">
        <f t="shared" si="41"/>
        <v>6.100203971800993E-2</v>
      </c>
      <c r="G133" s="3">
        <f t="shared" si="41"/>
        <v>6.1002025893501337E-2</v>
      </c>
      <c r="H133" s="3">
        <f t="shared" si="41"/>
        <v>6.1001887648587744E-2</v>
      </c>
      <c r="I133" s="3">
        <f t="shared" si="41"/>
        <v>6.1000505216682939E-2</v>
      </c>
      <c r="J133" s="3">
        <f t="shared" si="41"/>
        <v>6.0986682620603534E-2</v>
      </c>
      <c r="K133" s="3">
        <f t="shared" si="41"/>
        <v>6.0848628812293984E-2</v>
      </c>
      <c r="L133" s="3">
        <f t="shared" si="41"/>
        <v>5.9485162497311631E-2</v>
      </c>
      <c r="M133" s="3">
        <f t="shared" si="41"/>
        <v>4.7422802358972997E-2</v>
      </c>
      <c r="N133" s="3">
        <f t="shared" si="41"/>
        <v>4.9178223138251565E-3</v>
      </c>
      <c r="O133" s="3">
        <f t="shared" si="41"/>
        <v>7.0734131071992453E-13</v>
      </c>
      <c r="P133" s="3">
        <f t="shared" si="41"/>
        <v>2.6803463694097575E-111</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3.0700763224635809E-2</v>
      </c>
      <c r="C134" s="3">
        <f t="shared" si="44"/>
        <v>3.0700763224573047E-2</v>
      </c>
      <c r="D134" s="3">
        <f t="shared" si="44"/>
        <v>3.070076322394542E-2</v>
      </c>
      <c r="E134" s="3">
        <f t="shared" si="44"/>
        <v>3.0700763217669156E-2</v>
      </c>
      <c r="F134" s="3">
        <f t="shared" si="44"/>
        <v>3.0700763154906524E-2</v>
      </c>
      <c r="G134" s="3">
        <f t="shared" si="44"/>
        <v>3.0700762527280195E-2</v>
      </c>
      <c r="H134" s="3">
        <f t="shared" si="44"/>
        <v>3.0700756251017629E-2</v>
      </c>
      <c r="I134" s="3">
        <f t="shared" si="44"/>
        <v>3.0700693488462504E-2</v>
      </c>
      <c r="J134" s="3">
        <f t="shared" si="44"/>
        <v>3.0700065869968166E-2</v>
      </c>
      <c r="K134" s="3">
        <f t="shared" si="44"/>
        <v>3.0693790390658508E-2</v>
      </c>
      <c r="L134" s="3">
        <f t="shared" si="44"/>
        <v>3.0631106107590032E-2</v>
      </c>
      <c r="M134" s="3">
        <f t="shared" si="44"/>
        <v>3.0011261236054645E-2</v>
      </c>
      <c r="N134" s="3">
        <f t="shared" si="44"/>
        <v>2.4462448376886055E-2</v>
      </c>
      <c r="O134" s="3">
        <f t="shared" si="44"/>
        <v>3.1670627752773961E-3</v>
      </c>
      <c r="P134" s="3">
        <f t="shared" si="44"/>
        <v>4.1900978722984456E-12</v>
      </c>
      <c r="Q134" s="3">
        <f t="shared" si="44"/>
        <v>6.8849235674704182E-101</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4.1198622757822212E-2</v>
      </c>
      <c r="C135" s="3">
        <f t="shared" si="47"/>
        <v>4.1198622757814614E-2</v>
      </c>
      <c r="D135" s="3">
        <f t="shared" si="47"/>
        <v>4.119862275773864E-2</v>
      </c>
      <c r="E135" s="3">
        <f t="shared" si="47"/>
        <v>4.1198622756978866E-2</v>
      </c>
      <c r="F135" s="3">
        <f t="shared" si="47"/>
        <v>4.1198622749381186E-2</v>
      </c>
      <c r="G135" s="3">
        <f t="shared" si="47"/>
        <v>4.1198622673404336E-2</v>
      </c>
      <c r="H135" s="3">
        <f t="shared" si="47"/>
        <v>4.1198621913635859E-2</v>
      </c>
      <c r="I135" s="3">
        <f t="shared" si="47"/>
        <v>4.1198614315951863E-2</v>
      </c>
      <c r="J135" s="3">
        <f t="shared" si="47"/>
        <v>4.1198538339188989E-2</v>
      </c>
      <c r="K135" s="3">
        <f t="shared" si="47"/>
        <v>4.1197778579266403E-2</v>
      </c>
      <c r="L135" s="3">
        <f t="shared" si="47"/>
        <v>4.1190181750606132E-2</v>
      </c>
      <c r="M135" s="3">
        <f t="shared" si="47"/>
        <v>4.1114290468010434E-2</v>
      </c>
      <c r="N135" s="3">
        <f t="shared" si="47"/>
        <v>4.0363025758088325E-2</v>
      </c>
      <c r="O135" s="3">
        <f t="shared" si="47"/>
        <v>3.356548043127254E-2</v>
      </c>
      <c r="P135" s="3">
        <f t="shared" si="47"/>
        <v>5.3086536817627096E-3</v>
      </c>
      <c r="Q135" s="3">
        <f t="shared" si="47"/>
        <v>5.1987587099940992E-11</v>
      </c>
      <c r="R135" s="3">
        <f t="shared" si="47"/>
        <v>4.2174731555676593E-91</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2.6960630065441679E-2</v>
      </c>
      <c r="C136" s="3">
        <f t="shared" si="49"/>
        <v>2.6960630065441235E-2</v>
      </c>
      <c r="D136" s="3">
        <f t="shared" si="49"/>
        <v>2.6960630065436749E-2</v>
      </c>
      <c r="E136" s="3">
        <f t="shared" si="49"/>
        <v>2.6960630065391896E-2</v>
      </c>
      <c r="F136" s="3">
        <f t="shared" si="49"/>
        <v>2.6960630064943383E-2</v>
      </c>
      <c r="G136" s="3">
        <f t="shared" si="49"/>
        <v>2.6960630060458252E-2</v>
      </c>
      <c r="H136" s="3">
        <f t="shared" si="49"/>
        <v>2.6960630015606935E-2</v>
      </c>
      <c r="I136" s="3">
        <f t="shared" si="49"/>
        <v>2.6960629567093764E-2</v>
      </c>
      <c r="J136" s="3">
        <f t="shared" si="49"/>
        <v>2.6960625081962467E-2</v>
      </c>
      <c r="K136" s="3">
        <f t="shared" si="49"/>
        <v>2.6960580230690513E-2</v>
      </c>
      <c r="L136" s="3">
        <f t="shared" si="49"/>
        <v>2.6960131722074735E-2</v>
      </c>
      <c r="M136" s="3">
        <f t="shared" si="49"/>
        <v>2.6955647046265931E-2</v>
      </c>
      <c r="N136" s="3">
        <f t="shared" si="49"/>
        <v>2.6910841297829322E-2</v>
      </c>
      <c r="O136" s="3">
        <f t="shared" si="49"/>
        <v>2.6466859648004343E-2</v>
      </c>
      <c r="P136" s="3">
        <f t="shared" si="49"/>
        <v>2.2410616670640992E-2</v>
      </c>
      <c r="Q136" s="3">
        <f t="shared" si="49"/>
        <v>4.2458801891226217E-3</v>
      </c>
      <c r="R136" s="3">
        <f t="shared" si="49"/>
        <v>2.529921313589513E-10</v>
      </c>
      <c r="S136" s="3">
        <f t="shared" si="49"/>
        <v>1.4272491790511318E-82</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3.0337457966134573E-2</v>
      </c>
      <c r="C137" s="3">
        <f t="shared" si="51"/>
        <v>3.0337457966134528E-2</v>
      </c>
      <c r="D137" s="3">
        <f t="shared" si="51"/>
        <v>3.0337457966134074E-2</v>
      </c>
      <c r="E137" s="3">
        <f t="shared" si="51"/>
        <v>3.0337457966129522E-2</v>
      </c>
      <c r="F137" s="3">
        <f t="shared" si="51"/>
        <v>3.0337457966083996E-2</v>
      </c>
      <c r="G137" s="3">
        <f t="shared" si="51"/>
        <v>3.0337457965628725E-2</v>
      </c>
      <c r="H137" s="3">
        <f t="shared" si="51"/>
        <v>3.0337457961076002E-2</v>
      </c>
      <c r="I137" s="3">
        <f t="shared" si="51"/>
        <v>3.0337457915548802E-2</v>
      </c>
      <c r="J137" s="3">
        <f t="shared" si="51"/>
        <v>3.0337457460276801E-2</v>
      </c>
      <c r="K137" s="3">
        <f t="shared" si="51"/>
        <v>3.0337452907557162E-2</v>
      </c>
      <c r="L137" s="3">
        <f t="shared" si="51"/>
        <v>3.0337407380398366E-2</v>
      </c>
      <c r="M137" s="3">
        <f t="shared" si="51"/>
        <v>3.0336952112568087E-2</v>
      </c>
      <c r="N137" s="3">
        <f t="shared" si="51"/>
        <v>3.0332399810014957E-2</v>
      </c>
      <c r="O137" s="3">
        <f t="shared" si="51"/>
        <v>3.0286914338594748E-2</v>
      </c>
      <c r="P137" s="3">
        <f t="shared" si="51"/>
        <v>2.9835794266784791E-2</v>
      </c>
      <c r="Q137" s="3">
        <f t="shared" si="51"/>
        <v>2.5678127420702912E-2</v>
      </c>
      <c r="R137" s="3">
        <f t="shared" si="51"/>
        <v>5.7255974065884832E-3</v>
      </c>
      <c r="S137" s="3">
        <f t="shared" si="51"/>
        <v>1.7393836620981213E-9</v>
      </c>
      <c r="T137" s="3">
        <f t="shared" si="51"/>
        <v>1.164504513514316E-74</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2.6917138415699805E-2</v>
      </c>
      <c r="C138" s="3">
        <f t="shared" si="53"/>
        <v>2.6917138415699801E-2</v>
      </c>
      <c r="D138" s="3">
        <f t="shared" si="53"/>
        <v>2.6917138415699763E-2</v>
      </c>
      <c r="E138" s="3">
        <f t="shared" si="53"/>
        <v>2.6917138415699402E-2</v>
      </c>
      <c r="F138" s="3">
        <f t="shared" si="53"/>
        <v>2.6917138415695756E-2</v>
      </c>
      <c r="G138" s="3">
        <f t="shared" si="53"/>
        <v>2.6917138415659316E-2</v>
      </c>
      <c r="H138" s="3">
        <f t="shared" si="53"/>
        <v>2.6917138415294927E-2</v>
      </c>
      <c r="I138" s="3">
        <f t="shared" si="53"/>
        <v>2.6917138411651019E-2</v>
      </c>
      <c r="J138" s="3">
        <f t="shared" si="53"/>
        <v>2.6917138375211955E-2</v>
      </c>
      <c r="K138" s="3">
        <f t="shared" si="53"/>
        <v>2.6917138010821295E-2</v>
      </c>
      <c r="L138" s="3">
        <f t="shared" si="53"/>
        <v>2.691713436691499E-2</v>
      </c>
      <c r="M138" s="3">
        <f t="shared" si="53"/>
        <v>2.6917097927879056E-2</v>
      </c>
      <c r="N138" s="3">
        <f t="shared" si="53"/>
        <v>2.6916733540232805E-2</v>
      </c>
      <c r="O138" s="3">
        <f t="shared" si="53"/>
        <v>2.6913089935066747E-2</v>
      </c>
      <c r="P138" s="3">
        <f t="shared" si="53"/>
        <v>2.6876680999466961E-2</v>
      </c>
      <c r="Q138" s="3">
        <f t="shared" si="53"/>
        <v>2.6515289716497244E-2</v>
      </c>
      <c r="R138" s="3">
        <f t="shared" si="53"/>
        <v>2.3158145460193281E-2</v>
      </c>
      <c r="S138" s="3">
        <f t="shared" si="53"/>
        <v>5.981054844007831E-3</v>
      </c>
      <c r="T138" s="3">
        <f t="shared" si="53"/>
        <v>7.8980132394983688E-9</v>
      </c>
      <c r="U138" s="3">
        <f t="shared" si="53"/>
        <v>1.273264363459131E-67</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3.0984948547383363E-2</v>
      </c>
      <c r="C139" s="3">
        <f t="shared" si="55"/>
        <v>3.0984948547383363E-2</v>
      </c>
      <c r="D139" s="3">
        <f t="shared" si="55"/>
        <v>3.0984948547383359E-2</v>
      </c>
      <c r="E139" s="3">
        <f t="shared" si="55"/>
        <v>3.0984948547383321E-2</v>
      </c>
      <c r="F139" s="3">
        <f t="shared" si="55"/>
        <v>3.0984948547382943E-2</v>
      </c>
      <c r="G139" s="3">
        <f t="shared" si="55"/>
        <v>3.0984948547379158E-2</v>
      </c>
      <c r="H139" s="3">
        <f t="shared" si="55"/>
        <v>3.098494854734132E-2</v>
      </c>
      <c r="I139" s="3">
        <f t="shared" si="55"/>
        <v>3.0984948546962935E-2</v>
      </c>
      <c r="J139" s="3">
        <f t="shared" si="55"/>
        <v>3.0984948543179066E-2</v>
      </c>
      <c r="K139" s="3">
        <f t="shared" si="55"/>
        <v>3.098494850534041E-2</v>
      </c>
      <c r="L139" s="3">
        <f t="shared" si="55"/>
        <v>3.0984948126953838E-2</v>
      </c>
      <c r="M139" s="3">
        <f t="shared" si="55"/>
        <v>3.0984944343088364E-2</v>
      </c>
      <c r="N139" s="3">
        <f t="shared" si="55"/>
        <v>3.0984906504459044E-2</v>
      </c>
      <c r="O139" s="3">
        <f t="shared" si="55"/>
        <v>3.0984528120707278E-2</v>
      </c>
      <c r="P139" s="3">
        <f t="shared" si="55"/>
        <v>3.0980744537322906E-2</v>
      </c>
      <c r="Q139" s="3">
        <f t="shared" si="55"/>
        <v>3.094293410532846E-2</v>
      </c>
      <c r="R139" s="3">
        <f t="shared" si="55"/>
        <v>3.0567358530080527E-2</v>
      </c>
      <c r="S139" s="3">
        <f t="shared" si="55"/>
        <v>2.7053415039515801E-2</v>
      </c>
      <c r="T139" s="3">
        <f t="shared" si="55"/>
        <v>7.9774472126095241E-3</v>
      </c>
      <c r="U139" s="3">
        <f t="shared" si="55"/>
        <v>3.9653577717409153E-8</v>
      </c>
      <c r="V139" s="3">
        <f t="shared" si="55"/>
        <v>3.6514617839751586E-61</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2.3928257549635897E-2</v>
      </c>
      <c r="C140" s="3">
        <f t="shared" si="57"/>
        <v>2.3928257549635897E-2</v>
      </c>
      <c r="D140" s="3">
        <f t="shared" si="57"/>
        <v>2.3928257549635897E-2</v>
      </c>
      <c r="E140" s="3">
        <f t="shared" si="57"/>
        <v>2.3928257549635894E-2</v>
      </c>
      <c r="F140" s="3">
        <f t="shared" si="57"/>
        <v>2.3928257549635869E-2</v>
      </c>
      <c r="G140" s="3">
        <f t="shared" si="57"/>
        <v>2.3928257549635606E-2</v>
      </c>
      <c r="H140" s="3">
        <f t="shared" si="57"/>
        <v>2.3928257549632966E-2</v>
      </c>
      <c r="I140" s="3">
        <f t="shared" si="57"/>
        <v>2.3928257549606608E-2</v>
      </c>
      <c r="J140" s="3">
        <f t="shared" si="57"/>
        <v>2.392825754934301E-2</v>
      </c>
      <c r="K140" s="3">
        <f t="shared" si="57"/>
        <v>2.3928257546707028E-2</v>
      </c>
      <c r="L140" s="3">
        <f t="shared" si="57"/>
        <v>2.3928257520347197E-2</v>
      </c>
      <c r="M140" s="3">
        <f t="shared" si="57"/>
        <v>2.3928257256748898E-2</v>
      </c>
      <c r="N140" s="3">
        <f t="shared" si="57"/>
        <v>2.3928254620766067E-2</v>
      </c>
      <c r="O140" s="3">
        <f t="shared" si="57"/>
        <v>2.3928228260953741E-2</v>
      </c>
      <c r="P140" s="3">
        <f t="shared" si="57"/>
        <v>2.3927964664427596E-2</v>
      </c>
      <c r="Q140" s="3">
        <f t="shared" si="57"/>
        <v>2.392532885887062E-2</v>
      </c>
      <c r="R140" s="3">
        <f t="shared" si="57"/>
        <v>2.389898676724345E-2</v>
      </c>
      <c r="S140" s="3">
        <f t="shared" si="57"/>
        <v>2.3637155757470097E-2</v>
      </c>
      <c r="T140" s="3">
        <f t="shared" si="57"/>
        <v>2.1171542426464587E-2</v>
      </c>
      <c r="U140" s="3">
        <f t="shared" si="57"/>
        <v>7.0359917367365859E-3</v>
      </c>
      <c r="V140" s="3">
        <f t="shared" si="57"/>
        <v>1.1562547677590931E-7</v>
      </c>
      <c r="W140" s="3">
        <f t="shared" si="57"/>
        <v>1.6608702065161891E-55</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3.7994873493170121E-2</v>
      </c>
      <c r="C141" s="3">
        <f t="shared" si="59"/>
        <v>3.7994873493170121E-2</v>
      </c>
      <c r="D141" s="3">
        <f t="shared" si="59"/>
        <v>3.7994873493170121E-2</v>
      </c>
      <c r="E141" s="3">
        <f t="shared" si="59"/>
        <v>3.7994873493170121E-2</v>
      </c>
      <c r="F141" s="3">
        <f t="shared" si="59"/>
        <v>3.7994873493170114E-2</v>
      </c>
      <c r="G141" s="3">
        <f t="shared" si="59"/>
        <v>3.799487349317008E-2</v>
      </c>
      <c r="H141" s="3">
        <f t="shared" si="59"/>
        <v>3.7994873493169705E-2</v>
      </c>
      <c r="I141" s="3">
        <f t="shared" si="59"/>
        <v>3.7994873493165923E-2</v>
      </c>
      <c r="J141" s="3">
        <f t="shared" si="59"/>
        <v>3.7994873493128169E-2</v>
      </c>
      <c r="K141" s="3">
        <f t="shared" si="59"/>
        <v>3.7994873492750596E-2</v>
      </c>
      <c r="L141" s="3">
        <f t="shared" si="59"/>
        <v>3.7994873488974845E-2</v>
      </c>
      <c r="M141" s="3">
        <f t="shared" si="59"/>
        <v>3.7994873451217354E-2</v>
      </c>
      <c r="N141" s="3">
        <f t="shared" si="59"/>
        <v>3.7994873073642445E-2</v>
      </c>
      <c r="O141" s="3">
        <f t="shared" si="59"/>
        <v>3.7994869297893599E-2</v>
      </c>
      <c r="P141" s="3">
        <f t="shared" si="59"/>
        <v>3.7994831540425704E-2</v>
      </c>
      <c r="Q141" s="3">
        <f t="shared" si="59"/>
        <v>3.7994453967810482E-2</v>
      </c>
      <c r="R141" s="3">
        <f t="shared" si="59"/>
        <v>3.7990678448018581E-2</v>
      </c>
      <c r="S141" s="3">
        <f t="shared" si="59"/>
        <v>3.7952943878546044E-2</v>
      </c>
      <c r="T141" s="3">
        <f t="shared" si="59"/>
        <v>3.7577653463751436E-2</v>
      </c>
      <c r="U141" s="3">
        <f t="shared" si="59"/>
        <v>3.4022916983117893E-2</v>
      </c>
      <c r="V141" s="3">
        <f t="shared" si="59"/>
        <v>1.2594775458287032E-2</v>
      </c>
      <c r="W141" s="3">
        <f t="shared" si="59"/>
        <v>6.086663139571453E-7</v>
      </c>
      <c r="X141" s="3">
        <f t="shared" si="59"/>
        <v>4.2292917252334442E-50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3.3319642680735451E-2</v>
      </c>
      <c r="C142" s="3">
        <f t="shared" si="61"/>
        <v>3.3319642680735451E-2</v>
      </c>
      <c r="D142" s="3">
        <f t="shared" si="61"/>
        <v>3.3319642680735451E-2</v>
      </c>
      <c r="E142" s="3">
        <f t="shared" si="61"/>
        <v>3.3319642680735451E-2</v>
      </c>
      <c r="F142" s="3">
        <f t="shared" si="61"/>
        <v>3.3319642680735451E-2</v>
      </c>
      <c r="G142" s="3">
        <f t="shared" si="61"/>
        <v>3.3319642680735444E-2</v>
      </c>
      <c r="H142" s="3">
        <f t="shared" si="61"/>
        <v>3.3319642680735416E-2</v>
      </c>
      <c r="I142" s="3">
        <f t="shared" si="61"/>
        <v>3.3319642680735118E-2</v>
      </c>
      <c r="J142" s="3">
        <f t="shared" si="61"/>
        <v>3.3319642680732134E-2</v>
      </c>
      <c r="K142" s="3">
        <f t="shared" si="61"/>
        <v>3.3319642680702262E-2</v>
      </c>
      <c r="L142" s="3">
        <f t="shared" si="61"/>
        <v>3.331964268040357E-2</v>
      </c>
      <c r="M142" s="3">
        <f t="shared" si="61"/>
        <v>3.331964267741664E-2</v>
      </c>
      <c r="N142" s="3">
        <f t="shared" si="61"/>
        <v>3.3319642647547339E-2</v>
      </c>
      <c r="O142" s="3">
        <f t="shared" si="61"/>
        <v>3.3319642348854338E-2</v>
      </c>
      <c r="P142" s="3">
        <f t="shared" si="61"/>
        <v>3.3319639361924475E-2</v>
      </c>
      <c r="Q142" s="3">
        <f t="shared" si="61"/>
        <v>3.3319609492640553E-2</v>
      </c>
      <c r="R142" s="3">
        <f t="shared" si="61"/>
        <v>3.3319310801274038E-2</v>
      </c>
      <c r="S142" s="3">
        <f t="shared" si="61"/>
        <v>3.3316324034872842E-2</v>
      </c>
      <c r="T142" s="3">
        <f t="shared" si="61"/>
        <v>3.3286471092372601E-2</v>
      </c>
      <c r="U142" s="3">
        <f t="shared" si="61"/>
        <v>3.2989408947314572E-2</v>
      </c>
      <c r="V142" s="3">
        <f t="shared" si="61"/>
        <v>3.0160763242587565E-2</v>
      </c>
      <c r="W142" s="3">
        <f t="shared" si="61"/>
        <v>1.2306094806192007E-2</v>
      </c>
      <c r="X142" s="3">
        <f t="shared" si="61"/>
        <v>1.5736188424571568E-6</v>
      </c>
      <c r="Y142" s="3">
        <f t="shared" si="61"/>
        <v>1.8394689151008889E-45</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4.1691387602332118E-2</v>
      </c>
      <c r="C143" s="3">
        <f t="shared" si="63"/>
        <v>4.1691387602332118E-2</v>
      </c>
      <c r="D143" s="3">
        <f t="shared" si="63"/>
        <v>4.1691387602332118E-2</v>
      </c>
      <c r="E143" s="3">
        <f t="shared" si="63"/>
        <v>4.1691387602332118E-2</v>
      </c>
      <c r="F143" s="3">
        <f t="shared" si="63"/>
        <v>4.1691387602332118E-2</v>
      </c>
      <c r="G143" s="3">
        <f t="shared" si="63"/>
        <v>4.1691387602332118E-2</v>
      </c>
      <c r="H143" s="3">
        <f t="shared" si="63"/>
        <v>4.1691387602332111E-2</v>
      </c>
      <c r="I143" s="3">
        <f t="shared" si="63"/>
        <v>4.1691387602332083E-2</v>
      </c>
      <c r="J143" s="3">
        <f t="shared" si="63"/>
        <v>4.1691387602331743E-2</v>
      </c>
      <c r="K143" s="3">
        <f t="shared" si="63"/>
        <v>4.1691387602328371E-2</v>
      </c>
      <c r="L143" s="3">
        <f t="shared" si="63"/>
        <v>4.1691387602294655E-2</v>
      </c>
      <c r="M143" s="3">
        <f t="shared" si="63"/>
        <v>4.1691387601957508E-2</v>
      </c>
      <c r="N143" s="3">
        <f t="shared" si="63"/>
        <v>4.1691387598586052E-2</v>
      </c>
      <c r="O143" s="3">
        <f t="shared" si="63"/>
        <v>4.1691387564871486E-2</v>
      </c>
      <c r="P143" s="3">
        <f t="shared" si="63"/>
        <v>4.1691387227725765E-2</v>
      </c>
      <c r="Q143" s="3">
        <f t="shared" si="63"/>
        <v>4.16913838562687E-2</v>
      </c>
      <c r="R143" s="3">
        <f t="shared" si="63"/>
        <v>4.1691350141713081E-2</v>
      </c>
      <c r="S143" s="3">
        <f t="shared" si="63"/>
        <v>4.1691012997656408E-2</v>
      </c>
      <c r="T143" s="3">
        <f t="shared" si="63"/>
        <v>4.168764170703651E-2</v>
      </c>
      <c r="U143" s="3">
        <f t="shared" si="63"/>
        <v>4.1653943791032204E-2</v>
      </c>
      <c r="V143" s="3">
        <f t="shared" si="63"/>
        <v>4.1318459174963199E-2</v>
      </c>
      <c r="W143" s="3">
        <f t="shared" si="63"/>
        <v>3.8108690705108528E-2</v>
      </c>
      <c r="X143" s="3">
        <f t="shared" si="63"/>
        <v>1.6975521757183983E-2</v>
      </c>
      <c r="Y143" s="3">
        <f t="shared" si="63"/>
        <v>5.2217270533443419E-6</v>
      </c>
      <c r="Z143" s="3">
        <f t="shared" si="63"/>
        <v>3.9602674885862958E-41</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4.6685392649651804E-2</v>
      </c>
      <c r="C144" s="3">
        <f t="shared" si="65"/>
        <v>4.6685392649651804E-2</v>
      </c>
      <c r="D144" s="3">
        <f t="shared" si="65"/>
        <v>4.6685392649651804E-2</v>
      </c>
      <c r="E144" s="3">
        <f t="shared" si="65"/>
        <v>4.6685392649651804E-2</v>
      </c>
      <c r="F144" s="3">
        <f t="shared" si="65"/>
        <v>4.6685392649651804E-2</v>
      </c>
      <c r="G144" s="3">
        <f t="shared" si="65"/>
        <v>4.6685392649651804E-2</v>
      </c>
      <c r="H144" s="3">
        <f t="shared" si="65"/>
        <v>4.6685392649651804E-2</v>
      </c>
      <c r="I144" s="3">
        <f t="shared" si="65"/>
        <v>4.6685392649651797E-2</v>
      </c>
      <c r="J144" s="3">
        <f t="shared" si="65"/>
        <v>4.6685392649651769E-2</v>
      </c>
      <c r="K144" s="3">
        <f t="shared" si="65"/>
        <v>4.6685392649651422E-2</v>
      </c>
      <c r="L144" s="3">
        <f t="shared" si="65"/>
        <v>4.6685392649648022E-2</v>
      </c>
      <c r="M144" s="3">
        <f t="shared" si="65"/>
        <v>4.6685392649613959E-2</v>
      </c>
      <c r="N144" s="3">
        <f t="shared" si="65"/>
        <v>4.6685392649273398E-2</v>
      </c>
      <c r="O144" s="3">
        <f t="shared" si="65"/>
        <v>4.6685392645867761E-2</v>
      </c>
      <c r="P144" s="3">
        <f t="shared" si="65"/>
        <v>4.6685392611811344E-2</v>
      </c>
      <c r="Q144" s="3">
        <f t="shared" si="65"/>
        <v>4.6685392271247204E-2</v>
      </c>
      <c r="R144" s="3">
        <f t="shared" si="65"/>
        <v>4.6685388865606005E-2</v>
      </c>
      <c r="S144" s="3">
        <f t="shared" si="65"/>
        <v>4.6685354809207609E-2</v>
      </c>
      <c r="T144" s="3">
        <f t="shared" si="65"/>
        <v>4.6685014246590044E-2</v>
      </c>
      <c r="U144" s="3">
        <f t="shared" si="65"/>
        <v>4.6681608757050845E-2</v>
      </c>
      <c r="V144" s="3">
        <f t="shared" si="65"/>
        <v>4.6647567521613482E-2</v>
      </c>
      <c r="W144" s="3">
        <f t="shared" si="65"/>
        <v>4.6308517482926609E-2</v>
      </c>
      <c r="X144" s="3">
        <f t="shared" si="65"/>
        <v>4.3050642282455975E-2</v>
      </c>
      <c r="Y144" s="3">
        <f t="shared" si="65"/>
        <v>2.0757125420681189E-2</v>
      </c>
      <c r="Z144" s="3">
        <f t="shared" si="65"/>
        <v>1.4094281860316883E-5</v>
      </c>
      <c r="AA144" s="3">
        <f t="shared" ref="AA144" si="66">$C30*EXP(-AA$129/$A30/EXP(-$B$126))</f>
        <v>2.9362997035314045E-37</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5.4975929481542167E-2</v>
      </c>
      <c r="C145" s="3">
        <f t="shared" si="68"/>
        <v>5.4975929481542167E-2</v>
      </c>
      <c r="D145" s="3">
        <f t="shared" si="68"/>
        <v>5.4975929481542167E-2</v>
      </c>
      <c r="E145" s="3">
        <f t="shared" si="68"/>
        <v>5.4975929481542167E-2</v>
      </c>
      <c r="F145" s="3">
        <f t="shared" si="68"/>
        <v>5.4975929481542167E-2</v>
      </c>
      <c r="G145" s="3">
        <f t="shared" si="68"/>
        <v>5.4975929481542167E-2</v>
      </c>
      <c r="H145" s="3">
        <f t="shared" si="68"/>
        <v>5.4975929481542167E-2</v>
      </c>
      <c r="I145" s="3">
        <f t="shared" si="68"/>
        <v>5.4975929481542167E-2</v>
      </c>
      <c r="J145" s="3">
        <f t="shared" si="68"/>
        <v>5.497592948154216E-2</v>
      </c>
      <c r="K145" s="3">
        <f t="shared" si="68"/>
        <v>5.4975929481542125E-2</v>
      </c>
      <c r="L145" s="3">
        <f t="shared" si="68"/>
        <v>5.4975929481541765E-2</v>
      </c>
      <c r="M145" s="3">
        <f t="shared" si="68"/>
        <v>5.4975929481538142E-2</v>
      </c>
      <c r="N145" s="3">
        <f t="shared" si="68"/>
        <v>5.497592948150197E-2</v>
      </c>
      <c r="O145" s="3">
        <f t="shared" si="68"/>
        <v>5.4975929481140197E-2</v>
      </c>
      <c r="P145" s="3">
        <f t="shared" si="68"/>
        <v>5.4975929477522459E-2</v>
      </c>
      <c r="Q145" s="3">
        <f t="shared" si="68"/>
        <v>5.4975929441345078E-2</v>
      </c>
      <c r="R145" s="3">
        <f t="shared" si="68"/>
        <v>5.4975929079571322E-2</v>
      </c>
      <c r="S145" s="3">
        <f t="shared" si="68"/>
        <v>5.4975925461833837E-2</v>
      </c>
      <c r="T145" s="3">
        <f t="shared" si="68"/>
        <v>5.4975889284472099E-2</v>
      </c>
      <c r="U145" s="3">
        <f t="shared" si="68"/>
        <v>5.4975527512164064E-2</v>
      </c>
      <c r="V145" s="3">
        <f t="shared" si="68"/>
        <v>5.497190992001777E-2</v>
      </c>
      <c r="W145" s="3">
        <f t="shared" si="68"/>
        <v>5.4935747088769089E-2</v>
      </c>
      <c r="X145" s="3">
        <f t="shared" si="68"/>
        <v>5.4575424616089267E-2</v>
      </c>
      <c r="Y145" s="3">
        <f t="shared" si="68"/>
        <v>5.1099659581096385E-2</v>
      </c>
      <c r="Z145" s="3">
        <f t="shared" si="68"/>
        <v>2.6462254545727527E-2</v>
      </c>
      <c r="AA145" s="3">
        <f t="shared" ref="AA145" si="69">$C31*EXP(-AA$129/$A31/EXP(-$B$126))</f>
        <v>3.6704152464186315E-5</v>
      </c>
      <c r="AB145" s="3">
        <f t="shared" si="67"/>
        <v>9.6738372266171444E-34</v>
      </c>
      <c r="AC145" s="3">
        <f t="shared" si="67"/>
        <v>0</v>
      </c>
      <c r="AD145" s="3">
        <f t="shared" si="67"/>
        <v>0</v>
      </c>
      <c r="AE145" s="3">
        <f t="shared" si="67"/>
        <v>0</v>
      </c>
      <c r="AF145" s="3">
        <f t="shared" si="67"/>
        <v>0</v>
      </c>
    </row>
    <row r="146" spans="1:32" x14ac:dyDescent="0.25">
      <c r="B146" s="3">
        <f t="shared" ref="B146:Z146" si="70">$C32*EXP(-B$129/$A32/EXP(-$B$126))</f>
        <v>6.9092387087620902E-2</v>
      </c>
      <c r="C146" s="3">
        <f t="shared" si="70"/>
        <v>6.9092387087620902E-2</v>
      </c>
      <c r="D146" s="3">
        <f t="shared" si="70"/>
        <v>6.9092387087620902E-2</v>
      </c>
      <c r="E146" s="3">
        <f t="shared" si="70"/>
        <v>6.9092387087620902E-2</v>
      </c>
      <c r="F146" s="3">
        <f t="shared" si="70"/>
        <v>6.9092387087620902E-2</v>
      </c>
      <c r="G146" s="3">
        <f t="shared" si="70"/>
        <v>6.9092387087620902E-2</v>
      </c>
      <c r="H146" s="3">
        <f t="shared" si="70"/>
        <v>6.9092387087620902E-2</v>
      </c>
      <c r="I146" s="3">
        <f t="shared" si="70"/>
        <v>6.9092387087620902E-2</v>
      </c>
      <c r="J146" s="3">
        <f t="shared" si="70"/>
        <v>6.9092387087620902E-2</v>
      </c>
      <c r="K146" s="3">
        <f t="shared" si="70"/>
        <v>6.9092387087620888E-2</v>
      </c>
      <c r="L146" s="3">
        <f t="shared" si="70"/>
        <v>6.909238708762086E-2</v>
      </c>
      <c r="M146" s="3">
        <f t="shared" si="70"/>
        <v>6.9092387087620444E-2</v>
      </c>
      <c r="N146" s="3">
        <f t="shared" si="70"/>
        <v>6.909238708761635E-2</v>
      </c>
      <c r="O146" s="3">
        <f t="shared" si="70"/>
        <v>6.9092387087575327E-2</v>
      </c>
      <c r="P146" s="3">
        <f t="shared" si="70"/>
        <v>6.9092387087165183E-2</v>
      </c>
      <c r="Q146" s="3">
        <f t="shared" si="70"/>
        <v>6.90923870830637E-2</v>
      </c>
      <c r="R146" s="3">
        <f t="shared" si="70"/>
        <v>6.9092387042048828E-2</v>
      </c>
      <c r="S146" s="3">
        <f t="shared" si="70"/>
        <v>6.9092386631900191E-2</v>
      </c>
      <c r="T146" s="3">
        <f t="shared" si="70"/>
        <v>6.9092382530413957E-2</v>
      </c>
      <c r="U146" s="3">
        <f t="shared" si="70"/>
        <v>6.9092341515564926E-2</v>
      </c>
      <c r="V146" s="3">
        <f t="shared" si="70"/>
        <v>6.9091931368413823E-2</v>
      </c>
      <c r="W146" s="3">
        <f t="shared" si="70"/>
        <v>6.9087830030810149E-2</v>
      </c>
      <c r="X146" s="3">
        <f t="shared" si="70"/>
        <v>6.9046830042568536E-2</v>
      </c>
      <c r="Y146" s="3">
        <f t="shared" si="70"/>
        <v>6.8638166003827134E-2</v>
      </c>
      <c r="Z146" s="3">
        <f t="shared" si="70"/>
        <v>6.468222193432685E-2</v>
      </c>
      <c r="AA146" s="3">
        <f t="shared" ref="AA146" si="71">$C32*EXP(-AA$129/$A32/EXP(-$B$126))</f>
        <v>3.5725434912949085E-2</v>
      </c>
      <c r="AB146" s="3">
        <f t="shared" si="67"/>
        <v>9.4385105945892764E-5</v>
      </c>
      <c r="AC146" s="3">
        <f t="shared" si="67"/>
        <v>1.5637340724854614E-30</v>
      </c>
      <c r="AD146" s="3">
        <f t="shared" si="67"/>
        <v>2.436448380061469E-288</v>
      </c>
      <c r="AE146" s="3">
        <f t="shared" si="67"/>
        <v>0</v>
      </c>
      <c r="AF146" s="3">
        <f t="shared" si="67"/>
        <v>0</v>
      </c>
    </row>
    <row r="147" spans="1:32" x14ac:dyDescent="0.25">
      <c r="B147" s="3">
        <f t="shared" ref="B147:Z147" si="72">$C33*EXP(-B$129/$A33/EXP(-$B$126))</f>
        <v>5.879988531550847E-2</v>
      </c>
      <c r="C147" s="3">
        <f t="shared" si="72"/>
        <v>5.879988531550847E-2</v>
      </c>
      <c r="D147" s="3">
        <f t="shared" si="72"/>
        <v>5.879988531550847E-2</v>
      </c>
      <c r="E147" s="3">
        <f t="shared" si="72"/>
        <v>5.879988531550847E-2</v>
      </c>
      <c r="F147" s="3">
        <f t="shared" si="72"/>
        <v>5.879988531550847E-2</v>
      </c>
      <c r="G147" s="3">
        <f t="shared" si="72"/>
        <v>5.879988531550847E-2</v>
      </c>
      <c r="H147" s="3">
        <f t="shared" si="72"/>
        <v>5.879988531550847E-2</v>
      </c>
      <c r="I147" s="3">
        <f t="shared" si="72"/>
        <v>5.879988531550847E-2</v>
      </c>
      <c r="J147" s="3">
        <f t="shared" si="72"/>
        <v>5.879988531550847E-2</v>
      </c>
      <c r="K147" s="3">
        <f t="shared" si="72"/>
        <v>5.879988531550847E-2</v>
      </c>
      <c r="L147" s="3">
        <f t="shared" si="72"/>
        <v>5.8799885315508463E-2</v>
      </c>
      <c r="M147" s="3">
        <f t="shared" si="72"/>
        <v>5.8799885315508435E-2</v>
      </c>
      <c r="N147" s="3">
        <f t="shared" si="72"/>
        <v>5.8799885315508116E-2</v>
      </c>
      <c r="O147" s="3">
        <f t="shared" si="72"/>
        <v>5.8799885315504972E-2</v>
      </c>
      <c r="P147" s="3">
        <f t="shared" si="72"/>
        <v>5.8799885315473484E-2</v>
      </c>
      <c r="Q147" s="3">
        <f t="shared" si="72"/>
        <v>5.8799885315158611E-2</v>
      </c>
      <c r="R147" s="3">
        <f t="shared" si="72"/>
        <v>5.8799885312009893E-2</v>
      </c>
      <c r="S147" s="3">
        <f t="shared" si="72"/>
        <v>5.8799885280522685E-2</v>
      </c>
      <c r="T147" s="3">
        <f t="shared" si="72"/>
        <v>5.8799884965650612E-2</v>
      </c>
      <c r="U147" s="3">
        <f t="shared" si="72"/>
        <v>5.8799881816929953E-2</v>
      </c>
      <c r="V147" s="3">
        <f t="shared" si="72"/>
        <v>5.8799850329732679E-2</v>
      </c>
      <c r="W147" s="3">
        <f t="shared" si="72"/>
        <v>5.879953545868731E-2</v>
      </c>
      <c r="X147" s="3">
        <f t="shared" si="72"/>
        <v>5.8796386840968856E-2</v>
      </c>
      <c r="Y147" s="3">
        <f t="shared" si="72"/>
        <v>5.8764909935474265E-2</v>
      </c>
      <c r="Z147" s="3">
        <f t="shared" si="72"/>
        <v>5.8451066215111182E-2</v>
      </c>
      <c r="AA147" s="3">
        <f t="shared" ref="AA147" si="73">$C33*EXP(-AA$129/$A33/EXP(-$B$126))</f>
        <v>5.5403355030959139E-2</v>
      </c>
      <c r="AB147" s="3">
        <f t="shared" si="67"/>
        <v>3.2431895905336204E-2</v>
      </c>
      <c r="AC147" s="3">
        <f t="shared" si="67"/>
        <v>1.5322691685631807E-4</v>
      </c>
      <c r="AD147" s="3">
        <f t="shared" si="67"/>
        <v>8.4910680074727448E-28</v>
      </c>
      <c r="AE147" s="3">
        <f t="shared" si="67"/>
        <v>2.3186483172910225E-260</v>
      </c>
      <c r="AF147" s="3">
        <f t="shared" si="67"/>
        <v>0</v>
      </c>
    </row>
    <row r="148" spans="1:32" x14ac:dyDescent="0.25">
      <c r="B148" s="3">
        <f t="shared" ref="B148:Z148" si="74">$C34*EXP(-B$129/$A34/EXP(-$B$126))</f>
        <v>4.7913743582903463E-2</v>
      </c>
      <c r="C148" s="3">
        <f t="shared" si="74"/>
        <v>4.7913743582903463E-2</v>
      </c>
      <c r="D148" s="3">
        <f t="shared" si="74"/>
        <v>4.7913743582903463E-2</v>
      </c>
      <c r="E148" s="3">
        <f t="shared" si="74"/>
        <v>4.7913743582903463E-2</v>
      </c>
      <c r="F148" s="3">
        <f t="shared" si="74"/>
        <v>4.7913743582903463E-2</v>
      </c>
      <c r="G148" s="3">
        <f t="shared" si="74"/>
        <v>4.7913743582903463E-2</v>
      </c>
      <c r="H148" s="3">
        <f t="shared" si="74"/>
        <v>4.7913743582903463E-2</v>
      </c>
      <c r="I148" s="3">
        <f t="shared" si="74"/>
        <v>4.7913743582903463E-2</v>
      </c>
      <c r="J148" s="3">
        <f t="shared" si="74"/>
        <v>4.7913743582903463E-2</v>
      </c>
      <c r="K148" s="3">
        <f t="shared" si="74"/>
        <v>4.7913743582903463E-2</v>
      </c>
      <c r="L148" s="3">
        <f t="shared" si="74"/>
        <v>4.7913743582903463E-2</v>
      </c>
      <c r="M148" s="3">
        <f t="shared" si="74"/>
        <v>4.7913743582903463E-2</v>
      </c>
      <c r="N148" s="3">
        <f t="shared" si="74"/>
        <v>4.7913743582903436E-2</v>
      </c>
      <c r="O148" s="3">
        <f t="shared" si="74"/>
        <v>4.7913743582903207E-2</v>
      </c>
      <c r="P148" s="3">
        <f t="shared" si="74"/>
        <v>4.7913743582900896E-2</v>
      </c>
      <c r="Q148" s="3">
        <f t="shared" si="74"/>
        <v>4.7913743582877748E-2</v>
      </c>
      <c r="R148" s="3">
        <f t="shared" si="74"/>
        <v>4.7913743582646294E-2</v>
      </c>
      <c r="S148" s="3">
        <f t="shared" si="74"/>
        <v>4.7913743580331757E-2</v>
      </c>
      <c r="T148" s="3">
        <f t="shared" si="74"/>
        <v>4.7913743557186368E-2</v>
      </c>
      <c r="U148" s="3">
        <f t="shared" si="74"/>
        <v>4.7913743325732547E-2</v>
      </c>
      <c r="V148" s="3">
        <f t="shared" si="74"/>
        <v>4.7913741011194361E-2</v>
      </c>
      <c r="W148" s="3">
        <f t="shared" si="74"/>
        <v>4.7913717865818627E-2</v>
      </c>
      <c r="X148" s="3">
        <f t="shared" si="74"/>
        <v>4.7913486412676266E-2</v>
      </c>
      <c r="Y148" s="3">
        <f t="shared" si="74"/>
        <v>4.7911171942745176E-2</v>
      </c>
      <c r="Z148" s="3">
        <f t="shared" si="74"/>
        <v>4.7888033391592991E-2</v>
      </c>
      <c r="AA148" s="3">
        <f>$C34*EXP(-AA$129/$A34/EXP(-$B$126))</f>
        <v>4.7657261598475227E-2</v>
      </c>
      <c r="AB148" s="3">
        <f t="shared" si="67"/>
        <v>4.540983261664714E-2</v>
      </c>
      <c r="AC148" s="3">
        <f t="shared" si="67"/>
        <v>2.8012900035104055E-2</v>
      </c>
      <c r="AD148" s="3">
        <f t="shared" si="67"/>
        <v>2.2358351299842284E-4</v>
      </c>
      <c r="AE148" s="3">
        <f t="shared" si="67"/>
        <v>2.345615468036991E-25</v>
      </c>
      <c r="AF148" s="3">
        <f t="shared" si="67"/>
        <v>3.7881505435759441E-235</v>
      </c>
    </row>
    <row r="149" spans="1:32" x14ac:dyDescent="0.25">
      <c r="B149" s="3">
        <f t="shared" ref="B149:Z149" si="75">$C35*EXP(-B$129/$A35/EXP(-$B$126))</f>
        <v>2.5827932303493749E-2</v>
      </c>
      <c r="C149" s="3">
        <f t="shared" si="75"/>
        <v>2.5827932303493749E-2</v>
      </c>
      <c r="D149" s="3">
        <f t="shared" si="75"/>
        <v>2.5827932303493749E-2</v>
      </c>
      <c r="E149" s="3">
        <f t="shared" si="75"/>
        <v>2.5827932303493749E-2</v>
      </c>
      <c r="F149" s="3">
        <f t="shared" si="75"/>
        <v>2.5827932303493749E-2</v>
      </c>
      <c r="G149" s="3">
        <f t="shared" si="75"/>
        <v>2.5827932303493749E-2</v>
      </c>
      <c r="H149" s="3">
        <f t="shared" si="75"/>
        <v>2.5827932303493749E-2</v>
      </c>
      <c r="I149" s="3">
        <f t="shared" si="75"/>
        <v>2.5827932303493749E-2</v>
      </c>
      <c r="J149" s="3">
        <f t="shared" si="75"/>
        <v>2.5827932303493749E-2</v>
      </c>
      <c r="K149" s="3">
        <f t="shared" si="75"/>
        <v>2.5827932303493749E-2</v>
      </c>
      <c r="L149" s="3">
        <f t="shared" si="75"/>
        <v>2.5827932303493749E-2</v>
      </c>
      <c r="M149" s="3">
        <f t="shared" si="75"/>
        <v>2.5827932303493749E-2</v>
      </c>
      <c r="N149" s="3">
        <f t="shared" si="75"/>
        <v>2.5827932303493749E-2</v>
      </c>
      <c r="O149" s="3">
        <f t="shared" si="75"/>
        <v>2.5827932303493738E-2</v>
      </c>
      <c r="P149" s="3">
        <f t="shared" si="75"/>
        <v>2.5827932303493624E-2</v>
      </c>
      <c r="Q149" s="3">
        <f t="shared" si="75"/>
        <v>2.58279323034925E-2</v>
      </c>
      <c r="R149" s="3">
        <f t="shared" si="75"/>
        <v>2.5827932303481245E-2</v>
      </c>
      <c r="S149" s="3">
        <f t="shared" si="75"/>
        <v>2.5827932303368696E-2</v>
      </c>
      <c r="T149" s="3">
        <f t="shared" si="75"/>
        <v>2.5827932302243208E-2</v>
      </c>
      <c r="U149" s="3">
        <f t="shared" si="75"/>
        <v>2.5827932290988335E-2</v>
      </c>
      <c r="V149" s="3">
        <f t="shared" si="75"/>
        <v>2.5827932178439636E-2</v>
      </c>
      <c r="W149" s="3">
        <f t="shared" si="75"/>
        <v>2.5827931052952648E-2</v>
      </c>
      <c r="X149" s="3">
        <f t="shared" si="75"/>
        <v>2.5827919798085481E-2</v>
      </c>
      <c r="Y149" s="3">
        <f t="shared" si="75"/>
        <v>2.5827807249683518E-2</v>
      </c>
      <c r="Z149" s="3">
        <f t="shared" si="75"/>
        <v>2.5826681792637966E-2</v>
      </c>
      <c r="AA149" s="3">
        <f t="shared" ref="AA149" si="76">$C35*EXP(-AA$129/$A35/EXP(-$B$126))</f>
        <v>2.5815429919153161E-2</v>
      </c>
      <c r="AB149" s="3">
        <f t="shared" si="67"/>
        <v>2.5703180447042607E-2</v>
      </c>
      <c r="AC149" s="3">
        <f t="shared" si="67"/>
        <v>2.4607182874547637E-2</v>
      </c>
      <c r="AD149" s="3">
        <f t="shared" si="67"/>
        <v>1.5915204139278705E-2</v>
      </c>
      <c r="AE149" s="3">
        <f t="shared" si="67"/>
        <v>2.0385218963036276E-4</v>
      </c>
      <c r="AF149" s="3">
        <f t="shared" si="67"/>
        <v>2.422964505043944E-23</v>
      </c>
    </row>
    <row r="150" spans="1:32" x14ac:dyDescent="0.25">
      <c r="B150" s="3">
        <f t="shared" ref="B150:Z150" si="77">$C36*EXP(-B$129/$A36/EXP(-$B$126))</f>
        <v>1.4720074447505073E-2</v>
      </c>
      <c r="C150" s="3">
        <f t="shared" si="77"/>
        <v>1.4720074447505073E-2</v>
      </c>
      <c r="D150" s="3">
        <f t="shared" si="77"/>
        <v>1.4720074447505073E-2</v>
      </c>
      <c r="E150" s="3">
        <f t="shared" si="77"/>
        <v>1.4720074447505073E-2</v>
      </c>
      <c r="F150" s="3">
        <f t="shared" si="77"/>
        <v>1.4720074447505073E-2</v>
      </c>
      <c r="G150" s="3">
        <f t="shared" si="77"/>
        <v>1.4720074447505073E-2</v>
      </c>
      <c r="H150" s="3">
        <f t="shared" si="77"/>
        <v>1.4720074447505073E-2</v>
      </c>
      <c r="I150" s="3">
        <f t="shared" si="77"/>
        <v>1.4720074447505073E-2</v>
      </c>
      <c r="J150" s="3">
        <f t="shared" si="77"/>
        <v>1.4720074447505073E-2</v>
      </c>
      <c r="K150" s="3">
        <f t="shared" si="77"/>
        <v>1.4720074447505073E-2</v>
      </c>
      <c r="L150" s="3">
        <f t="shared" si="77"/>
        <v>1.4720074447505073E-2</v>
      </c>
      <c r="M150" s="3">
        <f t="shared" si="77"/>
        <v>1.4720074447505073E-2</v>
      </c>
      <c r="N150" s="3">
        <f t="shared" si="77"/>
        <v>1.4720074447505073E-2</v>
      </c>
      <c r="O150" s="3">
        <f t="shared" si="77"/>
        <v>1.4720074447505073E-2</v>
      </c>
      <c r="P150" s="3">
        <f t="shared" si="77"/>
        <v>1.4720074447505066E-2</v>
      </c>
      <c r="Q150" s="3">
        <f t="shared" si="77"/>
        <v>1.4720074447505008E-2</v>
      </c>
      <c r="R150" s="3">
        <f t="shared" si="77"/>
        <v>1.4720074447504431E-2</v>
      </c>
      <c r="S150" s="3">
        <f t="shared" si="77"/>
        <v>1.4720074447498644E-2</v>
      </c>
      <c r="T150" s="3">
        <f t="shared" si="77"/>
        <v>1.4720074447440779E-2</v>
      </c>
      <c r="U150" s="3">
        <f t="shared" si="77"/>
        <v>1.4720074446862141E-2</v>
      </c>
      <c r="V150" s="3">
        <f t="shared" si="77"/>
        <v>1.4720074441075754E-2</v>
      </c>
      <c r="W150" s="3">
        <f t="shared" si="77"/>
        <v>1.4720074383211889E-2</v>
      </c>
      <c r="X150" s="3">
        <f t="shared" si="77"/>
        <v>1.4720073804573242E-2</v>
      </c>
      <c r="Y150" s="3">
        <f t="shared" si="77"/>
        <v>1.4720068018188016E-2</v>
      </c>
      <c r="Z150" s="3">
        <f t="shared" si="77"/>
        <v>1.4720010154460872E-2</v>
      </c>
      <c r="AA150" s="3">
        <f t="shared" ref="AA150" si="78">$C36*EXP(-AA$129/$A36/EXP(-$B$126))</f>
        <v>1.4719431529699513E-2</v>
      </c>
      <c r="AB150" s="3">
        <f t="shared" si="67"/>
        <v>1.4713646532913365E-2</v>
      </c>
      <c r="AC150" s="3">
        <f t="shared" si="67"/>
        <v>1.4655921466058989E-2</v>
      </c>
      <c r="AD150" s="3">
        <f t="shared" si="67"/>
        <v>1.4090981130112324E-2</v>
      </c>
      <c r="AE150" s="3">
        <f t="shared" si="67"/>
        <v>9.5109144432954876E-3</v>
      </c>
      <c r="AF150" s="3">
        <f t="shared" si="67"/>
        <v>1.8665201861617754E-4</v>
      </c>
    </row>
    <row r="151" spans="1:32" x14ac:dyDescent="0.25">
      <c r="B151" s="3">
        <f t="shared" ref="B151:Z151" si="79">$C37*EXP(-B$129/$A37/EXP(-$B$126))</f>
        <v>5.9239967047518835E-3</v>
      </c>
      <c r="C151" s="3">
        <f t="shared" si="79"/>
        <v>5.9239967047518835E-3</v>
      </c>
      <c r="D151" s="3">
        <f t="shared" si="79"/>
        <v>5.9239967047518835E-3</v>
      </c>
      <c r="E151" s="3">
        <f t="shared" si="79"/>
        <v>5.9239967047518835E-3</v>
      </c>
      <c r="F151" s="3">
        <f t="shared" si="79"/>
        <v>5.9239967047518835E-3</v>
      </c>
      <c r="G151" s="3">
        <f t="shared" si="79"/>
        <v>5.9239967047518835E-3</v>
      </c>
      <c r="H151" s="3">
        <f t="shared" si="79"/>
        <v>5.9239967047518835E-3</v>
      </c>
      <c r="I151" s="3">
        <f t="shared" si="79"/>
        <v>5.9239967047518835E-3</v>
      </c>
      <c r="J151" s="3">
        <f t="shared" si="79"/>
        <v>5.9239967047518835E-3</v>
      </c>
      <c r="K151" s="3">
        <f t="shared" si="79"/>
        <v>5.9239967047518835E-3</v>
      </c>
      <c r="L151" s="3">
        <f t="shared" si="79"/>
        <v>5.9239967047518835E-3</v>
      </c>
      <c r="M151" s="3">
        <f t="shared" si="79"/>
        <v>5.9239967047518835E-3</v>
      </c>
      <c r="N151" s="3">
        <f t="shared" si="79"/>
        <v>5.9239967047518835E-3</v>
      </c>
      <c r="O151" s="3">
        <f t="shared" si="79"/>
        <v>5.9239967047518835E-3</v>
      </c>
      <c r="P151" s="3">
        <f t="shared" si="79"/>
        <v>5.9239967047518835E-3</v>
      </c>
      <c r="Q151" s="3">
        <f t="shared" si="79"/>
        <v>5.9239967047518809E-3</v>
      </c>
      <c r="R151" s="3">
        <f t="shared" si="79"/>
        <v>5.9239967047518601E-3</v>
      </c>
      <c r="S151" s="3">
        <f t="shared" si="79"/>
        <v>5.9239967047516502E-3</v>
      </c>
      <c r="T151" s="3">
        <f t="shared" si="79"/>
        <v>5.9239967047495495E-3</v>
      </c>
      <c r="U151" s="3">
        <f t="shared" si="79"/>
        <v>5.9239967047285428E-3</v>
      </c>
      <c r="V151" s="3">
        <f t="shared" si="79"/>
        <v>5.9239967045184756E-3</v>
      </c>
      <c r="W151" s="3">
        <f t="shared" si="79"/>
        <v>5.9239967024178001E-3</v>
      </c>
      <c r="X151" s="3">
        <f t="shared" si="79"/>
        <v>5.9239966814110517E-3</v>
      </c>
      <c r="Y151" s="3">
        <f t="shared" si="79"/>
        <v>5.9239964713435692E-3</v>
      </c>
      <c r="Z151" s="3">
        <f t="shared" si="79"/>
        <v>5.9239943706691535E-3</v>
      </c>
      <c r="AA151" s="3">
        <f t="shared" ref="AA151" si="80">$C37*EXP(-AA$129/$A37/EXP(-$B$126))</f>
        <v>5.9239733639659701E-3</v>
      </c>
      <c r="AB151" s="3">
        <f t="shared" si="67"/>
        <v>5.9237633010310719E-3</v>
      </c>
      <c r="AC151" s="3">
        <f t="shared" si="67"/>
        <v>5.9216630813219871E-3</v>
      </c>
      <c r="AD151" s="3">
        <f t="shared" si="67"/>
        <v>5.9007017945258205E-3</v>
      </c>
      <c r="AE151" s="3">
        <f t="shared" si="67"/>
        <v>5.6951267855713771E-3</v>
      </c>
      <c r="AF151" s="3">
        <f t="shared" si="67"/>
        <v>3.9948519961602756E-3</v>
      </c>
    </row>
    <row r="152" spans="1:32" x14ac:dyDescent="0.25">
      <c r="B152" s="3">
        <f t="shared" ref="B152:Z152" si="81">$C38*EXP(-B$129/$A38/EXP(-$B$126))</f>
        <v>1.8347081790420509E-3</v>
      </c>
      <c r="C152" s="3">
        <f t="shared" si="81"/>
        <v>1.8347081790420509E-3</v>
      </c>
      <c r="D152" s="3">
        <f t="shared" si="81"/>
        <v>1.8347081790420509E-3</v>
      </c>
      <c r="E152" s="3">
        <f t="shared" si="81"/>
        <v>1.8347081790420509E-3</v>
      </c>
      <c r="F152" s="3">
        <f t="shared" si="81"/>
        <v>1.8347081790420509E-3</v>
      </c>
      <c r="G152" s="3">
        <f t="shared" si="81"/>
        <v>1.8347081790420509E-3</v>
      </c>
      <c r="H152" s="3">
        <f t="shared" si="81"/>
        <v>1.8347081790420509E-3</v>
      </c>
      <c r="I152" s="3">
        <f t="shared" si="81"/>
        <v>1.8347081790420509E-3</v>
      </c>
      <c r="J152" s="3">
        <f t="shared" si="81"/>
        <v>1.8347081790420509E-3</v>
      </c>
      <c r="K152" s="3">
        <f t="shared" si="81"/>
        <v>1.8347081790420509E-3</v>
      </c>
      <c r="L152" s="3">
        <f t="shared" si="81"/>
        <v>1.8347081790420509E-3</v>
      </c>
      <c r="M152" s="3">
        <f t="shared" si="81"/>
        <v>1.8347081790420509E-3</v>
      </c>
      <c r="N152" s="3">
        <f t="shared" si="81"/>
        <v>1.8347081790420509E-3</v>
      </c>
      <c r="O152" s="3">
        <f t="shared" si="81"/>
        <v>1.8347081790420509E-3</v>
      </c>
      <c r="P152" s="3">
        <f t="shared" si="81"/>
        <v>1.8347081790420509E-3</v>
      </c>
      <c r="Q152" s="3">
        <f t="shared" si="81"/>
        <v>1.8347081790420509E-3</v>
      </c>
      <c r="R152" s="3">
        <f t="shared" si="81"/>
        <v>1.8347081790420503E-3</v>
      </c>
      <c r="S152" s="3">
        <f t="shared" si="81"/>
        <v>1.8347081790420444E-3</v>
      </c>
      <c r="T152" s="3">
        <f t="shared" si="81"/>
        <v>1.8347081790419857E-3</v>
      </c>
      <c r="U152" s="3">
        <f t="shared" si="81"/>
        <v>1.8347081790413989E-3</v>
      </c>
      <c r="V152" s="3">
        <f t="shared" si="81"/>
        <v>1.8347081790355299E-3</v>
      </c>
      <c r="W152" s="3">
        <f t="shared" si="81"/>
        <v>1.8347081789768409E-3</v>
      </c>
      <c r="X152" s="3">
        <f t="shared" si="81"/>
        <v>1.8347081783899495E-3</v>
      </c>
      <c r="Y152" s="3">
        <f t="shared" si="81"/>
        <v>1.8347081725210374E-3</v>
      </c>
      <c r="Z152" s="3">
        <f t="shared" si="81"/>
        <v>1.8347081138319155E-3</v>
      </c>
      <c r="AA152" s="3">
        <f t="shared" ref="AA152" si="82">$C38*EXP(-AA$129/$A38/EXP(-$B$126))</f>
        <v>1.8347075269408001E-3</v>
      </c>
      <c r="AB152" s="3">
        <f t="shared" si="67"/>
        <v>1.8347016580399723E-3</v>
      </c>
      <c r="AC152" s="3">
        <f t="shared" si="67"/>
        <v>1.8346429700642295E-3</v>
      </c>
      <c r="AD152" s="3">
        <f t="shared" si="67"/>
        <v>1.8340561935481859E-3</v>
      </c>
      <c r="AE152" s="3">
        <f t="shared" si="67"/>
        <v>1.8281987403173728E-3</v>
      </c>
      <c r="AF152" s="3">
        <f t="shared" si="67"/>
        <v>1.7706432998516929E-3</v>
      </c>
    </row>
    <row r="153" spans="1:32" x14ac:dyDescent="0.25">
      <c r="B153" s="3">
        <f t="shared" ref="B153:Z153" si="83">$C39*EXP(-B$129/$A39/EXP(-$B$126))</f>
        <v>3.8370171737972247E-3</v>
      </c>
      <c r="C153" s="3">
        <f t="shared" si="83"/>
        <v>3.8370171737972247E-3</v>
      </c>
      <c r="D153" s="3">
        <f t="shared" si="83"/>
        <v>3.8370171737972247E-3</v>
      </c>
      <c r="E153" s="3">
        <f t="shared" si="83"/>
        <v>3.8370171737972247E-3</v>
      </c>
      <c r="F153" s="3">
        <f t="shared" si="83"/>
        <v>3.8370171737972247E-3</v>
      </c>
      <c r="G153" s="3">
        <f t="shared" si="83"/>
        <v>3.8370171737972247E-3</v>
      </c>
      <c r="H153" s="3">
        <f t="shared" si="83"/>
        <v>3.8370171737972247E-3</v>
      </c>
      <c r="I153" s="3">
        <f t="shared" si="83"/>
        <v>3.8370171737972247E-3</v>
      </c>
      <c r="J153" s="3">
        <f t="shared" si="83"/>
        <v>3.8370171737972247E-3</v>
      </c>
      <c r="K153" s="3">
        <f t="shared" si="83"/>
        <v>3.8370171737972247E-3</v>
      </c>
      <c r="L153" s="3">
        <f t="shared" si="83"/>
        <v>3.8370171737972247E-3</v>
      </c>
      <c r="M153" s="3">
        <f t="shared" si="83"/>
        <v>3.8370171737972247E-3</v>
      </c>
      <c r="N153" s="3">
        <f t="shared" si="83"/>
        <v>3.8370171737972247E-3</v>
      </c>
      <c r="O153" s="3">
        <f t="shared" si="83"/>
        <v>3.8370171737972247E-3</v>
      </c>
      <c r="P153" s="3">
        <f t="shared" si="83"/>
        <v>3.8370171737972247E-3</v>
      </c>
      <c r="Q153" s="3">
        <f t="shared" si="83"/>
        <v>3.8370171737972247E-3</v>
      </c>
      <c r="R153" s="3">
        <f t="shared" si="83"/>
        <v>3.8370171737972243E-3</v>
      </c>
      <c r="S153" s="3">
        <f t="shared" si="83"/>
        <v>3.8370171737972208E-3</v>
      </c>
      <c r="T153" s="3">
        <f t="shared" si="83"/>
        <v>3.837017173797187E-3</v>
      </c>
      <c r="U153" s="3">
        <f t="shared" si="83"/>
        <v>3.8370171737968479E-3</v>
      </c>
      <c r="V153" s="3">
        <f t="shared" si="83"/>
        <v>3.837017173793453E-3</v>
      </c>
      <c r="W153" s="3">
        <f t="shared" si="83"/>
        <v>3.8370171737595062E-3</v>
      </c>
      <c r="X153" s="3">
        <f t="shared" si="83"/>
        <v>3.8370171734200395E-3</v>
      </c>
      <c r="Y153" s="3">
        <f t="shared" si="83"/>
        <v>3.8370171700253721E-3</v>
      </c>
      <c r="Z153" s="3">
        <f t="shared" si="83"/>
        <v>3.8370171360786981E-3</v>
      </c>
      <c r="AA153" s="3">
        <f t="shared" ref="AA153" si="84">$C39*EXP(-AA$129/$A39/EXP(-$B$126))</f>
        <v>3.8370167966119782E-3</v>
      </c>
      <c r="AB153" s="3">
        <f t="shared" si="67"/>
        <v>3.8370134019464299E-3</v>
      </c>
      <c r="AC153" s="3">
        <f t="shared" si="67"/>
        <v>3.8369794554561285E-3</v>
      </c>
      <c r="AD153" s="3">
        <f t="shared" si="67"/>
        <v>3.8366400070707412E-3</v>
      </c>
      <c r="AE153" s="3">
        <f t="shared" si="67"/>
        <v>3.8332471744388112E-3</v>
      </c>
      <c r="AF153" s="3">
        <f t="shared" si="67"/>
        <v>3.7994834310723547E-3</v>
      </c>
    </row>
    <row r="154" spans="1:32" x14ac:dyDescent="0.25">
      <c r="B154" s="3">
        <f t="shared" ref="B154:Z154" si="85">$C40*EXP(-B$129/$A40/EXP(-$B$126))</f>
        <v>0</v>
      </c>
      <c r="C154" s="3">
        <f t="shared" si="85"/>
        <v>0</v>
      </c>
      <c r="D154" s="3">
        <f t="shared" si="85"/>
        <v>0</v>
      </c>
      <c r="E154" s="3">
        <f t="shared" si="85"/>
        <v>0</v>
      </c>
      <c r="F154" s="3">
        <f t="shared" si="85"/>
        <v>0</v>
      </c>
      <c r="G154" s="3">
        <f t="shared" si="85"/>
        <v>0</v>
      </c>
      <c r="H154" s="3">
        <f t="shared" si="85"/>
        <v>0</v>
      </c>
      <c r="I154" s="3">
        <f t="shared" si="85"/>
        <v>0</v>
      </c>
      <c r="J154" s="3">
        <f t="shared" si="85"/>
        <v>0</v>
      </c>
      <c r="K154" s="3">
        <f t="shared" si="85"/>
        <v>0</v>
      </c>
      <c r="L154" s="3">
        <f t="shared" si="85"/>
        <v>0</v>
      </c>
      <c r="M154" s="3">
        <f t="shared" si="85"/>
        <v>0</v>
      </c>
      <c r="N154" s="3">
        <f t="shared" si="85"/>
        <v>0</v>
      </c>
      <c r="O154" s="3">
        <f t="shared" si="85"/>
        <v>0</v>
      </c>
      <c r="P154" s="3">
        <f t="shared" si="85"/>
        <v>0</v>
      </c>
      <c r="Q154" s="3">
        <f t="shared" si="85"/>
        <v>0</v>
      </c>
      <c r="R154" s="3">
        <f t="shared" si="85"/>
        <v>0</v>
      </c>
      <c r="S154" s="3">
        <f t="shared" si="85"/>
        <v>0</v>
      </c>
      <c r="T154" s="3">
        <f t="shared" si="85"/>
        <v>0</v>
      </c>
      <c r="U154" s="3">
        <f t="shared" si="85"/>
        <v>0</v>
      </c>
      <c r="V154" s="3">
        <f t="shared" si="85"/>
        <v>0</v>
      </c>
      <c r="W154" s="3">
        <f t="shared" si="85"/>
        <v>0</v>
      </c>
      <c r="X154" s="3">
        <f t="shared" si="85"/>
        <v>0</v>
      </c>
      <c r="Y154" s="3">
        <f t="shared" si="85"/>
        <v>0</v>
      </c>
      <c r="Z154" s="3">
        <f t="shared" si="85"/>
        <v>0</v>
      </c>
      <c r="AA154" s="3">
        <f t="shared" ref="AA154:AF154" si="86">$C40*EXP(-AA$129/$A40/EXP(-$B$126))</f>
        <v>0</v>
      </c>
      <c r="AB154" s="3">
        <f t="shared" si="86"/>
        <v>0</v>
      </c>
      <c r="AC154" s="3">
        <f t="shared" si="86"/>
        <v>0</v>
      </c>
      <c r="AD154" s="3">
        <f t="shared" si="86"/>
        <v>0</v>
      </c>
      <c r="AE154" s="3">
        <f t="shared" si="86"/>
        <v>0</v>
      </c>
      <c r="AF154" s="3">
        <f t="shared" si="86"/>
        <v>0</v>
      </c>
    </row>
    <row r="155" spans="1:32" x14ac:dyDescent="0.25">
      <c r="B155" s="3">
        <f t="shared" ref="B155:Z155" si="87">$C41*EXP(-B$129/$A41/EXP(-$B$126))</f>
        <v>1.7399495856337129E-3</v>
      </c>
      <c r="C155" s="3">
        <f t="shared" si="87"/>
        <v>1.7399495856337129E-3</v>
      </c>
      <c r="D155" s="3">
        <f t="shared" si="87"/>
        <v>1.7399495856337129E-3</v>
      </c>
      <c r="E155" s="3">
        <f t="shared" si="87"/>
        <v>1.7399495856337129E-3</v>
      </c>
      <c r="F155" s="3">
        <f t="shared" si="87"/>
        <v>1.7399495856337129E-3</v>
      </c>
      <c r="G155" s="3">
        <f t="shared" si="87"/>
        <v>1.7399495856337129E-3</v>
      </c>
      <c r="H155" s="3">
        <f t="shared" si="87"/>
        <v>1.7399495856337129E-3</v>
      </c>
      <c r="I155" s="3">
        <f t="shared" si="87"/>
        <v>1.7399495856337129E-3</v>
      </c>
      <c r="J155" s="3">
        <f t="shared" si="87"/>
        <v>1.7399495856337129E-3</v>
      </c>
      <c r="K155" s="3">
        <f t="shared" si="87"/>
        <v>1.7399495856337129E-3</v>
      </c>
      <c r="L155" s="3">
        <f t="shared" si="87"/>
        <v>1.7399495856337129E-3</v>
      </c>
      <c r="M155" s="3">
        <f t="shared" si="87"/>
        <v>1.7399495856337129E-3</v>
      </c>
      <c r="N155" s="3">
        <f t="shared" si="87"/>
        <v>1.7399495856337129E-3</v>
      </c>
      <c r="O155" s="3">
        <f t="shared" si="87"/>
        <v>1.7399495856337129E-3</v>
      </c>
      <c r="P155" s="3">
        <f t="shared" si="87"/>
        <v>1.7399495856337129E-3</v>
      </c>
      <c r="Q155" s="3">
        <f t="shared" si="87"/>
        <v>1.7399495856337129E-3</v>
      </c>
      <c r="R155" s="3">
        <f t="shared" si="87"/>
        <v>1.7399495856337129E-3</v>
      </c>
      <c r="S155" s="3">
        <f t="shared" si="87"/>
        <v>1.7399495856337129E-3</v>
      </c>
      <c r="T155" s="3">
        <f t="shared" si="87"/>
        <v>1.7399495856337127E-3</v>
      </c>
      <c r="U155" s="3">
        <f t="shared" si="87"/>
        <v>1.7399495856337112E-3</v>
      </c>
      <c r="V155" s="3">
        <f t="shared" si="87"/>
        <v>1.7399495856336958E-3</v>
      </c>
      <c r="W155" s="3">
        <f t="shared" si="87"/>
        <v>1.7399495856335421E-3</v>
      </c>
      <c r="X155" s="3">
        <f t="shared" si="87"/>
        <v>1.7399495856320025E-3</v>
      </c>
      <c r="Y155" s="3">
        <f t="shared" si="87"/>
        <v>1.739949585616609E-3</v>
      </c>
      <c r="Z155" s="3">
        <f t="shared" si="87"/>
        <v>1.7399495854626729E-3</v>
      </c>
      <c r="AA155" s="3">
        <f t="shared" ref="AA155:AF155" si="88">$C41*EXP(-AA$129/$A41/EXP(-$B$126))</f>
        <v>1.7399495839233131E-3</v>
      </c>
      <c r="AB155" s="3">
        <f t="shared" si="88"/>
        <v>1.7399495685297148E-3</v>
      </c>
      <c r="AC155" s="3">
        <f t="shared" si="88"/>
        <v>1.7399494145937402E-3</v>
      </c>
      <c r="AD155" s="3">
        <f t="shared" si="88"/>
        <v>1.7399478752347416E-3</v>
      </c>
      <c r="AE155" s="3">
        <f t="shared" si="88"/>
        <v>1.7399324817196598E-3</v>
      </c>
      <c r="AF155" s="3">
        <f t="shared" si="88"/>
        <v>1.7397785540589935E-3</v>
      </c>
    </row>
    <row r="156" spans="1:32" x14ac:dyDescent="0.25">
      <c r="B156" s="3">
        <f t="shared" ref="B156:Z156" si="89">$C42*EXP(-B$129/$A42/EXP(-$B$126))</f>
        <v>3.0775072994127634E-3</v>
      </c>
      <c r="C156" s="3">
        <f t="shared" si="89"/>
        <v>3.0775072994127634E-3</v>
      </c>
      <c r="D156" s="3">
        <f t="shared" si="89"/>
        <v>3.0775072994127634E-3</v>
      </c>
      <c r="E156" s="3">
        <f t="shared" si="89"/>
        <v>3.0775072994127634E-3</v>
      </c>
      <c r="F156" s="3">
        <f t="shared" si="89"/>
        <v>3.0775072994127634E-3</v>
      </c>
      <c r="G156" s="3">
        <f t="shared" si="89"/>
        <v>3.0775072994127634E-3</v>
      </c>
      <c r="H156" s="3">
        <f t="shared" si="89"/>
        <v>3.0775072994127634E-3</v>
      </c>
      <c r="I156" s="3">
        <f t="shared" si="89"/>
        <v>3.0775072994127634E-3</v>
      </c>
      <c r="J156" s="3">
        <f t="shared" si="89"/>
        <v>3.0775072994127634E-3</v>
      </c>
      <c r="K156" s="3">
        <f t="shared" si="89"/>
        <v>3.0775072994127634E-3</v>
      </c>
      <c r="L156" s="3">
        <f t="shared" si="89"/>
        <v>3.0775072994127634E-3</v>
      </c>
      <c r="M156" s="3">
        <f t="shared" si="89"/>
        <v>3.0775072994127634E-3</v>
      </c>
      <c r="N156" s="3">
        <f t="shared" si="89"/>
        <v>3.0775072994127634E-3</v>
      </c>
      <c r="O156" s="3">
        <f t="shared" si="89"/>
        <v>3.0775072994127634E-3</v>
      </c>
      <c r="P156" s="3">
        <f t="shared" si="89"/>
        <v>3.0775072994127634E-3</v>
      </c>
      <c r="Q156" s="3">
        <f t="shared" si="89"/>
        <v>3.0775072994127634E-3</v>
      </c>
      <c r="R156" s="3">
        <f t="shared" si="89"/>
        <v>3.0775072994127634E-3</v>
      </c>
      <c r="S156" s="3">
        <f t="shared" si="89"/>
        <v>3.0775072994127634E-3</v>
      </c>
      <c r="T156" s="3">
        <f t="shared" si="89"/>
        <v>3.0775072994127634E-3</v>
      </c>
      <c r="U156" s="3">
        <f t="shared" si="89"/>
        <v>3.077507299412763E-3</v>
      </c>
      <c r="V156" s="3">
        <f t="shared" si="89"/>
        <v>3.0775072994127604E-3</v>
      </c>
      <c r="W156" s="3">
        <f t="shared" si="89"/>
        <v>3.077507299412733E-3</v>
      </c>
      <c r="X156" s="3">
        <f t="shared" si="89"/>
        <v>3.0775072994124611E-3</v>
      </c>
      <c r="Y156" s="3">
        <f t="shared" si="89"/>
        <v>3.077507299409738E-3</v>
      </c>
      <c r="Z156" s="3">
        <f t="shared" si="89"/>
        <v>3.0775072993825111E-3</v>
      </c>
      <c r="AA156" s="3">
        <f t="shared" ref="AA156:AF156" si="90">$C42*EXP(-AA$129/$A42/EXP(-$B$126))</f>
        <v>3.0775072991102393E-3</v>
      </c>
      <c r="AB156" s="3">
        <f t="shared" si="90"/>
        <v>3.0775072963875219E-3</v>
      </c>
      <c r="AC156" s="3">
        <f t="shared" si="90"/>
        <v>3.0775072691603474E-3</v>
      </c>
      <c r="AD156" s="3">
        <f t="shared" si="90"/>
        <v>3.0775069968886162E-3</v>
      </c>
      <c r="AE156" s="3">
        <f t="shared" si="90"/>
        <v>3.0775042741726286E-3</v>
      </c>
      <c r="AF156" s="3">
        <f t="shared" si="90"/>
        <v>3.0774770471452368E-3</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0</v>
      </c>
      <c r="C158" s="3">
        <f t="shared" si="93"/>
        <v>0</v>
      </c>
      <c r="D158" s="3">
        <f t="shared" si="93"/>
        <v>0</v>
      </c>
      <c r="E158" s="3">
        <f t="shared" si="93"/>
        <v>0</v>
      </c>
      <c r="F158" s="3">
        <f t="shared" si="93"/>
        <v>0</v>
      </c>
      <c r="G158" s="3">
        <f t="shared" si="93"/>
        <v>0</v>
      </c>
      <c r="H158" s="3">
        <f t="shared" si="93"/>
        <v>0</v>
      </c>
      <c r="I158" s="3">
        <f t="shared" si="93"/>
        <v>0</v>
      </c>
      <c r="J158" s="3">
        <f t="shared" si="93"/>
        <v>0</v>
      </c>
      <c r="K158" s="3">
        <f t="shared" si="93"/>
        <v>0</v>
      </c>
      <c r="L158" s="3">
        <f t="shared" si="93"/>
        <v>0</v>
      </c>
      <c r="M158" s="3">
        <f t="shared" si="93"/>
        <v>0</v>
      </c>
      <c r="N158" s="3">
        <f t="shared" si="93"/>
        <v>0</v>
      </c>
      <c r="O158" s="3">
        <f t="shared" si="93"/>
        <v>0</v>
      </c>
      <c r="P158" s="3">
        <f t="shared" si="93"/>
        <v>0</v>
      </c>
      <c r="Q158" s="3">
        <f t="shared" si="93"/>
        <v>0</v>
      </c>
      <c r="R158" s="3">
        <f t="shared" si="93"/>
        <v>0</v>
      </c>
      <c r="S158" s="3">
        <f t="shared" si="93"/>
        <v>0</v>
      </c>
      <c r="T158" s="3">
        <f t="shared" si="93"/>
        <v>0</v>
      </c>
      <c r="U158" s="3">
        <f t="shared" si="93"/>
        <v>0</v>
      </c>
      <c r="V158" s="3">
        <f t="shared" si="93"/>
        <v>0</v>
      </c>
      <c r="W158" s="3">
        <f t="shared" si="93"/>
        <v>0</v>
      </c>
      <c r="X158" s="3">
        <f t="shared" si="93"/>
        <v>0</v>
      </c>
      <c r="Y158" s="3">
        <f t="shared" si="93"/>
        <v>0</v>
      </c>
      <c r="Z158" s="3">
        <f t="shared" si="93"/>
        <v>0</v>
      </c>
      <c r="AA158" s="3">
        <f t="shared" ref="AA158:AF158" si="94">$C44*EXP(-AA$129/$A44/EXP(-$B$126))</f>
        <v>0</v>
      </c>
      <c r="AB158" s="3">
        <f t="shared" si="94"/>
        <v>0</v>
      </c>
      <c r="AC158" s="3">
        <f t="shared" si="94"/>
        <v>0</v>
      </c>
      <c r="AD158" s="3">
        <f t="shared" si="94"/>
        <v>0</v>
      </c>
      <c r="AE158" s="3">
        <f t="shared" si="94"/>
        <v>0</v>
      </c>
      <c r="AF158" s="3">
        <f t="shared" si="94"/>
        <v>0</v>
      </c>
    </row>
    <row r="159" spans="1:32" x14ac:dyDescent="0.25">
      <c r="A159" s="11" t="s">
        <v>75</v>
      </c>
      <c r="B159" s="3">
        <f t="shared" ref="B159:Z159" si="95">$C45*EXP(-B$129/$A45/EXP(-$B$126))</f>
        <v>3.9641523668516518E-5</v>
      </c>
      <c r="C159" s="3">
        <f t="shared" si="95"/>
        <v>3.9641523668516518E-5</v>
      </c>
      <c r="D159" s="3">
        <f t="shared" si="95"/>
        <v>3.9641523668516518E-5</v>
      </c>
      <c r="E159" s="3">
        <f t="shared" si="95"/>
        <v>3.9641523668516518E-5</v>
      </c>
      <c r="F159" s="3">
        <f t="shared" si="95"/>
        <v>3.9641523668516518E-5</v>
      </c>
      <c r="G159" s="3">
        <f t="shared" si="95"/>
        <v>3.9641523668516518E-5</v>
      </c>
      <c r="H159" s="3">
        <f t="shared" si="95"/>
        <v>3.9641523668516518E-5</v>
      </c>
      <c r="I159" s="3">
        <f t="shared" si="95"/>
        <v>3.9641523668516518E-5</v>
      </c>
      <c r="J159" s="3">
        <f t="shared" si="95"/>
        <v>3.9641523668516518E-5</v>
      </c>
      <c r="K159" s="3">
        <f t="shared" si="95"/>
        <v>3.9641523668516518E-5</v>
      </c>
      <c r="L159" s="3">
        <f t="shared" si="95"/>
        <v>3.9641523668516518E-5</v>
      </c>
      <c r="M159" s="3">
        <f t="shared" si="95"/>
        <v>3.9641523668516518E-5</v>
      </c>
      <c r="N159" s="3">
        <f t="shared" si="95"/>
        <v>3.9641523668516518E-5</v>
      </c>
      <c r="O159" s="3">
        <f t="shared" si="95"/>
        <v>3.9641523668516518E-5</v>
      </c>
      <c r="P159" s="3">
        <f t="shared" si="95"/>
        <v>3.9641523668516518E-5</v>
      </c>
      <c r="Q159" s="3">
        <f t="shared" si="95"/>
        <v>3.9641523668516518E-5</v>
      </c>
      <c r="R159" s="3">
        <f t="shared" si="95"/>
        <v>3.9641523668516518E-5</v>
      </c>
      <c r="S159" s="3">
        <f t="shared" si="95"/>
        <v>3.9641523668516518E-5</v>
      </c>
      <c r="T159" s="3">
        <f t="shared" si="95"/>
        <v>3.9641523668516518E-5</v>
      </c>
      <c r="U159" s="3">
        <f t="shared" si="95"/>
        <v>3.9641523668516518E-5</v>
      </c>
      <c r="V159" s="3">
        <f t="shared" si="95"/>
        <v>3.9641523668516518E-5</v>
      </c>
      <c r="W159" s="3">
        <f t="shared" si="95"/>
        <v>3.9641523668516518E-5</v>
      </c>
      <c r="X159" s="3">
        <f t="shared" si="95"/>
        <v>3.9641523668516511E-5</v>
      </c>
      <c r="Y159" s="3">
        <f t="shared" si="95"/>
        <v>3.9641523668516477E-5</v>
      </c>
      <c r="Z159" s="3">
        <f t="shared" si="95"/>
        <v>3.9641523668516125E-5</v>
      </c>
      <c r="AA159" s="3">
        <f t="shared" ref="AA159:AF159" si="96">$C45*EXP(-AA$129/$A45/EXP(-$B$126))</f>
        <v>3.9641523668512622E-5</v>
      </c>
      <c r="AB159" s="3">
        <f t="shared" si="96"/>
        <v>3.9641523668477548E-5</v>
      </c>
      <c r="AC159" s="3">
        <f t="shared" si="96"/>
        <v>3.9641523668126835E-5</v>
      </c>
      <c r="AD159" s="3">
        <f t="shared" si="96"/>
        <v>3.9641523664619692E-5</v>
      </c>
      <c r="AE159" s="3">
        <f t="shared" si="96"/>
        <v>3.9641523629548232E-5</v>
      </c>
      <c r="AF159" s="3">
        <f t="shared" si="96"/>
        <v>3.964152327883365E-5</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4.3007652150806221E-4</v>
      </c>
      <c r="C162" s="3">
        <f t="shared" si="101"/>
        <v>4.3007652150806221E-4</v>
      </c>
      <c r="D162" s="3">
        <f t="shared" si="101"/>
        <v>4.3007652150806221E-4</v>
      </c>
      <c r="E162" s="3">
        <f t="shared" si="101"/>
        <v>4.3007652150806221E-4</v>
      </c>
      <c r="F162" s="3">
        <f t="shared" si="101"/>
        <v>4.3007652150806221E-4</v>
      </c>
      <c r="G162" s="3">
        <f t="shared" si="101"/>
        <v>4.3007652150806221E-4</v>
      </c>
      <c r="H162" s="3">
        <f t="shared" si="101"/>
        <v>4.3007652150806221E-4</v>
      </c>
      <c r="I162" s="3">
        <f t="shared" si="101"/>
        <v>4.3007652150806221E-4</v>
      </c>
      <c r="J162" s="3">
        <f t="shared" si="101"/>
        <v>4.3007652150806221E-4</v>
      </c>
      <c r="K162" s="3">
        <f t="shared" si="101"/>
        <v>4.3007652150806221E-4</v>
      </c>
      <c r="L162" s="3">
        <f t="shared" si="101"/>
        <v>4.3007652150806221E-4</v>
      </c>
      <c r="M162" s="3">
        <f t="shared" si="101"/>
        <v>4.3007652150806221E-4</v>
      </c>
      <c r="N162" s="3">
        <f t="shared" si="101"/>
        <v>4.3007652150806221E-4</v>
      </c>
      <c r="O162" s="3">
        <f t="shared" si="101"/>
        <v>4.3007652150806221E-4</v>
      </c>
      <c r="P162" s="3">
        <f t="shared" si="101"/>
        <v>4.3007652150806221E-4</v>
      </c>
      <c r="Q162" s="3">
        <f t="shared" si="101"/>
        <v>4.3007652150806221E-4</v>
      </c>
      <c r="R162" s="3">
        <f t="shared" si="101"/>
        <v>4.3007652150806221E-4</v>
      </c>
      <c r="S162" s="3">
        <f t="shared" si="101"/>
        <v>4.3007652150806221E-4</v>
      </c>
      <c r="T162" s="3">
        <f t="shared" si="101"/>
        <v>4.3007652150806221E-4</v>
      </c>
      <c r="U162" s="3">
        <f t="shared" si="101"/>
        <v>4.3007652150806221E-4</v>
      </c>
      <c r="V162" s="3">
        <f t="shared" si="101"/>
        <v>4.3007652150806221E-4</v>
      </c>
      <c r="W162" s="3">
        <f t="shared" si="101"/>
        <v>4.3007652150806221E-4</v>
      </c>
      <c r="X162" s="3">
        <f t="shared" si="101"/>
        <v>4.3007652150806221E-4</v>
      </c>
      <c r="Y162" s="3">
        <f t="shared" si="101"/>
        <v>4.3007652150806221E-4</v>
      </c>
      <c r="Z162" s="3">
        <f t="shared" si="101"/>
        <v>4.3007652150806221E-4</v>
      </c>
      <c r="AA162" s="3">
        <f t="shared" ref="AA162:AF162" si="102">$C48*EXP(-AA$129/$A48/EXP(-$B$126))</f>
        <v>4.3007652150806215E-4</v>
      </c>
      <c r="AB162" s="3">
        <f t="shared" si="102"/>
        <v>4.3007652150806177E-4</v>
      </c>
      <c r="AC162" s="3">
        <f t="shared" si="102"/>
        <v>4.3007652150805798E-4</v>
      </c>
      <c r="AD162" s="3">
        <f t="shared" si="102"/>
        <v>4.3007652150801992E-4</v>
      </c>
      <c r="AE162" s="3">
        <f t="shared" si="102"/>
        <v>4.3007652150763942E-4</v>
      </c>
      <c r="AF162" s="3">
        <f t="shared" si="102"/>
        <v>4.3007652150383447E-4</v>
      </c>
    </row>
    <row r="163" spans="1:34" x14ac:dyDescent="0.25">
      <c r="A163" s="79">
        <f>AVERAGE(B163:AF163)</f>
        <v>4.0806392574772456E-2</v>
      </c>
      <c r="B163" s="80">
        <f>IF($A$64&lt;=B129,IF($B$64&gt;=B129,ABS((B131-B130)/B130),0),0)</f>
        <v>3.071949903420349E-3</v>
      </c>
      <c r="C163" s="80">
        <f t="shared" ref="C163:AF163" si="103">IF($A$64&lt;=C129,IF($B$64&gt;=C129,ABS((C131-C130)/C130),0),0)</f>
        <v>5.560396007694474E-3</v>
      </c>
      <c r="D163" s="80">
        <f t="shared" si="103"/>
        <v>3.7639500027605147E-2</v>
      </c>
      <c r="E163" s="80">
        <f t="shared" si="103"/>
        <v>5.8442856941669521E-2</v>
      </c>
      <c r="F163" s="80">
        <f t="shared" si="103"/>
        <v>5.9583915448033237E-2</v>
      </c>
      <c r="G163" s="80">
        <f t="shared" si="103"/>
        <v>5.3213348204933425E-2</v>
      </c>
      <c r="H163" s="80">
        <f t="shared" si="103"/>
        <v>0.1284646625370032</v>
      </c>
      <c r="I163" s="80">
        <f t="shared" si="103"/>
        <v>0.10218300821125993</v>
      </c>
      <c r="J163" s="80">
        <f t="shared" si="103"/>
        <v>7.323126106092756E-2</v>
      </c>
      <c r="K163" s="80">
        <f t="shared" si="103"/>
        <v>3.8806767039641914E-2</v>
      </c>
      <c r="L163" s="80">
        <f t="shared" si="103"/>
        <v>7.5495541948439613E-3</v>
      </c>
      <c r="M163" s="80">
        <f t="shared" si="103"/>
        <v>1.293812215279039E-2</v>
      </c>
      <c r="N163" s="80">
        <f t="shared" si="103"/>
        <v>6.985912374282725E-3</v>
      </c>
      <c r="O163" s="80">
        <f t="shared" si="103"/>
        <v>8.318373089978684E-4</v>
      </c>
      <c r="P163" s="80">
        <f t="shared" si="103"/>
        <v>2.2794932187204507E-3</v>
      </c>
      <c r="Q163" s="80">
        <f t="shared" si="103"/>
        <v>2.7053279557510677E-3</v>
      </c>
      <c r="R163" s="80">
        <f t="shared" si="103"/>
        <v>2.1220154381137125E-3</v>
      </c>
      <c r="S163" s="80">
        <f t="shared" si="103"/>
        <v>1.5901777905858116E-3</v>
      </c>
      <c r="T163" s="80">
        <f t="shared" si="103"/>
        <v>7.564421981350758E-4</v>
      </c>
      <c r="U163" s="80">
        <f t="shared" si="103"/>
        <v>1.0673088928644056E-3</v>
      </c>
      <c r="V163" s="80">
        <f t="shared" si="103"/>
        <v>1.1445709240344517E-2</v>
      </c>
      <c r="W163" s="80">
        <f t="shared" si="103"/>
        <v>2.8248429012542261E-2</v>
      </c>
      <c r="X163" s="80">
        <f t="shared" si="103"/>
        <v>5.4386331042776591E-2</v>
      </c>
      <c r="Y163" s="80">
        <f t="shared" si="103"/>
        <v>7.2348101011972116E-2</v>
      </c>
      <c r="Z163" s="80">
        <f t="shared" si="103"/>
        <v>9.0471985839741045E-2</v>
      </c>
      <c r="AA163" s="80">
        <f t="shared" si="103"/>
        <v>9.1002047392958627E-2</v>
      </c>
      <c r="AB163" s="80">
        <f t="shared" si="103"/>
        <v>9.3090203561427956E-2</v>
      </c>
      <c r="AC163" s="80">
        <f t="shared" si="103"/>
        <v>8.1304638752200148E-2</v>
      </c>
      <c r="AD163" s="80">
        <f t="shared" si="103"/>
        <v>7.0859898787398887E-2</v>
      </c>
      <c r="AE163" s="80">
        <f t="shared" si="103"/>
        <v>4.3944630219998032E-2</v>
      </c>
      <c r="AF163" s="80">
        <f t="shared" si="103"/>
        <v>2.8872338049312034E-2</v>
      </c>
    </row>
    <row r="164" spans="1:34" x14ac:dyDescent="0.25">
      <c r="B164" s="21">
        <f>(B131-B130)^2</f>
        <v>985.40986815435247</v>
      </c>
      <c r="C164" s="21">
        <f t="shared" ref="C164:AF164" si="104">(C131-C130)^2</f>
        <v>3173.1707403493619</v>
      </c>
      <c r="D164" s="21">
        <f t="shared" si="104"/>
        <v>136493.96166442131</v>
      </c>
      <c r="E164" s="21">
        <f t="shared" si="104"/>
        <v>314961.66235588334</v>
      </c>
      <c r="F164" s="21">
        <f t="shared" si="104"/>
        <v>313966.22505277157</v>
      </c>
      <c r="G164" s="21">
        <f t="shared" si="104"/>
        <v>238923.83384786377</v>
      </c>
      <c r="H164" s="21">
        <f t="shared" si="104"/>
        <v>1323832.0836755857</v>
      </c>
      <c r="I164" s="21">
        <f t="shared" si="104"/>
        <v>789225.96289594239</v>
      </c>
      <c r="J164" s="21">
        <f t="shared" si="104"/>
        <v>380411.32489622879</v>
      </c>
      <c r="K164" s="21">
        <f t="shared" si="104"/>
        <v>99273.225351520989</v>
      </c>
      <c r="L164" s="21">
        <f t="shared" si="104"/>
        <v>3511.0404113799168</v>
      </c>
      <c r="M164" s="21">
        <f t="shared" si="104"/>
        <v>9571.2059034392587</v>
      </c>
      <c r="N164" s="21">
        <f t="shared" si="104"/>
        <v>2538.4486248641929</v>
      </c>
      <c r="O164" s="21">
        <f t="shared" si="104"/>
        <v>32.241683854569999</v>
      </c>
      <c r="P164" s="21">
        <f t="shared" si="104"/>
        <v>217.42408139153122</v>
      </c>
      <c r="Q164" s="21">
        <f t="shared" si="104"/>
        <v>279.98236716521404</v>
      </c>
      <c r="R164" s="21">
        <f t="shared" si="104"/>
        <v>156.5355816970922</v>
      </c>
      <c r="S164" s="21">
        <f t="shared" si="104"/>
        <v>79.872992419857965</v>
      </c>
      <c r="T164" s="21">
        <f t="shared" si="104"/>
        <v>16.260473482029344</v>
      </c>
      <c r="U164" s="21">
        <f t="shared" si="104"/>
        <v>29.125487756347741</v>
      </c>
      <c r="V164" s="21">
        <f t="shared" si="104"/>
        <v>2876.2168698742207</v>
      </c>
      <c r="W164" s="21">
        <f t="shared" si="104"/>
        <v>14561.84877193335</v>
      </c>
      <c r="X164" s="21">
        <f t="shared" si="104"/>
        <v>42879.780104186757</v>
      </c>
      <c r="Y164" s="21">
        <f t="shared" si="104"/>
        <v>58162.38261941079</v>
      </c>
      <c r="Z164" s="21">
        <f t="shared" si="104"/>
        <v>64812.091596410515</v>
      </c>
      <c r="AA164" s="21">
        <f t="shared" si="104"/>
        <v>42469.376193471566</v>
      </c>
      <c r="AB164" s="21">
        <f t="shared" si="104"/>
        <v>24800.181316317721</v>
      </c>
      <c r="AC164" s="21">
        <f t="shared" si="104"/>
        <v>10006.640468933714</v>
      </c>
      <c r="AD164" s="21">
        <f t="shared" si="104"/>
        <v>3961.6678776960339</v>
      </c>
      <c r="AE164" s="21">
        <f t="shared" si="104"/>
        <v>970.37696940752983</v>
      </c>
      <c r="AF164" s="21">
        <f t="shared" si="104"/>
        <v>307.31336211111011</v>
      </c>
    </row>
    <row r="165" spans="1:34" x14ac:dyDescent="0.25">
      <c r="A165" s="71">
        <f>SUM(B165:AF165)</f>
        <v>3883486.8741059257</v>
      </c>
      <c r="B165" s="60">
        <f>IF($A$64&lt;=B129,IF($B$64&gt;=B129,ABS(B164),0),0)</f>
        <v>985.40986815435247</v>
      </c>
      <c r="C165" s="60">
        <f t="shared" ref="C165:AF165" si="105">IF($A$64&lt;=C129,IF($B$64&gt;=C129,ABS(C164),0),0)</f>
        <v>3173.1707403493619</v>
      </c>
      <c r="D165" s="60">
        <f t="shared" si="105"/>
        <v>136493.96166442131</v>
      </c>
      <c r="E165" s="60">
        <f t="shared" si="105"/>
        <v>314961.66235588334</v>
      </c>
      <c r="F165" s="60">
        <f t="shared" si="105"/>
        <v>313966.22505277157</v>
      </c>
      <c r="G165" s="60">
        <f t="shared" si="105"/>
        <v>238923.83384786377</v>
      </c>
      <c r="H165" s="60">
        <f t="shared" si="105"/>
        <v>1323832.0836755857</v>
      </c>
      <c r="I165" s="60">
        <f t="shared" si="105"/>
        <v>789225.96289594239</v>
      </c>
      <c r="J165" s="60">
        <f t="shared" si="105"/>
        <v>380411.32489622879</v>
      </c>
      <c r="K165" s="60">
        <f t="shared" si="105"/>
        <v>99273.225351520989</v>
      </c>
      <c r="L165" s="60">
        <f t="shared" si="105"/>
        <v>3511.0404113799168</v>
      </c>
      <c r="M165" s="60">
        <f t="shared" si="105"/>
        <v>9571.2059034392587</v>
      </c>
      <c r="N165" s="60">
        <f t="shared" si="105"/>
        <v>2538.4486248641929</v>
      </c>
      <c r="O165" s="60">
        <f t="shared" si="105"/>
        <v>32.241683854569999</v>
      </c>
      <c r="P165" s="60">
        <f t="shared" si="105"/>
        <v>217.42408139153122</v>
      </c>
      <c r="Q165" s="60">
        <f t="shared" si="105"/>
        <v>279.98236716521404</v>
      </c>
      <c r="R165" s="60">
        <f t="shared" si="105"/>
        <v>156.5355816970922</v>
      </c>
      <c r="S165" s="60">
        <f t="shared" si="105"/>
        <v>79.872992419857965</v>
      </c>
      <c r="T165" s="60">
        <f t="shared" si="105"/>
        <v>16.260473482029344</v>
      </c>
      <c r="U165" s="60">
        <f t="shared" si="105"/>
        <v>29.125487756347741</v>
      </c>
      <c r="V165" s="60">
        <f t="shared" si="105"/>
        <v>2876.2168698742207</v>
      </c>
      <c r="W165" s="60">
        <f t="shared" si="105"/>
        <v>14561.84877193335</v>
      </c>
      <c r="X165" s="60">
        <f t="shared" si="105"/>
        <v>42879.780104186757</v>
      </c>
      <c r="Y165" s="60">
        <f t="shared" si="105"/>
        <v>58162.38261941079</v>
      </c>
      <c r="Z165" s="60">
        <f t="shared" si="105"/>
        <v>64812.091596410515</v>
      </c>
      <c r="AA165" s="60">
        <f t="shared" si="105"/>
        <v>42469.376193471566</v>
      </c>
      <c r="AB165" s="60">
        <f t="shared" si="105"/>
        <v>24800.181316317721</v>
      </c>
      <c r="AC165" s="60">
        <f t="shared" si="105"/>
        <v>10006.640468933714</v>
      </c>
      <c r="AD165" s="60">
        <f t="shared" si="105"/>
        <v>3961.6678776960339</v>
      </c>
      <c r="AE165" s="60">
        <f t="shared" si="105"/>
        <v>970.37696940752983</v>
      </c>
      <c r="AF165" s="60">
        <f t="shared" si="105"/>
        <v>307.31336211111011</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10065.543251576082</v>
      </c>
      <c r="C169" s="26">
        <f>INDEX(Comparison!$AM$3:$AS$33,G$14,$C$122)</f>
        <v>9708.7484211633309</v>
      </c>
      <c r="D169" s="26">
        <f>INDEX(Comparison!$AM$3:$AS$33,H$14,$C$122)</f>
        <v>9504.080552546171</v>
      </c>
      <c r="E169" s="26">
        <f>INDEX(Comparison!$AM$3:$AS$33,I$14,$C$122)</f>
        <v>9297.6034614201999</v>
      </c>
      <c r="F169" s="26">
        <f>INDEX(Comparison!$AM$3:$AS$33,J$14,$C$122)</f>
        <v>9077.0448832845814</v>
      </c>
      <c r="G169" s="26">
        <f>INDEX(Comparison!$AM$3:$AS$33,K$14,$C$122)</f>
        <v>8833.9901329277236</v>
      </c>
      <c r="H169" s="26">
        <f>INDEX(Comparison!$AM$3:$AS$33,L$14,$C$122)</f>
        <v>8570.1980588932365</v>
      </c>
      <c r="I169" s="26">
        <f>INDEX(Comparison!$AM$3:$AS$33,M$14,$C$122)</f>
        <v>8282.9223634397895</v>
      </c>
      <c r="J169" s="26">
        <f>INDEX(Comparison!$AM$3:$AS$33,N$14,$C$122)</f>
        <v>7993.641154385381</v>
      </c>
      <c r="K169" s="26">
        <f>INDEX(Comparison!$AM$3:$AS$33,O$14,$C$122)</f>
        <v>7722.5102431706819</v>
      </c>
      <c r="L169" s="26">
        <f>INDEX(Comparison!$AM$3:$AS$33,P$14,$C$122)</f>
        <v>7411.9254661857585</v>
      </c>
      <c r="M169" s="26">
        <f>INDEX(Comparison!$AM$3:$AS$33,Q$14,$C$122)</f>
        <v>7044.5082173262499</v>
      </c>
      <c r="N169" s="26">
        <f>INDEX(Comparison!$AM$3:$AS$33,R$14,$C$122)</f>
        <v>6664.4913259208079</v>
      </c>
      <c r="O169" s="26">
        <f>INDEX(Comparison!$AM$3:$AS$33,S$14,$C$122)</f>
        <v>6341.2106146502829</v>
      </c>
      <c r="P169" s="26">
        <f>INDEX(Comparison!$AM$3:$AS$33,T$14,$C$122)</f>
        <v>6057.8856031721252</v>
      </c>
      <c r="Q169" s="26">
        <f>INDEX(Comparison!$AM$3:$AS$33,U$14,$C$122)</f>
        <v>5776.2920069159836</v>
      </c>
      <c r="R169" s="26">
        <f>INDEX(Comparison!$AM$3:$AS$33,V$14,$C$122)</f>
        <v>5493.3830678495879</v>
      </c>
      <c r="S169" s="26">
        <f>INDEX(Comparison!$AM$3:$AS$33,W$14,$C$122)</f>
        <v>5215.5329419319251</v>
      </c>
      <c r="T169" s="26">
        <f>INDEX(Comparison!$AM$3:$AS$33,X$14,$C$122)</f>
        <v>4897.7071873573095</v>
      </c>
      <c r="U169" s="26">
        <f>INDEX(Comparison!$AM$3:$AS$33,Y$14,$C$122)</f>
        <v>4495.7217042422935</v>
      </c>
      <c r="V169" s="26">
        <f>INDEX(Comparison!$AM$3:$AS$33,Z$14,$C$122)</f>
        <v>4059.1954090175182</v>
      </c>
      <c r="W169" s="26">
        <f>INDEX(Comparison!$AM$3:$AS$33,AA$14,$C$122)</f>
        <v>3597.5805592338243</v>
      </c>
      <c r="X169" s="26">
        <f>INDEX(Comparison!$AM$3:$AS$33,AB$14,$C$122)</f>
        <v>3113.2980023229825</v>
      </c>
      <c r="Y169" s="26">
        <f>INDEX(Comparison!$AM$3:$AS$33,AC$14,$C$122)</f>
        <v>2587.1664421745386</v>
      </c>
      <c r="Z169" s="26">
        <f>INDEX(Comparison!$AM$3:$AS$33,AD$14,$C$122)</f>
        <v>2025.5491425769458</v>
      </c>
      <c r="AA169" s="26">
        <f>INDEX(Comparison!$AM$3:$AS$33,AE$14,$C$122)</f>
        <v>1488.3947775442189</v>
      </c>
      <c r="AB169" s="26">
        <f>INDEX(Comparison!$AM$3:$AS$33,AF$14,$C$122)</f>
        <v>1075.2839868020503</v>
      </c>
      <c r="AC169" s="26">
        <f>INDEX(Comparison!$AM$3:$AS$33,AG$14,$C$122)</f>
        <v>799.60727676982128</v>
      </c>
      <c r="AD169" s="26">
        <f>INDEX(Comparison!$AM$3:$AS$33,AH$14,$C$122)</f>
        <v>660.84412890819806</v>
      </c>
      <c r="AE169" s="26">
        <f>INDEX(Comparison!$AM$3:$AS$33,AI$14,$C$122)</f>
        <v>587.16779346403064</v>
      </c>
      <c r="AF169" s="26">
        <f>INDEX(Comparison!$AM$3:$AS$33,AJ$14,$C$122)</f>
        <v>551.91226878266252</v>
      </c>
      <c r="AG169" s="26"/>
      <c r="AH169" s="26"/>
    </row>
    <row r="170" spans="1:34" x14ac:dyDescent="0.25">
      <c r="A170" s="70" t="s">
        <v>22</v>
      </c>
      <c r="B170" s="27">
        <f>($C$17+SUM(B171:B201))*$B$51</f>
        <v>10186.64186943847</v>
      </c>
      <c r="C170" s="27">
        <f t="shared" ref="C170:AF170" si="106">($C$17+SUM(C171:C201))*$B$51</f>
        <v>10180.717897185916</v>
      </c>
      <c r="D170" s="27">
        <f t="shared" si="106"/>
        <v>10122.282809022676</v>
      </c>
      <c r="E170" s="27">
        <f t="shared" si="106"/>
        <v>9611.4478768501467</v>
      </c>
      <c r="F170" s="27">
        <f t="shared" si="106"/>
        <v>7955.2222026861209</v>
      </c>
      <c r="G170" s="27">
        <f t="shared" si="106"/>
        <v>7805.6751981646594</v>
      </c>
      <c r="H170" s="27">
        <f t="shared" si="106"/>
        <v>7805.6335113269752</v>
      </c>
      <c r="I170" s="27">
        <f t="shared" si="106"/>
        <v>7805.2167826912391</v>
      </c>
      <c r="J170" s="27">
        <f t="shared" si="106"/>
        <v>7801.0634353670084</v>
      </c>
      <c r="K170" s="27">
        <f t="shared" si="106"/>
        <v>7760.8916305112161</v>
      </c>
      <c r="L170" s="27">
        <f t="shared" si="106"/>
        <v>7468.1115553901855</v>
      </c>
      <c r="M170" s="27">
        <f t="shared" si="106"/>
        <v>7011.8605952176686</v>
      </c>
      <c r="N170" s="27">
        <f t="shared" si="106"/>
        <v>6672.4921787735366</v>
      </c>
      <c r="O170" s="27">
        <f t="shared" si="106"/>
        <v>6326.1732226436861</v>
      </c>
      <c r="P170" s="27">
        <f t="shared" si="106"/>
        <v>6050.151196007756</v>
      </c>
      <c r="Q170" s="27">
        <f t="shared" si="106"/>
        <v>5763.4037042599293</v>
      </c>
      <c r="R170" s="27">
        <f t="shared" si="106"/>
        <v>5488.0130798002938</v>
      </c>
      <c r="S170" s="27">
        <f t="shared" si="106"/>
        <v>5201.1254774400904</v>
      </c>
      <c r="T170" s="27">
        <f t="shared" si="106"/>
        <v>4928.1809572968596</v>
      </c>
      <c r="U170" s="27">
        <f t="shared" si="106"/>
        <v>4569.8036317014721</v>
      </c>
      <c r="V170" s="27">
        <f t="shared" si="106"/>
        <v>4221.5071780373964</v>
      </c>
      <c r="W170" s="27">
        <f t="shared" si="106"/>
        <v>3807.1594569559893</v>
      </c>
      <c r="X170" s="27">
        <f t="shared" si="106"/>
        <v>3337.8982132393999</v>
      </c>
      <c r="Y170" s="27">
        <f t="shared" si="106"/>
        <v>2788.9855129933658</v>
      </c>
      <c r="Z170" s="27">
        <f t="shared" si="106"/>
        <v>2153.4612701503706</v>
      </c>
      <c r="AA170" s="27">
        <f t="shared" si="106"/>
        <v>1584.6104285816309</v>
      </c>
      <c r="AB170" s="27">
        <f t="shared" si="106"/>
        <v>1128.8097352076368</v>
      </c>
      <c r="AC170" s="27">
        <f t="shared" si="106"/>
        <v>842.70170523070806</v>
      </c>
      <c r="AD170" s="27">
        <f t="shared" si="106"/>
        <v>680.69288136588887</v>
      </c>
      <c r="AE170" s="27">
        <f t="shared" si="106"/>
        <v>600.18491014494316</v>
      </c>
      <c r="AF170" s="27">
        <f t="shared" si="106"/>
        <v>561.80870156776757</v>
      </c>
      <c r="AG170" s="27"/>
      <c r="AH170" s="27"/>
    </row>
    <row r="171" spans="1:34" x14ac:dyDescent="0.25">
      <c r="B171" s="3">
        <f t="shared" ref="B171:AF171" si="107">$C18*EXP(-B$168/$A18/EXP(-$C$126))</f>
        <v>0.2337186306063746</v>
      </c>
      <c r="C171" s="3">
        <f t="shared" si="107"/>
        <v>0.23313712507947712</v>
      </c>
      <c r="D171" s="3">
        <f t="shared" si="107"/>
        <v>0.22740105386744522</v>
      </c>
      <c r="E171" s="3">
        <f t="shared" si="107"/>
        <v>0.17725677222855565</v>
      </c>
      <c r="F171" s="3">
        <f t="shared" si="107"/>
        <v>1.4679338099506171E-2</v>
      </c>
      <c r="G171" s="3">
        <f t="shared" si="107"/>
        <v>2.2271160121118114E-13</v>
      </c>
      <c r="H171" s="3">
        <f t="shared" si="107"/>
        <v>1.4391514832854042E-121</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6.1002041249741443E-2</v>
      </c>
      <c r="C172" s="3">
        <f t="shared" si="108"/>
        <v>6.1002041210814741E-2</v>
      </c>
      <c r="D172" s="3">
        <f t="shared" si="108"/>
        <v>6.1002040821547705E-2</v>
      </c>
      <c r="E172" s="3">
        <f t="shared" si="108"/>
        <v>6.1002036928877505E-2</v>
      </c>
      <c r="F172" s="3">
        <f t="shared" si="108"/>
        <v>6.1001998002189112E-2</v>
      </c>
      <c r="G172" s="3">
        <f t="shared" si="108"/>
        <v>6.1001608736671431E-2</v>
      </c>
      <c r="H172" s="3">
        <f t="shared" si="108"/>
        <v>6.0997716218110801E-2</v>
      </c>
      <c r="I172" s="3">
        <f t="shared" si="108"/>
        <v>6.0958804690898899E-2</v>
      </c>
      <c r="J172" s="3">
        <f t="shared" si="108"/>
        <v>6.0571052038908273E-2</v>
      </c>
      <c r="K172" s="3">
        <f t="shared" si="108"/>
        <v>5.6826624496154339E-2</v>
      </c>
      <c r="L172" s="3">
        <f t="shared" si="108"/>
        <v>3.002059449070961E-2</v>
      </c>
      <c r="M172" s="3">
        <f t="shared" si="108"/>
        <v>5.0826894280775657E-5</v>
      </c>
      <c r="N172" s="3">
        <f t="shared" si="108"/>
        <v>9.8364055386637509E-33</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3.0700763224446422E-2</v>
      </c>
      <c r="C173" s="3">
        <f t="shared" si="109"/>
        <v>3.0700763222679166E-2</v>
      </c>
      <c r="D173" s="3">
        <f t="shared" si="109"/>
        <v>3.0700763205006625E-2</v>
      </c>
      <c r="E173" s="3">
        <f t="shared" si="109"/>
        <v>3.0700763028281203E-2</v>
      </c>
      <c r="F173" s="3">
        <f t="shared" si="109"/>
        <v>3.0700761261027065E-2</v>
      </c>
      <c r="G173" s="3">
        <f t="shared" si="109"/>
        <v>3.0700743588491244E-2</v>
      </c>
      <c r="H173" s="3">
        <f t="shared" si="109"/>
        <v>3.0700566863692543E-2</v>
      </c>
      <c r="I173" s="3">
        <f t="shared" si="109"/>
        <v>3.0698799671655713E-2</v>
      </c>
      <c r="J173" s="3">
        <f t="shared" si="109"/>
        <v>3.0681133345111303E-2</v>
      </c>
      <c r="K173" s="3">
        <f t="shared" si="109"/>
        <v>3.0505028272484472E-2</v>
      </c>
      <c r="L173" s="3">
        <f t="shared" si="109"/>
        <v>2.879862603789728E-2</v>
      </c>
      <c r="M173" s="3">
        <f t="shared" si="109"/>
        <v>1.6194783021586716E-2</v>
      </c>
      <c r="N173" s="3">
        <f t="shared" si="109"/>
        <v>5.1216369127915068E-5</v>
      </c>
      <c r="O173" s="3">
        <f t="shared" si="109"/>
        <v>5.1256071720961536E-30</v>
      </c>
      <c r="P173" s="3">
        <f t="shared" si="109"/>
        <v>5.1654794339565961E-280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4.1198622757799286E-2</v>
      </c>
      <c r="C174" s="3">
        <f t="shared" si="110"/>
        <v>4.1198622757585353E-2</v>
      </c>
      <c r="D174" s="3">
        <f t="shared" si="110"/>
        <v>4.1198622755446015E-2</v>
      </c>
      <c r="E174" s="3">
        <f t="shared" si="110"/>
        <v>4.1198622734052649E-2</v>
      </c>
      <c r="F174" s="3">
        <f t="shared" si="110"/>
        <v>4.119862252011898E-2</v>
      </c>
      <c r="G174" s="3">
        <f t="shared" si="110"/>
        <v>4.1198620380782355E-2</v>
      </c>
      <c r="H174" s="3">
        <f t="shared" si="110"/>
        <v>4.1198598987422209E-2</v>
      </c>
      <c r="I174" s="3">
        <f t="shared" si="110"/>
        <v>4.119838505443172E-2</v>
      </c>
      <c r="J174" s="3">
        <f t="shared" si="110"/>
        <v>4.1196245785625141E-2</v>
      </c>
      <c r="K174" s="3">
        <f t="shared" si="110"/>
        <v>4.1174859206213804E-2</v>
      </c>
      <c r="L174" s="3">
        <f t="shared" si="110"/>
        <v>4.0961603105515138E-2</v>
      </c>
      <c r="M174" s="3">
        <f t="shared" si="110"/>
        <v>3.8888856120803839E-2</v>
      </c>
      <c r="N174" s="3">
        <f t="shared" si="110"/>
        <v>2.3137019189076471E-2</v>
      </c>
      <c r="O174" s="3">
        <f t="shared" si="110"/>
        <v>1.2856708130335126E-4</v>
      </c>
      <c r="P174" s="3">
        <f t="shared" si="110"/>
        <v>3.6087231433014182E-27</v>
      </c>
      <c r="Q174" s="3">
        <f t="shared" si="110"/>
        <v>1.0954469869847369E-252</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2.6960630065440326E-2</v>
      </c>
      <c r="C175" s="3">
        <f t="shared" si="111"/>
        <v>2.6960630065427697E-2</v>
      </c>
      <c r="D175" s="3">
        <f t="shared" si="111"/>
        <v>2.6960630065301409E-2</v>
      </c>
      <c r="E175" s="3">
        <f t="shared" si="111"/>
        <v>2.6960630064038496E-2</v>
      </c>
      <c r="F175" s="3">
        <f t="shared" si="111"/>
        <v>2.6960630051409376E-2</v>
      </c>
      <c r="G175" s="3">
        <f t="shared" si="111"/>
        <v>2.6960629925118183E-2</v>
      </c>
      <c r="H175" s="3">
        <f t="shared" si="111"/>
        <v>2.6960628662206276E-2</v>
      </c>
      <c r="I175" s="3">
        <f t="shared" si="111"/>
        <v>2.6960616033090454E-2</v>
      </c>
      <c r="J175" s="3">
        <f t="shared" si="111"/>
        <v>2.6960489742257638E-2</v>
      </c>
      <c r="K175" s="3">
        <f t="shared" si="111"/>
        <v>2.695922686646594E-2</v>
      </c>
      <c r="L175" s="3">
        <f t="shared" si="111"/>
        <v>2.6946601361632086E-2</v>
      </c>
      <c r="M175" s="3">
        <f t="shared" si="111"/>
        <v>2.6820671058492812E-2</v>
      </c>
      <c r="N175" s="3">
        <f t="shared" si="111"/>
        <v>2.5593286686451611E-2</v>
      </c>
      <c r="O175" s="3">
        <f t="shared" si="111"/>
        <v>1.6021024284994207E-2</v>
      </c>
      <c r="P175" s="3">
        <f t="shared" si="111"/>
        <v>1.4802410742180023E-4</v>
      </c>
      <c r="Q175" s="3">
        <f t="shared" si="111"/>
        <v>6.7104890731552906E-25</v>
      </c>
      <c r="R175" s="3">
        <f t="shared" si="111"/>
        <v>2.4602055785057768E-228</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3.0337457966134438E-2</v>
      </c>
      <c r="C176" s="3">
        <f t="shared" si="112"/>
        <v>3.0337457966133154E-2</v>
      </c>
      <c r="D176" s="3">
        <f t="shared" si="112"/>
        <v>3.0337457966120335E-2</v>
      </c>
      <c r="E176" s="3">
        <f t="shared" si="112"/>
        <v>3.0337457965992142E-2</v>
      </c>
      <c r="F176" s="3">
        <f t="shared" si="112"/>
        <v>3.0337457964710199E-2</v>
      </c>
      <c r="G176" s="3">
        <f t="shared" si="112"/>
        <v>3.0337457951890766E-2</v>
      </c>
      <c r="H176" s="3">
        <f t="shared" si="112"/>
        <v>3.0337457823696439E-2</v>
      </c>
      <c r="I176" s="3">
        <f t="shared" si="112"/>
        <v>3.0337456541753186E-2</v>
      </c>
      <c r="J176" s="3">
        <f t="shared" si="112"/>
        <v>3.0337443722323654E-2</v>
      </c>
      <c r="K176" s="3">
        <f t="shared" si="112"/>
        <v>3.0337315528326258E-2</v>
      </c>
      <c r="L176" s="3">
        <f t="shared" si="112"/>
        <v>3.0336033618145283E-2</v>
      </c>
      <c r="M176" s="3">
        <f t="shared" si="112"/>
        <v>3.0323217495165269E-2</v>
      </c>
      <c r="N176" s="3">
        <f t="shared" si="112"/>
        <v>3.0195353683132628E-2</v>
      </c>
      <c r="O176" s="3">
        <f t="shared" si="112"/>
        <v>2.8945997543002793E-2</v>
      </c>
      <c r="P176" s="3">
        <f t="shared" si="112"/>
        <v>1.8970226688944707E-2</v>
      </c>
      <c r="Q176" s="3">
        <f t="shared" si="112"/>
        <v>2.772761516106622E-4</v>
      </c>
      <c r="R176" s="3">
        <f t="shared" si="112"/>
        <v>1.2339924108871477E-22</v>
      </c>
      <c r="S176" s="3">
        <f t="shared" si="112"/>
        <v>3.7610767792699346E-206</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2.6917138415699794E-2</v>
      </c>
      <c r="C177" s="3">
        <f t="shared" si="113"/>
        <v>2.691713841569969E-2</v>
      </c>
      <c r="D177" s="3">
        <f t="shared" si="113"/>
        <v>2.6917138415698667E-2</v>
      </c>
      <c r="E177" s="3">
        <f t="shared" si="113"/>
        <v>2.6917138415688404E-2</v>
      </c>
      <c r="F177" s="3">
        <f t="shared" si="113"/>
        <v>2.6917138415585799E-2</v>
      </c>
      <c r="G177" s="3">
        <f t="shared" si="113"/>
        <v>2.6917138414559758E-2</v>
      </c>
      <c r="H177" s="3">
        <f t="shared" si="113"/>
        <v>2.6917138404299337E-2</v>
      </c>
      <c r="I177" s="3">
        <f t="shared" si="113"/>
        <v>2.6917138301695148E-2</v>
      </c>
      <c r="J177" s="3">
        <f t="shared" si="113"/>
        <v>2.6917137275653254E-2</v>
      </c>
      <c r="K177" s="3">
        <f t="shared" si="113"/>
        <v>2.6917127015236495E-2</v>
      </c>
      <c r="L177" s="3">
        <f t="shared" si="113"/>
        <v>2.691702441128398E-2</v>
      </c>
      <c r="M177" s="3">
        <f t="shared" si="113"/>
        <v>2.6915998393269702E-2</v>
      </c>
      <c r="N177" s="3">
        <f t="shared" si="113"/>
        <v>2.6905740363906687E-2</v>
      </c>
      <c r="O177" s="3">
        <f t="shared" si="113"/>
        <v>2.6803374845223642E-2</v>
      </c>
      <c r="P177" s="3">
        <f t="shared" si="113"/>
        <v>2.5800897301327265E-2</v>
      </c>
      <c r="Q177" s="3">
        <f t="shared" si="113"/>
        <v>1.7623335568189173E-2</v>
      </c>
      <c r="R177" s="3">
        <f t="shared" si="113"/>
        <v>3.896019460883884E-4</v>
      </c>
      <c r="S177" s="3">
        <f t="shared" si="113"/>
        <v>1.086303516428758E-20</v>
      </c>
      <c r="T177" s="3">
        <f t="shared" si="113"/>
        <v>3.084976525511375E-186</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3.0984948547383363E-2</v>
      </c>
      <c r="C178" s="3">
        <f t="shared" si="114"/>
        <v>3.0984948547383352E-2</v>
      </c>
      <c r="D178" s="3">
        <f t="shared" si="114"/>
        <v>3.0984948547383245E-2</v>
      </c>
      <c r="E178" s="3">
        <f t="shared" si="114"/>
        <v>3.098494854738218E-2</v>
      </c>
      <c r="F178" s="3">
        <f t="shared" si="114"/>
        <v>3.0984948547371525E-2</v>
      </c>
      <c r="G178" s="3">
        <f t="shared" si="114"/>
        <v>3.0984948547264978E-2</v>
      </c>
      <c r="H178" s="3">
        <f t="shared" si="114"/>
        <v>3.0984948546199528E-2</v>
      </c>
      <c r="I178" s="3">
        <f t="shared" si="114"/>
        <v>3.0984948535545013E-2</v>
      </c>
      <c r="J178" s="3">
        <f t="shared" si="114"/>
        <v>3.0984948428999889E-2</v>
      </c>
      <c r="K178" s="3">
        <f t="shared" si="114"/>
        <v>3.0984947363548659E-2</v>
      </c>
      <c r="L178" s="3">
        <f t="shared" si="114"/>
        <v>3.0984936709038353E-2</v>
      </c>
      <c r="M178" s="3">
        <f t="shared" si="114"/>
        <v>3.0984830164136778E-2</v>
      </c>
      <c r="N178" s="3">
        <f t="shared" si="114"/>
        <v>3.0983764735270976E-2</v>
      </c>
      <c r="O178" s="3">
        <f t="shared" si="114"/>
        <v>3.0973112461346805E-2</v>
      </c>
      <c r="P178" s="3">
        <f t="shared" si="114"/>
        <v>3.0866790939396288E-2</v>
      </c>
      <c r="Q178" s="3">
        <f t="shared" si="114"/>
        <v>2.9823443780823515E-2</v>
      </c>
      <c r="R178" s="3">
        <f t="shared" si="114"/>
        <v>2.1145643012592429E-2</v>
      </c>
      <c r="S178" s="3">
        <f t="shared" si="114"/>
        <v>6.7897212774083854E-4</v>
      </c>
      <c r="T178" s="3">
        <f t="shared" si="114"/>
        <v>7.9097444400451661E-19</v>
      </c>
      <c r="U178" s="3">
        <f t="shared" si="114"/>
        <v>3.6413925977212817E-168</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2.3928257549635897E-2</v>
      </c>
      <c r="C179" s="3">
        <f t="shared" si="115"/>
        <v>2.3928257549635897E-2</v>
      </c>
      <c r="D179" s="3">
        <f t="shared" si="115"/>
        <v>2.392825754963589E-2</v>
      </c>
      <c r="E179" s="3">
        <f t="shared" si="115"/>
        <v>2.3928257549635814E-2</v>
      </c>
      <c r="F179" s="3">
        <f t="shared" si="115"/>
        <v>2.3928257549635075E-2</v>
      </c>
      <c r="G179" s="3">
        <f t="shared" si="115"/>
        <v>2.392825754962765E-2</v>
      </c>
      <c r="H179" s="3">
        <f t="shared" si="115"/>
        <v>2.3928257549553425E-2</v>
      </c>
      <c r="I179" s="3">
        <f t="shared" si="115"/>
        <v>2.3928257548811196E-2</v>
      </c>
      <c r="J179" s="3">
        <f t="shared" si="115"/>
        <v>2.3928257541388859E-2</v>
      </c>
      <c r="K179" s="3">
        <f t="shared" si="115"/>
        <v>2.3928257467165523E-2</v>
      </c>
      <c r="L179" s="3">
        <f t="shared" si="115"/>
        <v>2.3928256724932179E-2</v>
      </c>
      <c r="M179" s="3">
        <f t="shared" si="115"/>
        <v>2.3928249302599961E-2</v>
      </c>
      <c r="N179" s="3">
        <f t="shared" si="115"/>
        <v>2.3928175079404441E-2</v>
      </c>
      <c r="O179" s="3">
        <f t="shared" si="115"/>
        <v>2.3927432860111963E-2</v>
      </c>
      <c r="P179" s="3">
        <f t="shared" si="115"/>
        <v>2.3920011933313903E-2</v>
      </c>
      <c r="Q179" s="3">
        <f t="shared" si="115"/>
        <v>2.3845929132812149E-2</v>
      </c>
      <c r="R179" s="3">
        <f t="shared" si="115"/>
        <v>2.311760392448298E-2</v>
      </c>
      <c r="S179" s="3">
        <f t="shared" si="115"/>
        <v>1.6952295566974317E-2</v>
      </c>
      <c r="T179" s="3">
        <f t="shared" si="115"/>
        <v>7.6222903332215863E-4</v>
      </c>
      <c r="U179" s="3">
        <f t="shared" si="115"/>
        <v>2.5742765439397738E-17</v>
      </c>
      <c r="V179" s="3">
        <f t="shared" si="115"/>
        <v>4.9699534909160857E-152</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3.7994873493170121E-2</v>
      </c>
      <c r="C180" s="3">
        <f t="shared" si="116"/>
        <v>3.7994873493170121E-2</v>
      </c>
      <c r="D180" s="3">
        <f t="shared" si="116"/>
        <v>3.7994873493170121E-2</v>
      </c>
      <c r="E180" s="3">
        <f t="shared" si="116"/>
        <v>3.7994873493170107E-2</v>
      </c>
      <c r="F180" s="3">
        <f t="shared" si="116"/>
        <v>3.7994873493170003E-2</v>
      </c>
      <c r="G180" s="3">
        <f t="shared" si="116"/>
        <v>3.7994873493168942E-2</v>
      </c>
      <c r="H180" s="3">
        <f t="shared" si="116"/>
        <v>3.7994873493158311E-2</v>
      </c>
      <c r="I180" s="3">
        <f t="shared" si="116"/>
        <v>3.7994873493051994E-2</v>
      </c>
      <c r="J180" s="3">
        <f t="shared" si="116"/>
        <v>3.7994873491988823E-2</v>
      </c>
      <c r="K180" s="3">
        <f t="shared" si="116"/>
        <v>3.7994873481357168E-2</v>
      </c>
      <c r="L180" s="3">
        <f t="shared" si="116"/>
        <v>3.7994873375040587E-2</v>
      </c>
      <c r="M180" s="3">
        <f t="shared" si="116"/>
        <v>3.7994872311874824E-2</v>
      </c>
      <c r="N180" s="3">
        <f t="shared" si="116"/>
        <v>3.7994861680218824E-2</v>
      </c>
      <c r="O180" s="3">
        <f t="shared" si="116"/>
        <v>3.7994755363822394E-2</v>
      </c>
      <c r="P180" s="3">
        <f t="shared" si="116"/>
        <v>3.7993692216220051E-2</v>
      </c>
      <c r="Q180" s="3">
        <f t="shared" si="116"/>
        <v>3.7983062376220789E-2</v>
      </c>
      <c r="R180" s="3">
        <f t="shared" si="116"/>
        <v>3.7876927409387355E-2</v>
      </c>
      <c r="S180" s="3">
        <f t="shared" si="116"/>
        <v>3.6831753109152134E-2</v>
      </c>
      <c r="T180" s="3">
        <f t="shared" si="116"/>
        <v>2.7841900844477137E-2</v>
      </c>
      <c r="U180" s="3">
        <f t="shared" si="116"/>
        <v>1.6961482124908615E-3</v>
      </c>
      <c r="V180" s="3">
        <f t="shared" si="116"/>
        <v>1.1942987139733328E-15</v>
      </c>
      <c r="W180" s="3">
        <f t="shared" si="116"/>
        <v>3.5777057672204671E-137</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3.3319642680735451E-2</v>
      </c>
      <c r="C181" s="3">
        <f t="shared" si="117"/>
        <v>3.3319642680735451E-2</v>
      </c>
      <c r="D181" s="3">
        <f t="shared" si="117"/>
        <v>3.3319642680735451E-2</v>
      </c>
      <c r="E181" s="3">
        <f t="shared" si="117"/>
        <v>3.3319642680735451E-2</v>
      </c>
      <c r="F181" s="3">
        <f t="shared" si="117"/>
        <v>3.3319642680735437E-2</v>
      </c>
      <c r="G181" s="3">
        <f t="shared" si="117"/>
        <v>3.331964268073536E-2</v>
      </c>
      <c r="H181" s="3">
        <f t="shared" si="117"/>
        <v>3.3319642680734514E-2</v>
      </c>
      <c r="I181" s="3">
        <f t="shared" si="117"/>
        <v>3.3319642680726104E-2</v>
      </c>
      <c r="J181" s="3">
        <f t="shared" si="117"/>
        <v>3.3319642680641998E-2</v>
      </c>
      <c r="K181" s="3">
        <f t="shared" si="117"/>
        <v>3.3319642679800948E-2</v>
      </c>
      <c r="L181" s="3">
        <f t="shared" si="117"/>
        <v>3.3319642671390426E-2</v>
      </c>
      <c r="M181" s="3">
        <f t="shared" si="117"/>
        <v>3.331964258728521E-2</v>
      </c>
      <c r="N181" s="3">
        <f t="shared" si="117"/>
        <v>3.33196417462331E-2</v>
      </c>
      <c r="O181" s="3">
        <f t="shared" si="117"/>
        <v>3.3319633335713118E-2</v>
      </c>
      <c r="P181" s="3">
        <f t="shared" si="117"/>
        <v>3.3319549230630054E-2</v>
      </c>
      <c r="Q181" s="3">
        <f t="shared" si="117"/>
        <v>3.3318708191475678E-2</v>
      </c>
      <c r="R181" s="3">
        <f t="shared" si="117"/>
        <v>3.3310298967448672E-2</v>
      </c>
      <c r="S181" s="3">
        <f t="shared" si="117"/>
        <v>3.3226323369885513E-2</v>
      </c>
      <c r="T181" s="3">
        <f t="shared" si="117"/>
        <v>3.239812345794834E-2</v>
      </c>
      <c r="U181" s="3">
        <f t="shared" si="117"/>
        <v>2.5170714386437556E-2</v>
      </c>
      <c r="V181" s="3">
        <f t="shared" si="117"/>
        <v>2.0167515464739362E-3</v>
      </c>
      <c r="W181" s="3">
        <f t="shared" si="117"/>
        <v>2.1989784224060984E-14</v>
      </c>
      <c r="X181" s="3">
        <f t="shared" si="117"/>
        <v>5.2228392583174459E-124</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4.1691387602332118E-2</v>
      </c>
      <c r="C182" s="3">
        <f t="shared" si="118"/>
        <v>4.1691387602332118E-2</v>
      </c>
      <c r="D182" s="3">
        <f t="shared" si="118"/>
        <v>4.1691387602332118E-2</v>
      </c>
      <c r="E182" s="3">
        <f t="shared" si="118"/>
        <v>4.1691387602332118E-2</v>
      </c>
      <c r="F182" s="3">
        <f t="shared" si="118"/>
        <v>4.1691387602332118E-2</v>
      </c>
      <c r="G182" s="3">
        <f t="shared" si="118"/>
        <v>4.1691387602332111E-2</v>
      </c>
      <c r="H182" s="3">
        <f t="shared" si="118"/>
        <v>4.1691387602332014E-2</v>
      </c>
      <c r="I182" s="3">
        <f t="shared" si="118"/>
        <v>4.1691387602331063E-2</v>
      </c>
      <c r="J182" s="3">
        <f t="shared" si="118"/>
        <v>4.1691387602321571E-2</v>
      </c>
      <c r="K182" s="3">
        <f t="shared" si="118"/>
        <v>4.1691387602226633E-2</v>
      </c>
      <c r="L182" s="3">
        <f t="shared" si="118"/>
        <v>4.1691387601277316E-2</v>
      </c>
      <c r="M182" s="3">
        <f t="shared" si="118"/>
        <v>4.1691387591784049E-2</v>
      </c>
      <c r="N182" s="3">
        <f t="shared" si="118"/>
        <v>4.1691387496851418E-2</v>
      </c>
      <c r="O182" s="3">
        <f t="shared" si="118"/>
        <v>4.1691386547525119E-2</v>
      </c>
      <c r="P182" s="3">
        <f t="shared" si="118"/>
        <v>4.169137705426329E-2</v>
      </c>
      <c r="Q182" s="3">
        <f t="shared" si="118"/>
        <v>4.1691282121763922E-2</v>
      </c>
      <c r="R182" s="3">
        <f t="shared" si="118"/>
        <v>4.1690332808659178E-2</v>
      </c>
      <c r="S182" s="3">
        <f t="shared" si="118"/>
        <v>4.1680840866406076E-2</v>
      </c>
      <c r="T182" s="3">
        <f t="shared" si="118"/>
        <v>4.1586040223212661E-2</v>
      </c>
      <c r="U182" s="3">
        <f t="shared" si="118"/>
        <v>4.0649812259812214E-2</v>
      </c>
      <c r="V182" s="3">
        <f t="shared" si="118"/>
        <v>3.2371907650826023E-2</v>
      </c>
      <c r="W182" s="3">
        <f t="shared" si="118"/>
        <v>3.3209763213935825E-3</v>
      </c>
      <c r="X182" s="3">
        <f t="shared" si="118"/>
        <v>4.2878604443085928E-13</v>
      </c>
      <c r="Y182" s="3">
        <f t="shared" si="118"/>
        <v>5.5206380178999639E-112</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4.6685392649651804E-2</v>
      </c>
      <c r="C183" s="3">
        <f t="shared" si="119"/>
        <v>4.6685392649651804E-2</v>
      </c>
      <c r="D183" s="3">
        <f t="shared" si="119"/>
        <v>4.6685392649651804E-2</v>
      </c>
      <c r="E183" s="3">
        <f t="shared" si="119"/>
        <v>4.6685392649651804E-2</v>
      </c>
      <c r="F183" s="3">
        <f t="shared" si="119"/>
        <v>4.6685392649651804E-2</v>
      </c>
      <c r="G183" s="3">
        <f t="shared" si="119"/>
        <v>4.6685392649651804E-2</v>
      </c>
      <c r="H183" s="3">
        <f t="shared" si="119"/>
        <v>4.6685392649651797E-2</v>
      </c>
      <c r="I183" s="3">
        <f t="shared" si="119"/>
        <v>4.6685392649651693E-2</v>
      </c>
      <c r="J183" s="3">
        <f t="shared" si="119"/>
        <v>4.6685392649650735E-2</v>
      </c>
      <c r="K183" s="3">
        <f t="shared" si="119"/>
        <v>4.6685392649641146E-2</v>
      </c>
      <c r="L183" s="3">
        <f t="shared" si="119"/>
        <v>4.6685392649545257E-2</v>
      </c>
      <c r="M183" s="3">
        <f t="shared" si="119"/>
        <v>4.6685392648586302E-2</v>
      </c>
      <c r="N183" s="3">
        <f t="shared" si="119"/>
        <v>4.6685392638996778E-2</v>
      </c>
      <c r="O183" s="3">
        <f t="shared" si="119"/>
        <v>4.6685392543101605E-2</v>
      </c>
      <c r="P183" s="3">
        <f t="shared" si="119"/>
        <v>4.6685391584149818E-2</v>
      </c>
      <c r="Q183" s="3">
        <f t="shared" si="119"/>
        <v>4.6685381994633082E-2</v>
      </c>
      <c r="R183" s="3">
        <f t="shared" si="119"/>
        <v>4.6685286099573987E-2</v>
      </c>
      <c r="S183" s="3">
        <f t="shared" si="119"/>
        <v>4.6684327159816623E-2</v>
      </c>
      <c r="T183" s="3">
        <f t="shared" si="119"/>
        <v>4.6674738845517545E-2</v>
      </c>
      <c r="U183" s="3">
        <f t="shared" si="119"/>
        <v>4.6578963947700544E-2</v>
      </c>
      <c r="V183" s="3">
        <f t="shared" si="119"/>
        <v>4.5631957669888604E-2</v>
      </c>
      <c r="W183" s="3">
        <f t="shared" si="119"/>
        <v>3.7158815986135206E-2</v>
      </c>
      <c r="X183" s="3">
        <f t="shared" si="119"/>
        <v>4.7641950246415515E-3</v>
      </c>
      <c r="Y183" s="3">
        <f t="shared" si="119"/>
        <v>5.7182899131766323E-12</v>
      </c>
      <c r="Z183" s="3">
        <f t="shared" si="119"/>
        <v>3.5483998945283884E-101</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5.4975929481542167E-2</v>
      </c>
      <c r="C184" s="3">
        <f t="shared" si="120"/>
        <v>5.4975929481542167E-2</v>
      </c>
      <c r="D184" s="3">
        <f t="shared" si="120"/>
        <v>5.4975929481542167E-2</v>
      </c>
      <c r="E184" s="3">
        <f t="shared" si="120"/>
        <v>5.4975929481542167E-2</v>
      </c>
      <c r="F184" s="3">
        <f t="shared" si="120"/>
        <v>5.4975929481542167E-2</v>
      </c>
      <c r="G184" s="3">
        <f t="shared" si="120"/>
        <v>5.4975929481542167E-2</v>
      </c>
      <c r="H184" s="3">
        <f t="shared" si="120"/>
        <v>5.4975929481542167E-2</v>
      </c>
      <c r="I184" s="3">
        <f t="shared" si="120"/>
        <v>5.4975929481542153E-2</v>
      </c>
      <c r="J184" s="3">
        <f t="shared" si="120"/>
        <v>5.4975929481542049E-2</v>
      </c>
      <c r="K184" s="3">
        <f t="shared" si="120"/>
        <v>5.4975929481541036E-2</v>
      </c>
      <c r="L184" s="3">
        <f t="shared" si="120"/>
        <v>5.497592948153085E-2</v>
      </c>
      <c r="M184" s="3">
        <f t="shared" si="120"/>
        <v>5.497592948142898E-2</v>
      </c>
      <c r="N184" s="3">
        <f t="shared" si="120"/>
        <v>5.4975929480410309E-2</v>
      </c>
      <c r="O184" s="3">
        <f t="shared" si="120"/>
        <v>5.4975929470223575E-2</v>
      </c>
      <c r="P184" s="3">
        <f t="shared" si="120"/>
        <v>5.4975929368356248E-2</v>
      </c>
      <c r="Q184" s="3">
        <f t="shared" si="120"/>
        <v>5.4975928349682929E-2</v>
      </c>
      <c r="R184" s="3">
        <f t="shared" si="120"/>
        <v>5.4975918162950881E-2</v>
      </c>
      <c r="S184" s="3">
        <f t="shared" si="120"/>
        <v>5.4975816295734135E-2</v>
      </c>
      <c r="T184" s="3">
        <f t="shared" si="120"/>
        <v>5.4974797633948122E-2</v>
      </c>
      <c r="U184" s="3">
        <f t="shared" si="120"/>
        <v>5.4964612054158639E-2</v>
      </c>
      <c r="V184" s="3">
        <f t="shared" si="120"/>
        <v>5.4862859992189802E-2</v>
      </c>
      <c r="W184" s="3">
        <f t="shared" si="120"/>
        <v>5.3855642195983981E-2</v>
      </c>
      <c r="X184" s="3">
        <f t="shared" si="120"/>
        <v>4.4746478543868491E-2</v>
      </c>
      <c r="Y184" s="3">
        <f t="shared" si="120"/>
        <v>7.0151248140402356E-3</v>
      </c>
      <c r="Z184" s="3">
        <f t="shared" si="120"/>
        <v>6.2921750735326112E-11</v>
      </c>
      <c r="AA184" s="3">
        <f t="shared" si="120"/>
        <v>2.120580447165152E-91</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6.9092387087620902E-2</v>
      </c>
      <c r="C185" s="3">
        <f t="shared" si="121"/>
        <v>6.9092387087620902E-2</v>
      </c>
      <c r="D185" s="3">
        <f t="shared" si="121"/>
        <v>6.9092387087620902E-2</v>
      </c>
      <c r="E185" s="3">
        <f t="shared" si="121"/>
        <v>6.9092387087620902E-2</v>
      </c>
      <c r="F185" s="3">
        <f t="shared" si="121"/>
        <v>6.9092387087620902E-2</v>
      </c>
      <c r="G185" s="3">
        <f t="shared" si="121"/>
        <v>6.9092387087620902E-2</v>
      </c>
      <c r="H185" s="3">
        <f t="shared" si="121"/>
        <v>6.9092387087620902E-2</v>
      </c>
      <c r="I185" s="3">
        <f t="shared" si="121"/>
        <v>6.9092387087620902E-2</v>
      </c>
      <c r="J185" s="3">
        <f t="shared" si="121"/>
        <v>6.9092387087620888E-2</v>
      </c>
      <c r="K185" s="3">
        <f t="shared" si="121"/>
        <v>6.9092387087620777E-2</v>
      </c>
      <c r="L185" s="3">
        <f t="shared" si="121"/>
        <v>6.9092387087619625E-2</v>
      </c>
      <c r="M185" s="3">
        <f t="shared" si="121"/>
        <v>6.9092387087608065E-2</v>
      </c>
      <c r="N185" s="3">
        <f t="shared" si="121"/>
        <v>6.9092387087492588E-2</v>
      </c>
      <c r="O185" s="3">
        <f t="shared" si="121"/>
        <v>6.9092387086337692E-2</v>
      </c>
      <c r="P185" s="3">
        <f t="shared" si="121"/>
        <v>6.9092387074788833E-2</v>
      </c>
      <c r="Q185" s="3">
        <f t="shared" si="121"/>
        <v>6.9092386959300228E-2</v>
      </c>
      <c r="R185" s="3">
        <f t="shared" si="121"/>
        <v>6.909238580441418E-2</v>
      </c>
      <c r="S185" s="3">
        <f t="shared" si="121"/>
        <v>6.9092374255554742E-2</v>
      </c>
      <c r="T185" s="3">
        <f t="shared" si="121"/>
        <v>6.9092258767066567E-2</v>
      </c>
      <c r="U185" s="3">
        <f t="shared" si="121"/>
        <v>6.9091103892801958E-2</v>
      </c>
      <c r="V185" s="3">
        <f t="shared" si="121"/>
        <v>6.9079556211804768E-2</v>
      </c>
      <c r="W185" s="3">
        <f t="shared" si="121"/>
        <v>6.8964185501097161E-2</v>
      </c>
      <c r="X185" s="3">
        <f t="shared" si="121"/>
        <v>6.7821022994788233E-2</v>
      </c>
      <c r="Y185" s="3">
        <f t="shared" si="121"/>
        <v>5.7381458857868634E-2</v>
      </c>
      <c r="Z185" s="3">
        <f t="shared" si="121"/>
        <v>1.0785594233971928E-2</v>
      </c>
      <c r="AA185" s="3">
        <f t="shared" si="121"/>
        <v>5.9370266571776913E-10</v>
      </c>
      <c r="AB185" s="3">
        <f t="shared" si="121"/>
        <v>1.516415489124683E-82</v>
      </c>
      <c r="AC185" s="3">
        <f t="shared" si="121"/>
        <v>0</v>
      </c>
      <c r="AD185" s="3">
        <f t="shared" si="121"/>
        <v>0</v>
      </c>
      <c r="AE185" s="3">
        <f t="shared" si="121"/>
        <v>0</v>
      </c>
      <c r="AF185" s="3">
        <f t="shared" si="121"/>
        <v>0</v>
      </c>
      <c r="AG185" s="3"/>
      <c r="AH185" s="3"/>
    </row>
    <row r="186" spans="2:34" x14ac:dyDescent="0.25">
      <c r="B186" s="3">
        <f t="shared" ref="B186:AF186" si="122">$C33*EXP(-B$168/$A33/EXP(-$C$126))</f>
        <v>5.879988531550847E-2</v>
      </c>
      <c r="C186" s="3">
        <f t="shared" si="122"/>
        <v>5.879988531550847E-2</v>
      </c>
      <c r="D186" s="3">
        <f t="shared" si="122"/>
        <v>5.879988531550847E-2</v>
      </c>
      <c r="E186" s="3">
        <f t="shared" si="122"/>
        <v>5.879988531550847E-2</v>
      </c>
      <c r="F186" s="3">
        <f t="shared" si="122"/>
        <v>5.879988531550847E-2</v>
      </c>
      <c r="G186" s="3">
        <f t="shared" si="122"/>
        <v>5.879988531550847E-2</v>
      </c>
      <c r="H186" s="3">
        <f t="shared" si="122"/>
        <v>5.879988531550847E-2</v>
      </c>
      <c r="I186" s="3">
        <f t="shared" si="122"/>
        <v>5.879988531550847E-2</v>
      </c>
      <c r="J186" s="3">
        <f t="shared" si="122"/>
        <v>5.879988531550847E-2</v>
      </c>
      <c r="K186" s="3">
        <f t="shared" si="122"/>
        <v>5.8799885315508456E-2</v>
      </c>
      <c r="L186" s="3">
        <f t="shared" si="122"/>
        <v>5.8799885315508373E-2</v>
      </c>
      <c r="M186" s="3">
        <f t="shared" si="122"/>
        <v>5.8799885315507484E-2</v>
      </c>
      <c r="N186" s="3">
        <f t="shared" si="122"/>
        <v>5.8799885315498616E-2</v>
      </c>
      <c r="O186" s="3">
        <f t="shared" si="122"/>
        <v>5.8799885315409958E-2</v>
      </c>
      <c r="P186" s="3">
        <f t="shared" si="122"/>
        <v>5.8799885314523348E-2</v>
      </c>
      <c r="Q186" s="3">
        <f t="shared" si="122"/>
        <v>5.879988530565726E-2</v>
      </c>
      <c r="R186" s="3">
        <f t="shared" si="122"/>
        <v>5.8799885216996389E-2</v>
      </c>
      <c r="S186" s="3">
        <f t="shared" si="122"/>
        <v>5.8799884330387651E-2</v>
      </c>
      <c r="T186" s="3">
        <f t="shared" si="122"/>
        <v>5.8799875464300981E-2</v>
      </c>
      <c r="U186" s="3">
        <f t="shared" si="122"/>
        <v>5.8799786803507843E-2</v>
      </c>
      <c r="V186" s="3">
        <f t="shared" si="122"/>
        <v>5.8798900202929161E-2</v>
      </c>
      <c r="W186" s="3">
        <f t="shared" si="122"/>
        <v>5.8790034932372531E-2</v>
      </c>
      <c r="X186" s="3">
        <f t="shared" si="122"/>
        <v>5.8701455708820204E-2</v>
      </c>
      <c r="Y186" s="3">
        <f t="shared" si="122"/>
        <v>5.7822970843814034E-2</v>
      </c>
      <c r="Z186" s="3">
        <f t="shared" si="122"/>
        <v>4.9729684146420865E-2</v>
      </c>
      <c r="AA186" s="3">
        <f t="shared" si="122"/>
        <v>1.1009527926258689E-2</v>
      </c>
      <c r="AB186" s="3">
        <f t="shared" si="122"/>
        <v>3.1138569902591671E-9</v>
      </c>
      <c r="AC186" s="3">
        <f t="shared" si="122"/>
        <v>1.0199956457441663E-74</v>
      </c>
      <c r="AD186" s="3">
        <f t="shared" si="122"/>
        <v>0</v>
      </c>
      <c r="AE186" s="3">
        <f t="shared" si="122"/>
        <v>0</v>
      </c>
      <c r="AF186" s="3">
        <f t="shared" si="122"/>
        <v>0</v>
      </c>
      <c r="AG186" s="3"/>
      <c r="AH186" s="3"/>
    </row>
    <row r="187" spans="2:34" x14ac:dyDescent="0.25">
      <c r="B187" s="3">
        <f t="shared" ref="B187:AF187" si="123">$C34*EXP(-B$168/$A34/EXP(-$C$126))</f>
        <v>4.7913743582903463E-2</v>
      </c>
      <c r="C187" s="3">
        <f t="shared" si="123"/>
        <v>4.7913743582903463E-2</v>
      </c>
      <c r="D187" s="3">
        <f t="shared" si="123"/>
        <v>4.7913743582903463E-2</v>
      </c>
      <c r="E187" s="3">
        <f t="shared" si="123"/>
        <v>4.7913743582903463E-2</v>
      </c>
      <c r="F187" s="3">
        <f t="shared" si="123"/>
        <v>4.7913743582903463E-2</v>
      </c>
      <c r="G187" s="3">
        <f t="shared" si="123"/>
        <v>4.7913743582903463E-2</v>
      </c>
      <c r="H187" s="3">
        <f t="shared" si="123"/>
        <v>4.7913743582903463E-2</v>
      </c>
      <c r="I187" s="3">
        <f t="shared" si="123"/>
        <v>4.7913743582903463E-2</v>
      </c>
      <c r="J187" s="3">
        <f t="shared" si="123"/>
        <v>4.7913743582903463E-2</v>
      </c>
      <c r="K187" s="3">
        <f t="shared" si="123"/>
        <v>4.7913743582903463E-2</v>
      </c>
      <c r="L187" s="3">
        <f t="shared" si="123"/>
        <v>4.7913743582903456E-2</v>
      </c>
      <c r="M187" s="3">
        <f t="shared" si="123"/>
        <v>4.7913743582903387E-2</v>
      </c>
      <c r="N187" s="3">
        <f t="shared" si="123"/>
        <v>4.7913743582902742E-2</v>
      </c>
      <c r="O187" s="3">
        <f t="shared" si="123"/>
        <v>4.7913743582896226E-2</v>
      </c>
      <c r="P187" s="3">
        <f t="shared" si="123"/>
        <v>4.7913743582831049E-2</v>
      </c>
      <c r="Q187" s="3">
        <f t="shared" si="123"/>
        <v>4.7913743582179327E-2</v>
      </c>
      <c r="R187" s="3">
        <f t="shared" si="123"/>
        <v>4.791374357566211E-2</v>
      </c>
      <c r="S187" s="3">
        <f t="shared" si="123"/>
        <v>4.7913743510489937E-2</v>
      </c>
      <c r="T187" s="3">
        <f t="shared" si="123"/>
        <v>4.791374285876817E-2</v>
      </c>
      <c r="U187" s="3">
        <f t="shared" si="123"/>
        <v>4.7913736341551008E-2</v>
      </c>
      <c r="V187" s="3">
        <f t="shared" si="123"/>
        <v>4.791367116942815E-2</v>
      </c>
      <c r="W187" s="3">
        <f t="shared" si="123"/>
        <v>4.7913019453075155E-2</v>
      </c>
      <c r="X187" s="3">
        <f t="shared" si="123"/>
        <v>4.7906502777076782E-2</v>
      </c>
      <c r="Y187" s="3">
        <f t="shared" si="123"/>
        <v>4.7841384745724296E-2</v>
      </c>
      <c r="Z187" s="3">
        <f t="shared" si="123"/>
        <v>4.7195052860482076E-2</v>
      </c>
      <c r="AA187" s="3">
        <f t="shared" si="123"/>
        <v>4.1193038649114673E-2</v>
      </c>
      <c r="AB187" s="3">
        <f t="shared" si="123"/>
        <v>1.0570544386838382E-2</v>
      </c>
      <c r="AC187" s="3">
        <f t="shared" si="123"/>
        <v>1.3086774010656148E-8</v>
      </c>
      <c r="AD187" s="3">
        <f t="shared" si="123"/>
        <v>1.1070955096887403E-67</v>
      </c>
      <c r="AE187" s="3">
        <f t="shared" si="123"/>
        <v>0</v>
      </c>
      <c r="AF187" s="3">
        <f t="shared" si="123"/>
        <v>0</v>
      </c>
      <c r="AG187" s="3"/>
      <c r="AH187" s="3"/>
    </row>
    <row r="188" spans="2:34" x14ac:dyDescent="0.25">
      <c r="B188" s="3">
        <f t="shared" ref="B188:AF188" si="124">$C35*EXP(-B$168/$A35/EXP(-$C$126))</f>
        <v>2.5827932303493749E-2</v>
      </c>
      <c r="C188" s="3">
        <f t="shared" si="124"/>
        <v>2.5827932303493749E-2</v>
      </c>
      <c r="D188" s="3">
        <f t="shared" si="124"/>
        <v>2.5827932303493749E-2</v>
      </c>
      <c r="E188" s="3">
        <f t="shared" si="124"/>
        <v>2.5827932303493749E-2</v>
      </c>
      <c r="F188" s="3">
        <f t="shared" si="124"/>
        <v>2.5827932303493749E-2</v>
      </c>
      <c r="G188" s="3">
        <f t="shared" si="124"/>
        <v>2.5827932303493749E-2</v>
      </c>
      <c r="H188" s="3">
        <f t="shared" si="124"/>
        <v>2.5827932303493749E-2</v>
      </c>
      <c r="I188" s="3">
        <f t="shared" si="124"/>
        <v>2.5827932303493749E-2</v>
      </c>
      <c r="J188" s="3">
        <f t="shared" si="124"/>
        <v>2.5827932303493749E-2</v>
      </c>
      <c r="K188" s="3">
        <f t="shared" si="124"/>
        <v>2.5827932303493749E-2</v>
      </c>
      <c r="L188" s="3">
        <f t="shared" si="124"/>
        <v>2.5827932303493749E-2</v>
      </c>
      <c r="M188" s="3">
        <f t="shared" si="124"/>
        <v>2.5827932303493745E-2</v>
      </c>
      <c r="N188" s="3">
        <f t="shared" si="124"/>
        <v>2.5827932303493714E-2</v>
      </c>
      <c r="O188" s="3">
        <f t="shared" si="124"/>
        <v>2.5827932303493395E-2</v>
      </c>
      <c r="P188" s="3">
        <f t="shared" si="124"/>
        <v>2.5827932303490227E-2</v>
      </c>
      <c r="Q188" s="3">
        <f t="shared" si="124"/>
        <v>2.5827932303458537E-2</v>
      </c>
      <c r="R188" s="3">
        <f t="shared" si="124"/>
        <v>2.5827932303141624E-2</v>
      </c>
      <c r="S188" s="3">
        <f t="shared" si="124"/>
        <v>2.5827932299972507E-2</v>
      </c>
      <c r="T188" s="3">
        <f t="shared" si="124"/>
        <v>2.5827932268281333E-2</v>
      </c>
      <c r="U188" s="3">
        <f t="shared" si="124"/>
        <v>2.5827931951369575E-2</v>
      </c>
      <c r="V188" s="3">
        <f t="shared" si="124"/>
        <v>2.5827928782252218E-2</v>
      </c>
      <c r="W188" s="3">
        <f t="shared" si="124"/>
        <v>2.5827897091100043E-2</v>
      </c>
      <c r="X188" s="3">
        <f t="shared" si="124"/>
        <v>2.5827580181716957E-2</v>
      </c>
      <c r="Y188" s="3">
        <f t="shared" si="124"/>
        <v>2.5824411301745304E-2</v>
      </c>
      <c r="Z188" s="3">
        <f t="shared" si="124"/>
        <v>2.5792743878238589E-2</v>
      </c>
      <c r="AA188" s="3">
        <f t="shared" si="124"/>
        <v>2.5478197591249533E-2</v>
      </c>
      <c r="AB188" s="3">
        <f t="shared" si="124"/>
        <v>2.2536177726064914E-2</v>
      </c>
      <c r="AC188" s="3">
        <f t="shared" si="124"/>
        <v>6.6068711130598829E-3</v>
      </c>
      <c r="AD188" s="3">
        <f t="shared" si="124"/>
        <v>3.0985006519051332E-8</v>
      </c>
      <c r="AE188" s="3">
        <f t="shared" si="124"/>
        <v>1.594810784357053E-61</v>
      </c>
      <c r="AF188" s="3">
        <f t="shared" si="124"/>
        <v>0</v>
      </c>
      <c r="AG188" s="3"/>
      <c r="AH188" s="3"/>
    </row>
    <row r="189" spans="2:34" x14ac:dyDescent="0.25">
      <c r="B189" s="3">
        <f t="shared" ref="B189:AF189" si="125">$C36*EXP(-B$168/$A36/EXP(-$C$126))</f>
        <v>1.4720074447505073E-2</v>
      </c>
      <c r="C189" s="3">
        <f t="shared" si="125"/>
        <v>1.4720074447505073E-2</v>
      </c>
      <c r="D189" s="3">
        <f t="shared" si="125"/>
        <v>1.4720074447505073E-2</v>
      </c>
      <c r="E189" s="3">
        <f t="shared" si="125"/>
        <v>1.4720074447505073E-2</v>
      </c>
      <c r="F189" s="3">
        <f t="shared" si="125"/>
        <v>1.4720074447505073E-2</v>
      </c>
      <c r="G189" s="3">
        <f t="shared" si="125"/>
        <v>1.4720074447505073E-2</v>
      </c>
      <c r="H189" s="3">
        <f t="shared" si="125"/>
        <v>1.4720074447505073E-2</v>
      </c>
      <c r="I189" s="3">
        <f t="shared" si="125"/>
        <v>1.4720074447505073E-2</v>
      </c>
      <c r="J189" s="3">
        <f t="shared" si="125"/>
        <v>1.4720074447505073E-2</v>
      </c>
      <c r="K189" s="3">
        <f t="shared" si="125"/>
        <v>1.4720074447505073E-2</v>
      </c>
      <c r="L189" s="3">
        <f t="shared" si="125"/>
        <v>1.4720074447505073E-2</v>
      </c>
      <c r="M189" s="3">
        <f t="shared" si="125"/>
        <v>1.4720074447505073E-2</v>
      </c>
      <c r="N189" s="3">
        <f t="shared" si="125"/>
        <v>1.4720074447505071E-2</v>
      </c>
      <c r="O189" s="3">
        <f t="shared" si="125"/>
        <v>1.4720074447505055E-2</v>
      </c>
      <c r="P189" s="3">
        <f t="shared" si="125"/>
        <v>1.472007444750489E-2</v>
      </c>
      <c r="Q189" s="3">
        <f t="shared" si="125"/>
        <v>1.4720074447503262E-2</v>
      </c>
      <c r="R189" s="3">
        <f t="shared" si="125"/>
        <v>1.4720074447486969E-2</v>
      </c>
      <c r="S189" s="3">
        <f t="shared" si="125"/>
        <v>1.4720074447324039E-2</v>
      </c>
      <c r="T189" s="3">
        <f t="shared" si="125"/>
        <v>1.4720074445694722E-2</v>
      </c>
      <c r="U189" s="3">
        <f t="shared" si="125"/>
        <v>1.4720074429401561E-2</v>
      </c>
      <c r="V189" s="3">
        <f t="shared" si="125"/>
        <v>1.4720074266469967E-2</v>
      </c>
      <c r="W189" s="3">
        <f t="shared" si="125"/>
        <v>1.4720072637154113E-2</v>
      </c>
      <c r="X189" s="3">
        <f t="shared" si="125"/>
        <v>1.4720056344005503E-2</v>
      </c>
      <c r="Y189" s="3">
        <f t="shared" si="125"/>
        <v>1.4719893413511287E-2</v>
      </c>
      <c r="Z189" s="3">
        <f t="shared" si="125"/>
        <v>1.4718264207753576E-2</v>
      </c>
      <c r="AA189" s="3">
        <f t="shared" si="125"/>
        <v>1.4701982064559659E-2</v>
      </c>
      <c r="AB189" s="3">
        <f t="shared" si="125"/>
        <v>1.4540148022591281E-2</v>
      </c>
      <c r="AC189" s="3">
        <f t="shared" si="125"/>
        <v>1.3016619791895478E-2</v>
      </c>
      <c r="AD189" s="3">
        <f t="shared" si="125"/>
        <v>4.3032060030503355E-3</v>
      </c>
      <c r="AE189" s="3">
        <f t="shared" si="125"/>
        <v>6.7101358532388677E-8</v>
      </c>
      <c r="AF189" s="3">
        <f t="shared" si="125"/>
        <v>5.7032586977699014E-56</v>
      </c>
      <c r="AG189" s="3"/>
      <c r="AH189" s="3"/>
    </row>
    <row r="190" spans="2:34" x14ac:dyDescent="0.25">
      <c r="B190" s="3">
        <f t="shared" ref="B190:AF190" si="126">$C37*EXP(-B$168/$A37/EXP(-$C$126))</f>
        <v>5.9239967047518835E-3</v>
      </c>
      <c r="C190" s="3">
        <f t="shared" si="126"/>
        <v>5.9239967047518835E-3</v>
      </c>
      <c r="D190" s="3">
        <f t="shared" si="126"/>
        <v>5.9239967047518835E-3</v>
      </c>
      <c r="E190" s="3">
        <f t="shared" si="126"/>
        <v>5.9239967047518835E-3</v>
      </c>
      <c r="F190" s="3">
        <f t="shared" si="126"/>
        <v>5.9239967047518835E-3</v>
      </c>
      <c r="G190" s="3">
        <f t="shared" si="126"/>
        <v>5.9239967047518835E-3</v>
      </c>
      <c r="H190" s="3">
        <f t="shared" si="126"/>
        <v>5.9239967047518835E-3</v>
      </c>
      <c r="I190" s="3">
        <f t="shared" si="126"/>
        <v>5.9239967047518835E-3</v>
      </c>
      <c r="J190" s="3">
        <f t="shared" si="126"/>
        <v>5.9239967047518835E-3</v>
      </c>
      <c r="K190" s="3">
        <f t="shared" si="126"/>
        <v>5.9239967047518835E-3</v>
      </c>
      <c r="L190" s="3">
        <f t="shared" si="126"/>
        <v>5.9239967047518835E-3</v>
      </c>
      <c r="M190" s="3">
        <f t="shared" si="126"/>
        <v>5.9239967047518835E-3</v>
      </c>
      <c r="N190" s="3">
        <f t="shared" si="126"/>
        <v>5.9239967047518835E-3</v>
      </c>
      <c r="O190" s="3">
        <f t="shared" si="126"/>
        <v>5.9239967047518827E-3</v>
      </c>
      <c r="P190" s="3">
        <f t="shared" si="126"/>
        <v>5.9239967047518766E-3</v>
      </c>
      <c r="Q190" s="3">
        <f t="shared" si="126"/>
        <v>5.9239967047518176E-3</v>
      </c>
      <c r="R190" s="3">
        <f t="shared" si="126"/>
        <v>5.9239967047512261E-3</v>
      </c>
      <c r="S190" s="3">
        <f t="shared" si="126"/>
        <v>5.9239967047453115E-3</v>
      </c>
      <c r="T190" s="3">
        <f t="shared" si="126"/>
        <v>5.9239967046861609E-3</v>
      </c>
      <c r="U190" s="3">
        <f t="shared" si="126"/>
        <v>5.9239967040946584E-3</v>
      </c>
      <c r="V190" s="3">
        <f t="shared" si="126"/>
        <v>5.9239966981796321E-3</v>
      </c>
      <c r="W190" s="3">
        <f t="shared" si="126"/>
        <v>5.9239966390293658E-3</v>
      </c>
      <c r="X190" s="3">
        <f t="shared" si="126"/>
        <v>5.9239960475267368E-3</v>
      </c>
      <c r="Y190" s="3">
        <f t="shared" si="126"/>
        <v>5.923990132503703E-3</v>
      </c>
      <c r="Z190" s="3">
        <f t="shared" si="126"/>
        <v>5.9239309825981886E-3</v>
      </c>
      <c r="AA190" s="3">
        <f t="shared" si="126"/>
        <v>5.9233395160250965E-3</v>
      </c>
      <c r="AB190" s="3">
        <f t="shared" si="126"/>
        <v>5.9174280972997392E-3</v>
      </c>
      <c r="AC190" s="3">
        <f t="shared" si="126"/>
        <v>5.8586374142262764E-3</v>
      </c>
      <c r="AD190" s="3">
        <f t="shared" si="126"/>
        <v>5.3019171016836274E-3</v>
      </c>
      <c r="AE190" s="3">
        <f t="shared" si="126"/>
        <v>1.9534219155807218E-3</v>
      </c>
      <c r="AF190" s="3">
        <f t="shared" si="126"/>
        <v>9.0038299360529464E-8</v>
      </c>
      <c r="AG190" s="3"/>
      <c r="AH190" s="3"/>
    </row>
    <row r="191" spans="2:34" x14ac:dyDescent="0.25">
      <c r="B191" s="3">
        <f t="shared" ref="B191:AF191" si="127">$C38*EXP(-B$168/$A38/EXP(-$C$126))</f>
        <v>1.8347081790420509E-3</v>
      </c>
      <c r="C191" s="3">
        <f t="shared" si="127"/>
        <v>1.8347081790420509E-3</v>
      </c>
      <c r="D191" s="3">
        <f t="shared" si="127"/>
        <v>1.8347081790420509E-3</v>
      </c>
      <c r="E191" s="3">
        <f t="shared" si="127"/>
        <v>1.8347081790420509E-3</v>
      </c>
      <c r="F191" s="3">
        <f t="shared" si="127"/>
        <v>1.8347081790420509E-3</v>
      </c>
      <c r="G191" s="3">
        <f t="shared" si="127"/>
        <v>1.8347081790420509E-3</v>
      </c>
      <c r="H191" s="3">
        <f t="shared" si="127"/>
        <v>1.8347081790420509E-3</v>
      </c>
      <c r="I191" s="3">
        <f t="shared" si="127"/>
        <v>1.8347081790420509E-3</v>
      </c>
      <c r="J191" s="3">
        <f t="shared" si="127"/>
        <v>1.8347081790420509E-3</v>
      </c>
      <c r="K191" s="3">
        <f t="shared" si="127"/>
        <v>1.8347081790420509E-3</v>
      </c>
      <c r="L191" s="3">
        <f t="shared" si="127"/>
        <v>1.8347081790420509E-3</v>
      </c>
      <c r="M191" s="3">
        <f t="shared" si="127"/>
        <v>1.8347081790420509E-3</v>
      </c>
      <c r="N191" s="3">
        <f t="shared" si="127"/>
        <v>1.8347081790420509E-3</v>
      </c>
      <c r="O191" s="3">
        <f t="shared" si="127"/>
        <v>1.8347081790420509E-3</v>
      </c>
      <c r="P191" s="3">
        <f t="shared" si="127"/>
        <v>1.8347081790420507E-3</v>
      </c>
      <c r="Q191" s="3">
        <f t="shared" si="127"/>
        <v>1.8347081790420492E-3</v>
      </c>
      <c r="R191" s="3">
        <f t="shared" si="127"/>
        <v>1.8347081790420325E-3</v>
      </c>
      <c r="S191" s="3">
        <f t="shared" si="127"/>
        <v>1.8347081790418675E-3</v>
      </c>
      <c r="T191" s="3">
        <f t="shared" si="127"/>
        <v>1.8347081790402149E-3</v>
      </c>
      <c r="U191" s="3">
        <f t="shared" si="127"/>
        <v>1.8347081790236891E-3</v>
      </c>
      <c r="V191" s="3">
        <f t="shared" si="127"/>
        <v>1.8347081788584339E-3</v>
      </c>
      <c r="W191" s="3">
        <f t="shared" si="127"/>
        <v>1.8347081772058804E-3</v>
      </c>
      <c r="X191" s="3">
        <f t="shared" si="127"/>
        <v>1.8347081606803473E-3</v>
      </c>
      <c r="Y191" s="3">
        <f t="shared" si="127"/>
        <v>1.8347079954250229E-3</v>
      </c>
      <c r="Z191" s="3">
        <f t="shared" si="127"/>
        <v>1.8347063428725977E-3</v>
      </c>
      <c r="AA191" s="3">
        <f t="shared" si="127"/>
        <v>1.8346898174302108E-3</v>
      </c>
      <c r="AB191" s="3">
        <f t="shared" si="127"/>
        <v>1.8345245711926992E-3</v>
      </c>
      <c r="AC191" s="3">
        <f t="shared" si="127"/>
        <v>1.8328729271803385E-3</v>
      </c>
      <c r="AD191" s="3">
        <f t="shared" si="127"/>
        <v>1.8164380512561903E-3</v>
      </c>
      <c r="AE191" s="3">
        <f t="shared" si="127"/>
        <v>1.6599803121432469E-3</v>
      </c>
      <c r="AF191" s="3">
        <f t="shared" si="127"/>
        <v>6.7441372312994938E-4</v>
      </c>
      <c r="AG191" s="3"/>
      <c r="AH191" s="3"/>
    </row>
    <row r="192" spans="2:34" x14ac:dyDescent="0.25">
      <c r="B192" s="3">
        <f t="shared" ref="B192:AF192" si="128">$C39*EXP(-B$168/$A39/EXP(-$C$126))</f>
        <v>3.8370171737972247E-3</v>
      </c>
      <c r="C192" s="3">
        <f t="shared" si="128"/>
        <v>3.8370171737972247E-3</v>
      </c>
      <c r="D192" s="3">
        <f t="shared" si="128"/>
        <v>3.8370171737972247E-3</v>
      </c>
      <c r="E192" s="3">
        <f t="shared" si="128"/>
        <v>3.8370171737972247E-3</v>
      </c>
      <c r="F192" s="3">
        <f t="shared" si="128"/>
        <v>3.8370171737972247E-3</v>
      </c>
      <c r="G192" s="3">
        <f t="shared" si="128"/>
        <v>3.8370171737972247E-3</v>
      </c>
      <c r="H192" s="3">
        <f t="shared" si="128"/>
        <v>3.8370171737972247E-3</v>
      </c>
      <c r="I192" s="3">
        <f t="shared" si="128"/>
        <v>3.8370171737972247E-3</v>
      </c>
      <c r="J192" s="3">
        <f t="shared" si="128"/>
        <v>3.8370171737972247E-3</v>
      </c>
      <c r="K192" s="3">
        <f t="shared" si="128"/>
        <v>3.8370171737972247E-3</v>
      </c>
      <c r="L192" s="3">
        <f t="shared" si="128"/>
        <v>3.8370171737972247E-3</v>
      </c>
      <c r="M192" s="3">
        <f t="shared" si="128"/>
        <v>3.8370171737972247E-3</v>
      </c>
      <c r="N192" s="3">
        <f t="shared" si="128"/>
        <v>3.8370171737972247E-3</v>
      </c>
      <c r="O192" s="3">
        <f t="shared" si="128"/>
        <v>3.8370171737972247E-3</v>
      </c>
      <c r="P192" s="3">
        <f t="shared" si="128"/>
        <v>3.8370171737972247E-3</v>
      </c>
      <c r="Q192" s="3">
        <f t="shared" si="128"/>
        <v>3.8370171737972239E-3</v>
      </c>
      <c r="R192" s="3">
        <f t="shared" si="128"/>
        <v>3.8370171737972139E-3</v>
      </c>
      <c r="S192" s="3">
        <f t="shared" si="128"/>
        <v>3.8370171737971185E-3</v>
      </c>
      <c r="T192" s="3">
        <f t="shared" si="128"/>
        <v>3.8370171737961626E-3</v>
      </c>
      <c r="U192" s="3">
        <f t="shared" si="128"/>
        <v>3.8370171737866039E-3</v>
      </c>
      <c r="V192" s="3">
        <f t="shared" si="128"/>
        <v>3.837017173691018E-3</v>
      </c>
      <c r="W192" s="3">
        <f t="shared" si="128"/>
        <v>3.8370171727351563E-3</v>
      </c>
      <c r="X192" s="3">
        <f t="shared" si="128"/>
        <v>3.8370171631765381E-3</v>
      </c>
      <c r="Y192" s="3">
        <f t="shared" si="128"/>
        <v>3.8370170675903629E-3</v>
      </c>
      <c r="Z192" s="3">
        <f t="shared" si="128"/>
        <v>3.8370161117287373E-3</v>
      </c>
      <c r="AA192" s="3">
        <f t="shared" si="128"/>
        <v>3.8370065531255788E-3</v>
      </c>
      <c r="AB192" s="3">
        <f t="shared" si="128"/>
        <v>3.8369109684036401E-3</v>
      </c>
      <c r="AC192" s="3">
        <f t="shared" si="128"/>
        <v>3.8359552521370142E-3</v>
      </c>
      <c r="AD192" s="3">
        <f t="shared" si="128"/>
        <v>3.8264111726844614E-3</v>
      </c>
      <c r="AE192" s="3">
        <f t="shared" si="128"/>
        <v>3.7322667202916893E-3</v>
      </c>
      <c r="AF192" s="3">
        <f t="shared" si="128"/>
        <v>2.9092633507345092E-3</v>
      </c>
      <c r="AG192" s="3"/>
      <c r="AH192" s="3"/>
    </row>
    <row r="193" spans="1:34" x14ac:dyDescent="0.25">
      <c r="B193" s="3">
        <f t="shared" ref="B193:AF193" si="129">$C40*EXP(-B$168/$A40/EXP(-$C$126))</f>
        <v>0</v>
      </c>
      <c r="C193" s="3">
        <f t="shared" si="129"/>
        <v>0</v>
      </c>
      <c r="D193" s="3">
        <f t="shared" si="129"/>
        <v>0</v>
      </c>
      <c r="E193" s="3">
        <f t="shared" si="129"/>
        <v>0</v>
      </c>
      <c r="F193" s="3">
        <f t="shared" si="129"/>
        <v>0</v>
      </c>
      <c r="G193" s="3">
        <f t="shared" si="129"/>
        <v>0</v>
      </c>
      <c r="H193" s="3">
        <f t="shared" si="129"/>
        <v>0</v>
      </c>
      <c r="I193" s="3">
        <f t="shared" si="129"/>
        <v>0</v>
      </c>
      <c r="J193" s="3">
        <f t="shared" si="129"/>
        <v>0</v>
      </c>
      <c r="K193" s="3">
        <f t="shared" si="129"/>
        <v>0</v>
      </c>
      <c r="L193" s="3">
        <f t="shared" si="129"/>
        <v>0</v>
      </c>
      <c r="M193" s="3">
        <f t="shared" si="129"/>
        <v>0</v>
      </c>
      <c r="N193" s="3">
        <f t="shared" si="129"/>
        <v>0</v>
      </c>
      <c r="O193" s="3">
        <f t="shared" si="129"/>
        <v>0</v>
      </c>
      <c r="P193" s="3">
        <f t="shared" si="129"/>
        <v>0</v>
      </c>
      <c r="Q193" s="3">
        <f t="shared" si="129"/>
        <v>0</v>
      </c>
      <c r="R193" s="3">
        <f t="shared" si="129"/>
        <v>0</v>
      </c>
      <c r="S193" s="3">
        <f t="shared" si="129"/>
        <v>0</v>
      </c>
      <c r="T193" s="3">
        <f t="shared" si="129"/>
        <v>0</v>
      </c>
      <c r="U193" s="3">
        <f t="shared" si="129"/>
        <v>0</v>
      </c>
      <c r="V193" s="3">
        <f t="shared" si="129"/>
        <v>0</v>
      </c>
      <c r="W193" s="3">
        <f t="shared" si="129"/>
        <v>0</v>
      </c>
      <c r="X193" s="3">
        <f t="shared" si="129"/>
        <v>0</v>
      </c>
      <c r="Y193" s="3">
        <f t="shared" si="129"/>
        <v>0</v>
      </c>
      <c r="Z193" s="3">
        <f t="shared" si="129"/>
        <v>0</v>
      </c>
      <c r="AA193" s="3">
        <f t="shared" si="129"/>
        <v>0</v>
      </c>
      <c r="AB193" s="3">
        <f t="shared" si="129"/>
        <v>0</v>
      </c>
      <c r="AC193" s="3">
        <f t="shared" si="129"/>
        <v>0</v>
      </c>
      <c r="AD193" s="3">
        <f t="shared" si="129"/>
        <v>0</v>
      </c>
      <c r="AE193" s="3">
        <f t="shared" si="129"/>
        <v>0</v>
      </c>
      <c r="AF193" s="3">
        <f t="shared" si="129"/>
        <v>0</v>
      </c>
      <c r="AG193" s="3"/>
      <c r="AH193" s="3"/>
    </row>
    <row r="194" spans="1:34" x14ac:dyDescent="0.25">
      <c r="B194" s="3">
        <f t="shared" ref="B194:AF194" si="130">$C41*EXP(-B$168/$A41/EXP(-$C$126))</f>
        <v>1.7399495856337129E-3</v>
      </c>
      <c r="C194" s="3">
        <f t="shared" si="130"/>
        <v>1.7399495856337129E-3</v>
      </c>
      <c r="D194" s="3">
        <f t="shared" si="130"/>
        <v>1.7399495856337129E-3</v>
      </c>
      <c r="E194" s="3">
        <f t="shared" si="130"/>
        <v>1.7399495856337129E-3</v>
      </c>
      <c r="F194" s="3">
        <f t="shared" si="130"/>
        <v>1.7399495856337129E-3</v>
      </c>
      <c r="G194" s="3">
        <f t="shared" si="130"/>
        <v>1.7399495856337129E-3</v>
      </c>
      <c r="H194" s="3">
        <f t="shared" si="130"/>
        <v>1.7399495856337129E-3</v>
      </c>
      <c r="I194" s="3">
        <f t="shared" si="130"/>
        <v>1.7399495856337129E-3</v>
      </c>
      <c r="J194" s="3">
        <f t="shared" si="130"/>
        <v>1.7399495856337129E-3</v>
      </c>
      <c r="K194" s="3">
        <f t="shared" si="130"/>
        <v>1.7399495856337129E-3</v>
      </c>
      <c r="L194" s="3">
        <f t="shared" si="130"/>
        <v>1.7399495856337129E-3</v>
      </c>
      <c r="M194" s="3">
        <f t="shared" si="130"/>
        <v>1.7399495856337129E-3</v>
      </c>
      <c r="N194" s="3">
        <f t="shared" si="130"/>
        <v>1.7399495856337129E-3</v>
      </c>
      <c r="O194" s="3">
        <f t="shared" si="130"/>
        <v>1.7399495856337129E-3</v>
      </c>
      <c r="P194" s="3">
        <f t="shared" si="130"/>
        <v>1.7399495856337129E-3</v>
      </c>
      <c r="Q194" s="3">
        <f t="shared" si="130"/>
        <v>1.7399495856337129E-3</v>
      </c>
      <c r="R194" s="3">
        <f t="shared" si="130"/>
        <v>1.7399495856337129E-3</v>
      </c>
      <c r="S194" s="3">
        <f t="shared" si="130"/>
        <v>1.7399495856337125E-3</v>
      </c>
      <c r="T194" s="3">
        <f t="shared" si="130"/>
        <v>1.7399495856337082E-3</v>
      </c>
      <c r="U194" s="3">
        <f t="shared" si="130"/>
        <v>1.7399495856336648E-3</v>
      </c>
      <c r="V194" s="3">
        <f t="shared" si="130"/>
        <v>1.7399495856332313E-3</v>
      </c>
      <c r="W194" s="3">
        <f t="shared" si="130"/>
        <v>1.7399495856288967E-3</v>
      </c>
      <c r="X194" s="3">
        <f t="shared" si="130"/>
        <v>1.739949585585552E-3</v>
      </c>
      <c r="Y194" s="3">
        <f t="shared" si="130"/>
        <v>1.739949585152103E-3</v>
      </c>
      <c r="Z194" s="3">
        <f t="shared" si="130"/>
        <v>1.7399495808176127E-3</v>
      </c>
      <c r="AA194" s="3">
        <f t="shared" si="130"/>
        <v>1.7399495374727126E-3</v>
      </c>
      <c r="AB194" s="3">
        <f t="shared" si="130"/>
        <v>1.7399491040237692E-3</v>
      </c>
      <c r="AC194" s="3">
        <f t="shared" si="130"/>
        <v>1.7399447695402755E-3</v>
      </c>
      <c r="AD194" s="3">
        <f t="shared" si="130"/>
        <v>1.7399014252992163E-3</v>
      </c>
      <c r="AE194" s="3">
        <f t="shared" si="130"/>
        <v>1.7394680422709997E-3</v>
      </c>
      <c r="AF194" s="3">
        <f t="shared" si="130"/>
        <v>1.7351401447567203E-3</v>
      </c>
      <c r="AG194" s="3"/>
      <c r="AH194" s="3"/>
    </row>
    <row r="195" spans="1:34" x14ac:dyDescent="0.25">
      <c r="B195" s="3">
        <f t="shared" ref="B195:AF195" si="131">$C42*EXP(-B$168/$A42/EXP(-$C$126))</f>
        <v>3.0775072994127634E-3</v>
      </c>
      <c r="C195" s="3">
        <f t="shared" si="131"/>
        <v>3.0775072994127634E-3</v>
      </c>
      <c r="D195" s="3">
        <f t="shared" si="131"/>
        <v>3.0775072994127634E-3</v>
      </c>
      <c r="E195" s="3">
        <f t="shared" si="131"/>
        <v>3.0775072994127634E-3</v>
      </c>
      <c r="F195" s="3">
        <f t="shared" si="131"/>
        <v>3.0775072994127634E-3</v>
      </c>
      <c r="G195" s="3">
        <f t="shared" si="131"/>
        <v>3.0775072994127634E-3</v>
      </c>
      <c r="H195" s="3">
        <f t="shared" si="131"/>
        <v>3.0775072994127634E-3</v>
      </c>
      <c r="I195" s="3">
        <f t="shared" si="131"/>
        <v>3.0775072994127634E-3</v>
      </c>
      <c r="J195" s="3">
        <f t="shared" si="131"/>
        <v>3.0775072994127634E-3</v>
      </c>
      <c r="K195" s="3">
        <f t="shared" si="131"/>
        <v>3.0775072994127634E-3</v>
      </c>
      <c r="L195" s="3">
        <f t="shared" si="131"/>
        <v>3.0775072994127634E-3</v>
      </c>
      <c r="M195" s="3">
        <f t="shared" si="131"/>
        <v>3.0775072994127634E-3</v>
      </c>
      <c r="N195" s="3">
        <f t="shared" si="131"/>
        <v>3.0775072994127634E-3</v>
      </c>
      <c r="O195" s="3">
        <f t="shared" si="131"/>
        <v>3.0775072994127634E-3</v>
      </c>
      <c r="P195" s="3">
        <f t="shared" si="131"/>
        <v>3.0775072994127634E-3</v>
      </c>
      <c r="Q195" s="3">
        <f t="shared" si="131"/>
        <v>3.0775072994127634E-3</v>
      </c>
      <c r="R195" s="3">
        <f t="shared" si="131"/>
        <v>3.0775072994127634E-3</v>
      </c>
      <c r="S195" s="3">
        <f t="shared" si="131"/>
        <v>3.0775072994127634E-3</v>
      </c>
      <c r="T195" s="3">
        <f t="shared" si="131"/>
        <v>3.0775072994127625E-3</v>
      </c>
      <c r="U195" s="3">
        <f t="shared" si="131"/>
        <v>3.0775072994127547E-3</v>
      </c>
      <c r="V195" s="3">
        <f t="shared" si="131"/>
        <v>3.0775072994126784E-3</v>
      </c>
      <c r="W195" s="3">
        <f t="shared" si="131"/>
        <v>3.0775072994119117E-3</v>
      </c>
      <c r="X195" s="3">
        <f t="shared" si="131"/>
        <v>3.077507299404245E-3</v>
      </c>
      <c r="Y195" s="3">
        <f t="shared" si="131"/>
        <v>3.0775072993275794E-3</v>
      </c>
      <c r="Z195" s="3">
        <f t="shared" si="131"/>
        <v>3.0775072985609235E-3</v>
      </c>
      <c r="AA195" s="3">
        <f t="shared" si="131"/>
        <v>3.0775072908943652E-3</v>
      </c>
      <c r="AB195" s="3">
        <f t="shared" si="131"/>
        <v>3.0775072142287837E-3</v>
      </c>
      <c r="AC195" s="3">
        <f t="shared" si="131"/>
        <v>3.0775064475730726E-3</v>
      </c>
      <c r="AD195" s="3">
        <f t="shared" si="131"/>
        <v>3.0774987810264663E-3</v>
      </c>
      <c r="AE195" s="3">
        <f t="shared" si="131"/>
        <v>3.0774221166108137E-3</v>
      </c>
      <c r="AF195" s="3">
        <f t="shared" si="131"/>
        <v>3.0766555774858926E-3</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0</v>
      </c>
      <c r="C197" s="3">
        <f t="shared" si="133"/>
        <v>0</v>
      </c>
      <c r="D197" s="3">
        <f t="shared" si="133"/>
        <v>0</v>
      </c>
      <c r="E197" s="3">
        <f t="shared" si="133"/>
        <v>0</v>
      </c>
      <c r="F197" s="3">
        <f t="shared" si="133"/>
        <v>0</v>
      </c>
      <c r="G197" s="3">
        <f t="shared" si="133"/>
        <v>0</v>
      </c>
      <c r="H197" s="3">
        <f t="shared" si="133"/>
        <v>0</v>
      </c>
      <c r="I197" s="3">
        <f t="shared" si="133"/>
        <v>0</v>
      </c>
      <c r="J197" s="3">
        <f t="shared" si="133"/>
        <v>0</v>
      </c>
      <c r="K197" s="3">
        <f t="shared" si="133"/>
        <v>0</v>
      </c>
      <c r="L197" s="3">
        <f t="shared" si="133"/>
        <v>0</v>
      </c>
      <c r="M197" s="3">
        <f t="shared" si="133"/>
        <v>0</v>
      </c>
      <c r="N197" s="3">
        <f t="shared" si="133"/>
        <v>0</v>
      </c>
      <c r="O197" s="3">
        <f t="shared" si="133"/>
        <v>0</v>
      </c>
      <c r="P197" s="3">
        <f t="shared" si="133"/>
        <v>0</v>
      </c>
      <c r="Q197" s="3">
        <f t="shared" si="133"/>
        <v>0</v>
      </c>
      <c r="R197" s="3">
        <f t="shared" si="133"/>
        <v>0</v>
      </c>
      <c r="S197" s="3">
        <f t="shared" si="133"/>
        <v>0</v>
      </c>
      <c r="T197" s="3">
        <f t="shared" si="133"/>
        <v>0</v>
      </c>
      <c r="U197" s="3">
        <f t="shared" si="133"/>
        <v>0</v>
      </c>
      <c r="V197" s="3">
        <f t="shared" si="133"/>
        <v>0</v>
      </c>
      <c r="W197" s="3">
        <f t="shared" si="133"/>
        <v>0</v>
      </c>
      <c r="X197" s="3">
        <f t="shared" si="133"/>
        <v>0</v>
      </c>
      <c r="Y197" s="3">
        <f t="shared" si="133"/>
        <v>0</v>
      </c>
      <c r="Z197" s="3">
        <f t="shared" si="133"/>
        <v>0</v>
      </c>
      <c r="AA197" s="3">
        <f t="shared" si="133"/>
        <v>0</v>
      </c>
      <c r="AB197" s="3">
        <f t="shared" si="133"/>
        <v>0</v>
      </c>
      <c r="AC197" s="3">
        <f t="shared" si="133"/>
        <v>0</v>
      </c>
      <c r="AD197" s="3">
        <f t="shared" si="133"/>
        <v>0</v>
      </c>
      <c r="AE197" s="3">
        <f t="shared" si="133"/>
        <v>0</v>
      </c>
      <c r="AF197" s="3">
        <f t="shared" si="133"/>
        <v>0</v>
      </c>
      <c r="AG197" s="3"/>
      <c r="AH197" s="3"/>
    </row>
    <row r="198" spans="1:34" x14ac:dyDescent="0.25">
      <c r="B198" s="3">
        <f t="shared" ref="B198:AF198" si="134">$C45*EXP(-B$168/$A45/EXP(-$C$126))</f>
        <v>3.9641523668516518E-5</v>
      </c>
      <c r="C198" s="3">
        <f t="shared" si="134"/>
        <v>3.9641523668516518E-5</v>
      </c>
      <c r="D198" s="3">
        <f t="shared" si="134"/>
        <v>3.9641523668516518E-5</v>
      </c>
      <c r="E198" s="3">
        <f t="shared" si="134"/>
        <v>3.9641523668516518E-5</v>
      </c>
      <c r="F198" s="3">
        <f t="shared" si="134"/>
        <v>3.9641523668516518E-5</v>
      </c>
      <c r="G198" s="3">
        <f t="shared" si="134"/>
        <v>3.9641523668516518E-5</v>
      </c>
      <c r="H198" s="3">
        <f t="shared" si="134"/>
        <v>3.9641523668516518E-5</v>
      </c>
      <c r="I198" s="3">
        <f t="shared" si="134"/>
        <v>3.9641523668516518E-5</v>
      </c>
      <c r="J198" s="3">
        <f t="shared" si="134"/>
        <v>3.9641523668516518E-5</v>
      </c>
      <c r="K198" s="3">
        <f t="shared" si="134"/>
        <v>3.9641523668516518E-5</v>
      </c>
      <c r="L198" s="3">
        <f t="shared" si="134"/>
        <v>3.9641523668516518E-5</v>
      </c>
      <c r="M198" s="3">
        <f t="shared" si="134"/>
        <v>3.9641523668516518E-5</v>
      </c>
      <c r="N198" s="3">
        <f t="shared" si="134"/>
        <v>3.9641523668516518E-5</v>
      </c>
      <c r="O198" s="3">
        <f t="shared" si="134"/>
        <v>3.9641523668516518E-5</v>
      </c>
      <c r="P198" s="3">
        <f t="shared" si="134"/>
        <v>3.9641523668516518E-5</v>
      </c>
      <c r="Q198" s="3">
        <f t="shared" si="134"/>
        <v>3.9641523668516518E-5</v>
      </c>
      <c r="R198" s="3">
        <f t="shared" si="134"/>
        <v>3.9641523668516518E-5</v>
      </c>
      <c r="S198" s="3">
        <f t="shared" si="134"/>
        <v>3.9641523668516518E-5</v>
      </c>
      <c r="T198" s="3">
        <f t="shared" si="134"/>
        <v>3.9641523668516518E-5</v>
      </c>
      <c r="U198" s="3">
        <f t="shared" si="134"/>
        <v>3.9641523668516518E-5</v>
      </c>
      <c r="V198" s="3">
        <f t="shared" si="134"/>
        <v>3.9641523668516518E-5</v>
      </c>
      <c r="W198" s="3">
        <f t="shared" si="134"/>
        <v>3.9641523668516511E-5</v>
      </c>
      <c r="X198" s="3">
        <f t="shared" si="134"/>
        <v>3.9641523668516409E-5</v>
      </c>
      <c r="Y198" s="3">
        <f t="shared" si="134"/>
        <v>3.964152366851542E-5</v>
      </c>
      <c r="Z198" s="3">
        <f t="shared" si="134"/>
        <v>3.9641523668505547E-5</v>
      </c>
      <c r="AA198" s="3">
        <f t="shared" si="134"/>
        <v>3.964152366840679E-5</v>
      </c>
      <c r="AB198" s="3">
        <f t="shared" si="134"/>
        <v>3.9641523667419258E-5</v>
      </c>
      <c r="AC198" s="3">
        <f t="shared" si="134"/>
        <v>3.9641523657543931E-5</v>
      </c>
      <c r="AD198" s="3">
        <f t="shared" si="134"/>
        <v>3.964152355879061E-5</v>
      </c>
      <c r="AE198" s="3">
        <f t="shared" si="134"/>
        <v>3.9641522571257468E-5</v>
      </c>
      <c r="AF198" s="3">
        <f t="shared" si="134"/>
        <v>3.9641512695927348E-5</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4.3007652150806221E-4</v>
      </c>
      <c r="C201" s="3">
        <f t="shared" si="137"/>
        <v>4.3007652150806221E-4</v>
      </c>
      <c r="D201" s="3">
        <f t="shared" si="137"/>
        <v>4.3007652150806221E-4</v>
      </c>
      <c r="E201" s="3">
        <f t="shared" si="137"/>
        <v>4.3007652150806221E-4</v>
      </c>
      <c r="F201" s="3">
        <f t="shared" si="137"/>
        <v>4.3007652150806221E-4</v>
      </c>
      <c r="G201" s="3">
        <f t="shared" si="137"/>
        <v>4.3007652150806221E-4</v>
      </c>
      <c r="H201" s="3">
        <f t="shared" si="137"/>
        <v>4.3007652150806221E-4</v>
      </c>
      <c r="I201" s="3">
        <f t="shared" si="137"/>
        <v>4.3007652150806221E-4</v>
      </c>
      <c r="J201" s="3">
        <f t="shared" si="137"/>
        <v>4.3007652150806221E-4</v>
      </c>
      <c r="K201" s="3">
        <f t="shared" si="137"/>
        <v>4.3007652150806221E-4</v>
      </c>
      <c r="L201" s="3">
        <f t="shared" si="137"/>
        <v>4.3007652150806221E-4</v>
      </c>
      <c r="M201" s="3">
        <f t="shared" si="137"/>
        <v>4.3007652150806221E-4</v>
      </c>
      <c r="N201" s="3">
        <f t="shared" si="137"/>
        <v>4.3007652150806221E-4</v>
      </c>
      <c r="O201" s="3">
        <f t="shared" si="137"/>
        <v>4.3007652150806221E-4</v>
      </c>
      <c r="P201" s="3">
        <f t="shared" si="137"/>
        <v>4.3007652150806221E-4</v>
      </c>
      <c r="Q201" s="3">
        <f t="shared" si="137"/>
        <v>4.3007652150806221E-4</v>
      </c>
      <c r="R201" s="3">
        <f t="shared" si="137"/>
        <v>4.3007652150806221E-4</v>
      </c>
      <c r="S201" s="3">
        <f t="shared" si="137"/>
        <v>4.3007652150806221E-4</v>
      </c>
      <c r="T201" s="3">
        <f t="shared" si="137"/>
        <v>4.3007652150806221E-4</v>
      </c>
      <c r="U201" s="3">
        <f t="shared" si="137"/>
        <v>4.3007652150806221E-4</v>
      </c>
      <c r="V201" s="3">
        <f t="shared" si="137"/>
        <v>4.3007652150806221E-4</v>
      </c>
      <c r="W201" s="3">
        <f t="shared" si="137"/>
        <v>4.3007652150806221E-4</v>
      </c>
      <c r="X201" s="3">
        <f t="shared" si="137"/>
        <v>4.3007652150806221E-4</v>
      </c>
      <c r="Y201" s="3">
        <f t="shared" si="137"/>
        <v>4.3007652150806221E-4</v>
      </c>
      <c r="Z201" s="3">
        <f t="shared" si="137"/>
        <v>4.300765215080621E-4</v>
      </c>
      <c r="AA201" s="3">
        <f t="shared" si="137"/>
        <v>4.3007652150806101E-4</v>
      </c>
      <c r="AB201" s="3">
        <f t="shared" si="137"/>
        <v>4.3007652150805033E-4</v>
      </c>
      <c r="AC201" s="3">
        <f t="shared" si="137"/>
        <v>4.3007652150794316E-4</v>
      </c>
      <c r="AD201" s="3">
        <f t="shared" si="137"/>
        <v>4.3007652150687175E-4</v>
      </c>
      <c r="AE201" s="3">
        <f t="shared" si="137"/>
        <v>4.3007652149615788E-4</v>
      </c>
      <c r="AF201" s="3">
        <f t="shared" si="137"/>
        <v>4.3007652138901903E-4</v>
      </c>
      <c r="AG201" s="3"/>
      <c r="AH201" s="3"/>
    </row>
    <row r="202" spans="1:34" x14ac:dyDescent="0.25">
      <c r="A202" s="79">
        <f>AVERAGE(B202:AF202)</f>
        <v>3.7777881968809914E-2</v>
      </c>
      <c r="B202" s="80">
        <f>IF($A$64&lt;=B168,IF($B$64&gt;=B168,ABS((B170-B169)/B169),0),0)</f>
        <v>1.2031006656637845E-2</v>
      </c>
      <c r="C202" s="80">
        <f t="shared" ref="C202:AF202" si="138">IF($A$64&lt;=C168,IF($B$64&gt;=C168,ABS((C170-C169)/C169),0),0)</f>
        <v>4.8612803169744923E-2</v>
      </c>
      <c r="D202" s="80">
        <f t="shared" si="138"/>
        <v>6.5045982413405215E-2</v>
      </c>
      <c r="E202" s="80">
        <f t="shared" si="138"/>
        <v>3.3755409846443096E-2</v>
      </c>
      <c r="F202" s="80">
        <f t="shared" si="138"/>
        <v>0.12358897582012643</v>
      </c>
      <c r="G202" s="80">
        <f t="shared" si="138"/>
        <v>0.11640435627498991</v>
      </c>
      <c r="H202" s="80">
        <f t="shared" si="138"/>
        <v>8.9212004473207929E-2</v>
      </c>
      <c r="I202" s="80">
        <f t="shared" si="138"/>
        <v>5.7673555272847621E-2</v>
      </c>
      <c r="J202" s="80">
        <f t="shared" si="138"/>
        <v>2.4091364035364882E-2</v>
      </c>
      <c r="K202" s="80">
        <f t="shared" si="138"/>
        <v>4.9700662261311264E-3</v>
      </c>
      <c r="L202" s="80">
        <f t="shared" si="138"/>
        <v>7.5804984090511616E-3</v>
      </c>
      <c r="M202" s="80">
        <f t="shared" si="138"/>
        <v>4.6344785329773923E-3</v>
      </c>
      <c r="N202" s="80">
        <f t="shared" si="138"/>
        <v>1.2005196588088087E-3</v>
      </c>
      <c r="O202" s="80">
        <f t="shared" si="138"/>
        <v>2.3713755811635437E-3</v>
      </c>
      <c r="P202" s="80">
        <f t="shared" si="138"/>
        <v>1.2767502840131625E-3</v>
      </c>
      <c r="Q202" s="80">
        <f t="shared" si="138"/>
        <v>2.2312415370661772E-3</v>
      </c>
      <c r="R202" s="80">
        <f t="shared" si="138"/>
        <v>9.7753751794997035E-4</v>
      </c>
      <c r="S202" s="80">
        <f t="shared" si="138"/>
        <v>2.7624146280433308E-3</v>
      </c>
      <c r="T202" s="80">
        <f t="shared" si="138"/>
        <v>6.2220481490223561E-3</v>
      </c>
      <c r="U202" s="80">
        <f t="shared" si="138"/>
        <v>1.6478317016214043E-2</v>
      </c>
      <c r="V202" s="80">
        <f t="shared" si="138"/>
        <v>3.9986192499947663E-2</v>
      </c>
      <c r="W202" s="80">
        <f t="shared" si="138"/>
        <v>5.8255512078595119E-2</v>
      </c>
      <c r="X202" s="80">
        <f t="shared" si="138"/>
        <v>7.2142214060084281E-2</v>
      </c>
      <c r="Y202" s="80">
        <f t="shared" si="138"/>
        <v>7.8007764606438032E-2</v>
      </c>
      <c r="Z202" s="80">
        <f t="shared" si="138"/>
        <v>6.314935781350256E-2</v>
      </c>
      <c r="AA202" s="80">
        <f t="shared" si="138"/>
        <v>6.4643905292494599E-2</v>
      </c>
      <c r="AB202" s="80">
        <f t="shared" si="138"/>
        <v>4.9778243759376326E-2</v>
      </c>
      <c r="AC202" s="80">
        <f t="shared" si="138"/>
        <v>5.3894492600136928E-2</v>
      </c>
      <c r="AD202" s="80">
        <f t="shared" si="138"/>
        <v>3.003545252113168E-2</v>
      </c>
      <c r="AE202" s="80">
        <f t="shared" si="138"/>
        <v>2.2169330174118176E-2</v>
      </c>
      <c r="AF202" s="80">
        <f t="shared" si="138"/>
        <v>1.793117012407304E-2</v>
      </c>
    </row>
    <row r="203" spans="1:34" x14ac:dyDescent="0.25">
      <c r="B203" s="21">
        <f>(B170-B169)^2</f>
        <v>14664.875248180673</v>
      </c>
      <c r="C203" s="21">
        <f t="shared" ref="C203:AF203" si="139">(C170-C169)^2</f>
        <v>222755.18629703324</v>
      </c>
      <c r="D203" s="21">
        <f t="shared" si="139"/>
        <v>382174.0299126422</v>
      </c>
      <c r="E203" s="21">
        <f t="shared" si="139"/>
        <v>98498.317096565035</v>
      </c>
      <c r="F203" s="21">
        <f t="shared" si="139"/>
        <v>1258486.1267051154</v>
      </c>
      <c r="G203" s="21">
        <f t="shared" si="139"/>
        <v>1057431.605056765</v>
      </c>
      <c r="H203" s="21">
        <f t="shared" si="139"/>
        <v>584558.94739520189</v>
      </c>
      <c r="I203" s="21">
        <f t="shared" si="139"/>
        <v>228202.62187830976</v>
      </c>
      <c r="J203" s="21">
        <f t="shared" si="139"/>
        <v>37086.177862319266</v>
      </c>
      <c r="K203" s="21">
        <f t="shared" si="139"/>
        <v>1473.1308941841246</v>
      </c>
      <c r="L203" s="21">
        <f t="shared" si="139"/>
        <v>3156.8766200878208</v>
      </c>
      <c r="M203" s="21">
        <f t="shared" si="139"/>
        <v>1065.8672293447294</v>
      </c>
      <c r="N203" s="21">
        <f t="shared" si="139"/>
        <v>64.013646371017174</v>
      </c>
      <c r="O203" s="21">
        <f t="shared" si="139"/>
        <v>226.12315836005973</v>
      </c>
      <c r="P203" s="21">
        <f t="shared" si="139"/>
        <v>59.821054184246513</v>
      </c>
      <c r="Q203" s="21">
        <f t="shared" si="139"/>
        <v>166.10834535405615</v>
      </c>
      <c r="R203" s="21">
        <f t="shared" si="139"/>
        <v>28.836771649561232</v>
      </c>
      <c r="S203" s="21">
        <f t="shared" si="139"/>
        <v>207.57503308347532</v>
      </c>
      <c r="T203" s="21">
        <f t="shared" si="139"/>
        <v>928.65065432862355</v>
      </c>
      <c r="U203" s="21">
        <f t="shared" si="139"/>
        <v>5488.1319760669985</v>
      </c>
      <c r="V203" s="21">
        <f t="shared" si="139"/>
        <v>26345.11036236232</v>
      </c>
      <c r="W203" s="21">
        <f t="shared" si="139"/>
        <v>43923.314370437714</v>
      </c>
      <c r="X203" s="21">
        <f t="shared" si="139"/>
        <v>50445.254743699174</v>
      </c>
      <c r="Y203" s="21">
        <f t="shared" si="139"/>
        <v>40730.937346174782</v>
      </c>
      <c r="Z203" s="21">
        <f t="shared" si="139"/>
        <v>16361.512380360118</v>
      </c>
      <c r="AA203" s="21">
        <f t="shared" si="139"/>
        <v>9257.4515045530497</v>
      </c>
      <c r="AB203" s="21">
        <f t="shared" si="139"/>
        <v>2865.0057423781409</v>
      </c>
      <c r="AC203" s="21">
        <f t="shared" si="139"/>
        <v>1857.1297643704881</v>
      </c>
      <c r="AD203" s="21">
        <f t="shared" si="139"/>
        <v>393.97297412668684</v>
      </c>
      <c r="AE203" s="21">
        <f t="shared" si="139"/>
        <v>169.44532668449105</v>
      </c>
      <c r="AF203" s="21">
        <f t="shared" si="139"/>
        <v>97.939381870102068</v>
      </c>
      <c r="AG203" s="3"/>
      <c r="AH203" s="3"/>
    </row>
    <row r="204" spans="1:34" x14ac:dyDescent="0.25">
      <c r="A204" s="71">
        <f>SUM(B204:AF204)</f>
        <v>4089170.0967321638</v>
      </c>
      <c r="B204" s="60">
        <f>IF($A$64&lt;=B168,IF($B$64&gt;=B168,ABS(B203),0),0)</f>
        <v>14664.875248180673</v>
      </c>
      <c r="C204" s="60">
        <f t="shared" ref="C204" si="140">IF($A$64&lt;=C168,IF($B$64&gt;=C168,ABS(C203),0),0)</f>
        <v>222755.18629703324</v>
      </c>
      <c r="D204" s="60">
        <f t="shared" ref="D204" si="141">IF($A$64&lt;=D168,IF($B$64&gt;=D168,ABS(D203),0),0)</f>
        <v>382174.0299126422</v>
      </c>
      <c r="E204" s="60">
        <f t="shared" ref="E204" si="142">IF($A$64&lt;=E168,IF($B$64&gt;=E168,ABS(E203),0),0)</f>
        <v>98498.317096565035</v>
      </c>
      <c r="F204" s="60">
        <f t="shared" ref="F204" si="143">IF($A$64&lt;=F168,IF($B$64&gt;=F168,ABS(F203),0),0)</f>
        <v>1258486.1267051154</v>
      </c>
      <c r="G204" s="60">
        <f t="shared" ref="G204" si="144">IF($A$64&lt;=G168,IF($B$64&gt;=G168,ABS(G203),0),0)</f>
        <v>1057431.605056765</v>
      </c>
      <c r="H204" s="60">
        <f t="shared" ref="H204" si="145">IF($A$64&lt;=H168,IF($B$64&gt;=H168,ABS(H203),0),0)</f>
        <v>584558.94739520189</v>
      </c>
      <c r="I204" s="60">
        <f t="shared" ref="I204" si="146">IF($A$64&lt;=I168,IF($B$64&gt;=I168,ABS(I203),0),0)</f>
        <v>228202.62187830976</v>
      </c>
      <c r="J204" s="60">
        <f t="shared" ref="J204" si="147">IF($A$64&lt;=J168,IF($B$64&gt;=J168,ABS(J203),0),0)</f>
        <v>37086.177862319266</v>
      </c>
      <c r="K204" s="60">
        <f t="shared" ref="K204" si="148">IF($A$64&lt;=K168,IF($B$64&gt;=K168,ABS(K203),0),0)</f>
        <v>1473.1308941841246</v>
      </c>
      <c r="L204" s="60">
        <f t="shared" ref="L204" si="149">IF($A$64&lt;=L168,IF($B$64&gt;=L168,ABS(L203),0),0)</f>
        <v>3156.8766200878208</v>
      </c>
      <c r="M204" s="60">
        <f t="shared" ref="M204" si="150">IF($A$64&lt;=M168,IF($B$64&gt;=M168,ABS(M203),0),0)</f>
        <v>1065.8672293447294</v>
      </c>
      <c r="N204" s="60">
        <f t="shared" ref="N204" si="151">IF($A$64&lt;=N168,IF($B$64&gt;=N168,ABS(N203),0),0)</f>
        <v>64.013646371017174</v>
      </c>
      <c r="O204" s="60">
        <f t="shared" ref="O204" si="152">IF($A$64&lt;=O168,IF($B$64&gt;=O168,ABS(O203),0),0)</f>
        <v>226.12315836005973</v>
      </c>
      <c r="P204" s="60">
        <f t="shared" ref="P204" si="153">IF($A$64&lt;=P168,IF($B$64&gt;=P168,ABS(P203),0),0)</f>
        <v>59.821054184246513</v>
      </c>
      <c r="Q204" s="60">
        <f t="shared" ref="Q204" si="154">IF($A$64&lt;=Q168,IF($B$64&gt;=Q168,ABS(Q203),0),0)</f>
        <v>166.10834535405615</v>
      </c>
      <c r="R204" s="60">
        <f t="shared" ref="R204" si="155">IF($A$64&lt;=R168,IF($B$64&gt;=R168,ABS(R203),0),0)</f>
        <v>28.836771649561232</v>
      </c>
      <c r="S204" s="60">
        <f t="shared" ref="S204" si="156">IF($A$64&lt;=S168,IF($B$64&gt;=S168,ABS(S203),0),0)</f>
        <v>207.57503308347532</v>
      </c>
      <c r="T204" s="60">
        <f t="shared" ref="T204" si="157">IF($A$64&lt;=T168,IF($B$64&gt;=T168,ABS(T203),0),0)</f>
        <v>928.65065432862355</v>
      </c>
      <c r="U204" s="60">
        <f t="shared" ref="U204" si="158">IF($A$64&lt;=U168,IF($B$64&gt;=U168,ABS(U203),0),0)</f>
        <v>5488.1319760669985</v>
      </c>
      <c r="V204" s="60">
        <f t="shared" ref="V204" si="159">IF($A$64&lt;=V168,IF($B$64&gt;=V168,ABS(V203),0),0)</f>
        <v>26345.11036236232</v>
      </c>
      <c r="W204" s="60">
        <f t="shared" ref="W204" si="160">IF($A$64&lt;=W168,IF($B$64&gt;=W168,ABS(W203),0),0)</f>
        <v>43923.314370437714</v>
      </c>
      <c r="X204" s="60">
        <f t="shared" ref="X204" si="161">IF($A$64&lt;=X168,IF($B$64&gt;=X168,ABS(X203),0),0)</f>
        <v>50445.254743699174</v>
      </c>
      <c r="Y204" s="60">
        <f t="shared" ref="Y204" si="162">IF($A$64&lt;=Y168,IF($B$64&gt;=Y168,ABS(Y203),0),0)</f>
        <v>40730.937346174782</v>
      </c>
      <c r="Z204" s="60">
        <f t="shared" ref="Z204" si="163">IF($A$64&lt;=Z168,IF($B$64&gt;=Z168,ABS(Z203),0),0)</f>
        <v>16361.512380360118</v>
      </c>
      <c r="AA204" s="60">
        <f t="shared" ref="AA204" si="164">IF($A$64&lt;=AA168,IF($B$64&gt;=AA168,ABS(AA203),0),0)</f>
        <v>9257.4515045530497</v>
      </c>
      <c r="AB204" s="60">
        <f t="shared" ref="AB204" si="165">IF($A$64&lt;=AB168,IF($B$64&gt;=AB168,ABS(AB203),0),0)</f>
        <v>2865.0057423781409</v>
      </c>
      <c r="AC204" s="60">
        <f t="shared" ref="AC204" si="166">IF($A$64&lt;=AC168,IF($B$64&gt;=AC168,ABS(AC203),0),0)</f>
        <v>1857.1297643704881</v>
      </c>
      <c r="AD204" s="60">
        <f t="shared" ref="AD204" si="167">IF($A$64&lt;=AD168,IF($B$64&gt;=AD168,ABS(AD203),0),0)</f>
        <v>393.97297412668684</v>
      </c>
      <c r="AE204" s="60">
        <f t="shared" ref="AE204" si="168">IF($A$64&lt;=AE168,IF($B$64&gt;=AE168,ABS(AE203),0),0)</f>
        <v>169.44532668449105</v>
      </c>
      <c r="AF204" s="60">
        <f t="shared" ref="AF204" si="169">IF($A$64&lt;=AF168,IF($B$64&gt;=AF168,ABS(AF203),0),0)</f>
        <v>97.939381870102068</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9730.0167223959397</v>
      </c>
      <c r="C208" s="26">
        <f>INDEX(Comparison!$AM$3:$AS$33,G$14,$D$122)</f>
        <v>9476.1525473419642</v>
      </c>
      <c r="D208" s="26">
        <f>INDEX(Comparison!$AM$3:$AS$33,H$14,$D$122)</f>
        <v>9264.0506360514537</v>
      </c>
      <c r="E208" s="26">
        <f>INDEX(Comparison!$AM$3:$AS$33,I$14,$D$122)</f>
        <v>9042.8661048910981</v>
      </c>
      <c r="F208" s="26">
        <f>INDEX(Comparison!$AM$3:$AS$33,J$14,$D$122)</f>
        <v>8796.5318501985184</v>
      </c>
      <c r="G208" s="26">
        <f>INDEX(Comparison!$AM$3:$AS$33,K$14,$D$122)</f>
        <v>8532.9278199977016</v>
      </c>
      <c r="H208" s="26">
        <f>INDEX(Comparison!$AM$3:$AS$33,L$14,$D$122)</f>
        <v>8242.1892422663423</v>
      </c>
      <c r="I208" s="26">
        <f>INDEX(Comparison!$AM$3:$AS$33,M$14,$D$122)</f>
        <v>7957.4855284258747</v>
      </c>
      <c r="J208" s="26">
        <f>INDEX(Comparison!$AM$3:$AS$33,N$14,$D$122)</f>
        <v>7685.4052187432317</v>
      </c>
      <c r="K208" s="26">
        <f>INDEX(Comparison!$AM$3:$AS$33,O$14,$D$122)</f>
        <v>7368.9543787655439</v>
      </c>
      <c r="L208" s="26">
        <f>INDEX(Comparison!$AM$3:$AS$33,P$14,$D$122)</f>
        <v>6998.3812744112274</v>
      </c>
      <c r="M208" s="26">
        <f>INDEX(Comparison!$AM$3:$AS$33,Q$14,$D$122)</f>
        <v>6621.5844226341051</v>
      </c>
      <c r="N208" s="26">
        <f>INDEX(Comparison!$AM$3:$AS$33,R$14,$D$122)</f>
        <v>6307.1591705971805</v>
      </c>
      <c r="O208" s="26">
        <f>INDEX(Comparison!$AM$3:$AS$33,S$14,$D$122)</f>
        <v>6022.8689849680577</v>
      </c>
      <c r="P208" s="26">
        <f>INDEX(Comparison!$AM$3:$AS$33,T$14,$D$122)</f>
        <v>5743.6712365645317</v>
      </c>
      <c r="Q208" s="26">
        <f>INDEX(Comparison!$AM$3:$AS$33,U$14,$D$122)</f>
        <v>5459.2543435964462</v>
      </c>
      <c r="R208" s="26">
        <f>INDEX(Comparison!$AM$3:$AS$33,V$14,$D$122)</f>
        <v>5186.1259100095131</v>
      </c>
      <c r="S208" s="26">
        <f>INDEX(Comparison!$AM$3:$AS$33,W$14,$D$122)</f>
        <v>4865.5108844814831</v>
      </c>
      <c r="T208" s="26">
        <f>INDEX(Comparison!$AM$3:$AS$33,X$14,$D$122)</f>
        <v>4471.3145751722259</v>
      </c>
      <c r="U208" s="26">
        <f>INDEX(Comparison!$AM$3:$AS$33,Y$14,$D$122)</f>
        <v>4031.2545236434685</v>
      </c>
      <c r="V208" s="26">
        <f>INDEX(Comparison!$AM$3:$AS$33,Z$14,$D$122)</f>
        <v>3565.3464541885878</v>
      </c>
      <c r="W208" s="26">
        <f>INDEX(Comparison!$AM$3:$AS$33,AA$14,$D$122)</f>
        <v>3072.2800042990852</v>
      </c>
      <c r="X208" s="26">
        <f>INDEX(Comparison!$AM$3:$AS$33,AB$14,$D$122)</f>
        <v>2540.7682600840731</v>
      </c>
      <c r="Y208" s="26">
        <f>INDEX(Comparison!$AM$3:$AS$33,AC$14,$D$122)</f>
        <v>1974.0579457073152</v>
      </c>
      <c r="Z208" s="26">
        <f>INDEX(Comparison!$AM$3:$AS$33,AD$14,$D$122)</f>
        <v>1447.7693345065175</v>
      </c>
      <c r="AA208" s="26">
        <f>INDEX(Comparison!$AM$3:$AS$33,AE$14,$D$122)</f>
        <v>1044.3571981147218</v>
      </c>
      <c r="AB208" s="26">
        <f>INDEX(Comparison!$AM$3:$AS$33,AF$14,$D$122)</f>
        <v>784.40987612375113</v>
      </c>
      <c r="AC208" s="26">
        <f>INDEX(Comparison!$AM$3:$AS$33,AG$14,$D$122)</f>
        <v>651.40811766035665</v>
      </c>
      <c r="AD208" s="26">
        <f>INDEX(Comparison!$AM$3:$AS$33,AH$14,$D$122)</f>
        <v>583.80121108393644</v>
      </c>
      <c r="AE208" s="26">
        <f>INDEX(Comparison!$AM$3:$AS$33,AI$14,$D$122)</f>
        <v>548.71871201984641</v>
      </c>
      <c r="AF208" s="26">
        <f>INDEX(Comparison!$AM$3:$AS$33,AJ$14,$D$122)</f>
        <v>525.29950476563715</v>
      </c>
      <c r="AG208" s="26"/>
      <c r="AH208" s="26"/>
    </row>
    <row r="209" spans="1:34" x14ac:dyDescent="0.25">
      <c r="A209" s="70" t="s">
        <v>22</v>
      </c>
      <c r="B209" s="27">
        <f>($C$17+SUM(B210:B240))*$B$51</f>
        <v>10175.389900631037</v>
      </c>
      <c r="C209" s="27">
        <f t="shared" ref="C209:AF209" si="170">($C$17+SUM(C210:C240))*$B$51</f>
        <v>10070.835236775612</v>
      </c>
      <c r="D209" s="27">
        <f t="shared" si="170"/>
        <v>9248.2132545130244</v>
      </c>
      <c r="E209" s="27">
        <f t="shared" si="170"/>
        <v>7821.5062229322839</v>
      </c>
      <c r="F209" s="27">
        <f t="shared" si="170"/>
        <v>7805.6714398702225</v>
      </c>
      <c r="G209" s="27">
        <f t="shared" si="170"/>
        <v>7805.5959316252274</v>
      </c>
      <c r="H209" s="27">
        <f t="shared" si="170"/>
        <v>7804.8413075057424</v>
      </c>
      <c r="I209" s="27">
        <f t="shared" si="170"/>
        <v>7797.340704678285</v>
      </c>
      <c r="J209" s="27">
        <f t="shared" si="170"/>
        <v>7726.7099303657851</v>
      </c>
      <c r="K209" s="27">
        <f t="shared" si="170"/>
        <v>7317.4106598382805</v>
      </c>
      <c r="L209" s="27">
        <f t="shared" si="170"/>
        <v>6925.1520074658256</v>
      </c>
      <c r="M209" s="27">
        <f t="shared" si="170"/>
        <v>6571.8035378437407</v>
      </c>
      <c r="N209" s="27">
        <f t="shared" si="170"/>
        <v>6256.5906725366958</v>
      </c>
      <c r="O209" s="27">
        <f t="shared" si="170"/>
        <v>5977.5130514087414</v>
      </c>
      <c r="P209" s="27">
        <f t="shared" si="170"/>
        <v>5698.3703578291925</v>
      </c>
      <c r="Q209" s="27">
        <f t="shared" si="170"/>
        <v>5419.1979673197229</v>
      </c>
      <c r="R209" s="27">
        <f t="shared" si="170"/>
        <v>5142.177296318604</v>
      </c>
      <c r="S209" s="27">
        <f t="shared" si="170"/>
        <v>4849.2573873601541</v>
      </c>
      <c r="T209" s="27">
        <f t="shared" si="170"/>
        <v>4492.3249146542157</v>
      </c>
      <c r="U209" s="27">
        <f t="shared" si="170"/>
        <v>4132.2941717844069</v>
      </c>
      <c r="V209" s="27">
        <f t="shared" si="170"/>
        <v>3703.4443771765118</v>
      </c>
      <c r="W209" s="27">
        <f t="shared" si="170"/>
        <v>3215.6449935196133</v>
      </c>
      <c r="X209" s="27">
        <f t="shared" si="170"/>
        <v>2640.6131287047137</v>
      </c>
      <c r="Y209" s="27">
        <f t="shared" si="170"/>
        <v>1997.3760267836192</v>
      </c>
      <c r="Z209" s="27">
        <f t="shared" si="170"/>
        <v>1449.8180609813292</v>
      </c>
      <c r="AA209" s="27">
        <f t="shared" si="170"/>
        <v>1027.1487483914018</v>
      </c>
      <c r="AB209" s="27">
        <f t="shared" si="170"/>
        <v>784.50925344881455</v>
      </c>
      <c r="AC209" s="27">
        <f t="shared" si="170"/>
        <v>648.12883922332219</v>
      </c>
      <c r="AD209" s="27">
        <f t="shared" si="170"/>
        <v>586.205589778947</v>
      </c>
      <c r="AE209" s="27">
        <f t="shared" si="170"/>
        <v>551.97917617812993</v>
      </c>
      <c r="AF209" s="27">
        <f t="shared" si="170"/>
        <v>524.59362349602395</v>
      </c>
      <c r="AG209" s="27"/>
      <c r="AH209" s="27"/>
    </row>
    <row r="210" spans="1:34" x14ac:dyDescent="0.25">
      <c r="B210" s="3">
        <f t="shared" ref="B210:AF210" si="171">$C18*EXP(-B$207/$A18/EXP(-$D$126))</f>
        <v>0.23261412137328952</v>
      </c>
      <c r="C210" s="3">
        <f t="shared" si="171"/>
        <v>0.22235088714627574</v>
      </c>
      <c r="D210" s="3">
        <f t="shared" si="171"/>
        <v>0.14160114717596839</v>
      </c>
      <c r="E210" s="3">
        <f t="shared" si="171"/>
        <v>1.5536236515478329E-3</v>
      </c>
      <c r="F210" s="3">
        <f t="shared" si="171"/>
        <v>3.9276822590648054E-23</v>
      </c>
      <c r="G210" s="3">
        <f t="shared" si="171"/>
        <v>4.1883365987129672E-219</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6.1002041175721201E-2</v>
      </c>
      <c r="C211" s="3">
        <f t="shared" si="172"/>
        <v>6.10020404706123E-2</v>
      </c>
      <c r="D211" s="3">
        <f t="shared" si="172"/>
        <v>6.1002033419523712E-2</v>
      </c>
      <c r="E211" s="3">
        <f t="shared" si="172"/>
        <v>6.100196290868265E-2</v>
      </c>
      <c r="F211" s="3">
        <f t="shared" si="172"/>
        <v>6.1001257804754593E-2</v>
      </c>
      <c r="G211" s="3">
        <f t="shared" si="172"/>
        <v>6.0994207213713514E-2</v>
      </c>
      <c r="H211" s="3">
        <f t="shared" si="172"/>
        <v>6.092374610808482E-2</v>
      </c>
      <c r="I211" s="3">
        <f t="shared" si="172"/>
        <v>6.0223596427234412E-2</v>
      </c>
      <c r="J211" s="3">
        <f t="shared" si="172"/>
        <v>5.364973267476509E-2</v>
      </c>
      <c r="K211" s="3">
        <f t="shared" si="172"/>
        <v>1.6887925884020931E-2</v>
      </c>
      <c r="L211" s="3">
        <f t="shared" si="172"/>
        <v>1.6131094462020188E-7</v>
      </c>
      <c r="M211" s="3">
        <f t="shared" si="172"/>
        <v>1.0198564222781897E-57</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3.0700763221085937E-2</v>
      </c>
      <c r="C212" s="3">
        <f t="shared" si="173"/>
        <v>3.0700763189074321E-2</v>
      </c>
      <c r="D212" s="3">
        <f t="shared" si="173"/>
        <v>3.0700762868958162E-2</v>
      </c>
      <c r="E212" s="3">
        <f t="shared" si="173"/>
        <v>3.0700759667796777E-2</v>
      </c>
      <c r="F212" s="3">
        <f t="shared" si="173"/>
        <v>3.0700727656201271E-2</v>
      </c>
      <c r="G212" s="3">
        <f t="shared" si="173"/>
        <v>3.0700407542082007E-2</v>
      </c>
      <c r="H212" s="3">
        <f t="shared" si="173"/>
        <v>3.0697206584462913E-2</v>
      </c>
      <c r="I212" s="3">
        <f t="shared" si="173"/>
        <v>3.0665215358546275E-2</v>
      </c>
      <c r="J212" s="3">
        <f t="shared" si="173"/>
        <v>3.0347131067007364E-2</v>
      </c>
      <c r="K212" s="3">
        <f t="shared" si="173"/>
        <v>2.7342225052107826E-2</v>
      </c>
      <c r="L212" s="3">
        <f t="shared" si="173"/>
        <v>9.6382011605051429E-3</v>
      </c>
      <c r="M212" s="3">
        <f t="shared" si="173"/>
        <v>2.8550736305477543E-7</v>
      </c>
      <c r="N212" s="3">
        <f t="shared" si="173"/>
        <v>1.4853560827109843E-52</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4.1198622757392486E-2</v>
      </c>
      <c r="C213" s="3">
        <f t="shared" si="174"/>
        <v>4.119862275351735E-2</v>
      </c>
      <c r="D213" s="3">
        <f t="shared" si="174"/>
        <v>4.1198622714765917E-2</v>
      </c>
      <c r="E213" s="3">
        <f t="shared" si="174"/>
        <v>4.1198622327251633E-2</v>
      </c>
      <c r="F213" s="3">
        <f t="shared" si="174"/>
        <v>4.119861845210903E-2</v>
      </c>
      <c r="G213" s="3">
        <f t="shared" si="174"/>
        <v>4.1198579700703029E-2</v>
      </c>
      <c r="H213" s="3">
        <f t="shared" si="174"/>
        <v>4.1198192188647703E-2</v>
      </c>
      <c r="I213" s="3">
        <f t="shared" si="174"/>
        <v>4.1194317268559488E-2</v>
      </c>
      <c r="J213" s="3">
        <f t="shared" si="174"/>
        <v>4.1155588107205592E-2</v>
      </c>
      <c r="K213" s="3">
        <f t="shared" si="174"/>
        <v>4.0770293489807152E-2</v>
      </c>
      <c r="L213" s="3">
        <f t="shared" si="174"/>
        <v>3.7110268357874274E-2</v>
      </c>
      <c r="M213" s="3">
        <f t="shared" si="174"/>
        <v>1.4487607318984224E-2</v>
      </c>
      <c r="N213" s="3">
        <f t="shared" si="174"/>
        <v>1.1913033906807319E-6</v>
      </c>
      <c r="O213" s="3">
        <f t="shared" si="174"/>
        <v>1.6837573160625432E-47</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2.6960630065416314E-2</v>
      </c>
      <c r="C214" s="3">
        <f t="shared" si="175"/>
        <v>2.6960630065187553E-2</v>
      </c>
      <c r="D214" s="3">
        <f t="shared" si="175"/>
        <v>2.6960630062899945E-2</v>
      </c>
      <c r="E214" s="3">
        <f t="shared" si="175"/>
        <v>2.6960630040023862E-2</v>
      </c>
      <c r="F214" s="3">
        <f t="shared" si="175"/>
        <v>2.6960629811263043E-2</v>
      </c>
      <c r="G214" s="3">
        <f t="shared" si="175"/>
        <v>2.6960627523654964E-2</v>
      </c>
      <c r="H214" s="3">
        <f t="shared" si="175"/>
        <v>2.6960604647584839E-2</v>
      </c>
      <c r="I214" s="3">
        <f t="shared" si="175"/>
        <v>2.696037588795118E-2</v>
      </c>
      <c r="J214" s="3">
        <f t="shared" si="175"/>
        <v>2.6958088398367743E-2</v>
      </c>
      <c r="K214" s="3">
        <f t="shared" si="175"/>
        <v>2.6935224174499953E-2</v>
      </c>
      <c r="L214" s="3">
        <f t="shared" si="175"/>
        <v>2.6707645789662043E-2</v>
      </c>
      <c r="M214" s="3">
        <f t="shared" si="175"/>
        <v>2.4534981865356829E-2</v>
      </c>
      <c r="N214" s="3">
        <f t="shared" si="175"/>
        <v>1.0502364252496364E-2</v>
      </c>
      <c r="O214" s="3">
        <f t="shared" si="175"/>
        <v>2.1692041754005423E-6</v>
      </c>
      <c r="P214" s="3">
        <f t="shared" si="175"/>
        <v>3.0650247150234178E-43</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3.0337457966131999E-2</v>
      </c>
      <c r="C215" s="3">
        <f t="shared" si="176"/>
        <v>3.0337457966108781E-2</v>
      </c>
      <c r="D215" s="3">
        <f t="shared" si="176"/>
        <v>3.0337457965876571E-2</v>
      </c>
      <c r="E215" s="3">
        <f t="shared" si="176"/>
        <v>3.0337457963554491E-2</v>
      </c>
      <c r="F215" s="3">
        <f t="shared" si="176"/>
        <v>3.0337457940333681E-2</v>
      </c>
      <c r="G215" s="3">
        <f t="shared" si="176"/>
        <v>3.033745770812557E-2</v>
      </c>
      <c r="H215" s="3">
        <f t="shared" si="176"/>
        <v>3.0337455386044567E-2</v>
      </c>
      <c r="I215" s="3">
        <f t="shared" si="176"/>
        <v>3.033743216524433E-2</v>
      </c>
      <c r="J215" s="3">
        <f t="shared" si="176"/>
        <v>3.0337199958219509E-2</v>
      </c>
      <c r="K215" s="3">
        <f t="shared" si="176"/>
        <v>3.0334877985723062E-2</v>
      </c>
      <c r="L215" s="3">
        <f t="shared" si="176"/>
        <v>3.0311668033167229E-2</v>
      </c>
      <c r="M215" s="3">
        <f t="shared" si="176"/>
        <v>3.0080542986545257E-2</v>
      </c>
      <c r="N215" s="3">
        <f t="shared" si="176"/>
        <v>2.7864036242036972E-2</v>
      </c>
      <c r="O215" s="3">
        <f t="shared" si="176"/>
        <v>1.2960673637773578E-2</v>
      </c>
      <c r="P215" s="3">
        <f t="shared" si="176"/>
        <v>6.1441676813270982E-6</v>
      </c>
      <c r="Q215" s="3">
        <f t="shared" si="176"/>
        <v>3.5222315856439105E-39</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2.69171384156996E-2</v>
      </c>
      <c r="C216" s="3">
        <f t="shared" si="177"/>
        <v>2.691713841569774E-2</v>
      </c>
      <c r="D216" s="3">
        <f t="shared" si="177"/>
        <v>2.6917138415679154E-2</v>
      </c>
      <c r="E216" s="3">
        <f t="shared" si="177"/>
        <v>2.69171384154933E-2</v>
      </c>
      <c r="F216" s="3">
        <f t="shared" si="177"/>
        <v>2.6917138413634752E-2</v>
      </c>
      <c r="G216" s="3">
        <f t="shared" si="177"/>
        <v>2.6917138395049275E-2</v>
      </c>
      <c r="H216" s="3">
        <f t="shared" si="177"/>
        <v>2.691713820919452E-2</v>
      </c>
      <c r="I216" s="3">
        <f t="shared" si="177"/>
        <v>2.6917136350647051E-2</v>
      </c>
      <c r="J216" s="3">
        <f t="shared" si="177"/>
        <v>2.69171177651794E-2</v>
      </c>
      <c r="K216" s="3">
        <f t="shared" si="177"/>
        <v>2.69169319112087E-2</v>
      </c>
      <c r="L216" s="3">
        <f t="shared" si="177"/>
        <v>2.6915073442079603E-2</v>
      </c>
      <c r="M216" s="3">
        <f t="shared" si="177"/>
        <v>2.6896495806777439E-2</v>
      </c>
      <c r="N216" s="3">
        <f t="shared" si="177"/>
        <v>2.6711423253339046E-2</v>
      </c>
      <c r="O216" s="3">
        <f t="shared" si="177"/>
        <v>2.4929312379074212E-2</v>
      </c>
      <c r="P216" s="3">
        <f t="shared" si="177"/>
        <v>1.2498071530347949E-2</v>
      </c>
      <c r="Q216" s="3">
        <f t="shared" si="177"/>
        <v>1.2536320000787746E-5</v>
      </c>
      <c r="R216" s="3">
        <f t="shared" si="177"/>
        <v>1.2925302129077403E-35</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3.0984948547383342E-2</v>
      </c>
      <c r="C217" s="3">
        <f t="shared" si="178"/>
        <v>3.0984948547383151E-2</v>
      </c>
      <c r="D217" s="3">
        <f t="shared" si="178"/>
        <v>3.0984948547381218E-2</v>
      </c>
      <c r="E217" s="3">
        <f t="shared" si="178"/>
        <v>3.0984948547361918E-2</v>
      </c>
      <c r="F217" s="3">
        <f t="shared" si="178"/>
        <v>3.0984948547168926E-2</v>
      </c>
      <c r="G217" s="3">
        <f t="shared" si="178"/>
        <v>3.0984948545238991E-2</v>
      </c>
      <c r="H217" s="3">
        <f t="shared" si="178"/>
        <v>3.0984948525939665E-2</v>
      </c>
      <c r="I217" s="3">
        <f t="shared" si="178"/>
        <v>3.0984948332946401E-2</v>
      </c>
      <c r="J217" s="3">
        <f t="shared" si="178"/>
        <v>3.0984946403013795E-2</v>
      </c>
      <c r="K217" s="3">
        <f t="shared" si="178"/>
        <v>3.0984927103694396E-2</v>
      </c>
      <c r="L217" s="3">
        <f t="shared" si="178"/>
        <v>3.0984734111161507E-2</v>
      </c>
      <c r="M217" s="3">
        <f t="shared" si="178"/>
        <v>3.0982804251945349E-2</v>
      </c>
      <c r="N217" s="3">
        <f t="shared" si="178"/>
        <v>3.0963512269533679E-2</v>
      </c>
      <c r="O217" s="3">
        <f t="shared" si="178"/>
        <v>3.0771251899665439E-2</v>
      </c>
      <c r="P217" s="3">
        <f t="shared" si="178"/>
        <v>2.8913098844766203E-2</v>
      </c>
      <c r="Q217" s="3">
        <f t="shared" si="178"/>
        <v>1.5509199964451806E-2</v>
      </c>
      <c r="R217" s="3">
        <f t="shared" si="178"/>
        <v>3.0587004088503086E-5</v>
      </c>
      <c r="S217" s="3">
        <f t="shared" si="178"/>
        <v>2.7227790327558885E-32</v>
      </c>
      <c r="T217" s="3">
        <f t="shared" si="178"/>
        <v>8.5068144877917883E-303</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2.3928257549635894E-2</v>
      </c>
      <c r="C218" s="3">
        <f t="shared" si="179"/>
        <v>2.392825754963588E-2</v>
      </c>
      <c r="D218" s="3">
        <f t="shared" si="179"/>
        <v>2.3928257549635748E-2</v>
      </c>
      <c r="E218" s="3">
        <f t="shared" si="179"/>
        <v>2.3928257549634405E-2</v>
      </c>
      <c r="F218" s="3">
        <f t="shared" si="179"/>
        <v>2.3928257549620958E-2</v>
      </c>
      <c r="G218" s="3">
        <f t="shared" si="179"/>
        <v>2.3928257549486513E-2</v>
      </c>
      <c r="H218" s="3">
        <f t="shared" si="179"/>
        <v>2.392825754814205E-2</v>
      </c>
      <c r="I218" s="3">
        <f t="shared" si="179"/>
        <v>2.3928257534697413E-2</v>
      </c>
      <c r="J218" s="3">
        <f t="shared" si="179"/>
        <v>2.3928257400251056E-2</v>
      </c>
      <c r="K218" s="3">
        <f t="shared" si="179"/>
        <v>2.3928256055787512E-2</v>
      </c>
      <c r="L218" s="3">
        <f t="shared" si="179"/>
        <v>2.3928242611156232E-2</v>
      </c>
      <c r="M218" s="3">
        <f t="shared" si="179"/>
        <v>2.3928108165258938E-2</v>
      </c>
      <c r="N218" s="3">
        <f t="shared" si="179"/>
        <v>2.392676374783298E-2</v>
      </c>
      <c r="O218" s="3">
        <f t="shared" si="179"/>
        <v>2.3913323727409855E-2</v>
      </c>
      <c r="P218" s="3">
        <f t="shared" si="179"/>
        <v>2.377933804456487E-2</v>
      </c>
      <c r="Q218" s="3">
        <f t="shared" si="179"/>
        <v>2.2480084392621058E-2</v>
      </c>
      <c r="R218" s="3">
        <f t="shared" si="179"/>
        <v>1.2816802792517954E-2</v>
      </c>
      <c r="S218" s="3">
        <f t="shared" si="179"/>
        <v>4.6515463147690905E-5</v>
      </c>
      <c r="T218" s="3">
        <f t="shared" si="179"/>
        <v>1.8440548062970472E-29</v>
      </c>
      <c r="U218" s="3">
        <f t="shared" si="179"/>
        <v>1.7682292602640301E-273</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3.7994873493170121E-2</v>
      </c>
      <c r="C219" s="3">
        <f t="shared" si="180"/>
        <v>3.7994873493170114E-2</v>
      </c>
      <c r="D219" s="3">
        <f t="shared" si="180"/>
        <v>3.79948734931701E-2</v>
      </c>
      <c r="E219" s="3">
        <f t="shared" si="180"/>
        <v>3.7994873493169906E-2</v>
      </c>
      <c r="F219" s="3">
        <f t="shared" si="180"/>
        <v>3.7994873493167984E-2</v>
      </c>
      <c r="G219" s="3">
        <f t="shared" si="180"/>
        <v>3.7994873493148722E-2</v>
      </c>
      <c r="H219" s="3">
        <f t="shared" si="180"/>
        <v>3.7994873492956147E-2</v>
      </c>
      <c r="I219" s="3">
        <f t="shared" si="180"/>
        <v>3.7994873491030354E-2</v>
      </c>
      <c r="J219" s="3">
        <f t="shared" si="180"/>
        <v>3.7994873471772425E-2</v>
      </c>
      <c r="K219" s="3">
        <f t="shared" si="180"/>
        <v>3.7994873279193139E-2</v>
      </c>
      <c r="L219" s="3">
        <f t="shared" si="180"/>
        <v>3.7994871353400378E-2</v>
      </c>
      <c r="M219" s="3">
        <f t="shared" si="180"/>
        <v>3.7994852095478086E-2</v>
      </c>
      <c r="N219" s="3">
        <f t="shared" si="180"/>
        <v>3.799465951679204E-2</v>
      </c>
      <c r="O219" s="3">
        <f t="shared" si="180"/>
        <v>3.7992733783615895E-2</v>
      </c>
      <c r="P219" s="3">
        <f t="shared" si="180"/>
        <v>3.7973481819283714E-2</v>
      </c>
      <c r="Q219" s="3">
        <f t="shared" si="180"/>
        <v>3.7781497913653601E-2</v>
      </c>
      <c r="R219" s="3">
        <f t="shared" si="180"/>
        <v>3.5914241397767492E-2</v>
      </c>
      <c r="S219" s="3">
        <f t="shared" si="180"/>
        <v>2.1634255224506446E-2</v>
      </c>
      <c r="T219" s="3">
        <f t="shared" si="180"/>
        <v>1.3611138817370399E-4</v>
      </c>
      <c r="U219" s="3">
        <f t="shared" si="180"/>
        <v>1.3225728629714452E-26</v>
      </c>
      <c r="V219" s="3">
        <f t="shared" si="180"/>
        <v>9.9236410970806325E-247</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3.3319642680735451E-2</v>
      </c>
      <c r="C220" s="3">
        <f t="shared" si="181"/>
        <v>3.3319642680735451E-2</v>
      </c>
      <c r="D220" s="3">
        <f t="shared" si="181"/>
        <v>3.3319642680735451E-2</v>
      </c>
      <c r="E220" s="3">
        <f t="shared" si="181"/>
        <v>3.331964268073543E-2</v>
      </c>
      <c r="F220" s="3">
        <f t="shared" si="181"/>
        <v>3.3319642680735277E-2</v>
      </c>
      <c r="G220" s="3">
        <f t="shared" si="181"/>
        <v>3.3319642680733758E-2</v>
      </c>
      <c r="H220" s="3">
        <f t="shared" si="181"/>
        <v>3.331964268071852E-2</v>
      </c>
      <c r="I220" s="3">
        <f t="shared" si="181"/>
        <v>3.3319642680566176E-2</v>
      </c>
      <c r="J220" s="3">
        <f t="shared" si="181"/>
        <v>3.3319642679042714E-2</v>
      </c>
      <c r="K220" s="3">
        <f t="shared" si="181"/>
        <v>3.3319642663808102E-2</v>
      </c>
      <c r="L220" s="3">
        <f t="shared" si="181"/>
        <v>3.3319642511461946E-2</v>
      </c>
      <c r="M220" s="3">
        <f t="shared" si="181"/>
        <v>3.3319640988000478E-2</v>
      </c>
      <c r="N220" s="3">
        <f t="shared" si="181"/>
        <v>3.3319625753389578E-2</v>
      </c>
      <c r="O220" s="3">
        <f t="shared" si="181"/>
        <v>3.3319473407663697E-2</v>
      </c>
      <c r="P220" s="3">
        <f t="shared" si="181"/>
        <v>3.3317949988715331E-2</v>
      </c>
      <c r="Q220" s="3">
        <f t="shared" si="181"/>
        <v>3.3302719629627858E-2</v>
      </c>
      <c r="R220" s="3">
        <f t="shared" si="181"/>
        <v>3.3150798431162753E-2</v>
      </c>
      <c r="S220" s="3">
        <f t="shared" si="181"/>
        <v>3.1669186615610495E-2</v>
      </c>
      <c r="T220" s="3">
        <f t="shared" si="181"/>
        <v>2.0047770100823724E-2</v>
      </c>
      <c r="U220" s="3">
        <f t="shared" si="181"/>
        <v>2.0718471640263211E-4</v>
      </c>
      <c r="V220" s="3">
        <f t="shared" si="181"/>
        <v>2.8792152488587884E-24</v>
      </c>
      <c r="W220" s="3">
        <f t="shared" si="181"/>
        <v>7.7346081964162478E-223</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4.1691387602332118E-2</v>
      </c>
      <c r="C221" s="3">
        <f t="shared" si="182"/>
        <v>4.1691387602332118E-2</v>
      </c>
      <c r="D221" s="3">
        <f t="shared" si="182"/>
        <v>4.1691387602332118E-2</v>
      </c>
      <c r="E221" s="3">
        <f t="shared" si="182"/>
        <v>4.1691387602332118E-2</v>
      </c>
      <c r="F221" s="3">
        <f t="shared" si="182"/>
        <v>4.1691387602332097E-2</v>
      </c>
      <c r="G221" s="3">
        <f t="shared" si="182"/>
        <v>4.1691387602331931E-2</v>
      </c>
      <c r="H221" s="3">
        <f t="shared" si="182"/>
        <v>4.169138760233021E-2</v>
      </c>
      <c r="I221" s="3">
        <f t="shared" si="182"/>
        <v>4.1691387602313008E-2</v>
      </c>
      <c r="J221" s="3">
        <f t="shared" si="182"/>
        <v>4.1691387602141049E-2</v>
      </c>
      <c r="K221" s="3">
        <f t="shared" si="182"/>
        <v>4.1691387600421466E-2</v>
      </c>
      <c r="L221" s="3">
        <f t="shared" si="182"/>
        <v>4.1691387583225603E-2</v>
      </c>
      <c r="M221" s="3">
        <f t="shared" si="182"/>
        <v>4.1691387411266927E-2</v>
      </c>
      <c r="N221" s="3">
        <f t="shared" si="182"/>
        <v>4.1691385691680204E-2</v>
      </c>
      <c r="O221" s="3">
        <f t="shared" si="182"/>
        <v>4.1691368495816908E-2</v>
      </c>
      <c r="P221" s="3">
        <f t="shared" si="182"/>
        <v>4.1691196537574055E-2</v>
      </c>
      <c r="Q221" s="3">
        <f t="shared" si="182"/>
        <v>4.1689476994153853E-2</v>
      </c>
      <c r="R221" s="3">
        <f t="shared" si="182"/>
        <v>4.1672285460187808E-2</v>
      </c>
      <c r="S221" s="3">
        <f t="shared" si="182"/>
        <v>4.1500759549573871E-2</v>
      </c>
      <c r="T221" s="3">
        <f t="shared" si="182"/>
        <v>3.9823855544975119E-2</v>
      </c>
      <c r="U221" s="3">
        <f t="shared" si="182"/>
        <v>2.6364278490585171E-2</v>
      </c>
      <c r="V221" s="3">
        <f t="shared" si="182"/>
        <v>4.2632593818473012E-4</v>
      </c>
      <c r="W221" s="3">
        <f t="shared" si="182"/>
        <v>5.2119521003386216E-22</v>
      </c>
      <c r="X221" s="3">
        <f t="shared" si="182"/>
        <v>3.8867535923513002E-201</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4.6685392649651804E-2</v>
      </c>
      <c r="C222" s="3">
        <f t="shared" si="183"/>
        <v>4.6685392649651804E-2</v>
      </c>
      <c r="D222" s="3">
        <f t="shared" si="183"/>
        <v>4.6685392649651804E-2</v>
      </c>
      <c r="E222" s="3">
        <f t="shared" si="183"/>
        <v>4.6685392649651804E-2</v>
      </c>
      <c r="F222" s="3">
        <f t="shared" si="183"/>
        <v>4.6685392649651804E-2</v>
      </c>
      <c r="G222" s="3">
        <f t="shared" si="183"/>
        <v>4.6685392649651783E-2</v>
      </c>
      <c r="H222" s="3">
        <f t="shared" si="183"/>
        <v>4.6685392649651609E-2</v>
      </c>
      <c r="I222" s="3">
        <f t="shared" si="183"/>
        <v>4.6685392649649875E-2</v>
      </c>
      <c r="J222" s="3">
        <f t="shared" si="183"/>
        <v>4.66853926496325E-2</v>
      </c>
      <c r="K222" s="3">
        <f t="shared" si="183"/>
        <v>4.6685392649458798E-2</v>
      </c>
      <c r="L222" s="3">
        <f t="shared" si="183"/>
        <v>4.6685392647721778E-2</v>
      </c>
      <c r="M222" s="3">
        <f t="shared" si="183"/>
        <v>4.6685392630351555E-2</v>
      </c>
      <c r="N222" s="3">
        <f t="shared" si="183"/>
        <v>4.6685392456649343E-2</v>
      </c>
      <c r="O222" s="3">
        <f t="shared" si="183"/>
        <v>4.6685390719627261E-2</v>
      </c>
      <c r="P222" s="3">
        <f t="shared" si="183"/>
        <v>4.6685373349409962E-2</v>
      </c>
      <c r="Q222" s="3">
        <f t="shared" si="183"/>
        <v>4.6685199647592435E-2</v>
      </c>
      <c r="R222" s="3">
        <f t="shared" si="183"/>
        <v>4.668346266496274E-2</v>
      </c>
      <c r="S222" s="3">
        <f t="shared" si="183"/>
        <v>4.6666096392735529E-2</v>
      </c>
      <c r="T222" s="3">
        <f t="shared" si="183"/>
        <v>4.6492788588650011E-2</v>
      </c>
      <c r="U222" s="3">
        <f t="shared" si="183"/>
        <v>4.4794718590095393E-2</v>
      </c>
      <c r="V222" s="3">
        <f t="shared" si="183"/>
        <v>3.0877276280623658E-2</v>
      </c>
      <c r="W222" s="3">
        <f t="shared" si="183"/>
        <v>7.4775735789804479E-4</v>
      </c>
      <c r="X222" s="3">
        <f t="shared" si="183"/>
        <v>5.1877353102781006E-20</v>
      </c>
      <c r="Y222" s="3">
        <f t="shared" si="183"/>
        <v>1.3401362377403516E-181</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5.4975929481542167E-2</v>
      </c>
      <c r="C223" s="3">
        <f t="shared" si="184"/>
        <v>5.4975929481542167E-2</v>
      </c>
      <c r="D223" s="3">
        <f t="shared" si="184"/>
        <v>5.4975929481542167E-2</v>
      </c>
      <c r="E223" s="3">
        <f t="shared" si="184"/>
        <v>5.4975929481542167E-2</v>
      </c>
      <c r="F223" s="3">
        <f t="shared" si="184"/>
        <v>5.4975929481542167E-2</v>
      </c>
      <c r="G223" s="3">
        <f t="shared" si="184"/>
        <v>5.4975929481542167E-2</v>
      </c>
      <c r="H223" s="3">
        <f t="shared" si="184"/>
        <v>5.4975929481542146E-2</v>
      </c>
      <c r="I223" s="3">
        <f t="shared" si="184"/>
        <v>5.4975929481541959E-2</v>
      </c>
      <c r="J223" s="3">
        <f t="shared" si="184"/>
        <v>5.4975929481540113E-2</v>
      </c>
      <c r="K223" s="3">
        <f t="shared" si="184"/>
        <v>5.4975929481521663E-2</v>
      </c>
      <c r="L223" s="3">
        <f t="shared" si="184"/>
        <v>5.4975929481337144E-2</v>
      </c>
      <c r="M223" s="3">
        <f t="shared" si="184"/>
        <v>5.4975929479491946E-2</v>
      </c>
      <c r="N223" s="3">
        <f t="shared" si="184"/>
        <v>5.4975929461039942E-2</v>
      </c>
      <c r="O223" s="3">
        <f t="shared" si="184"/>
        <v>5.4975929276519918E-2</v>
      </c>
      <c r="P223" s="3">
        <f t="shared" si="184"/>
        <v>5.4975927431319703E-2</v>
      </c>
      <c r="Q223" s="3">
        <f t="shared" si="184"/>
        <v>5.4975908979320927E-2</v>
      </c>
      <c r="R223" s="3">
        <f t="shared" si="184"/>
        <v>5.4975724459673865E-2</v>
      </c>
      <c r="S223" s="3">
        <f t="shared" si="184"/>
        <v>5.4973879297265271E-2</v>
      </c>
      <c r="T223" s="3">
        <f t="shared" si="184"/>
        <v>5.4955431078964091E-2</v>
      </c>
      <c r="U223" s="3">
        <f t="shared" si="184"/>
        <v>5.4771289051855923E-2</v>
      </c>
      <c r="V223" s="3">
        <f t="shared" si="184"/>
        <v>5.2963465710768223E-2</v>
      </c>
      <c r="W223" s="3">
        <f t="shared" si="184"/>
        <v>3.7862625979197338E-2</v>
      </c>
      <c r="X223" s="3">
        <f t="shared" si="184"/>
        <v>1.3199396864439885E-3</v>
      </c>
      <c r="Y223" s="3">
        <f t="shared" si="184"/>
        <v>3.4993520988607339E-18</v>
      </c>
      <c r="Z223" s="3">
        <f t="shared" si="184"/>
        <v>6.002376040515414E-164</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6.9092387087620902E-2</v>
      </c>
      <c r="C224" s="3">
        <f t="shared" si="185"/>
        <v>6.9092387087620902E-2</v>
      </c>
      <c r="D224" s="3">
        <f t="shared" si="185"/>
        <v>6.9092387087620902E-2</v>
      </c>
      <c r="E224" s="3">
        <f t="shared" si="185"/>
        <v>6.9092387087620902E-2</v>
      </c>
      <c r="F224" s="3">
        <f t="shared" si="185"/>
        <v>6.9092387087620902E-2</v>
      </c>
      <c r="G224" s="3">
        <f t="shared" si="185"/>
        <v>6.9092387087620902E-2</v>
      </c>
      <c r="H224" s="3">
        <f t="shared" si="185"/>
        <v>6.9092387087620902E-2</v>
      </c>
      <c r="I224" s="3">
        <f t="shared" si="185"/>
        <v>6.9092387087620874E-2</v>
      </c>
      <c r="J224" s="3">
        <f t="shared" si="185"/>
        <v>6.9092387087620666E-2</v>
      </c>
      <c r="K224" s="3">
        <f t="shared" si="185"/>
        <v>6.9092387087618584E-2</v>
      </c>
      <c r="L224" s="3">
        <f t="shared" si="185"/>
        <v>6.9092387087597656E-2</v>
      </c>
      <c r="M224" s="3">
        <f t="shared" si="185"/>
        <v>6.9092387087388463E-2</v>
      </c>
      <c r="N224" s="3">
        <f t="shared" si="185"/>
        <v>6.9092387085296539E-2</v>
      </c>
      <c r="O224" s="3">
        <f t="shared" si="185"/>
        <v>6.9092387064377203E-2</v>
      </c>
      <c r="P224" s="3">
        <f t="shared" si="185"/>
        <v>6.9092386855183929E-2</v>
      </c>
      <c r="Q224" s="3">
        <f t="shared" si="185"/>
        <v>6.9092384763251247E-2</v>
      </c>
      <c r="R224" s="3">
        <f t="shared" si="185"/>
        <v>6.9092363843927876E-2</v>
      </c>
      <c r="S224" s="3">
        <f t="shared" si="185"/>
        <v>6.9092154651042501E-2</v>
      </c>
      <c r="T224" s="3">
        <f t="shared" si="185"/>
        <v>6.909006275702427E-2</v>
      </c>
      <c r="U224" s="3">
        <f t="shared" si="185"/>
        <v>6.9069147300005587E-2</v>
      </c>
      <c r="V224" s="3">
        <f t="shared" si="185"/>
        <v>6.8860340656280702E-2</v>
      </c>
      <c r="W224" s="3">
        <f t="shared" si="185"/>
        <v>6.6806680233272089E-2</v>
      </c>
      <c r="X224" s="3">
        <f t="shared" si="185"/>
        <v>4.9354543057688605E-2</v>
      </c>
      <c r="Y224" s="3">
        <f t="shared" si="185"/>
        <v>2.3900092224267977E-3</v>
      </c>
      <c r="Z224" s="3">
        <f t="shared" si="185"/>
        <v>1.6948216008281284E-16</v>
      </c>
      <c r="AA224" s="3">
        <f t="shared" si="185"/>
        <v>5.4496439406826681E-148</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5.879988531550847E-2</v>
      </c>
      <c r="C225" s="3">
        <f t="shared" si="186"/>
        <v>5.879988531550847E-2</v>
      </c>
      <c r="D225" s="3">
        <f t="shared" si="186"/>
        <v>5.879988531550847E-2</v>
      </c>
      <c r="E225" s="3">
        <f t="shared" si="186"/>
        <v>5.879988531550847E-2</v>
      </c>
      <c r="F225" s="3">
        <f t="shared" si="186"/>
        <v>5.879988531550847E-2</v>
      </c>
      <c r="G225" s="3">
        <f t="shared" si="186"/>
        <v>5.879988531550847E-2</v>
      </c>
      <c r="H225" s="3">
        <f t="shared" si="186"/>
        <v>5.879988531550847E-2</v>
      </c>
      <c r="I225" s="3">
        <f t="shared" si="186"/>
        <v>5.879988531550847E-2</v>
      </c>
      <c r="J225" s="3">
        <f t="shared" si="186"/>
        <v>5.8799885315508449E-2</v>
      </c>
      <c r="K225" s="3">
        <f t="shared" si="186"/>
        <v>5.8799885315508296E-2</v>
      </c>
      <c r="L225" s="3">
        <f t="shared" si="186"/>
        <v>5.8799885315506686E-2</v>
      </c>
      <c r="M225" s="3">
        <f t="shared" si="186"/>
        <v>5.879988531549063E-2</v>
      </c>
      <c r="N225" s="3">
        <f t="shared" si="186"/>
        <v>5.8799885315330022E-2</v>
      </c>
      <c r="O225" s="3">
        <f t="shared" si="186"/>
        <v>5.879988531372405E-2</v>
      </c>
      <c r="P225" s="3">
        <f t="shared" si="186"/>
        <v>5.879988529766423E-2</v>
      </c>
      <c r="Q225" s="3">
        <f t="shared" si="186"/>
        <v>5.8799885137066056E-2</v>
      </c>
      <c r="R225" s="3">
        <f t="shared" si="186"/>
        <v>5.879988353108441E-2</v>
      </c>
      <c r="S225" s="3">
        <f t="shared" si="186"/>
        <v>5.8799867471270313E-2</v>
      </c>
      <c r="T225" s="3">
        <f t="shared" si="186"/>
        <v>5.8799706873370605E-2</v>
      </c>
      <c r="U225" s="3">
        <f t="shared" si="186"/>
        <v>5.8798100918498242E-2</v>
      </c>
      <c r="V225" s="3">
        <f t="shared" si="186"/>
        <v>5.8782043782004106E-2</v>
      </c>
      <c r="W225" s="3">
        <f t="shared" si="186"/>
        <v>5.8621713396415406E-2</v>
      </c>
      <c r="X225" s="3">
        <f t="shared" si="186"/>
        <v>5.7042265718518087E-2</v>
      </c>
      <c r="Y225" s="3">
        <f t="shared" si="186"/>
        <v>4.3408958138367933E-2</v>
      </c>
      <c r="Z225" s="3">
        <f t="shared" si="186"/>
        <v>2.8275175754217054E-3</v>
      </c>
      <c r="AA225" s="3">
        <f t="shared" si="186"/>
        <v>3.8874500335460557E-15</v>
      </c>
      <c r="AB225" s="3">
        <f t="shared" si="186"/>
        <v>9.3812322630349793E-134</v>
      </c>
      <c r="AC225" s="3">
        <f t="shared" si="186"/>
        <v>0</v>
      </c>
      <c r="AD225" s="3">
        <f t="shared" si="186"/>
        <v>0</v>
      </c>
      <c r="AE225" s="3">
        <f t="shared" si="186"/>
        <v>0</v>
      </c>
      <c r="AF225" s="3">
        <f t="shared" si="186"/>
        <v>0</v>
      </c>
      <c r="AG225" s="3"/>
      <c r="AH225" s="3"/>
    </row>
    <row r="226" spans="2:34" x14ac:dyDescent="0.25">
      <c r="B226" s="3">
        <f t="shared" ref="B226:AF226" si="187">$C34*EXP(-B$207/$A34/EXP(-$D$126))</f>
        <v>4.7913743582903463E-2</v>
      </c>
      <c r="C226" s="3">
        <f t="shared" si="187"/>
        <v>4.7913743582903463E-2</v>
      </c>
      <c r="D226" s="3">
        <f t="shared" si="187"/>
        <v>4.7913743582903463E-2</v>
      </c>
      <c r="E226" s="3">
        <f t="shared" si="187"/>
        <v>4.7913743582903463E-2</v>
      </c>
      <c r="F226" s="3">
        <f t="shared" si="187"/>
        <v>4.7913743582903463E-2</v>
      </c>
      <c r="G226" s="3">
        <f t="shared" si="187"/>
        <v>4.7913743582903463E-2</v>
      </c>
      <c r="H226" s="3">
        <f t="shared" si="187"/>
        <v>4.7913743582903463E-2</v>
      </c>
      <c r="I226" s="3">
        <f t="shared" si="187"/>
        <v>4.7913743582903463E-2</v>
      </c>
      <c r="J226" s="3">
        <f t="shared" si="187"/>
        <v>4.7913743582903463E-2</v>
      </c>
      <c r="K226" s="3">
        <f t="shared" si="187"/>
        <v>4.7913743582903449E-2</v>
      </c>
      <c r="L226" s="3">
        <f t="shared" si="187"/>
        <v>4.7913743582903331E-2</v>
      </c>
      <c r="M226" s="3">
        <f t="shared" si="187"/>
        <v>4.7913743582902152E-2</v>
      </c>
      <c r="N226" s="3">
        <f t="shared" si="187"/>
        <v>4.7913743582890349E-2</v>
      </c>
      <c r="O226" s="3">
        <f t="shared" si="187"/>
        <v>4.7913743582772297E-2</v>
      </c>
      <c r="P226" s="3">
        <f t="shared" si="187"/>
        <v>4.7913743581591783E-2</v>
      </c>
      <c r="Q226" s="3">
        <f t="shared" si="187"/>
        <v>4.791374356978665E-2</v>
      </c>
      <c r="R226" s="3">
        <f t="shared" si="187"/>
        <v>4.7913743451735345E-2</v>
      </c>
      <c r="S226" s="3">
        <f t="shared" si="187"/>
        <v>4.7913742271222283E-2</v>
      </c>
      <c r="T226" s="3">
        <f t="shared" si="187"/>
        <v>4.7913730466093291E-2</v>
      </c>
      <c r="U226" s="3">
        <f t="shared" si="187"/>
        <v>4.7913612414963287E-2</v>
      </c>
      <c r="V226" s="3">
        <f t="shared" si="187"/>
        <v>4.7912431919660374E-2</v>
      </c>
      <c r="W226" s="3">
        <f t="shared" si="187"/>
        <v>4.7900628566189943E-2</v>
      </c>
      <c r="X226" s="3">
        <f t="shared" si="187"/>
        <v>4.7782754841640067E-2</v>
      </c>
      <c r="Y226" s="3">
        <f t="shared" si="187"/>
        <v>4.6619853881071018E-2</v>
      </c>
      <c r="Z226" s="3">
        <f t="shared" si="187"/>
        <v>3.6439141853266716E-2</v>
      </c>
      <c r="AA226" s="3">
        <f t="shared" si="187"/>
        <v>3.1012763556457499E-3</v>
      </c>
      <c r="AB226" s="3">
        <f t="shared" si="187"/>
        <v>6.1839182760080634E-14</v>
      </c>
      <c r="AC226" s="3">
        <f t="shared" si="187"/>
        <v>6.1446404544492984E-121</v>
      </c>
      <c r="AD226" s="3">
        <f t="shared" si="187"/>
        <v>0</v>
      </c>
      <c r="AE226" s="3">
        <f t="shared" si="187"/>
        <v>0</v>
      </c>
      <c r="AF226" s="3">
        <f t="shared" si="187"/>
        <v>0</v>
      </c>
      <c r="AG226" s="3"/>
      <c r="AH226" s="3"/>
    </row>
    <row r="227" spans="2:34" x14ac:dyDescent="0.25">
      <c r="B227" s="3">
        <f t="shared" ref="B227:AF227" si="188">$C35*EXP(-B$207/$A35/EXP(-$D$126))</f>
        <v>2.5827932303493749E-2</v>
      </c>
      <c r="C227" s="3">
        <f t="shared" si="188"/>
        <v>2.5827932303493749E-2</v>
      </c>
      <c r="D227" s="3">
        <f t="shared" si="188"/>
        <v>2.5827932303493749E-2</v>
      </c>
      <c r="E227" s="3">
        <f t="shared" si="188"/>
        <v>2.5827932303493749E-2</v>
      </c>
      <c r="F227" s="3">
        <f t="shared" si="188"/>
        <v>2.5827932303493749E-2</v>
      </c>
      <c r="G227" s="3">
        <f t="shared" si="188"/>
        <v>2.5827932303493749E-2</v>
      </c>
      <c r="H227" s="3">
        <f t="shared" si="188"/>
        <v>2.5827932303493749E-2</v>
      </c>
      <c r="I227" s="3">
        <f t="shared" si="188"/>
        <v>2.5827932303493749E-2</v>
      </c>
      <c r="J227" s="3">
        <f t="shared" si="188"/>
        <v>2.5827932303493749E-2</v>
      </c>
      <c r="K227" s="3">
        <f t="shared" si="188"/>
        <v>2.5827932303493749E-2</v>
      </c>
      <c r="L227" s="3">
        <f t="shared" si="188"/>
        <v>2.5827932303493742E-2</v>
      </c>
      <c r="M227" s="3">
        <f t="shared" si="188"/>
        <v>2.5827932303493686E-2</v>
      </c>
      <c r="N227" s="3">
        <f t="shared" si="188"/>
        <v>2.5827932303493114E-2</v>
      </c>
      <c r="O227" s="3">
        <f t="shared" si="188"/>
        <v>2.5827932303487372E-2</v>
      </c>
      <c r="P227" s="3">
        <f t="shared" si="188"/>
        <v>2.5827932303429963E-2</v>
      </c>
      <c r="Q227" s="3">
        <f t="shared" si="188"/>
        <v>2.5827932302855919E-2</v>
      </c>
      <c r="R227" s="3">
        <f t="shared" si="188"/>
        <v>2.5827932297115459E-2</v>
      </c>
      <c r="S227" s="3">
        <f t="shared" si="188"/>
        <v>2.5827932239710825E-2</v>
      </c>
      <c r="T227" s="3">
        <f t="shared" si="188"/>
        <v>2.5827931665664525E-2</v>
      </c>
      <c r="U227" s="3">
        <f t="shared" si="188"/>
        <v>2.5827925925202218E-2</v>
      </c>
      <c r="V227" s="3">
        <f t="shared" si="188"/>
        <v>2.5827868520649347E-2</v>
      </c>
      <c r="W227" s="3">
        <f t="shared" si="188"/>
        <v>2.5827294482137778E-2</v>
      </c>
      <c r="X227" s="3">
        <f t="shared" si="188"/>
        <v>2.5821554798682939E-2</v>
      </c>
      <c r="Y227" s="3">
        <f t="shared" si="188"/>
        <v>2.5764228072549172E-2</v>
      </c>
      <c r="Z227" s="3">
        <f t="shared" si="188"/>
        <v>2.519791433986758E-2</v>
      </c>
      <c r="AA227" s="3">
        <f t="shared" si="188"/>
        <v>2.0176191781907847E-2</v>
      </c>
      <c r="AB227" s="3">
        <f t="shared" si="188"/>
        <v>2.1856731586468968E-3</v>
      </c>
      <c r="AC227" s="3">
        <f t="shared" si="188"/>
        <v>4.8645809446228131E-13</v>
      </c>
      <c r="AD227" s="3">
        <f t="shared" si="188"/>
        <v>1.4509337666591531E-109</v>
      </c>
      <c r="AE227" s="3">
        <f t="shared" si="188"/>
        <v>0</v>
      </c>
      <c r="AF227" s="3">
        <f t="shared" si="188"/>
        <v>0</v>
      </c>
      <c r="AG227" s="3"/>
      <c r="AH227" s="3"/>
    </row>
    <row r="228" spans="2:34" x14ac:dyDescent="0.25">
      <c r="B228" s="3">
        <f t="shared" ref="B228:AF228" si="189">$C36*EXP(-B$207/$A36/EXP(-$D$126))</f>
        <v>1.4720074447505073E-2</v>
      </c>
      <c r="C228" s="3">
        <f t="shared" si="189"/>
        <v>1.4720074447505073E-2</v>
      </c>
      <c r="D228" s="3">
        <f t="shared" si="189"/>
        <v>1.4720074447505073E-2</v>
      </c>
      <c r="E228" s="3">
        <f t="shared" si="189"/>
        <v>1.4720074447505073E-2</v>
      </c>
      <c r="F228" s="3">
        <f t="shared" si="189"/>
        <v>1.4720074447505073E-2</v>
      </c>
      <c r="G228" s="3">
        <f t="shared" si="189"/>
        <v>1.4720074447505073E-2</v>
      </c>
      <c r="H228" s="3">
        <f t="shared" si="189"/>
        <v>1.4720074447505073E-2</v>
      </c>
      <c r="I228" s="3">
        <f t="shared" si="189"/>
        <v>1.4720074447505073E-2</v>
      </c>
      <c r="J228" s="3">
        <f t="shared" si="189"/>
        <v>1.4720074447505073E-2</v>
      </c>
      <c r="K228" s="3">
        <f t="shared" si="189"/>
        <v>1.4720074447505073E-2</v>
      </c>
      <c r="L228" s="3">
        <f t="shared" si="189"/>
        <v>1.4720074447505073E-2</v>
      </c>
      <c r="M228" s="3">
        <f t="shared" si="189"/>
        <v>1.4720074447505069E-2</v>
      </c>
      <c r="N228" s="3">
        <f t="shared" si="189"/>
        <v>1.472007444750504E-2</v>
      </c>
      <c r="O228" s="3">
        <f t="shared" si="189"/>
        <v>1.4720074447504745E-2</v>
      </c>
      <c r="P228" s="3">
        <f t="shared" si="189"/>
        <v>1.4720074447501792E-2</v>
      </c>
      <c r="Q228" s="3">
        <f t="shared" si="189"/>
        <v>1.4720074447472279E-2</v>
      </c>
      <c r="R228" s="3">
        <f t="shared" si="189"/>
        <v>1.4720074447177149E-2</v>
      </c>
      <c r="S228" s="3">
        <f t="shared" si="189"/>
        <v>1.4720074444225847E-2</v>
      </c>
      <c r="T228" s="3">
        <f t="shared" si="189"/>
        <v>1.4720074414712811E-2</v>
      </c>
      <c r="U228" s="3">
        <f t="shared" si="189"/>
        <v>1.4720074119582455E-2</v>
      </c>
      <c r="V228" s="3">
        <f t="shared" si="189"/>
        <v>1.4720071168279225E-2</v>
      </c>
      <c r="W228" s="3">
        <f t="shared" si="189"/>
        <v>1.4720041655279464E-2</v>
      </c>
      <c r="X228" s="3">
        <f t="shared" si="189"/>
        <v>1.4719746528536306E-2</v>
      </c>
      <c r="Y228" s="3">
        <f t="shared" si="189"/>
        <v>1.4716795586525033E-2</v>
      </c>
      <c r="Z228" s="3">
        <f t="shared" si="189"/>
        <v>1.4687318684315907E-2</v>
      </c>
      <c r="AA228" s="3">
        <f t="shared" si="189"/>
        <v>1.439577745858411E-2</v>
      </c>
      <c r="AB228" s="3">
        <f t="shared" si="189"/>
        <v>1.1780431148728399E-2</v>
      </c>
      <c r="AC228" s="3">
        <f t="shared" si="189"/>
        <v>1.5864332198247935E-3</v>
      </c>
      <c r="AD228" s="3">
        <f t="shared" si="189"/>
        <v>3.1119162159512941E-12</v>
      </c>
      <c r="AE228" s="3">
        <f t="shared" si="189"/>
        <v>2.6247557675614402E-99</v>
      </c>
      <c r="AF228" s="3">
        <f t="shared" si="189"/>
        <v>0</v>
      </c>
      <c r="AG228" s="3"/>
      <c r="AH228" s="3"/>
    </row>
    <row r="229" spans="2:34" x14ac:dyDescent="0.25">
      <c r="B229" s="3">
        <f t="shared" ref="B229:AF229" si="190">$C37*EXP(-B$207/$A37/EXP(-$D$126))</f>
        <v>5.9239967047518835E-3</v>
      </c>
      <c r="C229" s="3">
        <f t="shared" si="190"/>
        <v>5.9239967047518835E-3</v>
      </c>
      <c r="D229" s="3">
        <f t="shared" si="190"/>
        <v>5.9239967047518835E-3</v>
      </c>
      <c r="E229" s="3">
        <f t="shared" si="190"/>
        <v>5.9239967047518835E-3</v>
      </c>
      <c r="F229" s="3">
        <f t="shared" si="190"/>
        <v>5.9239967047518835E-3</v>
      </c>
      <c r="G229" s="3">
        <f t="shared" si="190"/>
        <v>5.9239967047518835E-3</v>
      </c>
      <c r="H229" s="3">
        <f t="shared" si="190"/>
        <v>5.9239967047518835E-3</v>
      </c>
      <c r="I229" s="3">
        <f t="shared" si="190"/>
        <v>5.9239967047518835E-3</v>
      </c>
      <c r="J229" s="3">
        <f t="shared" si="190"/>
        <v>5.9239967047518835E-3</v>
      </c>
      <c r="K229" s="3">
        <f t="shared" si="190"/>
        <v>5.9239967047518835E-3</v>
      </c>
      <c r="L229" s="3">
        <f t="shared" si="190"/>
        <v>5.9239967047518835E-3</v>
      </c>
      <c r="M229" s="3">
        <f t="shared" si="190"/>
        <v>5.9239967047518835E-3</v>
      </c>
      <c r="N229" s="3">
        <f t="shared" si="190"/>
        <v>5.9239967047518818E-3</v>
      </c>
      <c r="O229" s="3">
        <f t="shared" si="190"/>
        <v>5.9239967047518714E-3</v>
      </c>
      <c r="P229" s="3">
        <f t="shared" si="190"/>
        <v>5.9239967047517647E-3</v>
      </c>
      <c r="Q229" s="3">
        <f t="shared" si="190"/>
        <v>5.9239967047506935E-3</v>
      </c>
      <c r="R229" s="3">
        <f t="shared" si="190"/>
        <v>5.923996704739979E-3</v>
      </c>
      <c r="S229" s="3">
        <f t="shared" si="190"/>
        <v>5.9239967046328355E-3</v>
      </c>
      <c r="T229" s="3">
        <f t="shared" si="190"/>
        <v>5.9239967035614018E-3</v>
      </c>
      <c r="U229" s="3">
        <f t="shared" si="190"/>
        <v>5.9239966928470653E-3</v>
      </c>
      <c r="V229" s="3">
        <f t="shared" si="190"/>
        <v>5.9239965857037025E-3</v>
      </c>
      <c r="W229" s="3">
        <f t="shared" si="190"/>
        <v>5.9239955142701773E-3</v>
      </c>
      <c r="X229" s="3">
        <f t="shared" si="190"/>
        <v>5.9239847999455883E-3</v>
      </c>
      <c r="Y229" s="3">
        <f t="shared" si="190"/>
        <v>5.9238776577654959E-3</v>
      </c>
      <c r="Z229" s="3">
        <f t="shared" si="190"/>
        <v>5.9228063425373163E-3</v>
      </c>
      <c r="AA229" s="3">
        <f t="shared" si="190"/>
        <v>5.9121038404015818E-3</v>
      </c>
      <c r="AB229" s="3">
        <f t="shared" si="190"/>
        <v>5.8061367409825782E-3</v>
      </c>
      <c r="AC229" s="3">
        <f t="shared" si="190"/>
        <v>4.8455080889484954E-3</v>
      </c>
      <c r="AD229" s="3">
        <f t="shared" si="190"/>
        <v>7.9407213183666653E-4</v>
      </c>
      <c r="AE229" s="3">
        <f t="shared" si="190"/>
        <v>1.1093440840505824E-11</v>
      </c>
      <c r="AF229" s="3">
        <f t="shared" si="190"/>
        <v>3.1414448693156965E-90</v>
      </c>
      <c r="AG229" s="3"/>
      <c r="AH229" s="3"/>
    </row>
    <row r="230" spans="2:34" x14ac:dyDescent="0.25">
      <c r="B230" s="3">
        <f t="shared" ref="B230:AF230" si="191">$C38*EXP(-B$207/$A38/EXP(-$D$126))</f>
        <v>1.8347081790420509E-3</v>
      </c>
      <c r="C230" s="3">
        <f t="shared" si="191"/>
        <v>1.8347081790420509E-3</v>
      </c>
      <c r="D230" s="3">
        <f t="shared" si="191"/>
        <v>1.8347081790420509E-3</v>
      </c>
      <c r="E230" s="3">
        <f t="shared" si="191"/>
        <v>1.8347081790420509E-3</v>
      </c>
      <c r="F230" s="3">
        <f t="shared" si="191"/>
        <v>1.8347081790420509E-3</v>
      </c>
      <c r="G230" s="3">
        <f t="shared" si="191"/>
        <v>1.8347081790420509E-3</v>
      </c>
      <c r="H230" s="3">
        <f t="shared" si="191"/>
        <v>1.8347081790420509E-3</v>
      </c>
      <c r="I230" s="3">
        <f t="shared" si="191"/>
        <v>1.8347081790420509E-3</v>
      </c>
      <c r="J230" s="3">
        <f t="shared" si="191"/>
        <v>1.8347081790420509E-3</v>
      </c>
      <c r="K230" s="3">
        <f t="shared" si="191"/>
        <v>1.8347081790420509E-3</v>
      </c>
      <c r="L230" s="3">
        <f t="shared" si="191"/>
        <v>1.8347081790420509E-3</v>
      </c>
      <c r="M230" s="3">
        <f t="shared" si="191"/>
        <v>1.8347081790420509E-3</v>
      </c>
      <c r="N230" s="3">
        <f t="shared" si="191"/>
        <v>1.8347081790420509E-3</v>
      </c>
      <c r="O230" s="3">
        <f t="shared" si="191"/>
        <v>1.8347081790420505E-3</v>
      </c>
      <c r="P230" s="3">
        <f t="shared" si="191"/>
        <v>1.8347081790420477E-3</v>
      </c>
      <c r="Q230" s="3">
        <f t="shared" si="191"/>
        <v>1.8347081790420178E-3</v>
      </c>
      <c r="R230" s="3">
        <f t="shared" si="191"/>
        <v>1.8347081790417183E-3</v>
      </c>
      <c r="S230" s="3">
        <f t="shared" si="191"/>
        <v>1.834708179038725E-3</v>
      </c>
      <c r="T230" s="3">
        <f t="shared" si="191"/>
        <v>1.8347081790087911E-3</v>
      </c>
      <c r="U230" s="3">
        <f t="shared" si="191"/>
        <v>1.8347081787094513E-3</v>
      </c>
      <c r="V230" s="3">
        <f t="shared" si="191"/>
        <v>1.8347081757160563E-3</v>
      </c>
      <c r="W230" s="3">
        <f t="shared" si="191"/>
        <v>1.8347081457821045E-3</v>
      </c>
      <c r="X230" s="3">
        <f t="shared" si="191"/>
        <v>1.8347078464426136E-3</v>
      </c>
      <c r="Y230" s="3">
        <f t="shared" si="191"/>
        <v>1.834704853050392E-3</v>
      </c>
      <c r="Z230" s="3">
        <f t="shared" si="191"/>
        <v>1.8346749193967836E-3</v>
      </c>
      <c r="AA230" s="3">
        <f t="shared" si="191"/>
        <v>1.8343756097200007E-3</v>
      </c>
      <c r="AB230" s="3">
        <f t="shared" si="191"/>
        <v>1.8313851972614076E-3</v>
      </c>
      <c r="AC230" s="3">
        <f t="shared" si="191"/>
        <v>1.8017478902127408E-3</v>
      </c>
      <c r="AD230" s="3">
        <f t="shared" si="191"/>
        <v>1.5305137957941455E-3</v>
      </c>
      <c r="AE230" s="3">
        <f t="shared" si="191"/>
        <v>2.9941221411350323E-4</v>
      </c>
      <c r="AF230" s="3">
        <f t="shared" si="191"/>
        <v>2.4580581625201521E-11</v>
      </c>
      <c r="AG230" s="3"/>
      <c r="AH230" s="3"/>
    </row>
    <row r="231" spans="2:34" x14ac:dyDescent="0.25">
      <c r="B231" s="3">
        <f t="shared" ref="B231:AF231" si="192">$C39*EXP(-B$207/$A39/EXP(-$D$126))</f>
        <v>3.8370171737972247E-3</v>
      </c>
      <c r="C231" s="3">
        <f t="shared" si="192"/>
        <v>3.8370171737972247E-3</v>
      </c>
      <c r="D231" s="3">
        <f t="shared" si="192"/>
        <v>3.8370171737972247E-3</v>
      </c>
      <c r="E231" s="3">
        <f t="shared" si="192"/>
        <v>3.8370171737972247E-3</v>
      </c>
      <c r="F231" s="3">
        <f t="shared" si="192"/>
        <v>3.8370171737972247E-3</v>
      </c>
      <c r="G231" s="3">
        <f t="shared" si="192"/>
        <v>3.8370171737972247E-3</v>
      </c>
      <c r="H231" s="3">
        <f t="shared" si="192"/>
        <v>3.8370171737972247E-3</v>
      </c>
      <c r="I231" s="3">
        <f t="shared" si="192"/>
        <v>3.8370171737972247E-3</v>
      </c>
      <c r="J231" s="3">
        <f t="shared" si="192"/>
        <v>3.8370171737972247E-3</v>
      </c>
      <c r="K231" s="3">
        <f t="shared" si="192"/>
        <v>3.8370171737972247E-3</v>
      </c>
      <c r="L231" s="3">
        <f t="shared" si="192"/>
        <v>3.8370171737972247E-3</v>
      </c>
      <c r="M231" s="3">
        <f t="shared" si="192"/>
        <v>3.8370171737972247E-3</v>
      </c>
      <c r="N231" s="3">
        <f t="shared" si="192"/>
        <v>3.8370171737972247E-3</v>
      </c>
      <c r="O231" s="3">
        <f t="shared" si="192"/>
        <v>3.8370171737972247E-3</v>
      </c>
      <c r="P231" s="3">
        <f t="shared" si="192"/>
        <v>3.8370171737972226E-3</v>
      </c>
      <c r="Q231" s="3">
        <f t="shared" si="192"/>
        <v>3.8370171737972057E-3</v>
      </c>
      <c r="R231" s="3">
        <f t="shared" si="192"/>
        <v>3.8370171737970322E-3</v>
      </c>
      <c r="S231" s="3">
        <f t="shared" si="192"/>
        <v>3.8370171737953009E-3</v>
      </c>
      <c r="T231" s="3">
        <f t="shared" si="192"/>
        <v>3.8370171737779867E-3</v>
      </c>
      <c r="U231" s="3">
        <f t="shared" si="192"/>
        <v>3.8370171736048443E-3</v>
      </c>
      <c r="V231" s="3">
        <f t="shared" si="192"/>
        <v>3.837017171873419E-3</v>
      </c>
      <c r="W231" s="3">
        <f t="shared" si="192"/>
        <v>3.83701715455917E-3</v>
      </c>
      <c r="X231" s="3">
        <f t="shared" si="192"/>
        <v>3.8370169814166818E-3</v>
      </c>
      <c r="Y231" s="3">
        <f t="shared" si="192"/>
        <v>3.8370152499922288E-3</v>
      </c>
      <c r="Z231" s="3">
        <f t="shared" si="192"/>
        <v>3.8369979357906676E-3</v>
      </c>
      <c r="AA231" s="3">
        <f t="shared" si="192"/>
        <v>3.8368247980720845E-3</v>
      </c>
      <c r="AB231" s="3">
        <f t="shared" si="192"/>
        <v>3.8350938505173626E-3</v>
      </c>
      <c r="AC231" s="3">
        <f t="shared" si="192"/>
        <v>3.8178272664360271E-3</v>
      </c>
      <c r="AD231" s="3">
        <f t="shared" si="192"/>
        <v>3.6493798168900347E-3</v>
      </c>
      <c r="AE231" s="3">
        <f t="shared" si="192"/>
        <v>2.3240580471014763E-3</v>
      </c>
      <c r="AF231" s="3">
        <f t="shared" si="192"/>
        <v>2.5499168767749248E-5</v>
      </c>
      <c r="AG231" s="3"/>
      <c r="AH231" s="3"/>
    </row>
    <row r="232" spans="2:34" x14ac:dyDescent="0.25">
      <c r="B232" s="3">
        <f t="shared" ref="B232:AF232" si="193">$C40*EXP(-B$207/$A40/EXP(-$D$126))</f>
        <v>0</v>
      </c>
      <c r="C232" s="3">
        <f t="shared" si="193"/>
        <v>0</v>
      </c>
      <c r="D232" s="3">
        <f t="shared" si="193"/>
        <v>0</v>
      </c>
      <c r="E232" s="3">
        <f t="shared" si="193"/>
        <v>0</v>
      </c>
      <c r="F232" s="3">
        <f t="shared" si="193"/>
        <v>0</v>
      </c>
      <c r="G232" s="3">
        <f t="shared" si="193"/>
        <v>0</v>
      </c>
      <c r="H232" s="3">
        <f t="shared" si="193"/>
        <v>0</v>
      </c>
      <c r="I232" s="3">
        <f t="shared" si="193"/>
        <v>0</v>
      </c>
      <c r="J232" s="3">
        <f t="shared" si="193"/>
        <v>0</v>
      </c>
      <c r="K232" s="3">
        <f t="shared" si="193"/>
        <v>0</v>
      </c>
      <c r="L232" s="3">
        <f t="shared" si="193"/>
        <v>0</v>
      </c>
      <c r="M232" s="3">
        <f t="shared" si="193"/>
        <v>0</v>
      </c>
      <c r="N232" s="3">
        <f t="shared" si="193"/>
        <v>0</v>
      </c>
      <c r="O232" s="3">
        <f t="shared" si="193"/>
        <v>0</v>
      </c>
      <c r="P232" s="3">
        <f t="shared" si="193"/>
        <v>0</v>
      </c>
      <c r="Q232" s="3">
        <f t="shared" si="193"/>
        <v>0</v>
      </c>
      <c r="R232" s="3">
        <f t="shared" si="193"/>
        <v>0</v>
      </c>
      <c r="S232" s="3">
        <f t="shared" si="193"/>
        <v>0</v>
      </c>
      <c r="T232" s="3">
        <f t="shared" si="193"/>
        <v>0</v>
      </c>
      <c r="U232" s="3">
        <f t="shared" si="193"/>
        <v>0</v>
      </c>
      <c r="V232" s="3">
        <f t="shared" si="193"/>
        <v>0</v>
      </c>
      <c r="W232" s="3">
        <f t="shared" si="193"/>
        <v>0</v>
      </c>
      <c r="X232" s="3">
        <f t="shared" si="193"/>
        <v>0</v>
      </c>
      <c r="Y232" s="3">
        <f t="shared" si="193"/>
        <v>0</v>
      </c>
      <c r="Z232" s="3">
        <f t="shared" si="193"/>
        <v>0</v>
      </c>
      <c r="AA232" s="3">
        <f t="shared" si="193"/>
        <v>0</v>
      </c>
      <c r="AB232" s="3">
        <f t="shared" si="193"/>
        <v>0</v>
      </c>
      <c r="AC232" s="3">
        <f t="shared" si="193"/>
        <v>0</v>
      </c>
      <c r="AD232" s="3">
        <f t="shared" si="193"/>
        <v>0</v>
      </c>
      <c r="AE232" s="3">
        <f t="shared" si="193"/>
        <v>0</v>
      </c>
      <c r="AF232" s="3">
        <f t="shared" si="193"/>
        <v>0</v>
      </c>
      <c r="AG232" s="3"/>
      <c r="AH232" s="3"/>
    </row>
    <row r="233" spans="2:34" x14ac:dyDescent="0.25">
      <c r="B233" s="3">
        <f t="shared" ref="B233:AF233" si="194">$C41*EXP(-B$207/$A41/EXP(-$D$126))</f>
        <v>1.7399495856337129E-3</v>
      </c>
      <c r="C233" s="3">
        <f t="shared" si="194"/>
        <v>1.7399495856337129E-3</v>
      </c>
      <c r="D233" s="3">
        <f t="shared" si="194"/>
        <v>1.7399495856337129E-3</v>
      </c>
      <c r="E233" s="3">
        <f t="shared" si="194"/>
        <v>1.7399495856337129E-3</v>
      </c>
      <c r="F233" s="3">
        <f t="shared" si="194"/>
        <v>1.7399495856337129E-3</v>
      </c>
      <c r="G233" s="3">
        <f t="shared" si="194"/>
        <v>1.7399495856337129E-3</v>
      </c>
      <c r="H233" s="3">
        <f t="shared" si="194"/>
        <v>1.7399495856337129E-3</v>
      </c>
      <c r="I233" s="3">
        <f t="shared" si="194"/>
        <v>1.7399495856337129E-3</v>
      </c>
      <c r="J233" s="3">
        <f t="shared" si="194"/>
        <v>1.7399495856337129E-3</v>
      </c>
      <c r="K233" s="3">
        <f t="shared" si="194"/>
        <v>1.7399495856337129E-3</v>
      </c>
      <c r="L233" s="3">
        <f t="shared" si="194"/>
        <v>1.7399495856337129E-3</v>
      </c>
      <c r="M233" s="3">
        <f t="shared" si="194"/>
        <v>1.7399495856337129E-3</v>
      </c>
      <c r="N233" s="3">
        <f t="shared" si="194"/>
        <v>1.7399495856337129E-3</v>
      </c>
      <c r="O233" s="3">
        <f t="shared" si="194"/>
        <v>1.7399495856337129E-3</v>
      </c>
      <c r="P233" s="3">
        <f t="shared" si="194"/>
        <v>1.7399495856337129E-3</v>
      </c>
      <c r="Q233" s="3">
        <f t="shared" si="194"/>
        <v>1.7399495856337129E-3</v>
      </c>
      <c r="R233" s="3">
        <f t="shared" si="194"/>
        <v>1.7399495856337121E-3</v>
      </c>
      <c r="S233" s="3">
        <f t="shared" si="194"/>
        <v>1.7399495856337043E-3</v>
      </c>
      <c r="T233" s="3">
        <f t="shared" si="194"/>
        <v>1.7399495856336255E-3</v>
      </c>
      <c r="U233" s="3">
        <f t="shared" si="194"/>
        <v>1.7399495856328406E-3</v>
      </c>
      <c r="V233" s="3">
        <f t="shared" si="194"/>
        <v>1.7399495856249892E-3</v>
      </c>
      <c r="W233" s="3">
        <f t="shared" si="194"/>
        <v>1.7399495855464754E-3</v>
      </c>
      <c r="X233" s="3">
        <f t="shared" si="194"/>
        <v>1.7399495847613361E-3</v>
      </c>
      <c r="Y233" s="3">
        <f t="shared" si="194"/>
        <v>1.7399495769099456E-3</v>
      </c>
      <c r="Z233" s="3">
        <f t="shared" si="194"/>
        <v>1.7399494983960408E-3</v>
      </c>
      <c r="AA233" s="3">
        <f t="shared" si="194"/>
        <v>1.7399487132571886E-3</v>
      </c>
      <c r="AB233" s="3">
        <f t="shared" si="194"/>
        <v>1.7399408618881517E-3</v>
      </c>
      <c r="AC233" s="3">
        <f t="shared" si="194"/>
        <v>1.7398623501463325E-3</v>
      </c>
      <c r="AD233" s="3">
        <f t="shared" si="194"/>
        <v>1.7390774275504266E-3</v>
      </c>
      <c r="AE233" s="3">
        <f t="shared" si="194"/>
        <v>1.73124765133186E-3</v>
      </c>
      <c r="AF233" s="3">
        <f t="shared" si="194"/>
        <v>1.6548627781965241E-3</v>
      </c>
      <c r="AG233" s="3"/>
      <c r="AH233" s="3"/>
    </row>
    <row r="234" spans="2:34" x14ac:dyDescent="0.25">
      <c r="B234" s="3">
        <f t="shared" ref="B234:AF234" si="195">$C42*EXP(-B$207/$A42/EXP(-$D$126))</f>
        <v>3.0775072994127634E-3</v>
      </c>
      <c r="C234" s="3">
        <f t="shared" si="195"/>
        <v>3.0775072994127634E-3</v>
      </c>
      <c r="D234" s="3">
        <f t="shared" si="195"/>
        <v>3.0775072994127634E-3</v>
      </c>
      <c r="E234" s="3">
        <f t="shared" si="195"/>
        <v>3.0775072994127634E-3</v>
      </c>
      <c r="F234" s="3">
        <f t="shared" si="195"/>
        <v>3.0775072994127634E-3</v>
      </c>
      <c r="G234" s="3">
        <f t="shared" si="195"/>
        <v>3.0775072994127634E-3</v>
      </c>
      <c r="H234" s="3">
        <f t="shared" si="195"/>
        <v>3.0775072994127634E-3</v>
      </c>
      <c r="I234" s="3">
        <f t="shared" si="195"/>
        <v>3.0775072994127634E-3</v>
      </c>
      <c r="J234" s="3">
        <f t="shared" si="195"/>
        <v>3.0775072994127634E-3</v>
      </c>
      <c r="K234" s="3">
        <f t="shared" si="195"/>
        <v>3.0775072994127634E-3</v>
      </c>
      <c r="L234" s="3">
        <f t="shared" si="195"/>
        <v>3.0775072994127634E-3</v>
      </c>
      <c r="M234" s="3">
        <f t="shared" si="195"/>
        <v>3.0775072994127634E-3</v>
      </c>
      <c r="N234" s="3">
        <f t="shared" si="195"/>
        <v>3.0775072994127634E-3</v>
      </c>
      <c r="O234" s="3">
        <f t="shared" si="195"/>
        <v>3.0775072994127634E-3</v>
      </c>
      <c r="P234" s="3">
        <f t="shared" si="195"/>
        <v>3.0775072994127634E-3</v>
      </c>
      <c r="Q234" s="3">
        <f t="shared" si="195"/>
        <v>3.0775072994127634E-3</v>
      </c>
      <c r="R234" s="3">
        <f t="shared" si="195"/>
        <v>3.0775072994127634E-3</v>
      </c>
      <c r="S234" s="3">
        <f t="shared" si="195"/>
        <v>3.0775072994127617E-3</v>
      </c>
      <c r="T234" s="3">
        <f t="shared" si="195"/>
        <v>3.0775072994127482E-3</v>
      </c>
      <c r="U234" s="3">
        <f t="shared" si="195"/>
        <v>3.077507299412609E-3</v>
      </c>
      <c r="V234" s="3">
        <f t="shared" si="195"/>
        <v>3.0775072994112204E-3</v>
      </c>
      <c r="W234" s="3">
        <f t="shared" si="195"/>
        <v>3.0775072993973335E-3</v>
      </c>
      <c r="X234" s="3">
        <f t="shared" si="195"/>
        <v>3.0775072992584632E-3</v>
      </c>
      <c r="Y234" s="3">
        <f t="shared" si="195"/>
        <v>3.0775072978697611E-3</v>
      </c>
      <c r="Z234" s="3">
        <f t="shared" si="195"/>
        <v>3.0775072839827429E-3</v>
      </c>
      <c r="AA234" s="3">
        <f t="shared" si="195"/>
        <v>3.0775071451125614E-3</v>
      </c>
      <c r="AB234" s="3">
        <f t="shared" si="195"/>
        <v>3.0775057564110904E-3</v>
      </c>
      <c r="AC234" s="3">
        <f t="shared" si="195"/>
        <v>3.0774918694308467E-3</v>
      </c>
      <c r="AD234" s="3">
        <f t="shared" si="195"/>
        <v>3.0773530030748708E-3</v>
      </c>
      <c r="AE234" s="3">
        <f t="shared" si="195"/>
        <v>3.0759646841038387E-3</v>
      </c>
      <c r="AF234" s="3">
        <f t="shared" si="195"/>
        <v>3.0621158958030956E-3</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0</v>
      </c>
      <c r="C236" s="3">
        <f t="shared" si="197"/>
        <v>0</v>
      </c>
      <c r="D236" s="3">
        <f t="shared" si="197"/>
        <v>0</v>
      </c>
      <c r="E236" s="3">
        <f t="shared" si="197"/>
        <v>0</v>
      </c>
      <c r="F236" s="3">
        <f t="shared" si="197"/>
        <v>0</v>
      </c>
      <c r="G236" s="3">
        <f t="shared" si="197"/>
        <v>0</v>
      </c>
      <c r="H236" s="3">
        <f t="shared" si="197"/>
        <v>0</v>
      </c>
      <c r="I236" s="3">
        <f t="shared" si="197"/>
        <v>0</v>
      </c>
      <c r="J236" s="3">
        <f t="shared" si="197"/>
        <v>0</v>
      </c>
      <c r="K236" s="3">
        <f t="shared" si="197"/>
        <v>0</v>
      </c>
      <c r="L236" s="3">
        <f t="shared" si="197"/>
        <v>0</v>
      </c>
      <c r="M236" s="3">
        <f t="shared" si="197"/>
        <v>0</v>
      </c>
      <c r="N236" s="3">
        <f t="shared" si="197"/>
        <v>0</v>
      </c>
      <c r="O236" s="3">
        <f t="shared" si="197"/>
        <v>0</v>
      </c>
      <c r="P236" s="3">
        <f t="shared" si="197"/>
        <v>0</v>
      </c>
      <c r="Q236" s="3">
        <f t="shared" si="197"/>
        <v>0</v>
      </c>
      <c r="R236" s="3">
        <f t="shared" si="197"/>
        <v>0</v>
      </c>
      <c r="S236" s="3">
        <f t="shared" si="197"/>
        <v>0</v>
      </c>
      <c r="T236" s="3">
        <f t="shared" si="197"/>
        <v>0</v>
      </c>
      <c r="U236" s="3">
        <f t="shared" si="197"/>
        <v>0</v>
      </c>
      <c r="V236" s="3">
        <f t="shared" si="197"/>
        <v>0</v>
      </c>
      <c r="W236" s="3">
        <f t="shared" si="197"/>
        <v>0</v>
      </c>
      <c r="X236" s="3">
        <f t="shared" si="197"/>
        <v>0</v>
      </c>
      <c r="Y236" s="3">
        <f t="shared" si="197"/>
        <v>0</v>
      </c>
      <c r="Z236" s="3">
        <f t="shared" si="197"/>
        <v>0</v>
      </c>
      <c r="AA236" s="3">
        <f t="shared" si="197"/>
        <v>0</v>
      </c>
      <c r="AB236" s="3">
        <f t="shared" si="197"/>
        <v>0</v>
      </c>
      <c r="AC236" s="3">
        <f t="shared" si="197"/>
        <v>0</v>
      </c>
      <c r="AD236" s="3">
        <f t="shared" si="197"/>
        <v>0</v>
      </c>
      <c r="AE236" s="3">
        <f t="shared" si="197"/>
        <v>0</v>
      </c>
      <c r="AF236" s="3">
        <f t="shared" si="197"/>
        <v>0</v>
      </c>
      <c r="AG236" s="3"/>
      <c r="AH236" s="3"/>
    </row>
    <row r="237" spans="2:34" x14ac:dyDescent="0.25">
      <c r="B237" s="3">
        <f t="shared" ref="B237:AF237" si="198">$C45*EXP(-B$207/$A45/EXP(-$D$126))</f>
        <v>3.9641523668516518E-5</v>
      </c>
      <c r="C237" s="3">
        <f t="shared" si="198"/>
        <v>3.9641523668516518E-5</v>
      </c>
      <c r="D237" s="3">
        <f t="shared" si="198"/>
        <v>3.9641523668516518E-5</v>
      </c>
      <c r="E237" s="3">
        <f t="shared" si="198"/>
        <v>3.9641523668516518E-5</v>
      </c>
      <c r="F237" s="3">
        <f t="shared" si="198"/>
        <v>3.9641523668516518E-5</v>
      </c>
      <c r="G237" s="3">
        <f t="shared" si="198"/>
        <v>3.9641523668516518E-5</v>
      </c>
      <c r="H237" s="3">
        <f t="shared" si="198"/>
        <v>3.9641523668516518E-5</v>
      </c>
      <c r="I237" s="3">
        <f t="shared" si="198"/>
        <v>3.9641523668516518E-5</v>
      </c>
      <c r="J237" s="3">
        <f t="shared" si="198"/>
        <v>3.9641523668516518E-5</v>
      </c>
      <c r="K237" s="3">
        <f t="shared" si="198"/>
        <v>3.9641523668516518E-5</v>
      </c>
      <c r="L237" s="3">
        <f t="shared" si="198"/>
        <v>3.9641523668516518E-5</v>
      </c>
      <c r="M237" s="3">
        <f t="shared" si="198"/>
        <v>3.9641523668516518E-5</v>
      </c>
      <c r="N237" s="3">
        <f t="shared" si="198"/>
        <v>3.9641523668516518E-5</v>
      </c>
      <c r="O237" s="3">
        <f t="shared" si="198"/>
        <v>3.9641523668516518E-5</v>
      </c>
      <c r="P237" s="3">
        <f t="shared" si="198"/>
        <v>3.9641523668516518E-5</v>
      </c>
      <c r="Q237" s="3">
        <f t="shared" si="198"/>
        <v>3.9641523668516518E-5</v>
      </c>
      <c r="R237" s="3">
        <f t="shared" si="198"/>
        <v>3.9641523668516518E-5</v>
      </c>
      <c r="S237" s="3">
        <f t="shared" si="198"/>
        <v>3.9641523668516518E-5</v>
      </c>
      <c r="T237" s="3">
        <f t="shared" si="198"/>
        <v>3.9641523668516518E-5</v>
      </c>
      <c r="U237" s="3">
        <f t="shared" si="198"/>
        <v>3.9641523668516518E-5</v>
      </c>
      <c r="V237" s="3">
        <f t="shared" si="198"/>
        <v>3.9641523668516498E-5</v>
      </c>
      <c r="W237" s="3">
        <f t="shared" si="198"/>
        <v>3.9641523668516321E-5</v>
      </c>
      <c r="X237" s="3">
        <f t="shared" si="198"/>
        <v>3.9641523668514526E-5</v>
      </c>
      <c r="Y237" s="3">
        <f t="shared" si="198"/>
        <v>3.9641523668496643E-5</v>
      </c>
      <c r="Z237" s="3">
        <f t="shared" si="198"/>
        <v>3.9641523668317763E-5</v>
      </c>
      <c r="AA237" s="3">
        <f t="shared" si="198"/>
        <v>3.9641523666528972E-5</v>
      </c>
      <c r="AB237" s="3">
        <f t="shared" si="198"/>
        <v>3.9641523648641032E-5</v>
      </c>
      <c r="AC237" s="3">
        <f t="shared" si="198"/>
        <v>3.964152346976166E-5</v>
      </c>
      <c r="AD237" s="3">
        <f t="shared" si="198"/>
        <v>3.9641521680967985E-5</v>
      </c>
      <c r="AE237" s="3">
        <f t="shared" si="198"/>
        <v>3.9641503793035686E-5</v>
      </c>
      <c r="AF237" s="3">
        <f t="shared" si="198"/>
        <v>3.9641324914156624E-5</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4.3007652150806221E-4</v>
      </c>
      <c r="C240" s="3">
        <f t="shared" si="201"/>
        <v>4.3007652150806221E-4</v>
      </c>
      <c r="D240" s="3">
        <f t="shared" si="201"/>
        <v>4.3007652150806221E-4</v>
      </c>
      <c r="E240" s="3">
        <f t="shared" si="201"/>
        <v>4.3007652150806221E-4</v>
      </c>
      <c r="F240" s="3">
        <f t="shared" si="201"/>
        <v>4.3007652150806221E-4</v>
      </c>
      <c r="G240" s="3">
        <f t="shared" si="201"/>
        <v>4.3007652150806221E-4</v>
      </c>
      <c r="H240" s="3">
        <f t="shared" si="201"/>
        <v>4.3007652150806221E-4</v>
      </c>
      <c r="I240" s="3">
        <f t="shared" si="201"/>
        <v>4.3007652150806221E-4</v>
      </c>
      <c r="J240" s="3">
        <f t="shared" si="201"/>
        <v>4.3007652150806221E-4</v>
      </c>
      <c r="K240" s="3">
        <f t="shared" si="201"/>
        <v>4.3007652150806221E-4</v>
      </c>
      <c r="L240" s="3">
        <f t="shared" si="201"/>
        <v>4.3007652150806221E-4</v>
      </c>
      <c r="M240" s="3">
        <f t="shared" si="201"/>
        <v>4.3007652150806221E-4</v>
      </c>
      <c r="N240" s="3">
        <f t="shared" si="201"/>
        <v>4.3007652150806221E-4</v>
      </c>
      <c r="O240" s="3">
        <f t="shared" si="201"/>
        <v>4.3007652150806221E-4</v>
      </c>
      <c r="P240" s="3">
        <f t="shared" si="201"/>
        <v>4.3007652150806221E-4</v>
      </c>
      <c r="Q240" s="3">
        <f t="shared" si="201"/>
        <v>4.3007652150806221E-4</v>
      </c>
      <c r="R240" s="3">
        <f t="shared" si="201"/>
        <v>4.3007652150806221E-4</v>
      </c>
      <c r="S240" s="3">
        <f t="shared" si="201"/>
        <v>4.3007652150806221E-4</v>
      </c>
      <c r="T240" s="3">
        <f t="shared" si="201"/>
        <v>4.3007652150806221E-4</v>
      </c>
      <c r="U240" s="3">
        <f t="shared" si="201"/>
        <v>4.3007652150806221E-4</v>
      </c>
      <c r="V240" s="3">
        <f t="shared" si="201"/>
        <v>4.3007652150806221E-4</v>
      </c>
      <c r="W240" s="3">
        <f t="shared" si="201"/>
        <v>4.3007652150806221E-4</v>
      </c>
      <c r="X240" s="3">
        <f t="shared" si="201"/>
        <v>4.3007652150806221E-4</v>
      </c>
      <c r="Y240" s="3">
        <f t="shared" si="201"/>
        <v>4.3007652150806199E-4</v>
      </c>
      <c r="Z240" s="3">
        <f t="shared" si="201"/>
        <v>4.3007652150806004E-4</v>
      </c>
      <c r="AA240" s="3">
        <f t="shared" si="201"/>
        <v>4.3007652150804063E-4</v>
      </c>
      <c r="AB240" s="3">
        <f t="shared" si="201"/>
        <v>4.3007652150784656E-4</v>
      </c>
      <c r="AC240" s="3">
        <f t="shared" si="201"/>
        <v>4.3007652150590589E-4</v>
      </c>
      <c r="AD240" s="3">
        <f t="shared" si="201"/>
        <v>4.3007652148649905E-4</v>
      </c>
      <c r="AE240" s="3">
        <f t="shared" si="201"/>
        <v>4.3007652129243022E-4</v>
      </c>
      <c r="AF240" s="3">
        <f t="shared" si="201"/>
        <v>4.3007651935174254E-4</v>
      </c>
      <c r="AG240" s="3"/>
      <c r="AH240" s="3"/>
    </row>
    <row r="241" spans="1:34" x14ac:dyDescent="0.25">
      <c r="A241" s="79">
        <f>AVERAGE(B241:AF241)</f>
        <v>2.5485005203550227E-2</v>
      </c>
      <c r="B241" s="80">
        <f>IF($A$64&lt;=B207,IF($B$64&gt;=B207,ABS((B209-B208)/B208),0),0)</f>
        <v>4.5773115395574292E-2</v>
      </c>
      <c r="C241" s="80">
        <f t="shared" ref="C241:AF241" si="202">IF($A$64&lt;=C207,IF($B$64&gt;=C207,ABS((C209-C208)/C208),0),0)</f>
        <v>6.2755710871334081E-2</v>
      </c>
      <c r="D241" s="80">
        <f t="shared" si="202"/>
        <v>1.7095525662173597E-3</v>
      </c>
      <c r="E241" s="80">
        <f t="shared" si="202"/>
        <v>0.13506336019928528</v>
      </c>
      <c r="F241" s="80">
        <f t="shared" si="202"/>
        <v>0.11264216707246213</v>
      </c>
      <c r="G241" s="80">
        <f t="shared" si="202"/>
        <v>8.5238256283840227E-2</v>
      </c>
      <c r="H241" s="80">
        <f t="shared" si="202"/>
        <v>5.3062107882437183E-2</v>
      </c>
      <c r="I241" s="80">
        <f t="shared" si="202"/>
        <v>2.0125053721494996E-2</v>
      </c>
      <c r="J241" s="80">
        <f t="shared" si="202"/>
        <v>5.3744351074448433E-3</v>
      </c>
      <c r="K241" s="80">
        <f t="shared" si="202"/>
        <v>6.9947127201373804E-3</v>
      </c>
      <c r="L241" s="80">
        <f t="shared" si="202"/>
        <v>1.0463743553549475E-2</v>
      </c>
      <c r="M241" s="80">
        <f t="shared" si="202"/>
        <v>7.5179717742783377E-3</v>
      </c>
      <c r="N241" s="80">
        <f t="shared" si="202"/>
        <v>8.0176346739790141E-3</v>
      </c>
      <c r="O241" s="80">
        <f t="shared" si="202"/>
        <v>7.5306193232023083E-3</v>
      </c>
      <c r="P241" s="80">
        <f t="shared" si="202"/>
        <v>7.8870946594142236E-3</v>
      </c>
      <c r="Q241" s="80">
        <f t="shared" si="202"/>
        <v>7.3373346899853328E-3</v>
      </c>
      <c r="R241" s="80">
        <f t="shared" si="202"/>
        <v>8.474266620886654E-3</v>
      </c>
      <c r="S241" s="80">
        <f t="shared" si="202"/>
        <v>3.3405530287003255E-3</v>
      </c>
      <c r="T241" s="80">
        <f t="shared" si="202"/>
        <v>4.6989177631682416E-3</v>
      </c>
      <c r="U241" s="80">
        <f t="shared" si="202"/>
        <v>2.5064070638144247E-2</v>
      </c>
      <c r="V241" s="80">
        <f t="shared" si="202"/>
        <v>3.873338110681665E-2</v>
      </c>
      <c r="W241" s="80">
        <f t="shared" si="202"/>
        <v>4.6664037464005687E-2</v>
      </c>
      <c r="X241" s="80">
        <f t="shared" si="202"/>
        <v>3.9297117407054216E-2</v>
      </c>
      <c r="Y241" s="80">
        <f t="shared" si="202"/>
        <v>1.18122576528264E-2</v>
      </c>
      <c r="Z241" s="80">
        <f t="shared" si="202"/>
        <v>1.4150917732416431E-3</v>
      </c>
      <c r="AA241" s="80">
        <f t="shared" si="202"/>
        <v>1.6477551698197458E-2</v>
      </c>
      <c r="AB241" s="80">
        <f t="shared" si="202"/>
        <v>1.2669055819962267E-4</v>
      </c>
      <c r="AC241" s="80">
        <f t="shared" si="202"/>
        <v>5.0341381203730636E-3</v>
      </c>
      <c r="AD241" s="80">
        <f t="shared" si="202"/>
        <v>4.1184887070487303E-3</v>
      </c>
      <c r="AE241" s="80">
        <f t="shared" si="202"/>
        <v>5.941959125617716E-3</v>
      </c>
      <c r="AF241" s="80">
        <f t="shared" si="202"/>
        <v>1.3437691511400348E-3</v>
      </c>
    </row>
    <row r="242" spans="1:34" x14ac:dyDescent="0.25">
      <c r="B242" s="21">
        <f>(B209-B208)^2</f>
        <v>198357.26789123143</v>
      </c>
      <c r="C242" s="21">
        <f t="shared" ref="C242:AF242" si="203">(C209-C208)^2</f>
        <v>353647.50111203687</v>
      </c>
      <c r="D242" s="21">
        <f t="shared" si="203"/>
        <v>250.82265399378207</v>
      </c>
      <c r="E242" s="21">
        <f t="shared" si="203"/>
        <v>1491719.9612584484</v>
      </c>
      <c r="F242" s="21">
        <f t="shared" si="203"/>
        <v>981804.35275595903</v>
      </c>
      <c r="G242" s="21">
        <f t="shared" si="203"/>
        <v>529011.67584346922</v>
      </c>
      <c r="H242" s="21">
        <f t="shared" si="203"/>
        <v>191273.2160393619</v>
      </c>
      <c r="I242" s="21">
        <f t="shared" si="203"/>
        <v>25646.364573146577</v>
      </c>
      <c r="J242" s="21">
        <f t="shared" si="203"/>
        <v>1706.0792022223013</v>
      </c>
      <c r="K242" s="21">
        <f t="shared" si="203"/>
        <v>2656.7549608527311</v>
      </c>
      <c r="L242" s="21">
        <f t="shared" si="203"/>
        <v>5362.5255373609216</v>
      </c>
      <c r="M242" s="21">
        <f t="shared" si="203"/>
        <v>2478.1364905115261</v>
      </c>
      <c r="N242" s="21">
        <f t="shared" si="203"/>
        <v>2557.1729960932421</v>
      </c>
      <c r="O242" s="21">
        <f t="shared" si="203"/>
        <v>2057.1607090371172</v>
      </c>
      <c r="P242" s="21">
        <f t="shared" si="203"/>
        <v>2052.1696141939083</v>
      </c>
      <c r="Q242" s="21">
        <f t="shared" si="203"/>
        <v>1604.5132804224422</v>
      </c>
      <c r="R242" s="21">
        <f t="shared" si="203"/>
        <v>1931.4806453527576</v>
      </c>
      <c r="S242" s="21">
        <f t="shared" si="203"/>
        <v>264.17616867305071</v>
      </c>
      <c r="T242" s="21">
        <f t="shared" si="203"/>
        <v>441.43436514846076</v>
      </c>
      <c r="U242" s="21">
        <f t="shared" si="203"/>
        <v>10209.010496444642</v>
      </c>
      <c r="V242" s="21">
        <f t="shared" si="203"/>
        <v>19071.036333578588</v>
      </c>
      <c r="W242" s="21">
        <f t="shared" si="203"/>
        <v>20553.520134202128</v>
      </c>
      <c r="X242" s="21">
        <f t="shared" si="203"/>
        <v>9968.9977898729976</v>
      </c>
      <c r="Y242" s="21">
        <f t="shared" si="203"/>
        <v>543.73290508108653</v>
      </c>
      <c r="Z242" s="21">
        <f t="shared" si="203"/>
        <v>4.1972801685943804</v>
      </c>
      <c r="AA242" s="21">
        <f t="shared" si="203"/>
        <v>296.13074188003122</v>
      </c>
      <c r="AB242" s="21">
        <f t="shared" si="203"/>
        <v>9.8758527367596317E-3</v>
      </c>
      <c r="AC242" s="21">
        <f t="shared" si="203"/>
        <v>10.753667067599194</v>
      </c>
      <c r="AD242" s="21">
        <f t="shared" si="203"/>
        <v>5.7810369090207034</v>
      </c>
      <c r="AE242" s="21">
        <f t="shared" si="203"/>
        <v>10.630626527451499</v>
      </c>
      <c r="AF242" s="21">
        <f t="shared" si="203"/>
        <v>0.49826836679074438</v>
      </c>
      <c r="AG242" s="3"/>
      <c r="AH242" s="3"/>
    </row>
    <row r="243" spans="1:34" x14ac:dyDescent="0.25">
      <c r="A243" s="71">
        <f>SUM(B243:AF243)</f>
        <v>3855497.0652534678</v>
      </c>
      <c r="B243" s="60">
        <f>IF($A$64&lt;=B207,IF($B$64&gt;=B207,ABS(B242),0),0)</f>
        <v>198357.26789123143</v>
      </c>
      <c r="C243" s="60">
        <f t="shared" ref="C243" si="204">IF($A$64&lt;=C207,IF($B$64&gt;=C207,ABS(C242),0),0)</f>
        <v>353647.50111203687</v>
      </c>
      <c r="D243" s="60">
        <f t="shared" ref="D243" si="205">IF($A$64&lt;=D207,IF($B$64&gt;=D207,ABS(D242),0),0)</f>
        <v>250.82265399378207</v>
      </c>
      <c r="E243" s="60">
        <f t="shared" ref="E243" si="206">IF($A$64&lt;=E207,IF($B$64&gt;=E207,ABS(E242),0),0)</f>
        <v>1491719.9612584484</v>
      </c>
      <c r="F243" s="60">
        <f t="shared" ref="F243" si="207">IF($A$64&lt;=F207,IF($B$64&gt;=F207,ABS(F242),0),0)</f>
        <v>981804.35275595903</v>
      </c>
      <c r="G243" s="60">
        <f t="shared" ref="G243" si="208">IF($A$64&lt;=G207,IF($B$64&gt;=G207,ABS(G242),0),0)</f>
        <v>529011.67584346922</v>
      </c>
      <c r="H243" s="60">
        <f t="shared" ref="H243" si="209">IF($A$64&lt;=H207,IF($B$64&gt;=H207,ABS(H242),0),0)</f>
        <v>191273.2160393619</v>
      </c>
      <c r="I243" s="60">
        <f t="shared" ref="I243" si="210">IF($A$64&lt;=I207,IF($B$64&gt;=I207,ABS(I242),0),0)</f>
        <v>25646.364573146577</v>
      </c>
      <c r="J243" s="60">
        <f t="shared" ref="J243" si="211">IF($A$64&lt;=J207,IF($B$64&gt;=J207,ABS(J242),0),0)</f>
        <v>1706.0792022223013</v>
      </c>
      <c r="K243" s="60">
        <f t="shared" ref="K243" si="212">IF($A$64&lt;=K207,IF($B$64&gt;=K207,ABS(K242),0),0)</f>
        <v>2656.7549608527311</v>
      </c>
      <c r="L243" s="60">
        <f t="shared" ref="L243" si="213">IF($A$64&lt;=L207,IF($B$64&gt;=L207,ABS(L242),0),0)</f>
        <v>5362.5255373609216</v>
      </c>
      <c r="M243" s="60">
        <f t="shared" ref="M243" si="214">IF($A$64&lt;=M207,IF($B$64&gt;=M207,ABS(M242),0),0)</f>
        <v>2478.1364905115261</v>
      </c>
      <c r="N243" s="60">
        <f t="shared" ref="N243" si="215">IF($A$64&lt;=N207,IF($B$64&gt;=N207,ABS(N242),0),0)</f>
        <v>2557.1729960932421</v>
      </c>
      <c r="O243" s="60">
        <f t="shared" ref="O243" si="216">IF($A$64&lt;=O207,IF($B$64&gt;=O207,ABS(O242),0),0)</f>
        <v>2057.1607090371172</v>
      </c>
      <c r="P243" s="60">
        <f t="shared" ref="P243" si="217">IF($A$64&lt;=P207,IF($B$64&gt;=P207,ABS(P242),0),0)</f>
        <v>2052.1696141939083</v>
      </c>
      <c r="Q243" s="60">
        <f t="shared" ref="Q243" si="218">IF($A$64&lt;=Q207,IF($B$64&gt;=Q207,ABS(Q242),0),0)</f>
        <v>1604.5132804224422</v>
      </c>
      <c r="R243" s="60">
        <f t="shared" ref="R243" si="219">IF($A$64&lt;=R207,IF($B$64&gt;=R207,ABS(R242),0),0)</f>
        <v>1931.4806453527576</v>
      </c>
      <c r="S243" s="60">
        <f t="shared" ref="S243" si="220">IF($A$64&lt;=S207,IF($B$64&gt;=S207,ABS(S242),0),0)</f>
        <v>264.17616867305071</v>
      </c>
      <c r="T243" s="60">
        <f t="shared" ref="T243" si="221">IF($A$64&lt;=T207,IF($B$64&gt;=T207,ABS(T242),0),0)</f>
        <v>441.43436514846076</v>
      </c>
      <c r="U243" s="60">
        <f t="shared" ref="U243" si="222">IF($A$64&lt;=U207,IF($B$64&gt;=U207,ABS(U242),0),0)</f>
        <v>10209.010496444642</v>
      </c>
      <c r="V243" s="60">
        <f t="shared" ref="V243" si="223">IF($A$64&lt;=V207,IF($B$64&gt;=V207,ABS(V242),0),0)</f>
        <v>19071.036333578588</v>
      </c>
      <c r="W243" s="60">
        <f t="shared" ref="W243" si="224">IF($A$64&lt;=W207,IF($B$64&gt;=W207,ABS(W242),0),0)</f>
        <v>20553.520134202128</v>
      </c>
      <c r="X243" s="60">
        <f t="shared" ref="X243" si="225">IF($A$64&lt;=X207,IF($B$64&gt;=X207,ABS(X242),0),0)</f>
        <v>9968.9977898729976</v>
      </c>
      <c r="Y243" s="60">
        <f t="shared" ref="Y243" si="226">IF($A$64&lt;=Y207,IF($B$64&gt;=Y207,ABS(Y242),0),0)</f>
        <v>543.73290508108653</v>
      </c>
      <c r="Z243" s="60">
        <f t="shared" ref="Z243" si="227">IF($A$64&lt;=Z207,IF($B$64&gt;=Z207,ABS(Z242),0),0)</f>
        <v>4.1972801685943804</v>
      </c>
      <c r="AA243" s="60">
        <f t="shared" ref="AA243" si="228">IF($A$64&lt;=AA207,IF($B$64&gt;=AA207,ABS(AA242),0),0)</f>
        <v>296.13074188003122</v>
      </c>
      <c r="AB243" s="60">
        <f t="shared" ref="AB243" si="229">IF($A$64&lt;=AB207,IF($B$64&gt;=AB207,ABS(AB242),0),0)</f>
        <v>9.8758527367596317E-3</v>
      </c>
      <c r="AC243" s="60">
        <f t="shared" ref="AC243" si="230">IF($A$64&lt;=AC207,IF($B$64&gt;=AC207,ABS(AC242),0),0)</f>
        <v>10.753667067599194</v>
      </c>
      <c r="AD243" s="60">
        <f t="shared" ref="AD243" si="231">IF($A$64&lt;=AD207,IF($B$64&gt;=AD207,ABS(AD242),0),0)</f>
        <v>5.7810369090207034</v>
      </c>
      <c r="AE243" s="60">
        <f t="shared" ref="AE243" si="232">IF($A$64&lt;=AE207,IF($B$64&gt;=AE207,ABS(AE242),0),0)</f>
        <v>10.630626527451499</v>
      </c>
      <c r="AF243" s="60">
        <f t="shared" ref="AF243" si="233">IF($A$64&lt;=AF207,IF($B$64&gt;=AF207,ABS(AF242),0),0)</f>
        <v>0.49826836679074438</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9521.3086452220268</v>
      </c>
      <c r="C247" s="26">
        <f>INDEX(Comparison!$AM$3:$AS$33,G$14,$E$122)</f>
        <v>9264.9569626866305</v>
      </c>
      <c r="D247" s="26">
        <f>INDEX(Comparison!$AM$3:$AS$33,H$14,$E$122)</f>
        <v>9040.3201170121174</v>
      </c>
      <c r="E247" s="26">
        <f>INDEX(Comparison!$AM$3:$AS$33,I$14,$E$122)</f>
        <v>8795.6860246078559</v>
      </c>
      <c r="F247" s="26">
        <f>INDEX(Comparison!$AM$3:$AS$33,J$14,$E$122)</f>
        <v>8532.6912536798991</v>
      </c>
      <c r="G247" s="26">
        <f>INDEX(Comparison!$AM$3:$AS$33,K$14,$E$122)</f>
        <v>8244.2374276121209</v>
      </c>
      <c r="H247" s="26">
        <f>INDEX(Comparison!$AM$3:$AS$33,L$14,$E$122)</f>
        <v>7958.2786468847135</v>
      </c>
      <c r="I247" s="26">
        <f>INDEX(Comparison!$AM$3:$AS$33,M$14,$E$122)</f>
        <v>7687.376383967704</v>
      </c>
      <c r="J247" s="26">
        <f>INDEX(Comparison!$AM$3:$AS$33,N$14,$E$122)</f>
        <v>7374.3712231841728</v>
      </c>
      <c r="K247" s="26">
        <f>INDEX(Comparison!$AM$3:$AS$33,O$14,$E$122)</f>
        <v>7006.1552436770207</v>
      </c>
      <c r="L247" s="26">
        <f>INDEX(Comparison!$AM$3:$AS$33,P$14,$E$122)</f>
        <v>6628.8785990090082</v>
      </c>
      <c r="M247" s="26">
        <f>INDEX(Comparison!$AM$3:$AS$33,Q$14,$E$122)</f>
        <v>6311.3720523241727</v>
      </c>
      <c r="N247" s="26">
        <f>INDEX(Comparison!$AM$3:$AS$33,R$14,$E$122)</f>
        <v>6028.2349504089671</v>
      </c>
      <c r="O247" s="26">
        <f>INDEX(Comparison!$AM$3:$AS$33,S$14,$E$122)</f>
        <v>5748.7087759518809</v>
      </c>
      <c r="P247" s="26">
        <f>INDEX(Comparison!$AM$3:$AS$33,T$14,$E$122)</f>
        <v>5465.7818754747968</v>
      </c>
      <c r="Q247" s="26">
        <f>INDEX(Comparison!$AM$3:$AS$33,U$14,$E$122)</f>
        <v>5192.657072535425</v>
      </c>
      <c r="R247" s="26">
        <f>INDEX(Comparison!$AM$3:$AS$33,V$14,$E$122)</f>
        <v>4882.9062343607484</v>
      </c>
      <c r="S247" s="26">
        <f>INDEX(Comparison!$AM$3:$AS$33,W$14,$E$122)</f>
        <v>4501.5398610325774</v>
      </c>
      <c r="T247" s="26">
        <f>INDEX(Comparison!$AM$3:$AS$33,X$14,$E$122)</f>
        <v>4066.6104281555185</v>
      </c>
      <c r="U247" s="26">
        <f>INDEX(Comparison!$AM$3:$AS$33,Y$14,$E$122)</f>
        <v>3597.5685781370817</v>
      </c>
      <c r="V247" s="26">
        <f>INDEX(Comparison!$AM$3:$AS$33,Z$14,$E$122)</f>
        <v>3102.4717339118838</v>
      </c>
      <c r="W247" s="26">
        <f>INDEX(Comparison!$AM$3:$AS$33,AA$14,$E$122)</f>
        <v>2568.6205512482802</v>
      </c>
      <c r="X247" s="26">
        <f>INDEX(Comparison!$AM$3:$AS$33,AB$14,$E$122)</f>
        <v>2000.7316961631682</v>
      </c>
      <c r="Y247" s="26">
        <f>INDEX(Comparison!$AM$3:$AS$33,AC$14,$E$122)</f>
        <v>1467.5042196825975</v>
      </c>
      <c r="Z247" s="26">
        <f>INDEX(Comparison!$AM$3:$AS$33,AD$14,$E$122)</f>
        <v>1058.8226695409851</v>
      </c>
      <c r="AA247" s="26">
        <f>INDEX(Comparison!$AM$3:$AS$33,AE$14,$E$122)</f>
        <v>791.47453302018846</v>
      </c>
      <c r="AB247" s="26">
        <f>INDEX(Comparison!$AM$3:$AS$33,AF$14,$E$122)</f>
        <v>655.80009654126911</v>
      </c>
      <c r="AC247" s="26">
        <f>INDEX(Comparison!$AM$3:$AS$33,AG$14,$E$122)</f>
        <v>585.43210743850034</v>
      </c>
      <c r="AD247" s="26">
        <f>INDEX(Comparison!$AM$3:$AS$33,AH$14,$E$122)</f>
        <v>550.22961238933465</v>
      </c>
      <c r="AE247" s="26">
        <f>INDEX(Comparison!$AM$3:$AS$33,AI$14,$E$122)</f>
        <v>525.95012363885235</v>
      </c>
      <c r="AF247" s="26">
        <f>INDEX(Comparison!$AM$3:$AS$33,AJ$14,$E$122)</f>
        <v>515.3503886433972</v>
      </c>
      <c r="AG247" s="26"/>
      <c r="AH247" s="26"/>
    </row>
    <row r="248" spans="1:34" x14ac:dyDescent="0.25">
      <c r="A248" s="70" t="s">
        <v>22</v>
      </c>
      <c r="B248" s="27">
        <f>($C$17+SUM(B249:B279))*$B$51</f>
        <v>10083.078625943861</v>
      </c>
      <c r="C248" s="27">
        <f t="shared" ref="C248:AF248" si="234">($C$17+SUM(C249:C279))*$B$51</f>
        <v>9328.1076851650796</v>
      </c>
      <c r="D248" s="27">
        <f t="shared" si="234"/>
        <v>7832.8130481598901</v>
      </c>
      <c r="E248" s="27">
        <f t="shared" si="234"/>
        <v>7805.672341942347</v>
      </c>
      <c r="F248" s="27">
        <f t="shared" si="234"/>
        <v>7805.604951404126</v>
      </c>
      <c r="G248" s="27">
        <f t="shared" si="234"/>
        <v>7804.9314111149997</v>
      </c>
      <c r="H248" s="27">
        <f t="shared" si="234"/>
        <v>7798.2323790844803</v>
      </c>
      <c r="I248" s="27">
        <f t="shared" si="234"/>
        <v>7734.744575569167</v>
      </c>
      <c r="J248" s="27">
        <f t="shared" si="234"/>
        <v>7346.8738604994496</v>
      </c>
      <c r="K248" s="27">
        <f t="shared" si="234"/>
        <v>6942.7601126899153</v>
      </c>
      <c r="L248" s="27">
        <f t="shared" si="234"/>
        <v>6592.2139627639508</v>
      </c>
      <c r="M248" s="27">
        <f t="shared" si="234"/>
        <v>6270.886641043604</v>
      </c>
      <c r="N248" s="27">
        <f t="shared" si="234"/>
        <v>5992.5494707007201</v>
      </c>
      <c r="O248" s="27">
        <f t="shared" si="234"/>
        <v>5711.7991350168959</v>
      </c>
      <c r="P248" s="27">
        <f t="shared" si="234"/>
        <v>5433.3624348121284</v>
      </c>
      <c r="Q248" s="27">
        <f t="shared" si="234"/>
        <v>5154.0160285349657</v>
      </c>
      <c r="R248" s="27">
        <f t="shared" si="234"/>
        <v>4865.4666748915279</v>
      </c>
      <c r="S248" s="27">
        <f t="shared" si="234"/>
        <v>4507.1839536511243</v>
      </c>
      <c r="T248" s="27">
        <f t="shared" si="234"/>
        <v>4149.6770504789574</v>
      </c>
      <c r="U248" s="27">
        <f t="shared" si="234"/>
        <v>3722.9490247617809</v>
      </c>
      <c r="V248" s="27">
        <f t="shared" si="234"/>
        <v>3238.3641181419821</v>
      </c>
      <c r="W248" s="27">
        <f t="shared" si="234"/>
        <v>2667.813833639661</v>
      </c>
      <c r="X248" s="27">
        <f t="shared" si="234"/>
        <v>2024.125698768506</v>
      </c>
      <c r="Y248" s="27">
        <f t="shared" si="234"/>
        <v>1472.7389601696045</v>
      </c>
      <c r="Z248" s="27">
        <f t="shared" si="234"/>
        <v>1043.8565654981494</v>
      </c>
      <c r="AA248" s="27">
        <f t="shared" si="234"/>
        <v>794.32305442361633</v>
      </c>
      <c r="AB248" s="27">
        <f t="shared" si="234"/>
        <v>653.63761706882303</v>
      </c>
      <c r="AC248" s="27">
        <f t="shared" si="234"/>
        <v>588.66551394949192</v>
      </c>
      <c r="AD248" s="27">
        <f t="shared" si="234"/>
        <v>553.95804414466716</v>
      </c>
      <c r="AE248" s="27">
        <f t="shared" si="234"/>
        <v>524.88714183002514</v>
      </c>
      <c r="AF248" s="27">
        <f t="shared" si="234"/>
        <v>517.59085653577336</v>
      </c>
      <c r="AG248" s="27"/>
      <c r="AH248" s="27"/>
    </row>
    <row r="249" spans="1:34" x14ac:dyDescent="0.25">
      <c r="B249" s="3">
        <f t="shared" ref="B249:AF249" si="235">$C18*EXP(-B$246/$A18/EXP(-$E$126))</f>
        <v>0.22355271560566528</v>
      </c>
      <c r="C249" s="3">
        <f t="shared" si="235"/>
        <v>0.14944369758566289</v>
      </c>
      <c r="D249" s="3">
        <f t="shared" si="235"/>
        <v>2.6635088919516651E-3</v>
      </c>
      <c r="E249" s="3">
        <f t="shared" si="235"/>
        <v>8.6142925367604562E-21</v>
      </c>
      <c r="F249" s="3">
        <f t="shared" si="235"/>
        <v>1.078634400727339E-195</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6.1002040554844629E-2</v>
      </c>
      <c r="C250" s="3">
        <f t="shared" si="236"/>
        <v>6.100203426184693E-2</v>
      </c>
      <c r="D250" s="3">
        <f t="shared" si="236"/>
        <v>6.1001971331905679E-2</v>
      </c>
      <c r="E250" s="3">
        <f t="shared" si="236"/>
        <v>6.1001342036063666E-2</v>
      </c>
      <c r="F250" s="3">
        <f t="shared" si="236"/>
        <v>6.0995049434682078E-2</v>
      </c>
      <c r="G250" s="3">
        <f t="shared" si="236"/>
        <v>6.09321591110965E-2</v>
      </c>
      <c r="H250" s="3">
        <f t="shared" si="236"/>
        <v>6.0306811313044897E-2</v>
      </c>
      <c r="I250" s="3">
        <f t="shared" si="236"/>
        <v>5.4395672625468384E-2</v>
      </c>
      <c r="J250" s="3">
        <f t="shared" si="236"/>
        <v>1.9388499724038243E-2</v>
      </c>
      <c r="K250" s="3">
        <f t="shared" si="236"/>
        <v>6.417158102111218E-7</v>
      </c>
      <c r="L250" s="3">
        <f t="shared" si="236"/>
        <v>1.0123439326742073E-51</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3.0700763192898429E-2</v>
      </c>
      <c r="C251" s="3">
        <f t="shared" si="237"/>
        <v>3.0700762907199249E-2</v>
      </c>
      <c r="D251" s="3">
        <f t="shared" si="237"/>
        <v>3.0700760050207603E-2</v>
      </c>
      <c r="E251" s="3">
        <f t="shared" si="237"/>
        <v>3.0700731480305735E-2</v>
      </c>
      <c r="F251" s="3">
        <f t="shared" si="237"/>
        <v>3.0700445782749348E-2</v>
      </c>
      <c r="G251" s="3">
        <f t="shared" si="237"/>
        <v>3.0697588953408236E-2</v>
      </c>
      <c r="H251" s="3">
        <f t="shared" si="237"/>
        <v>3.0669035277236779E-2</v>
      </c>
      <c r="I251" s="3">
        <f t="shared" si="237"/>
        <v>3.038495521899701E-2</v>
      </c>
      <c r="J251" s="3">
        <f t="shared" si="237"/>
        <v>2.7684931688100576E-2</v>
      </c>
      <c r="K251" s="3">
        <f t="shared" si="237"/>
        <v>1.0916716003706955E-2</v>
      </c>
      <c r="L251" s="3">
        <f t="shared" si="237"/>
        <v>9.9215054122062292E-7</v>
      </c>
      <c r="M251" s="3">
        <f t="shared" si="237"/>
        <v>3.8144610644198879E-47</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4.1198622753980271E-2</v>
      </c>
      <c r="C252" s="3">
        <f t="shared" si="238"/>
        <v>4.1198622719395166E-2</v>
      </c>
      <c r="D252" s="3">
        <f t="shared" si="238"/>
        <v>4.1198622373544103E-2</v>
      </c>
      <c r="E252" s="3">
        <f t="shared" si="238"/>
        <v>4.1198618915033673E-2</v>
      </c>
      <c r="F252" s="3">
        <f t="shared" si="238"/>
        <v>4.1198584329945304E-2</v>
      </c>
      <c r="G252" s="3">
        <f t="shared" si="238"/>
        <v>4.1198238480658483E-2</v>
      </c>
      <c r="H252" s="3">
        <f t="shared" si="238"/>
        <v>4.1194780147467573E-2</v>
      </c>
      <c r="I252" s="3">
        <f t="shared" si="238"/>
        <v>4.1160212778331672E-2</v>
      </c>
      <c r="J252" s="3">
        <f t="shared" si="238"/>
        <v>4.0816130417294094E-2</v>
      </c>
      <c r="K252" s="3">
        <f t="shared" si="238"/>
        <v>3.7529606124422028E-2</v>
      </c>
      <c r="L252" s="3">
        <f t="shared" si="238"/>
        <v>1.621047653798377E-2</v>
      </c>
      <c r="M252" s="3">
        <f t="shared" si="238"/>
        <v>3.6644899638186433E-6</v>
      </c>
      <c r="N252" s="3">
        <f t="shared" si="238"/>
        <v>1.2770005463157951E-42</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2.6960630065214881E-2</v>
      </c>
      <c r="C253" s="3">
        <f t="shared" si="239"/>
        <v>2.6960630063173219E-2</v>
      </c>
      <c r="D253" s="3">
        <f t="shared" si="239"/>
        <v>2.6960630042756638E-2</v>
      </c>
      <c r="E253" s="3">
        <f t="shared" si="239"/>
        <v>2.6960629838590818E-2</v>
      </c>
      <c r="F253" s="3">
        <f t="shared" si="239"/>
        <v>2.6960627796932687E-2</v>
      </c>
      <c r="G253" s="3">
        <f t="shared" si="239"/>
        <v>2.6960607380359887E-2</v>
      </c>
      <c r="H253" s="3">
        <f t="shared" si="239"/>
        <v>2.6960403215482227E-2</v>
      </c>
      <c r="I253" s="3">
        <f t="shared" si="239"/>
        <v>2.6958361651738157E-2</v>
      </c>
      <c r="J253" s="3">
        <f t="shared" si="239"/>
        <v>2.6937954515170677E-2</v>
      </c>
      <c r="K253" s="3">
        <f t="shared" si="239"/>
        <v>2.6734730859763162E-2</v>
      </c>
      <c r="L253" s="3">
        <f t="shared" si="239"/>
        <v>2.4784937468678842E-2</v>
      </c>
      <c r="M253" s="3">
        <f t="shared" si="239"/>
        <v>1.1622724377440654E-2</v>
      </c>
      <c r="N253" s="3">
        <f t="shared" si="239"/>
        <v>5.9773550569786315E-6</v>
      </c>
      <c r="O253" s="3">
        <f t="shared" si="239"/>
        <v>7.7360666382882276E-39</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3.0337457966111554E-2</v>
      </c>
      <c r="C254" s="3">
        <f t="shared" si="240"/>
        <v>3.033745796590431E-2</v>
      </c>
      <c r="D254" s="3">
        <f t="shared" si="240"/>
        <v>3.0337457963831884E-2</v>
      </c>
      <c r="E254" s="3">
        <f t="shared" si="240"/>
        <v>3.0337457943107639E-2</v>
      </c>
      <c r="F254" s="3">
        <f t="shared" si="240"/>
        <v>3.0337457735865159E-2</v>
      </c>
      <c r="G254" s="3">
        <f t="shared" si="240"/>
        <v>3.0337455663440427E-2</v>
      </c>
      <c r="H254" s="3">
        <f t="shared" si="240"/>
        <v>3.0337434939200936E-2</v>
      </c>
      <c r="I254" s="3">
        <f t="shared" si="240"/>
        <v>3.033722769758462E-2</v>
      </c>
      <c r="J254" s="3">
        <f t="shared" si="240"/>
        <v>3.0335155359284084E-2</v>
      </c>
      <c r="K254" s="3">
        <f t="shared" si="240"/>
        <v>3.0314439760570553E-2</v>
      </c>
      <c r="L254" s="3">
        <f t="shared" si="240"/>
        <v>3.0108060238681525E-2</v>
      </c>
      <c r="M254" s="3">
        <f t="shared" si="240"/>
        <v>2.8119984328769776E-2</v>
      </c>
      <c r="N254" s="3">
        <f t="shared" si="240"/>
        <v>1.4201625456830978E-2</v>
      </c>
      <c r="O254" s="3">
        <f t="shared" si="240"/>
        <v>1.5330907332545757E-5</v>
      </c>
      <c r="P254" s="3">
        <f t="shared" si="240"/>
        <v>3.295079499580492E-35</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2.6917138415697962E-2</v>
      </c>
      <c r="C255" s="3">
        <f t="shared" si="241"/>
        <v>2.6917138415681375E-2</v>
      </c>
      <c r="D255" s="3">
        <f t="shared" si="241"/>
        <v>2.6917138415515501E-2</v>
      </c>
      <c r="E255" s="3">
        <f t="shared" si="241"/>
        <v>2.6917138413856772E-2</v>
      </c>
      <c r="F255" s="3">
        <f t="shared" si="241"/>
        <v>2.6917138397269499E-2</v>
      </c>
      <c r="G255" s="3">
        <f t="shared" si="241"/>
        <v>2.6917138231396735E-2</v>
      </c>
      <c r="H255" s="3">
        <f t="shared" si="241"/>
        <v>2.6917136572669184E-2</v>
      </c>
      <c r="I255" s="3">
        <f t="shared" si="241"/>
        <v>2.6917119985399283E-2</v>
      </c>
      <c r="J255" s="3">
        <f t="shared" si="241"/>
        <v>2.6916954113262472E-2</v>
      </c>
      <c r="K255" s="3">
        <f t="shared" si="241"/>
        <v>2.691529544811205E-2</v>
      </c>
      <c r="L255" s="3">
        <f t="shared" si="241"/>
        <v>2.6898714417094603E-2</v>
      </c>
      <c r="M255" s="3">
        <f t="shared" si="241"/>
        <v>2.6733464876200042E-2</v>
      </c>
      <c r="N255" s="3">
        <f t="shared" si="241"/>
        <v>2.5135788605165906E-2</v>
      </c>
      <c r="O255" s="3">
        <f t="shared" si="241"/>
        <v>1.3572666013127082E-2</v>
      </c>
      <c r="P255" s="3">
        <f t="shared" si="241"/>
        <v>2.8601685966497027E-5</v>
      </c>
      <c r="Q255" s="3">
        <f t="shared" si="241"/>
        <v>4.9391970159843715E-32</v>
      </c>
      <c r="R255" s="3">
        <f t="shared" si="241"/>
        <v>1.1649398654845711E-299</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3.0984948547383168E-2</v>
      </c>
      <c r="C256" s="3">
        <f t="shared" si="242"/>
        <v>3.0984948547381451E-2</v>
      </c>
      <c r="D256" s="3">
        <f t="shared" si="242"/>
        <v>3.0984948547364225E-2</v>
      </c>
      <c r="E256" s="3">
        <f t="shared" si="242"/>
        <v>3.0984948547191981E-2</v>
      </c>
      <c r="F256" s="3">
        <f t="shared" si="242"/>
        <v>3.0984948545469543E-2</v>
      </c>
      <c r="G256" s="3">
        <f t="shared" si="242"/>
        <v>3.0984948528245165E-2</v>
      </c>
      <c r="H256" s="3">
        <f t="shared" si="242"/>
        <v>3.0984948356001383E-2</v>
      </c>
      <c r="I256" s="3">
        <f t="shared" si="242"/>
        <v>3.09849466335636E-2</v>
      </c>
      <c r="J256" s="3">
        <f t="shared" si="242"/>
        <v>3.0984929409191075E-2</v>
      </c>
      <c r="K256" s="3">
        <f t="shared" si="242"/>
        <v>3.0984757165992416E-2</v>
      </c>
      <c r="L256" s="3">
        <f t="shared" si="242"/>
        <v>3.0983034786666839E-2</v>
      </c>
      <c r="M256" s="3">
        <f t="shared" si="242"/>
        <v>3.0965816258428064E-2</v>
      </c>
      <c r="N256" s="3">
        <f t="shared" si="242"/>
        <v>3.0794156396433826E-2</v>
      </c>
      <c r="O256" s="3">
        <f t="shared" si="242"/>
        <v>2.9129035006297307E-2</v>
      </c>
      <c r="P256" s="3">
        <f t="shared" si="242"/>
        <v>1.6707211125772288E-2</v>
      </c>
      <c r="Q256" s="3">
        <f t="shared" si="242"/>
        <v>6.4369864301623672E-5</v>
      </c>
      <c r="R256" s="3">
        <f t="shared" si="242"/>
        <v>4.6394758895678232E-29</v>
      </c>
      <c r="S256" s="3">
        <f t="shared" si="242"/>
        <v>1.755222621217474E-270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2.3928257549635883E-2</v>
      </c>
      <c r="C257" s="3">
        <f t="shared" si="243"/>
        <v>2.3928257549635765E-2</v>
      </c>
      <c r="D257" s="3">
        <f t="shared" si="243"/>
        <v>2.3928257549634565E-2</v>
      </c>
      <c r="E257" s="3">
        <f t="shared" si="243"/>
        <v>2.3928257549622564E-2</v>
      </c>
      <c r="F257" s="3">
        <f t="shared" si="243"/>
        <v>2.3928257549502573E-2</v>
      </c>
      <c r="G257" s="3">
        <f t="shared" si="243"/>
        <v>2.3928257548302658E-2</v>
      </c>
      <c r="H257" s="3">
        <f t="shared" si="243"/>
        <v>2.392825753630351E-2</v>
      </c>
      <c r="I257" s="3">
        <f t="shared" si="243"/>
        <v>2.3928257416312021E-2</v>
      </c>
      <c r="J257" s="3">
        <f t="shared" si="243"/>
        <v>2.3928256216397166E-2</v>
      </c>
      <c r="K257" s="3">
        <f t="shared" si="243"/>
        <v>2.3928244217251919E-2</v>
      </c>
      <c r="L257" s="3">
        <f t="shared" si="243"/>
        <v>2.3928124226130384E-2</v>
      </c>
      <c r="M257" s="3">
        <f t="shared" si="243"/>
        <v>2.3926924348008628E-2</v>
      </c>
      <c r="N257" s="3">
        <f t="shared" si="243"/>
        <v>2.3914928875533578E-2</v>
      </c>
      <c r="O257" s="3">
        <f t="shared" si="243"/>
        <v>2.3795304411948503E-2</v>
      </c>
      <c r="P257" s="3">
        <f t="shared" si="243"/>
        <v>2.263148125364876E-2</v>
      </c>
      <c r="Q257" s="3">
        <f t="shared" si="243"/>
        <v>1.3706612285453466E-2</v>
      </c>
      <c r="R257" s="3">
        <f t="shared" si="243"/>
        <v>9.1012618844640451E-5</v>
      </c>
      <c r="S257" s="3">
        <f t="shared" si="243"/>
        <v>1.5164093053901383E-26</v>
      </c>
      <c r="T257" s="3">
        <f t="shared" si="243"/>
        <v>2.5001423523689822E-244</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3.7994873493170121E-2</v>
      </c>
      <c r="C258" s="3">
        <f t="shared" si="244"/>
        <v>3.79948734931701E-2</v>
      </c>
      <c r="D258" s="3">
        <f t="shared" si="244"/>
        <v>3.7994873493169934E-2</v>
      </c>
      <c r="E258" s="3">
        <f t="shared" si="244"/>
        <v>3.7994873493168213E-2</v>
      </c>
      <c r="F258" s="3">
        <f t="shared" si="244"/>
        <v>3.7994873493151025E-2</v>
      </c>
      <c r="G258" s="3">
        <f t="shared" si="244"/>
        <v>3.7994873492979149E-2</v>
      </c>
      <c r="H258" s="3">
        <f t="shared" si="244"/>
        <v>3.7994873491260406E-2</v>
      </c>
      <c r="I258" s="3">
        <f t="shared" si="244"/>
        <v>3.7994873474072974E-2</v>
      </c>
      <c r="J258" s="3">
        <f t="shared" si="244"/>
        <v>3.7994873302198667E-2</v>
      </c>
      <c r="K258" s="3">
        <f t="shared" si="244"/>
        <v>3.7994871583455631E-2</v>
      </c>
      <c r="L258" s="3">
        <f t="shared" si="244"/>
        <v>3.7994854396029586E-2</v>
      </c>
      <c r="M258" s="3">
        <f t="shared" si="244"/>
        <v>3.799468252219667E-2</v>
      </c>
      <c r="N258" s="3">
        <f t="shared" si="244"/>
        <v>3.7992963826628957E-2</v>
      </c>
      <c r="O258" s="3">
        <f t="shared" si="244"/>
        <v>3.7975781146372393E-2</v>
      </c>
      <c r="P258" s="3">
        <f t="shared" si="244"/>
        <v>3.7804381171141342E-2</v>
      </c>
      <c r="Q258" s="3">
        <f t="shared" si="244"/>
        <v>3.613235831667061E-2</v>
      </c>
      <c r="R258" s="3">
        <f t="shared" si="244"/>
        <v>2.2984658651303169E-2</v>
      </c>
      <c r="S258" s="3">
        <f t="shared" si="244"/>
        <v>2.4937651882988161E-4</v>
      </c>
      <c r="T258" s="3">
        <f t="shared" si="244"/>
        <v>5.6367731305908908E-24</v>
      </c>
      <c r="U258" s="3">
        <f t="shared" si="244"/>
        <v>1.9623683509232099E-220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3.3319642680735451E-2</v>
      </c>
      <c r="C259" s="3">
        <f t="shared" si="245"/>
        <v>3.3319642680735451E-2</v>
      </c>
      <c r="D259" s="3">
        <f t="shared" si="245"/>
        <v>3.3319642680735437E-2</v>
      </c>
      <c r="E259" s="3">
        <f t="shared" si="245"/>
        <v>3.3319642680735298E-2</v>
      </c>
      <c r="F259" s="3">
        <f t="shared" si="245"/>
        <v>3.3319642680733938E-2</v>
      </c>
      <c r="G259" s="3">
        <f t="shared" si="245"/>
        <v>3.3319642680720345E-2</v>
      </c>
      <c r="H259" s="3">
        <f t="shared" si="245"/>
        <v>3.3319642680584377E-2</v>
      </c>
      <c r="I259" s="3">
        <f t="shared" si="245"/>
        <v>3.3319642679224708E-2</v>
      </c>
      <c r="J259" s="3">
        <f t="shared" si="245"/>
        <v>3.3319642665628028E-2</v>
      </c>
      <c r="K259" s="3">
        <f t="shared" si="245"/>
        <v>3.3319642529661228E-2</v>
      </c>
      <c r="L259" s="3">
        <f t="shared" si="245"/>
        <v>3.3319641169993232E-2</v>
      </c>
      <c r="M259" s="3">
        <f t="shared" si="245"/>
        <v>3.3319627573316316E-2</v>
      </c>
      <c r="N259" s="3">
        <f t="shared" si="245"/>
        <v>3.3319491606852332E-2</v>
      </c>
      <c r="O259" s="3">
        <f t="shared" si="245"/>
        <v>3.3318131972728031E-2</v>
      </c>
      <c r="P259" s="3">
        <f t="shared" si="245"/>
        <v>3.3304538682576816E-2</v>
      </c>
      <c r="Q259" s="3">
        <f t="shared" si="245"/>
        <v>3.3168910430074867E-2</v>
      </c>
      <c r="R259" s="3">
        <f t="shared" si="245"/>
        <v>3.1842637808832612E-2</v>
      </c>
      <c r="S259" s="3">
        <f t="shared" si="245"/>
        <v>2.117324153359976E-2</v>
      </c>
      <c r="T259" s="3">
        <f t="shared" si="245"/>
        <v>3.5774246818931547E-4</v>
      </c>
      <c r="U259" s="3">
        <f t="shared" si="245"/>
        <v>6.782690051755335E-22</v>
      </c>
      <c r="V259" s="3">
        <f t="shared" si="245"/>
        <v>4.0711461868031559E-199</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4.1691387602332118E-2</v>
      </c>
      <c r="C260" s="3">
        <f t="shared" si="246"/>
        <v>4.1691387602332118E-2</v>
      </c>
      <c r="D260" s="3">
        <f t="shared" si="246"/>
        <v>4.1691387602332118E-2</v>
      </c>
      <c r="E260" s="3">
        <f t="shared" si="246"/>
        <v>4.1691387602332097E-2</v>
      </c>
      <c r="F260" s="3">
        <f t="shared" si="246"/>
        <v>4.1691387602331945E-2</v>
      </c>
      <c r="G260" s="3">
        <f t="shared" si="246"/>
        <v>4.1691387602330418E-2</v>
      </c>
      <c r="H260" s="3">
        <f t="shared" si="246"/>
        <v>4.1691387602315069E-2</v>
      </c>
      <c r="I260" s="3">
        <f t="shared" si="246"/>
        <v>4.1691387602161595E-2</v>
      </c>
      <c r="J260" s="3">
        <f t="shared" si="246"/>
        <v>4.1691387600626885E-2</v>
      </c>
      <c r="K260" s="3">
        <f t="shared" si="246"/>
        <v>4.1691387585279814E-2</v>
      </c>
      <c r="L260" s="3">
        <f t="shared" si="246"/>
        <v>4.1691387431809113E-2</v>
      </c>
      <c r="M260" s="3">
        <f t="shared" si="246"/>
        <v>4.1691385897102085E-2</v>
      </c>
      <c r="N260" s="3">
        <f t="shared" si="246"/>
        <v>4.1691370550034912E-2</v>
      </c>
      <c r="O260" s="3">
        <f t="shared" si="246"/>
        <v>4.169121707967393E-2</v>
      </c>
      <c r="P260" s="3">
        <f t="shared" si="246"/>
        <v>4.1689682407135477E-2</v>
      </c>
      <c r="Q260" s="3">
        <f t="shared" si="246"/>
        <v>4.167433878846729E-2</v>
      </c>
      <c r="R260" s="3">
        <f t="shared" si="246"/>
        <v>4.15212128506968E-2</v>
      </c>
      <c r="S260" s="3">
        <f t="shared" si="246"/>
        <v>4.0020559929925377E-2</v>
      </c>
      <c r="T260" s="3">
        <f t="shared" si="246"/>
        <v>2.7695834607341516E-2</v>
      </c>
      <c r="U260" s="3">
        <f t="shared" si="246"/>
        <v>6.977943065493077E-4</v>
      </c>
      <c r="V260" s="3">
        <f t="shared" si="246"/>
        <v>7.1921223604011658E-20</v>
      </c>
      <c r="W260" s="3">
        <f t="shared" si="246"/>
        <v>9.730911574817323E-180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4.6685392649651804E-2</v>
      </c>
      <c r="C261" s="3">
        <f t="shared" si="247"/>
        <v>4.6685392649651804E-2</v>
      </c>
      <c r="D261" s="3">
        <f t="shared" si="247"/>
        <v>4.6685392649651804E-2</v>
      </c>
      <c r="E261" s="3">
        <f t="shared" si="247"/>
        <v>4.6685392649651804E-2</v>
      </c>
      <c r="F261" s="3">
        <f t="shared" si="247"/>
        <v>4.668539264965179E-2</v>
      </c>
      <c r="G261" s="3">
        <f t="shared" si="247"/>
        <v>4.668539264965163E-2</v>
      </c>
      <c r="H261" s="3">
        <f t="shared" si="247"/>
        <v>4.6685392649650083E-2</v>
      </c>
      <c r="I261" s="3">
        <f t="shared" si="247"/>
        <v>4.6685392649634581E-2</v>
      </c>
      <c r="J261" s="3">
        <f t="shared" si="247"/>
        <v>4.6685392649479553E-2</v>
      </c>
      <c r="K261" s="3">
        <f t="shared" si="247"/>
        <v>4.6685392647929279E-2</v>
      </c>
      <c r="L261" s="3">
        <f t="shared" si="247"/>
        <v>4.668539263242661E-2</v>
      </c>
      <c r="M261" s="3">
        <f t="shared" si="247"/>
        <v>4.6685392477399813E-2</v>
      </c>
      <c r="N261" s="3">
        <f t="shared" si="247"/>
        <v>4.6685390927131969E-2</v>
      </c>
      <c r="O261" s="3">
        <f t="shared" si="247"/>
        <v>4.6685375424456339E-2</v>
      </c>
      <c r="P261" s="3">
        <f t="shared" si="247"/>
        <v>4.6685220397983097E-2</v>
      </c>
      <c r="Q261" s="3">
        <f t="shared" si="247"/>
        <v>4.6683670161564002E-2</v>
      </c>
      <c r="R261" s="3">
        <f t="shared" si="247"/>
        <v>4.6668170628347036E-2</v>
      </c>
      <c r="S261" s="3">
        <f t="shared" si="247"/>
        <v>4.6513458046061086E-2</v>
      </c>
      <c r="T261" s="3">
        <f t="shared" si="247"/>
        <v>4.4994262875638083E-2</v>
      </c>
      <c r="U261" s="3">
        <f t="shared" si="247"/>
        <v>3.2280649991521519E-2</v>
      </c>
      <c r="V261" s="3">
        <f t="shared" si="247"/>
        <v>1.1662551298787932E-3</v>
      </c>
      <c r="W261" s="3">
        <f t="shared" si="247"/>
        <v>4.4188222090947397E-18</v>
      </c>
      <c r="X261" s="3">
        <f t="shared" si="247"/>
        <v>2.6942391268209557E-162</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5.4975929481542167E-2</v>
      </c>
      <c r="C262" s="3">
        <f t="shared" si="248"/>
        <v>5.4975929481542167E-2</v>
      </c>
      <c r="D262" s="3">
        <f t="shared" si="248"/>
        <v>5.4975929481542167E-2</v>
      </c>
      <c r="E262" s="3">
        <f t="shared" si="248"/>
        <v>5.4975929481542167E-2</v>
      </c>
      <c r="F262" s="3">
        <f t="shared" si="248"/>
        <v>5.4975929481542167E-2</v>
      </c>
      <c r="G262" s="3">
        <f t="shared" si="248"/>
        <v>5.4975929481542146E-2</v>
      </c>
      <c r="H262" s="3">
        <f t="shared" si="248"/>
        <v>5.4975929481541987E-2</v>
      </c>
      <c r="I262" s="3">
        <f t="shared" si="248"/>
        <v>5.4975929481540335E-2</v>
      </c>
      <c r="J262" s="3">
        <f t="shared" si="248"/>
        <v>5.4975929481523869E-2</v>
      </c>
      <c r="K262" s="3">
        <f t="shared" si="248"/>
        <v>5.4975929481359188E-2</v>
      </c>
      <c r="L262" s="3">
        <f t="shared" si="248"/>
        <v>5.4975929479712367E-2</v>
      </c>
      <c r="M262" s="3">
        <f t="shared" si="248"/>
        <v>5.4975929463244221E-2</v>
      </c>
      <c r="N262" s="3">
        <f t="shared" si="248"/>
        <v>5.4975929298562681E-2</v>
      </c>
      <c r="O262" s="3">
        <f t="shared" si="248"/>
        <v>5.4975927651747372E-2</v>
      </c>
      <c r="P262" s="3">
        <f t="shared" si="248"/>
        <v>5.4975911183596966E-2</v>
      </c>
      <c r="Q262" s="3">
        <f t="shared" si="248"/>
        <v>5.4975746502364212E-2</v>
      </c>
      <c r="R262" s="3">
        <f t="shared" si="248"/>
        <v>5.4974099717168233E-2</v>
      </c>
      <c r="S262" s="3">
        <f t="shared" si="248"/>
        <v>5.4957634578062499E-2</v>
      </c>
      <c r="T262" s="3">
        <f t="shared" si="248"/>
        <v>5.4793254171977529E-2</v>
      </c>
      <c r="U262" s="3">
        <f t="shared" si="248"/>
        <v>5.3176250655511507E-2</v>
      </c>
      <c r="V262" s="3">
        <f t="shared" si="248"/>
        <v>3.9411585110357153E-2</v>
      </c>
      <c r="W262" s="3">
        <f t="shared" si="248"/>
        <v>1.9709962416466901E-3</v>
      </c>
      <c r="X262" s="3">
        <f t="shared" si="248"/>
        <v>1.9288778896837863E-16</v>
      </c>
      <c r="Y262" s="3">
        <f t="shared" si="248"/>
        <v>1.5541542567919142E-146</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6.9092387087620902E-2</v>
      </c>
      <c r="C263" s="3">
        <f t="shared" si="249"/>
        <v>6.9092387087620902E-2</v>
      </c>
      <c r="D263" s="3">
        <f t="shared" si="249"/>
        <v>6.9092387087620902E-2</v>
      </c>
      <c r="E263" s="3">
        <f t="shared" si="249"/>
        <v>6.9092387087620902E-2</v>
      </c>
      <c r="F263" s="3">
        <f t="shared" si="249"/>
        <v>6.9092387087620902E-2</v>
      </c>
      <c r="G263" s="3">
        <f t="shared" si="249"/>
        <v>6.9092387087620902E-2</v>
      </c>
      <c r="H263" s="3">
        <f t="shared" si="249"/>
        <v>6.9092387087620874E-2</v>
      </c>
      <c r="I263" s="3">
        <f t="shared" si="249"/>
        <v>6.9092387087620694E-2</v>
      </c>
      <c r="J263" s="3">
        <f t="shared" si="249"/>
        <v>6.9092387087618834E-2</v>
      </c>
      <c r="K263" s="3">
        <f t="shared" si="249"/>
        <v>6.9092387087600154E-2</v>
      </c>
      <c r="L263" s="3">
        <f t="shared" si="249"/>
        <v>6.9092387087413457E-2</v>
      </c>
      <c r="M263" s="3">
        <f t="shared" si="249"/>
        <v>6.9092387085546436E-2</v>
      </c>
      <c r="N263" s="3">
        <f t="shared" si="249"/>
        <v>6.9092387066876232E-2</v>
      </c>
      <c r="O263" s="3">
        <f t="shared" si="249"/>
        <v>6.9092386880174161E-2</v>
      </c>
      <c r="P263" s="3">
        <f t="shared" si="249"/>
        <v>6.9092385013153582E-2</v>
      </c>
      <c r="Q263" s="3">
        <f t="shared" si="249"/>
        <v>6.9092366342950573E-2</v>
      </c>
      <c r="R263" s="3">
        <f t="shared" si="249"/>
        <v>6.9092179641197946E-2</v>
      </c>
      <c r="S263" s="3">
        <f t="shared" si="249"/>
        <v>6.9090312651419225E-2</v>
      </c>
      <c r="T263" s="3">
        <f t="shared" si="249"/>
        <v>6.907164552811762E-2</v>
      </c>
      <c r="U263" s="3">
        <f t="shared" si="249"/>
        <v>6.8885251466461461E-2</v>
      </c>
      <c r="V263" s="3">
        <f t="shared" si="249"/>
        <v>6.7048752856808294E-2</v>
      </c>
      <c r="W263" s="3">
        <f t="shared" si="249"/>
        <v>5.1172338520630509E-2</v>
      </c>
      <c r="X263" s="3">
        <f t="shared" si="249"/>
        <v>3.4314752028799431E-3</v>
      </c>
      <c r="Y263" s="3">
        <f t="shared" si="249"/>
        <v>6.3086563577366887E-15</v>
      </c>
      <c r="Z263" s="3">
        <f t="shared" si="249"/>
        <v>2.7828957420605481E-132</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5.879988531550847E-2</v>
      </c>
      <c r="C264" s="3">
        <f t="shared" si="250"/>
        <v>5.879988531550847E-2</v>
      </c>
      <c r="D264" s="3">
        <f t="shared" si="250"/>
        <v>5.879988531550847E-2</v>
      </c>
      <c r="E264" s="3">
        <f t="shared" si="250"/>
        <v>5.879988531550847E-2</v>
      </c>
      <c r="F264" s="3">
        <f t="shared" si="250"/>
        <v>5.879988531550847E-2</v>
      </c>
      <c r="G264" s="3">
        <f t="shared" si="250"/>
        <v>5.879988531550847E-2</v>
      </c>
      <c r="H264" s="3">
        <f t="shared" si="250"/>
        <v>5.879988531550847E-2</v>
      </c>
      <c r="I264" s="3">
        <f t="shared" si="250"/>
        <v>5.8799885315508456E-2</v>
      </c>
      <c r="J264" s="3">
        <f t="shared" si="250"/>
        <v>5.879988531550831E-2</v>
      </c>
      <c r="K264" s="3">
        <f t="shared" si="250"/>
        <v>5.8799885315506874E-2</v>
      </c>
      <c r="L264" s="3">
        <f t="shared" si="250"/>
        <v>5.8799885315492538E-2</v>
      </c>
      <c r="M264" s="3">
        <f t="shared" si="250"/>
        <v>5.8799885315349208E-2</v>
      </c>
      <c r="N264" s="3">
        <f t="shared" si="250"/>
        <v>5.8799885313915896E-2</v>
      </c>
      <c r="O264" s="3">
        <f t="shared" si="250"/>
        <v>5.8799885299582737E-2</v>
      </c>
      <c r="P264" s="3">
        <f t="shared" si="250"/>
        <v>5.8799885156251119E-2</v>
      </c>
      <c r="Q264" s="3">
        <f t="shared" si="250"/>
        <v>5.8799883722935029E-2</v>
      </c>
      <c r="R264" s="3">
        <f t="shared" si="250"/>
        <v>5.8799869389775987E-2</v>
      </c>
      <c r="S264" s="3">
        <f t="shared" si="250"/>
        <v>5.8799726058377758E-2</v>
      </c>
      <c r="T264" s="3">
        <f t="shared" si="250"/>
        <v>5.8798292763611565E-2</v>
      </c>
      <c r="U264" s="3">
        <f t="shared" si="250"/>
        <v>5.8783961737388847E-2</v>
      </c>
      <c r="V264" s="3">
        <f t="shared" si="250"/>
        <v>5.8640843445901633E-2</v>
      </c>
      <c r="W264" s="3">
        <f t="shared" si="250"/>
        <v>5.7228685586228858E-2</v>
      </c>
      <c r="X264" s="3">
        <f t="shared" si="250"/>
        <v>4.484865275011729E-2</v>
      </c>
      <c r="Y264" s="3">
        <f t="shared" si="250"/>
        <v>3.9183723470934077E-3</v>
      </c>
      <c r="Z264" s="3">
        <f t="shared" si="250"/>
        <v>1.0154737877460291E-13</v>
      </c>
      <c r="AA264" s="3">
        <f t="shared" si="250"/>
        <v>1.387710466811139E-119</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4.7913743582903463E-2</v>
      </c>
      <c r="C265" s="3">
        <f t="shared" si="251"/>
        <v>4.7913743582903463E-2</v>
      </c>
      <c r="D265" s="3">
        <f t="shared" si="251"/>
        <v>4.7913743582903463E-2</v>
      </c>
      <c r="E265" s="3">
        <f t="shared" si="251"/>
        <v>4.7913743582903463E-2</v>
      </c>
      <c r="F265" s="3">
        <f t="shared" si="251"/>
        <v>4.7913743582903463E-2</v>
      </c>
      <c r="G265" s="3">
        <f t="shared" si="251"/>
        <v>4.7913743582903463E-2</v>
      </c>
      <c r="H265" s="3">
        <f t="shared" si="251"/>
        <v>4.7913743582903463E-2</v>
      </c>
      <c r="I265" s="3">
        <f t="shared" si="251"/>
        <v>4.7913743582903463E-2</v>
      </c>
      <c r="J265" s="3">
        <f t="shared" si="251"/>
        <v>4.7913743582903449E-2</v>
      </c>
      <c r="K265" s="3">
        <f t="shared" si="251"/>
        <v>4.7913743582903345E-2</v>
      </c>
      <c r="L265" s="3">
        <f t="shared" si="251"/>
        <v>4.7913743582902291E-2</v>
      </c>
      <c r="M265" s="3">
        <f t="shared" si="251"/>
        <v>4.7913743582891757E-2</v>
      </c>
      <c r="N265" s="3">
        <f t="shared" si="251"/>
        <v>4.7913743582786397E-2</v>
      </c>
      <c r="O265" s="3">
        <f t="shared" si="251"/>
        <v>4.7913743581732809E-2</v>
      </c>
      <c r="P265" s="3">
        <f t="shared" si="251"/>
        <v>4.7913743571196897E-2</v>
      </c>
      <c r="Q265" s="3">
        <f t="shared" si="251"/>
        <v>4.7913743465837752E-2</v>
      </c>
      <c r="R265" s="3">
        <f t="shared" si="251"/>
        <v>4.7913742412246413E-2</v>
      </c>
      <c r="S265" s="3">
        <f t="shared" si="251"/>
        <v>4.7913731876334222E-2</v>
      </c>
      <c r="T265" s="3">
        <f t="shared" si="251"/>
        <v>4.7913626517339748E-2</v>
      </c>
      <c r="U265" s="3">
        <f t="shared" si="251"/>
        <v>4.791257294013717E-2</v>
      </c>
      <c r="V265" s="3">
        <f t="shared" si="251"/>
        <v>4.7902038442223745E-2</v>
      </c>
      <c r="W265" s="3">
        <f t="shared" si="251"/>
        <v>4.7796820770723399E-2</v>
      </c>
      <c r="X265" s="3">
        <f t="shared" si="251"/>
        <v>4.6757271847344774E-2</v>
      </c>
      <c r="Y265" s="3">
        <f t="shared" si="251"/>
        <v>3.7527591689102344E-2</v>
      </c>
      <c r="Z265" s="3">
        <f t="shared" si="251"/>
        <v>4.1626127292845238E-3</v>
      </c>
      <c r="AA265" s="3">
        <f t="shared" si="251"/>
        <v>1.1735974047628087E-12</v>
      </c>
      <c r="AB265" s="3">
        <f t="shared" si="251"/>
        <v>3.7243498099340777E-108</v>
      </c>
      <c r="AC265" s="3">
        <f t="shared" si="251"/>
        <v>0</v>
      </c>
      <c r="AD265" s="3">
        <f t="shared" si="251"/>
        <v>0</v>
      </c>
      <c r="AE265" s="3">
        <f t="shared" si="251"/>
        <v>0</v>
      </c>
      <c r="AF265" s="3">
        <f t="shared" si="251"/>
        <v>0</v>
      </c>
      <c r="AG265" s="3"/>
      <c r="AH265" s="3"/>
    </row>
    <row r="266" spans="2:34" x14ac:dyDescent="0.25">
      <c r="B266" s="3">
        <f t="shared" ref="B266:AF266" si="252">$C35*EXP(-B$246/$A35/EXP(-$E$126))</f>
        <v>2.5827932303493749E-2</v>
      </c>
      <c r="C266" s="3">
        <f t="shared" si="252"/>
        <v>2.5827932303493749E-2</v>
      </c>
      <c r="D266" s="3">
        <f t="shared" si="252"/>
        <v>2.5827932303493749E-2</v>
      </c>
      <c r="E266" s="3">
        <f t="shared" si="252"/>
        <v>2.5827932303493749E-2</v>
      </c>
      <c r="F266" s="3">
        <f t="shared" si="252"/>
        <v>2.5827932303493749E-2</v>
      </c>
      <c r="G266" s="3">
        <f t="shared" si="252"/>
        <v>2.5827932303493749E-2</v>
      </c>
      <c r="H266" s="3">
        <f t="shared" si="252"/>
        <v>2.5827932303493749E-2</v>
      </c>
      <c r="I266" s="3">
        <f t="shared" si="252"/>
        <v>2.5827932303493749E-2</v>
      </c>
      <c r="J266" s="3">
        <f t="shared" si="252"/>
        <v>2.5827932303493749E-2</v>
      </c>
      <c r="K266" s="3">
        <f t="shared" si="252"/>
        <v>2.5827932303493742E-2</v>
      </c>
      <c r="L266" s="3">
        <f t="shared" si="252"/>
        <v>2.582793230349369E-2</v>
      </c>
      <c r="M266" s="3">
        <f t="shared" si="252"/>
        <v>2.582793230349318E-2</v>
      </c>
      <c r="N266" s="3">
        <f t="shared" si="252"/>
        <v>2.5827932303488055E-2</v>
      </c>
      <c r="O266" s="3">
        <f t="shared" si="252"/>
        <v>2.5827932303436822E-2</v>
      </c>
      <c r="P266" s="3">
        <f t="shared" si="252"/>
        <v>2.5827932302924496E-2</v>
      </c>
      <c r="Q266" s="3">
        <f t="shared" si="252"/>
        <v>2.5827932297801212E-2</v>
      </c>
      <c r="R266" s="3">
        <f t="shared" si="252"/>
        <v>2.5827932246568385E-2</v>
      </c>
      <c r="S266" s="3">
        <f t="shared" si="252"/>
        <v>2.5827931734240115E-2</v>
      </c>
      <c r="T266" s="3">
        <f t="shared" si="252"/>
        <v>2.5827926610957962E-2</v>
      </c>
      <c r="U266" s="3">
        <f t="shared" si="252"/>
        <v>2.5827875378192353E-2</v>
      </c>
      <c r="V266" s="3">
        <f t="shared" si="252"/>
        <v>2.5827363056125648E-2</v>
      </c>
      <c r="W266" s="3">
        <f t="shared" si="252"/>
        <v>2.5822240394358868E-2</v>
      </c>
      <c r="X266" s="3">
        <f t="shared" si="252"/>
        <v>2.577106962571582E-2</v>
      </c>
      <c r="Y266" s="3">
        <f t="shared" si="252"/>
        <v>2.526490606852615E-2</v>
      </c>
      <c r="Z266" s="3">
        <f t="shared" si="252"/>
        <v>2.0719063644847931E-2</v>
      </c>
      <c r="AA266" s="3">
        <f t="shared" si="252"/>
        <v>2.8503257085617348E-3</v>
      </c>
      <c r="AB266" s="3">
        <f t="shared" si="252"/>
        <v>6.9205107044268052E-12</v>
      </c>
      <c r="AC266" s="3">
        <f t="shared" si="252"/>
        <v>4.9269107199338315E-98</v>
      </c>
      <c r="AD266" s="3">
        <f t="shared" si="252"/>
        <v>0</v>
      </c>
      <c r="AE266" s="3">
        <f t="shared" si="252"/>
        <v>0</v>
      </c>
      <c r="AF266" s="3">
        <f t="shared" si="252"/>
        <v>0</v>
      </c>
      <c r="AG266" s="3"/>
      <c r="AH266" s="3"/>
    </row>
    <row r="267" spans="2:34" x14ac:dyDescent="0.25">
      <c r="B267" s="3">
        <f t="shared" ref="B267:AF267" si="253">$C36*EXP(-B$246/$A36/EXP(-$E$126))</f>
        <v>1.4720074447505073E-2</v>
      </c>
      <c r="C267" s="3">
        <f t="shared" si="253"/>
        <v>1.4720074447505073E-2</v>
      </c>
      <c r="D267" s="3">
        <f t="shared" si="253"/>
        <v>1.4720074447505073E-2</v>
      </c>
      <c r="E267" s="3">
        <f t="shared" si="253"/>
        <v>1.4720074447505073E-2</v>
      </c>
      <c r="F267" s="3">
        <f t="shared" si="253"/>
        <v>1.4720074447505073E-2</v>
      </c>
      <c r="G267" s="3">
        <f t="shared" si="253"/>
        <v>1.4720074447505073E-2</v>
      </c>
      <c r="H267" s="3">
        <f t="shared" si="253"/>
        <v>1.4720074447505073E-2</v>
      </c>
      <c r="I267" s="3">
        <f t="shared" si="253"/>
        <v>1.4720074447505073E-2</v>
      </c>
      <c r="J267" s="3">
        <f t="shared" si="253"/>
        <v>1.4720074447505073E-2</v>
      </c>
      <c r="K267" s="3">
        <f t="shared" si="253"/>
        <v>1.4720074447505073E-2</v>
      </c>
      <c r="L267" s="3">
        <f t="shared" si="253"/>
        <v>1.4720074447505069E-2</v>
      </c>
      <c r="M267" s="3">
        <f t="shared" si="253"/>
        <v>1.4720074447505043E-2</v>
      </c>
      <c r="N267" s="3">
        <f t="shared" si="253"/>
        <v>1.4720074447504779E-2</v>
      </c>
      <c r="O267" s="3">
        <f t="shared" si="253"/>
        <v>1.4720074447502146E-2</v>
      </c>
      <c r="P267" s="3">
        <f t="shared" si="253"/>
        <v>1.4720074447475806E-2</v>
      </c>
      <c r="Q267" s="3">
        <f t="shared" si="253"/>
        <v>1.4720074447212407E-2</v>
      </c>
      <c r="R267" s="3">
        <f t="shared" si="253"/>
        <v>1.472007444457841E-2</v>
      </c>
      <c r="S267" s="3">
        <f t="shared" si="253"/>
        <v>1.4720074418238438E-2</v>
      </c>
      <c r="T267" s="3">
        <f t="shared" si="253"/>
        <v>1.4720074154838735E-2</v>
      </c>
      <c r="U267" s="3">
        <f t="shared" si="253"/>
        <v>1.4720071520841971E-2</v>
      </c>
      <c r="V267" s="3">
        <f t="shared" si="253"/>
        <v>1.4720045180900244E-2</v>
      </c>
      <c r="W267" s="3">
        <f t="shared" si="253"/>
        <v>1.4719781784075243E-2</v>
      </c>
      <c r="X267" s="3">
        <f t="shared" si="253"/>
        <v>1.4717148075034978E-2</v>
      </c>
      <c r="Y267" s="3">
        <f t="shared" si="253"/>
        <v>1.4690836888452191E-2</v>
      </c>
      <c r="Z267" s="3">
        <f t="shared" si="253"/>
        <v>1.4430298336127164E-2</v>
      </c>
      <c r="AA267" s="3">
        <f t="shared" si="253"/>
        <v>1.2065992218371065E-2</v>
      </c>
      <c r="AB267" s="3">
        <f t="shared" si="253"/>
        <v>2.0157670908374833E-3</v>
      </c>
      <c r="AC267" s="3">
        <f t="shared" si="253"/>
        <v>3.4136064355223603E-11</v>
      </c>
      <c r="AD267" s="3">
        <f t="shared" si="253"/>
        <v>6.6213177212721351E-89</v>
      </c>
      <c r="AE267" s="3">
        <f t="shared" si="253"/>
        <v>0</v>
      </c>
      <c r="AF267" s="3">
        <f t="shared" si="253"/>
        <v>0</v>
      </c>
      <c r="AG267" s="3"/>
      <c r="AH267" s="3"/>
    </row>
    <row r="268" spans="2:34" x14ac:dyDescent="0.25">
      <c r="B268" s="3">
        <f t="shared" ref="B268:AF268" si="254">$C37*EXP(-B$246/$A37/EXP(-$E$126))</f>
        <v>5.9239967047518835E-3</v>
      </c>
      <c r="C268" s="3">
        <f t="shared" si="254"/>
        <v>5.9239967047518835E-3</v>
      </c>
      <c r="D268" s="3">
        <f t="shared" si="254"/>
        <v>5.9239967047518835E-3</v>
      </c>
      <c r="E268" s="3">
        <f t="shared" si="254"/>
        <v>5.9239967047518835E-3</v>
      </c>
      <c r="F268" s="3">
        <f t="shared" si="254"/>
        <v>5.9239967047518835E-3</v>
      </c>
      <c r="G268" s="3">
        <f t="shared" si="254"/>
        <v>5.9239967047518835E-3</v>
      </c>
      <c r="H268" s="3">
        <f t="shared" si="254"/>
        <v>5.9239967047518835E-3</v>
      </c>
      <c r="I268" s="3">
        <f t="shared" si="254"/>
        <v>5.9239967047518835E-3</v>
      </c>
      <c r="J268" s="3">
        <f t="shared" si="254"/>
        <v>5.9239967047518835E-3</v>
      </c>
      <c r="K268" s="3">
        <f t="shared" si="254"/>
        <v>5.9239967047518835E-3</v>
      </c>
      <c r="L268" s="3">
        <f t="shared" si="254"/>
        <v>5.9239967047518835E-3</v>
      </c>
      <c r="M268" s="3">
        <f t="shared" si="254"/>
        <v>5.9239967047518818E-3</v>
      </c>
      <c r="N268" s="3">
        <f t="shared" si="254"/>
        <v>5.9239967047518731E-3</v>
      </c>
      <c r="O268" s="3">
        <f t="shared" si="254"/>
        <v>5.9239967047517769E-3</v>
      </c>
      <c r="P268" s="3">
        <f t="shared" si="254"/>
        <v>5.923996704750821E-3</v>
      </c>
      <c r="Q268" s="3">
        <f t="shared" si="254"/>
        <v>5.9239967047412584E-3</v>
      </c>
      <c r="R268" s="3">
        <f t="shared" si="254"/>
        <v>5.9239967046456352E-3</v>
      </c>
      <c r="S268" s="3">
        <f t="shared" si="254"/>
        <v>5.9239967036893949E-3</v>
      </c>
      <c r="T268" s="3">
        <f t="shared" si="254"/>
        <v>5.9239966941269998E-3</v>
      </c>
      <c r="U268" s="3">
        <f t="shared" si="254"/>
        <v>5.9239965985030518E-3</v>
      </c>
      <c r="V268" s="3">
        <f t="shared" si="254"/>
        <v>5.9239956422636507E-3</v>
      </c>
      <c r="W268" s="3">
        <f t="shared" si="254"/>
        <v>5.9239860798781267E-3</v>
      </c>
      <c r="X268" s="3">
        <f t="shared" si="254"/>
        <v>5.9238904568718279E-3</v>
      </c>
      <c r="Y268" s="3">
        <f t="shared" si="254"/>
        <v>5.9229343116980419E-3</v>
      </c>
      <c r="Z268" s="3">
        <f t="shared" si="254"/>
        <v>5.9133813438119161E-3</v>
      </c>
      <c r="AA268" s="3">
        <f t="shared" si="254"/>
        <v>5.8186950049770834E-3</v>
      </c>
      <c r="AB268" s="3">
        <f t="shared" si="254"/>
        <v>4.9513390005212947E-3</v>
      </c>
      <c r="AC268" s="3">
        <f t="shared" si="254"/>
        <v>9.855833202452697E-4</v>
      </c>
      <c r="AD268" s="3">
        <f t="shared" si="254"/>
        <v>9.6249875301444586E-11</v>
      </c>
      <c r="AE268" s="3">
        <f t="shared" si="254"/>
        <v>7.593963069517509E-81</v>
      </c>
      <c r="AF268" s="3">
        <f t="shared" si="254"/>
        <v>0</v>
      </c>
      <c r="AG268" s="3"/>
      <c r="AH268" s="3"/>
    </row>
    <row r="269" spans="2:34" x14ac:dyDescent="0.25">
      <c r="B269" s="3">
        <f t="shared" ref="B269:AF269" si="255">$C38*EXP(-B$246/$A38/EXP(-$E$126))</f>
        <v>1.8347081790420509E-3</v>
      </c>
      <c r="C269" s="3">
        <f t="shared" si="255"/>
        <v>1.8347081790420509E-3</v>
      </c>
      <c r="D269" s="3">
        <f t="shared" si="255"/>
        <v>1.8347081790420509E-3</v>
      </c>
      <c r="E269" s="3">
        <f t="shared" si="255"/>
        <v>1.8347081790420509E-3</v>
      </c>
      <c r="F269" s="3">
        <f t="shared" si="255"/>
        <v>1.8347081790420509E-3</v>
      </c>
      <c r="G269" s="3">
        <f t="shared" si="255"/>
        <v>1.8347081790420509E-3</v>
      </c>
      <c r="H269" s="3">
        <f t="shared" si="255"/>
        <v>1.8347081790420509E-3</v>
      </c>
      <c r="I269" s="3">
        <f t="shared" si="255"/>
        <v>1.8347081790420509E-3</v>
      </c>
      <c r="J269" s="3">
        <f t="shared" si="255"/>
        <v>1.8347081790420509E-3</v>
      </c>
      <c r="K269" s="3">
        <f t="shared" si="255"/>
        <v>1.8347081790420509E-3</v>
      </c>
      <c r="L269" s="3">
        <f t="shared" si="255"/>
        <v>1.8347081790420509E-3</v>
      </c>
      <c r="M269" s="3">
        <f t="shared" si="255"/>
        <v>1.8347081790420509E-3</v>
      </c>
      <c r="N269" s="3">
        <f t="shared" si="255"/>
        <v>1.8347081790420507E-3</v>
      </c>
      <c r="O269" s="3">
        <f t="shared" si="255"/>
        <v>1.8347081790420479E-3</v>
      </c>
      <c r="P269" s="3">
        <f t="shared" si="255"/>
        <v>1.8347081790420212E-3</v>
      </c>
      <c r="Q269" s="3">
        <f t="shared" si="255"/>
        <v>1.8347081790417541E-3</v>
      </c>
      <c r="R269" s="3">
        <f t="shared" si="255"/>
        <v>1.8347081790390826E-3</v>
      </c>
      <c r="S269" s="3">
        <f t="shared" si="255"/>
        <v>1.8347081790123668E-3</v>
      </c>
      <c r="T269" s="3">
        <f t="shared" si="255"/>
        <v>1.8347081787452107E-3</v>
      </c>
      <c r="U269" s="3">
        <f t="shared" si="255"/>
        <v>1.8347081760736474E-3</v>
      </c>
      <c r="V269" s="3">
        <f t="shared" si="255"/>
        <v>1.8347081493580153E-3</v>
      </c>
      <c r="W269" s="3">
        <f t="shared" si="255"/>
        <v>1.8347078822017161E-3</v>
      </c>
      <c r="X269" s="3">
        <f t="shared" si="255"/>
        <v>1.8347052106408653E-3</v>
      </c>
      <c r="Y269" s="3">
        <f t="shared" si="255"/>
        <v>1.8346784952463122E-3</v>
      </c>
      <c r="Z269" s="3">
        <f t="shared" si="255"/>
        <v>1.834411362695205E-3</v>
      </c>
      <c r="AA269" s="3">
        <f t="shared" si="255"/>
        <v>1.8317421754743756E-3</v>
      </c>
      <c r="AB269" s="3">
        <f t="shared" si="255"/>
        <v>1.8052629847255329E-3</v>
      </c>
      <c r="AC269" s="3">
        <f t="shared" si="255"/>
        <v>1.5606366477226383E-3</v>
      </c>
      <c r="AD269" s="3">
        <f t="shared" si="255"/>
        <v>3.6384384885154649E-4</v>
      </c>
      <c r="AE269" s="3">
        <f t="shared" si="255"/>
        <v>1.7260262568553861E-10</v>
      </c>
      <c r="AF269" s="3">
        <f t="shared" si="255"/>
        <v>9.9625613145270633E-74</v>
      </c>
      <c r="AG269" s="3"/>
      <c r="AH269" s="3"/>
    </row>
    <row r="270" spans="2:34" x14ac:dyDescent="0.25">
      <c r="B270" s="3">
        <f t="shared" ref="B270:AF270" si="256">$C39*EXP(-B$246/$A39/EXP(-$E$126))</f>
        <v>3.8370171737972247E-3</v>
      </c>
      <c r="C270" s="3">
        <f t="shared" si="256"/>
        <v>3.8370171737972247E-3</v>
      </c>
      <c r="D270" s="3">
        <f t="shared" si="256"/>
        <v>3.8370171737972247E-3</v>
      </c>
      <c r="E270" s="3">
        <f t="shared" si="256"/>
        <v>3.8370171737972247E-3</v>
      </c>
      <c r="F270" s="3">
        <f t="shared" si="256"/>
        <v>3.8370171737972247E-3</v>
      </c>
      <c r="G270" s="3">
        <f t="shared" si="256"/>
        <v>3.8370171737972247E-3</v>
      </c>
      <c r="H270" s="3">
        <f t="shared" si="256"/>
        <v>3.8370171737972247E-3</v>
      </c>
      <c r="I270" s="3">
        <f t="shared" si="256"/>
        <v>3.8370171737972247E-3</v>
      </c>
      <c r="J270" s="3">
        <f t="shared" si="256"/>
        <v>3.8370171737972247E-3</v>
      </c>
      <c r="K270" s="3">
        <f t="shared" si="256"/>
        <v>3.8370171737972247E-3</v>
      </c>
      <c r="L270" s="3">
        <f t="shared" si="256"/>
        <v>3.8370171737972247E-3</v>
      </c>
      <c r="M270" s="3">
        <f t="shared" si="256"/>
        <v>3.8370171737972247E-3</v>
      </c>
      <c r="N270" s="3">
        <f t="shared" si="256"/>
        <v>3.8370171737972247E-3</v>
      </c>
      <c r="O270" s="3">
        <f t="shared" si="256"/>
        <v>3.837017173797223E-3</v>
      </c>
      <c r="P270" s="3">
        <f t="shared" si="256"/>
        <v>3.8370171737972078E-3</v>
      </c>
      <c r="Q270" s="3">
        <f t="shared" si="256"/>
        <v>3.837017173797053E-3</v>
      </c>
      <c r="R270" s="3">
        <f t="shared" si="256"/>
        <v>3.8370171737955078E-3</v>
      </c>
      <c r="S270" s="3">
        <f t="shared" si="256"/>
        <v>3.8370171737800549E-3</v>
      </c>
      <c r="T270" s="3">
        <f t="shared" si="256"/>
        <v>3.8370171736255274E-3</v>
      </c>
      <c r="U270" s="3">
        <f t="shared" si="256"/>
        <v>3.8370171720802553E-3</v>
      </c>
      <c r="V270" s="3">
        <f t="shared" si="256"/>
        <v>3.8370171566275307E-3</v>
      </c>
      <c r="W270" s="3">
        <f t="shared" si="256"/>
        <v>3.8370170021002886E-3</v>
      </c>
      <c r="X270" s="3">
        <f t="shared" si="256"/>
        <v>3.8370154568282081E-3</v>
      </c>
      <c r="Y270" s="3">
        <f t="shared" si="256"/>
        <v>3.8370000041416286E-3</v>
      </c>
      <c r="Z270" s="3">
        <f t="shared" si="256"/>
        <v>3.8368454806985632E-3</v>
      </c>
      <c r="AA270" s="3">
        <f t="shared" si="256"/>
        <v>3.8353005884893135E-3</v>
      </c>
      <c r="AB270" s="3">
        <f t="shared" si="256"/>
        <v>3.8198858375984033E-3</v>
      </c>
      <c r="AC270" s="3">
        <f t="shared" si="256"/>
        <v>3.6691050744743449E-3</v>
      </c>
      <c r="AD270" s="3">
        <f t="shared" si="256"/>
        <v>2.4527755239930954E-3</v>
      </c>
      <c r="AE270" s="3">
        <f t="shared" si="256"/>
        <v>4.3715389298181864E-5</v>
      </c>
      <c r="AF270" s="3">
        <f t="shared" si="256"/>
        <v>1.4138385379932762E-22</v>
      </c>
      <c r="AG270" s="3"/>
      <c r="AH270" s="3"/>
    </row>
    <row r="271" spans="2:34" x14ac:dyDescent="0.25">
      <c r="B271" s="3">
        <f t="shared" ref="B271:AF271" si="257">$C40*EXP(-B$246/$A40/EXP(-$E$126))</f>
        <v>0</v>
      </c>
      <c r="C271" s="3">
        <f t="shared" si="257"/>
        <v>0</v>
      </c>
      <c r="D271" s="3">
        <f t="shared" si="257"/>
        <v>0</v>
      </c>
      <c r="E271" s="3">
        <f t="shared" si="257"/>
        <v>0</v>
      </c>
      <c r="F271" s="3">
        <f t="shared" si="257"/>
        <v>0</v>
      </c>
      <c r="G271" s="3">
        <f t="shared" si="257"/>
        <v>0</v>
      </c>
      <c r="H271" s="3">
        <f t="shared" si="257"/>
        <v>0</v>
      </c>
      <c r="I271" s="3">
        <f t="shared" si="257"/>
        <v>0</v>
      </c>
      <c r="J271" s="3">
        <f t="shared" si="257"/>
        <v>0</v>
      </c>
      <c r="K271" s="3">
        <f t="shared" si="257"/>
        <v>0</v>
      </c>
      <c r="L271" s="3">
        <f t="shared" si="257"/>
        <v>0</v>
      </c>
      <c r="M271" s="3">
        <f t="shared" si="257"/>
        <v>0</v>
      </c>
      <c r="N271" s="3">
        <f t="shared" si="257"/>
        <v>0</v>
      </c>
      <c r="O271" s="3">
        <f t="shared" si="257"/>
        <v>0</v>
      </c>
      <c r="P271" s="3">
        <f t="shared" si="257"/>
        <v>0</v>
      </c>
      <c r="Q271" s="3">
        <f t="shared" si="257"/>
        <v>0</v>
      </c>
      <c r="R271" s="3">
        <f t="shared" si="257"/>
        <v>0</v>
      </c>
      <c r="S271" s="3">
        <f t="shared" si="257"/>
        <v>0</v>
      </c>
      <c r="T271" s="3">
        <f t="shared" si="257"/>
        <v>0</v>
      </c>
      <c r="U271" s="3">
        <f t="shared" si="257"/>
        <v>0</v>
      </c>
      <c r="V271" s="3">
        <f t="shared" si="257"/>
        <v>0</v>
      </c>
      <c r="W271" s="3">
        <f t="shared" si="257"/>
        <v>0</v>
      </c>
      <c r="X271" s="3">
        <f t="shared" si="257"/>
        <v>0</v>
      </c>
      <c r="Y271" s="3">
        <f t="shared" si="257"/>
        <v>0</v>
      </c>
      <c r="Z271" s="3">
        <f t="shared" si="257"/>
        <v>0</v>
      </c>
      <c r="AA271" s="3">
        <f t="shared" si="257"/>
        <v>0</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1.7399495856337129E-3</v>
      </c>
      <c r="C272" s="3">
        <f t="shared" si="258"/>
        <v>1.7399495856337129E-3</v>
      </c>
      <c r="D272" s="3">
        <f t="shared" si="258"/>
        <v>1.7399495856337129E-3</v>
      </c>
      <c r="E272" s="3">
        <f t="shared" si="258"/>
        <v>1.7399495856337129E-3</v>
      </c>
      <c r="F272" s="3">
        <f t="shared" si="258"/>
        <v>1.7399495856337129E-3</v>
      </c>
      <c r="G272" s="3">
        <f t="shared" si="258"/>
        <v>1.7399495856337129E-3</v>
      </c>
      <c r="H272" s="3">
        <f t="shared" si="258"/>
        <v>1.7399495856337129E-3</v>
      </c>
      <c r="I272" s="3">
        <f t="shared" si="258"/>
        <v>1.7399495856337129E-3</v>
      </c>
      <c r="J272" s="3">
        <f t="shared" si="258"/>
        <v>1.7399495856337129E-3</v>
      </c>
      <c r="K272" s="3">
        <f t="shared" si="258"/>
        <v>1.7399495856337129E-3</v>
      </c>
      <c r="L272" s="3">
        <f t="shared" si="258"/>
        <v>1.7399495856337129E-3</v>
      </c>
      <c r="M272" s="3">
        <f t="shared" si="258"/>
        <v>1.7399495856337129E-3</v>
      </c>
      <c r="N272" s="3">
        <f t="shared" si="258"/>
        <v>1.7399495856337129E-3</v>
      </c>
      <c r="O272" s="3">
        <f t="shared" si="258"/>
        <v>1.7399495856337129E-3</v>
      </c>
      <c r="P272" s="3">
        <f t="shared" si="258"/>
        <v>1.7399495856337129E-3</v>
      </c>
      <c r="Q272" s="3">
        <f t="shared" si="258"/>
        <v>1.7399495856337121E-3</v>
      </c>
      <c r="R272" s="3">
        <f t="shared" si="258"/>
        <v>1.7399495856337051E-3</v>
      </c>
      <c r="S272" s="3">
        <f t="shared" si="258"/>
        <v>1.7399495856336351E-3</v>
      </c>
      <c r="T272" s="3">
        <f t="shared" si="258"/>
        <v>1.7399495856329345E-3</v>
      </c>
      <c r="U272" s="3">
        <f t="shared" si="258"/>
        <v>1.7399495856259271E-3</v>
      </c>
      <c r="V272" s="3">
        <f t="shared" si="258"/>
        <v>1.7399495855558544E-3</v>
      </c>
      <c r="W272" s="3">
        <f t="shared" si="258"/>
        <v>1.7399495848551289E-3</v>
      </c>
      <c r="X272" s="3">
        <f t="shared" si="258"/>
        <v>1.7399495778478728E-3</v>
      </c>
      <c r="Y272" s="3">
        <f t="shared" si="258"/>
        <v>1.7399495077753142E-3</v>
      </c>
      <c r="Z272" s="3">
        <f t="shared" si="258"/>
        <v>1.7399488070498823E-3</v>
      </c>
      <c r="AA272" s="3">
        <f t="shared" si="258"/>
        <v>1.739941799811084E-3</v>
      </c>
      <c r="AB272" s="3">
        <f t="shared" si="258"/>
        <v>1.7398717289751834E-3</v>
      </c>
      <c r="AC272" s="3">
        <f t="shared" si="258"/>
        <v>1.7391711758013041E-3</v>
      </c>
      <c r="AD272" s="3">
        <f t="shared" si="258"/>
        <v>1.7321811394760971E-3</v>
      </c>
      <c r="AE272" s="3">
        <f t="shared" si="258"/>
        <v>1.6638074746119363E-3</v>
      </c>
      <c r="AF272" s="3">
        <f t="shared" si="258"/>
        <v>1.112245675043683E-3</v>
      </c>
      <c r="AG272" s="3"/>
      <c r="AH272" s="3"/>
    </row>
    <row r="273" spans="1:34" x14ac:dyDescent="0.25">
      <c r="B273" s="3">
        <f t="shared" ref="B273:AF273" si="259">$C42*EXP(-B$246/$A42/EXP(-$E$126))</f>
        <v>3.0775072994127634E-3</v>
      </c>
      <c r="C273" s="3">
        <f t="shared" si="259"/>
        <v>3.0775072994127634E-3</v>
      </c>
      <c r="D273" s="3">
        <f t="shared" si="259"/>
        <v>3.0775072994127634E-3</v>
      </c>
      <c r="E273" s="3">
        <f t="shared" si="259"/>
        <v>3.0775072994127634E-3</v>
      </c>
      <c r="F273" s="3">
        <f t="shared" si="259"/>
        <v>3.0775072994127634E-3</v>
      </c>
      <c r="G273" s="3">
        <f t="shared" si="259"/>
        <v>3.0775072994127634E-3</v>
      </c>
      <c r="H273" s="3">
        <f t="shared" si="259"/>
        <v>3.0775072994127634E-3</v>
      </c>
      <c r="I273" s="3">
        <f t="shared" si="259"/>
        <v>3.0775072994127634E-3</v>
      </c>
      <c r="J273" s="3">
        <f t="shared" si="259"/>
        <v>3.0775072994127634E-3</v>
      </c>
      <c r="K273" s="3">
        <f t="shared" si="259"/>
        <v>3.0775072994127634E-3</v>
      </c>
      <c r="L273" s="3">
        <f t="shared" si="259"/>
        <v>3.0775072994127634E-3</v>
      </c>
      <c r="M273" s="3">
        <f t="shared" si="259"/>
        <v>3.0775072994127634E-3</v>
      </c>
      <c r="N273" s="3">
        <f t="shared" si="259"/>
        <v>3.0775072994127634E-3</v>
      </c>
      <c r="O273" s="3">
        <f t="shared" si="259"/>
        <v>3.0775072994127634E-3</v>
      </c>
      <c r="P273" s="3">
        <f t="shared" si="259"/>
        <v>3.0775072994127634E-3</v>
      </c>
      <c r="Q273" s="3">
        <f t="shared" si="259"/>
        <v>3.0775072994127634E-3</v>
      </c>
      <c r="R273" s="3">
        <f t="shared" si="259"/>
        <v>3.0775072994127621E-3</v>
      </c>
      <c r="S273" s="3">
        <f t="shared" si="259"/>
        <v>3.0775072994127495E-3</v>
      </c>
      <c r="T273" s="3">
        <f t="shared" si="259"/>
        <v>3.0775072994126255E-3</v>
      </c>
      <c r="U273" s="3">
        <f t="shared" si="259"/>
        <v>3.0775072994113865E-3</v>
      </c>
      <c r="V273" s="3">
        <f t="shared" si="259"/>
        <v>3.0775072993989923E-3</v>
      </c>
      <c r="W273" s="3">
        <f t="shared" si="259"/>
        <v>3.0775072992750524E-3</v>
      </c>
      <c r="X273" s="3">
        <f t="shared" si="259"/>
        <v>3.0775072980356558E-3</v>
      </c>
      <c r="Y273" s="3">
        <f t="shared" si="259"/>
        <v>3.0775072856416867E-3</v>
      </c>
      <c r="Z273" s="3">
        <f t="shared" si="259"/>
        <v>3.077507161701997E-3</v>
      </c>
      <c r="AA273" s="3">
        <f t="shared" si="259"/>
        <v>3.0775059223053795E-3</v>
      </c>
      <c r="AB273" s="3">
        <f t="shared" si="259"/>
        <v>3.0774935283666535E-3</v>
      </c>
      <c r="AC273" s="3">
        <f t="shared" si="259"/>
        <v>3.077369591724615E-3</v>
      </c>
      <c r="AD273" s="3">
        <f t="shared" si="259"/>
        <v>3.0761304997853765E-3</v>
      </c>
      <c r="AE273" s="3">
        <f t="shared" si="259"/>
        <v>3.0637669876516899E-3</v>
      </c>
      <c r="AF273" s="3">
        <f t="shared" si="259"/>
        <v>2.9428321890549716E-3</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0</v>
      </c>
      <c r="C275" s="3">
        <f t="shared" si="261"/>
        <v>0</v>
      </c>
      <c r="D275" s="3">
        <f t="shared" si="261"/>
        <v>0</v>
      </c>
      <c r="E275" s="3">
        <f t="shared" si="261"/>
        <v>0</v>
      </c>
      <c r="F275" s="3">
        <f t="shared" si="261"/>
        <v>0</v>
      </c>
      <c r="G275" s="3">
        <f t="shared" si="261"/>
        <v>0</v>
      </c>
      <c r="H275" s="3">
        <f t="shared" si="261"/>
        <v>0</v>
      </c>
      <c r="I275" s="3">
        <f t="shared" si="261"/>
        <v>0</v>
      </c>
      <c r="J275" s="3">
        <f t="shared" si="261"/>
        <v>0</v>
      </c>
      <c r="K275" s="3">
        <f t="shared" si="261"/>
        <v>0</v>
      </c>
      <c r="L275" s="3">
        <f t="shared" si="261"/>
        <v>0</v>
      </c>
      <c r="M275" s="3">
        <f t="shared" si="261"/>
        <v>0</v>
      </c>
      <c r="N275" s="3">
        <f t="shared" si="261"/>
        <v>0</v>
      </c>
      <c r="O275" s="3">
        <f t="shared" si="261"/>
        <v>0</v>
      </c>
      <c r="P275" s="3">
        <f t="shared" si="261"/>
        <v>0</v>
      </c>
      <c r="Q275" s="3">
        <f t="shared" si="261"/>
        <v>0</v>
      </c>
      <c r="R275" s="3">
        <f t="shared" si="261"/>
        <v>0</v>
      </c>
      <c r="S275" s="3">
        <f t="shared" si="261"/>
        <v>0</v>
      </c>
      <c r="T275" s="3">
        <f t="shared" si="261"/>
        <v>0</v>
      </c>
      <c r="U275" s="3">
        <f t="shared" si="261"/>
        <v>0</v>
      </c>
      <c r="V275" s="3">
        <f t="shared" si="261"/>
        <v>0</v>
      </c>
      <c r="W275" s="3">
        <f t="shared" si="261"/>
        <v>0</v>
      </c>
      <c r="X275" s="3">
        <f t="shared" si="261"/>
        <v>0</v>
      </c>
      <c r="Y275" s="3">
        <f t="shared" si="261"/>
        <v>0</v>
      </c>
      <c r="Z275" s="3">
        <f t="shared" si="261"/>
        <v>0</v>
      </c>
      <c r="AA275" s="3">
        <f t="shared" si="261"/>
        <v>0</v>
      </c>
      <c r="AB275" s="3">
        <f t="shared" si="261"/>
        <v>0</v>
      </c>
      <c r="AC275" s="3">
        <f t="shared" si="261"/>
        <v>0</v>
      </c>
      <c r="AD275" s="3">
        <f t="shared" si="261"/>
        <v>0</v>
      </c>
      <c r="AE275" s="3">
        <f t="shared" si="261"/>
        <v>0</v>
      </c>
      <c r="AF275" s="3">
        <f t="shared" si="261"/>
        <v>0</v>
      </c>
      <c r="AG275" s="3"/>
      <c r="AH275" s="3"/>
    </row>
    <row r="276" spans="1:34" x14ac:dyDescent="0.25">
      <c r="B276" s="3">
        <f t="shared" ref="B276:AF276" si="262">$C45*EXP(-B$246/$A45/EXP(-$E$126))</f>
        <v>3.9641523668516518E-5</v>
      </c>
      <c r="C276" s="3">
        <f t="shared" si="262"/>
        <v>3.9641523668516518E-5</v>
      </c>
      <c r="D276" s="3">
        <f t="shared" si="262"/>
        <v>3.9641523668516518E-5</v>
      </c>
      <c r="E276" s="3">
        <f t="shared" si="262"/>
        <v>3.9641523668516518E-5</v>
      </c>
      <c r="F276" s="3">
        <f t="shared" si="262"/>
        <v>3.9641523668516518E-5</v>
      </c>
      <c r="G276" s="3">
        <f t="shared" si="262"/>
        <v>3.9641523668516518E-5</v>
      </c>
      <c r="H276" s="3">
        <f t="shared" si="262"/>
        <v>3.9641523668516518E-5</v>
      </c>
      <c r="I276" s="3">
        <f t="shared" si="262"/>
        <v>3.9641523668516518E-5</v>
      </c>
      <c r="J276" s="3">
        <f t="shared" si="262"/>
        <v>3.9641523668516518E-5</v>
      </c>
      <c r="K276" s="3">
        <f t="shared" si="262"/>
        <v>3.9641523668516518E-5</v>
      </c>
      <c r="L276" s="3">
        <f t="shared" si="262"/>
        <v>3.9641523668516518E-5</v>
      </c>
      <c r="M276" s="3">
        <f t="shared" si="262"/>
        <v>3.9641523668516518E-5</v>
      </c>
      <c r="N276" s="3">
        <f t="shared" si="262"/>
        <v>3.9641523668516518E-5</v>
      </c>
      <c r="O276" s="3">
        <f t="shared" si="262"/>
        <v>3.9641523668516518E-5</v>
      </c>
      <c r="P276" s="3">
        <f t="shared" si="262"/>
        <v>3.9641523668516518E-5</v>
      </c>
      <c r="Q276" s="3">
        <f t="shared" si="262"/>
        <v>3.9641523668516518E-5</v>
      </c>
      <c r="R276" s="3">
        <f t="shared" si="262"/>
        <v>3.9641523668516518E-5</v>
      </c>
      <c r="S276" s="3">
        <f t="shared" si="262"/>
        <v>3.9641523668516518E-5</v>
      </c>
      <c r="T276" s="3">
        <f t="shared" si="262"/>
        <v>3.9641523668516518E-5</v>
      </c>
      <c r="U276" s="3">
        <f t="shared" si="262"/>
        <v>3.9641523668516498E-5</v>
      </c>
      <c r="V276" s="3">
        <f t="shared" si="262"/>
        <v>3.9641523668516342E-5</v>
      </c>
      <c r="W276" s="3">
        <f t="shared" si="262"/>
        <v>3.9641523668514742E-5</v>
      </c>
      <c r="X276" s="3">
        <f t="shared" si="262"/>
        <v>3.9641523668498784E-5</v>
      </c>
      <c r="Y276" s="3">
        <f t="shared" si="262"/>
        <v>3.9641523668339129E-5</v>
      </c>
      <c r="Z276" s="3">
        <f t="shared" si="262"/>
        <v>3.9641523666742655E-5</v>
      </c>
      <c r="AA276" s="3">
        <f t="shared" si="262"/>
        <v>3.9641523650777927E-5</v>
      </c>
      <c r="AB276" s="3">
        <f t="shared" si="262"/>
        <v>3.9641523491130593E-5</v>
      </c>
      <c r="AC276" s="3">
        <f t="shared" si="262"/>
        <v>3.9641521894657328E-5</v>
      </c>
      <c r="AD276" s="3">
        <f t="shared" si="262"/>
        <v>3.9641505929928223E-5</v>
      </c>
      <c r="AE276" s="3">
        <f t="shared" si="262"/>
        <v>3.9641346282990769E-5</v>
      </c>
      <c r="AF276" s="3">
        <f t="shared" si="262"/>
        <v>3.9639749848977532E-5</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4.3007652150806221E-4</v>
      </c>
      <c r="C279" s="3">
        <f t="shared" si="265"/>
        <v>4.3007652150806221E-4</v>
      </c>
      <c r="D279" s="3">
        <f t="shared" si="265"/>
        <v>4.3007652150806221E-4</v>
      </c>
      <c r="E279" s="3">
        <f t="shared" si="265"/>
        <v>4.3007652150806221E-4</v>
      </c>
      <c r="F279" s="3">
        <f t="shared" si="265"/>
        <v>4.3007652150806221E-4</v>
      </c>
      <c r="G279" s="3">
        <f t="shared" si="265"/>
        <v>4.3007652150806221E-4</v>
      </c>
      <c r="H279" s="3">
        <f t="shared" si="265"/>
        <v>4.3007652150806221E-4</v>
      </c>
      <c r="I279" s="3">
        <f t="shared" si="265"/>
        <v>4.3007652150806221E-4</v>
      </c>
      <c r="J279" s="3">
        <f t="shared" si="265"/>
        <v>4.3007652150806221E-4</v>
      </c>
      <c r="K279" s="3">
        <f t="shared" si="265"/>
        <v>4.3007652150806221E-4</v>
      </c>
      <c r="L279" s="3">
        <f t="shared" si="265"/>
        <v>4.3007652150806221E-4</v>
      </c>
      <c r="M279" s="3">
        <f t="shared" si="265"/>
        <v>4.3007652150806221E-4</v>
      </c>
      <c r="N279" s="3">
        <f t="shared" si="265"/>
        <v>4.3007652150806221E-4</v>
      </c>
      <c r="O279" s="3">
        <f t="shared" si="265"/>
        <v>4.3007652150806221E-4</v>
      </c>
      <c r="P279" s="3">
        <f t="shared" si="265"/>
        <v>4.3007652150806221E-4</v>
      </c>
      <c r="Q279" s="3">
        <f t="shared" si="265"/>
        <v>4.3007652150806221E-4</v>
      </c>
      <c r="R279" s="3">
        <f t="shared" si="265"/>
        <v>4.3007652150806221E-4</v>
      </c>
      <c r="S279" s="3">
        <f t="shared" si="265"/>
        <v>4.3007652150806221E-4</v>
      </c>
      <c r="T279" s="3">
        <f t="shared" si="265"/>
        <v>4.3007652150806221E-4</v>
      </c>
      <c r="U279" s="3">
        <f t="shared" si="265"/>
        <v>4.3007652150806221E-4</v>
      </c>
      <c r="V279" s="3">
        <f t="shared" si="265"/>
        <v>4.3007652150806221E-4</v>
      </c>
      <c r="W279" s="3">
        <f t="shared" si="265"/>
        <v>4.3007652150806221E-4</v>
      </c>
      <c r="X279" s="3">
        <f t="shared" si="265"/>
        <v>4.3007652150806199E-4</v>
      </c>
      <c r="Y279" s="3">
        <f t="shared" si="265"/>
        <v>4.3007652150806031E-4</v>
      </c>
      <c r="Z279" s="3">
        <f t="shared" si="265"/>
        <v>4.3007652150804296E-4</v>
      </c>
      <c r="AA279" s="3">
        <f t="shared" si="265"/>
        <v>4.3007652150786976E-4</v>
      </c>
      <c r="AB279" s="3">
        <f t="shared" si="265"/>
        <v>4.3007652150613769E-4</v>
      </c>
      <c r="AC279" s="3">
        <f t="shared" si="265"/>
        <v>4.3007652148881735E-4</v>
      </c>
      <c r="AD279" s="3">
        <f t="shared" si="265"/>
        <v>4.3007652131561366E-4</v>
      </c>
      <c r="AE279" s="3">
        <f t="shared" si="265"/>
        <v>4.3007651958357717E-4</v>
      </c>
      <c r="AF279" s="3">
        <f t="shared" si="265"/>
        <v>4.3007650226321192E-4</v>
      </c>
      <c r="AG279" s="3"/>
      <c r="AH279" s="3"/>
    </row>
    <row r="280" spans="1:34" x14ac:dyDescent="0.25">
      <c r="A280" s="79">
        <f>AVERAGE(B280:AF280)</f>
        <v>2.2094574668601718E-2</v>
      </c>
      <c r="B280" s="80">
        <f>IF($D$61&lt;=B246,IF($E$61&gt;=B246,ABS((B248-B247)/B247),0),0)</f>
        <v>5.900134127084946E-2</v>
      </c>
      <c r="C280" s="80">
        <f t="shared" ref="C280:AF280" si="266">IF($D$61&lt;=C246,IF($E$61&gt;=C246,ABS((C248-C247)/C247),0),0)</f>
        <v>6.8160837371161196E-3</v>
      </c>
      <c r="D280" s="80">
        <f t="shared" si="266"/>
        <v>0.13356906096499113</v>
      </c>
      <c r="E280" s="80">
        <f t="shared" si="266"/>
        <v>0.11255673291380901</v>
      </c>
      <c r="F280" s="80">
        <f t="shared" si="266"/>
        <v>8.5211837702694568E-2</v>
      </c>
      <c r="G280" s="80">
        <f t="shared" si="266"/>
        <v>5.3286434355440768E-2</v>
      </c>
      <c r="H280" s="80">
        <f t="shared" si="266"/>
        <v>2.0110663989238886E-2</v>
      </c>
      <c r="I280" s="80">
        <f t="shared" si="266"/>
        <v>6.1618150634917537E-3</v>
      </c>
      <c r="J280" s="80">
        <f t="shared" si="266"/>
        <v>3.7287738645804297E-3</v>
      </c>
      <c r="K280" s="80">
        <f t="shared" si="266"/>
        <v>9.0484907602238502E-3</v>
      </c>
      <c r="L280" s="80">
        <f t="shared" si="266"/>
        <v>5.5310465710653733E-3</v>
      </c>
      <c r="M280" s="80">
        <f t="shared" si="266"/>
        <v>6.4146767049899954E-3</v>
      </c>
      <c r="N280" s="80">
        <f t="shared" si="266"/>
        <v>5.9197227715595191E-3</v>
      </c>
      <c r="O280" s="80">
        <f t="shared" si="266"/>
        <v>6.4205097828900545E-3</v>
      </c>
      <c r="P280" s="80">
        <f t="shared" si="266"/>
        <v>5.9313454874838443E-3</v>
      </c>
      <c r="Q280" s="80">
        <f t="shared" si="266"/>
        <v>7.4414781220266393E-3</v>
      </c>
      <c r="R280" s="80">
        <f t="shared" si="266"/>
        <v>3.571553216913991E-3</v>
      </c>
      <c r="S280" s="80">
        <f t="shared" si="266"/>
        <v>1.2538137599101993E-3</v>
      </c>
      <c r="T280" s="80">
        <f t="shared" si="266"/>
        <v>2.042650108511013E-2</v>
      </c>
      <c r="U280" s="80">
        <f t="shared" si="266"/>
        <v>3.4851440327407092E-2</v>
      </c>
      <c r="V280" s="80">
        <f t="shared" si="266"/>
        <v>4.3801328709851796E-2</v>
      </c>
      <c r="W280" s="80">
        <f t="shared" si="266"/>
        <v>3.8617335808193043E-2</v>
      </c>
      <c r="X280" s="80">
        <f t="shared" si="266"/>
        <v>1.1692723542192519E-2</v>
      </c>
      <c r="Y280" s="80">
        <f t="shared" si="266"/>
        <v>3.5671042146231172E-3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315585.51124020992</v>
      </c>
      <c r="C281" s="21">
        <f t="shared" ref="C281:AF281" si="267">(C248-C247)^2</f>
        <v>3988.0137495500962</v>
      </c>
      <c r="D281" s="21">
        <f t="shared" si="267"/>
        <v>1458073.3213280977</v>
      </c>
      <c r="E281" s="21">
        <f t="shared" si="267"/>
        <v>980127.0918649229</v>
      </c>
      <c r="F281" s="21">
        <f t="shared" si="267"/>
        <v>528654.49095705687</v>
      </c>
      <c r="G281" s="21">
        <f t="shared" si="267"/>
        <v>192989.77613056891</v>
      </c>
      <c r="H281" s="21">
        <f t="shared" si="267"/>
        <v>25614.807836783955</v>
      </c>
      <c r="I281" s="21">
        <f t="shared" si="267"/>
        <v>2243.7455755929068</v>
      </c>
      <c r="J281" s="21">
        <f t="shared" si="267"/>
        <v>756.10495461520554</v>
      </c>
      <c r="K281" s="21">
        <f t="shared" si="267"/>
        <v>4018.9426328722516</v>
      </c>
      <c r="L281" s="21">
        <f t="shared" si="267"/>
        <v>1344.2955509823773</v>
      </c>
      <c r="M281" s="21">
        <f t="shared" si="267"/>
        <v>1639.068526556805</v>
      </c>
      <c r="N281" s="21">
        <f t="shared" si="267"/>
        <v>1273.4534620077034</v>
      </c>
      <c r="O281" s="21">
        <f t="shared" si="267"/>
        <v>1362.3215939495176</v>
      </c>
      <c r="P281" s="21">
        <f t="shared" si="267"/>
        <v>1051.0201328802787</v>
      </c>
      <c r="Q281" s="21">
        <f t="shared" si="267"/>
        <v>1493.1302814454286</v>
      </c>
      <c r="R281" s="21">
        <f t="shared" si="267"/>
        <v>304.13823448047884</v>
      </c>
      <c r="S281" s="21">
        <f t="shared" si="267"/>
        <v>31.855781486735516</v>
      </c>
      <c r="T281" s="21">
        <f t="shared" si="267"/>
        <v>6900.0637442248344</v>
      </c>
      <c r="U281" s="21">
        <f t="shared" si="267"/>
        <v>15720.256395809067</v>
      </c>
      <c r="V281" s="21">
        <f t="shared" si="267"/>
        <v>18466.740091740667</v>
      </c>
      <c r="W281" s="21">
        <f t="shared" si="267"/>
        <v>9839.3072715762082</v>
      </c>
      <c r="X281" s="21">
        <f t="shared" si="267"/>
        <v>547.27935789855394</v>
      </c>
      <c r="Y281" s="21">
        <f t="shared" si="267"/>
        <v>27.402507966310306</v>
      </c>
      <c r="Z281" s="21">
        <f t="shared" si="267"/>
        <v>223.98427022098295</v>
      </c>
      <c r="AA281" s="21">
        <f t="shared" si="267"/>
        <v>8.1140741857866647</v>
      </c>
      <c r="AB281" s="21">
        <f t="shared" si="267"/>
        <v>4.6763174687506757</v>
      </c>
      <c r="AC281" s="21">
        <f t="shared" si="267"/>
        <v>10.454917665322778</v>
      </c>
      <c r="AD281" s="21">
        <f t="shared" si="267"/>
        <v>13.901203354171848</v>
      </c>
      <c r="AE281" s="21">
        <f t="shared" si="267"/>
        <v>1.1299303258975526</v>
      </c>
      <c r="AF281" s="21">
        <f t="shared" si="267"/>
        <v>5.0196963767684695</v>
      </c>
      <c r="AG281" s="3"/>
      <c r="AH281" s="3"/>
    </row>
    <row r="282" spans="1:34" s="3" customFormat="1" x14ac:dyDescent="0.25">
      <c r="A282" s="71">
        <f>SUM(B282:AF282)</f>
        <v>3572052.1392032751</v>
      </c>
      <c r="B282" s="21">
        <f>IF($D$61&lt;=B246,IF($E$61&gt;=B246,ABS(B281),0),0)</f>
        <v>315585.51124020992</v>
      </c>
      <c r="C282" s="21">
        <f t="shared" ref="C282:AF282" si="268">IF($D$61&lt;=C246,IF($E$61&gt;=C246,ABS(C281),0),0)</f>
        <v>3988.0137495500962</v>
      </c>
      <c r="D282" s="21">
        <f t="shared" si="268"/>
        <v>1458073.3213280977</v>
      </c>
      <c r="E282" s="21">
        <f t="shared" si="268"/>
        <v>980127.0918649229</v>
      </c>
      <c r="F282" s="21">
        <f t="shared" si="268"/>
        <v>528654.49095705687</v>
      </c>
      <c r="G282" s="21">
        <f t="shared" si="268"/>
        <v>192989.77613056891</v>
      </c>
      <c r="H282" s="21">
        <f t="shared" si="268"/>
        <v>25614.807836783955</v>
      </c>
      <c r="I282" s="21">
        <f t="shared" si="268"/>
        <v>2243.7455755929068</v>
      </c>
      <c r="J282" s="21">
        <f t="shared" si="268"/>
        <v>756.10495461520554</v>
      </c>
      <c r="K282" s="21">
        <f t="shared" si="268"/>
        <v>4018.9426328722516</v>
      </c>
      <c r="L282" s="21">
        <f t="shared" si="268"/>
        <v>1344.2955509823773</v>
      </c>
      <c r="M282" s="21">
        <f t="shared" si="268"/>
        <v>1639.068526556805</v>
      </c>
      <c r="N282" s="21">
        <f t="shared" si="268"/>
        <v>1273.4534620077034</v>
      </c>
      <c r="O282" s="21">
        <f t="shared" si="268"/>
        <v>1362.3215939495176</v>
      </c>
      <c r="P282" s="21">
        <f t="shared" si="268"/>
        <v>1051.0201328802787</v>
      </c>
      <c r="Q282" s="21">
        <f t="shared" si="268"/>
        <v>1493.1302814454286</v>
      </c>
      <c r="R282" s="21">
        <f t="shared" si="268"/>
        <v>304.13823448047884</v>
      </c>
      <c r="S282" s="21">
        <f t="shared" si="268"/>
        <v>31.855781486735516</v>
      </c>
      <c r="T282" s="21">
        <f t="shared" si="268"/>
        <v>6900.0637442248344</v>
      </c>
      <c r="U282" s="21">
        <f t="shared" si="268"/>
        <v>15720.256395809067</v>
      </c>
      <c r="V282" s="21">
        <f t="shared" si="268"/>
        <v>18466.740091740667</v>
      </c>
      <c r="W282" s="21">
        <f t="shared" si="268"/>
        <v>9839.3072715762082</v>
      </c>
      <c r="X282" s="21">
        <f t="shared" si="268"/>
        <v>547.27935789855394</v>
      </c>
      <c r="Y282" s="21">
        <f t="shared" si="268"/>
        <v>27.402507966310306</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9259.9030429946288</v>
      </c>
      <c r="C286" s="26">
        <f>INDEX(Comparison!$AM$3:$AS$33,G$14,$F$122)</f>
        <v>8975.4373156175916</v>
      </c>
      <c r="D286" s="26">
        <f>INDEX(Comparison!$AM$3:$AS$33,H$14,$F$122)</f>
        <v>8718.1797337443004</v>
      </c>
      <c r="E286" s="26">
        <f>INDEX(Comparison!$AM$3:$AS$33,I$14,$F$122)</f>
        <v>8453.8665906134283</v>
      </c>
      <c r="F286" s="26">
        <f>INDEX(Comparison!$AM$3:$AS$33,J$14,$F$122)</f>
        <v>8157.4497816903277</v>
      </c>
      <c r="G286" s="26">
        <f>INDEX(Comparison!$AM$3:$AS$33,K$14,$F$122)</f>
        <v>7881.4803699008435</v>
      </c>
      <c r="H286" s="26">
        <f>INDEX(Comparison!$AM$3:$AS$33,L$14,$F$122)</f>
        <v>7606.797789198542</v>
      </c>
      <c r="I286" s="26">
        <f>INDEX(Comparison!$AM$3:$AS$33,M$14,$F$122)</f>
        <v>7278.8872759198184</v>
      </c>
      <c r="J286" s="26">
        <f>INDEX(Comparison!$AM$3:$AS$33,N$14,$F$122)</f>
        <v>6902.9128773701668</v>
      </c>
      <c r="K286" s="26">
        <f>INDEX(Comparison!$AM$3:$AS$33,O$14,$F$122)</f>
        <v>6533.8294095397778</v>
      </c>
      <c r="L286" s="26">
        <f>INDEX(Comparison!$AM$3:$AS$33,P$14,$F$122)</f>
        <v>6236.0805337275306</v>
      </c>
      <c r="M286" s="26">
        <f>INDEX(Comparison!$AM$3:$AS$33,Q$14,$F$122)</f>
        <v>5950.4123980915811</v>
      </c>
      <c r="N286" s="26">
        <f>INDEX(Comparison!$AM$3:$AS$33,R$14,$F$122)</f>
        <v>5675.5372968728034</v>
      </c>
      <c r="O286" s="26">
        <f>INDEX(Comparison!$AM$3:$AS$33,S$14,$F$122)</f>
        <v>5389.077424650558</v>
      </c>
      <c r="P286" s="26">
        <f>INDEX(Comparison!$AM$3:$AS$33,T$14,$F$122)</f>
        <v>5123.5437168709832</v>
      </c>
      <c r="Q286" s="26">
        <f>INDEX(Comparison!$AM$3:$AS$33,U$14,$F$122)</f>
        <v>4799.280908658001</v>
      </c>
      <c r="R286" s="26">
        <f>INDEX(Comparison!$AM$3:$AS$33,V$14,$F$122)</f>
        <v>4430.6662258617935</v>
      </c>
      <c r="S286" s="26">
        <f>INDEX(Comparison!$AM$3:$AS$33,W$14,$F$122)</f>
        <v>3990.4031488339651</v>
      </c>
      <c r="T286" s="26">
        <f>INDEX(Comparison!$AM$3:$AS$33,X$14,$F$122)</f>
        <v>3512.6173919241392</v>
      </c>
      <c r="U286" s="26">
        <f>INDEX(Comparison!$AM$3:$AS$33,Y$14,$F$122)</f>
        <v>2997.1269883218743</v>
      </c>
      <c r="V286" s="26">
        <f>INDEX(Comparison!$AM$3:$AS$33,Z$14,$F$122)</f>
        <v>2450.4999019800034</v>
      </c>
      <c r="W286" s="26">
        <f>INDEX(Comparison!$AM$3:$AS$33,AA$14,$F$122)</f>
        <v>1872.1545257089074</v>
      </c>
      <c r="X286" s="26">
        <f>INDEX(Comparison!$AM$3:$AS$33,AB$14,$F$122)</f>
        <v>1367.4511296212941</v>
      </c>
      <c r="Y286" s="26">
        <f>INDEX(Comparison!$AM$3:$AS$33,AC$14,$F$122)</f>
        <v>983.81195335121254</v>
      </c>
      <c r="Z286" s="26">
        <f>INDEX(Comparison!$AM$3:$AS$33,AD$14,$F$122)</f>
        <v>755.24433140254177</v>
      </c>
      <c r="AA286" s="26">
        <f>INDEX(Comparison!$AM$3:$AS$33,AE$14,$F$122)</f>
        <v>633.28610309701617</v>
      </c>
      <c r="AB286" s="26">
        <f>INDEX(Comparison!$AM$3:$AS$33,AF$14,$F$122)</f>
        <v>577.24905136540178</v>
      </c>
      <c r="AC286" s="26">
        <f>INDEX(Comparison!$AM$3:$AS$33,AG$14,$F$122)</f>
        <v>542.56491517927657</v>
      </c>
      <c r="AD286" s="26">
        <f>INDEX(Comparison!$AM$3:$AS$33,AH$14,$F$122)</f>
        <v>523.04517618896307</v>
      </c>
      <c r="AE286" s="26">
        <f>INDEX(Comparison!$AM$3:$AS$33,AI$14,$F$122)</f>
        <v>513.02385818918287</v>
      </c>
      <c r="AF286" s="26">
        <f>INDEX(Comparison!$AM$3:$AS$33,AJ$14,$F$122)</f>
        <v>488.70376604058401</v>
      </c>
      <c r="AG286" s="26"/>
      <c r="AH286" s="26"/>
    </row>
    <row r="287" spans="1:34" x14ac:dyDescent="0.25">
      <c r="A287" s="70" t="s">
        <v>22</v>
      </c>
      <c r="B287" s="27">
        <f>($C$17+SUM(B288:B318))*$B$51</f>
        <v>9103.7271795093911</v>
      </c>
      <c r="C287" s="27">
        <f t="shared" ref="C287:AF287" si="269">($C$17+SUM(C288:C318))*$B$51</f>
        <v>7811.187545317126</v>
      </c>
      <c r="D287" s="27">
        <f t="shared" si="269"/>
        <v>7805.6696737346983</v>
      </c>
      <c r="E287" s="27">
        <f t="shared" si="269"/>
        <v>7805.5782724250366</v>
      </c>
      <c r="F287" s="27">
        <f t="shared" si="269"/>
        <v>7804.6649308560118</v>
      </c>
      <c r="G287" s="27">
        <f t="shared" si="269"/>
        <v>7795.598322873976</v>
      </c>
      <c r="H287" s="27">
        <f t="shared" si="269"/>
        <v>7711.2809722475467</v>
      </c>
      <c r="I287" s="27">
        <f t="shared" si="269"/>
        <v>7268.9726550969499</v>
      </c>
      <c r="J287" s="27">
        <f t="shared" si="269"/>
        <v>6895.0756944167861</v>
      </c>
      <c r="K287" s="27">
        <f t="shared" si="269"/>
        <v>6537.146733385719</v>
      </c>
      <c r="L287" s="27">
        <f t="shared" si="269"/>
        <v>6231.7961471022445</v>
      </c>
      <c r="M287" s="27">
        <f t="shared" si="269"/>
        <v>5951.2903142278064</v>
      </c>
      <c r="N287" s="27">
        <f t="shared" si="269"/>
        <v>5674.7032572984517</v>
      </c>
      <c r="O287" s="27">
        <f t="shared" si="269"/>
        <v>5394.1900968673926</v>
      </c>
      <c r="P287" s="27">
        <f t="shared" si="269"/>
        <v>5121.1410824922423</v>
      </c>
      <c r="Q287" s="27">
        <f t="shared" si="269"/>
        <v>4820.3872439754259</v>
      </c>
      <c r="R287" s="27">
        <f t="shared" si="269"/>
        <v>4466.2926154773377</v>
      </c>
      <c r="S287" s="27">
        <f t="shared" si="269"/>
        <v>4101.7632029295155</v>
      </c>
      <c r="T287" s="27">
        <f t="shared" si="269"/>
        <v>3669.7834901717479</v>
      </c>
      <c r="U287" s="27">
        <f t="shared" si="269"/>
        <v>3176.8832575584329</v>
      </c>
      <c r="V287" s="27">
        <f t="shared" si="269"/>
        <v>2594.9310525010928</v>
      </c>
      <c r="W287" s="27">
        <f t="shared" si="269"/>
        <v>1954.7822615891007</v>
      </c>
      <c r="X287" s="27">
        <f t="shared" si="269"/>
        <v>1414.0292268023827</v>
      </c>
      <c r="Y287" s="27">
        <f t="shared" si="269"/>
        <v>1002.1862309027249</v>
      </c>
      <c r="Z287" s="27">
        <f t="shared" si="269"/>
        <v>769.72429361632123</v>
      </c>
      <c r="AA287" s="27">
        <f t="shared" si="269"/>
        <v>639.92339037162208</v>
      </c>
      <c r="AB287" s="27">
        <f t="shared" si="269"/>
        <v>582.43900728252231</v>
      </c>
      <c r="AC287" s="27">
        <f t="shared" si="269"/>
        <v>548.61824564551944</v>
      </c>
      <c r="AD287" s="27">
        <f t="shared" si="269"/>
        <v>524.21437333586073</v>
      </c>
      <c r="AE287" s="27">
        <f t="shared" si="269"/>
        <v>515.44666346429869</v>
      </c>
      <c r="AF287" s="27">
        <f t="shared" si="269"/>
        <v>493.40873261000718</v>
      </c>
      <c r="AG287" s="27"/>
      <c r="AH287" s="27"/>
    </row>
    <row r="288" spans="1:34" x14ac:dyDescent="0.25">
      <c r="B288" s="3">
        <f t="shared" ref="B288:AF288" si="270">$C18*EXP(-B$285/$A18/EXP(-$F$126))</f>
        <v>0.1274181896544383</v>
      </c>
      <c r="C288" s="3">
        <f t="shared" si="270"/>
        <v>5.4074487242374123E-4</v>
      </c>
      <c r="D288" s="3">
        <f t="shared" si="270"/>
        <v>1.024712905461946E-27</v>
      </c>
      <c r="E288" s="3">
        <f t="shared" si="270"/>
        <v>6.1192777309603948E-265</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6.1002031770365291E-2</v>
      </c>
      <c r="C289" s="3">
        <f t="shared" si="271"/>
        <v>6.1001946417119535E-2</v>
      </c>
      <c r="D289" s="3">
        <f t="shared" si="271"/>
        <v>6.1001092891230325E-2</v>
      </c>
      <c r="E289" s="3">
        <f t="shared" si="271"/>
        <v>6.0992558289139798E-2</v>
      </c>
      <c r="F289" s="3">
        <f t="shared" si="271"/>
        <v>6.0907277914398997E-2</v>
      </c>
      <c r="G289" s="3">
        <f t="shared" si="271"/>
        <v>6.0061004925275087E-2</v>
      </c>
      <c r="H289" s="3">
        <f t="shared" si="271"/>
        <v>5.2218769708840027E-2</v>
      </c>
      <c r="I289" s="3">
        <f t="shared" si="271"/>
        <v>1.2887451565558599E-2</v>
      </c>
      <c r="J289" s="3">
        <f t="shared" si="271"/>
        <v>1.0803666072369782E-8</v>
      </c>
      <c r="K289" s="3">
        <f t="shared" si="271"/>
        <v>1.8518773226510097E-69</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3.0700762794087129E-2</v>
      </c>
      <c r="C290" s="3">
        <f t="shared" si="272"/>
        <v>3.0700758919086531E-2</v>
      </c>
      <c r="D290" s="3">
        <f t="shared" si="272"/>
        <v>3.070072016910742E-2</v>
      </c>
      <c r="E290" s="3">
        <f t="shared" si="272"/>
        <v>3.0700332672006354E-2</v>
      </c>
      <c r="F290" s="3">
        <f t="shared" si="272"/>
        <v>3.0696457969984731E-2</v>
      </c>
      <c r="G290" s="3">
        <f t="shared" si="272"/>
        <v>3.0657737836115518E-2</v>
      </c>
      <c r="H290" s="3">
        <f t="shared" si="272"/>
        <v>3.0273212618263483E-2</v>
      </c>
      <c r="I290" s="3">
        <f t="shared" si="272"/>
        <v>2.6683485666706992E-2</v>
      </c>
      <c r="J290" s="3">
        <f t="shared" si="272"/>
        <v>7.5523665291977364E-3</v>
      </c>
      <c r="K290" s="3">
        <f t="shared" si="272"/>
        <v>2.4916557441960022E-8</v>
      </c>
      <c r="L290" s="3">
        <f t="shared" si="272"/>
        <v>3.8066051863492316E-63</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4.1198622705702459E-2</v>
      </c>
      <c r="C291" s="3">
        <f t="shared" si="273"/>
        <v>4.1198622236617057E-2</v>
      </c>
      <c r="D291" s="3">
        <f t="shared" si="273"/>
        <v>4.1198617545763289E-2</v>
      </c>
      <c r="E291" s="3">
        <f t="shared" si="273"/>
        <v>4.119857063725501E-2</v>
      </c>
      <c r="F291" s="3">
        <f t="shared" si="273"/>
        <v>4.1198101555109765E-2</v>
      </c>
      <c r="G291" s="3">
        <f t="shared" si="273"/>
        <v>4.1193411027397576E-2</v>
      </c>
      <c r="H291" s="3">
        <f t="shared" si="273"/>
        <v>4.1146535111933245E-2</v>
      </c>
      <c r="I291" s="3">
        <f t="shared" si="273"/>
        <v>4.0680699791146621E-2</v>
      </c>
      <c r="J291" s="3">
        <f t="shared" si="273"/>
        <v>3.6302778658812075E-2</v>
      </c>
      <c r="K291" s="3">
        <f t="shared" si="273"/>
        <v>1.162664452358045E-2</v>
      </c>
      <c r="L291" s="3">
        <f t="shared" si="273"/>
        <v>1.3200782066456014E-7</v>
      </c>
      <c r="M291" s="3">
        <f t="shared" si="273"/>
        <v>4.699507315066017E-57</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2.6960630062364901E-2</v>
      </c>
      <c r="C292" s="3">
        <f t="shared" si="274"/>
        <v>2.6960630034673444E-2</v>
      </c>
      <c r="D292" s="3">
        <f t="shared" si="274"/>
        <v>2.6960629757758842E-2</v>
      </c>
      <c r="E292" s="3">
        <f t="shared" si="274"/>
        <v>2.6960626988613016E-2</v>
      </c>
      <c r="F292" s="3">
        <f t="shared" si="274"/>
        <v>2.6960599297170353E-2</v>
      </c>
      <c r="G292" s="3">
        <f t="shared" si="274"/>
        <v>2.6960322384308049E-2</v>
      </c>
      <c r="H292" s="3">
        <f t="shared" si="274"/>
        <v>2.6957553412109963E-2</v>
      </c>
      <c r="I292" s="3">
        <f t="shared" si="274"/>
        <v>2.6929879326681092E-2</v>
      </c>
      <c r="J292" s="3">
        <f t="shared" si="274"/>
        <v>2.6654696201525715E-2</v>
      </c>
      <c r="K292" s="3">
        <f t="shared" si="274"/>
        <v>2.4052877174891699E-2</v>
      </c>
      <c r="L292" s="3">
        <f t="shared" si="274"/>
        <v>8.6119202499686989E-3</v>
      </c>
      <c r="M292" s="3">
        <f t="shared" si="274"/>
        <v>2.9814646045840605E-7</v>
      </c>
      <c r="N292" s="3">
        <f t="shared" si="274"/>
        <v>7.3743923815326071E-52</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3.0337457965822261E-2</v>
      </c>
      <c r="C293" s="3">
        <f t="shared" si="275"/>
        <v>3.0337457963011388E-2</v>
      </c>
      <c r="D293" s="3">
        <f t="shared" si="275"/>
        <v>3.0337457934902629E-2</v>
      </c>
      <c r="E293" s="3">
        <f t="shared" si="275"/>
        <v>3.0337457653815094E-2</v>
      </c>
      <c r="F293" s="3">
        <f t="shared" si="275"/>
        <v>3.0337454842939846E-2</v>
      </c>
      <c r="G293" s="3">
        <f t="shared" si="275"/>
        <v>3.0337426734201683E-2</v>
      </c>
      <c r="H293" s="3">
        <f t="shared" si="275"/>
        <v>3.03371456482525E-2</v>
      </c>
      <c r="I293" s="3">
        <f t="shared" si="275"/>
        <v>3.0334334931995995E-2</v>
      </c>
      <c r="J293" s="3">
        <f t="shared" si="275"/>
        <v>3.0306242088054724E-2</v>
      </c>
      <c r="K293" s="3">
        <f t="shared" si="275"/>
        <v>3.002674061447444E-2</v>
      </c>
      <c r="L293" s="3">
        <f t="shared" si="275"/>
        <v>2.7369649445526605E-2</v>
      </c>
      <c r="M293" s="3">
        <f t="shared" si="275"/>
        <v>1.0836266092823137E-2</v>
      </c>
      <c r="N293" s="3">
        <f t="shared" si="275"/>
        <v>1.025613953502938E-6</v>
      </c>
      <c r="O293" s="3">
        <f t="shared" si="275"/>
        <v>5.9159775812937455E-47</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2.6917138415674807E-2</v>
      </c>
      <c r="C294" s="3">
        <f t="shared" si="276"/>
        <v>2.6917138415449831E-2</v>
      </c>
      <c r="D294" s="3">
        <f t="shared" si="276"/>
        <v>2.6917138413200061E-2</v>
      </c>
      <c r="E294" s="3">
        <f t="shared" si="276"/>
        <v>2.6917138390702373E-2</v>
      </c>
      <c r="F294" s="3">
        <f t="shared" si="276"/>
        <v>2.6917138165725496E-2</v>
      </c>
      <c r="G294" s="3">
        <f t="shared" si="276"/>
        <v>2.6917135915956826E-2</v>
      </c>
      <c r="H294" s="3">
        <f t="shared" si="276"/>
        <v>2.6917113418280455E-2</v>
      </c>
      <c r="I294" s="3">
        <f t="shared" si="276"/>
        <v>2.6916888442550971E-2</v>
      </c>
      <c r="J294" s="3">
        <f t="shared" si="276"/>
        <v>2.6914638788673773E-2</v>
      </c>
      <c r="K294" s="3">
        <f t="shared" si="276"/>
        <v>2.689215258846904E-2</v>
      </c>
      <c r="L294" s="3">
        <f t="shared" si="276"/>
        <v>2.6668321253070816E-2</v>
      </c>
      <c r="M294" s="3">
        <f t="shared" si="276"/>
        <v>2.4529957229334372E-2</v>
      </c>
      <c r="N294" s="3">
        <f t="shared" si="276"/>
        <v>1.0634275801618616E-2</v>
      </c>
      <c r="O294" s="3">
        <f t="shared" si="276"/>
        <v>2.493556460186873E-6</v>
      </c>
      <c r="P294" s="3">
        <f t="shared" si="276"/>
        <v>1.2529451848611084E-42</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3.0984948547380764E-2</v>
      </c>
      <c r="C295" s="3">
        <f t="shared" si="277"/>
        <v>3.0984948547357404E-2</v>
      </c>
      <c r="D295" s="3">
        <f t="shared" si="277"/>
        <v>3.0984948547123786E-2</v>
      </c>
      <c r="E295" s="3">
        <f t="shared" si="277"/>
        <v>3.0984948544787606E-2</v>
      </c>
      <c r="F295" s="3">
        <f t="shared" si="277"/>
        <v>3.09849485214258E-2</v>
      </c>
      <c r="G295" s="3">
        <f t="shared" si="277"/>
        <v>3.0984948287807765E-2</v>
      </c>
      <c r="H295" s="3">
        <f t="shared" si="277"/>
        <v>3.0984945951627513E-2</v>
      </c>
      <c r="I295" s="3">
        <f t="shared" si="277"/>
        <v>3.0984922589834631E-2</v>
      </c>
      <c r="J295" s="3">
        <f t="shared" si="277"/>
        <v>3.0984688972874583E-2</v>
      </c>
      <c r="K295" s="3">
        <f t="shared" si="277"/>
        <v>3.0982352900148995E-2</v>
      </c>
      <c r="L295" s="3">
        <f t="shared" si="277"/>
        <v>3.0959001857679389E-2</v>
      </c>
      <c r="M295" s="3">
        <f t="shared" si="277"/>
        <v>3.0726457215284799E-2</v>
      </c>
      <c r="N295" s="3">
        <f t="shared" si="277"/>
        <v>2.8494948256020353E-2</v>
      </c>
      <c r="O295" s="3">
        <f t="shared" si="277"/>
        <v>1.3406694493336086E-2</v>
      </c>
      <c r="P295" s="3">
        <f t="shared" si="277"/>
        <v>7.12623460432026E-6</v>
      </c>
      <c r="Q295" s="3">
        <f t="shared" si="277"/>
        <v>1.283051662500684E-38</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2.3928257549635717E-2</v>
      </c>
      <c r="C296" s="3">
        <f t="shared" si="278"/>
        <v>2.392825754963409E-2</v>
      </c>
      <c r="D296" s="3">
        <f t="shared" si="278"/>
        <v>2.3928257549617814E-2</v>
      </c>
      <c r="E296" s="3">
        <f t="shared" si="278"/>
        <v>2.3928257549455066E-2</v>
      </c>
      <c r="F296" s="3">
        <f t="shared" si="278"/>
        <v>2.3928257547827597E-2</v>
      </c>
      <c r="G296" s="3">
        <f t="shared" si="278"/>
        <v>2.3928257531552886E-2</v>
      </c>
      <c r="H296" s="3">
        <f t="shared" si="278"/>
        <v>2.3928257368805789E-2</v>
      </c>
      <c r="I296" s="3">
        <f t="shared" si="278"/>
        <v>2.3928255741334867E-2</v>
      </c>
      <c r="J296" s="3">
        <f t="shared" si="278"/>
        <v>2.3928239466631744E-2</v>
      </c>
      <c r="K296" s="3">
        <f t="shared" si="278"/>
        <v>2.3928076720209326E-2</v>
      </c>
      <c r="L296" s="3">
        <f t="shared" si="278"/>
        <v>2.392644931686393E-2</v>
      </c>
      <c r="M296" s="3">
        <f t="shared" si="278"/>
        <v>2.3910181369756769E-2</v>
      </c>
      <c r="N296" s="3">
        <f t="shared" si="278"/>
        <v>2.3748109004496813E-2</v>
      </c>
      <c r="O296" s="3">
        <f t="shared" si="278"/>
        <v>2.2186595524646392E-2</v>
      </c>
      <c r="P296" s="3">
        <f t="shared" si="278"/>
        <v>1.1238464783368969E-2</v>
      </c>
      <c r="Q296" s="3">
        <f t="shared" si="278"/>
        <v>1.2498854699871964E-5</v>
      </c>
      <c r="R296" s="3">
        <f t="shared" si="278"/>
        <v>3.6182829273072042E-35</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3.7994873493170093E-2</v>
      </c>
      <c r="C297" s="3">
        <f t="shared" si="279"/>
        <v>3.7994873493169865E-2</v>
      </c>
      <c r="D297" s="3">
        <f t="shared" si="279"/>
        <v>3.7994873493167533E-2</v>
      </c>
      <c r="E297" s="3">
        <f t="shared" si="279"/>
        <v>3.7994873493144218E-2</v>
      </c>
      <c r="F297" s="3">
        <f t="shared" si="279"/>
        <v>3.7994873492911099E-2</v>
      </c>
      <c r="G297" s="3">
        <f t="shared" si="279"/>
        <v>3.7994873490579936E-2</v>
      </c>
      <c r="H297" s="3">
        <f t="shared" si="279"/>
        <v>3.7994873467268243E-2</v>
      </c>
      <c r="I297" s="3">
        <f t="shared" si="279"/>
        <v>3.7994873234151336E-2</v>
      </c>
      <c r="J297" s="3">
        <f t="shared" si="279"/>
        <v>3.7994870902982342E-2</v>
      </c>
      <c r="K297" s="3">
        <f t="shared" si="279"/>
        <v>3.7994847591300243E-2</v>
      </c>
      <c r="L297" s="3">
        <f t="shared" si="279"/>
        <v>3.7994614475265934E-2</v>
      </c>
      <c r="M297" s="3">
        <f t="shared" si="279"/>
        <v>3.7992283393586526E-2</v>
      </c>
      <c r="N297" s="3">
        <f t="shared" si="279"/>
        <v>3.7968980441375373E-2</v>
      </c>
      <c r="O297" s="3">
        <f t="shared" si="279"/>
        <v>3.7736735595121661E-2</v>
      </c>
      <c r="P297" s="3">
        <f t="shared" si="279"/>
        <v>3.5491002259907305E-2</v>
      </c>
      <c r="Q297" s="3">
        <f t="shared" si="279"/>
        <v>1.9215762118640109E-2</v>
      </c>
      <c r="R297" s="3">
        <f t="shared" si="279"/>
        <v>4.1595956176752804E-5</v>
      </c>
      <c r="S297" s="3">
        <f t="shared" si="279"/>
        <v>9.3969322213078704E-32</v>
      </c>
      <c r="T297" s="3">
        <f t="shared" si="279"/>
        <v>3.2533884322279845E-298</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3.3319642680735444E-2</v>
      </c>
      <c r="C298" s="3">
        <f t="shared" si="280"/>
        <v>3.331964268073543E-2</v>
      </c>
      <c r="D298" s="3">
        <f t="shared" si="280"/>
        <v>3.3319642680735249E-2</v>
      </c>
      <c r="E298" s="3">
        <f t="shared" si="280"/>
        <v>3.3319642680733404E-2</v>
      </c>
      <c r="F298" s="3">
        <f t="shared" si="280"/>
        <v>3.331964268071496E-2</v>
      </c>
      <c r="G298" s="3">
        <f t="shared" si="280"/>
        <v>3.3319642680530545E-2</v>
      </c>
      <c r="H298" s="3">
        <f t="shared" si="280"/>
        <v>3.3319642678686402E-2</v>
      </c>
      <c r="I298" s="3">
        <f t="shared" si="280"/>
        <v>3.3319642660244918E-2</v>
      </c>
      <c r="J298" s="3">
        <f t="shared" si="280"/>
        <v>3.331964247583015E-2</v>
      </c>
      <c r="K298" s="3">
        <f t="shared" si="280"/>
        <v>3.331964063168253E-2</v>
      </c>
      <c r="L298" s="3">
        <f t="shared" si="280"/>
        <v>3.3319622190211888E-2</v>
      </c>
      <c r="M298" s="3">
        <f t="shared" si="280"/>
        <v>3.3319437776066912E-2</v>
      </c>
      <c r="N298" s="3">
        <f t="shared" si="280"/>
        <v>3.3317593690753454E-2</v>
      </c>
      <c r="O298" s="3">
        <f t="shared" si="280"/>
        <v>3.3299158450100522E-2</v>
      </c>
      <c r="P298" s="3">
        <f t="shared" si="280"/>
        <v>3.3115366144089178E-2</v>
      </c>
      <c r="Q298" s="3">
        <f t="shared" si="280"/>
        <v>3.133232291971387E-2</v>
      </c>
      <c r="R298" s="3">
        <f t="shared" si="280"/>
        <v>1.8014529343100071E-2</v>
      </c>
      <c r="S298" s="3">
        <f t="shared" si="280"/>
        <v>7.1109263657719477E-5</v>
      </c>
      <c r="T298" s="3">
        <f t="shared" si="280"/>
        <v>6.5306859017687238E-29</v>
      </c>
      <c r="U298" s="3">
        <f t="shared" si="280"/>
        <v>2.7879497829456263E-269</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4.1691387602332118E-2</v>
      </c>
      <c r="C299" s="3">
        <f t="shared" si="281"/>
        <v>4.1691387602332118E-2</v>
      </c>
      <c r="D299" s="3">
        <f t="shared" si="281"/>
        <v>4.1691387602332097E-2</v>
      </c>
      <c r="E299" s="3">
        <f t="shared" si="281"/>
        <v>4.1691387602331889E-2</v>
      </c>
      <c r="F299" s="3">
        <f t="shared" si="281"/>
        <v>4.1691387602329801E-2</v>
      </c>
      <c r="G299" s="3">
        <f t="shared" si="281"/>
        <v>4.1691387602308991E-2</v>
      </c>
      <c r="H299" s="3">
        <f t="shared" si="281"/>
        <v>4.1691387602100831E-2</v>
      </c>
      <c r="I299" s="3">
        <f t="shared" si="281"/>
        <v>4.1691387600019274E-2</v>
      </c>
      <c r="J299" s="3">
        <f t="shared" si="281"/>
        <v>4.1691387579203709E-2</v>
      </c>
      <c r="K299" s="3">
        <f t="shared" si="281"/>
        <v>4.1691387371048008E-2</v>
      </c>
      <c r="L299" s="3">
        <f t="shared" si="281"/>
        <v>4.1691385289491095E-2</v>
      </c>
      <c r="M299" s="3">
        <f t="shared" si="281"/>
        <v>4.1691364473927642E-2</v>
      </c>
      <c r="N299" s="3">
        <f t="shared" si="281"/>
        <v>4.169115631886474E-2</v>
      </c>
      <c r="O299" s="3">
        <f t="shared" si="281"/>
        <v>4.1689074825394641E-2</v>
      </c>
      <c r="P299" s="3">
        <f t="shared" si="281"/>
        <v>4.1668265605530143E-2</v>
      </c>
      <c r="Q299" s="3">
        <f t="shared" si="281"/>
        <v>4.1460743836223828E-2</v>
      </c>
      <c r="R299" s="3">
        <f t="shared" si="281"/>
        <v>3.9441529232824353E-2</v>
      </c>
      <c r="S299" s="3">
        <f t="shared" si="281"/>
        <v>2.3939788127447868E-2</v>
      </c>
      <c r="T299" s="3">
        <f t="shared" si="281"/>
        <v>1.6247474949981233E-4</v>
      </c>
      <c r="U299" s="3">
        <f t="shared" si="281"/>
        <v>3.3685392474461414E-26</v>
      </c>
      <c r="V299" s="3">
        <f t="shared" si="281"/>
        <v>4.9430951331270874E-243</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4.6685392649651804E-2</v>
      </c>
      <c r="C300" s="3">
        <f t="shared" si="282"/>
        <v>4.6685392649651804E-2</v>
      </c>
      <c r="D300" s="3">
        <f t="shared" si="282"/>
        <v>4.6685392649651804E-2</v>
      </c>
      <c r="E300" s="3">
        <f t="shared" si="282"/>
        <v>4.6685392649651776E-2</v>
      </c>
      <c r="F300" s="3">
        <f t="shared" si="282"/>
        <v>4.6685392649651568E-2</v>
      </c>
      <c r="G300" s="3">
        <f t="shared" si="282"/>
        <v>4.6685392649649465E-2</v>
      </c>
      <c r="H300" s="3">
        <f t="shared" si="282"/>
        <v>4.668539264962844E-2</v>
      </c>
      <c r="I300" s="3">
        <f t="shared" si="282"/>
        <v>4.6685392649418171E-2</v>
      </c>
      <c r="J300" s="3">
        <f t="shared" si="282"/>
        <v>4.6685392647315513E-2</v>
      </c>
      <c r="K300" s="3">
        <f t="shared" si="282"/>
        <v>4.6685392626288888E-2</v>
      </c>
      <c r="L300" s="3">
        <f t="shared" si="282"/>
        <v>4.6685392416022646E-2</v>
      </c>
      <c r="M300" s="3">
        <f t="shared" si="282"/>
        <v>4.6685390313360248E-2</v>
      </c>
      <c r="N300" s="3">
        <f t="shared" si="282"/>
        <v>4.6685369286741454E-2</v>
      </c>
      <c r="O300" s="3">
        <f t="shared" si="282"/>
        <v>4.6685159021074438E-2</v>
      </c>
      <c r="P300" s="3">
        <f t="shared" si="282"/>
        <v>4.6683056416489281E-2</v>
      </c>
      <c r="Q300" s="3">
        <f t="shared" si="282"/>
        <v>4.6662035578270852E-2</v>
      </c>
      <c r="R300" s="3">
        <f t="shared" si="282"/>
        <v>4.6452347092624795E-2</v>
      </c>
      <c r="S300" s="3">
        <f t="shared" si="282"/>
        <v>4.4406595850886639E-2</v>
      </c>
      <c r="T300" s="3">
        <f t="shared" si="282"/>
        <v>2.8303860687387206E-2</v>
      </c>
      <c r="U300" s="3">
        <f t="shared" si="282"/>
        <v>3.1320424330831168E-4</v>
      </c>
      <c r="V300" s="3">
        <f t="shared" si="282"/>
        <v>8.6227785043647887E-24</v>
      </c>
      <c r="W300" s="3">
        <f t="shared" si="282"/>
        <v>2.1569653161635941E-219</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5.4975929481542167E-2</v>
      </c>
      <c r="C301" s="3">
        <f t="shared" si="283"/>
        <v>5.4975929481542167E-2</v>
      </c>
      <c r="D301" s="3">
        <f t="shared" si="283"/>
        <v>5.4975929481542167E-2</v>
      </c>
      <c r="E301" s="3">
        <f t="shared" si="283"/>
        <v>5.4975929481542167E-2</v>
      </c>
      <c r="F301" s="3">
        <f t="shared" si="283"/>
        <v>5.4975929481542139E-2</v>
      </c>
      <c r="G301" s="3">
        <f t="shared" si="283"/>
        <v>5.4975929481541917E-2</v>
      </c>
      <c r="H301" s="3">
        <f t="shared" si="283"/>
        <v>5.4975929481539683E-2</v>
      </c>
      <c r="I301" s="3">
        <f t="shared" si="283"/>
        <v>5.4975929481517347E-2</v>
      </c>
      <c r="J301" s="3">
        <f t="shared" si="283"/>
        <v>5.4975929481293991E-2</v>
      </c>
      <c r="K301" s="3">
        <f t="shared" si="283"/>
        <v>5.4975929479060374E-2</v>
      </c>
      <c r="L301" s="3">
        <f t="shared" si="283"/>
        <v>5.4975929456724255E-2</v>
      </c>
      <c r="M301" s="3">
        <f t="shared" si="283"/>
        <v>5.4975929233363072E-2</v>
      </c>
      <c r="N301" s="3">
        <f t="shared" si="283"/>
        <v>5.4975926999751214E-2</v>
      </c>
      <c r="O301" s="3">
        <f t="shared" si="283"/>
        <v>5.4975904663637679E-2</v>
      </c>
      <c r="P301" s="3">
        <f t="shared" si="283"/>
        <v>5.4975681303001386E-2</v>
      </c>
      <c r="Q301" s="3">
        <f t="shared" si="283"/>
        <v>5.4973447746549803E-2</v>
      </c>
      <c r="R301" s="3">
        <f t="shared" si="283"/>
        <v>5.495111717240686E-2</v>
      </c>
      <c r="S301" s="3">
        <f t="shared" si="283"/>
        <v>5.4728309718899762E-2</v>
      </c>
      <c r="T301" s="3">
        <f t="shared" si="283"/>
        <v>5.2549322985849092E-2</v>
      </c>
      <c r="U301" s="3">
        <f t="shared" si="283"/>
        <v>3.5004028231441914E-2</v>
      </c>
      <c r="V301" s="3">
        <f t="shared" si="283"/>
        <v>6.0204232978369342E-4</v>
      </c>
      <c r="W301" s="3">
        <f t="shared" si="283"/>
        <v>1.3636943792273465E-21</v>
      </c>
      <c r="X301" s="3">
        <f t="shared" si="283"/>
        <v>4.8486102802731579E-198</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6.9092387087620902E-2</v>
      </c>
      <c r="C302" s="3">
        <f t="shared" si="284"/>
        <v>6.9092387087620902E-2</v>
      </c>
      <c r="D302" s="3">
        <f t="shared" si="284"/>
        <v>6.9092387087620902E-2</v>
      </c>
      <c r="E302" s="3">
        <f t="shared" si="284"/>
        <v>6.9092387087620902E-2</v>
      </c>
      <c r="F302" s="3">
        <f t="shared" si="284"/>
        <v>6.9092387087620902E-2</v>
      </c>
      <c r="G302" s="3">
        <f t="shared" si="284"/>
        <v>6.9092387087620874E-2</v>
      </c>
      <c r="H302" s="3">
        <f t="shared" si="284"/>
        <v>6.9092387087620624E-2</v>
      </c>
      <c r="I302" s="3">
        <f t="shared" si="284"/>
        <v>6.9092387087618085E-2</v>
      </c>
      <c r="J302" s="3">
        <f t="shared" si="284"/>
        <v>6.9092387087592771E-2</v>
      </c>
      <c r="K302" s="3">
        <f t="shared" si="284"/>
        <v>6.9092387087339543E-2</v>
      </c>
      <c r="L302" s="3">
        <f t="shared" si="284"/>
        <v>6.909238708480725E-2</v>
      </c>
      <c r="M302" s="3">
        <f t="shared" si="284"/>
        <v>6.909238705948445E-2</v>
      </c>
      <c r="N302" s="3">
        <f t="shared" si="284"/>
        <v>6.9092386806256331E-2</v>
      </c>
      <c r="O302" s="3">
        <f t="shared" si="284"/>
        <v>6.9092384273975224E-2</v>
      </c>
      <c r="P302" s="3">
        <f t="shared" si="284"/>
        <v>6.9092358951169275E-2</v>
      </c>
      <c r="Q302" s="3">
        <f t="shared" si="284"/>
        <v>6.9092105723620345E-2</v>
      </c>
      <c r="R302" s="3">
        <f t="shared" si="284"/>
        <v>6.9089573499175508E-2</v>
      </c>
      <c r="S302" s="3">
        <f t="shared" si="284"/>
        <v>6.906425635849496E-2</v>
      </c>
      <c r="T302" s="3">
        <f t="shared" si="284"/>
        <v>6.8811594637035386E-2</v>
      </c>
      <c r="U302" s="3">
        <f t="shared" si="284"/>
        <v>6.6335261509465601E-2</v>
      </c>
      <c r="V302" s="3">
        <f t="shared" si="284"/>
        <v>4.5980392947919467E-2</v>
      </c>
      <c r="W302" s="3">
        <f t="shared" si="284"/>
        <v>1.1772128850280174E-3</v>
      </c>
      <c r="X302" s="3">
        <f t="shared" si="284"/>
        <v>1.4245519527472449E-19</v>
      </c>
      <c r="Y302" s="3">
        <f t="shared" si="284"/>
        <v>9.592043652714393E-179</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5.879988531550847E-2</v>
      </c>
      <c r="C303" s="3">
        <f t="shared" si="285"/>
        <v>5.879988531550847E-2</v>
      </c>
      <c r="D303" s="3">
        <f t="shared" si="285"/>
        <v>5.879988531550847E-2</v>
      </c>
      <c r="E303" s="3">
        <f t="shared" si="285"/>
        <v>5.879988531550847E-2</v>
      </c>
      <c r="F303" s="3">
        <f t="shared" si="285"/>
        <v>5.879988531550847E-2</v>
      </c>
      <c r="G303" s="3">
        <f t="shared" si="285"/>
        <v>5.879988531550847E-2</v>
      </c>
      <c r="H303" s="3">
        <f t="shared" si="285"/>
        <v>5.8799885315508449E-2</v>
      </c>
      <c r="I303" s="3">
        <f t="shared" si="285"/>
        <v>5.8799885315508255E-2</v>
      </c>
      <c r="J303" s="3">
        <f t="shared" si="285"/>
        <v>5.8799885315506312E-2</v>
      </c>
      <c r="K303" s="3">
        <f t="shared" si="285"/>
        <v>5.8799885315486869E-2</v>
      </c>
      <c r="L303" s="3">
        <f t="shared" si="285"/>
        <v>5.8799885315292469E-2</v>
      </c>
      <c r="M303" s="3">
        <f t="shared" si="285"/>
        <v>5.8799885313348427E-2</v>
      </c>
      <c r="N303" s="3">
        <f t="shared" si="285"/>
        <v>5.879988529390804E-2</v>
      </c>
      <c r="O303" s="3">
        <f t="shared" si="285"/>
        <v>5.879988509950422E-2</v>
      </c>
      <c r="P303" s="3">
        <f t="shared" si="285"/>
        <v>5.8799883155466054E-2</v>
      </c>
      <c r="Q303" s="3">
        <f t="shared" si="285"/>
        <v>5.8799863715087886E-2</v>
      </c>
      <c r="R303" s="3">
        <f t="shared" si="285"/>
        <v>5.8799669311659745E-2</v>
      </c>
      <c r="S303" s="3">
        <f t="shared" si="285"/>
        <v>5.879772531272838E-2</v>
      </c>
      <c r="T303" s="3">
        <f t="shared" si="285"/>
        <v>5.8778288857986222E-2</v>
      </c>
      <c r="U303" s="3">
        <f t="shared" si="285"/>
        <v>5.85842773357187E-2</v>
      </c>
      <c r="V303" s="3">
        <f t="shared" si="285"/>
        <v>5.6679036568222353E-2</v>
      </c>
      <c r="W303" s="3">
        <f t="shared" si="285"/>
        <v>4.072267363204065E-2</v>
      </c>
      <c r="X303" s="3">
        <f t="shared" si="285"/>
        <v>1.4927068503692105E-3</v>
      </c>
      <c r="Y303" s="3">
        <f t="shared" si="285"/>
        <v>6.5366758306341369E-18</v>
      </c>
      <c r="Z303" s="3">
        <f t="shared" si="285"/>
        <v>1.6950447442925553E-161</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4.7913743582903463E-2</v>
      </c>
      <c r="C304" s="3">
        <f t="shared" si="286"/>
        <v>4.7913743582903463E-2</v>
      </c>
      <c r="D304" s="3">
        <f t="shared" si="286"/>
        <v>4.7913743582903463E-2</v>
      </c>
      <c r="E304" s="3">
        <f t="shared" si="286"/>
        <v>4.7913743582903463E-2</v>
      </c>
      <c r="F304" s="3">
        <f t="shared" si="286"/>
        <v>4.7913743582903463E-2</v>
      </c>
      <c r="G304" s="3">
        <f t="shared" si="286"/>
        <v>4.7913743582903463E-2</v>
      </c>
      <c r="H304" s="3">
        <f t="shared" si="286"/>
        <v>4.7913743582903463E-2</v>
      </c>
      <c r="I304" s="3">
        <f t="shared" si="286"/>
        <v>4.7913743582903449E-2</v>
      </c>
      <c r="J304" s="3">
        <f t="shared" si="286"/>
        <v>4.7913743582903304E-2</v>
      </c>
      <c r="K304" s="3">
        <f t="shared" si="286"/>
        <v>4.7913743582901881E-2</v>
      </c>
      <c r="L304" s="3">
        <f t="shared" si="286"/>
        <v>4.7913743582887587E-2</v>
      </c>
      <c r="M304" s="3">
        <f t="shared" si="286"/>
        <v>4.7913743582744688E-2</v>
      </c>
      <c r="N304" s="3">
        <f t="shared" si="286"/>
        <v>4.7913743581315671E-2</v>
      </c>
      <c r="O304" s="3">
        <f t="shared" si="286"/>
        <v>4.7913743567025581E-2</v>
      </c>
      <c r="P304" s="3">
        <f t="shared" si="286"/>
        <v>4.7913743424124668E-2</v>
      </c>
      <c r="Q304" s="3">
        <f t="shared" si="286"/>
        <v>4.7913741995115534E-2</v>
      </c>
      <c r="R304" s="3">
        <f t="shared" si="286"/>
        <v>4.7913727705026533E-2</v>
      </c>
      <c r="S304" s="3">
        <f t="shared" si="286"/>
        <v>4.7913584804370933E-2</v>
      </c>
      <c r="T304" s="3">
        <f t="shared" si="286"/>
        <v>4.7912155821255437E-2</v>
      </c>
      <c r="U304" s="3">
        <f t="shared" si="286"/>
        <v>4.7897868333894061E-2</v>
      </c>
      <c r="V304" s="3">
        <f t="shared" si="286"/>
        <v>4.775522758120531E-2</v>
      </c>
      <c r="W304" s="3">
        <f t="shared" si="286"/>
        <v>4.6351975839941412E-2</v>
      </c>
      <c r="X304" s="3">
        <f t="shared" si="286"/>
        <v>3.4398664020623367E-2</v>
      </c>
      <c r="Y304" s="3">
        <f t="shared" si="286"/>
        <v>1.7429094232872561E-3</v>
      </c>
      <c r="Z304" s="3">
        <f t="shared" si="286"/>
        <v>1.9436015674012346E-16</v>
      </c>
      <c r="AA304" s="3">
        <f t="shared" si="286"/>
        <v>5.7800482932698671E-146</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2.5827932303493749E-2</v>
      </c>
      <c r="C305" s="3">
        <f t="shared" si="287"/>
        <v>2.5827932303493749E-2</v>
      </c>
      <c r="D305" s="3">
        <f t="shared" si="287"/>
        <v>2.5827932303493749E-2</v>
      </c>
      <c r="E305" s="3">
        <f t="shared" si="287"/>
        <v>2.5827932303493749E-2</v>
      </c>
      <c r="F305" s="3">
        <f t="shared" si="287"/>
        <v>2.5827932303493749E-2</v>
      </c>
      <c r="G305" s="3">
        <f t="shared" si="287"/>
        <v>2.5827932303493749E-2</v>
      </c>
      <c r="H305" s="3">
        <f t="shared" si="287"/>
        <v>2.5827932303493749E-2</v>
      </c>
      <c r="I305" s="3">
        <f t="shared" si="287"/>
        <v>2.5827932303493749E-2</v>
      </c>
      <c r="J305" s="3">
        <f t="shared" si="287"/>
        <v>2.5827932303493742E-2</v>
      </c>
      <c r="K305" s="3">
        <f t="shared" si="287"/>
        <v>2.5827932303493673E-2</v>
      </c>
      <c r="L305" s="3">
        <f t="shared" si="287"/>
        <v>2.5827932303492979E-2</v>
      </c>
      <c r="M305" s="3">
        <f t="shared" si="287"/>
        <v>2.5827932303486026E-2</v>
      </c>
      <c r="N305" s="3">
        <f t="shared" si="287"/>
        <v>2.582793230341654E-2</v>
      </c>
      <c r="O305" s="3">
        <f t="shared" si="287"/>
        <v>2.5827932302721658E-2</v>
      </c>
      <c r="P305" s="3">
        <f t="shared" si="287"/>
        <v>2.5827932295772835E-2</v>
      </c>
      <c r="Q305" s="3">
        <f t="shared" si="287"/>
        <v>2.5827932226284624E-2</v>
      </c>
      <c r="R305" s="3">
        <f t="shared" si="287"/>
        <v>2.5827931531402511E-2</v>
      </c>
      <c r="S305" s="3">
        <f t="shared" si="287"/>
        <v>2.5827924582582425E-2</v>
      </c>
      <c r="T305" s="3">
        <f t="shared" si="287"/>
        <v>2.5827855094484386E-2</v>
      </c>
      <c r="U305" s="3">
        <f t="shared" si="287"/>
        <v>2.582716022378629E-2</v>
      </c>
      <c r="V305" s="3">
        <f t="shared" si="287"/>
        <v>2.582021254493358E-2</v>
      </c>
      <c r="W305" s="3">
        <f t="shared" si="287"/>
        <v>2.5750838466959251E-2</v>
      </c>
      <c r="X305" s="3">
        <f t="shared" si="287"/>
        <v>2.5067267230019941E-2</v>
      </c>
      <c r="Y305" s="3">
        <f t="shared" si="287"/>
        <v>1.9154161889598599E-2</v>
      </c>
      <c r="Z305" s="3">
        <f t="shared" si="287"/>
        <v>1.2996451260556315E-3</v>
      </c>
      <c r="AA305" s="3">
        <f t="shared" si="287"/>
        <v>2.6880730670817946E-15</v>
      </c>
      <c r="AB305" s="3">
        <f t="shared" si="287"/>
        <v>3.8512697665364262E-132</v>
      </c>
      <c r="AC305" s="3">
        <f t="shared" si="287"/>
        <v>0</v>
      </c>
      <c r="AD305" s="3">
        <f t="shared" si="287"/>
        <v>0</v>
      </c>
      <c r="AE305" s="3">
        <f t="shared" si="287"/>
        <v>0</v>
      </c>
      <c r="AF305" s="3">
        <f t="shared" si="287"/>
        <v>0</v>
      </c>
      <c r="AG305" s="3"/>
      <c r="AH305" s="3"/>
    </row>
    <row r="306" spans="1:34" x14ac:dyDescent="0.25">
      <c r="B306" s="3">
        <f t="shared" ref="B306:AF306" si="288">$C36*EXP(-B$285/$A36/EXP(-$F$126))</f>
        <v>1.4720074447505073E-2</v>
      </c>
      <c r="C306" s="3">
        <f t="shared" si="288"/>
        <v>1.4720074447505073E-2</v>
      </c>
      <c r="D306" s="3">
        <f t="shared" si="288"/>
        <v>1.4720074447505073E-2</v>
      </c>
      <c r="E306" s="3">
        <f t="shared" si="288"/>
        <v>1.4720074447505073E-2</v>
      </c>
      <c r="F306" s="3">
        <f t="shared" si="288"/>
        <v>1.4720074447505073E-2</v>
      </c>
      <c r="G306" s="3">
        <f t="shared" si="288"/>
        <v>1.4720074447505073E-2</v>
      </c>
      <c r="H306" s="3">
        <f t="shared" si="288"/>
        <v>1.4720074447505073E-2</v>
      </c>
      <c r="I306" s="3">
        <f t="shared" si="288"/>
        <v>1.4720074447505073E-2</v>
      </c>
      <c r="J306" s="3">
        <f t="shared" si="288"/>
        <v>1.4720074447505073E-2</v>
      </c>
      <c r="K306" s="3">
        <f t="shared" si="288"/>
        <v>1.4720074447505069E-2</v>
      </c>
      <c r="L306" s="3">
        <f t="shared" si="288"/>
        <v>1.4720074447505033E-2</v>
      </c>
      <c r="M306" s="3">
        <f t="shared" si="288"/>
        <v>1.4720074447504675E-2</v>
      </c>
      <c r="N306" s="3">
        <f t="shared" si="288"/>
        <v>1.4720074447501104E-2</v>
      </c>
      <c r="O306" s="3">
        <f t="shared" si="288"/>
        <v>1.4720074447465379E-2</v>
      </c>
      <c r="P306" s="3">
        <f t="shared" si="288"/>
        <v>1.4720074447108123E-2</v>
      </c>
      <c r="Q306" s="3">
        <f t="shared" si="288"/>
        <v>1.4720074443535574E-2</v>
      </c>
      <c r="R306" s="3">
        <f t="shared" si="288"/>
        <v>1.4720074407810093E-2</v>
      </c>
      <c r="S306" s="3">
        <f t="shared" si="288"/>
        <v>1.4720074050555277E-2</v>
      </c>
      <c r="T306" s="3">
        <f t="shared" si="288"/>
        <v>1.4720070478007609E-2</v>
      </c>
      <c r="U306" s="3">
        <f t="shared" si="288"/>
        <v>1.4720034752578605E-2</v>
      </c>
      <c r="V306" s="3">
        <f t="shared" si="288"/>
        <v>1.471967750305732E-2</v>
      </c>
      <c r="W306" s="3">
        <f t="shared" si="288"/>
        <v>1.4716105484676634E-2</v>
      </c>
      <c r="X306" s="3">
        <f t="shared" si="288"/>
        <v>1.4680432941295367E-2</v>
      </c>
      <c r="Y306" s="3">
        <f t="shared" si="288"/>
        <v>1.4328429045888462E-2</v>
      </c>
      <c r="Z306" s="3">
        <f t="shared" si="288"/>
        <v>1.1240761048291744E-2</v>
      </c>
      <c r="AA306" s="3">
        <f t="shared" si="288"/>
        <v>9.9258361133972278E-4</v>
      </c>
      <c r="AB306" s="3">
        <f t="shared" si="288"/>
        <v>2.8607568340415449E-14</v>
      </c>
      <c r="AC306" s="3">
        <f t="shared" si="288"/>
        <v>1.1314083581172879E-119</v>
      </c>
      <c r="AD306" s="3">
        <f t="shared" si="288"/>
        <v>0</v>
      </c>
      <c r="AE306" s="3">
        <f t="shared" si="288"/>
        <v>0</v>
      </c>
      <c r="AF306" s="3">
        <f t="shared" si="288"/>
        <v>0</v>
      </c>
      <c r="AG306" s="3"/>
      <c r="AH306" s="3"/>
    </row>
    <row r="307" spans="1:34" x14ac:dyDescent="0.25">
      <c r="B307" s="3">
        <f t="shared" ref="B307:AF307" si="289">$C37*EXP(-B$285/$A37/EXP(-$F$126))</f>
        <v>5.9239967047518835E-3</v>
      </c>
      <c r="C307" s="3">
        <f t="shared" si="289"/>
        <v>5.9239967047518835E-3</v>
      </c>
      <c r="D307" s="3">
        <f t="shared" si="289"/>
        <v>5.9239967047518835E-3</v>
      </c>
      <c r="E307" s="3">
        <f t="shared" si="289"/>
        <v>5.9239967047518835E-3</v>
      </c>
      <c r="F307" s="3">
        <f t="shared" si="289"/>
        <v>5.9239967047518835E-3</v>
      </c>
      <c r="G307" s="3">
        <f t="shared" si="289"/>
        <v>5.9239967047518835E-3</v>
      </c>
      <c r="H307" s="3">
        <f t="shared" si="289"/>
        <v>5.9239967047518835E-3</v>
      </c>
      <c r="I307" s="3">
        <f t="shared" si="289"/>
        <v>5.9239967047518835E-3</v>
      </c>
      <c r="J307" s="3">
        <f t="shared" si="289"/>
        <v>5.9239967047518835E-3</v>
      </c>
      <c r="K307" s="3">
        <f t="shared" si="289"/>
        <v>5.9239967047518835E-3</v>
      </c>
      <c r="L307" s="3">
        <f t="shared" si="289"/>
        <v>5.9239967047518818E-3</v>
      </c>
      <c r="M307" s="3">
        <f t="shared" si="289"/>
        <v>5.9239967047518688E-3</v>
      </c>
      <c r="N307" s="3">
        <f t="shared" si="289"/>
        <v>5.9239967047517396E-3</v>
      </c>
      <c r="O307" s="3">
        <f t="shared" si="289"/>
        <v>5.9239967047504428E-3</v>
      </c>
      <c r="P307" s="3">
        <f t="shared" si="289"/>
        <v>5.9239967047374732E-3</v>
      </c>
      <c r="Q307" s="3">
        <f t="shared" si="289"/>
        <v>5.9239967046077757E-3</v>
      </c>
      <c r="R307" s="3">
        <f t="shared" si="289"/>
        <v>5.9239967033108071E-3</v>
      </c>
      <c r="S307" s="3">
        <f t="shared" si="289"/>
        <v>5.9239966903411202E-3</v>
      </c>
      <c r="T307" s="3">
        <f t="shared" si="289"/>
        <v>5.9239965606442541E-3</v>
      </c>
      <c r="U307" s="3">
        <f t="shared" si="289"/>
        <v>5.923995263675744E-3</v>
      </c>
      <c r="V307" s="3">
        <f t="shared" si="289"/>
        <v>5.9239822940062702E-3</v>
      </c>
      <c r="W307" s="3">
        <f t="shared" si="289"/>
        <v>5.9238525988732429E-3</v>
      </c>
      <c r="X307" s="3">
        <f t="shared" si="289"/>
        <v>5.922555803702244E-3</v>
      </c>
      <c r="Y307" s="3">
        <f t="shared" si="289"/>
        <v>5.9096034552768937E-3</v>
      </c>
      <c r="Z307" s="3">
        <f t="shared" si="289"/>
        <v>5.7816277335925358E-3</v>
      </c>
      <c r="AA307" s="3">
        <f t="shared" si="289"/>
        <v>4.6448102316467271E-3</v>
      </c>
      <c r="AB307" s="3">
        <f t="shared" si="289"/>
        <v>5.2017140832421769E-4</v>
      </c>
      <c r="AC307" s="3">
        <f t="shared" si="289"/>
        <v>1.6141039375623797E-13</v>
      </c>
      <c r="AD307" s="3">
        <f t="shared" si="289"/>
        <v>1.3359238250808059E-108</v>
      </c>
      <c r="AE307" s="3">
        <f t="shared" si="289"/>
        <v>0</v>
      </c>
      <c r="AF307" s="3">
        <f t="shared" si="289"/>
        <v>0</v>
      </c>
      <c r="AG307" s="3"/>
      <c r="AH307" s="3"/>
    </row>
    <row r="308" spans="1:34" x14ac:dyDescent="0.25">
      <c r="B308" s="3">
        <f t="shared" ref="B308:AF308" si="290">$C38*EXP(-B$285/$A38/EXP(-$F$126))</f>
        <v>1.8347081790420509E-3</v>
      </c>
      <c r="C308" s="3">
        <f t="shared" si="290"/>
        <v>1.8347081790420509E-3</v>
      </c>
      <c r="D308" s="3">
        <f t="shared" si="290"/>
        <v>1.8347081790420509E-3</v>
      </c>
      <c r="E308" s="3">
        <f t="shared" si="290"/>
        <v>1.8347081790420509E-3</v>
      </c>
      <c r="F308" s="3">
        <f t="shared" si="290"/>
        <v>1.8347081790420509E-3</v>
      </c>
      <c r="G308" s="3">
        <f t="shared" si="290"/>
        <v>1.8347081790420509E-3</v>
      </c>
      <c r="H308" s="3">
        <f t="shared" si="290"/>
        <v>1.8347081790420509E-3</v>
      </c>
      <c r="I308" s="3">
        <f t="shared" si="290"/>
        <v>1.8347081790420509E-3</v>
      </c>
      <c r="J308" s="3">
        <f t="shared" si="290"/>
        <v>1.8347081790420509E-3</v>
      </c>
      <c r="K308" s="3">
        <f t="shared" si="290"/>
        <v>1.8347081790420509E-3</v>
      </c>
      <c r="L308" s="3">
        <f t="shared" si="290"/>
        <v>1.8347081790420509E-3</v>
      </c>
      <c r="M308" s="3">
        <f t="shared" si="290"/>
        <v>1.8347081790420505E-3</v>
      </c>
      <c r="N308" s="3">
        <f t="shared" si="290"/>
        <v>1.8347081790420468E-3</v>
      </c>
      <c r="O308" s="3">
        <f t="shared" si="290"/>
        <v>1.8347081790420106E-3</v>
      </c>
      <c r="P308" s="3">
        <f t="shared" si="290"/>
        <v>1.8347081790416483E-3</v>
      </c>
      <c r="Q308" s="3">
        <f t="shared" si="290"/>
        <v>1.8347081790380246E-3</v>
      </c>
      <c r="R308" s="3">
        <f t="shared" si="290"/>
        <v>1.83470817900179E-3</v>
      </c>
      <c r="S308" s="3">
        <f t="shared" si="290"/>
        <v>1.8347081786394398E-3</v>
      </c>
      <c r="T308" s="3">
        <f t="shared" si="290"/>
        <v>1.8347081750159399E-3</v>
      </c>
      <c r="U308" s="3">
        <f t="shared" si="290"/>
        <v>1.8347081387809399E-3</v>
      </c>
      <c r="V308" s="3">
        <f t="shared" si="290"/>
        <v>1.8347077764309808E-3</v>
      </c>
      <c r="W308" s="3">
        <f t="shared" si="290"/>
        <v>1.8347041529353245E-3</v>
      </c>
      <c r="X308" s="3">
        <f t="shared" si="290"/>
        <v>1.8346679183723561E-3</v>
      </c>
      <c r="Y308" s="3">
        <f t="shared" si="290"/>
        <v>1.8343056120992181E-3</v>
      </c>
      <c r="Z308" s="3">
        <f t="shared" si="290"/>
        <v>1.8306864821479485E-3</v>
      </c>
      <c r="AA308" s="3">
        <f t="shared" si="290"/>
        <v>1.7948856019246485E-3</v>
      </c>
      <c r="AB308" s="3">
        <f t="shared" si="290"/>
        <v>1.4732103611047773E-3</v>
      </c>
      <c r="AC308" s="3">
        <f t="shared" si="290"/>
        <v>2.0443002071806742E-4</v>
      </c>
      <c r="AD308" s="3">
        <f t="shared" si="290"/>
        <v>5.4118251083609263E-13</v>
      </c>
      <c r="AE308" s="3">
        <f t="shared" si="290"/>
        <v>9.1481770078172965E-99</v>
      </c>
      <c r="AF308" s="3">
        <f t="shared" si="290"/>
        <v>0</v>
      </c>
      <c r="AG308" s="3"/>
      <c r="AH308" s="3"/>
    </row>
    <row r="309" spans="1:34" x14ac:dyDescent="0.25">
      <c r="B309" s="3">
        <f t="shared" ref="B309:AF309" si="291">$C39*EXP(-B$285/$A39/EXP(-$F$126))</f>
        <v>3.8370171737972247E-3</v>
      </c>
      <c r="C309" s="3">
        <f t="shared" si="291"/>
        <v>3.8370171737972247E-3</v>
      </c>
      <c r="D309" s="3">
        <f t="shared" si="291"/>
        <v>3.8370171737972247E-3</v>
      </c>
      <c r="E309" s="3">
        <f t="shared" si="291"/>
        <v>3.8370171737972247E-3</v>
      </c>
      <c r="F309" s="3">
        <f t="shared" si="291"/>
        <v>3.8370171737972247E-3</v>
      </c>
      <c r="G309" s="3">
        <f t="shared" si="291"/>
        <v>3.8370171737972247E-3</v>
      </c>
      <c r="H309" s="3">
        <f t="shared" si="291"/>
        <v>3.8370171737972247E-3</v>
      </c>
      <c r="I309" s="3">
        <f t="shared" si="291"/>
        <v>3.8370171737972247E-3</v>
      </c>
      <c r="J309" s="3">
        <f t="shared" si="291"/>
        <v>3.8370171737972247E-3</v>
      </c>
      <c r="K309" s="3">
        <f t="shared" si="291"/>
        <v>3.8370171737972247E-3</v>
      </c>
      <c r="L309" s="3">
        <f t="shared" si="291"/>
        <v>3.8370171737972247E-3</v>
      </c>
      <c r="M309" s="3">
        <f t="shared" si="291"/>
        <v>3.8370171737972243E-3</v>
      </c>
      <c r="N309" s="3">
        <f t="shared" si="291"/>
        <v>3.8370171737972226E-3</v>
      </c>
      <c r="O309" s="3">
        <f t="shared" si="291"/>
        <v>3.8370171737972013E-3</v>
      </c>
      <c r="P309" s="3">
        <f t="shared" si="291"/>
        <v>3.8370171737969918E-3</v>
      </c>
      <c r="Q309" s="3">
        <f t="shared" si="291"/>
        <v>3.8370171737948959E-3</v>
      </c>
      <c r="R309" s="3">
        <f t="shared" si="291"/>
        <v>3.8370171737739369E-3</v>
      </c>
      <c r="S309" s="3">
        <f t="shared" si="291"/>
        <v>3.8370171735643485E-3</v>
      </c>
      <c r="T309" s="3">
        <f t="shared" si="291"/>
        <v>3.8370171714684612E-3</v>
      </c>
      <c r="U309" s="3">
        <f t="shared" si="291"/>
        <v>3.8370171505095908E-3</v>
      </c>
      <c r="V309" s="3">
        <f t="shared" si="291"/>
        <v>3.8370169409208915E-3</v>
      </c>
      <c r="W309" s="3">
        <f t="shared" si="291"/>
        <v>3.8370148450345282E-3</v>
      </c>
      <c r="X309" s="3">
        <f t="shared" si="291"/>
        <v>3.8369938862338596E-3</v>
      </c>
      <c r="Y309" s="3">
        <f t="shared" si="291"/>
        <v>3.8367843045236131E-3</v>
      </c>
      <c r="Z309" s="3">
        <f t="shared" si="291"/>
        <v>3.8346891169377378E-3</v>
      </c>
      <c r="AA309" s="3">
        <f t="shared" si="291"/>
        <v>3.8138000656954521E-3</v>
      </c>
      <c r="AB309" s="3">
        <f t="shared" si="291"/>
        <v>3.611066877403066E-3</v>
      </c>
      <c r="AC309" s="3">
        <f t="shared" si="291"/>
        <v>2.0912773301582132E-3</v>
      </c>
      <c r="AD309" s="3">
        <f t="shared" si="291"/>
        <v>8.8750868001339095E-6</v>
      </c>
      <c r="AE309" s="3">
        <f t="shared" si="291"/>
        <v>1.6818312008080547E-29</v>
      </c>
      <c r="AF309" s="3">
        <f t="shared" si="291"/>
        <v>1.0043390845847146E-266</v>
      </c>
      <c r="AG309" s="3"/>
      <c r="AH309" s="3"/>
    </row>
    <row r="310" spans="1:34" x14ac:dyDescent="0.25">
      <c r="B310" s="3">
        <f t="shared" ref="B310:AF310" si="292">$C40*EXP(-B$285/$A40/EXP(-$F$126))</f>
        <v>0</v>
      </c>
      <c r="C310" s="3">
        <f t="shared" si="292"/>
        <v>0</v>
      </c>
      <c r="D310" s="3">
        <f t="shared" si="292"/>
        <v>0</v>
      </c>
      <c r="E310" s="3">
        <f t="shared" si="292"/>
        <v>0</v>
      </c>
      <c r="F310" s="3">
        <f t="shared" si="292"/>
        <v>0</v>
      </c>
      <c r="G310" s="3">
        <f t="shared" si="292"/>
        <v>0</v>
      </c>
      <c r="H310" s="3">
        <f t="shared" si="292"/>
        <v>0</v>
      </c>
      <c r="I310" s="3">
        <f t="shared" si="292"/>
        <v>0</v>
      </c>
      <c r="J310" s="3">
        <f t="shared" si="292"/>
        <v>0</v>
      </c>
      <c r="K310" s="3">
        <f t="shared" si="292"/>
        <v>0</v>
      </c>
      <c r="L310" s="3">
        <f t="shared" si="292"/>
        <v>0</v>
      </c>
      <c r="M310" s="3">
        <f t="shared" si="292"/>
        <v>0</v>
      </c>
      <c r="N310" s="3">
        <f t="shared" si="292"/>
        <v>0</v>
      </c>
      <c r="O310" s="3">
        <f t="shared" si="292"/>
        <v>0</v>
      </c>
      <c r="P310" s="3">
        <f t="shared" si="292"/>
        <v>0</v>
      </c>
      <c r="Q310" s="3">
        <f t="shared" si="292"/>
        <v>0</v>
      </c>
      <c r="R310" s="3">
        <f t="shared" si="292"/>
        <v>0</v>
      </c>
      <c r="S310" s="3">
        <f t="shared" si="292"/>
        <v>0</v>
      </c>
      <c r="T310" s="3">
        <f t="shared" si="292"/>
        <v>0</v>
      </c>
      <c r="U310" s="3">
        <f t="shared" si="292"/>
        <v>0</v>
      </c>
      <c r="V310" s="3">
        <f t="shared" si="292"/>
        <v>0</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1.7399495856337129E-3</v>
      </c>
      <c r="C311" s="3">
        <f t="shared" si="293"/>
        <v>1.7399495856337129E-3</v>
      </c>
      <c r="D311" s="3">
        <f t="shared" si="293"/>
        <v>1.7399495856337129E-3</v>
      </c>
      <c r="E311" s="3">
        <f t="shared" si="293"/>
        <v>1.7399495856337129E-3</v>
      </c>
      <c r="F311" s="3">
        <f t="shared" si="293"/>
        <v>1.7399495856337129E-3</v>
      </c>
      <c r="G311" s="3">
        <f t="shared" si="293"/>
        <v>1.7399495856337129E-3</v>
      </c>
      <c r="H311" s="3">
        <f t="shared" si="293"/>
        <v>1.7399495856337129E-3</v>
      </c>
      <c r="I311" s="3">
        <f t="shared" si="293"/>
        <v>1.7399495856337129E-3</v>
      </c>
      <c r="J311" s="3">
        <f t="shared" si="293"/>
        <v>1.7399495856337129E-3</v>
      </c>
      <c r="K311" s="3">
        <f t="shared" si="293"/>
        <v>1.7399495856337129E-3</v>
      </c>
      <c r="L311" s="3">
        <f t="shared" si="293"/>
        <v>1.7399495856337129E-3</v>
      </c>
      <c r="M311" s="3">
        <f t="shared" si="293"/>
        <v>1.7399495856337129E-3</v>
      </c>
      <c r="N311" s="3">
        <f t="shared" si="293"/>
        <v>1.7399495856337129E-3</v>
      </c>
      <c r="O311" s="3">
        <f t="shared" si="293"/>
        <v>1.7399495856337127E-3</v>
      </c>
      <c r="P311" s="3">
        <f t="shared" si="293"/>
        <v>1.7399495856337121E-3</v>
      </c>
      <c r="Q311" s="3">
        <f t="shared" si="293"/>
        <v>1.7399495856337023E-3</v>
      </c>
      <c r="R311" s="3">
        <f t="shared" si="293"/>
        <v>1.7399495856336073E-3</v>
      </c>
      <c r="S311" s="3">
        <f t="shared" si="293"/>
        <v>1.7399495856326569E-3</v>
      </c>
      <c r="T311" s="3">
        <f t="shared" si="293"/>
        <v>1.7399495856231528E-3</v>
      </c>
      <c r="U311" s="3">
        <f t="shared" si="293"/>
        <v>1.7399495855281119E-3</v>
      </c>
      <c r="V311" s="3">
        <f t="shared" si="293"/>
        <v>1.7399495845777022E-3</v>
      </c>
      <c r="W311" s="3">
        <f t="shared" si="293"/>
        <v>1.7399495750736065E-3</v>
      </c>
      <c r="X311" s="3">
        <f t="shared" si="293"/>
        <v>1.7399494800326534E-3</v>
      </c>
      <c r="Y311" s="3">
        <f t="shared" si="293"/>
        <v>1.7399485296234044E-3</v>
      </c>
      <c r="Z311" s="3">
        <f t="shared" si="293"/>
        <v>1.7399390255594697E-3</v>
      </c>
      <c r="AA311" s="3">
        <f t="shared" si="293"/>
        <v>1.7398439877753312E-3</v>
      </c>
      <c r="AB311" s="3">
        <f t="shared" si="293"/>
        <v>1.7388938953971254E-3</v>
      </c>
      <c r="AC311" s="3">
        <f t="shared" si="293"/>
        <v>1.729421460323991E-3</v>
      </c>
      <c r="AD311" s="3">
        <f t="shared" si="293"/>
        <v>1.6374892351120689E-3</v>
      </c>
      <c r="AE311" s="3">
        <f t="shared" si="293"/>
        <v>9.4831921756893757E-4</v>
      </c>
      <c r="AF311" s="3">
        <f t="shared" si="293"/>
        <v>4.0245333551828161E-6</v>
      </c>
      <c r="AG311" s="3"/>
      <c r="AH311" s="3"/>
    </row>
    <row r="312" spans="1:34" x14ac:dyDescent="0.25">
      <c r="B312" s="3">
        <f t="shared" ref="B312:AF312" si="294">$C42*EXP(-B$285/$A42/EXP(-$F$126))</f>
        <v>3.0775072994127634E-3</v>
      </c>
      <c r="C312" s="3">
        <f t="shared" si="294"/>
        <v>3.0775072994127634E-3</v>
      </c>
      <c r="D312" s="3">
        <f t="shared" si="294"/>
        <v>3.0775072994127634E-3</v>
      </c>
      <c r="E312" s="3">
        <f t="shared" si="294"/>
        <v>3.0775072994127634E-3</v>
      </c>
      <c r="F312" s="3">
        <f t="shared" si="294"/>
        <v>3.0775072994127634E-3</v>
      </c>
      <c r="G312" s="3">
        <f t="shared" si="294"/>
        <v>3.0775072994127634E-3</v>
      </c>
      <c r="H312" s="3">
        <f t="shared" si="294"/>
        <v>3.0775072994127634E-3</v>
      </c>
      <c r="I312" s="3">
        <f t="shared" si="294"/>
        <v>3.0775072994127634E-3</v>
      </c>
      <c r="J312" s="3">
        <f t="shared" si="294"/>
        <v>3.0775072994127634E-3</v>
      </c>
      <c r="K312" s="3">
        <f t="shared" si="294"/>
        <v>3.0775072994127634E-3</v>
      </c>
      <c r="L312" s="3">
        <f t="shared" si="294"/>
        <v>3.0775072994127634E-3</v>
      </c>
      <c r="M312" s="3">
        <f t="shared" si="294"/>
        <v>3.0775072994127634E-3</v>
      </c>
      <c r="N312" s="3">
        <f t="shared" si="294"/>
        <v>3.0775072994127634E-3</v>
      </c>
      <c r="O312" s="3">
        <f t="shared" si="294"/>
        <v>3.0775072994127634E-3</v>
      </c>
      <c r="P312" s="3">
        <f t="shared" si="294"/>
        <v>3.077507299412763E-3</v>
      </c>
      <c r="Q312" s="3">
        <f t="shared" si="294"/>
        <v>3.0775072994127617E-3</v>
      </c>
      <c r="R312" s="3">
        <f t="shared" si="294"/>
        <v>3.0775072994127448E-3</v>
      </c>
      <c r="S312" s="3">
        <f t="shared" si="294"/>
        <v>3.0775072994125765E-3</v>
      </c>
      <c r="T312" s="3">
        <f t="shared" si="294"/>
        <v>3.0775072994108955E-3</v>
      </c>
      <c r="U312" s="3">
        <f t="shared" si="294"/>
        <v>3.0775072993940852E-3</v>
      </c>
      <c r="V312" s="3">
        <f t="shared" si="294"/>
        <v>3.0775072992259831E-3</v>
      </c>
      <c r="W312" s="3">
        <f t="shared" si="294"/>
        <v>3.0775072975449619E-3</v>
      </c>
      <c r="X312" s="3">
        <f t="shared" si="294"/>
        <v>3.0775072807347485E-3</v>
      </c>
      <c r="Y312" s="3">
        <f t="shared" si="294"/>
        <v>3.0775071126326208E-3</v>
      </c>
      <c r="Z312" s="3">
        <f t="shared" si="294"/>
        <v>3.077505431611846E-3</v>
      </c>
      <c r="AA312" s="3">
        <f t="shared" si="294"/>
        <v>3.0774886214546006E-3</v>
      </c>
      <c r="AB312" s="3">
        <f t="shared" si="294"/>
        <v>3.0773205249322523E-3</v>
      </c>
      <c r="AC312" s="3">
        <f t="shared" si="294"/>
        <v>3.0756400646170874E-3</v>
      </c>
      <c r="AD312" s="3">
        <f t="shared" si="294"/>
        <v>3.058885850402216E-3</v>
      </c>
      <c r="AE312" s="3">
        <f t="shared" si="294"/>
        <v>2.8962822344831352E-3</v>
      </c>
      <c r="AF312" s="3">
        <f t="shared" si="294"/>
        <v>1.6773240663630286E-3</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0</v>
      </c>
      <c r="C314" s="3">
        <f t="shared" si="296"/>
        <v>0</v>
      </c>
      <c r="D314" s="3">
        <f t="shared" si="296"/>
        <v>0</v>
      </c>
      <c r="E314" s="3">
        <f t="shared" si="296"/>
        <v>0</v>
      </c>
      <c r="F314" s="3">
        <f t="shared" si="296"/>
        <v>0</v>
      </c>
      <c r="G314" s="3">
        <f t="shared" si="296"/>
        <v>0</v>
      </c>
      <c r="H314" s="3">
        <f t="shared" si="296"/>
        <v>0</v>
      </c>
      <c r="I314" s="3">
        <f t="shared" si="296"/>
        <v>0</v>
      </c>
      <c r="J314" s="3">
        <f t="shared" si="296"/>
        <v>0</v>
      </c>
      <c r="K314" s="3">
        <f t="shared" si="296"/>
        <v>0</v>
      </c>
      <c r="L314" s="3">
        <f t="shared" si="296"/>
        <v>0</v>
      </c>
      <c r="M314" s="3">
        <f t="shared" si="296"/>
        <v>0</v>
      </c>
      <c r="N314" s="3">
        <f t="shared" si="296"/>
        <v>0</v>
      </c>
      <c r="O314" s="3">
        <f t="shared" si="296"/>
        <v>0</v>
      </c>
      <c r="P314" s="3">
        <f t="shared" si="296"/>
        <v>0</v>
      </c>
      <c r="Q314" s="3">
        <f t="shared" si="296"/>
        <v>0</v>
      </c>
      <c r="R314" s="3">
        <f t="shared" si="296"/>
        <v>0</v>
      </c>
      <c r="S314" s="3">
        <f t="shared" si="296"/>
        <v>0</v>
      </c>
      <c r="T314" s="3">
        <f t="shared" si="296"/>
        <v>0</v>
      </c>
      <c r="U314" s="3">
        <f t="shared" si="296"/>
        <v>0</v>
      </c>
      <c r="V314" s="3">
        <f t="shared" si="296"/>
        <v>0</v>
      </c>
      <c r="W314" s="3">
        <f t="shared" si="296"/>
        <v>0</v>
      </c>
      <c r="X314" s="3">
        <f t="shared" si="296"/>
        <v>0</v>
      </c>
      <c r="Y314" s="3">
        <f t="shared" si="296"/>
        <v>0</v>
      </c>
      <c r="Z314" s="3">
        <f t="shared" si="296"/>
        <v>0</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3.9641523668516518E-5</v>
      </c>
      <c r="C315" s="3">
        <f t="shared" si="297"/>
        <v>3.9641523668516518E-5</v>
      </c>
      <c r="D315" s="3">
        <f t="shared" si="297"/>
        <v>3.9641523668516518E-5</v>
      </c>
      <c r="E315" s="3">
        <f t="shared" si="297"/>
        <v>3.9641523668516518E-5</v>
      </c>
      <c r="F315" s="3">
        <f t="shared" si="297"/>
        <v>3.9641523668516518E-5</v>
      </c>
      <c r="G315" s="3">
        <f t="shared" si="297"/>
        <v>3.9641523668516518E-5</v>
      </c>
      <c r="H315" s="3">
        <f t="shared" si="297"/>
        <v>3.9641523668516518E-5</v>
      </c>
      <c r="I315" s="3">
        <f t="shared" si="297"/>
        <v>3.9641523668516518E-5</v>
      </c>
      <c r="J315" s="3">
        <f t="shared" si="297"/>
        <v>3.9641523668516518E-5</v>
      </c>
      <c r="K315" s="3">
        <f t="shared" si="297"/>
        <v>3.9641523668516518E-5</v>
      </c>
      <c r="L315" s="3">
        <f t="shared" si="297"/>
        <v>3.9641523668516518E-5</v>
      </c>
      <c r="M315" s="3">
        <f t="shared" si="297"/>
        <v>3.9641523668516518E-5</v>
      </c>
      <c r="N315" s="3">
        <f t="shared" si="297"/>
        <v>3.9641523668516518E-5</v>
      </c>
      <c r="O315" s="3">
        <f t="shared" si="297"/>
        <v>3.9641523668516518E-5</v>
      </c>
      <c r="P315" s="3">
        <f t="shared" si="297"/>
        <v>3.9641523668516518E-5</v>
      </c>
      <c r="Q315" s="3">
        <f t="shared" si="297"/>
        <v>3.9641523668516518E-5</v>
      </c>
      <c r="R315" s="3">
        <f t="shared" si="297"/>
        <v>3.9641523668516518E-5</v>
      </c>
      <c r="S315" s="3">
        <f t="shared" si="297"/>
        <v>3.9641523668516511E-5</v>
      </c>
      <c r="T315" s="3">
        <f t="shared" si="297"/>
        <v>3.9641523668516498E-5</v>
      </c>
      <c r="U315" s="3">
        <f t="shared" si="297"/>
        <v>3.9641523668516274E-5</v>
      </c>
      <c r="V315" s="3">
        <f t="shared" si="297"/>
        <v>3.9641523668514112E-5</v>
      </c>
      <c r="W315" s="3">
        <f t="shared" si="297"/>
        <v>3.9641523668492455E-5</v>
      </c>
      <c r="X315" s="3">
        <f t="shared" si="297"/>
        <v>3.9641523668275927E-5</v>
      </c>
      <c r="Y315" s="3">
        <f t="shared" si="297"/>
        <v>3.9641523666110592E-5</v>
      </c>
      <c r="Z315" s="3">
        <f t="shared" si="297"/>
        <v>3.9641523644457272E-5</v>
      </c>
      <c r="AA315" s="3">
        <f t="shared" si="297"/>
        <v>3.9641523427924087E-5</v>
      </c>
      <c r="AB315" s="3">
        <f t="shared" si="297"/>
        <v>3.9641521262592269E-5</v>
      </c>
      <c r="AC315" s="3">
        <f t="shared" si="297"/>
        <v>3.9641499609280557E-5</v>
      </c>
      <c r="AD315" s="3">
        <f t="shared" si="297"/>
        <v>3.9641283076814026E-5</v>
      </c>
      <c r="AE315" s="3">
        <f t="shared" si="297"/>
        <v>3.963911781719936E-5</v>
      </c>
      <c r="AF315" s="3">
        <f t="shared" si="297"/>
        <v>3.9617471724801687E-5</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4.3007652150806221E-4</v>
      </c>
      <c r="C318" s="3">
        <f t="shared" si="300"/>
        <v>4.3007652150806221E-4</v>
      </c>
      <c r="D318" s="3">
        <f t="shared" si="300"/>
        <v>4.3007652150806221E-4</v>
      </c>
      <c r="E318" s="3">
        <f t="shared" si="300"/>
        <v>4.3007652150806221E-4</v>
      </c>
      <c r="F318" s="3">
        <f t="shared" si="300"/>
        <v>4.3007652150806221E-4</v>
      </c>
      <c r="G318" s="3">
        <f t="shared" si="300"/>
        <v>4.3007652150806221E-4</v>
      </c>
      <c r="H318" s="3">
        <f t="shared" si="300"/>
        <v>4.3007652150806221E-4</v>
      </c>
      <c r="I318" s="3">
        <f t="shared" si="300"/>
        <v>4.3007652150806221E-4</v>
      </c>
      <c r="J318" s="3">
        <f t="shared" si="300"/>
        <v>4.3007652150806221E-4</v>
      </c>
      <c r="K318" s="3">
        <f t="shared" si="300"/>
        <v>4.3007652150806221E-4</v>
      </c>
      <c r="L318" s="3">
        <f t="shared" si="300"/>
        <v>4.3007652150806221E-4</v>
      </c>
      <c r="M318" s="3">
        <f t="shared" si="300"/>
        <v>4.3007652150806221E-4</v>
      </c>
      <c r="N318" s="3">
        <f t="shared" si="300"/>
        <v>4.3007652150806221E-4</v>
      </c>
      <c r="O318" s="3">
        <f t="shared" si="300"/>
        <v>4.3007652150806221E-4</v>
      </c>
      <c r="P318" s="3">
        <f t="shared" si="300"/>
        <v>4.3007652150806221E-4</v>
      </c>
      <c r="Q318" s="3">
        <f t="shared" si="300"/>
        <v>4.3007652150806221E-4</v>
      </c>
      <c r="R318" s="3">
        <f t="shared" si="300"/>
        <v>4.3007652150806221E-4</v>
      </c>
      <c r="S318" s="3">
        <f t="shared" si="300"/>
        <v>4.3007652150806221E-4</v>
      </c>
      <c r="T318" s="3">
        <f t="shared" si="300"/>
        <v>4.3007652150806221E-4</v>
      </c>
      <c r="U318" s="3">
        <f t="shared" si="300"/>
        <v>4.3007652150806221E-4</v>
      </c>
      <c r="V318" s="3">
        <f t="shared" si="300"/>
        <v>4.3007652150806215E-4</v>
      </c>
      <c r="W318" s="3">
        <f t="shared" si="300"/>
        <v>4.3007652150806199E-4</v>
      </c>
      <c r="X318" s="3">
        <f t="shared" si="300"/>
        <v>4.300765215080596E-4</v>
      </c>
      <c r="Y318" s="3">
        <f t="shared" si="300"/>
        <v>4.3007652150803608E-4</v>
      </c>
      <c r="Z318" s="3">
        <f t="shared" si="300"/>
        <v>4.3007652150780118E-4</v>
      </c>
      <c r="AA318" s="3">
        <f t="shared" si="300"/>
        <v>4.3007652150545193E-4</v>
      </c>
      <c r="AB318" s="3">
        <f t="shared" si="300"/>
        <v>4.3007652148195998E-4</v>
      </c>
      <c r="AC318" s="3">
        <f t="shared" si="300"/>
        <v>4.3007652124704004E-4</v>
      </c>
      <c r="AD318" s="3">
        <f t="shared" si="300"/>
        <v>4.300765188978407E-4</v>
      </c>
      <c r="AE318" s="3">
        <f t="shared" si="300"/>
        <v>4.3007649540584823E-4</v>
      </c>
      <c r="AF318" s="3">
        <f t="shared" si="300"/>
        <v>4.3007626048599361E-4</v>
      </c>
      <c r="AG318" s="3"/>
      <c r="AH318" s="3"/>
    </row>
    <row r="319" spans="1:34" x14ac:dyDescent="0.25">
      <c r="A319" s="79">
        <f>AVERAGE(B319:AF319)</f>
        <v>2.478974265072981E-2</v>
      </c>
      <c r="B319" s="80">
        <f>IF($A$64&lt;=B285,IF($B$64&gt;=B285,ABS((B287-B286)/B286),0),0)</f>
        <v>1.6865820598779269E-2</v>
      </c>
      <c r="C319" s="80">
        <f t="shared" ref="C319:AF319" si="301">IF($A$64&lt;=C285,IF($B$64&gt;=C285,ABS((C287-C286)/C286),0),0)</f>
        <v>0.1297151023799841</v>
      </c>
      <c r="D319" s="80">
        <f t="shared" si="301"/>
        <v>0.10466749801884338</v>
      </c>
      <c r="E319" s="80">
        <f t="shared" si="301"/>
        <v>7.6685420953792299E-2</v>
      </c>
      <c r="F319" s="80">
        <f t="shared" si="301"/>
        <v>4.3246953432205422E-2</v>
      </c>
      <c r="G319" s="80">
        <f t="shared" si="301"/>
        <v>1.0896689834418495E-2</v>
      </c>
      <c r="H319" s="80">
        <f t="shared" si="301"/>
        <v>1.3735501579569816E-2</v>
      </c>
      <c r="I319" s="80">
        <f t="shared" si="301"/>
        <v>1.3621066582069905E-3</v>
      </c>
      <c r="J319" s="80">
        <f t="shared" si="301"/>
        <v>1.1353443238539796E-3</v>
      </c>
      <c r="K319" s="80">
        <f t="shared" si="301"/>
        <v>5.077150990654511E-4</v>
      </c>
      <c r="L319" s="80">
        <f t="shared" si="301"/>
        <v>6.8703195895469425E-4</v>
      </c>
      <c r="M319" s="80">
        <f t="shared" si="301"/>
        <v>1.4753870446138491E-4</v>
      </c>
      <c r="N319" s="80">
        <f t="shared" si="301"/>
        <v>1.4695341264186847E-4</v>
      </c>
      <c r="O319" s="80">
        <f t="shared" si="301"/>
        <v>9.4871010638081016E-4</v>
      </c>
      <c r="P319" s="80">
        <f t="shared" si="301"/>
        <v>4.6893995865194535E-4</v>
      </c>
      <c r="Q319" s="80">
        <f t="shared" si="301"/>
        <v>4.397812030412453E-3</v>
      </c>
      <c r="R319" s="80">
        <f t="shared" si="301"/>
        <v>8.04086514294239E-3</v>
      </c>
      <c r="S319" s="80">
        <f t="shared" si="301"/>
        <v>2.7906968279155168E-2</v>
      </c>
      <c r="T319" s="80">
        <f t="shared" si="301"/>
        <v>4.474330127982324E-2</v>
      </c>
      <c r="U319" s="80">
        <f t="shared" si="301"/>
        <v>5.9976193847297153E-2</v>
      </c>
      <c r="V319" s="80">
        <f t="shared" si="301"/>
        <v>5.8939463904646182E-2</v>
      </c>
      <c r="W319" s="80">
        <f t="shared" si="301"/>
        <v>4.4135104632405067E-2</v>
      </c>
      <c r="X319" s="80">
        <f t="shared" si="301"/>
        <v>3.4061983037001205E-2</v>
      </c>
      <c r="Y319" s="80">
        <f t="shared" si="301"/>
        <v>1.8676615474047715E-2</v>
      </c>
      <c r="Z319" s="80">
        <f t="shared" si="301"/>
        <v>1.9172553320445519E-2</v>
      </c>
      <c r="AA319" s="80">
        <f t="shared" si="301"/>
        <v>1.0480708864677411E-2</v>
      </c>
      <c r="AB319" s="80">
        <f t="shared" si="301"/>
        <v>8.9908435619676028E-3</v>
      </c>
      <c r="AC319" s="80">
        <f t="shared" si="301"/>
        <v>1.115687781662532E-2</v>
      </c>
      <c r="AD319" s="80">
        <f t="shared" si="301"/>
        <v>2.2353655097571484E-3</v>
      </c>
      <c r="AE319" s="80">
        <f t="shared" si="301"/>
        <v>4.7225976656672091E-3</v>
      </c>
      <c r="AF319" s="80">
        <f t="shared" si="301"/>
        <v>9.6274407859432039E-3</v>
      </c>
    </row>
    <row r="320" spans="1:34" x14ac:dyDescent="0.25">
      <c r="B320" s="21">
        <f>(B287-B286)^2</f>
        <v>24390.900335359584</v>
      </c>
      <c r="C320" s="21">
        <f t="shared" ref="C320:AF320" si="302">(C287-C286)^2</f>
        <v>1355477.5276446869</v>
      </c>
      <c r="D320" s="21">
        <f t="shared" si="302"/>
        <v>832674.60961872758</v>
      </c>
      <c r="E320" s="21">
        <f t="shared" si="302"/>
        <v>420277.74349953339</v>
      </c>
      <c r="F320" s="21">
        <f t="shared" si="302"/>
        <v>124457.1509781905</v>
      </c>
      <c r="G320" s="21">
        <f t="shared" si="302"/>
        <v>7375.7260015250704</v>
      </c>
      <c r="H320" s="21">
        <f t="shared" si="302"/>
        <v>10916.735540051837</v>
      </c>
      <c r="I320" s="21">
        <f t="shared" si="302"/>
        <v>98.299706061258206</v>
      </c>
      <c r="J320" s="21">
        <f t="shared" si="302"/>
        <v>61.421436644761989</v>
      </c>
      <c r="K320" s="21">
        <f t="shared" si="302"/>
        <v>11.004637498850419</v>
      </c>
      <c r="L320" s="21">
        <f t="shared" si="302"/>
        <v>18.355968754930082</v>
      </c>
      <c r="M320" s="21">
        <f t="shared" si="302"/>
        <v>0.77073674224492528</v>
      </c>
      <c r="N320" s="21">
        <f t="shared" si="302"/>
        <v>0.69562201158470449</v>
      </c>
      <c r="O320" s="21">
        <f t="shared" si="302"/>
        <v>26.139417196792966</v>
      </c>
      <c r="P320" s="21">
        <f t="shared" si="302"/>
        <v>5.7726519579077342</v>
      </c>
      <c r="Q320" s="21">
        <f t="shared" si="302"/>
        <v>445.47739053158034</v>
      </c>
      <c r="R320" s="21">
        <f t="shared" si="302"/>
        <v>1269.2396370385566</v>
      </c>
      <c r="S320" s="21">
        <f t="shared" si="302"/>
        <v>12401.061648163904</v>
      </c>
      <c r="T320" s="21">
        <f t="shared" si="302"/>
        <v>24701.182438376996</v>
      </c>
      <c r="U320" s="21">
        <f t="shared" si="302"/>
        <v>32312.316329846159</v>
      </c>
      <c r="V320" s="21">
        <f t="shared" si="302"/>
        <v>20860.357240845588</v>
      </c>
      <c r="W320" s="21">
        <f t="shared" si="302"/>
        <v>6827.3427366869855</v>
      </c>
      <c r="X320" s="21">
        <f t="shared" si="302"/>
        <v>2169.5191370109387</v>
      </c>
      <c r="Y320" s="21">
        <f t="shared" si="302"/>
        <v>337.61407554001119</v>
      </c>
      <c r="Z320" s="21">
        <f t="shared" si="302"/>
        <v>209.66930571248091</v>
      </c>
      <c r="AA320" s="21">
        <f t="shared" si="302"/>
        <v>44.053582365645553</v>
      </c>
      <c r="AB320" s="21">
        <f t="shared" si="302"/>
        <v>26.935642421654382</v>
      </c>
      <c r="AC320" s="21">
        <f t="shared" si="302"/>
        <v>36.642809733544112</v>
      </c>
      <c r="AD320" s="21">
        <f t="shared" si="302"/>
        <v>1.367021968313626</v>
      </c>
      <c r="AE320" s="21">
        <f t="shared" si="302"/>
        <v>5.8699854011290453</v>
      </c>
      <c r="AF320" s="21">
        <f t="shared" si="302"/>
        <v>22.136710419389573</v>
      </c>
      <c r="AG320" s="3"/>
      <c r="AH320" s="3"/>
    </row>
    <row r="321" spans="1:34" x14ac:dyDescent="0.25">
      <c r="A321" s="71">
        <f>SUM(B321:AF321)</f>
        <v>2877463.6394870053</v>
      </c>
      <c r="B321" s="60">
        <f>IF($A$64&lt;=B285,IF($B$64&gt;=B285,ABS(B320),0),0)</f>
        <v>24390.900335359584</v>
      </c>
      <c r="C321" s="60">
        <f t="shared" ref="C321" si="303">IF($A$64&lt;=C285,IF($B$64&gt;=C285,ABS(C320),0),0)</f>
        <v>1355477.5276446869</v>
      </c>
      <c r="D321" s="60">
        <f t="shared" ref="D321" si="304">IF($A$64&lt;=D285,IF($B$64&gt;=D285,ABS(D320),0),0)</f>
        <v>832674.60961872758</v>
      </c>
      <c r="E321" s="60">
        <f t="shared" ref="E321" si="305">IF($A$64&lt;=E285,IF($B$64&gt;=E285,ABS(E320),0),0)</f>
        <v>420277.74349953339</v>
      </c>
      <c r="F321" s="60">
        <f t="shared" ref="F321" si="306">IF($A$64&lt;=F285,IF($B$64&gt;=F285,ABS(F320),0),0)</f>
        <v>124457.1509781905</v>
      </c>
      <c r="G321" s="60">
        <f t="shared" ref="G321" si="307">IF($A$64&lt;=G285,IF($B$64&gt;=G285,ABS(G320),0),0)</f>
        <v>7375.7260015250704</v>
      </c>
      <c r="H321" s="60">
        <f t="shared" ref="H321" si="308">IF($A$64&lt;=H285,IF($B$64&gt;=H285,ABS(H320),0),0)</f>
        <v>10916.735540051837</v>
      </c>
      <c r="I321" s="60">
        <f t="shared" ref="I321" si="309">IF($A$64&lt;=I285,IF($B$64&gt;=I285,ABS(I320),0),0)</f>
        <v>98.299706061258206</v>
      </c>
      <c r="J321" s="60">
        <f t="shared" ref="J321" si="310">IF($A$64&lt;=J285,IF($B$64&gt;=J285,ABS(J320),0),0)</f>
        <v>61.421436644761989</v>
      </c>
      <c r="K321" s="60">
        <f t="shared" ref="K321" si="311">IF($A$64&lt;=K285,IF($B$64&gt;=K285,ABS(K320),0),0)</f>
        <v>11.004637498850419</v>
      </c>
      <c r="L321" s="60">
        <f t="shared" ref="L321" si="312">IF($A$64&lt;=L285,IF($B$64&gt;=L285,ABS(L320),0),0)</f>
        <v>18.355968754930082</v>
      </c>
      <c r="M321" s="60">
        <f t="shared" ref="M321" si="313">IF($A$64&lt;=M285,IF($B$64&gt;=M285,ABS(M320),0),0)</f>
        <v>0.77073674224492528</v>
      </c>
      <c r="N321" s="60">
        <f t="shared" ref="N321" si="314">IF($A$64&lt;=N285,IF($B$64&gt;=N285,ABS(N320),0),0)</f>
        <v>0.69562201158470449</v>
      </c>
      <c r="O321" s="60">
        <f t="shared" ref="O321" si="315">IF($A$64&lt;=O285,IF($B$64&gt;=O285,ABS(O320),0),0)</f>
        <v>26.139417196792966</v>
      </c>
      <c r="P321" s="60">
        <f t="shared" ref="P321" si="316">IF($A$64&lt;=P285,IF($B$64&gt;=P285,ABS(P320),0),0)</f>
        <v>5.7726519579077342</v>
      </c>
      <c r="Q321" s="60">
        <f t="shared" ref="Q321" si="317">IF($A$64&lt;=Q285,IF($B$64&gt;=Q285,ABS(Q320),0),0)</f>
        <v>445.47739053158034</v>
      </c>
      <c r="R321" s="60">
        <f t="shared" ref="R321" si="318">IF($A$64&lt;=R285,IF($B$64&gt;=R285,ABS(R320),0),0)</f>
        <v>1269.2396370385566</v>
      </c>
      <c r="S321" s="60">
        <f t="shared" ref="S321" si="319">IF($A$64&lt;=S285,IF($B$64&gt;=S285,ABS(S320),0),0)</f>
        <v>12401.061648163904</v>
      </c>
      <c r="T321" s="60">
        <f t="shared" ref="T321" si="320">IF($A$64&lt;=T285,IF($B$64&gt;=T285,ABS(T320),0),0)</f>
        <v>24701.182438376996</v>
      </c>
      <c r="U321" s="60">
        <f t="shared" ref="U321" si="321">IF($A$64&lt;=U285,IF($B$64&gt;=U285,ABS(U320),0),0)</f>
        <v>32312.316329846159</v>
      </c>
      <c r="V321" s="60">
        <f t="shared" ref="V321" si="322">IF($A$64&lt;=V285,IF($B$64&gt;=V285,ABS(V320),0),0)</f>
        <v>20860.357240845588</v>
      </c>
      <c r="W321" s="60">
        <f t="shared" ref="W321" si="323">IF($A$64&lt;=W285,IF($B$64&gt;=W285,ABS(W320),0),0)</f>
        <v>6827.3427366869855</v>
      </c>
      <c r="X321" s="60">
        <f t="shared" ref="X321" si="324">IF($A$64&lt;=X285,IF($B$64&gt;=X285,ABS(X320),0),0)</f>
        <v>2169.5191370109387</v>
      </c>
      <c r="Y321" s="60">
        <f t="shared" ref="Y321" si="325">IF($A$64&lt;=Y285,IF($B$64&gt;=Y285,ABS(Y320),0),0)</f>
        <v>337.61407554001119</v>
      </c>
      <c r="Z321" s="60">
        <f t="shared" ref="Z321" si="326">IF($A$64&lt;=Z285,IF($B$64&gt;=Z285,ABS(Z320),0),0)</f>
        <v>209.66930571248091</v>
      </c>
      <c r="AA321" s="60">
        <f t="shared" ref="AA321" si="327">IF($A$64&lt;=AA285,IF($B$64&gt;=AA285,ABS(AA320),0),0)</f>
        <v>44.053582365645553</v>
      </c>
      <c r="AB321" s="60">
        <f t="shared" ref="AB321" si="328">IF($A$64&lt;=AB285,IF($B$64&gt;=AB285,ABS(AB320),0),0)</f>
        <v>26.935642421654382</v>
      </c>
      <c r="AC321" s="60">
        <f t="shared" ref="AC321" si="329">IF($A$64&lt;=AC285,IF($B$64&gt;=AC285,ABS(AC320),0),0)</f>
        <v>36.642809733544112</v>
      </c>
      <c r="AD321" s="60">
        <f t="shared" ref="AD321" si="330">IF($A$64&lt;=AD285,IF($B$64&gt;=AD285,ABS(AD320),0),0)</f>
        <v>1.367021968313626</v>
      </c>
      <c r="AE321" s="60">
        <f t="shared" ref="AE321" si="331">IF($A$64&lt;=AE285,IF($B$64&gt;=AE285,ABS(AE320),0),0)</f>
        <v>5.8699854011290453</v>
      </c>
      <c r="AF321" s="60">
        <f t="shared" ref="AF321" si="332">IF($A$64&lt;=AF285,IF($B$64&gt;=AF285,ABS(AF320),0),0)</f>
        <v>22.136710419389573</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8600.88026028485</v>
      </c>
      <c r="C325" s="26">
        <f>INDEX(Comparison!$AM$3:$AS$33,G$14,$G$122)</f>
        <v>8258.5143784911779</v>
      </c>
      <c r="D325" s="26">
        <f>INDEX(Comparison!$AM$3:$AS$33,H$14,$G$122)</f>
        <v>7962.1526037178537</v>
      </c>
      <c r="E325" s="26">
        <f>INDEX(Comparison!$AM$3:$AS$33,I$14,$G$122)</f>
        <v>7694.1164691736458</v>
      </c>
      <c r="F325" s="26">
        <f>INDEX(Comparison!$AM$3:$AS$33,J$14,$G$122)</f>
        <v>7392.1118529421537</v>
      </c>
      <c r="G325" s="26">
        <f>INDEX(Comparison!$AM$3:$AS$33,K$14,$G$122)</f>
        <v>7031.7099177768096</v>
      </c>
      <c r="H325" s="26">
        <f>INDEX(Comparison!$AM$3:$AS$33,L$14,$G$122)</f>
        <v>6653.2341038317008</v>
      </c>
      <c r="I325" s="26">
        <f>INDEX(Comparison!$AM$3:$AS$33,M$14,$G$122)</f>
        <v>6325.3637954371716</v>
      </c>
      <c r="J325" s="26">
        <f>INDEX(Comparison!$AM$3:$AS$33,N$14,$G$122)</f>
        <v>6045.8980186697399</v>
      </c>
      <c r="K325" s="26">
        <f>INDEX(Comparison!$AM$3:$AS$33,O$14,$G$122)</f>
        <v>5765.1058423358591</v>
      </c>
      <c r="L325" s="26">
        <f>INDEX(Comparison!$AM$3:$AS$33,P$14,$G$122)</f>
        <v>5486.9816625574504</v>
      </c>
      <c r="M325" s="26">
        <f>INDEX(Comparison!$AM$3:$AS$33,Q$14,$G$122)</f>
        <v>5211.1575946368548</v>
      </c>
      <c r="N325" s="26">
        <f>INDEX(Comparison!$AM$3:$AS$33,R$14,$G$122)</f>
        <v>4923.9623445747775</v>
      </c>
      <c r="O325" s="26">
        <f>INDEX(Comparison!$AM$3:$AS$33,S$14,$G$122)</f>
        <v>4584.0172032140918</v>
      </c>
      <c r="P325" s="26">
        <f>INDEX(Comparison!$AM$3:$AS$33,T$14,$G$122)</f>
        <v>4221.1859974432145</v>
      </c>
      <c r="Q325" s="26">
        <f>INDEX(Comparison!$AM$3:$AS$33,U$14,$G$122)</f>
        <v>3789.937412973562</v>
      </c>
      <c r="R325" s="26">
        <f>INDEX(Comparison!$AM$3:$AS$33,V$14,$G$122)</f>
        <v>3283.8683924627298</v>
      </c>
      <c r="S325" s="26">
        <f>INDEX(Comparison!$AM$3:$AS$33,W$14,$G$122)</f>
        <v>2714.7098539050189</v>
      </c>
      <c r="T325" s="26">
        <f>INDEX(Comparison!$AM$3:$AS$33,X$14,$G$122)</f>
        <v>2120.3389527808267</v>
      </c>
      <c r="U325" s="26">
        <f>INDEX(Comparison!$AM$3:$AS$33,Y$14,$G$122)</f>
        <v>1549.2251736201158</v>
      </c>
      <c r="V325" s="26">
        <f>INDEX(Comparison!$AM$3:$AS$33,Z$14,$G$122)</f>
        <v>1115.0562509241029</v>
      </c>
      <c r="W325" s="26">
        <f>INDEX(Comparison!$AM$3:$AS$33,AA$14,$G$122)</f>
        <v>819.57257707159806</v>
      </c>
      <c r="X325" s="26">
        <f>INDEX(Comparison!$AM$3:$AS$33,AB$14,$G$122)</f>
        <v>672.71182943032534</v>
      </c>
      <c r="Y325" s="26">
        <f>INDEX(Comparison!$AM$3:$AS$33,AC$14,$G$122)</f>
        <v>592.26686963031818</v>
      </c>
      <c r="Z325" s="26">
        <f>INDEX(Comparison!$AM$3:$AS$33,AD$14,$G$122)</f>
        <v>556.12366677692739</v>
      </c>
      <c r="AA325" s="26">
        <f>INDEX(Comparison!$AM$3:$AS$33,AE$14,$G$122)</f>
        <v>528.75323853804991</v>
      </c>
      <c r="AB325" s="26">
        <f>INDEX(Comparison!$AM$3:$AS$33,AF$14,$G$122)</f>
        <v>517.55067575260887</v>
      </c>
      <c r="AC325" s="26">
        <f>INDEX(Comparison!$AM$3:$AS$33,AG$14,$G$122)</f>
        <v>499.76142817308812</v>
      </c>
      <c r="AD325" s="26">
        <f>INDEX(Comparison!$AM$3:$AS$33,AH$14,$G$122)</f>
        <v>478.96737917397832</v>
      </c>
      <c r="AE325" s="26">
        <f>INDEX(Comparison!$AM$3:$AS$33,AI$14,$G$122)</f>
        <v>475.66972462501121</v>
      </c>
      <c r="AF325" s="26">
        <f>INDEX(Comparison!$AM$3:$AS$33,AJ$14,$G$122)</f>
        <v>475.44842733478526</v>
      </c>
      <c r="AG325" s="26"/>
      <c r="AH325" s="26"/>
    </row>
    <row r="326" spans="1:34" x14ac:dyDescent="0.25">
      <c r="A326" s="77" t="s">
        <v>22</v>
      </c>
      <c r="B326" s="27">
        <f>($C$17+SUM(B327:B357))*$B$51</f>
        <v>7805.6266890934303</v>
      </c>
      <c r="C326" s="27">
        <f t="shared" ref="C326:AF326" si="333">($C$17+SUM(C327:C357))*$B$51</f>
        <v>7805.148604985864</v>
      </c>
      <c r="D326" s="27">
        <f t="shared" si="333"/>
        <v>7800.3861045809244</v>
      </c>
      <c r="E326" s="27">
        <f t="shared" si="333"/>
        <v>7754.546627157245</v>
      </c>
      <c r="F326" s="27">
        <f t="shared" si="333"/>
        <v>7434.654736115629</v>
      </c>
      <c r="G326" s="27">
        <f t="shared" si="333"/>
        <v>6993.1067389374575</v>
      </c>
      <c r="H326" s="27">
        <f t="shared" si="333"/>
        <v>6650.7473687412639</v>
      </c>
      <c r="I326" s="27">
        <f t="shared" si="333"/>
        <v>6311.1569623109117</v>
      </c>
      <c r="J326" s="27">
        <f t="shared" si="333"/>
        <v>6034.604757639876</v>
      </c>
      <c r="K326" s="27">
        <f t="shared" si="333"/>
        <v>5749.2880050248259</v>
      </c>
      <c r="L326" s="27">
        <f t="shared" si="333"/>
        <v>5472.9979216864203</v>
      </c>
      <c r="M326" s="27">
        <f t="shared" si="333"/>
        <v>5187.7285141293169</v>
      </c>
      <c r="N326" s="27">
        <f t="shared" si="333"/>
        <v>4910.8572045303945</v>
      </c>
      <c r="O326" s="27">
        <f t="shared" si="333"/>
        <v>4551.3587701204988</v>
      </c>
      <c r="P326" s="27">
        <f t="shared" si="333"/>
        <v>4200.7405448529871</v>
      </c>
      <c r="Q326" s="27">
        <f t="shared" si="333"/>
        <v>3782.2509101135515</v>
      </c>
      <c r="R326" s="27">
        <f t="shared" si="333"/>
        <v>3308.3791338256392</v>
      </c>
      <c r="S326" s="27">
        <f t="shared" si="333"/>
        <v>2752.9506706970765</v>
      </c>
      <c r="T326" s="27">
        <f t="shared" si="333"/>
        <v>2113.6907844362927</v>
      </c>
      <c r="U326" s="27">
        <f t="shared" si="333"/>
        <v>1550.2961895103485</v>
      </c>
      <c r="V326" s="27">
        <f t="shared" si="333"/>
        <v>1102.4758870077924</v>
      </c>
      <c r="W326" s="27">
        <f t="shared" si="333"/>
        <v>827.97395948524081</v>
      </c>
      <c r="X326" s="27">
        <f t="shared" si="333"/>
        <v>672.51040291651032</v>
      </c>
      <c r="Y326" s="27">
        <f t="shared" si="333"/>
        <v>596.78121191099353</v>
      </c>
      <c r="Z326" s="27">
        <f t="shared" si="333"/>
        <v>559.67377483722089</v>
      </c>
      <c r="AA326" s="27">
        <f t="shared" si="333"/>
        <v>526.33680346146946</v>
      </c>
      <c r="AB326" s="27">
        <f t="shared" si="333"/>
        <v>519.55472825277366</v>
      </c>
      <c r="AC326" s="27">
        <f t="shared" si="333"/>
        <v>499.84211879887749</v>
      </c>
      <c r="AD326" s="27">
        <f t="shared" si="333"/>
        <v>477.58872828686663</v>
      </c>
      <c r="AE326" s="27">
        <f t="shared" si="333"/>
        <v>476.26781380392566</v>
      </c>
      <c r="AF326" s="27">
        <f t="shared" si="333"/>
        <v>476.16930759189842</v>
      </c>
      <c r="AG326" s="27"/>
      <c r="AH326" s="27"/>
    </row>
    <row r="327" spans="1:34" x14ac:dyDescent="0.25">
      <c r="B327" s="3">
        <f t="shared" ref="B327:AF327" si="334">$C18*EXP(-B$363/$A18/EXP(-$G$126))</f>
        <v>2.829891882326701E-139</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6.0997079191427328E-2</v>
      </c>
      <c r="C328" s="3">
        <f t="shared" si="335"/>
        <v>6.0952438786945375E-2</v>
      </c>
      <c r="D328" s="3">
        <f t="shared" si="335"/>
        <v>6.0507827644871684E-2</v>
      </c>
      <c r="E328" s="3">
        <f t="shared" si="335"/>
        <v>5.6236243496965883E-2</v>
      </c>
      <c r="F328" s="3">
        <f t="shared" si="335"/>
        <v>2.7043551095689303E-2</v>
      </c>
      <c r="G328" s="3">
        <f t="shared" si="335"/>
        <v>1.7887015139044593E-5</v>
      </c>
      <c r="H328" s="3">
        <f t="shared" si="335"/>
        <v>2.8660214527714543E-37</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3.0700537940974906E-2</v>
      </c>
      <c r="C329" s="3">
        <f t="shared" si="336"/>
        <v>3.0698510462353973E-2</v>
      </c>
      <c r="D329" s="3">
        <f t="shared" si="336"/>
        <v>3.0678243038948508E-2</v>
      </c>
      <c r="E329" s="3">
        <f t="shared" si="336"/>
        <v>3.0476303289293693E-2</v>
      </c>
      <c r="F329" s="3">
        <f t="shared" si="336"/>
        <v>2.8528590727368127E-2</v>
      </c>
      <c r="G329" s="3">
        <f t="shared" si="336"/>
        <v>1.4738749458857312E-2</v>
      </c>
      <c r="H329" s="3">
        <f t="shared" si="336"/>
        <v>1.9964747148926394E-5</v>
      </c>
      <c r="I329" s="3">
        <f t="shared" si="336"/>
        <v>4.1523656790713913E-34</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4.1198595486181835E-2</v>
      </c>
      <c r="C330" s="3">
        <f t="shared" si="337"/>
        <v>4.1198350042223185E-2</v>
      </c>
      <c r="D330" s="3">
        <f t="shared" si="337"/>
        <v>4.1195895683059092E-2</v>
      </c>
      <c r="E330" s="3">
        <f t="shared" si="337"/>
        <v>4.117136013188908E-2</v>
      </c>
      <c r="F330" s="3">
        <f t="shared" si="337"/>
        <v>4.0926806897727493E-2</v>
      </c>
      <c r="G330" s="3">
        <f t="shared" si="337"/>
        <v>3.8559761668980085E-2</v>
      </c>
      <c r="H330" s="3">
        <f t="shared" si="337"/>
        <v>2.1251966687718369E-2</v>
      </c>
      <c r="I330" s="3">
        <f t="shared" si="337"/>
        <v>5.4960032632678666E-5</v>
      </c>
      <c r="J330" s="3">
        <f t="shared" si="337"/>
        <v>7.3540323540486653E-31</v>
      </c>
      <c r="K330" s="3">
        <f t="shared" si="337"/>
        <v>1.3530413812495698E-289</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2.6960628455517874E-2</v>
      </c>
      <c r="C331" s="3">
        <f t="shared" si="338"/>
        <v>2.6960613966207497E-2</v>
      </c>
      <c r="D331" s="3">
        <f t="shared" si="338"/>
        <v>2.6960469073532011E-2</v>
      </c>
      <c r="E331" s="3">
        <f t="shared" si="338"/>
        <v>2.6959020189604242E-2</v>
      </c>
      <c r="F331" s="3">
        <f t="shared" si="338"/>
        <v>2.6944535632186122E-2</v>
      </c>
      <c r="G331" s="3">
        <f t="shared" si="338"/>
        <v>2.6800117393747595E-2</v>
      </c>
      <c r="H331" s="3">
        <f t="shared" si="338"/>
        <v>2.5397830915519101E-2</v>
      </c>
      <c r="I331" s="3">
        <f t="shared" si="338"/>
        <v>1.4838702898435382E-2</v>
      </c>
      <c r="J331" s="3">
        <f t="shared" si="338"/>
        <v>6.8768421872139642E-5</v>
      </c>
      <c r="K331" s="3">
        <f t="shared" si="338"/>
        <v>3.142825327686527E-28</v>
      </c>
      <c r="L331" s="3">
        <f t="shared" si="338"/>
        <v>1.2492003805021344E-261</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3.0337457802716131E-2</v>
      </c>
      <c r="C332" s="3">
        <f t="shared" si="339"/>
        <v>3.0337456331950115E-2</v>
      </c>
      <c r="D332" s="3">
        <f t="shared" si="339"/>
        <v>3.033744162429387E-2</v>
      </c>
      <c r="E332" s="3">
        <f t="shared" si="339"/>
        <v>3.0337294548123603E-2</v>
      </c>
      <c r="F332" s="3">
        <f t="shared" si="339"/>
        <v>3.033582382563681E-2</v>
      </c>
      <c r="G332" s="3">
        <f t="shared" si="339"/>
        <v>3.0321120521654261E-2</v>
      </c>
      <c r="H332" s="3">
        <f t="shared" si="339"/>
        <v>3.0174478867961357E-2</v>
      </c>
      <c r="I332" s="3">
        <f t="shared" si="339"/>
        <v>2.8746507899718964E-2</v>
      </c>
      <c r="J332" s="3">
        <f t="shared" si="339"/>
        <v>1.770264893083091E-2</v>
      </c>
      <c r="K332" s="3">
        <f t="shared" si="339"/>
        <v>1.3885767175089719E-4</v>
      </c>
      <c r="L332" s="3">
        <f t="shared" si="339"/>
        <v>1.2242950751317973E-25</v>
      </c>
      <c r="M332" s="3">
        <f t="shared" si="339"/>
        <v>3.4757484399698039E-236</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2.6917138402620115E-2</v>
      </c>
      <c r="C333" s="3">
        <f t="shared" si="340"/>
        <v>2.6917138284902928E-2</v>
      </c>
      <c r="D333" s="3">
        <f t="shared" si="340"/>
        <v>2.6917137107731047E-2</v>
      </c>
      <c r="E333" s="3">
        <f t="shared" si="340"/>
        <v>2.6917125336015087E-2</v>
      </c>
      <c r="F333" s="3">
        <f t="shared" si="340"/>
        <v>2.6917007619138646E-2</v>
      </c>
      <c r="G333" s="3">
        <f t="shared" si="340"/>
        <v>2.6915830478688521E-2</v>
      </c>
      <c r="H333" s="3">
        <f t="shared" si="340"/>
        <v>2.6904061905158802E-2</v>
      </c>
      <c r="I333" s="3">
        <f t="shared" si="340"/>
        <v>2.6786658809463224E-2</v>
      </c>
      <c r="J333" s="3">
        <f t="shared" si="340"/>
        <v>2.56404397665187E-2</v>
      </c>
      <c r="K333" s="3">
        <f t="shared" si="340"/>
        <v>1.6557497804993531E-2</v>
      </c>
      <c r="L333" s="3">
        <f t="shared" si="340"/>
        <v>2.0877912417730836E-4</v>
      </c>
      <c r="M333" s="3">
        <f t="shared" si="340"/>
        <v>2.12134216312128E-23</v>
      </c>
      <c r="N333" s="3">
        <f t="shared" si="340"/>
        <v>2.4879820883739574E-213</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3.0984948546025157E-2</v>
      </c>
      <c r="C334" s="3">
        <f t="shared" si="341"/>
        <v>3.0984948533801297E-2</v>
      </c>
      <c r="D334" s="3">
        <f t="shared" si="341"/>
        <v>3.0984948411562695E-2</v>
      </c>
      <c r="E334" s="3">
        <f t="shared" si="341"/>
        <v>3.0984947189176708E-2</v>
      </c>
      <c r="F334" s="3">
        <f t="shared" si="341"/>
        <v>3.0984934965319497E-2</v>
      </c>
      <c r="G334" s="3">
        <f t="shared" si="341"/>
        <v>3.0984812727012607E-2</v>
      </c>
      <c r="H334" s="3">
        <f t="shared" si="341"/>
        <v>3.0983590370466652E-2</v>
      </c>
      <c r="I334" s="3">
        <f t="shared" si="341"/>
        <v>3.0971369456913707E-2</v>
      </c>
      <c r="J334" s="3">
        <f t="shared" si="341"/>
        <v>3.0849425125355528E-2</v>
      </c>
      <c r="K334" s="3">
        <f t="shared" si="341"/>
        <v>2.9656079721349825E-2</v>
      </c>
      <c r="L334" s="3">
        <f t="shared" si="341"/>
        <v>1.9988508588547661E-2</v>
      </c>
      <c r="M334" s="3">
        <f t="shared" si="341"/>
        <v>3.8676476076062165E-4</v>
      </c>
      <c r="N334" s="3">
        <f t="shared" si="341"/>
        <v>2.8451944984444551E-21</v>
      </c>
      <c r="O334" s="3">
        <f t="shared" si="341"/>
        <v>1.3205735328335783E-192</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2.3928257549541278E-2</v>
      </c>
      <c r="C335" s="3">
        <f t="shared" si="342"/>
        <v>2.392825754868972E-2</v>
      </c>
      <c r="D335" s="3">
        <f t="shared" si="342"/>
        <v>2.3928257540174119E-2</v>
      </c>
      <c r="E335" s="3">
        <f t="shared" si="342"/>
        <v>2.3928257455018118E-2</v>
      </c>
      <c r="F335" s="3">
        <f t="shared" si="342"/>
        <v>2.3928256603458126E-2</v>
      </c>
      <c r="G335" s="3">
        <f t="shared" si="342"/>
        <v>2.3928248087859861E-2</v>
      </c>
      <c r="H335" s="3">
        <f t="shared" si="342"/>
        <v>2.3928162932043927E-2</v>
      </c>
      <c r="I335" s="3">
        <f t="shared" si="342"/>
        <v>2.3927311390552257E-2</v>
      </c>
      <c r="J335" s="3">
        <f t="shared" si="342"/>
        <v>2.3918797642186504E-2</v>
      </c>
      <c r="K335" s="3">
        <f t="shared" si="342"/>
        <v>2.3833826594388045E-2</v>
      </c>
      <c r="L335" s="3">
        <f t="shared" si="342"/>
        <v>2.3000542617154104E-2</v>
      </c>
      <c r="M335" s="3">
        <f t="shared" si="342"/>
        <v>1.6113175862476788E-2</v>
      </c>
      <c r="N335" s="3">
        <f t="shared" si="342"/>
        <v>4.5878773603317619E-4</v>
      </c>
      <c r="O335" s="3">
        <f t="shared" si="342"/>
        <v>1.6066390952495977E-19</v>
      </c>
      <c r="P335" s="3">
        <f t="shared" si="342"/>
        <v>4.4563945663889334E-174</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3.799487349315657E-2</v>
      </c>
      <c r="C336" s="3">
        <f t="shared" si="343"/>
        <v>3.7994873493034591E-2</v>
      </c>
      <c r="D336" s="3">
        <f t="shared" si="343"/>
        <v>3.7994873491814823E-2</v>
      </c>
      <c r="E336" s="3">
        <f t="shared" si="343"/>
        <v>3.7994873479617192E-2</v>
      </c>
      <c r="F336" s="3">
        <f t="shared" si="343"/>
        <v>3.7994873357640797E-2</v>
      </c>
      <c r="G336" s="3">
        <f t="shared" si="343"/>
        <v>3.7994872137876917E-2</v>
      </c>
      <c r="H336" s="3">
        <f t="shared" si="343"/>
        <v>3.7994859940240239E-2</v>
      </c>
      <c r="I336" s="3">
        <f t="shared" si="343"/>
        <v>3.7994737964088858E-2</v>
      </c>
      <c r="J336" s="3">
        <f t="shared" si="343"/>
        <v>3.7993518224111948E-2</v>
      </c>
      <c r="K336" s="3">
        <f t="shared" si="343"/>
        <v>3.7981322977778634E-2</v>
      </c>
      <c r="L336" s="3">
        <f t="shared" si="343"/>
        <v>3.7859585602453234E-2</v>
      </c>
      <c r="M336" s="3">
        <f t="shared" si="343"/>
        <v>3.6663467342118609E-2</v>
      </c>
      <c r="N336" s="3">
        <f t="shared" si="343"/>
        <v>2.6595632409024472E-2</v>
      </c>
      <c r="O336" s="3">
        <f t="shared" si="343"/>
        <v>1.072946807299961E-3</v>
      </c>
      <c r="P336" s="3">
        <f t="shared" si="343"/>
        <v>1.2253407946703499E-17</v>
      </c>
      <c r="Q336" s="3">
        <f t="shared" si="343"/>
        <v>4.6242776238596144E-157</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3.3319642680734375E-2</v>
      </c>
      <c r="C337" s="3">
        <f t="shared" si="344"/>
        <v>3.331964268072473E-2</v>
      </c>
      <c r="D337" s="3">
        <f t="shared" si="344"/>
        <v>3.3319642680628238E-2</v>
      </c>
      <c r="E337" s="3">
        <f t="shared" si="344"/>
        <v>3.3319642679663301E-2</v>
      </c>
      <c r="F337" s="3">
        <f t="shared" si="344"/>
        <v>3.3319642670013958E-2</v>
      </c>
      <c r="G337" s="3">
        <f t="shared" si="344"/>
        <v>3.331964257352054E-2</v>
      </c>
      <c r="H337" s="3">
        <f t="shared" si="344"/>
        <v>3.3319641608586352E-2</v>
      </c>
      <c r="I337" s="3">
        <f t="shared" si="344"/>
        <v>3.3319631959246004E-2</v>
      </c>
      <c r="J337" s="3">
        <f t="shared" si="344"/>
        <v>3.3319535465996218E-2</v>
      </c>
      <c r="K337" s="3">
        <f t="shared" si="344"/>
        <v>3.331857054886761E-2</v>
      </c>
      <c r="L337" s="3">
        <f t="shared" si="344"/>
        <v>3.3308922914341559E-2</v>
      </c>
      <c r="M337" s="3">
        <f t="shared" si="344"/>
        <v>3.321260008054383E-2</v>
      </c>
      <c r="N337" s="3">
        <f t="shared" si="344"/>
        <v>3.2264559665123746E-2</v>
      </c>
      <c r="O337" s="3">
        <f t="shared" si="344"/>
        <v>2.4152072594009168E-2</v>
      </c>
      <c r="P337" s="3">
        <f t="shared" si="344"/>
        <v>1.3342617475189402E-3</v>
      </c>
      <c r="Q337" s="3">
        <f t="shared" si="344"/>
        <v>3.5327046817181622E-16</v>
      </c>
      <c r="R337" s="3">
        <f t="shared" si="344"/>
        <v>5.9809520447664978E-142</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4.1691387602332E-2</v>
      </c>
      <c r="C338" s="3">
        <f t="shared" si="345"/>
        <v>4.1691387602330911E-2</v>
      </c>
      <c r="D338" s="3">
        <f t="shared" si="345"/>
        <v>4.1691387602320017E-2</v>
      </c>
      <c r="E338" s="3">
        <f t="shared" si="345"/>
        <v>4.1691387602211104E-2</v>
      </c>
      <c r="F338" s="3">
        <f t="shared" si="345"/>
        <v>4.169138760112194E-2</v>
      </c>
      <c r="G338" s="3">
        <f t="shared" si="345"/>
        <v>4.1691387590230382E-2</v>
      </c>
      <c r="H338" s="3">
        <f t="shared" si="345"/>
        <v>4.1691387481314721E-2</v>
      </c>
      <c r="I338" s="3">
        <f t="shared" si="345"/>
        <v>4.1691386392158192E-2</v>
      </c>
      <c r="J338" s="3">
        <f t="shared" si="345"/>
        <v>4.1691375500594444E-2</v>
      </c>
      <c r="K338" s="3">
        <f t="shared" si="345"/>
        <v>4.1691266585113421E-2</v>
      </c>
      <c r="L338" s="3">
        <f t="shared" si="345"/>
        <v>4.1690177445952416E-2</v>
      </c>
      <c r="M338" s="3">
        <f t="shared" si="345"/>
        <v>4.1679287619111653E-2</v>
      </c>
      <c r="N338" s="3">
        <f t="shared" si="345"/>
        <v>4.1570545676487623E-2</v>
      </c>
      <c r="O338" s="3">
        <f t="shared" si="345"/>
        <v>4.0498608774580253E-2</v>
      </c>
      <c r="P338" s="3">
        <f t="shared" si="345"/>
        <v>3.1187739298273516E-2</v>
      </c>
      <c r="Q338" s="3">
        <f t="shared" si="345"/>
        <v>2.2878197442940634E-3</v>
      </c>
      <c r="R338" s="3">
        <f t="shared" si="345"/>
        <v>1.0322880226021843E-14</v>
      </c>
      <c r="S338" s="3">
        <f t="shared" si="345"/>
        <v>3.6107027334331131E-128</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4.6685392649651797E-2</v>
      </c>
      <c r="C339" s="3">
        <f t="shared" si="346"/>
        <v>4.6685392649651679E-2</v>
      </c>
      <c r="D339" s="3">
        <f t="shared" si="346"/>
        <v>4.6685392649650582E-2</v>
      </c>
      <c r="E339" s="3">
        <f t="shared" si="346"/>
        <v>4.6685392649639577E-2</v>
      </c>
      <c r="F339" s="3">
        <f t="shared" si="346"/>
        <v>4.6685392649529561E-2</v>
      </c>
      <c r="G339" s="3">
        <f t="shared" si="346"/>
        <v>4.6685392648429358E-2</v>
      </c>
      <c r="H339" s="3">
        <f t="shared" si="346"/>
        <v>4.6685392637427367E-2</v>
      </c>
      <c r="I339" s="3">
        <f t="shared" si="346"/>
        <v>4.6685392527407381E-2</v>
      </c>
      <c r="J339" s="3">
        <f t="shared" si="346"/>
        <v>4.6685391427207588E-2</v>
      </c>
      <c r="K339" s="3">
        <f t="shared" si="346"/>
        <v>4.6685380425211115E-2</v>
      </c>
      <c r="L339" s="3">
        <f t="shared" si="346"/>
        <v>4.6685270405388946E-2</v>
      </c>
      <c r="M339" s="3">
        <f t="shared" si="346"/>
        <v>4.6684170221427325E-2</v>
      </c>
      <c r="N339" s="3">
        <f t="shared" si="346"/>
        <v>4.6673169807690269E-2</v>
      </c>
      <c r="O339" s="3">
        <f t="shared" si="346"/>
        <v>4.6563308133985917E-2</v>
      </c>
      <c r="P339" s="3">
        <f t="shared" si="346"/>
        <v>4.5478814321340384E-2</v>
      </c>
      <c r="Q339" s="3">
        <f t="shared" si="346"/>
        <v>3.5930411772058128E-2</v>
      </c>
      <c r="R339" s="3">
        <f t="shared" si="346"/>
        <v>3.404025472900011E-3</v>
      </c>
      <c r="S339" s="3">
        <f t="shared" si="346"/>
        <v>1.9828911339745928E-13</v>
      </c>
      <c r="T339" s="3">
        <f t="shared" si="346"/>
        <v>8.9198914030653491E-116</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5.4975929481542167E-2</v>
      </c>
      <c r="C340" s="3">
        <f t="shared" si="347"/>
        <v>5.4975929481542153E-2</v>
      </c>
      <c r="D340" s="3">
        <f t="shared" si="347"/>
        <v>5.4975929481542042E-2</v>
      </c>
      <c r="E340" s="3">
        <f t="shared" si="347"/>
        <v>5.4975929481540869E-2</v>
      </c>
      <c r="F340" s="3">
        <f t="shared" si="347"/>
        <v>5.4975929481529177E-2</v>
      </c>
      <c r="G340" s="3">
        <f t="shared" si="347"/>
        <v>5.4975929481412306E-2</v>
      </c>
      <c r="H340" s="3">
        <f t="shared" si="347"/>
        <v>5.4975929480243595E-2</v>
      </c>
      <c r="I340" s="3">
        <f t="shared" si="347"/>
        <v>5.4975929468556409E-2</v>
      </c>
      <c r="J340" s="3">
        <f t="shared" si="347"/>
        <v>5.4975929351684612E-2</v>
      </c>
      <c r="K340" s="3">
        <f t="shared" si="347"/>
        <v>5.4975928182966663E-2</v>
      </c>
      <c r="L340" s="3">
        <f t="shared" si="347"/>
        <v>5.4975916495788535E-2</v>
      </c>
      <c r="M340" s="3">
        <f t="shared" si="347"/>
        <v>5.4975799624143847E-2</v>
      </c>
      <c r="N340" s="3">
        <f t="shared" si="347"/>
        <v>5.4974630921361865E-2</v>
      </c>
      <c r="O340" s="3">
        <f t="shared" si="347"/>
        <v>5.4962945259922416E-2</v>
      </c>
      <c r="P340" s="3">
        <f t="shared" si="347"/>
        <v>5.4846225176143612E-2</v>
      </c>
      <c r="Q340" s="3">
        <f t="shared" si="347"/>
        <v>5.3692570616619473E-2</v>
      </c>
      <c r="R340" s="3">
        <f t="shared" si="347"/>
        <v>4.3409895792735333E-2</v>
      </c>
      <c r="S340" s="3">
        <f t="shared" si="347"/>
        <v>5.1800530363666063E-3</v>
      </c>
      <c r="T340" s="3">
        <f t="shared" si="347"/>
        <v>3.0324163990123311E-12</v>
      </c>
      <c r="U340" s="3">
        <f t="shared" si="347"/>
        <v>1.4332935262744301E-104</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6.9092387087620902E-2</v>
      </c>
      <c r="C341" s="3">
        <f t="shared" si="348"/>
        <v>6.9092387087620902E-2</v>
      </c>
      <c r="D341" s="3">
        <f t="shared" si="348"/>
        <v>6.9092387087620888E-2</v>
      </c>
      <c r="E341" s="3">
        <f t="shared" si="348"/>
        <v>6.9092387087620749E-2</v>
      </c>
      <c r="F341" s="3">
        <f t="shared" si="348"/>
        <v>6.9092387087619431E-2</v>
      </c>
      <c r="G341" s="3">
        <f t="shared" si="348"/>
        <v>6.9092387087606177E-2</v>
      </c>
      <c r="H341" s="3">
        <f t="shared" si="348"/>
        <v>6.9092387087473686E-2</v>
      </c>
      <c r="I341" s="3">
        <f t="shared" si="348"/>
        <v>6.9092387086148691E-2</v>
      </c>
      <c r="J341" s="3">
        <f t="shared" si="348"/>
        <v>6.9092387072898748E-2</v>
      </c>
      <c r="K341" s="3">
        <f t="shared" si="348"/>
        <v>6.9092386940399347E-2</v>
      </c>
      <c r="L341" s="3">
        <f t="shared" si="348"/>
        <v>6.9092385615405302E-2</v>
      </c>
      <c r="M341" s="3">
        <f t="shared" si="348"/>
        <v>6.9092372365466379E-2</v>
      </c>
      <c r="N341" s="3">
        <f t="shared" si="348"/>
        <v>6.9092239866216792E-2</v>
      </c>
      <c r="O341" s="3">
        <f t="shared" si="348"/>
        <v>6.90909148876961E-2</v>
      </c>
      <c r="P341" s="3">
        <f t="shared" si="348"/>
        <v>6.9077666499906459E-2</v>
      </c>
      <c r="Q341" s="3">
        <f t="shared" si="348"/>
        <v>6.8945322264634346E-2</v>
      </c>
      <c r="R341" s="3">
        <f t="shared" si="348"/>
        <v>6.7635745596565044E-2</v>
      </c>
      <c r="S341" s="3">
        <f t="shared" si="348"/>
        <v>5.5833010041566579E-2</v>
      </c>
      <c r="T341" s="3">
        <f t="shared" si="348"/>
        <v>8.2042454000076943E-3</v>
      </c>
      <c r="U341" s="3">
        <f t="shared" si="348"/>
        <v>3.850477987423596E-11</v>
      </c>
      <c r="V341" s="3">
        <f t="shared" si="348"/>
        <v>1.99652462962501E-94</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5.879988531550847E-2</v>
      </c>
      <c r="C342" s="3">
        <f t="shared" si="349"/>
        <v>5.879988531550847E-2</v>
      </c>
      <c r="D342" s="3">
        <f t="shared" si="349"/>
        <v>5.879988531550847E-2</v>
      </c>
      <c r="E342" s="3">
        <f t="shared" si="349"/>
        <v>5.8799885315508456E-2</v>
      </c>
      <c r="F342" s="3">
        <f t="shared" si="349"/>
        <v>5.8799885315508359E-2</v>
      </c>
      <c r="G342" s="3">
        <f t="shared" si="349"/>
        <v>5.8799885315507339E-2</v>
      </c>
      <c r="H342" s="3">
        <f t="shared" si="349"/>
        <v>5.8799885315497166E-2</v>
      </c>
      <c r="I342" s="3">
        <f t="shared" si="349"/>
        <v>5.8799885315395449E-2</v>
      </c>
      <c r="J342" s="3">
        <f t="shared" si="349"/>
        <v>5.8799885314378249E-2</v>
      </c>
      <c r="K342" s="3">
        <f t="shared" si="349"/>
        <v>5.8799885304206233E-2</v>
      </c>
      <c r="L342" s="3">
        <f t="shared" si="349"/>
        <v>5.8799885202486135E-2</v>
      </c>
      <c r="M342" s="3">
        <f t="shared" si="349"/>
        <v>5.8799884185285096E-2</v>
      </c>
      <c r="N342" s="3">
        <f t="shared" si="349"/>
        <v>5.879987401327566E-2</v>
      </c>
      <c r="O342" s="3">
        <f t="shared" si="349"/>
        <v>5.8799772293278131E-2</v>
      </c>
      <c r="P342" s="3">
        <f t="shared" si="349"/>
        <v>5.8798755102981111E-2</v>
      </c>
      <c r="Q342" s="3">
        <f t="shared" si="349"/>
        <v>5.8788584167773675E-2</v>
      </c>
      <c r="R342" s="3">
        <f t="shared" si="349"/>
        <v>5.868697153006374E-2</v>
      </c>
      <c r="S342" s="3">
        <f t="shared" si="349"/>
        <v>5.7680454970203555E-2</v>
      </c>
      <c r="T342" s="3">
        <f t="shared" si="349"/>
        <v>4.851750532749606E-2</v>
      </c>
      <c r="U342" s="3">
        <f t="shared" si="349"/>
        <v>8.6019380603238101E-3</v>
      </c>
      <c r="V342" s="3">
        <f t="shared" si="349"/>
        <v>2.6398229428462493E-10</v>
      </c>
      <c r="W342" s="3">
        <f t="shared" si="349"/>
        <v>1.9559586936180903E-85</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4.7913743582903463E-2</v>
      </c>
      <c r="C343" s="3">
        <f t="shared" si="350"/>
        <v>4.7913743582903463E-2</v>
      </c>
      <c r="D343" s="3">
        <f t="shared" si="350"/>
        <v>4.7913743582903463E-2</v>
      </c>
      <c r="E343" s="3">
        <f t="shared" si="350"/>
        <v>4.7913743582903463E-2</v>
      </c>
      <c r="F343" s="3">
        <f t="shared" si="350"/>
        <v>4.7913743582903449E-2</v>
      </c>
      <c r="G343" s="3">
        <f t="shared" si="350"/>
        <v>4.791374358290338E-2</v>
      </c>
      <c r="H343" s="3">
        <f t="shared" si="350"/>
        <v>4.7913743582902631E-2</v>
      </c>
      <c r="I343" s="3">
        <f t="shared" si="350"/>
        <v>4.7913743582895157E-2</v>
      </c>
      <c r="J343" s="3">
        <f t="shared" si="350"/>
        <v>4.7913743582820384E-2</v>
      </c>
      <c r="K343" s="3">
        <f t="shared" si="350"/>
        <v>4.7913743582072663E-2</v>
      </c>
      <c r="L343" s="3">
        <f t="shared" si="350"/>
        <v>4.7913743574595498E-2</v>
      </c>
      <c r="M343" s="3">
        <f t="shared" si="350"/>
        <v>4.7913743499823844E-2</v>
      </c>
      <c r="N343" s="3">
        <f t="shared" si="350"/>
        <v>4.7913742752107261E-2</v>
      </c>
      <c r="O343" s="3">
        <f t="shared" si="350"/>
        <v>4.7913735274942075E-2</v>
      </c>
      <c r="P343" s="3">
        <f t="shared" si="350"/>
        <v>4.7913660503354445E-2</v>
      </c>
      <c r="Q343" s="3">
        <f t="shared" si="350"/>
        <v>4.7912912793895729E-2</v>
      </c>
      <c r="R343" s="3">
        <f t="shared" si="350"/>
        <v>4.7905436341033288E-2</v>
      </c>
      <c r="S343" s="3">
        <f t="shared" si="350"/>
        <v>4.7830735947840999E-2</v>
      </c>
      <c r="T343" s="3">
        <f t="shared" si="350"/>
        <v>4.7090108681248098E-2</v>
      </c>
      <c r="U343" s="3">
        <f t="shared" si="350"/>
        <v>4.0286170691936879E-2</v>
      </c>
      <c r="V343" s="3">
        <f t="shared" si="350"/>
        <v>8.4609464387962203E-3</v>
      </c>
      <c r="W343" s="3">
        <f t="shared" si="350"/>
        <v>1.4126953602306987E-9</v>
      </c>
      <c r="X343" s="3">
        <f t="shared" si="350"/>
        <v>2.3787250645590181E-77</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2.5827932303493749E-2</v>
      </c>
      <c r="C344" s="3">
        <f t="shared" si="351"/>
        <v>2.5827932303493749E-2</v>
      </c>
      <c r="D344" s="3">
        <f t="shared" si="351"/>
        <v>2.5827932303493749E-2</v>
      </c>
      <c r="E344" s="3">
        <f t="shared" si="351"/>
        <v>2.5827932303493749E-2</v>
      </c>
      <c r="F344" s="3">
        <f t="shared" si="351"/>
        <v>2.5827932303493749E-2</v>
      </c>
      <c r="G344" s="3">
        <f t="shared" si="351"/>
        <v>2.5827932303493745E-2</v>
      </c>
      <c r="H344" s="3">
        <f t="shared" si="351"/>
        <v>2.5827932303493707E-2</v>
      </c>
      <c r="I344" s="3">
        <f t="shared" si="351"/>
        <v>2.5827932303493343E-2</v>
      </c>
      <c r="J344" s="3">
        <f t="shared" si="351"/>
        <v>2.5827932303489707E-2</v>
      </c>
      <c r="K344" s="3">
        <f t="shared" si="351"/>
        <v>2.5827932303453351E-2</v>
      </c>
      <c r="L344" s="3">
        <f t="shared" si="351"/>
        <v>2.582793230308976E-2</v>
      </c>
      <c r="M344" s="3">
        <f t="shared" si="351"/>
        <v>2.5827932299453848E-2</v>
      </c>
      <c r="N344" s="3">
        <f t="shared" si="351"/>
        <v>2.5827932263094745E-2</v>
      </c>
      <c r="O344" s="3">
        <f t="shared" si="351"/>
        <v>2.5827931899503734E-2</v>
      </c>
      <c r="P344" s="3">
        <f t="shared" si="351"/>
        <v>2.58279282635939E-2</v>
      </c>
      <c r="Q344" s="3">
        <f t="shared" si="351"/>
        <v>2.5827891904523691E-2</v>
      </c>
      <c r="R344" s="3">
        <f t="shared" si="351"/>
        <v>2.5827528316636716E-2</v>
      </c>
      <c r="S344" s="3">
        <f t="shared" si="351"/>
        <v>2.5823892719264246E-2</v>
      </c>
      <c r="T344" s="3">
        <f t="shared" si="351"/>
        <v>2.5787564880610733E-2</v>
      </c>
      <c r="U344" s="3">
        <f t="shared" si="351"/>
        <v>2.5427085401636872E-2</v>
      </c>
      <c r="V344" s="3">
        <f t="shared" si="351"/>
        <v>2.2088135723689947E-2</v>
      </c>
      <c r="W344" s="3">
        <f t="shared" si="351"/>
        <v>5.4048527612116006E-3</v>
      </c>
      <c r="X344" s="3">
        <f t="shared" si="351"/>
        <v>4.1594117980993151E-9</v>
      </c>
      <c r="Y344" s="3">
        <f t="shared" si="351"/>
        <v>3.0304870932636341E-70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1.4720074447505073E-2</v>
      </c>
      <c r="C345" s="3">
        <f t="shared" si="352"/>
        <v>1.4720074447505073E-2</v>
      </c>
      <c r="D345" s="3">
        <f t="shared" si="352"/>
        <v>1.4720074447505073E-2</v>
      </c>
      <c r="E345" s="3">
        <f t="shared" si="352"/>
        <v>1.4720074447505073E-2</v>
      </c>
      <c r="F345" s="3">
        <f t="shared" si="352"/>
        <v>1.4720074447505073E-2</v>
      </c>
      <c r="G345" s="3">
        <f t="shared" si="352"/>
        <v>1.4720074447505073E-2</v>
      </c>
      <c r="H345" s="3">
        <f t="shared" si="352"/>
        <v>1.4720074447505071E-2</v>
      </c>
      <c r="I345" s="3">
        <f t="shared" si="352"/>
        <v>1.4720074447505052E-2</v>
      </c>
      <c r="J345" s="3">
        <f t="shared" si="352"/>
        <v>1.4720074447504864E-2</v>
      </c>
      <c r="K345" s="3">
        <f t="shared" si="352"/>
        <v>1.4720074447502996E-2</v>
      </c>
      <c r="L345" s="3">
        <f t="shared" si="352"/>
        <v>1.4720074447484303E-2</v>
      </c>
      <c r="M345" s="3">
        <f t="shared" si="352"/>
        <v>1.4720074447297372E-2</v>
      </c>
      <c r="N345" s="3">
        <f t="shared" si="352"/>
        <v>1.4720074445428067E-2</v>
      </c>
      <c r="O345" s="3">
        <f t="shared" si="352"/>
        <v>1.472007442673502E-2</v>
      </c>
      <c r="P345" s="3">
        <f t="shared" si="352"/>
        <v>1.4720074239804549E-2</v>
      </c>
      <c r="Q345" s="3">
        <f t="shared" si="352"/>
        <v>1.4720072370499986E-2</v>
      </c>
      <c r="R345" s="3">
        <f t="shared" si="352"/>
        <v>1.472005367746739E-2</v>
      </c>
      <c r="S345" s="3">
        <f t="shared" si="352"/>
        <v>1.4719866748447032E-2</v>
      </c>
      <c r="T345" s="3">
        <f t="shared" si="352"/>
        <v>1.471799758879745E-2</v>
      </c>
      <c r="U345" s="3">
        <f t="shared" si="352"/>
        <v>1.4699319041570316E-2</v>
      </c>
      <c r="V345" s="3">
        <f t="shared" si="352"/>
        <v>1.4513832385561099E-2</v>
      </c>
      <c r="W345" s="3">
        <f t="shared" si="352"/>
        <v>1.2782946596282001E-2</v>
      </c>
      <c r="X345" s="3">
        <f t="shared" si="352"/>
        <v>3.5902086366302456E-3</v>
      </c>
      <c r="Y345" s="3">
        <f t="shared" si="352"/>
        <v>1.0964954023548559E-8</v>
      </c>
      <c r="Z345" s="3">
        <f t="shared" si="352"/>
        <v>7.7424443376956885E-64</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5.9239967047518835E-3</v>
      </c>
      <c r="C346" s="3">
        <f t="shared" si="353"/>
        <v>5.9239967047518835E-3</v>
      </c>
      <c r="D346" s="3">
        <f t="shared" si="353"/>
        <v>5.9239967047518835E-3</v>
      </c>
      <c r="E346" s="3">
        <f t="shared" si="353"/>
        <v>5.9239967047518835E-3</v>
      </c>
      <c r="F346" s="3">
        <f t="shared" si="353"/>
        <v>5.9239967047518835E-3</v>
      </c>
      <c r="G346" s="3">
        <f t="shared" si="353"/>
        <v>5.9239967047518835E-3</v>
      </c>
      <c r="H346" s="3">
        <f t="shared" si="353"/>
        <v>5.9239967047518835E-3</v>
      </c>
      <c r="I346" s="3">
        <f t="shared" si="353"/>
        <v>5.9239967047518827E-3</v>
      </c>
      <c r="J346" s="3">
        <f t="shared" si="353"/>
        <v>5.9239967047518766E-3</v>
      </c>
      <c r="K346" s="3">
        <f t="shared" si="353"/>
        <v>5.9239967047518081E-3</v>
      </c>
      <c r="L346" s="3">
        <f t="shared" si="353"/>
        <v>5.9239967047511298E-3</v>
      </c>
      <c r="M346" s="3">
        <f t="shared" si="353"/>
        <v>5.9239967047443427E-3</v>
      </c>
      <c r="N346" s="3">
        <f t="shared" si="353"/>
        <v>5.9239967046764803E-3</v>
      </c>
      <c r="O346" s="3">
        <f t="shared" si="353"/>
        <v>5.923996703997853E-3</v>
      </c>
      <c r="P346" s="3">
        <f t="shared" si="353"/>
        <v>5.9239966972115775E-3</v>
      </c>
      <c r="Q346" s="3">
        <f t="shared" si="353"/>
        <v>5.9239966293488221E-3</v>
      </c>
      <c r="R346" s="3">
        <f t="shared" si="353"/>
        <v>5.9239959507213094E-3</v>
      </c>
      <c r="S346" s="3">
        <f t="shared" si="353"/>
        <v>5.9239891644504586E-3</v>
      </c>
      <c r="T346" s="3">
        <f t="shared" si="353"/>
        <v>5.9239213021695268E-3</v>
      </c>
      <c r="U346" s="3">
        <f t="shared" si="353"/>
        <v>5.9232427221155536E-3</v>
      </c>
      <c r="V346" s="3">
        <f t="shared" si="353"/>
        <v>5.9164611952986518E-3</v>
      </c>
      <c r="W346" s="3">
        <f t="shared" si="353"/>
        <v>5.8490714935071943E-3</v>
      </c>
      <c r="X346" s="3">
        <f t="shared" si="353"/>
        <v>5.2159812740293467E-3</v>
      </c>
      <c r="Y346" s="3">
        <f t="shared" si="353"/>
        <v>1.6589257988861535E-3</v>
      </c>
      <c r="Z346" s="3">
        <f t="shared" si="353"/>
        <v>1.7568566915441311E-8</v>
      </c>
      <c r="AA346" s="3">
        <f t="shared" si="353"/>
        <v>3.1176696618604618E-58</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1.8347081790420509E-3</v>
      </c>
      <c r="C347" s="3">
        <f t="shared" si="354"/>
        <v>1.8347081790420509E-3</v>
      </c>
      <c r="D347" s="3">
        <f t="shared" si="354"/>
        <v>1.8347081790420509E-3</v>
      </c>
      <c r="E347" s="3">
        <f t="shared" si="354"/>
        <v>1.8347081790420509E-3</v>
      </c>
      <c r="F347" s="3">
        <f t="shared" si="354"/>
        <v>1.8347081790420509E-3</v>
      </c>
      <c r="G347" s="3">
        <f t="shared" si="354"/>
        <v>1.8347081790420509E-3</v>
      </c>
      <c r="H347" s="3">
        <f t="shared" si="354"/>
        <v>1.8347081790420509E-3</v>
      </c>
      <c r="I347" s="3">
        <f t="shared" si="354"/>
        <v>1.8347081790420509E-3</v>
      </c>
      <c r="J347" s="3">
        <f t="shared" si="354"/>
        <v>1.8347081790420507E-3</v>
      </c>
      <c r="K347" s="3">
        <f t="shared" si="354"/>
        <v>1.834708179042049E-3</v>
      </c>
      <c r="L347" s="3">
        <f t="shared" si="354"/>
        <v>1.8347081790420299E-3</v>
      </c>
      <c r="M347" s="3">
        <f t="shared" si="354"/>
        <v>1.8347081790418404E-3</v>
      </c>
      <c r="N347" s="3">
        <f t="shared" si="354"/>
        <v>1.8347081790399443E-3</v>
      </c>
      <c r="O347" s="3">
        <f t="shared" si="354"/>
        <v>1.8347081790209847E-3</v>
      </c>
      <c r="P347" s="3">
        <f t="shared" si="354"/>
        <v>1.8347081788313883E-3</v>
      </c>
      <c r="Q347" s="3">
        <f t="shared" si="354"/>
        <v>1.8347081769354233E-3</v>
      </c>
      <c r="R347" s="3">
        <f t="shared" si="354"/>
        <v>1.8347081579757753E-3</v>
      </c>
      <c r="S347" s="3">
        <f t="shared" si="354"/>
        <v>1.8347079683793061E-3</v>
      </c>
      <c r="T347" s="3">
        <f t="shared" si="354"/>
        <v>1.8347060724156919E-3</v>
      </c>
      <c r="U347" s="3">
        <f t="shared" si="354"/>
        <v>1.8346871128873087E-3</v>
      </c>
      <c r="V347" s="3">
        <f t="shared" si="354"/>
        <v>1.8344975283789862E-3</v>
      </c>
      <c r="W347" s="3">
        <f t="shared" si="354"/>
        <v>1.8326027604347529E-3</v>
      </c>
      <c r="X347" s="3">
        <f t="shared" si="354"/>
        <v>1.8137623841798709E-3</v>
      </c>
      <c r="Y347" s="3">
        <f t="shared" si="354"/>
        <v>1.6356897585579424E-3</v>
      </c>
      <c r="Z347" s="3">
        <f t="shared" si="354"/>
        <v>5.8197773695265961E-4</v>
      </c>
      <c r="AA347" s="3">
        <f t="shared" si="354"/>
        <v>1.8921725632733232E-8</v>
      </c>
      <c r="AB347" s="3">
        <f t="shared" si="354"/>
        <v>2.4974938959196867E-53</v>
      </c>
      <c r="AC347" s="3">
        <f t="shared" si="354"/>
        <v>0</v>
      </c>
      <c r="AD347" s="3">
        <f t="shared" si="354"/>
        <v>0</v>
      </c>
      <c r="AE347" s="3">
        <f t="shared" si="354"/>
        <v>0</v>
      </c>
      <c r="AF347" s="3">
        <f t="shared" si="354"/>
        <v>0</v>
      </c>
      <c r="AG347" s="3"/>
      <c r="AH347" s="3"/>
    </row>
    <row r="348" spans="2:34" x14ac:dyDescent="0.25">
      <c r="B348" s="3">
        <f t="shared" ref="B348:AF348" si="355">$C39*EXP(-B$363/$A39/EXP(-$G$126))</f>
        <v>3.8370171737972247E-3</v>
      </c>
      <c r="C348" s="3">
        <f t="shared" si="355"/>
        <v>3.8370171737972247E-3</v>
      </c>
      <c r="D348" s="3">
        <f t="shared" si="355"/>
        <v>3.8370171737972247E-3</v>
      </c>
      <c r="E348" s="3">
        <f t="shared" si="355"/>
        <v>3.8370171737972247E-3</v>
      </c>
      <c r="F348" s="3">
        <f t="shared" si="355"/>
        <v>3.8370171737972247E-3</v>
      </c>
      <c r="G348" s="3">
        <f t="shared" si="355"/>
        <v>3.8370171737972247E-3</v>
      </c>
      <c r="H348" s="3">
        <f t="shared" si="355"/>
        <v>3.8370171737972247E-3</v>
      </c>
      <c r="I348" s="3">
        <f t="shared" si="355"/>
        <v>3.8370171737972247E-3</v>
      </c>
      <c r="J348" s="3">
        <f t="shared" si="355"/>
        <v>3.8370171737972247E-3</v>
      </c>
      <c r="K348" s="3">
        <f t="shared" si="355"/>
        <v>3.8370171737972234E-3</v>
      </c>
      <c r="L348" s="3">
        <f t="shared" si="355"/>
        <v>3.8370171737972126E-3</v>
      </c>
      <c r="M348" s="3">
        <f t="shared" si="355"/>
        <v>3.8370171737971029E-3</v>
      </c>
      <c r="N348" s="3">
        <f t="shared" si="355"/>
        <v>3.8370171737960065E-3</v>
      </c>
      <c r="O348" s="3">
        <f t="shared" si="355"/>
        <v>3.8370171737850396E-3</v>
      </c>
      <c r="P348" s="3">
        <f t="shared" si="355"/>
        <v>3.8370171736753743E-3</v>
      </c>
      <c r="Q348" s="3">
        <f t="shared" si="355"/>
        <v>3.8370171725787194E-3</v>
      </c>
      <c r="R348" s="3">
        <f t="shared" si="355"/>
        <v>3.8370171616121732E-3</v>
      </c>
      <c r="S348" s="3">
        <f t="shared" si="355"/>
        <v>3.8370170519467111E-3</v>
      </c>
      <c r="T348" s="3">
        <f t="shared" si="355"/>
        <v>3.8370159552922629E-3</v>
      </c>
      <c r="U348" s="3">
        <f t="shared" si="355"/>
        <v>3.8370049887650171E-3</v>
      </c>
      <c r="V348" s="3">
        <f t="shared" si="355"/>
        <v>3.836895325216424E-3</v>
      </c>
      <c r="W348" s="3">
        <f t="shared" si="355"/>
        <v>3.8357988620989075E-3</v>
      </c>
      <c r="X348" s="3">
        <f t="shared" si="355"/>
        <v>3.8248514495509665E-3</v>
      </c>
      <c r="Y348" s="3">
        <f t="shared" si="355"/>
        <v>3.7170811165673327E-3</v>
      </c>
      <c r="Z348" s="3">
        <f t="shared" si="355"/>
        <v>2.7930370668115046E-3</v>
      </c>
      <c r="AA348" s="3">
        <f t="shared" si="355"/>
        <v>1.6025932382980366E-4</v>
      </c>
      <c r="AB348" s="3">
        <f t="shared" si="355"/>
        <v>6.1985394987227159E-17</v>
      </c>
      <c r="AC348" s="3">
        <f t="shared" si="355"/>
        <v>4.6446184460465236E-141</v>
      </c>
      <c r="AD348" s="3">
        <f t="shared" si="355"/>
        <v>0</v>
      </c>
      <c r="AE348" s="3">
        <f t="shared" si="355"/>
        <v>0</v>
      </c>
      <c r="AF348" s="3">
        <f t="shared" si="355"/>
        <v>0</v>
      </c>
      <c r="AG348" s="3"/>
      <c r="AH348" s="3"/>
    </row>
    <row r="349" spans="2:34" x14ac:dyDescent="0.25">
      <c r="B349" s="3">
        <f t="shared" ref="B349:AF349" si="356">$C40*EXP(-B$363/$A40/EXP(-$G$126))</f>
        <v>0</v>
      </c>
      <c r="C349" s="3">
        <f t="shared" si="356"/>
        <v>0</v>
      </c>
      <c r="D349" s="3">
        <f t="shared" si="356"/>
        <v>0</v>
      </c>
      <c r="E349" s="3">
        <f t="shared" si="356"/>
        <v>0</v>
      </c>
      <c r="F349" s="3">
        <f t="shared" si="356"/>
        <v>0</v>
      </c>
      <c r="G349" s="3">
        <f t="shared" si="356"/>
        <v>0</v>
      </c>
      <c r="H349" s="3">
        <f t="shared" si="356"/>
        <v>0</v>
      </c>
      <c r="I349" s="3">
        <f t="shared" si="356"/>
        <v>0</v>
      </c>
      <c r="J349" s="3">
        <f t="shared" si="356"/>
        <v>0</v>
      </c>
      <c r="K349" s="3">
        <f t="shared" si="356"/>
        <v>0</v>
      </c>
      <c r="L349" s="3">
        <f t="shared" si="356"/>
        <v>0</v>
      </c>
      <c r="M349" s="3">
        <f t="shared" si="356"/>
        <v>0</v>
      </c>
      <c r="N349" s="3">
        <f t="shared" si="356"/>
        <v>0</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1.7399495856337129E-3</v>
      </c>
      <c r="C350" s="3">
        <f t="shared" si="357"/>
        <v>1.7399495856337129E-3</v>
      </c>
      <c r="D350" s="3">
        <f t="shared" si="357"/>
        <v>1.7399495856337129E-3</v>
      </c>
      <c r="E350" s="3">
        <f t="shared" si="357"/>
        <v>1.7399495856337129E-3</v>
      </c>
      <c r="F350" s="3">
        <f t="shared" si="357"/>
        <v>1.7399495856337129E-3</v>
      </c>
      <c r="G350" s="3">
        <f t="shared" si="357"/>
        <v>1.7399495856337129E-3</v>
      </c>
      <c r="H350" s="3">
        <f t="shared" si="357"/>
        <v>1.7399495856337129E-3</v>
      </c>
      <c r="I350" s="3">
        <f t="shared" si="357"/>
        <v>1.7399495856337129E-3</v>
      </c>
      <c r="J350" s="3">
        <f t="shared" si="357"/>
        <v>1.7399495856337129E-3</v>
      </c>
      <c r="K350" s="3">
        <f t="shared" si="357"/>
        <v>1.7399495856337129E-3</v>
      </c>
      <c r="L350" s="3">
        <f t="shared" si="357"/>
        <v>1.7399495856337129E-3</v>
      </c>
      <c r="M350" s="3">
        <f t="shared" si="357"/>
        <v>1.7399495856337123E-3</v>
      </c>
      <c r="N350" s="3">
        <f t="shared" si="357"/>
        <v>1.7399495856337073E-3</v>
      </c>
      <c r="O350" s="3">
        <f t="shared" si="357"/>
        <v>1.7399495856336576E-3</v>
      </c>
      <c r="P350" s="3">
        <f t="shared" si="357"/>
        <v>1.7399495856331604E-3</v>
      </c>
      <c r="Q350" s="3">
        <f t="shared" si="357"/>
        <v>1.7399495856281874E-3</v>
      </c>
      <c r="R350" s="3">
        <f t="shared" si="357"/>
        <v>1.7399495855784581E-3</v>
      </c>
      <c r="S350" s="3">
        <f t="shared" si="357"/>
        <v>1.7399495850811645E-3</v>
      </c>
      <c r="T350" s="3">
        <f t="shared" si="357"/>
        <v>1.7399495801082294E-3</v>
      </c>
      <c r="U350" s="3">
        <f t="shared" si="357"/>
        <v>1.7399495303788779E-3</v>
      </c>
      <c r="V350" s="3">
        <f t="shared" si="357"/>
        <v>1.7399490330854423E-3</v>
      </c>
      <c r="W350" s="3">
        <f t="shared" si="357"/>
        <v>1.7399440601589026E-3</v>
      </c>
      <c r="X350" s="3">
        <f t="shared" si="357"/>
        <v>1.7398943316752156E-3</v>
      </c>
      <c r="Y350" s="3">
        <f t="shared" si="357"/>
        <v>1.7393971250012363E-3</v>
      </c>
      <c r="Z350" s="3">
        <f t="shared" si="357"/>
        <v>1.7344328662909473E-3</v>
      </c>
      <c r="AA350" s="3">
        <f t="shared" si="357"/>
        <v>1.685562887939271E-3</v>
      </c>
      <c r="AB350" s="3">
        <f t="shared" si="357"/>
        <v>1.2665420734223436E-3</v>
      </c>
      <c r="AC350" s="3">
        <f t="shared" si="357"/>
        <v>7.2671851978096439E-5</v>
      </c>
      <c r="AD350" s="3">
        <f t="shared" si="357"/>
        <v>2.8108152097905507E-17</v>
      </c>
      <c r="AE350" s="3">
        <f t="shared" si="357"/>
        <v>2.1061677794440925E-141</v>
      </c>
      <c r="AF350" s="3">
        <f t="shared" si="357"/>
        <v>0</v>
      </c>
      <c r="AG350" s="3"/>
      <c r="AH350" s="3"/>
    </row>
    <row r="351" spans="2:34" x14ac:dyDescent="0.25">
      <c r="B351" s="3">
        <f t="shared" ref="B351:AF351" si="358">$C42*EXP(-B$363/$A42/EXP(-$G$126))</f>
        <v>3.0775072994127634E-3</v>
      </c>
      <c r="C351" s="3">
        <f t="shared" si="358"/>
        <v>3.0775072994127634E-3</v>
      </c>
      <c r="D351" s="3">
        <f t="shared" si="358"/>
        <v>3.0775072994127634E-3</v>
      </c>
      <c r="E351" s="3">
        <f t="shared" si="358"/>
        <v>3.0775072994127634E-3</v>
      </c>
      <c r="F351" s="3">
        <f t="shared" si="358"/>
        <v>3.0775072994127634E-3</v>
      </c>
      <c r="G351" s="3">
        <f t="shared" si="358"/>
        <v>3.0775072994127634E-3</v>
      </c>
      <c r="H351" s="3">
        <f t="shared" si="358"/>
        <v>3.0775072994127634E-3</v>
      </c>
      <c r="I351" s="3">
        <f t="shared" si="358"/>
        <v>3.0775072994127634E-3</v>
      </c>
      <c r="J351" s="3">
        <f t="shared" si="358"/>
        <v>3.0775072994127634E-3</v>
      </c>
      <c r="K351" s="3">
        <f t="shared" si="358"/>
        <v>3.0775072994127634E-3</v>
      </c>
      <c r="L351" s="3">
        <f t="shared" si="358"/>
        <v>3.0775072994127634E-3</v>
      </c>
      <c r="M351" s="3">
        <f t="shared" si="358"/>
        <v>3.0775072994127634E-3</v>
      </c>
      <c r="N351" s="3">
        <f t="shared" si="358"/>
        <v>3.0775072994127625E-3</v>
      </c>
      <c r="O351" s="3">
        <f t="shared" si="358"/>
        <v>3.0775072994127534E-3</v>
      </c>
      <c r="P351" s="3">
        <f t="shared" si="358"/>
        <v>3.0775072994126658E-3</v>
      </c>
      <c r="Q351" s="3">
        <f t="shared" si="358"/>
        <v>3.0775072994117863E-3</v>
      </c>
      <c r="R351" s="3">
        <f t="shared" si="358"/>
        <v>3.0775072994029904E-3</v>
      </c>
      <c r="S351" s="3">
        <f t="shared" si="358"/>
        <v>3.0775072993150321E-3</v>
      </c>
      <c r="T351" s="3">
        <f t="shared" si="358"/>
        <v>3.0775072984354523E-3</v>
      </c>
      <c r="U351" s="3">
        <f t="shared" si="358"/>
        <v>3.0775072896396549E-3</v>
      </c>
      <c r="V351" s="3">
        <f t="shared" si="358"/>
        <v>3.0775072016816802E-3</v>
      </c>
      <c r="W351" s="3">
        <f t="shared" si="358"/>
        <v>3.0775063221020701E-3</v>
      </c>
      <c r="X351" s="3">
        <f t="shared" si="358"/>
        <v>3.0774975263197944E-3</v>
      </c>
      <c r="Y351" s="3">
        <f t="shared" si="358"/>
        <v>3.0774095698796774E-3</v>
      </c>
      <c r="Z351" s="3">
        <f t="shared" si="358"/>
        <v>3.0765301437278383E-3</v>
      </c>
      <c r="AA351" s="3">
        <f t="shared" si="358"/>
        <v>3.0677496925336023E-3</v>
      </c>
      <c r="AB351" s="3">
        <f t="shared" si="358"/>
        <v>2.9813117196513875E-3</v>
      </c>
      <c r="AC351" s="3">
        <f t="shared" si="358"/>
        <v>2.2401755247126948E-3</v>
      </c>
      <c r="AD351" s="3">
        <f t="shared" si="358"/>
        <v>1.285371465765659E-4</v>
      </c>
      <c r="AE351" s="3">
        <f t="shared" si="358"/>
        <v>4.9715833130189696E-17</v>
      </c>
      <c r="AF351" s="3">
        <f t="shared" si="358"/>
        <v>3.7252497247881049E-141</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0</v>
      </c>
      <c r="C353" s="3">
        <f t="shared" si="360"/>
        <v>0</v>
      </c>
      <c r="D353" s="3">
        <f t="shared" si="360"/>
        <v>0</v>
      </c>
      <c r="E353" s="3">
        <f t="shared" si="360"/>
        <v>0</v>
      </c>
      <c r="F353" s="3">
        <f t="shared" si="360"/>
        <v>0</v>
      </c>
      <c r="G353" s="3">
        <f t="shared" si="360"/>
        <v>0</v>
      </c>
      <c r="H353" s="3">
        <f t="shared" si="360"/>
        <v>0</v>
      </c>
      <c r="I353" s="3">
        <f t="shared" si="360"/>
        <v>0</v>
      </c>
      <c r="J353" s="3">
        <f t="shared" si="360"/>
        <v>0</v>
      </c>
      <c r="K353" s="3">
        <f t="shared" si="360"/>
        <v>0</v>
      </c>
      <c r="L353" s="3">
        <f t="shared" si="360"/>
        <v>0</v>
      </c>
      <c r="M353" s="3">
        <f t="shared" si="360"/>
        <v>0</v>
      </c>
      <c r="N353" s="3">
        <f t="shared" si="360"/>
        <v>0</v>
      </c>
      <c r="O353" s="3">
        <f t="shared" si="360"/>
        <v>0</v>
      </c>
      <c r="P353" s="3">
        <f t="shared" si="360"/>
        <v>0</v>
      </c>
      <c r="Q353" s="3">
        <f t="shared" si="360"/>
        <v>0</v>
      </c>
      <c r="R353" s="3">
        <f t="shared" si="360"/>
        <v>0</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3.9641523668516518E-5</v>
      </c>
      <c r="C354" s="3">
        <f t="shared" si="361"/>
        <v>3.9641523668516518E-5</v>
      </c>
      <c r="D354" s="3">
        <f t="shared" si="361"/>
        <v>3.9641523668516518E-5</v>
      </c>
      <c r="E354" s="3">
        <f t="shared" si="361"/>
        <v>3.9641523668516518E-5</v>
      </c>
      <c r="F354" s="3">
        <f t="shared" si="361"/>
        <v>3.9641523668516518E-5</v>
      </c>
      <c r="G354" s="3">
        <f t="shared" si="361"/>
        <v>3.9641523668516518E-5</v>
      </c>
      <c r="H354" s="3">
        <f t="shared" si="361"/>
        <v>3.9641523668516518E-5</v>
      </c>
      <c r="I354" s="3">
        <f t="shared" si="361"/>
        <v>3.9641523668516518E-5</v>
      </c>
      <c r="J354" s="3">
        <f t="shared" si="361"/>
        <v>3.9641523668516518E-5</v>
      </c>
      <c r="K354" s="3">
        <f t="shared" si="361"/>
        <v>3.9641523668516518E-5</v>
      </c>
      <c r="L354" s="3">
        <f t="shared" si="361"/>
        <v>3.9641523668516518E-5</v>
      </c>
      <c r="M354" s="3">
        <f t="shared" si="361"/>
        <v>3.9641523668516518E-5</v>
      </c>
      <c r="N354" s="3">
        <f t="shared" si="361"/>
        <v>3.9641523668516518E-5</v>
      </c>
      <c r="O354" s="3">
        <f t="shared" si="361"/>
        <v>3.9641523668516518E-5</v>
      </c>
      <c r="P354" s="3">
        <f t="shared" si="361"/>
        <v>3.9641523668516518E-5</v>
      </c>
      <c r="Q354" s="3">
        <f t="shared" si="361"/>
        <v>3.9641523668516504E-5</v>
      </c>
      <c r="R354" s="3">
        <f t="shared" si="361"/>
        <v>3.9641523668516389E-5</v>
      </c>
      <c r="S354" s="3">
        <f t="shared" si="361"/>
        <v>3.9641523668515257E-5</v>
      </c>
      <c r="T354" s="3">
        <f t="shared" si="361"/>
        <v>3.9641523668503928E-5</v>
      </c>
      <c r="U354" s="3">
        <f t="shared" si="361"/>
        <v>3.9641523668390628E-5</v>
      </c>
      <c r="V354" s="3">
        <f t="shared" si="361"/>
        <v>3.9641523667257637E-5</v>
      </c>
      <c r="W354" s="3">
        <f t="shared" si="361"/>
        <v>3.9641523655927724E-5</v>
      </c>
      <c r="X354" s="3">
        <f t="shared" si="361"/>
        <v>3.9641523542628625E-5</v>
      </c>
      <c r="Y354" s="3">
        <f t="shared" si="361"/>
        <v>3.9641522409637605E-5</v>
      </c>
      <c r="Z354" s="3">
        <f t="shared" si="361"/>
        <v>3.9641511079729158E-5</v>
      </c>
      <c r="AA354" s="3">
        <f t="shared" si="361"/>
        <v>3.9641397780822823E-5</v>
      </c>
      <c r="AB354" s="3">
        <f t="shared" si="361"/>
        <v>3.9640264809569319E-5</v>
      </c>
      <c r="AC354" s="3">
        <f t="shared" si="361"/>
        <v>3.96289368778307E-5</v>
      </c>
      <c r="AD354" s="3">
        <f t="shared" si="361"/>
        <v>3.9515835451912726E-5</v>
      </c>
      <c r="AE354" s="3">
        <f t="shared" si="361"/>
        <v>3.8402423649925209E-5</v>
      </c>
      <c r="AF354" s="3">
        <f t="shared" si="361"/>
        <v>2.8855811682875583E-5</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4.3007652150806221E-4</v>
      </c>
      <c r="C357" s="3">
        <f t="shared" si="364"/>
        <v>4.3007652150806221E-4</v>
      </c>
      <c r="D357" s="3">
        <f t="shared" si="364"/>
        <v>4.3007652150806221E-4</v>
      </c>
      <c r="E357" s="3">
        <f t="shared" si="364"/>
        <v>4.3007652150806221E-4</v>
      </c>
      <c r="F357" s="3">
        <f t="shared" si="364"/>
        <v>4.3007652150806221E-4</v>
      </c>
      <c r="G357" s="3">
        <f t="shared" si="364"/>
        <v>4.3007652150806221E-4</v>
      </c>
      <c r="H357" s="3">
        <f t="shared" si="364"/>
        <v>4.3007652150806221E-4</v>
      </c>
      <c r="I357" s="3">
        <f t="shared" si="364"/>
        <v>4.3007652150806221E-4</v>
      </c>
      <c r="J357" s="3">
        <f t="shared" si="364"/>
        <v>4.3007652150806221E-4</v>
      </c>
      <c r="K357" s="3">
        <f t="shared" si="364"/>
        <v>4.3007652150806221E-4</v>
      </c>
      <c r="L357" s="3">
        <f t="shared" si="364"/>
        <v>4.3007652150806221E-4</v>
      </c>
      <c r="M357" s="3">
        <f t="shared" si="364"/>
        <v>4.3007652150806221E-4</v>
      </c>
      <c r="N357" s="3">
        <f t="shared" si="364"/>
        <v>4.3007652150806221E-4</v>
      </c>
      <c r="O357" s="3">
        <f t="shared" si="364"/>
        <v>4.3007652150806221E-4</v>
      </c>
      <c r="P357" s="3">
        <f t="shared" si="364"/>
        <v>4.3007652150806221E-4</v>
      </c>
      <c r="Q357" s="3">
        <f t="shared" si="364"/>
        <v>4.3007652150806221E-4</v>
      </c>
      <c r="R357" s="3">
        <f t="shared" si="364"/>
        <v>4.3007652150806221E-4</v>
      </c>
      <c r="S357" s="3">
        <f t="shared" si="364"/>
        <v>4.3007652150806221E-4</v>
      </c>
      <c r="T357" s="3">
        <f t="shared" si="364"/>
        <v>4.3007652150806204E-4</v>
      </c>
      <c r="U357" s="3">
        <f t="shared" si="364"/>
        <v>4.300765215080608E-4</v>
      </c>
      <c r="V357" s="3">
        <f t="shared" si="364"/>
        <v>4.3007652150804854E-4</v>
      </c>
      <c r="W357" s="3">
        <f t="shared" si="364"/>
        <v>4.3007652150792565E-4</v>
      </c>
      <c r="X357" s="3">
        <f t="shared" si="364"/>
        <v>4.3007652150669644E-4</v>
      </c>
      <c r="Y357" s="3">
        <f t="shared" si="364"/>
        <v>4.3007652149440446E-4</v>
      </c>
      <c r="Z357" s="3">
        <f t="shared" si="364"/>
        <v>4.3007652137148461E-4</v>
      </c>
      <c r="AA357" s="3">
        <f t="shared" si="364"/>
        <v>4.3007652014228655E-4</v>
      </c>
      <c r="AB357" s="3">
        <f t="shared" si="364"/>
        <v>4.3007650785030602E-4</v>
      </c>
      <c r="AC357" s="3">
        <f t="shared" si="364"/>
        <v>4.3007638493051991E-4</v>
      </c>
      <c r="AD357" s="3">
        <f t="shared" si="364"/>
        <v>4.3007515573459051E-4</v>
      </c>
      <c r="AE357" s="3">
        <f t="shared" si="364"/>
        <v>4.3006286396851835E-4</v>
      </c>
      <c r="AF357" s="3">
        <f t="shared" si="364"/>
        <v>4.2993996562791059E-4</v>
      </c>
      <c r="AG357" s="3"/>
      <c r="AH357" s="3"/>
    </row>
    <row r="358" spans="1:34" x14ac:dyDescent="0.25">
      <c r="A358" s="79">
        <f>AVERAGE(B358:AF358)</f>
        <v>9.4574040525628057E-3</v>
      </c>
      <c r="B358" s="80">
        <f>IF($A$64&lt;=B324,IF($B$64&gt;=B324,ABS((B326-B325)/B325),0),0)</f>
        <v>9.2461881473173996E-2</v>
      </c>
      <c r="C358" s="80">
        <f t="shared" ref="C358:AF358" si="365">IF($A$64&lt;=C324,IF($B$64&gt;=C324,ABS((C326-C325)/C325),0),0)</f>
        <v>5.4896771105233985E-2</v>
      </c>
      <c r="D358" s="80">
        <f t="shared" si="365"/>
        <v>2.0316930255945345E-2</v>
      </c>
      <c r="E358" s="80">
        <f t="shared" si="365"/>
        <v>7.8540737231768791E-3</v>
      </c>
      <c r="F358" s="80">
        <f t="shared" si="365"/>
        <v>5.7551730844741843E-3</v>
      </c>
      <c r="G358" s="80">
        <f t="shared" si="365"/>
        <v>5.4898707840264644E-3</v>
      </c>
      <c r="H358" s="80">
        <f t="shared" si="365"/>
        <v>3.7376335352528386E-4</v>
      </c>
      <c r="I358" s="80">
        <f t="shared" si="365"/>
        <v>2.2460104407762351E-3</v>
      </c>
      <c r="J358" s="80">
        <f t="shared" si="365"/>
        <v>1.8679211913582344E-3</v>
      </c>
      <c r="K358" s="80">
        <f t="shared" si="365"/>
        <v>2.743720192416138E-3</v>
      </c>
      <c r="L358" s="80">
        <f t="shared" si="365"/>
        <v>2.5485306368806565E-3</v>
      </c>
      <c r="M358" s="80">
        <f t="shared" si="365"/>
        <v>4.4959454942699014E-3</v>
      </c>
      <c r="N358" s="80">
        <f t="shared" si="365"/>
        <v>2.6615028969143623E-3</v>
      </c>
      <c r="O358" s="80">
        <f t="shared" si="365"/>
        <v>7.1244132920562468E-3</v>
      </c>
      <c r="P358" s="80">
        <f t="shared" si="365"/>
        <v>4.8435327423646595E-3</v>
      </c>
      <c r="Q358" s="80">
        <f t="shared" si="365"/>
        <v>2.0281345105326409E-3</v>
      </c>
      <c r="R358" s="80">
        <f t="shared" si="365"/>
        <v>7.463984068048349E-3</v>
      </c>
      <c r="S358" s="80">
        <f t="shared" si="365"/>
        <v>1.4086520788602667E-2</v>
      </c>
      <c r="T358" s="80">
        <f t="shared" si="365"/>
        <v>3.1354271616879756E-3</v>
      </c>
      <c r="U358" s="80">
        <f t="shared" si="365"/>
        <v>6.9132357805034759E-4</v>
      </c>
      <c r="V358" s="80">
        <f t="shared" si="365"/>
        <v>1.1282268411019186E-2</v>
      </c>
      <c r="W358" s="80">
        <f t="shared" si="365"/>
        <v>1.025093158150996E-2</v>
      </c>
      <c r="X358" s="80">
        <f t="shared" si="365"/>
        <v>2.9942466447423238E-4</v>
      </c>
      <c r="Y358" s="80">
        <f t="shared" si="365"/>
        <v>7.622142166238537E-3</v>
      </c>
      <c r="Z358" s="80">
        <f t="shared" si="365"/>
        <v>6.3836665698270264E-3</v>
      </c>
      <c r="AA358" s="80">
        <f t="shared" si="365"/>
        <v>4.5700619882001253E-3</v>
      </c>
      <c r="AB358" s="80">
        <f t="shared" si="365"/>
        <v>3.8721860371461166E-3</v>
      </c>
      <c r="AC358" s="80">
        <f t="shared" si="365"/>
        <v>1.6145829037735661E-4</v>
      </c>
      <c r="AD358" s="80">
        <f t="shared" si="365"/>
        <v>2.8783815914338361E-3</v>
      </c>
      <c r="AE358" s="80">
        <f t="shared" si="365"/>
        <v>1.2573622998309302E-3</v>
      </c>
      <c r="AF358" s="80">
        <f t="shared" si="365"/>
        <v>1.5162112558751745E-3</v>
      </c>
    </row>
    <row r="359" spans="1:34" x14ac:dyDescent="0.25">
      <c r="B359" s="21">
        <f>(B326-B325)^2</f>
        <v>632428.24249270651</v>
      </c>
      <c r="C359" s="21">
        <f t="shared" ref="C359:AF359" si="366">(C326-C325)^2</f>
        <v>205540.52458607158</v>
      </c>
      <c r="D359" s="21">
        <f t="shared" si="366"/>
        <v>26168.400243018139</v>
      </c>
      <c r="E359" s="21">
        <f t="shared" si="366"/>
        <v>3651.8039939227583</v>
      </c>
      <c r="F359" s="21">
        <f t="shared" si="366"/>
        <v>1809.8969087119656</v>
      </c>
      <c r="G359" s="21">
        <f t="shared" si="366"/>
        <v>1490.2054165029972</v>
      </c>
      <c r="H359" s="21">
        <f t="shared" si="366"/>
        <v>6.183851410010333</v>
      </c>
      <c r="I359" s="21">
        <f t="shared" si="366"/>
        <v>201.83410747739509</v>
      </c>
      <c r="J359" s="21">
        <f t="shared" si="366"/>
        <v>127.53774468864422</v>
      </c>
      <c r="K359" s="21">
        <f t="shared" si="366"/>
        <v>250.20397719831226</v>
      </c>
      <c r="L359" s="21">
        <f t="shared" si="366"/>
        <v>195.54500874811549</v>
      </c>
      <c r="M359" s="21">
        <f t="shared" si="366"/>
        <v>548.92181342869458</v>
      </c>
      <c r="N359" s="21">
        <f t="shared" si="366"/>
        <v>171.74469558289101</v>
      </c>
      <c r="O359" s="21">
        <f t="shared" si="366"/>
        <v>1066.5732521286889</v>
      </c>
      <c r="P359" s="21">
        <f t="shared" si="366"/>
        <v>418.01653161923764</v>
      </c>
      <c r="Q359" s="21">
        <f t="shared" si="366"/>
        <v>59.082326216949255</v>
      </c>
      <c r="R359" s="21">
        <f t="shared" si="366"/>
        <v>600.77644215943565</v>
      </c>
      <c r="S359" s="21">
        <f t="shared" si="366"/>
        <v>1462.3600689237112</v>
      </c>
      <c r="T359" s="21">
        <f t="shared" si="366"/>
        <v>44.198142337264507</v>
      </c>
      <c r="U359" s="21">
        <f t="shared" si="366"/>
        <v>1.1470750371310059</v>
      </c>
      <c r="V359" s="21">
        <f t="shared" si="366"/>
        <v>158.26555626680698</v>
      </c>
      <c r="W359" s="21">
        <f t="shared" si="366"/>
        <v>70.583226460265678</v>
      </c>
      <c r="X359" s="21">
        <f t="shared" si="366"/>
        <v>4.0572640467673324E-2</v>
      </c>
      <c r="Y359" s="21">
        <f t="shared" si="366"/>
        <v>20.379286227093125</v>
      </c>
      <c r="Z359" s="21">
        <f t="shared" si="366"/>
        <v>12.60326723976085</v>
      </c>
      <c r="AA359" s="21">
        <f t="shared" si="366"/>
        <v>5.8391584793283924</v>
      </c>
      <c r="AB359" s="21">
        <f t="shared" si="366"/>
        <v>4.0162264234167431</v>
      </c>
      <c r="AC359" s="21">
        <f t="shared" si="366"/>
        <v>6.510977090280614E-3</v>
      </c>
      <c r="AD359" s="21">
        <f t="shared" si="366"/>
        <v>1.9006782685338481</v>
      </c>
      <c r="AE359" s="21">
        <f t="shared" si="366"/>
        <v>0.35771066593456019</v>
      </c>
      <c r="AF359" s="21">
        <f t="shared" si="366"/>
        <v>0.51966834509552329</v>
      </c>
      <c r="AG359" s="3"/>
      <c r="AH359" s="3"/>
    </row>
    <row r="360" spans="1:34" x14ac:dyDescent="0.25">
      <c r="A360" s="71">
        <f>SUM(B360:AF360)</f>
        <v>876517.7105398844</v>
      </c>
      <c r="B360" s="60">
        <f>IF($A$64&lt;=B324,IF($B$64&gt;=B324,ABS(B359),0),0)</f>
        <v>632428.24249270651</v>
      </c>
      <c r="C360" s="60">
        <f t="shared" ref="C360:AF360" si="367">IF($A$64&lt;=C324,IF($B$64&gt;=C324,ABS(C359),0),0)</f>
        <v>205540.52458607158</v>
      </c>
      <c r="D360" s="60">
        <f t="shared" si="367"/>
        <v>26168.400243018139</v>
      </c>
      <c r="E360" s="60">
        <f t="shared" si="367"/>
        <v>3651.8039939227583</v>
      </c>
      <c r="F360" s="60">
        <f t="shared" si="367"/>
        <v>1809.8969087119656</v>
      </c>
      <c r="G360" s="60">
        <f t="shared" si="367"/>
        <v>1490.2054165029972</v>
      </c>
      <c r="H360" s="60">
        <f t="shared" si="367"/>
        <v>6.183851410010333</v>
      </c>
      <c r="I360" s="60">
        <f t="shared" si="367"/>
        <v>201.83410747739509</v>
      </c>
      <c r="J360" s="60">
        <f t="shared" si="367"/>
        <v>127.53774468864422</v>
      </c>
      <c r="K360" s="60">
        <f t="shared" si="367"/>
        <v>250.20397719831226</v>
      </c>
      <c r="L360" s="60">
        <f t="shared" si="367"/>
        <v>195.54500874811549</v>
      </c>
      <c r="M360" s="60">
        <f t="shared" si="367"/>
        <v>548.92181342869458</v>
      </c>
      <c r="N360" s="60">
        <f t="shared" si="367"/>
        <v>171.74469558289101</v>
      </c>
      <c r="O360" s="60">
        <f t="shared" si="367"/>
        <v>1066.5732521286889</v>
      </c>
      <c r="P360" s="60">
        <f t="shared" si="367"/>
        <v>418.01653161923764</v>
      </c>
      <c r="Q360" s="60">
        <f t="shared" si="367"/>
        <v>59.082326216949255</v>
      </c>
      <c r="R360" s="60">
        <f t="shared" si="367"/>
        <v>600.77644215943565</v>
      </c>
      <c r="S360" s="60">
        <f t="shared" si="367"/>
        <v>1462.3600689237112</v>
      </c>
      <c r="T360" s="60">
        <f t="shared" si="367"/>
        <v>44.198142337264507</v>
      </c>
      <c r="U360" s="60">
        <f t="shared" si="367"/>
        <v>1.1470750371310059</v>
      </c>
      <c r="V360" s="60">
        <f t="shared" si="367"/>
        <v>158.26555626680698</v>
      </c>
      <c r="W360" s="60">
        <f t="shared" si="367"/>
        <v>70.583226460265678</v>
      </c>
      <c r="X360" s="60">
        <f t="shared" si="367"/>
        <v>4.0572640467673324E-2</v>
      </c>
      <c r="Y360" s="60">
        <f t="shared" si="367"/>
        <v>20.379286227093125</v>
      </c>
      <c r="Z360" s="60">
        <f t="shared" si="367"/>
        <v>12.60326723976085</v>
      </c>
      <c r="AA360" s="60">
        <f t="shared" si="367"/>
        <v>5.8391584793283924</v>
      </c>
      <c r="AB360" s="60">
        <f t="shared" si="367"/>
        <v>4.0162264234167431</v>
      </c>
      <c r="AC360" s="60">
        <f t="shared" si="367"/>
        <v>6.510977090280614E-3</v>
      </c>
      <c r="AD360" s="60">
        <f t="shared" si="367"/>
        <v>1.9006782685338481</v>
      </c>
      <c r="AE360" s="60">
        <f t="shared" si="367"/>
        <v>0.35771066593456019</v>
      </c>
      <c r="AF360" s="60">
        <f t="shared" si="367"/>
        <v>0.51966834509552329</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7885.0238799750496</v>
      </c>
      <c r="C364" s="26">
        <f>INDEX(Comparison!$AM$3:$AS$33,G$14,$H$122)</f>
        <v>7533.2051738552464</v>
      </c>
      <c r="D364" s="26">
        <f>INDEX(Comparison!$AM$3:$AS$33,H$14,$H$122)</f>
        <v>7191.2405725815324</v>
      </c>
      <c r="E364" s="26">
        <f>INDEX(Comparison!$AM$3:$AS$33,I$14,$H$122)</f>
        <v>6812.4631092957497</v>
      </c>
      <c r="F364" s="26">
        <f>INDEX(Comparison!$AM$3:$AS$33,J$14,$H$122)</f>
        <v>6451.9725248759578</v>
      </c>
      <c r="G364" s="26">
        <f>INDEX(Comparison!$AM$3:$AS$33,K$14,$H$122)</f>
        <v>6166.1047060884439</v>
      </c>
      <c r="H364" s="26">
        <f>INDEX(Comparison!$AM$3:$AS$33,L$14,$H$122)</f>
        <v>5881.0552739751101</v>
      </c>
      <c r="I364" s="26">
        <f>INDEX(Comparison!$AM$3:$AS$33,M$14,$H$122)</f>
        <v>5609.3504910949478</v>
      </c>
      <c r="J364" s="26">
        <f>INDEX(Comparison!$AM$3:$AS$33,N$14,$H$122)</f>
        <v>5323.5276590267758</v>
      </c>
      <c r="K364" s="26">
        <f>INDEX(Comparison!$AM$3:$AS$33,O$14,$H$122)</f>
        <v>5061.2818561056738</v>
      </c>
      <c r="L364" s="26">
        <f>INDEX(Comparison!$AM$3:$AS$33,P$14,$H$122)</f>
        <v>4733.4087396901623</v>
      </c>
      <c r="M364" s="26">
        <f>INDEX(Comparison!$AM$3:$AS$33,Q$14,$H$122)</f>
        <v>4393.7824312927287</v>
      </c>
      <c r="N364" s="26">
        <f>INDEX(Comparison!$AM$3:$AS$33,R$14,$H$122)</f>
        <v>4006.1265808261332</v>
      </c>
      <c r="O364" s="26">
        <f>INDEX(Comparison!$AM$3:$AS$33,S$14,$H$122)</f>
        <v>3576.233277328839</v>
      </c>
      <c r="P364" s="26">
        <f>INDEX(Comparison!$AM$3:$AS$33,T$14,$H$122)</f>
        <v>3059.5283871610445</v>
      </c>
      <c r="Q364" s="26">
        <f>INDEX(Comparison!$AM$3:$AS$33,U$14,$H$122)</f>
        <v>2469.5512794279489</v>
      </c>
      <c r="R364" s="26">
        <f>INDEX(Comparison!$AM$3:$AS$33,V$14,$H$122)</f>
        <v>1842.799668868907</v>
      </c>
      <c r="S364" s="26">
        <f>INDEX(Comparison!$AM$3:$AS$33,W$14,$H$122)</f>
        <v>1328.7737512423464</v>
      </c>
      <c r="T364" s="26">
        <f>INDEX(Comparison!$AM$3:$AS$33,X$14,$H$122)</f>
        <v>948.83583319405307</v>
      </c>
      <c r="U364" s="26">
        <f>INDEX(Comparison!$AM$3:$AS$33,Y$14,$H$122)</f>
        <v>739.39486681916139</v>
      </c>
      <c r="V364" s="26">
        <f>INDEX(Comparison!$AM$3:$AS$33,Z$14,$H$122)</f>
        <v>624.14790659062351</v>
      </c>
      <c r="W364" s="26">
        <f>INDEX(Comparison!$AM$3:$AS$33,AA$14,$H$122)</f>
        <v>574.84813415628378</v>
      </c>
      <c r="X364" s="26">
        <f>INDEX(Comparison!$AM$3:$AS$33,AB$14,$H$122)</f>
        <v>540.01941971549797</v>
      </c>
      <c r="Y364" s="26">
        <f>INDEX(Comparison!$AM$3:$AS$33,AC$14,$H$122)</f>
        <v>522.91431442377564</v>
      </c>
      <c r="Z364" s="26">
        <f>INDEX(Comparison!$AM$3:$AS$33,AD$14,$H$122)</f>
        <v>512.28225991416207</v>
      </c>
      <c r="AA364" s="26">
        <f>INDEX(Comparison!$AM$3:$AS$33,AE$14,$H$122)</f>
        <v>486.30628203230003</v>
      </c>
      <c r="AB364" s="26">
        <f>INDEX(Comparison!$AM$3:$AS$33,AF$14,$H$122)</f>
        <v>477.16338311456207</v>
      </c>
      <c r="AC364" s="26">
        <f>INDEX(Comparison!$AM$3:$AS$33,AG$14,$H$122)</f>
        <v>476.22593072507385</v>
      </c>
      <c r="AD364" s="26">
        <f>INDEX(Comparison!$AM$3:$AS$33,AH$14,$H$122)</f>
        <v>475.98047490013522</v>
      </c>
      <c r="AE364" s="26">
        <f>INDEX(Comparison!$AM$3:$AS$33,AI$14,$H$122)</f>
        <v>475.76724400704541</v>
      </c>
      <c r="AF364" s="26">
        <f>INDEX(Comparison!$AM$3:$AS$33,AJ$14,$H$122)</f>
        <v>475.55412653805064</v>
      </c>
      <c r="AG364" s="26"/>
      <c r="AH364" s="26"/>
    </row>
    <row r="365" spans="1:34" x14ac:dyDescent="0.25">
      <c r="A365" s="70" t="s">
        <v>22</v>
      </c>
      <c r="B365" s="27">
        <f>($C$17+SUM(B366:B396))*$B$51</f>
        <v>7788.8752734739228</v>
      </c>
      <c r="C365" s="27">
        <f t="shared" ref="C365:AF365" si="368">($C$17+SUM(C366:C396))*$B$51</f>
        <v>7654.9819628390514</v>
      </c>
      <c r="D365" s="27">
        <f t="shared" si="368"/>
        <v>7155.3202604791677</v>
      </c>
      <c r="E365" s="27">
        <f t="shared" si="368"/>
        <v>6815.3860951887373</v>
      </c>
      <c r="F365" s="27">
        <f t="shared" si="368"/>
        <v>6448.6315528474934</v>
      </c>
      <c r="G365" s="27">
        <f t="shared" si="368"/>
        <v>6164.0460704181751</v>
      </c>
      <c r="H365" s="27">
        <f t="shared" si="368"/>
        <v>5878.8842439518576</v>
      </c>
      <c r="I365" s="27">
        <f t="shared" si="368"/>
        <v>5606.8365337325376</v>
      </c>
      <c r="J365" s="27">
        <f t="shared" si="368"/>
        <v>5321.9930841957275</v>
      </c>
      <c r="K365" s="27">
        <f t="shared" si="368"/>
        <v>5057.4705409287926</v>
      </c>
      <c r="L365" s="27">
        <f t="shared" si="368"/>
        <v>4733.3024877832704</v>
      </c>
      <c r="M365" s="27">
        <f t="shared" si="368"/>
        <v>4386.9502942212912</v>
      </c>
      <c r="N365" s="27">
        <f t="shared" si="368"/>
        <v>4007.9196829068446</v>
      </c>
      <c r="O365" s="27">
        <f t="shared" si="368"/>
        <v>3567.3343188654917</v>
      </c>
      <c r="P365" s="27">
        <f t="shared" si="368"/>
        <v>3060.187569078666</v>
      </c>
      <c r="Q365" s="27">
        <f t="shared" si="368"/>
        <v>2461.1909408714669</v>
      </c>
      <c r="R365" s="27">
        <f t="shared" si="368"/>
        <v>1841.4181822910375</v>
      </c>
      <c r="S365" s="27">
        <f t="shared" si="368"/>
        <v>1324.4527538599414</v>
      </c>
      <c r="T365" s="27">
        <f t="shared" si="368"/>
        <v>947.92297672147288</v>
      </c>
      <c r="U365" s="27">
        <f t="shared" si="368"/>
        <v>738.17756731478562</v>
      </c>
      <c r="V365" s="27">
        <f t="shared" si="368"/>
        <v>623.85257566450423</v>
      </c>
      <c r="W365" s="27">
        <f t="shared" si="368"/>
        <v>574.61274415840967</v>
      </c>
      <c r="X365" s="27">
        <f t="shared" si="368"/>
        <v>539.76109150940874</v>
      </c>
      <c r="Y365" s="27">
        <f t="shared" si="368"/>
        <v>523.32822352674054</v>
      </c>
      <c r="Z365" s="27">
        <f t="shared" si="368"/>
        <v>511.01381721253114</v>
      </c>
      <c r="AA365" s="27">
        <f t="shared" si="368"/>
        <v>487.62315538869353</v>
      </c>
      <c r="AB365" s="27">
        <f t="shared" si="368"/>
        <v>476.2776505317334</v>
      </c>
      <c r="AC365" s="27">
        <f t="shared" si="368"/>
        <v>476.24108960348934</v>
      </c>
      <c r="AD365" s="27">
        <f t="shared" si="368"/>
        <v>476.01838447010078</v>
      </c>
      <c r="AE365" s="27">
        <f t="shared" si="368"/>
        <v>475.83243127054106</v>
      </c>
      <c r="AF365" s="27">
        <f t="shared" si="368"/>
        <v>475.45317471551306</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5.9433827442435756E-2</v>
      </c>
      <c r="C367" s="3">
        <f t="shared" si="370"/>
        <v>4.7015134344545836E-2</v>
      </c>
      <c r="D367" s="3">
        <f t="shared" si="370"/>
        <v>4.5110485949909681E-3</v>
      </c>
      <c r="E367" s="3">
        <f t="shared" si="370"/>
        <v>2.9831545009576346E-13</v>
      </c>
      <c r="F367" s="3">
        <f t="shared" si="370"/>
        <v>4.7715354714076267E-115</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3.0628720575844776E-2</v>
      </c>
      <c r="C368" s="3">
        <f t="shared" si="371"/>
        <v>2.9987896839375121E-2</v>
      </c>
      <c r="D368" s="3">
        <f t="shared" si="371"/>
        <v>2.4272668894868586E-2</v>
      </c>
      <c r="E368" s="3">
        <f t="shared" si="371"/>
        <v>2.929764868035522E-3</v>
      </c>
      <c r="F368" s="3">
        <f t="shared" si="371"/>
        <v>1.9230258357944224E-12</v>
      </c>
      <c r="G368" s="3">
        <f t="shared" si="371"/>
        <v>2.8543592994142298E-104</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4.1189892364146947E-2</v>
      </c>
      <c r="C369" s="3">
        <f t="shared" si="372"/>
        <v>4.1111402026569779E-2</v>
      </c>
      <c r="D369" s="3">
        <f t="shared" si="372"/>
        <v>4.0334678099901954E-2</v>
      </c>
      <c r="E369" s="3">
        <f t="shared" si="372"/>
        <v>3.3330487831792176E-2</v>
      </c>
      <c r="F369" s="3">
        <f t="shared" si="372"/>
        <v>4.9484868253672964E-3</v>
      </c>
      <c r="G369" s="3">
        <f t="shared" si="372"/>
        <v>2.5750158145729739E-11</v>
      </c>
      <c r="H369" s="3">
        <f t="shared" si="372"/>
        <v>3.7484759027034478E-94</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2.6960114635520619E-2</v>
      </c>
      <c r="C370" s="3">
        <f t="shared" si="373"/>
        <v>2.6955476209634587E-2</v>
      </c>
      <c r="D370" s="3">
        <f t="shared" si="373"/>
        <v>2.690913581980707E-2</v>
      </c>
      <c r="E370" s="3">
        <f t="shared" si="373"/>
        <v>2.6450091024489586E-2</v>
      </c>
      <c r="F370" s="3">
        <f t="shared" si="373"/>
        <v>2.2269033729050411E-2</v>
      </c>
      <c r="G370" s="3">
        <f t="shared" si="373"/>
        <v>3.9851382684027783E-3</v>
      </c>
      <c r="H370" s="3">
        <f t="shared" si="373"/>
        <v>1.3423433216109252E-10</v>
      </c>
      <c r="I370" s="3">
        <f t="shared" si="373"/>
        <v>2.5238627169180264E-85</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3.0337405645964852E-2</v>
      </c>
      <c r="C371" s="3">
        <f t="shared" si="374"/>
        <v>3.0336934768497709E-2</v>
      </c>
      <c r="D371" s="3">
        <f t="shared" si="374"/>
        <v>3.0332226395783517E-2</v>
      </c>
      <c r="E371" s="3">
        <f t="shared" si="374"/>
        <v>3.0285182841290104E-2</v>
      </c>
      <c r="F371" s="3">
        <f t="shared" si="374"/>
        <v>2.9818741585754722E-2</v>
      </c>
      <c r="G371" s="3">
        <f t="shared" si="374"/>
        <v>2.5531740699333737E-2</v>
      </c>
      <c r="H371" s="3">
        <f t="shared" si="374"/>
        <v>5.4074381704357563E-3</v>
      </c>
      <c r="I371" s="3">
        <f t="shared" si="374"/>
        <v>9.8198066108483248E-10</v>
      </c>
      <c r="J371" s="3">
        <f t="shared" si="374"/>
        <v>3.8301577492781324E-77</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2.6917134228094164E-2</v>
      </c>
      <c r="C372" s="3">
        <f t="shared" si="375"/>
        <v>2.6917096539672728E-2</v>
      </c>
      <c r="D372" s="3">
        <f t="shared" si="375"/>
        <v>2.6916719658360684E-2</v>
      </c>
      <c r="E372" s="3">
        <f t="shared" si="375"/>
        <v>2.6912951135458971E-2</v>
      </c>
      <c r="F372" s="3">
        <f t="shared" si="375"/>
        <v>2.6875294913285674E-2</v>
      </c>
      <c r="G372" s="3">
        <f t="shared" si="375"/>
        <v>2.6501618404724762E-2</v>
      </c>
      <c r="H372" s="3">
        <f t="shared" si="375"/>
        <v>2.3039018474549658E-2</v>
      </c>
      <c r="I372" s="3">
        <f t="shared" si="375"/>
        <v>5.6804107419601759E-3</v>
      </c>
      <c r="J372" s="3">
        <f t="shared" si="375"/>
        <v>4.715604899130316E-9</v>
      </c>
      <c r="K372" s="3">
        <f t="shared" si="375"/>
        <v>7.3301711029799294E-70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3.0984948112538557E-2</v>
      </c>
      <c r="C373" s="3">
        <f t="shared" si="376"/>
        <v>3.0984944198935552E-2</v>
      </c>
      <c r="D373" s="3">
        <f t="shared" si="376"/>
        <v>3.0984905062932753E-2</v>
      </c>
      <c r="E373" s="3">
        <f t="shared" si="376"/>
        <v>3.0984513705623443E-2</v>
      </c>
      <c r="F373" s="3">
        <f t="shared" si="376"/>
        <v>3.0980600404388874E-2</v>
      </c>
      <c r="G373" s="3">
        <f t="shared" si="376"/>
        <v>3.0941494565195484E-2</v>
      </c>
      <c r="H373" s="3">
        <f t="shared" si="376"/>
        <v>3.0553140832333493E-2</v>
      </c>
      <c r="I373" s="3">
        <f t="shared" si="376"/>
        <v>2.6927845405343386E-2</v>
      </c>
      <c r="J373" s="3">
        <f t="shared" si="376"/>
        <v>7.6148094367941401E-3</v>
      </c>
      <c r="K373" s="3">
        <f t="shared" si="376"/>
        <v>2.4901951366349076E-8</v>
      </c>
      <c r="L373" s="3">
        <f t="shared" si="376"/>
        <v>3.4831870116612727E-63</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2.3928257519342973E-2</v>
      </c>
      <c r="C374" s="3">
        <f t="shared" si="377"/>
        <v>2.392825724670667E-2</v>
      </c>
      <c r="D374" s="3">
        <f t="shared" si="377"/>
        <v>2.3928254520343809E-2</v>
      </c>
      <c r="E374" s="3">
        <f t="shared" si="377"/>
        <v>2.392822725673225E-2</v>
      </c>
      <c r="F374" s="3">
        <f t="shared" si="377"/>
        <v>2.3927954622325196E-2</v>
      </c>
      <c r="G374" s="3">
        <f t="shared" si="377"/>
        <v>2.3925228449098234E-2</v>
      </c>
      <c r="H374" s="3">
        <f t="shared" si="377"/>
        <v>2.3897983793985857E-2</v>
      </c>
      <c r="I374" s="3">
        <f t="shared" si="377"/>
        <v>2.3627237781182045E-2</v>
      </c>
      <c r="J374" s="3">
        <f t="shared" si="377"/>
        <v>2.1082875741646648E-2</v>
      </c>
      <c r="K374" s="3">
        <f t="shared" si="377"/>
        <v>6.7468152879072941E-3</v>
      </c>
      <c r="L374" s="3">
        <f t="shared" si="377"/>
        <v>7.5995614775065498E-8</v>
      </c>
      <c r="M374" s="3">
        <f t="shared" si="377"/>
        <v>2.4985362535296587E-57</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3.7994873488831002E-2</v>
      </c>
      <c r="C375" s="3">
        <f t="shared" si="378"/>
        <v>3.7994873449778921E-2</v>
      </c>
      <c r="D375" s="3">
        <f t="shared" si="378"/>
        <v>3.799487305925809E-2</v>
      </c>
      <c r="E375" s="3">
        <f t="shared" si="378"/>
        <v>3.7994869154050002E-2</v>
      </c>
      <c r="F375" s="3">
        <f t="shared" si="378"/>
        <v>3.7994830101991228E-2</v>
      </c>
      <c r="G375" s="3">
        <f t="shared" si="378"/>
        <v>3.7994439583611102E-2</v>
      </c>
      <c r="H375" s="3">
        <f t="shared" si="378"/>
        <v>3.799053462056344E-2</v>
      </c>
      <c r="I375" s="3">
        <f t="shared" si="378"/>
        <v>3.7951507057051713E-2</v>
      </c>
      <c r="J375" s="3">
        <f t="shared" si="378"/>
        <v>3.7563429749481618E-2</v>
      </c>
      <c r="K375" s="3">
        <f t="shared" si="378"/>
        <v>3.3894354194877761E-2</v>
      </c>
      <c r="L375" s="3">
        <f t="shared" si="378"/>
        <v>1.2126866861946712E-2</v>
      </c>
      <c r="M375" s="3">
        <f t="shared" si="378"/>
        <v>4.1683201740452199E-7</v>
      </c>
      <c r="N375" s="3">
        <f t="shared" si="378"/>
        <v>9.5958992032937405E-52</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3.3319642680392191E-2</v>
      </c>
      <c r="C376" s="3">
        <f t="shared" si="379"/>
        <v>3.3319642677302849E-2</v>
      </c>
      <c r="D376" s="3">
        <f t="shared" si="379"/>
        <v>3.3319642646409416E-2</v>
      </c>
      <c r="E376" s="3">
        <f t="shared" si="379"/>
        <v>3.3319642337475121E-2</v>
      </c>
      <c r="F376" s="3">
        <f t="shared" si="379"/>
        <v>3.3319639248132284E-2</v>
      </c>
      <c r="G376" s="3">
        <f t="shared" si="379"/>
        <v>3.3319608354719706E-2</v>
      </c>
      <c r="H376" s="3">
        <f t="shared" si="379"/>
        <v>3.3319299422169289E-2</v>
      </c>
      <c r="I376" s="3">
        <f t="shared" si="379"/>
        <v>3.3316210254200535E-2</v>
      </c>
      <c r="J376" s="3">
        <f t="shared" si="379"/>
        <v>3.3285334322646368E-2</v>
      </c>
      <c r="K376" s="3">
        <f t="shared" si="379"/>
        <v>3.2978144431292274E-2</v>
      </c>
      <c r="L376" s="3">
        <f t="shared" si="379"/>
        <v>3.0057934836515129E-2</v>
      </c>
      <c r="M376" s="3">
        <f t="shared" si="379"/>
        <v>1.1892916436972583E-2</v>
      </c>
      <c r="N376" s="3">
        <f t="shared" si="379"/>
        <v>1.1183575026853604E-6</v>
      </c>
      <c r="O376" s="3">
        <f t="shared" si="379"/>
        <v>6.0464927679230893E-47</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4.1691387602293371E-2</v>
      </c>
      <c r="C377" s="3">
        <f t="shared" si="380"/>
        <v>4.1691387601944664E-2</v>
      </c>
      <c r="D377" s="3">
        <f t="shared" si="380"/>
        <v>4.1691387598457613E-2</v>
      </c>
      <c r="E377" s="3">
        <f t="shared" si="380"/>
        <v>4.1691387563587069E-2</v>
      </c>
      <c r="F377" s="3">
        <f t="shared" si="380"/>
        <v>4.1691387214881616E-2</v>
      </c>
      <c r="G377" s="3">
        <f t="shared" si="380"/>
        <v>4.169138372782729E-2</v>
      </c>
      <c r="H377" s="3">
        <f t="shared" si="380"/>
        <v>4.1691348857300053E-2</v>
      </c>
      <c r="I377" s="3">
        <f t="shared" si="380"/>
        <v>4.1691000153631731E-2</v>
      </c>
      <c r="J377" s="3">
        <f t="shared" si="380"/>
        <v>4.1687513277353892E-2</v>
      </c>
      <c r="K377" s="3">
        <f t="shared" si="380"/>
        <v>4.1652660550148678E-2</v>
      </c>
      <c r="L377" s="3">
        <f t="shared" si="380"/>
        <v>4.1305731884018607E-2</v>
      </c>
      <c r="M377" s="3">
        <f t="shared" si="380"/>
        <v>3.7991467397709096E-2</v>
      </c>
      <c r="N377" s="3">
        <f t="shared" si="380"/>
        <v>1.6460519351202477E-2</v>
      </c>
      <c r="O377" s="3">
        <f t="shared" si="380"/>
        <v>3.8372331510138837E-6</v>
      </c>
      <c r="P377" s="3">
        <f t="shared" si="380"/>
        <v>1.8187153378839691E-42</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4.668539264964789E-2</v>
      </c>
      <c r="C378" s="3">
        <f t="shared" si="381"/>
        <v>4.6685392649612668E-2</v>
      </c>
      <c r="D378" s="3">
        <f t="shared" si="381"/>
        <v>4.6685392649260429E-2</v>
      </c>
      <c r="E378" s="3">
        <f t="shared" si="381"/>
        <v>4.6685392645738018E-2</v>
      </c>
      <c r="F378" s="3">
        <f t="shared" si="381"/>
        <v>4.6685392610513902E-2</v>
      </c>
      <c r="G378" s="3">
        <f t="shared" si="381"/>
        <v>4.668539225827284E-2</v>
      </c>
      <c r="H378" s="3">
        <f t="shared" si="381"/>
        <v>4.6685388735862296E-2</v>
      </c>
      <c r="I378" s="3">
        <f t="shared" si="381"/>
        <v>4.6685353511771444E-2</v>
      </c>
      <c r="J378" s="3">
        <f t="shared" si="381"/>
        <v>4.6685001272324667E-2</v>
      </c>
      <c r="K378" s="3">
        <f t="shared" si="381"/>
        <v>4.6681479024023476E-2</v>
      </c>
      <c r="L378" s="3">
        <f t="shared" si="381"/>
        <v>4.6646271153593426E-2</v>
      </c>
      <c r="M378" s="3">
        <f t="shared" si="381"/>
        <v>4.6295649636376682E-2</v>
      </c>
      <c r="N378" s="3">
        <f t="shared" si="381"/>
        <v>4.293116601646136E-2</v>
      </c>
      <c r="O378" s="3">
        <f t="shared" si="381"/>
        <v>2.0188204673316106E-2</v>
      </c>
      <c r="P378" s="3">
        <f t="shared" si="381"/>
        <v>1.0674507542953615E-5</v>
      </c>
      <c r="Q378" s="3">
        <f t="shared" si="381"/>
        <v>1.8232630980207058E-38</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5.4975929481541751E-2</v>
      </c>
      <c r="C379" s="3">
        <f t="shared" si="382"/>
        <v>5.4975929481538011E-2</v>
      </c>
      <c r="D379" s="3">
        <f t="shared" si="382"/>
        <v>5.4975929481500589E-2</v>
      </c>
      <c r="E379" s="3">
        <f t="shared" si="382"/>
        <v>5.4975929481126409E-2</v>
      </c>
      <c r="F379" s="3">
        <f t="shared" si="382"/>
        <v>5.4975929477384632E-2</v>
      </c>
      <c r="G379" s="3">
        <f t="shared" si="382"/>
        <v>5.4975929439966841E-2</v>
      </c>
      <c r="H379" s="3">
        <f t="shared" si="382"/>
        <v>5.497592906578893E-2</v>
      </c>
      <c r="I379" s="3">
        <f t="shared" si="382"/>
        <v>5.4975925324009953E-2</v>
      </c>
      <c r="J379" s="3">
        <f t="shared" si="382"/>
        <v>5.4975887906234193E-2</v>
      </c>
      <c r="K379" s="3">
        <f t="shared" si="382"/>
        <v>5.4975513729877253E-2</v>
      </c>
      <c r="L379" s="3">
        <f t="shared" si="382"/>
        <v>5.497177210637437E-2</v>
      </c>
      <c r="M379" s="3">
        <f t="shared" si="382"/>
        <v>5.493436987446812E-2</v>
      </c>
      <c r="N379" s="3">
        <f t="shared" si="382"/>
        <v>5.4561744347674287E-2</v>
      </c>
      <c r="O379" s="3">
        <f t="shared" si="382"/>
        <v>5.097171388891978E-2</v>
      </c>
      <c r="P379" s="3">
        <f t="shared" si="382"/>
        <v>2.5807096170734067E-2</v>
      </c>
      <c r="Q379" s="3">
        <f t="shared" si="382"/>
        <v>2.8565259624086801E-5</v>
      </c>
      <c r="R379" s="3">
        <f t="shared" si="382"/>
        <v>7.8854871738274686E-35</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6.909238708762086E-2</v>
      </c>
      <c r="C380" s="3">
        <f t="shared" si="383"/>
        <v>6.909238708762043E-2</v>
      </c>
      <c r="D380" s="3">
        <f t="shared" si="383"/>
        <v>6.9092387087616197E-2</v>
      </c>
      <c r="E380" s="3">
        <f t="shared" si="383"/>
        <v>6.9092387087573759E-2</v>
      </c>
      <c r="F380" s="3">
        <f t="shared" si="383"/>
        <v>6.9092387087149557E-2</v>
      </c>
      <c r="G380" s="3">
        <f t="shared" si="383"/>
        <v>6.909238708290745E-2</v>
      </c>
      <c r="H380" s="3">
        <f t="shared" si="383"/>
        <v>6.90923870404863E-2</v>
      </c>
      <c r="I380" s="3">
        <f t="shared" si="383"/>
        <v>6.9092386616274884E-2</v>
      </c>
      <c r="J380" s="3">
        <f t="shared" si="383"/>
        <v>6.9092382374160835E-2</v>
      </c>
      <c r="K380" s="3">
        <f t="shared" si="383"/>
        <v>6.9092339953034695E-2</v>
      </c>
      <c r="L380" s="3">
        <f t="shared" si="383"/>
        <v>6.909191574320582E-2</v>
      </c>
      <c r="M380" s="3">
        <f t="shared" si="383"/>
        <v>6.9087673788164342E-2</v>
      </c>
      <c r="N380" s="3">
        <f t="shared" si="383"/>
        <v>6.9045268559219275E-2</v>
      </c>
      <c r="O380" s="3">
        <f t="shared" si="383"/>
        <v>6.8622645168644025E-2</v>
      </c>
      <c r="P380" s="3">
        <f t="shared" si="383"/>
        <v>6.4536107720528674E-2</v>
      </c>
      <c r="Q380" s="3">
        <f t="shared" si="383"/>
        <v>3.492656788594873E-2</v>
      </c>
      <c r="R380" s="3">
        <f t="shared" si="383"/>
        <v>7.528133876630769E-5</v>
      </c>
      <c r="S380" s="3">
        <f t="shared" si="383"/>
        <v>1.6293018866036528E-31</v>
      </c>
      <c r="T380" s="3">
        <f t="shared" si="383"/>
        <v>3.6740395464482778E-298</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5.8799885315508463E-2</v>
      </c>
      <c r="C381" s="3">
        <f t="shared" si="384"/>
        <v>5.8799885315508428E-2</v>
      </c>
      <c r="D381" s="3">
        <f t="shared" si="384"/>
        <v>5.8799885315508109E-2</v>
      </c>
      <c r="E381" s="3">
        <f t="shared" si="384"/>
        <v>5.8799885315504855E-2</v>
      </c>
      <c r="F381" s="3">
        <f t="shared" si="384"/>
        <v>5.8799885315472283E-2</v>
      </c>
      <c r="G381" s="3">
        <f t="shared" si="384"/>
        <v>5.879988531514662E-2</v>
      </c>
      <c r="H381" s="3">
        <f t="shared" si="384"/>
        <v>5.8799885311889941E-2</v>
      </c>
      <c r="I381" s="3">
        <f t="shared" si="384"/>
        <v>5.879988527932313E-2</v>
      </c>
      <c r="J381" s="3">
        <f t="shared" si="384"/>
        <v>5.879988495365502E-2</v>
      </c>
      <c r="K381" s="3">
        <f t="shared" si="384"/>
        <v>5.8799881696974067E-2</v>
      </c>
      <c r="L381" s="3">
        <f t="shared" si="384"/>
        <v>5.8799849130174456E-2</v>
      </c>
      <c r="M381" s="3">
        <f t="shared" si="384"/>
        <v>5.8799523463170453E-2</v>
      </c>
      <c r="N381" s="3">
        <f t="shared" si="384"/>
        <v>5.8796266892333866E-2</v>
      </c>
      <c r="O381" s="3">
        <f t="shared" si="384"/>
        <v>5.8763711102280416E-2</v>
      </c>
      <c r="P381" s="3">
        <f t="shared" si="384"/>
        <v>5.8439143003460418E-2</v>
      </c>
      <c r="Q381" s="3">
        <f t="shared" si="384"/>
        <v>5.5290443509619529E-2</v>
      </c>
      <c r="R381" s="3">
        <f t="shared" si="384"/>
        <v>3.1776965690443665E-2</v>
      </c>
      <c r="S381" s="3">
        <f t="shared" si="384"/>
        <v>1.249499076542892E-4</v>
      </c>
      <c r="T381" s="3">
        <f t="shared" si="384"/>
        <v>1.104005110420363E-28</v>
      </c>
      <c r="U381" s="3">
        <f t="shared" si="384"/>
        <v>3.2012716324531453E-269</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4.7913743582903463E-2</v>
      </c>
      <c r="C382" s="3">
        <f t="shared" si="385"/>
        <v>4.7913743582903463E-2</v>
      </c>
      <c r="D382" s="3">
        <f t="shared" si="385"/>
        <v>4.7913743582903436E-2</v>
      </c>
      <c r="E382" s="3">
        <f t="shared" si="385"/>
        <v>4.79137435829032E-2</v>
      </c>
      <c r="F382" s="3">
        <f t="shared" si="385"/>
        <v>4.7913743582900806E-2</v>
      </c>
      <c r="G382" s="3">
        <f t="shared" si="385"/>
        <v>4.7913743582876867E-2</v>
      </c>
      <c r="H382" s="3">
        <f t="shared" si="385"/>
        <v>4.7913743582637475E-2</v>
      </c>
      <c r="I382" s="3">
        <f t="shared" si="385"/>
        <v>4.7913743580243577E-2</v>
      </c>
      <c r="J382" s="3">
        <f t="shared" si="385"/>
        <v>4.7913743556304608E-2</v>
      </c>
      <c r="K382" s="3">
        <f t="shared" si="385"/>
        <v>4.7913743316914913E-2</v>
      </c>
      <c r="L382" s="3">
        <f t="shared" si="385"/>
        <v>4.7913740923018075E-2</v>
      </c>
      <c r="M382" s="3">
        <f t="shared" si="385"/>
        <v>4.7913716984056234E-2</v>
      </c>
      <c r="N382" s="3">
        <f t="shared" si="385"/>
        <v>4.7913477595095649E-2</v>
      </c>
      <c r="O382" s="3">
        <f t="shared" si="385"/>
        <v>4.7911083771271429E-2</v>
      </c>
      <c r="P382" s="3">
        <f t="shared" si="385"/>
        <v>4.7887152109975128E-2</v>
      </c>
      <c r="Q382" s="3">
        <f t="shared" si="385"/>
        <v>4.764849197740597E-2</v>
      </c>
      <c r="R382" s="3">
        <f t="shared" si="385"/>
        <v>4.5326341157937489E-2</v>
      </c>
      <c r="S382" s="3">
        <f t="shared" si="385"/>
        <v>2.7502089652112819E-2</v>
      </c>
      <c r="T382" s="3">
        <f t="shared" si="385"/>
        <v>1.8600130677900057E-4</v>
      </c>
      <c r="U382" s="3">
        <f t="shared" si="385"/>
        <v>3.7240801133953838E-26</v>
      </c>
      <c r="V382" s="3">
        <f t="shared" si="385"/>
        <v>3.8552204008039379E-243</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2.5827932303493749E-2</v>
      </c>
      <c r="C383" s="3">
        <f t="shared" si="386"/>
        <v>2.5827932303493749E-2</v>
      </c>
      <c r="D383" s="3">
        <f t="shared" si="386"/>
        <v>2.5827932303493749E-2</v>
      </c>
      <c r="E383" s="3">
        <f t="shared" si="386"/>
        <v>2.5827932303493735E-2</v>
      </c>
      <c r="F383" s="3">
        <f t="shared" si="386"/>
        <v>2.582793230349362E-2</v>
      </c>
      <c r="G383" s="3">
        <f t="shared" si="386"/>
        <v>2.5827932303492455E-2</v>
      </c>
      <c r="H383" s="3">
        <f t="shared" si="386"/>
        <v>2.5827932303480815E-2</v>
      </c>
      <c r="I383" s="3">
        <f t="shared" si="386"/>
        <v>2.5827932303364404E-2</v>
      </c>
      <c r="J383" s="3">
        <f t="shared" si="386"/>
        <v>2.5827932302200332E-2</v>
      </c>
      <c r="K383" s="3">
        <f t="shared" si="386"/>
        <v>2.5827932290559564E-2</v>
      </c>
      <c r="L383" s="3">
        <f t="shared" si="386"/>
        <v>2.5827932174151903E-2</v>
      </c>
      <c r="M383" s="3">
        <f t="shared" si="386"/>
        <v>2.58279310100753E-2</v>
      </c>
      <c r="N383" s="3">
        <f t="shared" si="386"/>
        <v>2.582791936931219E-2</v>
      </c>
      <c r="O383" s="3">
        <f t="shared" si="386"/>
        <v>2.582780296196964E-2</v>
      </c>
      <c r="P383" s="3">
        <f t="shared" si="386"/>
        <v>2.5826638917399603E-2</v>
      </c>
      <c r="Q383" s="3">
        <f t="shared" si="386"/>
        <v>2.5815001356765056E-2</v>
      </c>
      <c r="R383" s="3">
        <f t="shared" si="386"/>
        <v>2.5698913776464872E-2</v>
      </c>
      <c r="S383" s="3">
        <f t="shared" si="386"/>
        <v>2.4566365999350432E-2</v>
      </c>
      <c r="T383" s="3">
        <f t="shared" si="386"/>
        <v>1.5653174389556618E-2</v>
      </c>
      <c r="U383" s="3">
        <f t="shared" si="386"/>
        <v>1.7267023574313591E-4</v>
      </c>
      <c r="V383" s="3">
        <f t="shared" si="386"/>
        <v>4.6064680639228779E-24</v>
      </c>
      <c r="W383" s="3">
        <f t="shared" si="386"/>
        <v>8.4115085589658304E-220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1.4720074447505073E-2</v>
      </c>
      <c r="C384" s="3">
        <f t="shared" si="387"/>
        <v>1.4720074447505073E-2</v>
      </c>
      <c r="D384" s="3">
        <f t="shared" si="387"/>
        <v>1.4720074447505073E-2</v>
      </c>
      <c r="E384" s="3">
        <f t="shared" si="387"/>
        <v>1.4720074447505073E-2</v>
      </c>
      <c r="F384" s="3">
        <f t="shared" si="387"/>
        <v>1.4720074447505066E-2</v>
      </c>
      <c r="G384" s="3">
        <f t="shared" si="387"/>
        <v>1.4720074447505005E-2</v>
      </c>
      <c r="H384" s="3">
        <f t="shared" si="387"/>
        <v>1.4720074447504408E-2</v>
      </c>
      <c r="I384" s="3">
        <f t="shared" si="387"/>
        <v>1.4720074447498423E-2</v>
      </c>
      <c r="J384" s="3">
        <f t="shared" si="387"/>
        <v>1.4720074447438575E-2</v>
      </c>
      <c r="K384" s="3">
        <f t="shared" si="387"/>
        <v>1.4720074446840098E-2</v>
      </c>
      <c r="L384" s="3">
        <f t="shared" si="387"/>
        <v>1.4720074440855312E-2</v>
      </c>
      <c r="M384" s="3">
        <f t="shared" si="387"/>
        <v>1.4720074381007467E-2</v>
      </c>
      <c r="N384" s="3">
        <f t="shared" si="387"/>
        <v>1.4720073782529012E-2</v>
      </c>
      <c r="O384" s="3">
        <f t="shared" si="387"/>
        <v>1.4720067797745835E-2</v>
      </c>
      <c r="P384" s="3">
        <f t="shared" si="387"/>
        <v>1.4720007950047867E-2</v>
      </c>
      <c r="Q384" s="3">
        <f t="shared" si="387"/>
        <v>1.4719409486450853E-2</v>
      </c>
      <c r="R384" s="3">
        <f t="shared" si="387"/>
        <v>1.4713426188545544E-2</v>
      </c>
      <c r="S384" s="3">
        <f t="shared" si="387"/>
        <v>1.4653726814905378E-2</v>
      </c>
      <c r="T384" s="3">
        <f t="shared" si="387"/>
        <v>1.4069894801534555E-2</v>
      </c>
      <c r="U384" s="3">
        <f t="shared" si="387"/>
        <v>9.3695437768548297E-3</v>
      </c>
      <c r="V384" s="3">
        <f t="shared" si="387"/>
        <v>1.6069204898901262E-4</v>
      </c>
      <c r="W384" s="3">
        <f t="shared" si="387"/>
        <v>3.5379673981969526E-22</v>
      </c>
      <c r="X384" s="3">
        <f t="shared" si="387"/>
        <v>9.4699613852159326E-199</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5.9239967047518835E-3</v>
      </c>
      <c r="C385" s="3">
        <f t="shared" si="388"/>
        <v>5.9239967047518835E-3</v>
      </c>
      <c r="D385" s="3">
        <f t="shared" si="388"/>
        <v>5.9239967047518835E-3</v>
      </c>
      <c r="E385" s="3">
        <f t="shared" si="388"/>
        <v>5.9239967047518835E-3</v>
      </c>
      <c r="F385" s="3">
        <f t="shared" si="388"/>
        <v>5.9239967047518835E-3</v>
      </c>
      <c r="G385" s="3">
        <f t="shared" si="388"/>
        <v>5.9239967047518809E-3</v>
      </c>
      <c r="H385" s="3">
        <f t="shared" si="388"/>
        <v>5.9239967047518593E-3</v>
      </c>
      <c r="I385" s="3">
        <f t="shared" si="388"/>
        <v>5.9239967047516424E-3</v>
      </c>
      <c r="J385" s="3">
        <f t="shared" si="388"/>
        <v>5.9239967047494688E-3</v>
      </c>
      <c r="K385" s="3">
        <f t="shared" si="388"/>
        <v>5.9239967047277423E-3</v>
      </c>
      <c r="L385" s="3">
        <f t="shared" si="388"/>
        <v>5.9239967045104725E-3</v>
      </c>
      <c r="M385" s="3">
        <f t="shared" si="388"/>
        <v>5.9239967023377721E-3</v>
      </c>
      <c r="N385" s="3">
        <f t="shared" si="388"/>
        <v>5.9239966806107639E-3</v>
      </c>
      <c r="O385" s="3">
        <f t="shared" si="388"/>
        <v>5.9239964633406896E-3</v>
      </c>
      <c r="P385" s="3">
        <f t="shared" si="388"/>
        <v>5.9239942906403895E-3</v>
      </c>
      <c r="Q385" s="3">
        <f t="shared" si="388"/>
        <v>5.9239725636812115E-3</v>
      </c>
      <c r="R385" s="3">
        <f t="shared" si="388"/>
        <v>5.9237552984721283E-3</v>
      </c>
      <c r="S385" s="3">
        <f t="shared" si="388"/>
        <v>5.9215830845912526E-3</v>
      </c>
      <c r="T385" s="3">
        <f t="shared" si="388"/>
        <v>5.8999047073706673E-3</v>
      </c>
      <c r="U385" s="3">
        <f t="shared" si="388"/>
        <v>5.6874382866418816E-3</v>
      </c>
      <c r="V385" s="3">
        <f t="shared" si="388"/>
        <v>3.9412474064144587E-3</v>
      </c>
      <c r="W385" s="3">
        <f t="shared" si="388"/>
        <v>1.006476653180122E-4</v>
      </c>
      <c r="X385" s="3">
        <f t="shared" si="388"/>
        <v>1.1871450267834762E-20</v>
      </c>
      <c r="Y385" s="3">
        <f t="shared" si="388"/>
        <v>6.1873473931236156E-180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1.8347081790420509E-3</v>
      </c>
      <c r="C386" s="3">
        <f t="shared" si="389"/>
        <v>1.8347081790420509E-3</v>
      </c>
      <c r="D386" s="3">
        <f t="shared" si="389"/>
        <v>1.8347081790420509E-3</v>
      </c>
      <c r="E386" s="3">
        <f t="shared" si="389"/>
        <v>1.8347081790420509E-3</v>
      </c>
      <c r="F386" s="3">
        <f t="shared" si="389"/>
        <v>1.8347081790420509E-3</v>
      </c>
      <c r="G386" s="3">
        <f t="shared" si="389"/>
        <v>1.8347081790420509E-3</v>
      </c>
      <c r="H386" s="3">
        <f t="shared" si="389"/>
        <v>1.8347081790420503E-3</v>
      </c>
      <c r="I386" s="3">
        <f t="shared" si="389"/>
        <v>1.8347081790420442E-3</v>
      </c>
      <c r="J386" s="3">
        <f t="shared" si="389"/>
        <v>1.8347081790419835E-3</v>
      </c>
      <c r="K386" s="3">
        <f t="shared" si="389"/>
        <v>1.8347081790413766E-3</v>
      </c>
      <c r="L386" s="3">
        <f t="shared" si="389"/>
        <v>1.8347081790353063E-3</v>
      </c>
      <c r="M386" s="3">
        <f t="shared" si="389"/>
        <v>1.8347081789746049E-3</v>
      </c>
      <c r="N386" s="3">
        <f t="shared" si="389"/>
        <v>1.8347081783675909E-3</v>
      </c>
      <c r="O386" s="3">
        <f t="shared" si="389"/>
        <v>1.834708172297451E-3</v>
      </c>
      <c r="P386" s="3">
        <f t="shared" si="389"/>
        <v>1.8347081115960531E-3</v>
      </c>
      <c r="Q386" s="3">
        <f t="shared" si="389"/>
        <v>1.8347075045821845E-3</v>
      </c>
      <c r="R386" s="3">
        <f t="shared" si="389"/>
        <v>1.8347014344545437E-3</v>
      </c>
      <c r="S386" s="3">
        <f t="shared" si="389"/>
        <v>1.8346407342826917E-3</v>
      </c>
      <c r="T386" s="3">
        <f t="shared" si="389"/>
        <v>1.8340338430061097E-3</v>
      </c>
      <c r="U386" s="3">
        <f t="shared" si="389"/>
        <v>1.8279759609265088E-3</v>
      </c>
      <c r="V386" s="3">
        <f t="shared" si="389"/>
        <v>1.7684868242424619E-3</v>
      </c>
      <c r="W386" s="3">
        <f t="shared" si="389"/>
        <v>1.2703263660842838E-3</v>
      </c>
      <c r="X386" s="3">
        <f t="shared" si="389"/>
        <v>4.6456891586494647E-5</v>
      </c>
      <c r="Y386" s="3">
        <f t="shared" si="389"/>
        <v>1.9879181836605949E-19</v>
      </c>
      <c r="Z386" s="3">
        <f t="shared" si="389"/>
        <v>4.0914956081905811E-163</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3.8370171737972247E-3</v>
      </c>
      <c r="C387" s="3">
        <f t="shared" si="390"/>
        <v>3.8370171737972247E-3</v>
      </c>
      <c r="D387" s="3">
        <f t="shared" si="390"/>
        <v>3.8370171737972247E-3</v>
      </c>
      <c r="E387" s="3">
        <f t="shared" si="390"/>
        <v>3.8370171737972247E-3</v>
      </c>
      <c r="F387" s="3">
        <f t="shared" si="390"/>
        <v>3.8370171737972247E-3</v>
      </c>
      <c r="G387" s="3">
        <f t="shared" si="390"/>
        <v>3.8370171737972247E-3</v>
      </c>
      <c r="H387" s="3">
        <f t="shared" si="390"/>
        <v>3.8370171737972243E-3</v>
      </c>
      <c r="I387" s="3">
        <f t="shared" si="390"/>
        <v>3.8370171737972208E-3</v>
      </c>
      <c r="J387" s="3">
        <f t="shared" si="390"/>
        <v>3.8370171737971857E-3</v>
      </c>
      <c r="K387" s="3">
        <f t="shared" si="390"/>
        <v>3.8370171737968344E-3</v>
      </c>
      <c r="L387" s="3">
        <f t="shared" si="390"/>
        <v>3.8370171737933233E-3</v>
      </c>
      <c r="M387" s="3">
        <f t="shared" si="390"/>
        <v>3.837017173758213E-3</v>
      </c>
      <c r="N387" s="3">
        <f t="shared" si="390"/>
        <v>3.8370171734071071E-3</v>
      </c>
      <c r="O387" s="3">
        <f t="shared" si="390"/>
        <v>3.8370171698960463E-3</v>
      </c>
      <c r="P387" s="3">
        <f t="shared" si="390"/>
        <v>3.8370171347854422E-3</v>
      </c>
      <c r="Q387" s="3">
        <f t="shared" si="390"/>
        <v>3.8370167836794147E-3</v>
      </c>
      <c r="R387" s="3">
        <f t="shared" si="390"/>
        <v>3.8370132726209083E-3</v>
      </c>
      <c r="S387" s="3">
        <f t="shared" si="390"/>
        <v>3.8369781622125477E-3</v>
      </c>
      <c r="T387" s="3">
        <f t="shared" si="390"/>
        <v>3.8366270757986443E-3</v>
      </c>
      <c r="U387" s="3">
        <f t="shared" si="390"/>
        <v>3.8331179780317273E-3</v>
      </c>
      <c r="V387" s="3">
        <f t="shared" si="390"/>
        <v>3.7982030409975027E-3</v>
      </c>
      <c r="W387" s="3">
        <f t="shared" si="390"/>
        <v>3.4660760249435626E-3</v>
      </c>
      <c r="X387" s="3">
        <f t="shared" si="390"/>
        <v>1.3881524239495106E-3</v>
      </c>
      <c r="Y387" s="3">
        <f t="shared" si="390"/>
        <v>1.4737637517207482E-7</v>
      </c>
      <c r="Z387" s="3">
        <f t="shared" si="390"/>
        <v>2.6812358531514025E-47</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0</v>
      </c>
      <c r="C388" s="3">
        <f t="shared" si="391"/>
        <v>0</v>
      </c>
      <c r="D388" s="3">
        <f t="shared" si="391"/>
        <v>0</v>
      </c>
      <c r="E388" s="3">
        <f t="shared" si="391"/>
        <v>0</v>
      </c>
      <c r="F388" s="3">
        <f t="shared" si="391"/>
        <v>0</v>
      </c>
      <c r="G388" s="3">
        <f t="shared" si="391"/>
        <v>0</v>
      </c>
      <c r="H388" s="3">
        <f t="shared" si="391"/>
        <v>0</v>
      </c>
      <c r="I388" s="3">
        <f t="shared" si="391"/>
        <v>0</v>
      </c>
      <c r="J388" s="3">
        <f t="shared" si="391"/>
        <v>0</v>
      </c>
      <c r="K388" s="3">
        <f t="shared" si="391"/>
        <v>0</v>
      </c>
      <c r="L388" s="3">
        <f t="shared" si="391"/>
        <v>0</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1.7399495856337129E-3</v>
      </c>
      <c r="C389" s="3">
        <f t="shared" si="392"/>
        <v>1.7399495856337129E-3</v>
      </c>
      <c r="D389" s="3">
        <f t="shared" si="392"/>
        <v>1.7399495856337129E-3</v>
      </c>
      <c r="E389" s="3">
        <f t="shared" si="392"/>
        <v>1.7399495856337129E-3</v>
      </c>
      <c r="F389" s="3">
        <f t="shared" si="392"/>
        <v>1.7399495856337129E-3</v>
      </c>
      <c r="G389" s="3">
        <f t="shared" si="392"/>
        <v>1.7399495856337129E-3</v>
      </c>
      <c r="H389" s="3">
        <f t="shared" si="392"/>
        <v>1.7399495856337129E-3</v>
      </c>
      <c r="I389" s="3">
        <f t="shared" si="392"/>
        <v>1.7399495856337129E-3</v>
      </c>
      <c r="J389" s="3">
        <f t="shared" si="392"/>
        <v>1.7399495856337127E-3</v>
      </c>
      <c r="K389" s="3">
        <f t="shared" si="392"/>
        <v>1.7399495856337112E-3</v>
      </c>
      <c r="L389" s="3">
        <f t="shared" si="392"/>
        <v>1.7399495856336952E-3</v>
      </c>
      <c r="M389" s="3">
        <f t="shared" si="392"/>
        <v>1.739949585633536E-3</v>
      </c>
      <c r="N389" s="3">
        <f t="shared" si="392"/>
        <v>1.7399495856319439E-3</v>
      </c>
      <c r="O389" s="3">
        <f t="shared" si="392"/>
        <v>1.7399495856160224E-3</v>
      </c>
      <c r="P389" s="3">
        <f t="shared" si="392"/>
        <v>1.7399495854568086E-3</v>
      </c>
      <c r="Q389" s="3">
        <f t="shared" si="392"/>
        <v>1.7399495838646686E-3</v>
      </c>
      <c r="R389" s="3">
        <f t="shared" si="392"/>
        <v>1.7399495679432696E-3</v>
      </c>
      <c r="S389" s="3">
        <f t="shared" si="392"/>
        <v>1.7399494087292865E-3</v>
      </c>
      <c r="T389" s="3">
        <f t="shared" si="392"/>
        <v>1.7399478165902587E-3</v>
      </c>
      <c r="U389" s="3">
        <f t="shared" si="392"/>
        <v>1.7399318952801075E-3</v>
      </c>
      <c r="V389" s="3">
        <f t="shared" si="392"/>
        <v>1.7397726901911745E-3</v>
      </c>
      <c r="W389" s="3">
        <f t="shared" si="392"/>
        <v>1.7381814402882055E-3</v>
      </c>
      <c r="X389" s="3">
        <f t="shared" si="392"/>
        <v>1.722348769368725E-3</v>
      </c>
      <c r="Y389" s="3">
        <f t="shared" si="392"/>
        <v>1.5717410869462553E-3</v>
      </c>
      <c r="Z389" s="3">
        <f t="shared" si="392"/>
        <v>6.2947730631529033E-4</v>
      </c>
      <c r="AA389" s="3">
        <f t="shared" si="392"/>
        <v>6.6829897104443259E-8</v>
      </c>
      <c r="AB389" s="3">
        <f t="shared" si="392"/>
        <v>1.2158442353439362E-47</v>
      </c>
      <c r="AC389" s="3">
        <f t="shared" si="392"/>
        <v>0</v>
      </c>
      <c r="AD389" s="3">
        <f t="shared" si="392"/>
        <v>0</v>
      </c>
      <c r="AE389" s="3">
        <f t="shared" si="392"/>
        <v>0</v>
      </c>
      <c r="AF389" s="3">
        <f t="shared" si="392"/>
        <v>0</v>
      </c>
      <c r="AG389" s="3"/>
      <c r="AH389" s="3"/>
    </row>
    <row r="390" spans="1:34" x14ac:dyDescent="0.25">
      <c r="B390" s="3">
        <f t="shared" ref="B390:AF390" si="393">$C42*EXP(-B$363/$A42/EXP(-$H$126))</f>
        <v>3.0775072994127634E-3</v>
      </c>
      <c r="C390" s="3">
        <f t="shared" si="393"/>
        <v>3.0775072994127634E-3</v>
      </c>
      <c r="D390" s="3">
        <f t="shared" si="393"/>
        <v>3.0775072994127634E-3</v>
      </c>
      <c r="E390" s="3">
        <f t="shared" si="393"/>
        <v>3.0775072994127634E-3</v>
      </c>
      <c r="F390" s="3">
        <f t="shared" si="393"/>
        <v>3.0775072994127634E-3</v>
      </c>
      <c r="G390" s="3">
        <f t="shared" si="393"/>
        <v>3.0775072994127634E-3</v>
      </c>
      <c r="H390" s="3">
        <f t="shared" si="393"/>
        <v>3.0775072994127634E-3</v>
      </c>
      <c r="I390" s="3">
        <f t="shared" si="393"/>
        <v>3.0775072994127634E-3</v>
      </c>
      <c r="J390" s="3">
        <f t="shared" si="393"/>
        <v>3.0775072994127634E-3</v>
      </c>
      <c r="K390" s="3">
        <f t="shared" si="393"/>
        <v>3.077507299412763E-3</v>
      </c>
      <c r="L390" s="3">
        <f t="shared" si="393"/>
        <v>3.0775072994127604E-3</v>
      </c>
      <c r="M390" s="3">
        <f t="shared" si="393"/>
        <v>3.0775072994127322E-3</v>
      </c>
      <c r="N390" s="3">
        <f t="shared" si="393"/>
        <v>3.0775072994124503E-3</v>
      </c>
      <c r="O390" s="3">
        <f t="shared" si="393"/>
        <v>3.0775072994096344E-3</v>
      </c>
      <c r="P390" s="3">
        <f t="shared" si="393"/>
        <v>3.0775072993814738E-3</v>
      </c>
      <c r="Q390" s="3">
        <f t="shared" si="393"/>
        <v>3.0775072990998666E-3</v>
      </c>
      <c r="R390" s="3">
        <f t="shared" si="393"/>
        <v>3.0775072962837954E-3</v>
      </c>
      <c r="S390" s="3">
        <f t="shared" si="393"/>
        <v>3.0775072681230816E-3</v>
      </c>
      <c r="T390" s="3">
        <f t="shared" si="393"/>
        <v>3.0775069865159599E-3</v>
      </c>
      <c r="U390" s="3">
        <f t="shared" si="393"/>
        <v>3.0775041704461607E-3</v>
      </c>
      <c r="V390" s="3">
        <f t="shared" si="393"/>
        <v>3.0774760098898949E-3</v>
      </c>
      <c r="W390" s="3">
        <f t="shared" si="393"/>
        <v>3.0771944184993507E-3</v>
      </c>
      <c r="X390" s="3">
        <f t="shared" si="393"/>
        <v>3.0743799213254035E-3</v>
      </c>
      <c r="Y390" s="3">
        <f t="shared" si="393"/>
        <v>3.0463761442469112E-3</v>
      </c>
      <c r="Z390" s="3">
        <f t="shared" si="393"/>
        <v>2.7799912754956834E-3</v>
      </c>
      <c r="AA390" s="3">
        <f t="shared" si="393"/>
        <v>1.1133776639249166E-3</v>
      </c>
      <c r="AB390" s="3">
        <f t="shared" si="393"/>
        <v>1.1820428468507635E-7</v>
      </c>
      <c r="AC390" s="3">
        <f t="shared" si="393"/>
        <v>2.150504554910475E-47</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0</v>
      </c>
      <c r="C392" s="3">
        <f t="shared" si="395"/>
        <v>0</v>
      </c>
      <c r="D392" s="3">
        <f t="shared" si="395"/>
        <v>0</v>
      </c>
      <c r="E392" s="3">
        <f t="shared" si="395"/>
        <v>0</v>
      </c>
      <c r="F392" s="3">
        <f t="shared" si="395"/>
        <v>0</v>
      </c>
      <c r="G392" s="3">
        <f t="shared" si="395"/>
        <v>0</v>
      </c>
      <c r="H392" s="3">
        <f t="shared" si="395"/>
        <v>0</v>
      </c>
      <c r="I392" s="3">
        <f t="shared" si="395"/>
        <v>0</v>
      </c>
      <c r="J392" s="3">
        <f t="shared" si="395"/>
        <v>0</v>
      </c>
      <c r="K392" s="3">
        <f t="shared" si="395"/>
        <v>0</v>
      </c>
      <c r="L392" s="3">
        <f t="shared" si="395"/>
        <v>0</v>
      </c>
      <c r="M392" s="3">
        <f t="shared" si="395"/>
        <v>0</v>
      </c>
      <c r="N392" s="3">
        <f t="shared" si="395"/>
        <v>0</v>
      </c>
      <c r="O392" s="3">
        <f t="shared" si="395"/>
        <v>0</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3.9641523668516518E-5</v>
      </c>
      <c r="C393" s="3">
        <f t="shared" si="396"/>
        <v>3.9641523668516518E-5</v>
      </c>
      <c r="D393" s="3">
        <f t="shared" si="396"/>
        <v>3.9641523668516518E-5</v>
      </c>
      <c r="E393" s="3">
        <f t="shared" si="396"/>
        <v>3.9641523668516518E-5</v>
      </c>
      <c r="F393" s="3">
        <f t="shared" si="396"/>
        <v>3.9641523668516518E-5</v>
      </c>
      <c r="G393" s="3">
        <f t="shared" si="396"/>
        <v>3.9641523668516518E-5</v>
      </c>
      <c r="H393" s="3">
        <f t="shared" si="396"/>
        <v>3.9641523668516518E-5</v>
      </c>
      <c r="I393" s="3">
        <f t="shared" si="396"/>
        <v>3.9641523668516518E-5</v>
      </c>
      <c r="J393" s="3">
        <f t="shared" si="396"/>
        <v>3.9641523668516518E-5</v>
      </c>
      <c r="K393" s="3">
        <f t="shared" si="396"/>
        <v>3.9641523668516518E-5</v>
      </c>
      <c r="L393" s="3">
        <f t="shared" si="396"/>
        <v>3.9641523668516518E-5</v>
      </c>
      <c r="M393" s="3">
        <f t="shared" si="396"/>
        <v>3.9641523668516518E-5</v>
      </c>
      <c r="N393" s="3">
        <f t="shared" si="396"/>
        <v>3.9641523668516511E-5</v>
      </c>
      <c r="O393" s="3">
        <f t="shared" si="396"/>
        <v>3.9641523668516477E-5</v>
      </c>
      <c r="P393" s="3">
        <f t="shared" si="396"/>
        <v>3.9641523668516111E-5</v>
      </c>
      <c r="Q393" s="3">
        <f t="shared" si="396"/>
        <v>3.9641523668512486E-5</v>
      </c>
      <c r="R393" s="3">
        <f t="shared" si="396"/>
        <v>3.9641523668476213E-5</v>
      </c>
      <c r="S393" s="3">
        <f t="shared" si="396"/>
        <v>3.9641523668113472E-5</v>
      </c>
      <c r="T393" s="3">
        <f t="shared" si="396"/>
        <v>3.9641523664486078E-5</v>
      </c>
      <c r="U393" s="3">
        <f t="shared" si="396"/>
        <v>3.9641523628212122E-5</v>
      </c>
      <c r="V393" s="3">
        <f t="shared" si="396"/>
        <v>3.964152326547258E-5</v>
      </c>
      <c r="W393" s="3">
        <f t="shared" si="396"/>
        <v>3.9641519638077327E-5</v>
      </c>
      <c r="X393" s="3">
        <f t="shared" si="396"/>
        <v>3.9641483364143025E-5</v>
      </c>
      <c r="Y393" s="3">
        <f t="shared" si="396"/>
        <v>3.9641120626625573E-5</v>
      </c>
      <c r="Z393" s="3">
        <f t="shared" si="396"/>
        <v>3.963749343400275E-5</v>
      </c>
      <c r="AA393" s="3">
        <f t="shared" si="396"/>
        <v>3.9601239756762962E-5</v>
      </c>
      <c r="AB393" s="3">
        <f t="shared" si="396"/>
        <v>3.92405217197735E-5</v>
      </c>
      <c r="AC393" s="3">
        <f t="shared" si="396"/>
        <v>3.5809205055942524E-5</v>
      </c>
      <c r="AD393" s="3">
        <f t="shared" si="396"/>
        <v>1.434147273181092E-5</v>
      </c>
      <c r="AE393" s="3">
        <f t="shared" si="396"/>
        <v>1.5225952347725194E-9</v>
      </c>
      <c r="AF393" s="3">
        <f t="shared" si="396"/>
        <v>2.7700755487729656E-49</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4.3007652150806221E-4</v>
      </c>
      <c r="C396" s="3">
        <f t="shared" si="399"/>
        <v>4.3007652150806221E-4</v>
      </c>
      <c r="D396" s="3">
        <f t="shared" si="399"/>
        <v>4.3007652150806221E-4</v>
      </c>
      <c r="E396" s="3">
        <f t="shared" si="399"/>
        <v>4.3007652150806221E-4</v>
      </c>
      <c r="F396" s="3">
        <f t="shared" si="399"/>
        <v>4.3007652150806221E-4</v>
      </c>
      <c r="G396" s="3">
        <f t="shared" si="399"/>
        <v>4.3007652150806221E-4</v>
      </c>
      <c r="H396" s="3">
        <f t="shared" si="399"/>
        <v>4.3007652150806221E-4</v>
      </c>
      <c r="I396" s="3">
        <f t="shared" si="399"/>
        <v>4.3007652150806221E-4</v>
      </c>
      <c r="J396" s="3">
        <f t="shared" si="399"/>
        <v>4.3007652150806221E-4</v>
      </c>
      <c r="K396" s="3">
        <f t="shared" si="399"/>
        <v>4.3007652150806221E-4</v>
      </c>
      <c r="L396" s="3">
        <f t="shared" si="399"/>
        <v>4.3007652150806221E-4</v>
      </c>
      <c r="M396" s="3">
        <f t="shared" si="399"/>
        <v>4.3007652150806221E-4</v>
      </c>
      <c r="N396" s="3">
        <f t="shared" si="399"/>
        <v>4.3007652150806221E-4</v>
      </c>
      <c r="O396" s="3">
        <f t="shared" si="399"/>
        <v>4.3007652150806221E-4</v>
      </c>
      <c r="P396" s="3">
        <f t="shared" si="399"/>
        <v>4.3007652150806221E-4</v>
      </c>
      <c r="Q396" s="3">
        <f t="shared" si="399"/>
        <v>4.3007652150806215E-4</v>
      </c>
      <c r="R396" s="3">
        <f t="shared" si="399"/>
        <v>4.3007652150806177E-4</v>
      </c>
      <c r="S396" s="3">
        <f t="shared" si="399"/>
        <v>4.3007652150805781E-4</v>
      </c>
      <c r="T396" s="3">
        <f t="shared" si="399"/>
        <v>4.3007652150801846E-4</v>
      </c>
      <c r="U396" s="3">
        <f t="shared" si="399"/>
        <v>4.3007652150762495E-4</v>
      </c>
      <c r="V396" s="3">
        <f t="shared" si="399"/>
        <v>4.3007652150368951E-4</v>
      </c>
      <c r="W396" s="3">
        <f t="shared" si="399"/>
        <v>4.3007652146433541E-4</v>
      </c>
      <c r="X396" s="3">
        <f t="shared" si="399"/>
        <v>4.3007652107079415E-4</v>
      </c>
      <c r="Y396" s="3">
        <f t="shared" si="399"/>
        <v>4.3007651713538128E-4</v>
      </c>
      <c r="Z396" s="3">
        <f t="shared" si="399"/>
        <v>4.3007647778125487E-4</v>
      </c>
      <c r="AA396" s="3">
        <f t="shared" si="399"/>
        <v>4.3007608424018877E-4</v>
      </c>
      <c r="AB396" s="3">
        <f t="shared" si="399"/>
        <v>4.3007214884933367E-4</v>
      </c>
      <c r="AC396" s="3">
        <f t="shared" si="399"/>
        <v>4.3003279692131226E-4</v>
      </c>
      <c r="AD396" s="3">
        <f t="shared" si="399"/>
        <v>4.2963947562696587E-4</v>
      </c>
      <c r="AE396" s="3">
        <f t="shared" si="399"/>
        <v>4.2572599440230617E-4</v>
      </c>
      <c r="AF396" s="3">
        <f t="shared" si="399"/>
        <v>3.8849915248489759E-4</v>
      </c>
      <c r="AG396" s="3"/>
      <c r="AH396" s="3"/>
    </row>
    <row r="397" spans="1:34" x14ac:dyDescent="0.25">
      <c r="A397" s="79">
        <f>AVERAGE(B397:AF397)</f>
        <v>1.963588377718763E-3</v>
      </c>
      <c r="B397" s="80">
        <f>IF($A$64&lt;=B363,IF($B$64&gt;=B363,ABS((B365-B364)/B364),0),0)</f>
        <v>1.2193825657942208E-2</v>
      </c>
      <c r="C397" s="80">
        <f t="shared" ref="C397:AF397" si="400">IF($A$64&lt;=C363,IF($B$64&gt;=C363,ABS((C365-C364)/C364),0),0)</f>
        <v>1.6165335494437851E-2</v>
      </c>
      <c r="D397" s="80">
        <f t="shared" si="400"/>
        <v>4.9950091002823943E-3</v>
      </c>
      <c r="E397" s="80">
        <f t="shared" si="400"/>
        <v>4.290644728775192E-4</v>
      </c>
      <c r="F397" s="80">
        <f t="shared" si="400"/>
        <v>5.1782180032278614E-4</v>
      </c>
      <c r="G397" s="80">
        <f t="shared" si="400"/>
        <v>3.3386323593177162E-4</v>
      </c>
      <c r="H397" s="80">
        <f t="shared" si="400"/>
        <v>3.6915654114999188E-4</v>
      </c>
      <c r="I397" s="80">
        <f t="shared" si="400"/>
        <v>4.481726300399861E-4</v>
      </c>
      <c r="J397" s="80">
        <f t="shared" si="400"/>
        <v>2.8826277035420671E-4</v>
      </c>
      <c r="K397" s="80">
        <f t="shared" si="400"/>
        <v>7.5303357632284455E-4</v>
      </c>
      <c r="L397" s="80">
        <f t="shared" si="400"/>
        <v>2.2447228358064758E-5</v>
      </c>
      <c r="M397" s="80">
        <f t="shared" si="400"/>
        <v>1.5549557080429593E-3</v>
      </c>
      <c r="N397" s="80">
        <f t="shared" si="400"/>
        <v>4.4758997114404937E-4</v>
      </c>
      <c r="O397" s="80">
        <f t="shared" si="400"/>
        <v>2.4883607341169059E-3</v>
      </c>
      <c r="P397" s="80">
        <f t="shared" si="400"/>
        <v>2.1545213320708564E-4</v>
      </c>
      <c r="Q397" s="80">
        <f t="shared" si="400"/>
        <v>3.3853674657926616E-3</v>
      </c>
      <c r="R397" s="80">
        <f t="shared" si="400"/>
        <v>7.4966725966336468E-4</v>
      </c>
      <c r="S397" s="80">
        <f t="shared" si="400"/>
        <v>3.2518684075186557E-3</v>
      </c>
      <c r="T397" s="80">
        <f t="shared" si="400"/>
        <v>9.6208052082861562E-4</v>
      </c>
      <c r="U397" s="80">
        <f t="shared" si="400"/>
        <v>1.6463456253253872E-3</v>
      </c>
      <c r="V397" s="80">
        <f t="shared" si="400"/>
        <v>4.7317458410220013E-4</v>
      </c>
      <c r="W397" s="80">
        <f t="shared" si="400"/>
        <v>4.0948205950010598E-4</v>
      </c>
      <c r="X397" s="80">
        <f t="shared" si="400"/>
        <v>4.7836836354020072E-4</v>
      </c>
      <c r="Y397" s="80">
        <f t="shared" si="400"/>
        <v>7.9154288101868911E-4</v>
      </c>
      <c r="Z397" s="80">
        <f t="shared" si="400"/>
        <v>2.4760621260698575E-3</v>
      </c>
      <c r="AA397" s="80">
        <f t="shared" si="400"/>
        <v>2.7079094082235917E-3</v>
      </c>
      <c r="AB397" s="80">
        <f t="shared" si="400"/>
        <v>1.8562459194736887E-3</v>
      </c>
      <c r="AC397" s="80">
        <f t="shared" si="400"/>
        <v>3.1831274690168575E-5</v>
      </c>
      <c r="AD397" s="80">
        <f t="shared" si="400"/>
        <v>7.9645220685821953E-5</v>
      </c>
      <c r="AE397" s="80">
        <f t="shared" si="400"/>
        <v>1.370150305990667E-4</v>
      </c>
      <c r="AF397" s="80">
        <f t="shared" si="400"/>
        <v>2.1228250771892715E-4</v>
      </c>
    </row>
    <row r="398" spans="1:34" x14ac:dyDescent="0.25">
      <c r="B398" s="21">
        <f>(B365-B364)^2</f>
        <v>9244.5545321085192</v>
      </c>
      <c r="C398" s="21">
        <f t="shared" ref="C398:AF398" si="401">(C365-C364)^2</f>
        <v>14829.586335206193</v>
      </c>
      <c r="D398" s="21">
        <f t="shared" si="401"/>
        <v>1290.2688215312903</v>
      </c>
      <c r="E398" s="21">
        <f t="shared" si="401"/>
        <v>8.5438465306040872</v>
      </c>
      <c r="F398" s="21">
        <f t="shared" si="401"/>
        <v>11.162094094981667</v>
      </c>
      <c r="G398" s="21">
        <f t="shared" si="401"/>
        <v>4.2379808229031273</v>
      </c>
      <c r="H398" s="21">
        <f t="shared" si="401"/>
        <v>4.7133713618640529</v>
      </c>
      <c r="I398" s="21">
        <f t="shared" si="401"/>
        <v>6.3199816200159988</v>
      </c>
      <c r="J398" s="21">
        <f t="shared" si="401"/>
        <v>2.3549199120869284</v>
      </c>
      <c r="K398" s="21">
        <f t="shared" si="401"/>
        <v>14.526123377524824</v>
      </c>
      <c r="L398" s="21">
        <f t="shared" si="401"/>
        <v>1.1289467718161708E-2</v>
      </c>
      <c r="M398" s="21">
        <f t="shared" si="401"/>
        <v>46.678096962910587</v>
      </c>
      <c r="N398" s="21">
        <f t="shared" si="401"/>
        <v>3.2152150718514738</v>
      </c>
      <c r="O398" s="21">
        <f t="shared" si="401"/>
        <v>79.191461732380517</v>
      </c>
      <c r="P398" s="21">
        <f t="shared" si="401"/>
        <v>0.43452080051913333</v>
      </c>
      <c r="Q398" s="21">
        <f t="shared" si="401"/>
        <v>69.895260778999869</v>
      </c>
      <c r="R398" s="21">
        <f t="shared" si="401"/>
        <v>1.908505164833608</v>
      </c>
      <c r="S398" s="21">
        <f t="shared" si="401"/>
        <v>18.671018378751203</v>
      </c>
      <c r="T398" s="21">
        <f t="shared" si="401"/>
        <v>0.83330693953154344</v>
      </c>
      <c r="U398" s="21">
        <f t="shared" si="401"/>
        <v>1.4818180833535044</v>
      </c>
      <c r="V398" s="21">
        <f t="shared" si="401"/>
        <v>8.7220355922469933E-2</v>
      </c>
      <c r="W398" s="21">
        <f t="shared" si="401"/>
        <v>5.5408451099172709E-2</v>
      </c>
      <c r="X398" s="21">
        <f t="shared" si="401"/>
        <v>6.6733462061280502E-2</v>
      </c>
      <c r="Y398" s="21">
        <f t="shared" si="401"/>
        <v>0.17132074551721482</v>
      </c>
      <c r="Z398" s="21">
        <f t="shared" si="401"/>
        <v>1.6089468873207762</v>
      </c>
      <c r="AA398" s="21">
        <f t="shared" si="401"/>
        <v>1.7341554367790839</v>
      </c>
      <c r="AB398" s="21">
        <f t="shared" si="401"/>
        <v>0.78452220828434005</v>
      </c>
      <c r="AC398" s="21">
        <f t="shared" si="401"/>
        <v>2.2979159481563945E-4</v>
      </c>
      <c r="AD398" s="21">
        <f t="shared" si="401"/>
        <v>1.4371354949739622E-3</v>
      </c>
      <c r="AE398" s="21">
        <f t="shared" si="401"/>
        <v>4.2493793220524708E-3</v>
      </c>
      <c r="AF398" s="21">
        <f t="shared" si="401"/>
        <v>1.0191270473659326E-2</v>
      </c>
      <c r="AG398" s="3"/>
      <c r="AH398" s="3"/>
    </row>
    <row r="399" spans="1:34" x14ac:dyDescent="0.25">
      <c r="A399" s="71">
        <f>SUM(B399:AF399)</f>
        <v>25643.112915070706</v>
      </c>
      <c r="B399" s="60">
        <f>IF($A$64&lt;=B363,IF($B$64&gt;=B363,ABS(B398),0),0)</f>
        <v>9244.5545321085192</v>
      </c>
      <c r="C399" s="60">
        <f t="shared" ref="C399" si="402">IF($A$64&lt;=C363,IF($B$64&gt;=C363,ABS(C398),0),0)</f>
        <v>14829.586335206193</v>
      </c>
      <c r="D399" s="60">
        <f t="shared" ref="D399" si="403">IF($A$64&lt;=D363,IF($B$64&gt;=D363,ABS(D398),0),0)</f>
        <v>1290.2688215312903</v>
      </c>
      <c r="E399" s="60">
        <f t="shared" ref="E399" si="404">IF($A$64&lt;=E363,IF($B$64&gt;=E363,ABS(E398),0),0)</f>
        <v>8.5438465306040872</v>
      </c>
      <c r="F399" s="60">
        <f t="shared" ref="F399" si="405">IF($A$64&lt;=F363,IF($B$64&gt;=F363,ABS(F398),0),0)</f>
        <v>11.162094094981667</v>
      </c>
      <c r="G399" s="60">
        <f t="shared" ref="G399" si="406">IF($A$64&lt;=G363,IF($B$64&gt;=G363,ABS(G398),0),0)</f>
        <v>4.2379808229031273</v>
      </c>
      <c r="H399" s="60">
        <f t="shared" ref="H399" si="407">IF($A$64&lt;=H363,IF($B$64&gt;=H363,ABS(H398),0),0)</f>
        <v>4.7133713618640529</v>
      </c>
      <c r="I399" s="60">
        <f t="shared" ref="I399" si="408">IF($A$64&lt;=I363,IF($B$64&gt;=I363,ABS(I398),0),0)</f>
        <v>6.3199816200159988</v>
      </c>
      <c r="J399" s="60">
        <f t="shared" ref="J399" si="409">IF($A$64&lt;=J363,IF($B$64&gt;=J363,ABS(J398),0),0)</f>
        <v>2.3549199120869284</v>
      </c>
      <c r="K399" s="60">
        <f t="shared" ref="K399" si="410">IF($A$64&lt;=K363,IF($B$64&gt;=K363,ABS(K398),0),0)</f>
        <v>14.526123377524824</v>
      </c>
      <c r="L399" s="60">
        <f t="shared" ref="L399" si="411">IF($A$64&lt;=L363,IF($B$64&gt;=L363,ABS(L398),0),0)</f>
        <v>1.1289467718161708E-2</v>
      </c>
      <c r="M399" s="60">
        <f t="shared" ref="M399" si="412">IF($A$64&lt;=M363,IF($B$64&gt;=M363,ABS(M398),0),0)</f>
        <v>46.678096962910587</v>
      </c>
      <c r="N399" s="60">
        <f t="shared" ref="N399" si="413">IF($A$64&lt;=N363,IF($B$64&gt;=N363,ABS(N398),0),0)</f>
        <v>3.2152150718514738</v>
      </c>
      <c r="O399" s="60">
        <f t="shared" ref="O399" si="414">IF($A$64&lt;=O363,IF($B$64&gt;=O363,ABS(O398),0),0)</f>
        <v>79.191461732380517</v>
      </c>
      <c r="P399" s="60">
        <f t="shared" ref="P399" si="415">IF($A$64&lt;=P363,IF($B$64&gt;=P363,ABS(P398),0),0)</f>
        <v>0.43452080051913333</v>
      </c>
      <c r="Q399" s="60">
        <f t="shared" ref="Q399" si="416">IF($A$64&lt;=Q363,IF($B$64&gt;=Q363,ABS(Q398),0),0)</f>
        <v>69.895260778999869</v>
      </c>
      <c r="R399" s="60">
        <f t="shared" ref="R399" si="417">IF($A$64&lt;=R363,IF($B$64&gt;=R363,ABS(R398),0),0)</f>
        <v>1.908505164833608</v>
      </c>
      <c r="S399" s="60">
        <f t="shared" ref="S399" si="418">IF($A$64&lt;=S363,IF($B$64&gt;=S363,ABS(S398),0),0)</f>
        <v>18.671018378751203</v>
      </c>
      <c r="T399" s="60">
        <f t="shared" ref="T399" si="419">IF($A$64&lt;=T363,IF($B$64&gt;=T363,ABS(T398),0),0)</f>
        <v>0.83330693953154344</v>
      </c>
      <c r="U399" s="60">
        <f t="shared" ref="U399" si="420">IF($A$64&lt;=U363,IF($B$64&gt;=U363,ABS(U398),0),0)</f>
        <v>1.4818180833535044</v>
      </c>
      <c r="V399" s="60">
        <f t="shared" ref="V399" si="421">IF($A$64&lt;=V363,IF($B$64&gt;=V363,ABS(V398),0),0)</f>
        <v>8.7220355922469933E-2</v>
      </c>
      <c r="W399" s="60">
        <f t="shared" ref="W399" si="422">IF($A$64&lt;=W363,IF($B$64&gt;=W363,ABS(W398),0),0)</f>
        <v>5.5408451099172709E-2</v>
      </c>
      <c r="X399" s="60">
        <f t="shared" ref="X399" si="423">IF($A$64&lt;=X363,IF($B$64&gt;=X363,ABS(X398),0),0)</f>
        <v>6.6733462061280502E-2</v>
      </c>
      <c r="Y399" s="60">
        <f t="shared" ref="Y399" si="424">IF($A$64&lt;=Y363,IF($B$64&gt;=Y363,ABS(Y398),0),0)</f>
        <v>0.17132074551721482</v>
      </c>
      <c r="Z399" s="60">
        <f t="shared" ref="Z399" si="425">IF($A$64&lt;=Z363,IF($B$64&gt;=Z363,ABS(Z398),0),0)</f>
        <v>1.6089468873207762</v>
      </c>
      <c r="AA399" s="60">
        <f t="shared" ref="AA399" si="426">IF($A$64&lt;=AA363,IF($B$64&gt;=AA363,ABS(AA398),0),0)</f>
        <v>1.7341554367790839</v>
      </c>
      <c r="AB399" s="60">
        <f t="shared" ref="AB399" si="427">IF($A$64&lt;=AB363,IF($B$64&gt;=AB363,ABS(AB398),0),0)</f>
        <v>0.78452220828434005</v>
      </c>
      <c r="AC399" s="60">
        <f t="shared" ref="AC399" si="428">IF($A$64&lt;=AC363,IF($B$64&gt;=AC363,ABS(AC398),0),0)</f>
        <v>2.2979159481563945E-4</v>
      </c>
      <c r="AD399" s="60">
        <f t="shared" ref="AD399" si="429">IF($A$64&lt;=AD363,IF($B$64&gt;=AD363,ABS(AD398),0),0)</f>
        <v>1.4371354949739622E-3</v>
      </c>
      <c r="AE399" s="60">
        <f t="shared" ref="AE399" si="430">IF($A$64&lt;=AE363,IF($B$64&gt;=AE363,ABS(AE398),0),0)</f>
        <v>4.2493793220524708E-3</v>
      </c>
      <c r="AF399" s="60">
        <f t="shared" ref="AF399" si="431">IF($A$64&lt;=AF363,IF($B$64&gt;=AF363,ABS(AF398),0),0)</f>
        <v>1.0191270473659326E-2</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-23.042979917580961</v>
      </c>
      <c r="C403" s="107">
        <f t="shared" ref="C403:H403" si="432">IF(C125=$B$2,0,C126)</f>
        <v>-19.705157482729604</v>
      </c>
      <c r="D403" s="107">
        <f t="shared" si="432"/>
        <v>-16.808485693561376</v>
      </c>
      <c r="E403" s="107">
        <f t="shared" si="432"/>
        <v>-14.619645084448907</v>
      </c>
      <c r="F403" s="107">
        <f t="shared" si="432"/>
        <v>-12.012283353540994</v>
      </c>
      <c r="G403" s="107">
        <f t="shared" si="432"/>
        <v>-5.7522406479236023</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9.8301687942907972E-26</v>
      </c>
      <c r="C404" s="3">
        <f t="shared" ref="C404:H419" si="433">$A404/EXP(-C$403)</f>
        <v>2.7679538203503329E-24</v>
      </c>
      <c r="D404" s="3">
        <f t="shared" si="433"/>
        <v>5.0138047117868041E-23</v>
      </c>
      <c r="E404" s="3">
        <f t="shared" si="433"/>
        <v>4.4747503681150595E-22</v>
      </c>
      <c r="F404" s="3">
        <f t="shared" si="433"/>
        <v>6.0692024504662819E-21</v>
      </c>
      <c r="G404" s="3">
        <f t="shared" si="433"/>
        <v>3.1756572889432041E-18</v>
      </c>
      <c r="H404" s="3">
        <f t="shared" si="433"/>
        <v>1.0000000000000001E-15</v>
      </c>
      <c r="I404" s="109">
        <f>Comparison!AL3</f>
        <v>1.0000000000000001E-15</v>
      </c>
      <c r="J404" s="3">
        <f>Comparison!AM3</f>
        <v>10218.668827091791</v>
      </c>
      <c r="K404" s="3">
        <f>Comparison!AN3</f>
        <v>10065.543251576082</v>
      </c>
      <c r="L404" s="3">
        <f>Comparison!AO3</f>
        <v>9730.0167223959397</v>
      </c>
      <c r="M404" s="3">
        <f>Comparison!AP3</f>
        <v>9521.3086452220268</v>
      </c>
      <c r="N404" s="3">
        <f>Comparison!AQ3</f>
        <v>9259.9030429946288</v>
      </c>
      <c r="O404" s="3">
        <f>Comparison!AR3</f>
        <v>8600.88026028485</v>
      </c>
      <c r="P404" s="3">
        <f>Comparison!AS3</f>
        <v>7885.0238799750496</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9.8301687942907963E-25</v>
      </c>
      <c r="C405" s="3">
        <f t="shared" si="433"/>
        <v>2.767953820350333E-23</v>
      </c>
      <c r="D405" s="3">
        <f t="shared" si="433"/>
        <v>5.013804711786804E-22</v>
      </c>
      <c r="E405" s="3">
        <f t="shared" si="433"/>
        <v>4.4747503681150595E-21</v>
      </c>
      <c r="F405" s="3">
        <f t="shared" si="433"/>
        <v>6.0692024504662813E-20</v>
      </c>
      <c r="G405" s="3">
        <f t="shared" si="433"/>
        <v>3.1756572889432037E-17</v>
      </c>
      <c r="H405" s="3">
        <f t="shared" si="433"/>
        <v>1E-14</v>
      </c>
      <c r="I405" s="109">
        <f>Comparison!AL4</f>
        <v>1E-14</v>
      </c>
      <c r="J405" s="3">
        <f>Comparison!AM4</f>
        <v>10130.735990154546</v>
      </c>
      <c r="K405" s="3">
        <f>Comparison!AN4</f>
        <v>9708.7484211633309</v>
      </c>
      <c r="L405" s="3">
        <f>Comparison!AO4</f>
        <v>9476.1525473419642</v>
      </c>
      <c r="M405" s="3">
        <f>Comparison!AP4</f>
        <v>9264.9569626866305</v>
      </c>
      <c r="N405" s="3">
        <f>Comparison!AQ4</f>
        <v>8975.4373156175916</v>
      </c>
      <c r="O405" s="3">
        <f>Comparison!AR4</f>
        <v>8258.5143784911779</v>
      </c>
      <c r="P405" s="3">
        <f>Comparison!AS4</f>
        <v>7533.2051738552464</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9.8301687942907978E-24</v>
      </c>
      <c r="C406" s="3">
        <f t="shared" si="433"/>
        <v>2.7679538203503331E-22</v>
      </c>
      <c r="D406" s="3">
        <f t="shared" si="433"/>
        <v>5.0138047117868038E-21</v>
      </c>
      <c r="E406" s="3">
        <f t="shared" si="433"/>
        <v>4.4747503681150596E-20</v>
      </c>
      <c r="F406" s="3">
        <f t="shared" si="433"/>
        <v>6.0692024504662813E-19</v>
      </c>
      <c r="G406" s="3">
        <f t="shared" si="433"/>
        <v>3.1756572889432041E-16</v>
      </c>
      <c r="H406" s="3">
        <f t="shared" si="433"/>
        <v>1E-13</v>
      </c>
      <c r="I406" s="109">
        <f>Comparison!AL5</f>
        <v>1E-13</v>
      </c>
      <c r="J406" s="3">
        <f>Comparison!AM5</f>
        <v>9815.5100842671618</v>
      </c>
      <c r="K406" s="3">
        <f>Comparison!AN5</f>
        <v>9504.080552546171</v>
      </c>
      <c r="L406" s="3">
        <f>Comparison!AO5</f>
        <v>9264.0506360514537</v>
      </c>
      <c r="M406" s="3">
        <f>Comparison!AP5</f>
        <v>9040.3201170121174</v>
      </c>
      <c r="N406" s="3">
        <f>Comparison!AQ5</f>
        <v>8718.1797337443004</v>
      </c>
      <c r="O406" s="3">
        <f>Comparison!AR5</f>
        <v>7962.1526037178537</v>
      </c>
      <c r="P406" s="3">
        <f>Comparison!AS5</f>
        <v>7191.2405725815324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9.8301687942907963E-23</v>
      </c>
      <c r="C407" s="3">
        <f t="shared" si="433"/>
        <v>2.7679538203503328E-21</v>
      </c>
      <c r="D407" s="3">
        <f t="shared" si="433"/>
        <v>5.0138047117868037E-20</v>
      </c>
      <c r="E407" s="3">
        <f t="shared" si="433"/>
        <v>4.4747503681150591E-19</v>
      </c>
      <c r="F407" s="3">
        <f t="shared" si="433"/>
        <v>6.0692024504662817E-18</v>
      </c>
      <c r="G407" s="3">
        <f t="shared" si="433"/>
        <v>3.1756572889432038E-15</v>
      </c>
      <c r="H407" s="3">
        <f t="shared" si="433"/>
        <v>9.9999999999999998E-13</v>
      </c>
      <c r="I407" s="109">
        <f>Comparison!AL6</f>
        <v>9.9999999999999998E-13</v>
      </c>
      <c r="J407" s="3">
        <f>Comparison!AM6</f>
        <v>9602.7895017015398</v>
      </c>
      <c r="K407" s="3">
        <f>Comparison!AN6</f>
        <v>9297.6034614201999</v>
      </c>
      <c r="L407" s="3">
        <f>Comparison!AO6</f>
        <v>9042.8661048910981</v>
      </c>
      <c r="M407" s="3">
        <f>Comparison!AP6</f>
        <v>8795.6860246078559</v>
      </c>
      <c r="N407" s="3">
        <f>Comparison!AQ6</f>
        <v>8453.8665906134283</v>
      </c>
      <c r="O407" s="3">
        <f>Comparison!AR6</f>
        <v>7694.1164691736458</v>
      </c>
      <c r="P407" s="3">
        <f>Comparison!AS6</f>
        <v>6812.4631092957497</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9.8301687942907958E-22</v>
      </c>
      <c r="C408" s="3">
        <f t="shared" si="433"/>
        <v>2.7679538203503325E-20</v>
      </c>
      <c r="D408" s="3">
        <f t="shared" si="433"/>
        <v>5.0138047117868032E-19</v>
      </c>
      <c r="E408" s="3">
        <f t="shared" si="433"/>
        <v>4.4747503681150589E-18</v>
      </c>
      <c r="F408" s="3">
        <f t="shared" si="433"/>
        <v>6.069202450466281E-17</v>
      </c>
      <c r="G408" s="3">
        <f t="shared" si="433"/>
        <v>3.1756572889432038E-14</v>
      </c>
      <c r="H408" s="3">
        <f t="shared" si="433"/>
        <v>9.9999999999999994E-12</v>
      </c>
      <c r="I408" s="109">
        <f>Comparison!AL7</f>
        <v>9.9999999999999994E-12</v>
      </c>
      <c r="J408" s="3">
        <f>Comparison!AM7</f>
        <v>9403.9958104822508</v>
      </c>
      <c r="K408" s="3">
        <f>Comparison!AN7</f>
        <v>9077.0448832845814</v>
      </c>
      <c r="L408" s="3">
        <f>Comparison!AO7</f>
        <v>8796.5318501985184</v>
      </c>
      <c r="M408" s="3">
        <f>Comparison!AP7</f>
        <v>8532.6912536798991</v>
      </c>
      <c r="N408" s="3">
        <f>Comparison!AQ7</f>
        <v>8157.4497816903277</v>
      </c>
      <c r="O408" s="3">
        <f>Comparison!AR7</f>
        <v>7392.1118529421537</v>
      </c>
      <c r="P408" s="3">
        <f>Comparison!AS7</f>
        <v>6451.9725248759578</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9.8301687942907977E-21</v>
      </c>
      <c r="C409" s="3">
        <f t="shared" si="433"/>
        <v>2.7679538203503328E-19</v>
      </c>
      <c r="D409" s="3">
        <f t="shared" si="433"/>
        <v>5.0138047117868041E-18</v>
      </c>
      <c r="E409" s="3">
        <f t="shared" si="433"/>
        <v>4.4747503681150592E-17</v>
      </c>
      <c r="F409" s="3">
        <f t="shared" si="433"/>
        <v>6.0692024504662815E-16</v>
      </c>
      <c r="G409" s="3">
        <f t="shared" si="433"/>
        <v>3.1756572889432042E-13</v>
      </c>
      <c r="H409" s="3">
        <f t="shared" si="433"/>
        <v>1E-10</v>
      </c>
      <c r="I409" s="109">
        <f>Comparison!AL8</f>
        <v>1E-10</v>
      </c>
      <c r="J409" s="3">
        <f>Comparison!AM8</f>
        <v>9185.6343104080297</v>
      </c>
      <c r="K409" s="3">
        <f>Comparison!AN8</f>
        <v>8833.9901329277236</v>
      </c>
      <c r="L409" s="3">
        <f>Comparison!AO8</f>
        <v>8532.9278199977016</v>
      </c>
      <c r="M409" s="3">
        <f>Comparison!AP8</f>
        <v>8244.2374276121209</v>
      </c>
      <c r="N409" s="3">
        <f>Comparison!AQ8</f>
        <v>7881.4803699008435</v>
      </c>
      <c r="O409" s="3">
        <f>Comparison!AR8</f>
        <v>7031.7099177768096</v>
      </c>
      <c r="P409" s="3">
        <f>Comparison!AS8</f>
        <v>6166.1047060884439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9.8301687942907971E-20</v>
      </c>
      <c r="C410" s="3">
        <f t="shared" si="433"/>
        <v>2.7679538203503329E-18</v>
      </c>
      <c r="D410" s="3">
        <f t="shared" si="433"/>
        <v>5.0138047117868043E-17</v>
      </c>
      <c r="E410" s="3">
        <f t="shared" si="433"/>
        <v>4.47475036811506E-16</v>
      </c>
      <c r="F410" s="3">
        <f t="shared" si="433"/>
        <v>6.0692024504662819E-15</v>
      </c>
      <c r="G410" s="3">
        <f t="shared" si="433"/>
        <v>3.1756572889432043E-12</v>
      </c>
      <c r="H410" s="3">
        <f t="shared" si="433"/>
        <v>1.0000000000000001E-9</v>
      </c>
      <c r="I410" s="109">
        <f>Comparison!AL9</f>
        <v>1.0000000000000001E-9</v>
      </c>
      <c r="J410" s="3">
        <f>Comparison!AM9</f>
        <v>8956.3853461764484</v>
      </c>
      <c r="K410" s="3">
        <f>Comparison!AN9</f>
        <v>8570.1980588932365</v>
      </c>
      <c r="L410" s="3">
        <f>Comparison!AO9</f>
        <v>8242.1892422663423</v>
      </c>
      <c r="M410" s="3">
        <f>Comparison!AP9</f>
        <v>7958.2786468847135</v>
      </c>
      <c r="N410" s="3">
        <f>Comparison!AQ9</f>
        <v>7606.797789198542</v>
      </c>
      <c r="O410" s="3">
        <f>Comparison!AR9</f>
        <v>6653.2341038317008</v>
      </c>
      <c r="P410" s="3">
        <f>Comparison!AS9</f>
        <v>5881.0552739751101</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9.8301687942907971E-19</v>
      </c>
      <c r="C411" s="3">
        <f t="shared" si="433"/>
        <v>2.767953820350333E-17</v>
      </c>
      <c r="D411" s="3">
        <f t="shared" si="433"/>
        <v>5.0138047117868036E-16</v>
      </c>
      <c r="E411" s="3">
        <f t="shared" si="433"/>
        <v>4.474750368115059E-15</v>
      </c>
      <c r="F411" s="3">
        <f t="shared" si="433"/>
        <v>6.0692024504662814E-14</v>
      </c>
      <c r="G411" s="3">
        <f t="shared" si="433"/>
        <v>3.1756572889432042E-11</v>
      </c>
      <c r="H411" s="3">
        <f t="shared" si="433"/>
        <v>1E-8</v>
      </c>
      <c r="I411" s="109">
        <f>Comparison!AL10</f>
        <v>1E-8</v>
      </c>
      <c r="J411" s="3">
        <f>Comparison!AM10</f>
        <v>8694.0472851843733</v>
      </c>
      <c r="K411" s="3">
        <f>Comparison!AN10</f>
        <v>8282.9223634397895</v>
      </c>
      <c r="L411" s="3">
        <f>Comparison!AO10</f>
        <v>7957.4855284258747</v>
      </c>
      <c r="M411" s="3">
        <f>Comparison!AP10</f>
        <v>7687.376383967704</v>
      </c>
      <c r="N411" s="3">
        <f>Comparison!AQ10</f>
        <v>7278.8872759198184</v>
      </c>
      <c r="O411" s="3">
        <f>Comparison!AR10</f>
        <v>6325.3637954371716</v>
      </c>
      <c r="P411" s="3">
        <f>Comparison!AS10</f>
        <v>5609.3504910949478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9.8301687942907971E-18</v>
      </c>
      <c r="C412" s="3">
        <f t="shared" si="433"/>
        <v>2.7679538203503328E-16</v>
      </c>
      <c r="D412" s="3">
        <f t="shared" si="433"/>
        <v>5.0138047117868034E-15</v>
      </c>
      <c r="E412" s="3">
        <f t="shared" si="433"/>
        <v>4.4747503681150588E-14</v>
      </c>
      <c r="F412" s="3">
        <f t="shared" si="433"/>
        <v>6.0692024504662807E-13</v>
      </c>
      <c r="G412" s="3">
        <f t="shared" si="433"/>
        <v>3.1756572889432037E-10</v>
      </c>
      <c r="H412" s="3">
        <f t="shared" si="433"/>
        <v>9.9999999999999995E-8</v>
      </c>
      <c r="I412" s="109">
        <f>Comparison!AL11</f>
        <v>9.9999999999999995E-8</v>
      </c>
      <c r="J412" s="3">
        <f>Comparison!AM11</f>
        <v>8422.2902852365987</v>
      </c>
      <c r="K412" s="3">
        <f>Comparison!AN11</f>
        <v>7993.641154385381</v>
      </c>
      <c r="L412" s="3">
        <f>Comparison!AO11</f>
        <v>7685.4052187432317</v>
      </c>
      <c r="M412" s="3">
        <f>Comparison!AP11</f>
        <v>7374.3712231841728</v>
      </c>
      <c r="N412" s="3">
        <f>Comparison!AQ11</f>
        <v>6902.9128773701668</v>
      </c>
      <c r="O412" s="3">
        <f>Comparison!AR11</f>
        <v>6045.8980186697399</v>
      </c>
      <c r="P412" s="3">
        <f>Comparison!AS11</f>
        <v>5323.5276590267758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9.8301687942907959E-17</v>
      </c>
      <c r="C413" s="3">
        <f t="shared" si="433"/>
        <v>2.7679538203503328E-15</v>
      </c>
      <c r="D413" s="3">
        <f t="shared" si="433"/>
        <v>5.0138047117868037E-14</v>
      </c>
      <c r="E413" s="3">
        <f t="shared" si="433"/>
        <v>4.4747503681150592E-13</v>
      </c>
      <c r="F413" s="3">
        <f t="shared" si="433"/>
        <v>6.0692024504662809E-12</v>
      </c>
      <c r="G413" s="3">
        <f t="shared" si="433"/>
        <v>3.1756572889432039E-9</v>
      </c>
      <c r="H413" s="3">
        <f t="shared" si="433"/>
        <v>9.9999999999999995E-7</v>
      </c>
      <c r="I413" s="109">
        <f>Comparison!AL12</f>
        <v>9.9999999999999995E-7</v>
      </c>
      <c r="J413" s="3">
        <f>Comparison!AM12</f>
        <v>8119.1133122846923</v>
      </c>
      <c r="K413" s="3">
        <f>Comparison!AN12</f>
        <v>7722.5102431706819</v>
      </c>
      <c r="L413" s="3">
        <f>Comparison!AO12</f>
        <v>7368.9543787655439</v>
      </c>
      <c r="M413" s="3">
        <f>Comparison!AP12</f>
        <v>7006.1552436770207</v>
      </c>
      <c r="N413" s="3">
        <f>Comparison!AQ12</f>
        <v>6533.8294095397778</v>
      </c>
      <c r="O413" s="3">
        <f>Comparison!AR12</f>
        <v>5765.1058423358591</v>
      </c>
      <c r="P413" s="3">
        <f>Comparison!AS12</f>
        <v>5061.2818561056738</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9.8301687942907978E-16</v>
      </c>
      <c r="C414" s="3">
        <f t="shared" si="433"/>
        <v>2.7679538203503331E-14</v>
      </c>
      <c r="D414" s="3">
        <f t="shared" si="433"/>
        <v>5.0138047117868043E-13</v>
      </c>
      <c r="E414" s="3">
        <f t="shared" si="433"/>
        <v>4.4747503681150598E-12</v>
      </c>
      <c r="F414" s="3">
        <f t="shared" si="433"/>
        <v>6.0692024504662819E-11</v>
      </c>
      <c r="G414" s="3">
        <f t="shared" si="433"/>
        <v>3.1756572889432042E-8</v>
      </c>
      <c r="H414" s="3">
        <f t="shared" si="433"/>
        <v>1.0000000000000001E-5</v>
      </c>
      <c r="I414" s="109">
        <f>Comparison!AL13</f>
        <v>1.0000000000000001E-5</v>
      </c>
      <c r="J414" s="3">
        <f>Comparison!AM13</f>
        <v>7848.6797155048253</v>
      </c>
      <c r="K414" s="3">
        <f>Comparison!AN13</f>
        <v>7411.9254661857585</v>
      </c>
      <c r="L414" s="3">
        <f>Comparison!AO13</f>
        <v>6998.3812744112274</v>
      </c>
      <c r="M414" s="3">
        <f>Comparison!AP13</f>
        <v>6628.8785990090082</v>
      </c>
      <c r="N414" s="3">
        <f>Comparison!AQ13</f>
        <v>6236.0805337275306</v>
      </c>
      <c r="O414" s="3">
        <f>Comparison!AR13</f>
        <v>5486.9816625574504</v>
      </c>
      <c r="P414" s="3">
        <f>Comparison!AS13</f>
        <v>4733.4087396901623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9.8301687942907978E-15</v>
      </c>
      <c r="C415" s="3">
        <f t="shared" si="433"/>
        <v>2.7679538203503328E-13</v>
      </c>
      <c r="D415" s="3">
        <f t="shared" si="433"/>
        <v>5.0138047117868041E-12</v>
      </c>
      <c r="E415" s="3">
        <f t="shared" si="433"/>
        <v>4.4747503681150593E-11</v>
      </c>
      <c r="F415" s="3">
        <f t="shared" si="433"/>
        <v>6.0692024504662813E-10</v>
      </c>
      <c r="G415" s="3">
        <f t="shared" si="433"/>
        <v>3.1756572889432043E-7</v>
      </c>
      <c r="H415" s="3">
        <f t="shared" si="433"/>
        <v>1E-4</v>
      </c>
      <c r="I415" s="109">
        <f>Comparison!AL14</f>
        <v>1E-4</v>
      </c>
      <c r="J415" s="3">
        <f>Comparison!AM14</f>
        <v>7561.5718378512247</v>
      </c>
      <c r="K415" s="3">
        <f>Comparison!AN14</f>
        <v>7044.5082173262499</v>
      </c>
      <c r="L415" s="3">
        <f>Comparison!AO14</f>
        <v>6621.5844226341051</v>
      </c>
      <c r="M415" s="3">
        <f>Comparison!AP14</f>
        <v>6311.3720523241727</v>
      </c>
      <c r="N415" s="3">
        <f>Comparison!AQ14</f>
        <v>5950.4123980915811</v>
      </c>
      <c r="O415" s="3">
        <f>Comparison!AR14</f>
        <v>5211.1575946368548</v>
      </c>
      <c r="P415" s="3">
        <f>Comparison!AS14</f>
        <v>4393.7824312927287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9.8301687942907972E-14</v>
      </c>
      <c r="C416" s="3">
        <f t="shared" si="433"/>
        <v>2.7679538203503329E-12</v>
      </c>
      <c r="D416" s="3">
        <f t="shared" si="433"/>
        <v>5.0138047117868039E-11</v>
      </c>
      <c r="E416" s="3">
        <f t="shared" si="433"/>
        <v>4.4747503681150595E-10</v>
      </c>
      <c r="F416" s="3">
        <f t="shared" si="433"/>
        <v>6.0692024504662813E-9</v>
      </c>
      <c r="G416" s="3">
        <f t="shared" si="433"/>
        <v>3.1756572889432042E-6</v>
      </c>
      <c r="H416" s="3">
        <f t="shared" si="433"/>
        <v>1E-3</v>
      </c>
      <c r="I416" s="109">
        <f>Comparison!AL15</f>
        <v>1E-3</v>
      </c>
      <c r="J416" s="3">
        <f>Comparison!AM15</f>
        <v>7212.0886309644511</v>
      </c>
      <c r="K416" s="3">
        <f>Comparison!AN15</f>
        <v>6664.4913259208079</v>
      </c>
      <c r="L416" s="3">
        <f>Comparison!AO15</f>
        <v>6307.1591705971805</v>
      </c>
      <c r="M416" s="3">
        <f>Comparison!AP15</f>
        <v>6028.2349504089671</v>
      </c>
      <c r="N416" s="3">
        <f>Comparison!AQ15</f>
        <v>5675.5372968728034</v>
      </c>
      <c r="O416" s="3">
        <f>Comparison!AR15</f>
        <v>4923.9623445747775</v>
      </c>
      <c r="P416" s="3">
        <f>Comparison!AS15</f>
        <v>4006.1265808261332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9.8301687942907962E-13</v>
      </c>
      <c r="C417" s="3">
        <f t="shared" si="433"/>
        <v>2.767953820350333E-11</v>
      </c>
      <c r="D417" s="3">
        <f t="shared" si="433"/>
        <v>5.0138047117868037E-10</v>
      </c>
      <c r="E417" s="3">
        <f t="shared" si="433"/>
        <v>4.4747503681150596E-9</v>
      </c>
      <c r="F417" s="3">
        <f t="shared" si="433"/>
        <v>6.0692024504662818E-8</v>
      </c>
      <c r="G417" s="3">
        <f t="shared" si="433"/>
        <v>3.1756572889432039E-5</v>
      </c>
      <c r="H417" s="3">
        <f t="shared" si="433"/>
        <v>0.01</v>
      </c>
      <c r="I417" s="109">
        <f>Comparison!AL16</f>
        <v>0.01</v>
      </c>
      <c r="J417" s="3">
        <f>Comparison!AM16</f>
        <v>6826.065675816817</v>
      </c>
      <c r="K417" s="3">
        <f>Comparison!AN16</f>
        <v>6341.2106146502829</v>
      </c>
      <c r="L417" s="3">
        <f>Comparison!AO16</f>
        <v>6022.8689849680577</v>
      </c>
      <c r="M417" s="3">
        <f>Comparison!AP16</f>
        <v>5748.7087759518809</v>
      </c>
      <c r="N417" s="3">
        <f>Comparison!AQ16</f>
        <v>5389.077424650558</v>
      </c>
      <c r="O417" s="3">
        <f>Comparison!AR16</f>
        <v>4584.0172032140918</v>
      </c>
      <c r="P417" s="3">
        <f>Comparison!AS16</f>
        <v>3576.233277328839</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9.8301687942907982E-12</v>
      </c>
      <c r="C418" s="3">
        <f t="shared" si="433"/>
        <v>2.7679538203503332E-10</v>
      </c>
      <c r="D418" s="3">
        <f t="shared" si="433"/>
        <v>5.0138047117868043E-9</v>
      </c>
      <c r="E418" s="3">
        <f t="shared" si="433"/>
        <v>4.4747503681150592E-8</v>
      </c>
      <c r="F418" s="3">
        <f t="shared" si="433"/>
        <v>6.0692024504662813E-7</v>
      </c>
      <c r="G418" s="3">
        <f t="shared" si="433"/>
        <v>3.175657288943204E-4</v>
      </c>
      <c r="H418" s="3">
        <f t="shared" si="433"/>
        <v>0.1</v>
      </c>
      <c r="I418" s="109">
        <f>Comparison!AL17</f>
        <v>0.1</v>
      </c>
      <c r="J418" s="3">
        <f>Comparison!AM17</f>
        <v>6468.6777640443843</v>
      </c>
      <c r="K418" s="3">
        <f>Comparison!AN17</f>
        <v>6057.8856031721252</v>
      </c>
      <c r="L418" s="3">
        <f>Comparison!AO17</f>
        <v>5743.6712365645317</v>
      </c>
      <c r="M418" s="3">
        <f>Comparison!AP17</f>
        <v>5465.7818754747968</v>
      </c>
      <c r="N418" s="3">
        <f>Comparison!AQ17</f>
        <v>5123.5437168709832</v>
      </c>
      <c r="O418" s="3">
        <f>Comparison!AR17</f>
        <v>4221.1859974432145</v>
      </c>
      <c r="P418" s="3">
        <f>Comparison!AS17</f>
        <v>3059.5283871610445</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9.8301687942907973E-11</v>
      </c>
      <c r="C419" s="3">
        <f t="shared" si="433"/>
        <v>2.7679538203503327E-9</v>
      </c>
      <c r="D419" s="3">
        <f t="shared" si="433"/>
        <v>5.0138047117868036E-8</v>
      </c>
      <c r="E419" s="3">
        <f t="shared" si="433"/>
        <v>4.4747503681150592E-7</v>
      </c>
      <c r="F419" s="3">
        <f t="shared" si="433"/>
        <v>6.0692024504662811E-6</v>
      </c>
      <c r="G419" s="3">
        <f t="shared" si="433"/>
        <v>3.1756572889432041E-3</v>
      </c>
      <c r="H419" s="3">
        <f t="shared" si="433"/>
        <v>1</v>
      </c>
      <c r="I419" s="109">
        <f>Comparison!AL18</f>
        <v>1</v>
      </c>
      <c r="J419" s="3">
        <f>Comparison!AM18</f>
        <v>6185.0814076350389</v>
      </c>
      <c r="K419" s="3">
        <f>Comparison!AN18</f>
        <v>5776.2920069159836</v>
      </c>
      <c r="L419" s="3">
        <f>Comparison!AO18</f>
        <v>5459.2543435964462</v>
      </c>
      <c r="M419" s="3">
        <f>Comparison!AP18</f>
        <v>5192.657072535425</v>
      </c>
      <c r="N419" s="3">
        <f>Comparison!AQ18</f>
        <v>4799.280908658001</v>
      </c>
      <c r="O419" s="3">
        <f>Comparison!AR18</f>
        <v>3789.937412973562</v>
      </c>
      <c r="P419" s="3">
        <f>Comparison!AS18</f>
        <v>2469.5512794279489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9.8301687942907967E-10</v>
      </c>
      <c r="C420" s="3">
        <f t="shared" si="434"/>
        <v>2.7679538203503327E-8</v>
      </c>
      <c r="D420" s="3">
        <f t="shared" si="434"/>
        <v>5.013804711786804E-7</v>
      </c>
      <c r="E420" s="3">
        <f t="shared" si="434"/>
        <v>4.4747503681150596E-6</v>
      </c>
      <c r="F420" s="3">
        <f t="shared" si="434"/>
        <v>6.0692024504662813E-5</v>
      </c>
      <c r="G420" s="3">
        <f t="shared" si="434"/>
        <v>3.1756572889432039E-2</v>
      </c>
      <c r="H420" s="3">
        <f t="shared" si="434"/>
        <v>10</v>
      </c>
      <c r="I420" s="109">
        <f>Comparison!AL19</f>
        <v>10</v>
      </c>
      <c r="J420" s="3">
        <f>Comparison!AM19</f>
        <v>5896.0070828362468</v>
      </c>
      <c r="K420" s="3">
        <f>Comparison!AN19</f>
        <v>5493.3830678495879</v>
      </c>
      <c r="L420" s="3">
        <f>Comparison!AO19</f>
        <v>5186.1259100095131</v>
      </c>
      <c r="M420" s="3">
        <f>Comparison!AP19</f>
        <v>4882.9062343607484</v>
      </c>
      <c r="N420" s="3">
        <f>Comparison!AQ19</f>
        <v>4430.6662258617935</v>
      </c>
      <c r="O420" s="3">
        <f>Comparison!AR19</f>
        <v>3283.8683924627298</v>
      </c>
      <c r="P420" s="3">
        <f>Comparison!AS19</f>
        <v>1842.799668868907</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9.8301687942907963E-9</v>
      </c>
      <c r="C421" s="3">
        <f t="shared" si="434"/>
        <v>2.767953820350333E-7</v>
      </c>
      <c r="D421" s="3">
        <f t="shared" si="434"/>
        <v>5.0138047117868038E-6</v>
      </c>
      <c r="E421" s="3">
        <f t="shared" si="434"/>
        <v>4.474750368115059E-5</v>
      </c>
      <c r="F421" s="3">
        <f t="shared" si="434"/>
        <v>6.0692024504662811E-4</v>
      </c>
      <c r="G421" s="3">
        <f t="shared" si="434"/>
        <v>0.31756572889432039</v>
      </c>
      <c r="H421" s="3">
        <f t="shared" si="434"/>
        <v>100</v>
      </c>
      <c r="I421" s="109">
        <f>Comparison!AL20</f>
        <v>100</v>
      </c>
      <c r="J421" s="3">
        <f>Comparison!AM20</f>
        <v>5620.2326577203476</v>
      </c>
      <c r="K421" s="3">
        <f>Comparison!AN20</f>
        <v>5215.5329419319251</v>
      </c>
      <c r="L421" s="3">
        <f>Comparison!AO20</f>
        <v>4865.5108844814831</v>
      </c>
      <c r="M421" s="3">
        <f>Comparison!AP20</f>
        <v>4501.5398610325774</v>
      </c>
      <c r="N421" s="3">
        <f>Comparison!AQ20</f>
        <v>3990.4031488339651</v>
      </c>
      <c r="O421" s="3">
        <f>Comparison!AR20</f>
        <v>2714.7098539050189</v>
      </c>
      <c r="P421" s="3">
        <f>Comparison!AS20</f>
        <v>1328.7737512423464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9.8301687942907963E-8</v>
      </c>
      <c r="C422" s="3">
        <f t="shared" si="434"/>
        <v>2.7679538203503326E-6</v>
      </c>
      <c r="D422" s="3">
        <f t="shared" si="434"/>
        <v>5.0138047117868038E-5</v>
      </c>
      <c r="E422" s="3">
        <f t="shared" si="434"/>
        <v>4.474750368115059E-4</v>
      </c>
      <c r="F422" s="3">
        <f t="shared" si="434"/>
        <v>6.0692024504662816E-3</v>
      </c>
      <c r="G422" s="3">
        <f t="shared" si="434"/>
        <v>3.1756572889432042</v>
      </c>
      <c r="H422" s="3">
        <f t="shared" si="434"/>
        <v>1000</v>
      </c>
      <c r="I422" s="109">
        <f>Comparison!AL21</f>
        <v>1000</v>
      </c>
      <c r="J422" s="3">
        <f>Comparison!AM21</f>
        <v>5330.7810569019748</v>
      </c>
      <c r="K422" s="3">
        <f>Comparison!AN21</f>
        <v>4897.7071873573095</v>
      </c>
      <c r="L422" s="3">
        <f>Comparison!AO21</f>
        <v>4471.3145751722259</v>
      </c>
      <c r="M422" s="3">
        <f>Comparison!AP21</f>
        <v>4066.6104281555185</v>
      </c>
      <c r="N422" s="3">
        <f>Comparison!AQ21</f>
        <v>3512.6173919241392</v>
      </c>
      <c r="O422" s="3">
        <f>Comparison!AR21</f>
        <v>2120.3389527808267</v>
      </c>
      <c r="P422" s="3">
        <f>Comparison!AS21</f>
        <v>948.83583319405307</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9.8301687942907966E-7</v>
      </c>
      <c r="C423" s="3">
        <f t="shared" si="434"/>
        <v>2.7679538203503327E-5</v>
      </c>
      <c r="D423" s="3">
        <f t="shared" si="434"/>
        <v>5.0138047117868044E-4</v>
      </c>
      <c r="E423" s="3">
        <f t="shared" si="434"/>
        <v>4.4747503681150588E-3</v>
      </c>
      <c r="F423" s="3">
        <f t="shared" si="434"/>
        <v>6.0692024504662816E-2</v>
      </c>
      <c r="G423" s="3">
        <f t="shared" si="434"/>
        <v>31.756572889432039</v>
      </c>
      <c r="H423" s="3">
        <f t="shared" si="434"/>
        <v>10000</v>
      </c>
      <c r="I423" s="109">
        <f>Comparison!AL22</f>
        <v>10000</v>
      </c>
      <c r="J423" s="3">
        <f>Comparison!AM22</f>
        <v>5056.458830124393</v>
      </c>
      <c r="K423" s="3">
        <f>Comparison!AN22</f>
        <v>4495.7217042422935</v>
      </c>
      <c r="L423" s="3">
        <f>Comparison!AO22</f>
        <v>4031.2545236434685</v>
      </c>
      <c r="M423" s="3">
        <f>Comparison!AP22</f>
        <v>3597.5685781370817</v>
      </c>
      <c r="N423" s="3">
        <f>Comparison!AQ22</f>
        <v>2997.1269883218743</v>
      </c>
      <c r="O423" s="3">
        <f>Comparison!AR22</f>
        <v>1549.2251736201158</v>
      </c>
      <c r="P423" s="3">
        <f>Comparison!AS22</f>
        <v>739.39486681916139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9.8301687942907962E-6</v>
      </c>
      <c r="C424" s="3">
        <f t="shared" si="434"/>
        <v>2.7679538203503326E-4</v>
      </c>
      <c r="D424" s="3">
        <f t="shared" si="434"/>
        <v>5.0138047117868042E-3</v>
      </c>
      <c r="E424" s="3">
        <f t="shared" si="434"/>
        <v>4.4747503681150595E-2</v>
      </c>
      <c r="F424" s="3">
        <f t="shared" si="434"/>
        <v>0.60692024504662812</v>
      </c>
      <c r="G424" s="3">
        <f t="shared" si="434"/>
        <v>317.56572889432039</v>
      </c>
      <c r="H424" s="3">
        <f t="shared" si="434"/>
        <v>100000</v>
      </c>
      <c r="I424" s="109">
        <f>Comparison!AL23</f>
        <v>100000</v>
      </c>
      <c r="J424" s="3">
        <f>Comparison!AM23</f>
        <v>4685.6312280238881</v>
      </c>
      <c r="K424" s="3">
        <f>Comparison!AN23</f>
        <v>4059.1954090175182</v>
      </c>
      <c r="L424" s="3">
        <f>Comparison!AO23</f>
        <v>3565.3464541885878</v>
      </c>
      <c r="M424" s="3">
        <f>Comparison!AP23</f>
        <v>3102.4717339118838</v>
      </c>
      <c r="N424" s="3">
        <f>Comparison!AQ23</f>
        <v>2450.4999019800034</v>
      </c>
      <c r="O424" s="3">
        <f>Comparison!AR23</f>
        <v>1115.0562509241029</v>
      </c>
      <c r="P424" s="3">
        <f>Comparison!AS23</f>
        <v>624.14790659062351</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9.8301687942907968E-5</v>
      </c>
      <c r="C425" s="3">
        <f t="shared" si="434"/>
        <v>2.7679538203503329E-3</v>
      </c>
      <c r="D425" s="3">
        <f t="shared" si="434"/>
        <v>5.013804711786804E-2</v>
      </c>
      <c r="E425" s="3">
        <f t="shared" si="434"/>
        <v>0.44747503681150591</v>
      </c>
      <c r="F425" s="3">
        <f t="shared" si="434"/>
        <v>6.0692024504662818</v>
      </c>
      <c r="G425" s="3">
        <f t="shared" si="434"/>
        <v>3175.6572889432041</v>
      </c>
      <c r="H425" s="3">
        <f t="shared" si="434"/>
        <v>1000000</v>
      </c>
      <c r="I425" s="109">
        <f>Comparison!AL24</f>
        <v>1000000</v>
      </c>
      <c r="J425" s="3">
        <f>Comparison!AM24</f>
        <v>4271.8299665210579</v>
      </c>
      <c r="K425" s="3">
        <f>Comparison!AN24</f>
        <v>3597.5805592338243</v>
      </c>
      <c r="L425" s="3">
        <f>Comparison!AO24</f>
        <v>3072.2800042990852</v>
      </c>
      <c r="M425" s="3">
        <f>Comparison!AP24</f>
        <v>2568.6205512482802</v>
      </c>
      <c r="N425" s="3">
        <f>Comparison!AQ24</f>
        <v>1872.1545257089074</v>
      </c>
      <c r="O425" s="3">
        <f>Comparison!AR24</f>
        <v>819.57257707159806</v>
      </c>
      <c r="P425" s="3">
        <f>Comparison!AS24</f>
        <v>574.84813415628378</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9.8301687942907966E-4</v>
      </c>
      <c r="C426" s="3">
        <f t="shared" si="434"/>
        <v>2.7679538203503329E-2</v>
      </c>
      <c r="D426" s="3">
        <f t="shared" si="434"/>
        <v>0.50138047117868034</v>
      </c>
      <c r="E426" s="3">
        <f t="shared" si="434"/>
        <v>4.4747503681150596</v>
      </c>
      <c r="F426" s="3">
        <f t="shared" si="434"/>
        <v>60.692024504662811</v>
      </c>
      <c r="G426" s="3">
        <f t="shared" si="434"/>
        <v>31756.572889432038</v>
      </c>
      <c r="H426" s="3">
        <f t="shared" si="434"/>
        <v>10000000</v>
      </c>
      <c r="I426" s="109">
        <f>Comparison!AL25</f>
        <v>10000000</v>
      </c>
      <c r="J426" s="3">
        <f>Comparison!AM25</f>
        <v>3807.4701999642007</v>
      </c>
      <c r="K426" s="3">
        <f>Comparison!AN25</f>
        <v>3113.2980023229825</v>
      </c>
      <c r="L426" s="3">
        <f>Comparison!AO25</f>
        <v>2540.7682600840731</v>
      </c>
      <c r="M426" s="3">
        <f>Comparison!AP25</f>
        <v>2000.7316961631682</v>
      </c>
      <c r="N426" s="3">
        <f>Comparison!AQ25</f>
        <v>1367.4511296212941</v>
      </c>
      <c r="O426" s="3">
        <f>Comparison!AR25</f>
        <v>672.71182943032534</v>
      </c>
      <c r="P426" s="3">
        <f>Comparison!AS25</f>
        <v>540.01941971549797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9.8301687942907966E-3</v>
      </c>
      <c r="C427" s="3">
        <f t="shared" si="434"/>
        <v>0.27679538203503329</v>
      </c>
      <c r="D427" s="3">
        <f t="shared" si="434"/>
        <v>5.0138047117868041</v>
      </c>
      <c r="E427" s="3">
        <f t="shared" si="434"/>
        <v>44.74750368115059</v>
      </c>
      <c r="F427" s="3">
        <f t="shared" si="434"/>
        <v>606.92024504662811</v>
      </c>
      <c r="G427" s="3">
        <f t="shared" si="434"/>
        <v>317565.72889432037</v>
      </c>
      <c r="H427" s="3">
        <f t="shared" si="434"/>
        <v>100000000</v>
      </c>
      <c r="I427" s="109">
        <f>Comparison!AL26</f>
        <v>100000000</v>
      </c>
      <c r="J427" s="3">
        <f>Comparison!AM26</f>
        <v>3333.4500993282409</v>
      </c>
      <c r="K427" s="3">
        <f>Comparison!AN26</f>
        <v>2587.1664421745386</v>
      </c>
      <c r="L427" s="3">
        <f>Comparison!AO26</f>
        <v>1974.0579457073152</v>
      </c>
      <c r="M427" s="3">
        <f>Comparison!AP26</f>
        <v>1467.5042196825975</v>
      </c>
      <c r="N427" s="3">
        <f>Comparison!AQ26</f>
        <v>983.81195335121254</v>
      </c>
      <c r="O427" s="3">
        <f>Comparison!AR26</f>
        <v>592.26686963031818</v>
      </c>
      <c r="P427" s="3">
        <f>Comparison!AS26</f>
        <v>522.91431442377564</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9.8301687942907973E-2</v>
      </c>
      <c r="C428" s="3">
        <f t="shared" si="434"/>
        <v>2.7679538203503329</v>
      </c>
      <c r="D428" s="3">
        <f t="shared" si="434"/>
        <v>50.138047117868041</v>
      </c>
      <c r="E428" s="3">
        <f t="shared" si="434"/>
        <v>447.4750368115059</v>
      </c>
      <c r="F428" s="3">
        <f t="shared" si="434"/>
        <v>6069.2024504662813</v>
      </c>
      <c r="G428" s="3">
        <f t="shared" si="434"/>
        <v>3175657.2889432041</v>
      </c>
      <c r="H428" s="3">
        <f t="shared" si="434"/>
        <v>1000000000</v>
      </c>
      <c r="I428" s="109">
        <f>Comparison!AL27</f>
        <v>1000000000</v>
      </c>
      <c r="J428" s="3">
        <f>Comparison!AM27</f>
        <v>2813.9339254547094</v>
      </c>
      <c r="K428" s="3">
        <f>Comparison!AN27</f>
        <v>2025.5491425769458</v>
      </c>
      <c r="L428" s="3">
        <f>Comparison!AO27</f>
        <v>1447.7693345065175</v>
      </c>
      <c r="M428" s="3">
        <f>Comparison!AP27</f>
        <v>1058.8226695409851</v>
      </c>
      <c r="N428" s="3">
        <f>Comparison!AQ27</f>
        <v>755.24433140254177</v>
      </c>
      <c r="O428" s="3">
        <f>Comparison!AR27</f>
        <v>556.12366677692739</v>
      </c>
      <c r="P428" s="3">
        <f>Comparison!AS27</f>
        <v>512.28225991416207</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0.98301687942907967</v>
      </c>
      <c r="C429" s="3">
        <f t="shared" si="434"/>
        <v>27.679538203503327</v>
      </c>
      <c r="D429" s="3">
        <f t="shared" si="434"/>
        <v>501.38047117868041</v>
      </c>
      <c r="E429" s="3">
        <f t="shared" si="434"/>
        <v>4474.7503681150592</v>
      </c>
      <c r="F429" s="3">
        <f t="shared" si="434"/>
        <v>60692.024504662812</v>
      </c>
      <c r="G429" s="3">
        <f t="shared" si="434"/>
        <v>31756572.889432039</v>
      </c>
      <c r="H429" s="3">
        <f t="shared" si="434"/>
        <v>10000000000</v>
      </c>
      <c r="I429" s="109">
        <f>Comparison!AL28</f>
        <v>10000000000</v>
      </c>
      <c r="J429" s="3">
        <f>Comparison!AM28</f>
        <v>2264.5753602217969</v>
      </c>
      <c r="K429" s="3">
        <f>Comparison!AN28</f>
        <v>1488.3947775442189</v>
      </c>
      <c r="L429" s="3">
        <f>Comparison!AO28</f>
        <v>1044.3571981147218</v>
      </c>
      <c r="M429" s="3">
        <f>Comparison!AP28</f>
        <v>791.47453302018846</v>
      </c>
      <c r="N429" s="3">
        <f>Comparison!AQ28</f>
        <v>633.28610309701617</v>
      </c>
      <c r="O429" s="3">
        <f>Comparison!AR28</f>
        <v>528.75323853804991</v>
      </c>
      <c r="P429" s="3">
        <f>Comparison!AS28</f>
        <v>486.30628203230003</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9.8301687942907972</v>
      </c>
      <c r="C430" s="3">
        <f t="shared" si="434"/>
        <v>276.7953820350333</v>
      </c>
      <c r="D430" s="3">
        <f t="shared" si="434"/>
        <v>5013.8047117868036</v>
      </c>
      <c r="E430" s="3">
        <f t="shared" si="434"/>
        <v>44747.503681150592</v>
      </c>
      <c r="F430" s="3">
        <f t="shared" si="434"/>
        <v>606920.24504662817</v>
      </c>
      <c r="G430" s="3">
        <f t="shared" si="434"/>
        <v>317565728.89432043</v>
      </c>
      <c r="H430" s="3">
        <f t="shared" si="434"/>
        <v>100000000000</v>
      </c>
      <c r="I430" s="109">
        <f>Comparison!AL29</f>
        <v>100000000000</v>
      </c>
      <c r="J430" s="3">
        <f>Comparison!AM29</f>
        <v>1691.7003845109305</v>
      </c>
      <c r="K430" s="3">
        <f>Comparison!AN29</f>
        <v>1075.2839868020503</v>
      </c>
      <c r="L430" s="3">
        <f>Comparison!AO29</f>
        <v>784.40987612375113</v>
      </c>
      <c r="M430" s="3">
        <f>Comparison!AP29</f>
        <v>655.80009654126911</v>
      </c>
      <c r="N430" s="3">
        <f>Comparison!AQ29</f>
        <v>577.24905136540178</v>
      </c>
      <c r="O430" s="3">
        <f>Comparison!AR29</f>
        <v>517.55067575260887</v>
      </c>
      <c r="P430" s="3">
        <f>Comparison!AS29</f>
        <v>477.16338311456207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98.301687942907975</v>
      </c>
      <c r="C431" s="3">
        <f t="shared" si="434"/>
        <v>2767.953820350333</v>
      </c>
      <c r="D431" s="3">
        <f t="shared" si="434"/>
        <v>50138.047117868038</v>
      </c>
      <c r="E431" s="3">
        <f t="shared" si="434"/>
        <v>447475.03681150591</v>
      </c>
      <c r="F431" s="3">
        <f t="shared" si="434"/>
        <v>6069202.4504662817</v>
      </c>
      <c r="G431" s="3">
        <f t="shared" si="434"/>
        <v>3175657288.9432039</v>
      </c>
      <c r="H431" s="3">
        <f t="shared" si="434"/>
        <v>1000000000000</v>
      </c>
      <c r="I431" s="109">
        <f>Comparison!AL30</f>
        <v>1000000000000</v>
      </c>
      <c r="J431" s="3">
        <f>Comparison!AM30</f>
        <v>1230.3504248927311</v>
      </c>
      <c r="K431" s="3">
        <f>Comparison!AN30</f>
        <v>799.60727676982128</v>
      </c>
      <c r="L431" s="3">
        <f>Comparison!AO30</f>
        <v>651.40811766035665</v>
      </c>
      <c r="M431" s="3">
        <f>Comparison!AP30</f>
        <v>585.43210743850034</v>
      </c>
      <c r="N431" s="3">
        <f>Comparison!AQ30</f>
        <v>542.56491517927657</v>
      </c>
      <c r="O431" s="3">
        <f>Comparison!AR30</f>
        <v>499.76142817308812</v>
      </c>
      <c r="P431" s="3">
        <f>Comparison!AS30</f>
        <v>476.22593072507385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983.01687942907972</v>
      </c>
      <c r="C432" s="3">
        <f t="shared" si="434"/>
        <v>27679.538203503329</v>
      </c>
      <c r="D432" s="3">
        <f t="shared" si="434"/>
        <v>501380.47117868037</v>
      </c>
      <c r="E432" s="3">
        <f t="shared" si="434"/>
        <v>4474750.3681150591</v>
      </c>
      <c r="F432" s="3">
        <f t="shared" si="434"/>
        <v>60692024.504662812</v>
      </c>
      <c r="G432" s="3">
        <f t="shared" si="434"/>
        <v>31756572889.432041</v>
      </c>
      <c r="H432" s="3">
        <f t="shared" si="434"/>
        <v>10000000000000</v>
      </c>
      <c r="I432" s="109">
        <f>Comparison!AL31</f>
        <v>10000000000000</v>
      </c>
      <c r="J432" s="3">
        <f>Comparison!AM31</f>
        <v>888.25672531905332</v>
      </c>
      <c r="K432" s="3">
        <f>Comparison!AN31</f>
        <v>660.84412890819806</v>
      </c>
      <c r="L432" s="3">
        <f>Comparison!AO31</f>
        <v>583.80121108393644</v>
      </c>
      <c r="M432" s="3">
        <f>Comparison!AP31</f>
        <v>550.22961238933465</v>
      </c>
      <c r="N432" s="3">
        <f>Comparison!AQ31</f>
        <v>523.04517618896307</v>
      </c>
      <c r="O432" s="3">
        <f>Comparison!AR31</f>
        <v>478.96737917397832</v>
      </c>
      <c r="P432" s="3">
        <f>Comparison!AS31</f>
        <v>475.98047490013522</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9830.1687942907975</v>
      </c>
      <c r="C433" s="3">
        <f t="shared" si="434"/>
        <v>276795.38203503325</v>
      </c>
      <c r="D433" s="3">
        <f t="shared" si="434"/>
        <v>5013804.7117868038</v>
      </c>
      <c r="E433" s="3">
        <f t="shared" si="434"/>
        <v>44747503.681150593</v>
      </c>
      <c r="F433" s="3">
        <f t="shared" si="434"/>
        <v>606920245.04662812</v>
      </c>
      <c r="G433" s="3">
        <f t="shared" si="434"/>
        <v>317565728894.32037</v>
      </c>
      <c r="H433" s="3">
        <f t="shared" si="434"/>
        <v>100000000000000</v>
      </c>
      <c r="I433" s="109">
        <f>Comparison!AL32</f>
        <v>100000000000000</v>
      </c>
      <c r="J433" s="3">
        <f>Comparison!AM32</f>
        <v>708.86645626754114</v>
      </c>
      <c r="K433" s="3">
        <f>Comparison!AN32</f>
        <v>587.16779346403064</v>
      </c>
      <c r="L433" s="3">
        <f>Comparison!AO32</f>
        <v>548.71871201984641</v>
      </c>
      <c r="M433" s="3">
        <f>Comparison!AP32</f>
        <v>525.95012363885235</v>
      </c>
      <c r="N433" s="3">
        <f>Comparison!AQ32</f>
        <v>513.02385818918287</v>
      </c>
      <c r="O433" s="3">
        <f>Comparison!AR32</f>
        <v>475.66972462501121</v>
      </c>
      <c r="P433" s="3">
        <f>Comparison!AS32</f>
        <v>475.76724400704541</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98301.687942907971</v>
      </c>
      <c r="C434" s="3">
        <f t="shared" si="434"/>
        <v>2767953.8203503327</v>
      </c>
      <c r="D434" s="3">
        <f t="shared" si="434"/>
        <v>50138047.117868036</v>
      </c>
      <c r="E434" s="3">
        <f t="shared" si="434"/>
        <v>447475036.81150591</v>
      </c>
      <c r="F434" s="3">
        <f t="shared" si="434"/>
        <v>6069202450.4662809</v>
      </c>
      <c r="G434" s="3">
        <f t="shared" si="434"/>
        <v>3175657288943.2041</v>
      </c>
      <c r="H434" s="3">
        <f t="shared" si="434"/>
        <v>1000000000000000</v>
      </c>
      <c r="I434" s="109">
        <f>Comparison!AL33</f>
        <v>1000000000000000</v>
      </c>
      <c r="J434" s="3">
        <f>Comparison!AM33</f>
        <v>607.16785102157667</v>
      </c>
      <c r="K434" s="3">
        <f>Comparison!AN33</f>
        <v>551.91226878266252</v>
      </c>
      <c r="L434" s="3">
        <f>Comparison!AO33</f>
        <v>525.29950476563715</v>
      </c>
      <c r="M434" s="3">
        <f>Comparison!AP33</f>
        <v>515.3503886433972</v>
      </c>
      <c r="N434" s="3">
        <f>Comparison!AQ33</f>
        <v>488.70376604058401</v>
      </c>
      <c r="O434" s="3">
        <f>Comparison!AR33</f>
        <v>475.44842733478526</v>
      </c>
      <c r="P434" s="3">
        <f>Comparison!AS33</f>
        <v>475.55412653805064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-23.042979917580961</v>
      </c>
      <c r="M1" s="54">
        <v>1</v>
      </c>
      <c r="N1" s="56">
        <f>INDEX($H$217:$P$217,1,Q1)</f>
        <v>0.16705553559392336</v>
      </c>
      <c r="O1" s="11"/>
      <c r="P1" s="55">
        <v>1</v>
      </c>
      <c r="Q1" s="11">
        <v>2</v>
      </c>
    </row>
    <row r="2" spans="1:17" x14ac:dyDescent="0.25">
      <c r="A2" s="11">
        <f>'Mastercurve bestimmen'!M119</f>
        <v>0</v>
      </c>
      <c r="B2" s="11">
        <f>'Mastercurve bestimmen'!N119</f>
        <v>-19.705157482729604</v>
      </c>
      <c r="M2" s="54">
        <v>2</v>
      </c>
      <c r="N2" s="56">
        <f t="shared" ref="N2:N9" si="0">INDEX($H$217:$P$217,1,Q2)</f>
        <v>-1.369763955103716E-4</v>
      </c>
      <c r="O2" s="11"/>
      <c r="P2" s="55">
        <v>2</v>
      </c>
      <c r="Q2" s="11">
        <f>Q1+1</f>
        <v>3</v>
      </c>
    </row>
    <row r="3" spans="1:17" x14ac:dyDescent="0.25">
      <c r="A3" s="11">
        <f>'Mastercurve bestimmen'!M120</f>
        <v>25</v>
      </c>
      <c r="B3" s="11">
        <f>'Mastercurve bestimmen'!N120</f>
        <v>-16.808485693561376</v>
      </c>
      <c r="M3" s="54">
        <v>3</v>
      </c>
      <c r="N3" s="56">
        <f t="shared" si="0"/>
        <v>-1.9380469575411443E-5</v>
      </c>
      <c r="O3" s="11"/>
      <c r="P3" s="55">
        <v>3</v>
      </c>
      <c r="Q3" s="11">
        <f t="shared" ref="Q3:Q8" si="1">Q2+1</f>
        <v>4</v>
      </c>
    </row>
    <row r="4" spans="1:17" x14ac:dyDescent="0.25">
      <c r="A4" s="11">
        <f>'Mastercurve bestimmen'!M121</f>
        <v>50</v>
      </c>
      <c r="B4" s="11">
        <f>'Mastercurve bestimmen'!N121</f>
        <v>-14.619645084448907</v>
      </c>
      <c r="M4" s="54">
        <v>4</v>
      </c>
      <c r="N4" s="56">
        <f t="shared" si="0"/>
        <v>-6.958783840210885E-7</v>
      </c>
      <c r="O4" s="11"/>
      <c r="P4" s="55">
        <v>4</v>
      </c>
      <c r="Q4" s="11">
        <f t="shared" si="1"/>
        <v>5</v>
      </c>
    </row>
    <row r="5" spans="1:17" x14ac:dyDescent="0.25">
      <c r="A5" s="11">
        <f>'Mastercurve bestimmen'!M122</f>
        <v>80</v>
      </c>
      <c r="B5" s="11">
        <f>'Mastercurve bestimmen'!N122</f>
        <v>-12.012283353540994</v>
      </c>
      <c r="M5" s="54">
        <v>5</v>
      </c>
      <c r="N5" s="56">
        <f t="shared" si="0"/>
        <v>-1.2350881475956887E-8</v>
      </c>
      <c r="O5" s="11"/>
      <c r="P5" s="55">
        <v>5</v>
      </c>
      <c r="Q5" s="11">
        <f t="shared" si="1"/>
        <v>6</v>
      </c>
    </row>
    <row r="6" spans="1:17" x14ac:dyDescent="0.25">
      <c r="A6" s="11">
        <f>'Mastercurve bestimmen'!M123</f>
        <v>125</v>
      </c>
      <c r="B6" s="11">
        <f>'Mastercurve bestimmen'!N123</f>
        <v>-5.7522406479236023</v>
      </c>
      <c r="M6" s="54">
        <v>6</v>
      </c>
      <c r="N6" s="56">
        <f t="shared" si="0"/>
        <v>-1.0343130358375534E-10</v>
      </c>
      <c r="O6" s="11"/>
      <c r="P6" s="55">
        <v>6</v>
      </c>
      <c r="Q6" s="11">
        <f t="shared" si="1"/>
        <v>7</v>
      </c>
    </row>
    <row r="7" spans="1:17" x14ac:dyDescent="0.25">
      <c r="A7" s="11">
        <f>'Mastercurve bestimmen'!M124</f>
        <v>160</v>
      </c>
      <c r="B7" s="11">
        <f>'Mastercurve bestimmen'!N124</f>
        <v>0</v>
      </c>
      <c r="M7" s="54">
        <v>7</v>
      </c>
      <c r="N7" s="56">
        <f t="shared" si="0"/>
        <v>-4.0300762608368391E-13</v>
      </c>
      <c r="O7" s="11"/>
      <c r="P7" s="55">
        <v>7</v>
      </c>
      <c r="Q7" s="11">
        <f t="shared" si="1"/>
        <v>8</v>
      </c>
    </row>
    <row r="8" spans="1:17" x14ac:dyDescent="0.25">
      <c r="A8" s="11"/>
      <c r="B8" s="11"/>
      <c r="M8" s="54">
        <v>8</v>
      </c>
      <c r="N8" s="56">
        <f t="shared" si="0"/>
        <v>-5.9258388019197073E-16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-23.042979917580961</v>
      </c>
      <c r="E15" s="11">
        <f>A15-'Mastercurve bestimmen'!$B$2</f>
        <v>-200</v>
      </c>
      <c r="F15" s="11">
        <f>B15</f>
        <v>-23.042979917580961</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-22.991544653244759</v>
      </c>
      <c r="E16" s="11">
        <f>A16-'Mastercurve bestimmen'!$B$2</f>
        <v>-199</v>
      </c>
      <c r="F16" s="11">
        <f t="shared" ref="F16:F79" si="4">B16</f>
        <v>-22.991544653244759</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-22.939989275225493</v>
      </c>
      <c r="E17" s="11">
        <f>A17-'Mastercurve bestimmen'!$B$2</f>
        <v>-198</v>
      </c>
      <c r="F17" s="11">
        <f t="shared" si="4"/>
        <v>-22.939989275225493</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-22.888193669840117</v>
      </c>
      <c r="E18" s="11">
        <f>A18-'Mastercurve bestimmen'!$B$2</f>
        <v>-197</v>
      </c>
      <c r="F18" s="11">
        <f t="shared" si="4"/>
        <v>-22.888193669840117</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-22.836037723405564</v>
      </c>
      <c r="E19" s="11">
        <f>A19-'Mastercurve bestimmen'!$B$2</f>
        <v>-196</v>
      </c>
      <c r="F19" s="11">
        <f t="shared" si="4"/>
        <v>-22.836037723405564</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-22.783401322238774</v>
      </c>
      <c r="E20" s="11">
        <f>A20-'Mastercurve bestimmen'!$B$2</f>
        <v>-195</v>
      </c>
      <c r="F20" s="11">
        <f t="shared" si="4"/>
        <v>-22.783401322238774</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-22.730164352656693</v>
      </c>
      <c r="E21" s="11">
        <f>A21-'Mastercurve bestimmen'!$B$2</f>
        <v>-194</v>
      </c>
      <c r="F21" s="11">
        <f t="shared" si="4"/>
        <v>-22.730164352656693</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-22.676206700976262</v>
      </c>
      <c r="E22" s="11">
        <f>A22-'Mastercurve bestimmen'!$B$2</f>
        <v>-193</v>
      </c>
      <c r="F22" s="11">
        <f t="shared" si="4"/>
        <v>-22.676206700976262</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-22.621408253514421</v>
      </c>
      <c r="E23" s="11">
        <f>A23-'Mastercurve bestimmen'!$B$2</f>
        <v>-192</v>
      </c>
      <c r="F23" s="11">
        <f t="shared" si="4"/>
        <v>-22.621408253514421</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-22.565648896588112</v>
      </c>
      <c r="E24" s="11">
        <f>A24-'Mastercurve bestimmen'!$B$2</f>
        <v>-191</v>
      </c>
      <c r="F24" s="11">
        <f t="shared" si="4"/>
        <v>-22.565648896588112</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-22.508808516514279</v>
      </c>
      <c r="E25" s="11">
        <f>A25-'Mastercurve bestimmen'!$B$2</f>
        <v>-190</v>
      </c>
      <c r="F25" s="11">
        <f t="shared" si="4"/>
        <v>-22.508808516514279</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-22.450766999609861</v>
      </c>
      <c r="E26" s="11">
        <f>A26-'Mastercurve bestimmen'!$B$2</f>
        <v>-189</v>
      </c>
      <c r="F26" s="11">
        <f t="shared" si="4"/>
        <v>-22.450766999609861</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-22.391404232191796</v>
      </c>
      <c r="E27" s="11">
        <f>A27-'Mastercurve bestimmen'!$B$2</f>
        <v>-188</v>
      </c>
      <c r="F27" s="11">
        <f t="shared" si="4"/>
        <v>-22.391404232191796</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-22.330600100577033</v>
      </c>
      <c r="E28" s="11">
        <f>A28-'Mastercurve bestimmen'!$B$2</f>
        <v>-187</v>
      </c>
      <c r="F28" s="11">
        <f t="shared" si="4"/>
        <v>-22.330600100577033</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-22.268234491082509</v>
      </c>
      <c r="E29" s="11">
        <f>A29-'Mastercurve bestimmen'!$B$2</f>
        <v>-186</v>
      </c>
      <c r="F29" s="11">
        <f t="shared" si="4"/>
        <v>-22.268234491082509</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-22.204187290025168</v>
      </c>
      <c r="E30" s="11">
        <f>A30-'Mastercurve bestimmen'!$B$2</f>
        <v>-185</v>
      </c>
      <c r="F30" s="11">
        <f t="shared" si="4"/>
        <v>-22.204187290025168</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-22.138338383721948</v>
      </c>
      <c r="E31" s="11">
        <f>A31-'Mastercurve bestimmen'!$B$2</f>
        <v>-184</v>
      </c>
      <c r="F31" s="11">
        <f t="shared" si="4"/>
        <v>-22.138338383721948</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-22.070567658489793</v>
      </c>
      <c r="E32" s="11">
        <f>A32-'Mastercurve bestimmen'!$B$2</f>
        <v>-183</v>
      </c>
      <c r="F32" s="11">
        <f t="shared" si="4"/>
        <v>-22.070567658489793</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-22.000755000645643</v>
      </c>
      <c r="E33" s="11">
        <f>A33-'Mastercurve bestimmen'!$B$2</f>
        <v>-182</v>
      </c>
      <c r="F33" s="11">
        <f t="shared" si="4"/>
        <v>-22.000755000645643</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-21.928780296506446</v>
      </c>
      <c r="E34" s="11">
        <f>A34-'Mastercurve bestimmen'!$B$2</f>
        <v>-181</v>
      </c>
      <c r="F34" s="11">
        <f t="shared" si="4"/>
        <v>-21.928780296506446</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-21.854523432389129</v>
      </c>
      <c r="E35" s="11">
        <f>A35-'Mastercurve bestimmen'!$B$2</f>
        <v>-180</v>
      </c>
      <c r="F35" s="11">
        <f t="shared" si="4"/>
        <v>-21.854523432389129</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-21.777864294610652</v>
      </c>
      <c r="E36" s="11">
        <f>A36-'Mastercurve bestimmen'!$B$2</f>
        <v>-179</v>
      </c>
      <c r="F36" s="11">
        <f t="shared" si="4"/>
        <v>-21.777864294610652</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-21.698682769487945</v>
      </c>
      <c r="E37" s="11">
        <f>A37-'Mastercurve bestimmen'!$B$2</f>
        <v>-178</v>
      </c>
      <c r="F37" s="11">
        <f t="shared" si="4"/>
        <v>-21.698682769487945</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-21.61685874333795</v>
      </c>
      <c r="E38" s="11">
        <f>A38-'Mastercurve bestimmen'!$B$2</f>
        <v>-177</v>
      </c>
      <c r="F38" s="11">
        <f t="shared" si="4"/>
        <v>-21.61685874333795</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-21.532272102477609</v>
      </c>
      <c r="E39" s="11">
        <f>A39-'Mastercurve bestimmen'!$B$2</f>
        <v>-176</v>
      </c>
      <c r="F39" s="11">
        <f t="shared" si="4"/>
        <v>-21.532272102477609</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-21.444802733223867</v>
      </c>
      <c r="E40" s="11">
        <f>A40-'Mastercurve bestimmen'!$B$2</f>
        <v>-175</v>
      </c>
      <c r="F40" s="11">
        <f t="shared" si="4"/>
        <v>-21.444802733223867</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-21.354330521893662</v>
      </c>
      <c r="E41" s="11">
        <f>A41-'Mastercurve bestimmen'!$B$2</f>
        <v>-174</v>
      </c>
      <c r="F41" s="11">
        <f t="shared" si="4"/>
        <v>-21.354330521893662</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-21.260735354803941</v>
      </c>
      <c r="E42" s="11">
        <f>A42-'Mastercurve bestimmen'!$B$2</f>
        <v>-173</v>
      </c>
      <c r="F42" s="11">
        <f t="shared" si="4"/>
        <v>-21.260735354803941</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-21.163897118271635</v>
      </c>
      <c r="E43" s="11">
        <f>A43-'Mastercurve bestimmen'!$B$2</f>
        <v>-172</v>
      </c>
      <c r="F43" s="11">
        <f t="shared" si="4"/>
        <v>-21.163897118271635</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-21.063695698613696</v>
      </c>
      <c r="E44" s="11">
        <f>A44-'Mastercurve bestimmen'!$B$2</f>
        <v>-171</v>
      </c>
      <c r="F44" s="11">
        <f t="shared" si="4"/>
        <v>-21.063695698613696</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-20.960010982147061</v>
      </c>
      <c r="E45" s="11">
        <f>A45-'Mastercurve bestimmen'!$B$2</f>
        <v>-170</v>
      </c>
      <c r="F45" s="11">
        <f t="shared" si="4"/>
        <v>-20.960010982147061</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-20.852722855188674</v>
      </c>
      <c r="E46" s="11">
        <f>A46-'Mastercurve bestimmen'!$B$2</f>
        <v>-169</v>
      </c>
      <c r="F46" s="11">
        <f t="shared" si="4"/>
        <v>-20.852722855188674</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-20.74171120405547</v>
      </c>
      <c r="E47" s="11">
        <f>A47-'Mastercurve bestimmen'!$B$2</f>
        <v>-168</v>
      </c>
      <c r="F47" s="11">
        <f t="shared" si="4"/>
        <v>-20.74171120405547</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-20.626855915064397</v>
      </c>
      <c r="E48" s="11">
        <f>A48-'Mastercurve bestimmen'!$B$2</f>
        <v>-167</v>
      </c>
      <c r="F48" s="11">
        <f t="shared" si="4"/>
        <v>-20.626855915064397</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-20.508036874532397</v>
      </c>
      <c r="E49" s="11">
        <f>A49-'Mastercurve bestimmen'!$B$2</f>
        <v>-166</v>
      </c>
      <c r="F49" s="11">
        <f t="shared" si="4"/>
        <v>-20.508036874532397</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-20.385133968776412</v>
      </c>
      <c r="E50" s="11">
        <f>A50-'Mastercurve bestimmen'!$B$2</f>
        <v>-165</v>
      </c>
      <c r="F50" s="11">
        <f t="shared" si="4"/>
        <v>-20.385133968776412</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-20.258027084113372</v>
      </c>
      <c r="E51" s="11">
        <f>A51-'Mastercurve bestimmen'!$B$2</f>
        <v>-164</v>
      </c>
      <c r="F51" s="11">
        <f t="shared" si="4"/>
        <v>-20.258027084113372</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-20.126596106860234</v>
      </c>
      <c r="E52" s="11">
        <f>A52-'Mastercurve bestimmen'!$B$2</f>
        <v>-163</v>
      </c>
      <c r="F52" s="11">
        <f t="shared" si="4"/>
        <v>-20.126596106860234</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-19.990720923333935</v>
      </c>
      <c r="E53" s="11">
        <f>A53-'Mastercurve bestimmen'!$B$2</f>
        <v>-162</v>
      </c>
      <c r="F53" s="11">
        <f t="shared" si="4"/>
        <v>-19.990720923333935</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-19.850281419851409</v>
      </c>
      <c r="E54" s="11">
        <f>A54-'Mastercurve bestimmen'!$B$2</f>
        <v>-161</v>
      </c>
      <c r="F54" s="11">
        <f t="shared" si="4"/>
        <v>-19.850281419851409</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-19.705157482729604</v>
      </c>
      <c r="E55" s="11">
        <f>A55-'Mastercurve bestimmen'!$B$2</f>
        <v>-160</v>
      </c>
      <c r="F55" s="11">
        <f t="shared" si="4"/>
        <v>-19.705157482729604</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-19.614792477624167</v>
      </c>
      <c r="E56" s="11">
        <f>A56-'Mastercurve bestimmen'!$B$2</f>
        <v>-159</v>
      </c>
      <c r="F56" s="11">
        <f t="shared" si="4"/>
        <v>-19.614792477624167</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-19.519932085786841</v>
      </c>
      <c r="E57" s="11">
        <f>A57-'Mastercurve bestimmen'!$B$2</f>
        <v>-158</v>
      </c>
      <c r="F57" s="11">
        <f t="shared" si="4"/>
        <v>-19.519932085786841</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-19.420885467808077</v>
      </c>
      <c r="E58" s="11">
        <f>A58-'Mastercurve bestimmen'!$B$2</f>
        <v>-157</v>
      </c>
      <c r="F58" s="11">
        <f t="shared" si="4"/>
        <v>-19.420885467808077</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-19.317961784278324</v>
      </c>
      <c r="E59" s="11">
        <f>A59-'Mastercurve bestimmen'!$B$2</f>
        <v>-156</v>
      </c>
      <c r="F59" s="11">
        <f t="shared" si="4"/>
        <v>-19.317961784278324</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-19.211470195788031</v>
      </c>
      <c r="E60" s="11">
        <f>A60-'Mastercurve bestimmen'!$B$2</f>
        <v>-155</v>
      </c>
      <c r="F60" s="11">
        <f t="shared" si="4"/>
        <v>-19.211470195788031</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-19.101719862927649</v>
      </c>
      <c r="E61" s="11">
        <f>A61-'Mastercurve bestimmen'!$B$2</f>
        <v>-154</v>
      </c>
      <c r="F61" s="11">
        <f t="shared" si="4"/>
        <v>-19.101719862927649</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-18.989019946287623</v>
      </c>
      <c r="E62" s="11">
        <f>A62-'Mastercurve bestimmen'!$B$2</f>
        <v>-153</v>
      </c>
      <c r="F62" s="11">
        <f t="shared" si="4"/>
        <v>-18.989019946287623</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-18.87367960645841</v>
      </c>
      <c r="E63" s="11">
        <f>A63-'Mastercurve bestimmen'!$B$2</f>
        <v>-152</v>
      </c>
      <c r="F63" s="11">
        <f t="shared" si="4"/>
        <v>-18.87367960645841</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-18.756008004030456</v>
      </c>
      <c r="E64" s="11">
        <f>A64-'Mastercurve bestimmen'!$B$2</f>
        <v>-151</v>
      </c>
      <c r="F64" s="11">
        <f t="shared" si="4"/>
        <v>-18.756008004030456</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-18.636314299594208</v>
      </c>
      <c r="E65" s="11">
        <f>A65-'Mastercurve bestimmen'!$B$2</f>
        <v>-150</v>
      </c>
      <c r="F65" s="11">
        <f t="shared" si="4"/>
        <v>-18.636314299594208</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-18.514907653740117</v>
      </c>
      <c r="E66" s="11">
        <f>A66-'Mastercurve bestimmen'!$B$2</f>
        <v>-149</v>
      </c>
      <c r="F66" s="11">
        <f t="shared" si="4"/>
        <v>-18.514907653740117</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-18.392097227058638</v>
      </c>
      <c r="E67" s="11">
        <f>A67-'Mastercurve bestimmen'!$B$2</f>
        <v>-148</v>
      </c>
      <c r="F67" s="11">
        <f t="shared" si="4"/>
        <v>-18.392097227058638</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-18.268192180140218</v>
      </c>
      <c r="E68" s="11">
        <f>A68-'Mastercurve bestimmen'!$B$2</f>
        <v>-147</v>
      </c>
      <c r="F68" s="11">
        <f t="shared" si="4"/>
        <v>-18.268192180140218</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-18.143501673575305</v>
      </c>
      <c r="E69" s="11">
        <f>A69-'Mastercurve bestimmen'!$B$2</f>
        <v>-146</v>
      </c>
      <c r="F69" s="11">
        <f t="shared" si="4"/>
        <v>-18.143501673575305</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-18.018334867954351</v>
      </c>
      <c r="E70" s="11">
        <f>A70-'Mastercurve bestimmen'!$B$2</f>
        <v>-145</v>
      </c>
      <c r="F70" s="11">
        <f t="shared" si="4"/>
        <v>-18.018334867954351</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-17.893000923867799</v>
      </c>
      <c r="E71" s="11">
        <f>A71-'Mastercurve bestimmen'!$B$2</f>
        <v>-144</v>
      </c>
      <c r="F71" s="11">
        <f t="shared" si="4"/>
        <v>-17.893000923867799</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-17.767809001906105</v>
      </c>
      <c r="E72" s="11">
        <f>A72-'Mastercurve bestimmen'!$B$2</f>
        <v>-143</v>
      </c>
      <c r="F72" s="11">
        <f t="shared" si="4"/>
        <v>-17.767809001906105</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-17.643068262659721</v>
      </c>
      <c r="E73" s="11">
        <f>A73-'Mastercurve bestimmen'!$B$2</f>
        <v>-142</v>
      </c>
      <c r="F73" s="11">
        <f t="shared" si="4"/>
        <v>-17.643068262659721</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-17.51908786671909</v>
      </c>
      <c r="E74" s="11">
        <f>A74-'Mastercurve bestimmen'!$B$2</f>
        <v>-141</v>
      </c>
      <c r="F74" s="11">
        <f t="shared" si="4"/>
        <v>-17.51908786671909</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-17.396176974674667</v>
      </c>
      <c r="E75" s="11">
        <f>A75-'Mastercurve bestimmen'!$B$2</f>
        <v>-140</v>
      </c>
      <c r="F75" s="11">
        <f t="shared" si="4"/>
        <v>-17.396176974674667</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-17.274644747116898</v>
      </c>
      <c r="E76" s="11">
        <f>A76-'Mastercurve bestimmen'!$B$2</f>
        <v>-139</v>
      </c>
      <c r="F76" s="11">
        <f t="shared" si="4"/>
        <v>-17.274644747116898</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-17.154800344636236</v>
      </c>
      <c r="E77" s="11">
        <f>A77-'Mastercurve bestimmen'!$B$2</f>
        <v>-138</v>
      </c>
      <c r="F77" s="11">
        <f t="shared" si="4"/>
        <v>-17.154800344636236</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-17.036952927823126</v>
      </c>
      <c r="E78" s="11">
        <f>A78-'Mastercurve bestimmen'!$B$2</f>
        <v>-137</v>
      </c>
      <c r="F78" s="11">
        <f t="shared" si="4"/>
        <v>-17.036952927823126</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-16.921411657268024</v>
      </c>
      <c r="E79" s="11">
        <f>A79-'Mastercurve bestimmen'!$B$2</f>
        <v>-136</v>
      </c>
      <c r="F79" s="11">
        <f t="shared" si="4"/>
        <v>-16.921411657268024</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-16.808485693561376</v>
      </c>
      <c r="E80" s="11">
        <f>A80-'Mastercurve bestimmen'!$B$2</f>
        <v>-135</v>
      </c>
      <c r="F80" s="11">
        <f t="shared" ref="F80:F143" si="10">B80</f>
        <v>-16.808485693561376</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-16.698412519791596</v>
      </c>
      <c r="E81" s="11">
        <f>A81-'Mastercurve bestimmen'!$B$2</f>
        <v>-134</v>
      </c>
      <c r="F81" s="11">
        <f t="shared" si="10"/>
        <v>-16.698412519791596</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-16.591142909038979</v>
      </c>
      <c r="E82" s="11">
        <f>A82-'Mastercurve bestimmen'!$B$2</f>
        <v>-133</v>
      </c>
      <c r="F82" s="11">
        <f t="shared" si="10"/>
        <v>-16.591142909038979</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-16.486555956881773</v>
      </c>
      <c r="E83" s="11">
        <f>A83-'Mastercurve bestimmen'!$B$2</f>
        <v>-132</v>
      </c>
      <c r="F83" s="11">
        <f t="shared" si="10"/>
        <v>-16.486555956881773</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-16.384530758898233</v>
      </c>
      <c r="E84" s="11">
        <f>A84-'Mastercurve bestimmen'!$B$2</f>
        <v>-131</v>
      </c>
      <c r="F84" s="11">
        <f t="shared" si="10"/>
        <v>-16.384530758898233</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-16.284946410666613</v>
      </c>
      <c r="E85" s="11">
        <f>A85-'Mastercurve bestimmen'!$B$2</f>
        <v>-130</v>
      </c>
      <c r="F85" s="11">
        <f t="shared" si="10"/>
        <v>-16.284946410666613</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-16.187682007765169</v>
      </c>
      <c r="E86" s="11">
        <f>A86-'Mastercurve bestimmen'!$B$2</f>
        <v>-129</v>
      </c>
      <c r="F86" s="11">
        <f t="shared" si="10"/>
        <v>-16.187682007765169</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-16.092616645772154</v>
      </c>
      <c r="E87" s="11">
        <f>A87-'Mastercurve bestimmen'!$B$2</f>
        <v>-128</v>
      </c>
      <c r="F87" s="11">
        <f t="shared" si="10"/>
        <v>-16.092616645772154</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-15.999629420265821</v>
      </c>
      <c r="E88" s="11">
        <f>A88-'Mastercurve bestimmen'!$B$2</f>
        <v>-127</v>
      </c>
      <c r="F88" s="11">
        <f t="shared" si="10"/>
        <v>-15.999629420265821</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-15.908599426824427</v>
      </c>
      <c r="E89" s="11">
        <f>A89-'Mastercurve bestimmen'!$B$2</f>
        <v>-126</v>
      </c>
      <c r="F89" s="11">
        <f t="shared" si="10"/>
        <v>-15.908599426824427</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-15.819405761026223</v>
      </c>
      <c r="E90" s="11">
        <f>A90-'Mastercurve bestimmen'!$B$2</f>
        <v>-125</v>
      </c>
      <c r="F90" s="11">
        <f t="shared" si="10"/>
        <v>-15.819405761026223</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-15.731927518449464</v>
      </c>
      <c r="E91" s="11">
        <f>A91-'Mastercurve bestimmen'!$B$2</f>
        <v>-124</v>
      </c>
      <c r="F91" s="11">
        <f t="shared" si="10"/>
        <v>-15.731927518449464</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-15.646043794672405</v>
      </c>
      <c r="E92" s="11">
        <f>A92-'Mastercurve bestimmen'!$B$2</f>
        <v>-123</v>
      </c>
      <c r="F92" s="11">
        <f t="shared" si="10"/>
        <v>-15.646043794672405</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-15.561633685273298</v>
      </c>
      <c r="E93" s="11">
        <f>A93-'Mastercurve bestimmen'!$B$2</f>
        <v>-122</v>
      </c>
      <c r="F93" s="11">
        <f t="shared" si="10"/>
        <v>-15.561633685273298</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-15.478576285830401</v>
      </c>
      <c r="E94" s="11">
        <f>A94-'Mastercurve bestimmen'!$B$2</f>
        <v>-121</v>
      </c>
      <c r="F94" s="11">
        <f t="shared" si="10"/>
        <v>-15.478576285830401</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-15.396750691921964</v>
      </c>
      <c r="E95" s="11">
        <f>A95-'Mastercurve bestimmen'!$B$2</f>
        <v>-120</v>
      </c>
      <c r="F95" s="11">
        <f t="shared" si="10"/>
        <v>-15.396750691921964</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-15.316035999126244</v>
      </c>
      <c r="E96" s="11">
        <f>A96-'Mastercurve bestimmen'!$B$2</f>
        <v>-119</v>
      </c>
      <c r="F96" s="11">
        <f t="shared" si="10"/>
        <v>-15.316035999126244</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-15.236311303021493</v>
      </c>
      <c r="E97" s="11">
        <f>A97-'Mastercurve bestimmen'!$B$2</f>
        <v>-118</v>
      </c>
      <c r="F97" s="11">
        <f t="shared" si="10"/>
        <v>-15.236311303021493</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-15.157455699185967</v>
      </c>
      <c r="E98" s="11">
        <f>A98-'Mastercurve bestimmen'!$B$2</f>
        <v>-117</v>
      </c>
      <c r="F98" s="11">
        <f t="shared" si="10"/>
        <v>-15.157455699185967</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-15.07934828319792</v>
      </c>
      <c r="E99" s="11">
        <f>A99-'Mastercurve bestimmen'!$B$2</f>
        <v>-116</v>
      </c>
      <c r="F99" s="11">
        <f t="shared" si="10"/>
        <v>-15.07934828319792</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-15.001868150635604</v>
      </c>
      <c r="E100" s="11">
        <f>A100-'Mastercurve bestimmen'!$B$2</f>
        <v>-115</v>
      </c>
      <c r="F100" s="11">
        <f t="shared" si="10"/>
        <v>-15.001868150635604</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-14.924894397077276</v>
      </c>
      <c r="E101" s="11">
        <f>A101-'Mastercurve bestimmen'!$B$2</f>
        <v>-114</v>
      </c>
      <c r="F101" s="11">
        <f t="shared" si="10"/>
        <v>-14.924894397077276</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-14.848306118101188</v>
      </c>
      <c r="E102" s="11">
        <f>A102-'Mastercurve bestimmen'!$B$2</f>
        <v>-113</v>
      </c>
      <c r="F102" s="11">
        <f t="shared" si="10"/>
        <v>-14.848306118101188</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-14.771982409285593</v>
      </c>
      <c r="E103" s="11">
        <f>A103-'Mastercurve bestimmen'!$B$2</f>
        <v>-112</v>
      </c>
      <c r="F103" s="11">
        <f t="shared" si="10"/>
        <v>-14.771982409285593</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-14.695802366208749</v>
      </c>
      <c r="E104" s="11">
        <f>A104-'Mastercurve bestimmen'!$B$2</f>
        <v>-111</v>
      </c>
      <c r="F104" s="11">
        <f t="shared" si="10"/>
        <v>-14.695802366208749</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-14.619645084448907</v>
      </c>
      <c r="E105" s="11">
        <f>A105-'Mastercurve bestimmen'!$B$2</f>
        <v>-110</v>
      </c>
      <c r="F105" s="11">
        <f t="shared" si="10"/>
        <v>-14.619645084448907</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-14.54339952842289</v>
      </c>
      <c r="E106" s="11">
        <f>A106-'Mastercurve bestimmen'!$B$2</f>
        <v>-109</v>
      </c>
      <c r="F106" s="11">
        <f t="shared" si="10"/>
        <v>-14.54339952842289</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-14.466994137901795</v>
      </c>
      <c r="E107" s="11">
        <f>A107-'Mastercurve bestimmen'!$B$2</f>
        <v>-108</v>
      </c>
      <c r="F107" s="11">
        <f t="shared" si="10"/>
        <v>-14.466994137901795</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-14.390367221495282</v>
      </c>
      <c r="E108" s="11">
        <f>A108-'Mastercurve bestimmen'!$B$2</f>
        <v>-107</v>
      </c>
      <c r="F108" s="11">
        <f t="shared" si="10"/>
        <v>-14.390367221495282</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-14.313457087813015</v>
      </c>
      <c r="E109" s="11">
        <f>A109-'Mastercurve bestimmen'!$B$2</f>
        <v>-106</v>
      </c>
      <c r="F109" s="11">
        <f t="shared" si="10"/>
        <v>-14.313457087813015</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-14.23620204546466</v>
      </c>
      <c r="E110" s="11">
        <f>A110-'Mastercurve bestimmen'!$B$2</f>
        <v>-105</v>
      </c>
      <c r="F110" s="11">
        <f t="shared" si="10"/>
        <v>-14.23620204546466</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-14.158540403059874</v>
      </c>
      <c r="E111" s="11">
        <f>A111-'Mastercurve bestimmen'!$B$2</f>
        <v>-104</v>
      </c>
      <c r="F111" s="11">
        <f t="shared" si="10"/>
        <v>-14.158540403059874</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-14.080410469208326</v>
      </c>
      <c r="E112" s="11">
        <f>A112-'Mastercurve bestimmen'!$B$2</f>
        <v>-103</v>
      </c>
      <c r="F112" s="11">
        <f t="shared" si="10"/>
        <v>-14.080410469208326</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-14.001750552519677</v>
      </c>
      <c r="E113" s="11">
        <f>A113-'Mastercurve bestimmen'!$B$2</f>
        <v>-102</v>
      </c>
      <c r="F113" s="11">
        <f t="shared" si="10"/>
        <v>-14.001750552519677</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-13.922498961603591</v>
      </c>
      <c r="E114" s="11">
        <f>A114-'Mastercurve bestimmen'!$B$2</f>
        <v>-101</v>
      </c>
      <c r="F114" s="11">
        <f t="shared" si="10"/>
        <v>-13.922498961603591</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-13.842594005069728</v>
      </c>
      <c r="E115" s="11">
        <f>A115-'Mastercurve bestimmen'!$B$2</f>
        <v>-100</v>
      </c>
      <c r="F115" s="11">
        <f t="shared" si="10"/>
        <v>-13.842594005069728</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-13.761973991527755</v>
      </c>
      <c r="E116" s="11">
        <f>A116-'Mastercurve bestimmen'!$B$2</f>
        <v>-99</v>
      </c>
      <c r="F116" s="11">
        <f t="shared" si="10"/>
        <v>-13.761973991527755</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-13.680577229587334</v>
      </c>
      <c r="E117" s="11">
        <f>A117-'Mastercurve bestimmen'!$B$2</f>
        <v>-98</v>
      </c>
      <c r="F117" s="11">
        <f t="shared" si="10"/>
        <v>-13.680577229587334</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-13.598342027858127</v>
      </c>
      <c r="E118" s="11">
        <f>A118-'Mastercurve bestimmen'!$B$2</f>
        <v>-97</v>
      </c>
      <c r="F118" s="11">
        <f t="shared" si="10"/>
        <v>-13.598342027858127</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-13.515206694949796</v>
      </c>
      <c r="E119" s="11">
        <f>A119-'Mastercurve bestimmen'!$B$2</f>
        <v>-96</v>
      </c>
      <c r="F119" s="11">
        <f t="shared" si="10"/>
        <v>-13.515206694949796</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-13.431109539472008</v>
      </c>
      <c r="E120" s="11">
        <f>A120-'Mastercurve bestimmen'!$B$2</f>
        <v>-95</v>
      </c>
      <c r="F120" s="11">
        <f t="shared" si="10"/>
        <v>-13.431109539472008</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-13.345988870034422</v>
      </c>
      <c r="E121" s="11">
        <f>A121-'Mastercurve bestimmen'!$B$2</f>
        <v>-94</v>
      </c>
      <c r="F121" s="11">
        <f t="shared" si="10"/>
        <v>-13.345988870034422</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-13.259782995246704</v>
      </c>
      <c r="E122" s="11">
        <f>A122-'Mastercurve bestimmen'!$B$2</f>
        <v>-93</v>
      </c>
      <c r="F122" s="11">
        <f t="shared" si="10"/>
        <v>-13.259782995246704</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-13.172430223718516</v>
      </c>
      <c r="E123" s="11">
        <f>A123-'Mastercurve bestimmen'!$B$2</f>
        <v>-92</v>
      </c>
      <c r="F123" s="11">
        <f t="shared" si="10"/>
        <v>-13.172430223718516</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-13.083868864059522</v>
      </c>
      <c r="E124" s="11">
        <f>A124-'Mastercurve bestimmen'!$B$2</f>
        <v>-91</v>
      </c>
      <c r="F124" s="11">
        <f t="shared" si="10"/>
        <v>-13.083868864059522</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-12.994037224879383</v>
      </c>
      <c r="E125" s="11">
        <f>A125-'Mastercurve bestimmen'!$B$2</f>
        <v>-90</v>
      </c>
      <c r="F125" s="11">
        <f t="shared" si="10"/>
        <v>-12.994037224879383</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-12.902873614787765</v>
      </c>
      <c r="E126" s="11">
        <f>A126-'Mastercurve bestimmen'!$B$2</f>
        <v>-89</v>
      </c>
      <c r="F126" s="11">
        <f t="shared" si="10"/>
        <v>-12.902873614787765</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-12.810316342394328</v>
      </c>
      <c r="E127" s="11">
        <f>A127-'Mastercurve bestimmen'!$B$2</f>
        <v>-88</v>
      </c>
      <c r="F127" s="11">
        <f t="shared" si="10"/>
        <v>-12.810316342394328</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-12.71630371630874</v>
      </c>
      <c r="E128" s="11">
        <f>A128-'Mastercurve bestimmen'!$B$2</f>
        <v>-87</v>
      </c>
      <c r="F128" s="11">
        <f t="shared" si="10"/>
        <v>-12.71630371630874</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-12.62077404514066</v>
      </c>
      <c r="E129" s="11">
        <f>A129-'Mastercurve bestimmen'!$B$2</f>
        <v>-86</v>
      </c>
      <c r="F129" s="11">
        <f t="shared" si="10"/>
        <v>-12.62077404514066</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-12.523665637499748</v>
      </c>
      <c r="E130" s="11">
        <f>A130-'Mastercurve bestimmen'!$B$2</f>
        <v>-85</v>
      </c>
      <c r="F130" s="11">
        <f t="shared" si="10"/>
        <v>-12.523665637499748</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-12.424916801995675</v>
      </c>
      <c r="E131" s="11">
        <f>A131-'Mastercurve bestimmen'!$B$2</f>
        <v>-84</v>
      </c>
      <c r="F131" s="11">
        <f t="shared" si="10"/>
        <v>-12.424916801995675</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-12.324465847238098</v>
      </c>
      <c r="E132" s="11">
        <f>A132-'Mastercurve bestimmen'!$B$2</f>
        <v>-83</v>
      </c>
      <c r="F132" s="11">
        <f t="shared" si="10"/>
        <v>-12.324465847238098</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-12.222251081836685</v>
      </c>
      <c r="E133" s="11">
        <f>A133-'Mastercurve bestimmen'!$B$2</f>
        <v>-82</v>
      </c>
      <c r="F133" s="11">
        <f t="shared" si="10"/>
        <v>-12.222251081836685</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-12.118210814401094</v>
      </c>
      <c r="E134" s="11">
        <f>A134-'Mastercurve bestimmen'!$B$2</f>
        <v>-81</v>
      </c>
      <c r="F134" s="11">
        <f t="shared" si="10"/>
        <v>-12.118210814401094</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-12.012283353540992</v>
      </c>
      <c r="E135" s="11">
        <f>A135-'Mastercurve bestimmen'!$B$2</f>
        <v>-80</v>
      </c>
      <c r="F135" s="11">
        <f t="shared" si="10"/>
        <v>-12.012283353540992</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-11.904423032712371</v>
      </c>
      <c r="E136" s="11">
        <f>A136-'Mastercurve bestimmen'!$B$2</f>
        <v>-79</v>
      </c>
      <c r="F136" s="11">
        <f t="shared" si="10"/>
        <v>-11.904423032712371</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-11.794648284756542</v>
      </c>
      <c r="E137" s="11">
        <f>A137-'Mastercurve bestimmen'!$B$2</f>
        <v>-78</v>
      </c>
      <c r="F137" s="11">
        <f t="shared" si="10"/>
        <v>-11.794648284756542</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-11.682993567361141</v>
      </c>
      <c r="E138" s="11">
        <f>A138-'Mastercurve bestimmen'!$B$2</f>
        <v>-77</v>
      </c>
      <c r="F138" s="11">
        <f t="shared" si="10"/>
        <v>-11.682993567361141</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-11.569493338213809</v>
      </c>
      <c r="E139" s="11">
        <f>A139-'Mastercurve bestimmen'!$B$2</f>
        <v>-76</v>
      </c>
      <c r="F139" s="11">
        <f t="shared" si="10"/>
        <v>-11.569493338213809</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-11.454182055002187</v>
      </c>
      <c r="E140" s="11">
        <f>A140-'Mastercurve bestimmen'!$B$2</f>
        <v>-75</v>
      </c>
      <c r="F140" s="11">
        <f t="shared" si="10"/>
        <v>-11.454182055002187</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-11.337094175413915</v>
      </c>
      <c r="E141" s="11">
        <f>A141-'Mastercurve bestimmen'!$B$2</f>
        <v>-74</v>
      </c>
      <c r="F141" s="11">
        <f t="shared" si="10"/>
        <v>-11.337094175413915</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-11.218264157136632</v>
      </c>
      <c r="E142" s="11">
        <f>A142-'Mastercurve bestimmen'!$B$2</f>
        <v>-73</v>
      </c>
      <c r="F142" s="11">
        <f t="shared" si="10"/>
        <v>-11.218264157136632</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-11.097726457857979</v>
      </c>
      <c r="E143" s="11">
        <f>A143-'Mastercurve bestimmen'!$B$2</f>
        <v>-72</v>
      </c>
      <c r="F143" s="11">
        <f t="shared" si="10"/>
        <v>-11.097726457857979</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-10.975515535265593</v>
      </c>
      <c r="E144" s="11">
        <f>A144-'Mastercurve bestimmen'!$B$2</f>
        <v>-71</v>
      </c>
      <c r="F144" s="11">
        <f t="shared" ref="F144:F207" si="15">B144</f>
        <v>-10.975515535265593</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-10.851665847047116</v>
      </c>
      <c r="E145" s="11">
        <f>A145-'Mastercurve bestimmen'!$B$2</f>
        <v>-70</v>
      </c>
      <c r="F145" s="11">
        <f t="shared" si="15"/>
        <v>-10.851665847047116</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-10.72621185089019</v>
      </c>
      <c r="E146" s="11">
        <f>A146-'Mastercurve bestimmen'!$B$2</f>
        <v>-69</v>
      </c>
      <c r="F146" s="11">
        <f t="shared" si="15"/>
        <v>-10.72621185089019</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-10.599188004482448</v>
      </c>
      <c r="E147" s="11">
        <f>A147-'Mastercurve bestimmen'!$B$2</f>
        <v>-68</v>
      </c>
      <c r="F147" s="11">
        <f t="shared" si="15"/>
        <v>-10.599188004482448</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-10.470628765511535</v>
      </c>
      <c r="E148" s="11">
        <f>A148-'Mastercurve bestimmen'!$B$2</f>
        <v>-67</v>
      </c>
      <c r="F148" s="11">
        <f t="shared" si="15"/>
        <v>-10.470628765511535</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-10.34056859166509</v>
      </c>
      <c r="E149" s="11">
        <f>A149-'Mastercurve bestimmen'!$B$2</f>
        <v>-66</v>
      </c>
      <c r="F149" s="11">
        <f t="shared" si="15"/>
        <v>-10.34056859166509</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-10.209041940630749</v>
      </c>
      <c r="E150" s="11">
        <f>A150-'Mastercurve bestimmen'!$B$2</f>
        <v>-65</v>
      </c>
      <c r="F150" s="11">
        <f t="shared" si="15"/>
        <v>-10.209041940630749</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-10.076083270096159</v>
      </c>
      <c r="E151" s="11">
        <f>A151-'Mastercurve bestimmen'!$B$2</f>
        <v>-64</v>
      </c>
      <c r="F151" s="11">
        <f t="shared" si="15"/>
        <v>-10.076083270096159</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-9.9417270377489562</v>
      </c>
      <c r="E152" s="11">
        <f>A152-'Mastercurve bestimmen'!$B$2</f>
        <v>-63</v>
      </c>
      <c r="F152" s="11">
        <f t="shared" si="15"/>
        <v>-9.9417270377489562</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-9.8060077012767763</v>
      </c>
      <c r="E153" s="11">
        <f>A153-'Mastercurve bestimmen'!$B$2</f>
        <v>-62</v>
      </c>
      <c r="F153" s="11">
        <f t="shared" si="15"/>
        <v>-9.8060077012767763</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-9.6689597183672653</v>
      </c>
      <c r="E154" s="11">
        <f>A154-'Mastercurve bestimmen'!$B$2</f>
        <v>-61</v>
      </c>
      <c r="F154" s="11">
        <f t="shared" si="15"/>
        <v>-9.6689597183672653</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-9.5306175467080596</v>
      </c>
      <c r="E155" s="11">
        <f>A155-'Mastercurve bestimmen'!$B$2</f>
        <v>-60</v>
      </c>
      <c r="F155" s="11">
        <f t="shared" si="15"/>
        <v>-9.5306175467080596</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-9.3910156439867993</v>
      </c>
      <c r="E156" s="11">
        <f>A156-'Mastercurve bestimmen'!$B$2</f>
        <v>-59</v>
      </c>
      <c r="F156" s="11">
        <f t="shared" si="15"/>
        <v>-9.3910156439867993</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-9.2501884678911246</v>
      </c>
      <c r="E157" s="11">
        <f>A157-'Mastercurve bestimmen'!$B$2</f>
        <v>-58</v>
      </c>
      <c r="F157" s="11">
        <f t="shared" si="15"/>
        <v>-9.2501884678911246</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-9.1081704761086755</v>
      </c>
      <c r="E158" s="11">
        <f>A158-'Mastercurve bestimmen'!$B$2</f>
        <v>-57</v>
      </c>
      <c r="F158" s="11">
        <f t="shared" si="15"/>
        <v>-9.1081704761086755</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-8.9649961263270903</v>
      </c>
      <c r="E159" s="11">
        <f>A159-'Mastercurve bestimmen'!$B$2</f>
        <v>-56</v>
      </c>
      <c r="F159" s="11">
        <f t="shared" si="15"/>
        <v>-8.9649961263270903</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-8.8206998762340092</v>
      </c>
      <c r="E160" s="11">
        <f>A160-'Mastercurve bestimmen'!$B$2</f>
        <v>-55</v>
      </c>
      <c r="F160" s="11">
        <f t="shared" si="15"/>
        <v>-8.8206998762340092</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-8.6753161835170758</v>
      </c>
      <c r="E161" s="11">
        <f>A161-'Mastercurve bestimmen'!$B$2</f>
        <v>-54</v>
      </c>
      <c r="F161" s="11">
        <f t="shared" si="15"/>
        <v>-8.6753161835170758</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-8.5288795058639231</v>
      </c>
      <c r="E162" s="11">
        <f>A162-'Mastercurve bestimmen'!$B$2</f>
        <v>-53</v>
      </c>
      <c r="F162" s="11">
        <f t="shared" si="15"/>
        <v>-8.5288795058639231</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-8.3814243009621947</v>
      </c>
      <c r="E163" s="11">
        <f>A163-'Mastercurve bestimmen'!$B$2</f>
        <v>-52</v>
      </c>
      <c r="F163" s="11">
        <f t="shared" si="15"/>
        <v>-8.3814243009621947</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-8.2329850264995308</v>
      </c>
      <c r="E164" s="11">
        <f>A164-'Mastercurve bestimmen'!$B$2</f>
        <v>-51</v>
      </c>
      <c r="F164" s="11">
        <f t="shared" si="15"/>
        <v>-8.2329850264995308</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-8.0835961401635714</v>
      </c>
      <c r="E165" s="11">
        <f>A165-'Mastercurve bestimmen'!$B$2</f>
        <v>-50</v>
      </c>
      <c r="F165" s="11">
        <f t="shared" si="15"/>
        <v>-8.0835961401635714</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-7.9332920996419531</v>
      </c>
      <c r="E166" s="11">
        <f>A166-'Mastercurve bestimmen'!$B$2</f>
        <v>-49</v>
      </c>
      <c r="F166" s="11">
        <f t="shared" si="15"/>
        <v>-7.9332920996419531</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-7.7821073626223196</v>
      </c>
      <c r="E167" s="11">
        <f>A167-'Mastercurve bestimmen'!$B$2</f>
        <v>-48</v>
      </c>
      <c r="F167" s="11">
        <f t="shared" si="15"/>
        <v>-7.7821073626223196</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-7.6300763867923083</v>
      </c>
      <c r="E168" s="11">
        <f>A168-'Mastercurve bestimmen'!$B$2</f>
        <v>-47</v>
      </c>
      <c r="F168" s="11">
        <f t="shared" si="15"/>
        <v>-7.6300763867923083</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-7.4772336298395583</v>
      </c>
      <c r="E169" s="11">
        <f>A169-'Mastercurve bestimmen'!$B$2</f>
        <v>-46</v>
      </c>
      <c r="F169" s="11">
        <f t="shared" si="15"/>
        <v>-7.4772336298395583</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-7.3236135494517107</v>
      </c>
      <c r="E170" s="11">
        <f>A170-'Mastercurve bestimmen'!$B$2</f>
        <v>-45</v>
      </c>
      <c r="F170" s="11">
        <f t="shared" si="15"/>
        <v>-7.3236135494517107</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-7.1692506033164065</v>
      </c>
      <c r="E171" s="11">
        <f>A171-'Mastercurve bestimmen'!$B$2</f>
        <v>-44</v>
      </c>
      <c r="F171" s="11">
        <f t="shared" si="15"/>
        <v>-7.1692506033164065</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-7.0141792491212822</v>
      </c>
      <c r="E172" s="11">
        <f>A172-'Mastercurve bestimmen'!$B$2</f>
        <v>-43</v>
      </c>
      <c r="F172" s="11">
        <f t="shared" si="15"/>
        <v>-7.0141792491212822</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-6.8584339445539806</v>
      </c>
      <c r="E173" s="11">
        <f>A173-'Mastercurve bestimmen'!$B$2</f>
        <v>-42</v>
      </c>
      <c r="F173" s="11">
        <f t="shared" si="15"/>
        <v>-6.8584339445539806</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-6.7020491473021391</v>
      </c>
      <c r="E174" s="11">
        <f>A174-'Mastercurve bestimmen'!$B$2</f>
        <v>-41</v>
      </c>
      <c r="F174" s="11">
        <f t="shared" si="15"/>
        <v>-6.7020491473021391</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-6.5450593150533996</v>
      </c>
      <c r="E175" s="11">
        <f>A175-'Mastercurve bestimmen'!$B$2</f>
        <v>-40</v>
      </c>
      <c r="F175" s="11">
        <f t="shared" si="15"/>
        <v>-6.5450593150533996</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-6.3874989054953994</v>
      </c>
      <c r="E176" s="11">
        <f>A176-'Mastercurve bestimmen'!$B$2</f>
        <v>-39</v>
      </c>
      <c r="F176" s="11">
        <f t="shared" si="15"/>
        <v>-6.3874989054953994</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-6.2294023763157806</v>
      </c>
      <c r="E177" s="11">
        <f>A177-'Mastercurve bestimmen'!$B$2</f>
        <v>-38</v>
      </c>
      <c r="F177" s="11">
        <f t="shared" si="15"/>
        <v>-6.2294023763157806</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-6.0708041852021815</v>
      </c>
      <c r="E178" s="11">
        <f>A178-'Mastercurve bestimmen'!$B$2</f>
        <v>-37</v>
      </c>
      <c r="F178" s="11">
        <f t="shared" si="15"/>
        <v>-6.0708041852021815</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-5.911738789842242</v>
      </c>
      <c r="E179" s="11">
        <f>A179-'Mastercurve bestimmen'!$B$2</f>
        <v>-36</v>
      </c>
      <c r="F179" s="11">
        <f t="shared" si="15"/>
        <v>-5.911738789842242</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-5.7522406479236023</v>
      </c>
      <c r="E180" s="11">
        <f>A180-'Mastercurve bestimmen'!$B$2</f>
        <v>-35</v>
      </c>
      <c r="F180" s="11">
        <f t="shared" si="15"/>
        <v>-5.7522406479236023</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-5.5923403707996338</v>
      </c>
      <c r="E181" s="11">
        <f>A181-'Mastercurve bestimmen'!$B$2</f>
        <v>-34</v>
      </c>
      <c r="F181" s="11">
        <f t="shared" si="15"/>
        <v>-5.5923403707996338</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-5.4320531844866355</v>
      </c>
      <c r="E182" s="11">
        <f>A182-'Mastercurve bestimmen'!$B$2</f>
        <v>-33</v>
      </c>
      <c r="F182" s="11">
        <f t="shared" si="15"/>
        <v>-5.4320531844866355</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-5.2713904686666364</v>
      </c>
      <c r="E183" s="11">
        <f>A183-'Mastercurve bestimmen'!$B$2</f>
        <v>-32</v>
      </c>
      <c r="F183" s="11">
        <f t="shared" si="15"/>
        <v>-5.2713904686666364</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-5.1103636030216677</v>
      </c>
      <c r="E184" s="11">
        <f>A184-'Mastercurve bestimmen'!$B$2</f>
        <v>-31</v>
      </c>
      <c r="F184" s="11">
        <f t="shared" si="15"/>
        <v>-5.1103636030216677</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-4.9489839672337599</v>
      </c>
      <c r="E185" s="11">
        <f>A185-'Mastercurve bestimmen'!$B$2</f>
        <v>-30</v>
      </c>
      <c r="F185" s="11">
        <f t="shared" si="15"/>
        <v>-4.9489839672337599</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-4.7872629409849425</v>
      </c>
      <c r="E186" s="11">
        <f>A186-'Mastercurve bestimmen'!$B$2</f>
        <v>-29</v>
      </c>
      <c r="F186" s="11">
        <f t="shared" si="15"/>
        <v>-4.7872629409849425</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-4.625211903957247</v>
      </c>
      <c r="E187" s="11">
        <f>A187-'Mastercurve bestimmen'!$B$2</f>
        <v>-28</v>
      </c>
      <c r="F187" s="11">
        <f t="shared" si="15"/>
        <v>-4.625211903957247</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-4.4628422358327029</v>
      </c>
      <c r="E188" s="11">
        <f>A188-'Mastercurve bestimmen'!$B$2</f>
        <v>-27</v>
      </c>
      <c r="F188" s="11">
        <f t="shared" si="15"/>
        <v>-4.4628422358327029</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-4.3001653162933398</v>
      </c>
      <c r="E189" s="11">
        <f>A189-'Mastercurve bestimmen'!$B$2</f>
        <v>-26</v>
      </c>
      <c r="F189" s="11">
        <f t="shared" si="15"/>
        <v>-4.3001653162933398</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-4.1371925250211889</v>
      </c>
      <c r="E190" s="11">
        <f>A190-'Mastercurve bestimmen'!$B$2</f>
        <v>-25</v>
      </c>
      <c r="F190" s="11">
        <f t="shared" si="15"/>
        <v>-4.1371925250211889</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-3.9739352416982818</v>
      </c>
      <c r="E191" s="11">
        <f>A191-'Mastercurve bestimmen'!$B$2</f>
        <v>-24</v>
      </c>
      <c r="F191" s="11">
        <f t="shared" si="15"/>
        <v>-3.9739352416982818</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-3.8104048460066462</v>
      </c>
      <c r="E192" s="11">
        <f>A192-'Mastercurve bestimmen'!$B$2</f>
        <v>-23</v>
      </c>
      <c r="F192" s="11">
        <f t="shared" si="15"/>
        <v>-3.8104048460066462</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-3.6466127176283138</v>
      </c>
      <c r="E193" s="11">
        <f>A193-'Mastercurve bestimmen'!$B$2</f>
        <v>-22</v>
      </c>
      <c r="F193" s="11">
        <f t="shared" si="15"/>
        <v>-3.6466127176283138</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-3.4825702362453153</v>
      </c>
      <c r="E194" s="11">
        <f>A194-'Mastercurve bestimmen'!$B$2</f>
        <v>-21</v>
      </c>
      <c r="F194" s="11">
        <f t="shared" si="15"/>
        <v>-3.4825702362453153</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-3.3182887815396795</v>
      </c>
      <c r="E195" s="11">
        <f>A195-'Mastercurve bestimmen'!$B$2</f>
        <v>-20</v>
      </c>
      <c r="F195" s="11">
        <f t="shared" si="15"/>
        <v>-3.3182887815396795</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-3.1537797331934381</v>
      </c>
      <c r="E196" s="11">
        <f>A196-'Mastercurve bestimmen'!$B$2</f>
        <v>-19</v>
      </c>
      <c r="F196" s="11">
        <f t="shared" si="15"/>
        <v>-3.1537797331934381</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-2.9890544708886209</v>
      </c>
      <c r="E197" s="11">
        <f>A197-'Mastercurve bestimmen'!$B$2</f>
        <v>-18</v>
      </c>
      <c r="F197" s="11">
        <f t="shared" si="15"/>
        <v>-2.9890544708886209</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-2.8241243743072579</v>
      </c>
      <c r="E198" s="11">
        <f>A198-'Mastercurve bestimmen'!$B$2</f>
        <v>-17</v>
      </c>
      <c r="F198" s="11">
        <f t="shared" si="15"/>
        <v>-2.8241243743072579</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-2.6590008231313802</v>
      </c>
      <c r="E199" s="11">
        <f>A199-'Mastercurve bestimmen'!$B$2</f>
        <v>-16</v>
      </c>
      <c r="F199" s="11">
        <f t="shared" si="15"/>
        <v>-2.6590008231313802</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-2.4936951970430177</v>
      </c>
      <c r="E200" s="11">
        <f>A200-'Mastercurve bestimmen'!$B$2</f>
        <v>-15</v>
      </c>
      <c r="F200" s="11">
        <f t="shared" si="15"/>
        <v>-2.4936951970430177</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-2.3282188757241999</v>
      </c>
      <c r="E201" s="11">
        <f>A201-'Mastercurve bestimmen'!$B$2</f>
        <v>-14</v>
      </c>
      <c r="F201" s="11">
        <f t="shared" si="15"/>
        <v>-2.3282188757241999</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-2.1625832388569588</v>
      </c>
      <c r="E202" s="11">
        <f>A202-'Mastercurve bestimmen'!$B$2</f>
        <v>-13</v>
      </c>
      <c r="F202" s="11">
        <f t="shared" si="15"/>
        <v>-2.1625832388569588</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-1.9967996661233234</v>
      </c>
      <c r="E203" s="11">
        <f>A203-'Mastercurve bestimmen'!$B$2</f>
        <v>-12</v>
      </c>
      <c r="F203" s="11">
        <f t="shared" si="15"/>
        <v>-1.9967996661233234</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-1.8308795372053241</v>
      </c>
      <c r="E204" s="11">
        <f>A204-'Mastercurve bestimmen'!$B$2</f>
        <v>-11</v>
      </c>
      <c r="F204" s="11">
        <f t="shared" si="15"/>
        <v>-1.8308795372053241</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-1.6648342317849916</v>
      </c>
      <c r="E205" s="11">
        <f>A205-'Mastercurve bestimmen'!$B$2</f>
        <v>-10</v>
      </c>
      <c r="F205" s="11">
        <f t="shared" si="15"/>
        <v>-1.6648342317849916</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-1.4986751295443563</v>
      </c>
      <c r="E206" s="11">
        <f>A206-'Mastercurve bestimmen'!$B$2</f>
        <v>-9</v>
      </c>
      <c r="F206" s="11">
        <f t="shared" si="15"/>
        <v>-1.4986751295443563</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-1.332413610165448</v>
      </c>
      <c r="E207" s="11">
        <f>A207-'Mastercurve bestimmen'!$B$2</f>
        <v>-8</v>
      </c>
      <c r="F207" s="11">
        <f t="shared" si="15"/>
        <v>-1.332413610165448</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-1.1660610533302971</v>
      </c>
      <c r="E208" s="11">
        <f>A208-'Mastercurve bestimmen'!$B$2</f>
        <v>-7</v>
      </c>
      <c r="F208" s="11">
        <f t="shared" ref="F208:F215" si="21">B208</f>
        <v>-1.1660610533302971</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-0.99962883872093444</v>
      </c>
      <c r="E209" s="11">
        <f>A209-'Mastercurve bestimmen'!$B$2</f>
        <v>-6</v>
      </c>
      <c r="F209" s="11">
        <f t="shared" si="21"/>
        <v>-0.99962883872093444</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-0.83312834601938979</v>
      </c>
      <c r="E210" s="11">
        <f>A210-'Mastercurve bestimmen'!$B$2</f>
        <v>-5</v>
      </c>
      <c r="F210" s="11">
        <f t="shared" si="21"/>
        <v>-0.83312834601938979</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-0.66657095490769369</v>
      </c>
      <c r="E211" s="11">
        <f>A211-'Mastercurve bestimmen'!$B$2</f>
        <v>-4</v>
      </c>
      <c r="F211" s="11">
        <f t="shared" si="21"/>
        <v>-0.66657095490769369</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-0.49996804506787634</v>
      </c>
      <c r="E212" s="11">
        <f>A212-'Mastercurve bestimmen'!$B$2</f>
        <v>-3</v>
      </c>
      <c r="F212" s="11">
        <f t="shared" si="21"/>
        <v>-0.49996804506787634</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-0.33333099618196804</v>
      </c>
      <c r="E213" s="11">
        <f>A213-'Mastercurve bestimmen'!$B$2</f>
        <v>-2</v>
      </c>
      <c r="F213" s="11">
        <f t="shared" si="21"/>
        <v>-0.33333099618196804</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-0.16667118793199917</v>
      </c>
      <c r="E214" s="11">
        <f>A214-'Mastercurve bestimmen'!$B$2</f>
        <v>-1</v>
      </c>
      <c r="F214" s="11">
        <f t="shared" si="21"/>
        <v>-0.16667118793199917</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0.16705553559392336</v>
      </c>
      <c r="J217" s="98">
        <v>-1.369763955103716E-4</v>
      </c>
      <c r="K217" s="98">
        <v>-1.9380469575411443E-5</v>
      </c>
      <c r="L217" s="98">
        <v>-6.958783840210885E-7</v>
      </c>
      <c r="M217" s="98">
        <v>-1.2350881475956887E-8</v>
      </c>
      <c r="N217" s="98">
        <v>-1.0343130358375534E-10</v>
      </c>
      <c r="O217" s="98">
        <v>-4.0300762608368391E-13</v>
      </c>
      <c r="P217" s="98">
        <v>-5.9258388019197073E-16</v>
      </c>
    </row>
    <row r="218" spans="1:16" x14ac:dyDescent="0.25">
      <c r="G218" s="11"/>
      <c r="H218" s="11">
        <v>0</v>
      </c>
      <c r="I218" s="11">
        <v>1.7108878240524594E-3</v>
      </c>
      <c r="J218" s="11">
        <v>1.6967593392684847E-4</v>
      </c>
      <c r="K218" s="3">
        <v>6.437991973642419E-6</v>
      </c>
      <c r="L218" s="3">
        <v>1.2272983909069784E-7</v>
      </c>
      <c r="M218" s="3">
        <v>1.2921113452843358E-9</v>
      </c>
      <c r="N218" s="3">
        <v>7.6228147470972534E-12</v>
      </c>
      <c r="O218" s="11">
        <v>2.3599057322034581E-14</v>
      </c>
      <c r="P218" s="11">
        <v>2.9837807563589432E-17</v>
      </c>
    </row>
    <row r="219" spans="1:16" x14ac:dyDescent="0.25">
      <c r="G219" s="11"/>
      <c r="H219" s="11">
        <v>0.99999757929822031</v>
      </c>
      <c r="I219" s="11">
        <v>2.3363827816964753E-2</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-23.090297244078783</v>
      </c>
      <c r="G222">
        <f>F15</f>
        <v>-23.042979917580961</v>
      </c>
    </row>
    <row r="223" spans="1:16" x14ac:dyDescent="0.25">
      <c r="E223" s="11">
        <f t="shared" ref="E223:E286" si="25">E16</f>
        <v>-199</v>
      </c>
      <c r="F223" s="11">
        <f t="shared" ref="F223:F286" si="26">$H$217*0+E223*$I$217+E223^2*$J$217+E223^3*$K$217+E223^4*$L$217+E223^5*$M$217+E223^6*$N$217+E223^7*$O$217+E223^8*$P$217</f>
        <v>-23.015081870331642</v>
      </c>
      <c r="G223" s="11">
        <f t="shared" ref="G223:G286" si="27">F16</f>
        <v>-22.991544653244759</v>
      </c>
    </row>
    <row r="224" spans="1:16" x14ac:dyDescent="0.25">
      <c r="E224" s="11">
        <f t="shared" si="25"/>
        <v>-198</v>
      </c>
      <c r="F224" s="11">
        <f t="shared" si="26"/>
        <v>-22.945739137883493</v>
      </c>
      <c r="G224" s="11">
        <f t="shared" si="27"/>
        <v>-22.939989275225493</v>
      </c>
    </row>
    <row r="225" spans="5:7" x14ac:dyDescent="0.25">
      <c r="E225" s="11">
        <f t="shared" si="25"/>
        <v>-197</v>
      </c>
      <c r="F225" s="11">
        <f t="shared" si="26"/>
        <v>-22.881224939266758</v>
      </c>
      <c r="G225" s="11">
        <f t="shared" si="27"/>
        <v>-22.888193669840117</v>
      </c>
    </row>
    <row r="226" spans="5:7" x14ac:dyDescent="0.25">
      <c r="E226" s="11">
        <f t="shared" si="25"/>
        <v>-196</v>
      </c>
      <c r="F226" s="11">
        <f t="shared" si="26"/>
        <v>-22.820580531646101</v>
      </c>
      <c r="G226" s="11">
        <f t="shared" si="27"/>
        <v>-22.836037723405564</v>
      </c>
    </row>
    <row r="227" spans="5:7" x14ac:dyDescent="0.25">
      <c r="E227" s="11">
        <f t="shared" si="25"/>
        <v>-195</v>
      </c>
      <c r="F227" s="11">
        <f t="shared" si="26"/>
        <v>-22.762928246831279</v>
      </c>
      <c r="G227" s="11">
        <f t="shared" si="27"/>
        <v>-22.783401322238774</v>
      </c>
    </row>
    <row r="228" spans="5:7" x14ac:dyDescent="0.25">
      <c r="E228" s="11">
        <f t="shared" si="25"/>
        <v>-194</v>
      </c>
      <c r="F228" s="11">
        <f t="shared" si="26"/>
        <v>-22.707467339269442</v>
      </c>
      <c r="G228" s="11">
        <f t="shared" si="27"/>
        <v>-22.730164352656693</v>
      </c>
    </row>
    <row r="229" spans="5:7" x14ac:dyDescent="0.25">
      <c r="E229" s="11">
        <f t="shared" si="25"/>
        <v>-193</v>
      </c>
      <c r="F229" s="11">
        <f t="shared" si="26"/>
        <v>-22.653469969339994</v>
      </c>
      <c r="G229" s="11">
        <f t="shared" si="27"/>
        <v>-22.676206700976262</v>
      </c>
    </row>
    <row r="230" spans="5:7" x14ac:dyDescent="0.25">
      <c r="E230" s="11">
        <f t="shared" si="25"/>
        <v>-192</v>
      </c>
      <c r="F230" s="11">
        <f t="shared" si="26"/>
        <v>-22.600277319313591</v>
      </c>
      <c r="G230" s="11">
        <f t="shared" si="27"/>
        <v>-22.621408253514421</v>
      </c>
    </row>
    <row r="231" spans="5:7" x14ac:dyDescent="0.25">
      <c r="E231" s="11">
        <f t="shared" si="25"/>
        <v>-191</v>
      </c>
      <c r="F231" s="11">
        <f t="shared" si="26"/>
        <v>-22.5472958393716</v>
      </c>
      <c r="G231" s="11">
        <f t="shared" si="27"/>
        <v>-22.565648896588112</v>
      </c>
    </row>
    <row r="232" spans="5:7" x14ac:dyDescent="0.25">
      <c r="E232" s="11">
        <f t="shared" si="25"/>
        <v>-190</v>
      </c>
      <c r="F232" s="11">
        <f t="shared" si="26"/>
        <v>-22.493993621064988</v>
      </c>
      <c r="G232" s="11">
        <f t="shared" si="27"/>
        <v>-22.508808516514279</v>
      </c>
    </row>
    <row r="233" spans="5:7" x14ac:dyDescent="0.25">
      <c r="E233" s="11">
        <f t="shared" si="25"/>
        <v>-189</v>
      </c>
      <c r="F233" s="11">
        <f t="shared" si="26"/>
        <v>-22.439896895680818</v>
      </c>
      <c r="G233" s="11">
        <f t="shared" si="27"/>
        <v>-22.450766999609861</v>
      </c>
    </row>
    <row r="234" spans="5:7" x14ac:dyDescent="0.25">
      <c r="E234" s="11">
        <f t="shared" si="25"/>
        <v>-188</v>
      </c>
      <c r="F234" s="11">
        <f t="shared" si="26"/>
        <v>-22.384586654943973</v>
      </c>
      <c r="G234" s="11">
        <f t="shared" si="27"/>
        <v>-22.391404232191796</v>
      </c>
    </row>
    <row r="235" spans="5:7" x14ac:dyDescent="0.25">
      <c r="E235" s="11">
        <f t="shared" si="25"/>
        <v>-187</v>
      </c>
      <c r="F235" s="11">
        <f t="shared" si="26"/>
        <v>-22.327695391543898</v>
      </c>
      <c r="G235" s="11">
        <f t="shared" si="27"/>
        <v>-22.330600100577033</v>
      </c>
    </row>
    <row r="236" spans="5:7" x14ac:dyDescent="0.25">
      <c r="E236" s="11">
        <f t="shared" si="25"/>
        <v>-186</v>
      </c>
      <c r="F236" s="11">
        <f t="shared" si="26"/>
        <v>-22.268903956994336</v>
      </c>
      <c r="G236" s="11">
        <f t="shared" si="27"/>
        <v>-22.268234491082509</v>
      </c>
    </row>
    <row r="237" spans="5:7" x14ac:dyDescent="0.25">
      <c r="E237" s="11">
        <f t="shared" si="25"/>
        <v>-185</v>
      </c>
      <c r="F237" s="11">
        <f t="shared" si="26"/>
        <v>-22.207938534345431</v>
      </c>
      <c r="G237" s="11">
        <f t="shared" si="27"/>
        <v>-22.204187290025168</v>
      </c>
    </row>
    <row r="238" spans="5:7" x14ac:dyDescent="0.25">
      <c r="E238" s="11">
        <f t="shared" si="25"/>
        <v>-184</v>
      </c>
      <c r="F238" s="11">
        <f t="shared" si="26"/>
        <v>-22.14456772330243</v>
      </c>
      <c r="G238" s="11">
        <f t="shared" si="27"/>
        <v>-22.138338383721948</v>
      </c>
    </row>
    <row r="239" spans="5:7" x14ac:dyDescent="0.25">
      <c r="E239" s="11">
        <f t="shared" si="25"/>
        <v>-183</v>
      </c>
      <c r="F239" s="11">
        <f t="shared" si="26"/>
        <v>-22.078599735323451</v>
      </c>
      <c r="G239" s="11">
        <f t="shared" si="27"/>
        <v>-22.070567658489793</v>
      </c>
    </row>
    <row r="240" spans="5:7" x14ac:dyDescent="0.25">
      <c r="E240" s="11">
        <f t="shared" si="25"/>
        <v>-182</v>
      </c>
      <c r="F240" s="11">
        <f t="shared" si="26"/>
        <v>-22.009879696308417</v>
      </c>
      <c r="G240" s="11">
        <f t="shared" si="27"/>
        <v>-22.000755000645643</v>
      </c>
    </row>
    <row r="241" spans="5:7" x14ac:dyDescent="0.25">
      <c r="E241" s="11">
        <f t="shared" si="25"/>
        <v>-181</v>
      </c>
      <c r="F241" s="11">
        <f t="shared" si="26"/>
        <v>-21.9382870544772</v>
      </c>
      <c r="G241" s="11">
        <f t="shared" si="27"/>
        <v>-21.928780296506446</v>
      </c>
    </row>
    <row r="242" spans="5:7" x14ac:dyDescent="0.25">
      <c r="E242" s="11">
        <f t="shared" si="25"/>
        <v>-180</v>
      </c>
      <c r="F242" s="11">
        <f t="shared" si="26"/>
        <v>-21.863733091112408</v>
      </c>
      <c r="G242" s="11">
        <f t="shared" si="27"/>
        <v>-21.854523432389129</v>
      </c>
    </row>
    <row r="243" spans="5:7" x14ac:dyDescent="0.25">
      <c r="E243" s="11">
        <f t="shared" si="25"/>
        <v>-179</v>
      </c>
      <c r="F243" s="11">
        <f t="shared" si="26"/>
        <v>-21.786158531809861</v>
      </c>
      <c r="G243" s="11">
        <f t="shared" si="27"/>
        <v>-21.777864294610652</v>
      </c>
    </row>
    <row r="244" spans="5:7" x14ac:dyDescent="0.25">
      <c r="E244" s="11">
        <f t="shared" si="25"/>
        <v>-178</v>
      </c>
      <c r="F244" s="11">
        <f t="shared" si="26"/>
        <v>-21.705531255960068</v>
      </c>
      <c r="G244" s="11">
        <f t="shared" si="27"/>
        <v>-21.698682769487945</v>
      </c>
    </row>
    <row r="245" spans="5:7" x14ac:dyDescent="0.25">
      <c r="E245" s="11">
        <f t="shared" si="25"/>
        <v>-177</v>
      </c>
      <c r="F245" s="11">
        <f t="shared" si="26"/>
        <v>-21.621844102148088</v>
      </c>
      <c r="G245" s="11">
        <f t="shared" si="27"/>
        <v>-21.61685874333795</v>
      </c>
    </row>
    <row r="246" spans="5:7" x14ac:dyDescent="0.25">
      <c r="E246" s="11">
        <f t="shared" si="25"/>
        <v>-176</v>
      </c>
      <c r="F246" s="11">
        <f t="shared" si="26"/>
        <v>-21.535112767240889</v>
      </c>
      <c r="G246" s="11">
        <f t="shared" si="27"/>
        <v>-21.532272102477609</v>
      </c>
    </row>
    <row r="247" spans="5:7" x14ac:dyDescent="0.25">
      <c r="E247" s="11">
        <f t="shared" si="25"/>
        <v>-175</v>
      </c>
      <c r="F247" s="11">
        <f t="shared" si="26"/>
        <v>-21.44537379691792</v>
      </c>
      <c r="G247" s="11">
        <f t="shared" si="27"/>
        <v>-21.444802733223867</v>
      </c>
    </row>
    <row r="248" spans="5:7" x14ac:dyDescent="0.25">
      <c r="E248" s="11">
        <f t="shared" si="25"/>
        <v>-174</v>
      </c>
      <c r="F248" s="11">
        <f t="shared" si="26"/>
        <v>-21.352682665424595</v>
      </c>
      <c r="G248" s="11">
        <f t="shared" si="27"/>
        <v>-21.354330521893662</v>
      </c>
    </row>
    <row r="249" spans="5:7" x14ac:dyDescent="0.25">
      <c r="E249" s="11">
        <f t="shared" si="25"/>
        <v>-173</v>
      </c>
      <c r="F249" s="11">
        <f t="shared" si="26"/>
        <v>-21.257111942385279</v>
      </c>
      <c r="G249" s="11">
        <f t="shared" si="27"/>
        <v>-21.260735354803941</v>
      </c>
    </row>
    <row r="250" spans="5:7" x14ac:dyDescent="0.25">
      <c r="E250" s="11">
        <f t="shared" si="25"/>
        <v>-172</v>
      </c>
      <c r="F250" s="11">
        <f t="shared" si="26"/>
        <v>-21.158749544491798</v>
      </c>
      <c r="G250" s="11">
        <f t="shared" si="27"/>
        <v>-21.163897118271635</v>
      </c>
    </row>
    <row r="251" spans="5:7" x14ac:dyDescent="0.25">
      <c r="E251" s="11">
        <f t="shared" si="25"/>
        <v>-171</v>
      </c>
      <c r="F251" s="11">
        <f t="shared" si="26"/>
        <v>-21.057697069946812</v>
      </c>
      <c r="G251" s="11">
        <f t="shared" si="27"/>
        <v>-21.063695698613696</v>
      </c>
    </row>
    <row r="252" spans="5:7" x14ac:dyDescent="0.25">
      <c r="E252" s="11">
        <f t="shared" si="25"/>
        <v>-170</v>
      </c>
      <c r="F252" s="11">
        <f t="shared" si="26"/>
        <v>-20.95406821353231</v>
      </c>
      <c r="G252" s="11">
        <f t="shared" si="27"/>
        <v>-20.960010982147061</v>
      </c>
    </row>
    <row r="253" spans="5:7" x14ac:dyDescent="0.25">
      <c r="E253" s="11">
        <f t="shared" si="25"/>
        <v>-169</v>
      </c>
      <c r="F253" s="11">
        <f t="shared" si="26"/>
        <v>-20.847987260225466</v>
      </c>
      <c r="G253" s="11">
        <f t="shared" si="27"/>
        <v>-20.852722855188674</v>
      </c>
    </row>
    <row r="254" spans="5:7" x14ac:dyDescent="0.25">
      <c r="E254" s="11">
        <f t="shared" si="25"/>
        <v>-168</v>
      </c>
      <c r="F254" s="11">
        <f t="shared" si="26"/>
        <v>-20.739587655288233</v>
      </c>
      <c r="G254" s="11">
        <f t="shared" si="27"/>
        <v>-20.74171120405547</v>
      </c>
    </row>
    <row r="255" spans="5:7" x14ac:dyDescent="0.25">
      <c r="E255" s="11">
        <f t="shared" si="25"/>
        <v>-167</v>
      </c>
      <c r="F255" s="11">
        <f t="shared" si="26"/>
        <v>-20.629010648790654</v>
      </c>
      <c r="G255" s="11">
        <f t="shared" si="27"/>
        <v>-20.626855915064397</v>
      </c>
    </row>
    <row r="256" spans="5:7" x14ac:dyDescent="0.25">
      <c r="E256" s="11">
        <f t="shared" si="25"/>
        <v>-166</v>
      </c>
      <c r="F256" s="11">
        <f t="shared" si="26"/>
        <v>-20.516404012548662</v>
      </c>
      <c r="G256" s="11">
        <f t="shared" si="27"/>
        <v>-20.508036874532397</v>
      </c>
    </row>
    <row r="257" spans="5:7" x14ac:dyDescent="0.25">
      <c r="E257" s="11">
        <f t="shared" si="25"/>
        <v>-165</v>
      </c>
      <c r="F257" s="11">
        <f t="shared" si="26"/>
        <v>-20.401920827481263</v>
      </c>
      <c r="G257" s="11">
        <f t="shared" si="27"/>
        <v>-20.385133968776412</v>
      </c>
    </row>
    <row r="258" spans="5:7" x14ac:dyDescent="0.25">
      <c r="E258" s="11">
        <f t="shared" si="25"/>
        <v>-164</v>
      </c>
      <c r="F258" s="11">
        <f t="shared" si="26"/>
        <v>-20.28571833941669</v>
      </c>
      <c r="G258" s="11">
        <f t="shared" si="27"/>
        <v>-20.258027084113372</v>
      </c>
    </row>
    <row r="259" spans="5:7" x14ac:dyDescent="0.25">
      <c r="E259" s="11">
        <f t="shared" si="25"/>
        <v>-163</v>
      </c>
      <c r="F259" s="11">
        <f t="shared" si="26"/>
        <v>-20.167956881399277</v>
      </c>
      <c r="G259" s="11">
        <f t="shared" si="27"/>
        <v>-20.126596106860234</v>
      </c>
    </row>
    <row r="260" spans="5:7" x14ac:dyDescent="0.25">
      <c r="E260" s="11">
        <f t="shared" si="25"/>
        <v>-162</v>
      </c>
      <c r="F260" s="11">
        <f t="shared" si="26"/>
        <v>-20.048798860577847</v>
      </c>
      <c r="G260" s="11">
        <f t="shared" si="27"/>
        <v>-19.990720923333935</v>
      </c>
    </row>
    <row r="261" spans="5:7" x14ac:dyDescent="0.25">
      <c r="E261" s="11">
        <f t="shared" si="25"/>
        <v>-161</v>
      </c>
      <c r="F261" s="11">
        <f t="shared" si="26"/>
        <v>-19.928407807768508</v>
      </c>
      <c r="G261" s="11">
        <f t="shared" si="27"/>
        <v>-19.850281419851409</v>
      </c>
    </row>
    <row r="262" spans="5:7" x14ac:dyDescent="0.25">
      <c r="E262" s="11">
        <f t="shared" si="25"/>
        <v>-160</v>
      </c>
      <c r="F262" s="11">
        <f t="shared" si="26"/>
        <v>-19.806947487826875</v>
      </c>
      <c r="G262" s="11">
        <f t="shared" si="27"/>
        <v>-19.705157482729604</v>
      </c>
    </row>
    <row r="263" spans="5:7" x14ac:dyDescent="0.25">
      <c r="E263" s="11">
        <f t="shared" si="25"/>
        <v>-159</v>
      </c>
      <c r="F263" s="11">
        <f t="shared" si="26"/>
        <v>-19.68458106896972</v>
      </c>
      <c r="G263" s="11">
        <f t="shared" si="27"/>
        <v>-19.614792477624167</v>
      </c>
    </row>
    <row r="264" spans="5:7" x14ac:dyDescent="0.25">
      <c r="E264" s="11">
        <f t="shared" si="25"/>
        <v>-158</v>
      </c>
      <c r="F264" s="11">
        <f t="shared" si="26"/>
        <v>-19.561470349221565</v>
      </c>
      <c r="G264" s="11">
        <f t="shared" si="27"/>
        <v>-19.519932085786841</v>
      </c>
    </row>
    <row r="265" spans="5:7" x14ac:dyDescent="0.25">
      <c r="E265" s="11">
        <f t="shared" si="25"/>
        <v>-157</v>
      </c>
      <c r="F265" s="11">
        <f t="shared" si="26"/>
        <v>-19.43777503818302</v>
      </c>
      <c r="G265" s="11">
        <f t="shared" si="27"/>
        <v>-19.420885467808077</v>
      </c>
    </row>
    <row r="266" spans="5:7" x14ac:dyDescent="0.25">
      <c r="E266" s="11">
        <f t="shared" si="25"/>
        <v>-156</v>
      </c>
      <c r="F266" s="11">
        <f t="shared" si="26"/>
        <v>-19.313652092342636</v>
      </c>
      <c r="G266" s="11">
        <f t="shared" si="27"/>
        <v>-19.317961784278324</v>
      </c>
    </row>
    <row r="267" spans="5:7" x14ac:dyDescent="0.25">
      <c r="E267" s="11">
        <f t="shared" si="25"/>
        <v>-155</v>
      </c>
      <c r="F267" s="11">
        <f t="shared" si="26"/>
        <v>-19.189255102170875</v>
      </c>
      <c r="G267" s="11">
        <f t="shared" si="27"/>
        <v>-19.211470195788031</v>
      </c>
    </row>
    <row r="268" spans="5:7" x14ac:dyDescent="0.25">
      <c r="E268" s="11">
        <f t="shared" si="25"/>
        <v>-154</v>
      </c>
      <c r="F268" s="11">
        <f t="shared" si="26"/>
        <v>-19.064733729271353</v>
      </c>
      <c r="G268" s="11">
        <f t="shared" si="27"/>
        <v>-19.101719862927649</v>
      </c>
    </row>
    <row r="269" spans="5:7" x14ac:dyDescent="0.25">
      <c r="E269" s="11">
        <f t="shared" si="25"/>
        <v>-153</v>
      </c>
      <c r="F269" s="11">
        <f t="shared" si="26"/>
        <v>-18.94023319187346</v>
      </c>
      <c r="G269" s="11">
        <f t="shared" si="27"/>
        <v>-18.989019946287623</v>
      </c>
    </row>
    <row r="270" spans="5:7" x14ac:dyDescent="0.25">
      <c r="E270" s="11">
        <f t="shared" si="25"/>
        <v>-152</v>
      </c>
      <c r="F270" s="11">
        <f t="shared" si="26"/>
        <v>-18.815893796991958</v>
      </c>
      <c r="G270" s="11">
        <f t="shared" si="27"/>
        <v>-18.87367960645841</v>
      </c>
    </row>
    <row r="271" spans="5:7" x14ac:dyDescent="0.25">
      <c r="E271" s="11">
        <f t="shared" si="25"/>
        <v>-151</v>
      </c>
      <c r="F271" s="11">
        <f t="shared" si="26"/>
        <v>-18.691850517582509</v>
      </c>
      <c r="G271" s="11">
        <f t="shared" si="27"/>
        <v>-18.756008004030456</v>
      </c>
    </row>
    <row r="272" spans="5:7" x14ac:dyDescent="0.25">
      <c r="E272" s="11">
        <f t="shared" si="25"/>
        <v>-150</v>
      </c>
      <c r="F272" s="11">
        <f t="shared" si="26"/>
        <v>-18.568232613064566</v>
      </c>
      <c r="G272" s="11">
        <f t="shared" si="27"/>
        <v>-18.636314299594208</v>
      </c>
    </row>
    <row r="273" spans="5:7" x14ac:dyDescent="0.25">
      <c r="E273" s="11">
        <f t="shared" si="25"/>
        <v>-149</v>
      </c>
      <c r="F273" s="11">
        <f t="shared" si="26"/>
        <v>-18.445163291595946</v>
      </c>
      <c r="G273" s="11">
        <f t="shared" si="27"/>
        <v>-18.514907653740117</v>
      </c>
    </row>
    <row r="274" spans="5:7" x14ac:dyDescent="0.25">
      <c r="E274" s="11">
        <f t="shared" si="25"/>
        <v>-148</v>
      </c>
      <c r="F274" s="11">
        <f t="shared" si="26"/>
        <v>-18.32275941251109</v>
      </c>
      <c r="G274" s="11">
        <f t="shared" si="27"/>
        <v>-18.392097227058638</v>
      </c>
    </row>
    <row r="275" spans="5:7" x14ac:dyDescent="0.25">
      <c r="E275" s="11">
        <f t="shared" si="25"/>
        <v>-147</v>
      </c>
      <c r="F275" s="11">
        <f t="shared" si="26"/>
        <v>-18.201131227356541</v>
      </c>
      <c r="G275" s="11">
        <f t="shared" si="27"/>
        <v>-18.268192180140218</v>
      </c>
    </row>
    <row r="276" spans="5:7" x14ac:dyDescent="0.25">
      <c r="E276" s="11">
        <f t="shared" si="25"/>
        <v>-146</v>
      </c>
      <c r="F276" s="11">
        <f t="shared" si="26"/>
        <v>-18.080382157987486</v>
      </c>
      <c r="G276" s="11">
        <f t="shared" si="27"/>
        <v>-18.143501673575305</v>
      </c>
    </row>
    <row r="277" spans="5:7" x14ac:dyDescent="0.25">
      <c r="E277" s="11">
        <f t="shared" si="25"/>
        <v>-145</v>
      </c>
      <c r="F277" s="11">
        <f t="shared" si="26"/>
        <v>-17.960608610202442</v>
      </c>
      <c r="G277" s="11">
        <f t="shared" si="27"/>
        <v>-18.018334867954351</v>
      </c>
    </row>
    <row r="278" spans="5:7" x14ac:dyDescent="0.25">
      <c r="E278" s="11">
        <f t="shared" si="25"/>
        <v>-144</v>
      </c>
      <c r="F278" s="11">
        <f t="shared" si="26"/>
        <v>-17.841899821427063</v>
      </c>
      <c r="G278" s="11">
        <f t="shared" si="27"/>
        <v>-17.893000923867799</v>
      </c>
    </row>
    <row r="279" spans="5:7" x14ac:dyDescent="0.25">
      <c r="E279" s="11">
        <f t="shared" si="25"/>
        <v>-143</v>
      </c>
      <c r="F279" s="11">
        <f t="shared" si="26"/>
        <v>-17.72433774097685</v>
      </c>
      <c r="G279" s="11">
        <f t="shared" si="27"/>
        <v>-17.767809001906105</v>
      </c>
    </row>
    <row r="280" spans="5:7" x14ac:dyDescent="0.25">
      <c r="E280" s="11">
        <f t="shared" si="25"/>
        <v>-142</v>
      </c>
      <c r="F280" s="11">
        <f t="shared" si="26"/>
        <v>-17.607996941452967</v>
      </c>
      <c r="G280" s="11">
        <f t="shared" si="27"/>
        <v>-17.643068262659721</v>
      </c>
    </row>
    <row r="281" spans="5:7" x14ac:dyDescent="0.25">
      <c r="E281" s="11">
        <f t="shared" si="25"/>
        <v>-141</v>
      </c>
      <c r="F281" s="11">
        <f t="shared" si="26"/>
        <v>-17.492944559850059</v>
      </c>
      <c r="G281" s="11">
        <f t="shared" si="27"/>
        <v>-17.51908786671909</v>
      </c>
    </row>
    <row r="282" spans="5:7" x14ac:dyDescent="0.25">
      <c r="E282" s="11">
        <f t="shared" si="25"/>
        <v>-140</v>
      </c>
      <c r="F282" s="11">
        <f t="shared" si="26"/>
        <v>-17.379240266979451</v>
      </c>
      <c r="G282" s="11">
        <f t="shared" si="27"/>
        <v>-17.396176974674667</v>
      </c>
    </row>
    <row r="283" spans="5:7" x14ac:dyDescent="0.25">
      <c r="E283" s="11">
        <f t="shared" si="25"/>
        <v>-139</v>
      </c>
      <c r="F283" s="11">
        <f t="shared" si="26"/>
        <v>-17.266936263833401</v>
      </c>
      <c r="G283" s="11">
        <f t="shared" si="27"/>
        <v>-17.274644747116898</v>
      </c>
    </row>
    <row r="284" spans="5:7" x14ac:dyDescent="0.25">
      <c r="E284" s="11">
        <f t="shared" si="25"/>
        <v>-138</v>
      </c>
      <c r="F284" s="11">
        <f t="shared" si="26"/>
        <v>-17.15607730353905</v>
      </c>
      <c r="G284" s="11">
        <f t="shared" si="27"/>
        <v>-17.154800344636236</v>
      </c>
    </row>
    <row r="285" spans="5:7" x14ac:dyDescent="0.25">
      <c r="E285" s="11">
        <f t="shared" si="25"/>
        <v>-137</v>
      </c>
      <c r="F285" s="11">
        <f t="shared" si="26"/>
        <v>-17.046700737580224</v>
      </c>
      <c r="G285" s="11">
        <f t="shared" si="27"/>
        <v>-17.036952927823126</v>
      </c>
    </row>
    <row r="286" spans="5:7" x14ac:dyDescent="0.25">
      <c r="E286" s="11">
        <f t="shared" si="25"/>
        <v>-136</v>
      </c>
      <c r="F286" s="11">
        <f t="shared" si="26"/>
        <v>-16.938836584981502</v>
      </c>
      <c r="G286" s="11">
        <f t="shared" si="27"/>
        <v>-16.921411657268024</v>
      </c>
    </row>
    <row r="287" spans="5:7" x14ac:dyDescent="0.25">
      <c r="E287" s="11">
        <f t="shared" ref="E287:E350" si="28">E80</f>
        <v>-135</v>
      </c>
      <c r="F287" s="11">
        <f t="shared" ref="F287:F350" si="29">$H$217*0+E287*$I$217+E287^2*$J$217+E287^3*$K$217+E287^4*$L$217+E287^5*$M$217+E287^6*$N$217+E287^7*$O$217+E287^8*$P$217</f>
        <v>-16.832507623178202</v>
      </c>
      <c r="G287" s="11">
        <f t="shared" ref="G287:G350" si="30">F80</f>
        <v>-16.808485693561376</v>
      </c>
    </row>
    <row r="288" spans="5:7" x14ac:dyDescent="0.25">
      <c r="E288" s="11">
        <f t="shared" si="28"/>
        <v>-134</v>
      </c>
      <c r="F288" s="11">
        <f t="shared" si="29"/>
        <v>-16.727729499317576</v>
      </c>
      <c r="G288" s="11">
        <f t="shared" si="30"/>
        <v>-16.698412519791596</v>
      </c>
    </row>
    <row r="289" spans="5:7" x14ac:dyDescent="0.25">
      <c r="E289" s="11">
        <f t="shared" si="28"/>
        <v>-133</v>
      </c>
      <c r="F289" s="11">
        <f t="shared" si="29"/>
        <v>-16.624510860762051</v>
      </c>
      <c r="G289" s="11">
        <f t="shared" si="30"/>
        <v>-16.591142909038979</v>
      </c>
    </row>
    <row r="290" spans="5:7" x14ac:dyDescent="0.25">
      <c r="E290" s="11">
        <f t="shared" si="28"/>
        <v>-132</v>
      </c>
      <c r="F290" s="11">
        <f t="shared" si="29"/>
        <v>-16.522853503586937</v>
      </c>
      <c r="G290" s="11">
        <f t="shared" si="30"/>
        <v>-16.486555956881773</v>
      </c>
    </row>
    <row r="291" spans="5:7" x14ac:dyDescent="0.25">
      <c r="E291" s="11">
        <f t="shared" si="28"/>
        <v>-131</v>
      </c>
      <c r="F291" s="11">
        <f t="shared" si="29"/>
        <v>-16.422752537890119</v>
      </c>
      <c r="G291" s="11">
        <f t="shared" si="30"/>
        <v>-16.384530758898233</v>
      </c>
    </row>
    <row r="292" spans="5:7" x14ac:dyDescent="0.25">
      <c r="E292" s="11">
        <f t="shared" si="28"/>
        <v>-130</v>
      </c>
      <c r="F292" s="11">
        <f t="shared" si="29"/>
        <v>-16.324196568756442</v>
      </c>
      <c r="G292" s="11">
        <f t="shared" si="30"/>
        <v>-16.284946410666613</v>
      </c>
    </row>
    <row r="293" spans="5:7" x14ac:dyDescent="0.25">
      <c r="E293" s="11">
        <f t="shared" si="28"/>
        <v>-129</v>
      </c>
      <c r="F293" s="11">
        <f t="shared" si="29"/>
        <v>-16.227167891741431</v>
      </c>
      <c r="G293" s="11">
        <f t="shared" si="30"/>
        <v>-16.187682007765169</v>
      </c>
    </row>
    <row r="294" spans="5:7" x14ac:dyDescent="0.25">
      <c r="E294" s="11">
        <f t="shared" si="28"/>
        <v>-128</v>
      </c>
      <c r="F294" s="11">
        <f t="shared" si="29"/>
        <v>-16.131642701762154</v>
      </c>
      <c r="G294" s="11">
        <f t="shared" si="30"/>
        <v>-16.092616645772154</v>
      </c>
    </row>
    <row r="295" spans="5:7" x14ac:dyDescent="0.25">
      <c r="E295" s="11">
        <f t="shared" si="28"/>
        <v>-127</v>
      </c>
      <c r="F295" s="11">
        <f t="shared" si="29"/>
        <v>-16.03759131431157</v>
      </c>
      <c r="G295" s="11">
        <f t="shared" si="30"/>
        <v>-15.999629420265821</v>
      </c>
    </row>
    <row r="296" spans="5:7" x14ac:dyDescent="0.25">
      <c r="E296" s="11">
        <f t="shared" si="28"/>
        <v>-126</v>
      </c>
      <c r="F296" s="11">
        <f t="shared" si="29"/>
        <v>-15.944978397930214</v>
      </c>
      <c r="G296" s="11">
        <f t="shared" si="30"/>
        <v>-15.908599426824427</v>
      </c>
    </row>
    <row r="297" spans="5:7" x14ac:dyDescent="0.25">
      <c r="E297" s="11">
        <f t="shared" si="28"/>
        <v>-125</v>
      </c>
      <c r="F297" s="11">
        <f t="shared" si="29"/>
        <v>-15.853763216897839</v>
      </c>
      <c r="G297" s="11">
        <f t="shared" si="30"/>
        <v>-15.819405761026223</v>
      </c>
    </row>
    <row r="298" spans="5:7" x14ac:dyDescent="0.25">
      <c r="E298" s="11">
        <f t="shared" si="28"/>
        <v>-124</v>
      </c>
      <c r="F298" s="11">
        <f t="shared" si="29"/>
        <v>-15.763899883129412</v>
      </c>
      <c r="G298" s="11">
        <f t="shared" si="30"/>
        <v>-15.731927518449464</v>
      </c>
    </row>
    <row r="299" spans="5:7" x14ac:dyDescent="0.25">
      <c r="E299" s="11">
        <f t="shared" si="28"/>
        <v>-123</v>
      </c>
      <c r="F299" s="11">
        <f t="shared" si="29"/>
        <v>-15.675337616284168</v>
      </c>
      <c r="G299" s="11">
        <f t="shared" si="30"/>
        <v>-15.646043794672405</v>
      </c>
    </row>
    <row r="300" spans="5:7" x14ac:dyDescent="0.25">
      <c r="E300" s="11">
        <f t="shared" si="28"/>
        <v>-122</v>
      </c>
      <c r="F300" s="11">
        <f t="shared" si="29"/>
        <v>-15.588021011120148</v>
      </c>
      <c r="G300" s="11">
        <f t="shared" si="30"/>
        <v>-15.561633685273298</v>
      </c>
    </row>
    <row r="301" spans="5:7" x14ac:dyDescent="0.25">
      <c r="E301" s="11">
        <f t="shared" si="28"/>
        <v>-121</v>
      </c>
      <c r="F301" s="11">
        <f t="shared" si="29"/>
        <v>-15.501890311150785</v>
      </c>
      <c r="G301" s="11">
        <f t="shared" si="30"/>
        <v>-15.478576285830401</v>
      </c>
    </row>
    <row r="302" spans="5:7" x14ac:dyDescent="0.25">
      <c r="E302" s="11">
        <f t="shared" si="28"/>
        <v>-120</v>
      </c>
      <c r="F302" s="11">
        <f t="shared" si="29"/>
        <v>-15.416881687684686</v>
      </c>
      <c r="G302" s="11">
        <f t="shared" si="30"/>
        <v>-15.396750691921964</v>
      </c>
    </row>
    <row r="303" spans="5:7" x14ac:dyDescent="0.25">
      <c r="E303" s="11">
        <f t="shared" si="28"/>
        <v>-119</v>
      </c>
      <c r="F303" s="11">
        <f t="shared" si="29"/>
        <v>-15.332927523351003</v>
      </c>
      <c r="G303" s="11">
        <f t="shared" si="30"/>
        <v>-15.316035999126244</v>
      </c>
    </row>
    <row r="304" spans="5:7" x14ac:dyDescent="0.25">
      <c r="E304" s="11">
        <f t="shared" si="28"/>
        <v>-118</v>
      </c>
      <c r="F304" s="11">
        <f t="shared" si="29"/>
        <v>-15.249956699240762</v>
      </c>
      <c r="G304" s="11">
        <f t="shared" si="30"/>
        <v>-15.236311303021493</v>
      </c>
    </row>
    <row r="305" spans="5:7" x14ac:dyDescent="0.25">
      <c r="E305" s="11">
        <f t="shared" si="28"/>
        <v>-117</v>
      </c>
      <c r="F305" s="11">
        <f t="shared" si="29"/>
        <v>-15.167894884814299</v>
      </c>
      <c r="G305" s="11">
        <f t="shared" si="30"/>
        <v>-15.157455699185967</v>
      </c>
    </row>
    <row r="306" spans="5:7" x14ac:dyDescent="0.25">
      <c r="E306" s="11">
        <f t="shared" si="28"/>
        <v>-116</v>
      </c>
      <c r="F306" s="11">
        <f t="shared" si="29"/>
        <v>-15.086664829752539</v>
      </c>
      <c r="G306" s="11">
        <f t="shared" si="30"/>
        <v>-15.07934828319792</v>
      </c>
    </row>
    <row r="307" spans="5:7" x14ac:dyDescent="0.25">
      <c r="E307" s="11">
        <f t="shared" si="28"/>
        <v>-115</v>
      </c>
      <c r="F307" s="11">
        <f t="shared" si="29"/>
        <v>-15.006186656950295</v>
      </c>
      <c r="G307" s="11">
        <f t="shared" si="30"/>
        <v>-15.001868150635604</v>
      </c>
    </row>
    <row r="308" spans="5:7" x14ac:dyDescent="0.25">
      <c r="E308" s="11">
        <f t="shared" si="28"/>
        <v>-114</v>
      </c>
      <c r="F308" s="11">
        <f t="shared" si="29"/>
        <v>-14.926378155876197</v>
      </c>
      <c r="G308" s="11">
        <f t="shared" si="30"/>
        <v>-14.924894397077276</v>
      </c>
    </row>
    <row r="309" spans="5:7" x14ac:dyDescent="0.25">
      <c r="E309" s="11">
        <f t="shared" si="28"/>
        <v>-113</v>
      </c>
      <c r="F309" s="11">
        <f t="shared" si="29"/>
        <v>-14.847155075546976</v>
      </c>
      <c r="G309" s="11">
        <f t="shared" si="30"/>
        <v>-14.848306118101188</v>
      </c>
    </row>
    <row r="310" spans="5:7" x14ac:dyDescent="0.25">
      <c r="E310" s="11">
        <f t="shared" si="28"/>
        <v>-112</v>
      </c>
      <c r="F310" s="11">
        <f t="shared" si="29"/>
        <v>-14.76843141638745</v>
      </c>
      <c r="G310" s="11">
        <f t="shared" si="30"/>
        <v>-14.771982409285593</v>
      </c>
    </row>
    <row r="311" spans="5:7" x14ac:dyDescent="0.25">
      <c r="E311" s="11">
        <f t="shared" si="28"/>
        <v>-111</v>
      </c>
      <c r="F311" s="11">
        <f t="shared" si="29"/>
        <v>-14.690119720270914</v>
      </c>
      <c r="G311" s="11">
        <f t="shared" si="30"/>
        <v>-14.695802366208749</v>
      </c>
    </row>
    <row r="312" spans="5:7" x14ac:dyDescent="0.25">
      <c r="E312" s="11">
        <f t="shared" si="28"/>
        <v>-110</v>
      </c>
      <c r="F312" s="11">
        <f t="shared" si="29"/>
        <v>-14.612131358060743</v>
      </c>
      <c r="G312" s="11">
        <f t="shared" si="30"/>
        <v>-14.619645084448907</v>
      </c>
    </row>
    <row r="313" spans="5:7" x14ac:dyDescent="0.25">
      <c r="E313" s="11">
        <f t="shared" si="28"/>
        <v>-109</v>
      </c>
      <c r="F313" s="11">
        <f t="shared" si="29"/>
        <v>-14.534376813994847</v>
      </c>
      <c r="G313" s="11">
        <f t="shared" si="30"/>
        <v>-14.54339952842289</v>
      </c>
    </row>
    <row r="314" spans="5:7" x14ac:dyDescent="0.25">
      <c r="E314" s="11">
        <f t="shared" si="28"/>
        <v>-108</v>
      </c>
      <c r="F314" s="11">
        <f t="shared" si="29"/>
        <v>-14.45676596628123</v>
      </c>
      <c r="G314" s="11">
        <f t="shared" si="30"/>
        <v>-14.466994137901795</v>
      </c>
    </row>
    <row r="315" spans="5:7" x14ac:dyDescent="0.25">
      <c r="E315" s="11">
        <f t="shared" si="28"/>
        <v>-107</v>
      </c>
      <c r="F315" s="11">
        <f t="shared" si="29"/>
        <v>-14.379208363294902</v>
      </c>
      <c r="G315" s="11">
        <f t="shared" si="30"/>
        <v>-14.390367221495282</v>
      </c>
    </row>
    <row r="316" spans="5:7" x14ac:dyDescent="0.25">
      <c r="E316" s="11">
        <f t="shared" si="28"/>
        <v>-106</v>
      </c>
      <c r="F316" s="11">
        <f t="shared" si="29"/>
        <v>-14.301613494791388</v>
      </c>
      <c r="G316" s="11">
        <f t="shared" si="30"/>
        <v>-14.313457087813015</v>
      </c>
    </row>
    <row r="317" spans="5:7" x14ac:dyDescent="0.25">
      <c r="E317" s="11">
        <f t="shared" si="28"/>
        <v>-105</v>
      </c>
      <c r="F317" s="11">
        <f t="shared" si="29"/>
        <v>-14.223891057575669</v>
      </c>
      <c r="G317" s="11">
        <f t="shared" si="30"/>
        <v>-14.23620204546466</v>
      </c>
    </row>
    <row r="318" spans="5:7" x14ac:dyDescent="0.25">
      <c r="E318" s="11">
        <f t="shared" si="28"/>
        <v>-104</v>
      </c>
      <c r="F318" s="11">
        <f t="shared" si="29"/>
        <v>-14.145951215088594</v>
      </c>
      <c r="G318" s="11">
        <f t="shared" si="30"/>
        <v>-14.158540403059874</v>
      </c>
    </row>
    <row r="319" spans="5:7" x14ac:dyDescent="0.25">
      <c r="E319" s="11">
        <f t="shared" si="28"/>
        <v>-103</v>
      </c>
      <c r="F319" s="11">
        <f t="shared" si="29"/>
        <v>-14.067704850398343</v>
      </c>
      <c r="G319" s="11">
        <f t="shared" si="30"/>
        <v>-14.080410469208326</v>
      </c>
    </row>
    <row r="320" spans="5:7" x14ac:dyDescent="0.25">
      <c r="E320" s="11">
        <f t="shared" si="28"/>
        <v>-102</v>
      </c>
      <c r="F320" s="11">
        <f t="shared" si="29"/>
        <v>-13.989063812106508</v>
      </c>
      <c r="G320" s="11">
        <f t="shared" si="30"/>
        <v>-14.001750552519677</v>
      </c>
    </row>
    <row r="321" spans="5:7" x14ac:dyDescent="0.25">
      <c r="E321" s="11">
        <f t="shared" si="28"/>
        <v>-101</v>
      </c>
      <c r="F321" s="11">
        <f t="shared" si="29"/>
        <v>-13.909941152703418</v>
      </c>
      <c r="G321" s="11">
        <f t="shared" si="30"/>
        <v>-13.922498961603591</v>
      </c>
    </row>
    <row r="322" spans="5:7" x14ac:dyDescent="0.25">
      <c r="E322" s="11">
        <f t="shared" si="28"/>
        <v>-100</v>
      </c>
      <c r="F322" s="11">
        <f t="shared" si="29"/>
        <v>-13.830251358931246</v>
      </c>
      <c r="G322" s="11">
        <f t="shared" si="30"/>
        <v>-13.842594005069728</v>
      </c>
    </row>
    <row r="323" spans="5:7" x14ac:dyDescent="0.25">
      <c r="E323" s="11">
        <f t="shared" si="28"/>
        <v>-99</v>
      </c>
      <c r="F323" s="11">
        <f t="shared" si="29"/>
        <v>-13.749910573736479</v>
      </c>
      <c r="G323" s="11">
        <f t="shared" si="30"/>
        <v>-13.761973991527755</v>
      </c>
    </row>
    <row r="324" spans="5:7" x14ac:dyDescent="0.25">
      <c r="E324" s="11">
        <f t="shared" si="28"/>
        <v>-98</v>
      </c>
      <c r="F324" s="11">
        <f t="shared" si="29"/>
        <v>-13.668836809418202</v>
      </c>
      <c r="G324" s="11">
        <f t="shared" si="30"/>
        <v>-13.680577229587334</v>
      </c>
    </row>
    <row r="325" spans="5:7" x14ac:dyDescent="0.25">
      <c r="E325" s="11">
        <f t="shared" si="28"/>
        <v>-97</v>
      </c>
      <c r="F325" s="11">
        <f t="shared" si="29"/>
        <v>-13.586950151601922</v>
      </c>
      <c r="G325" s="11">
        <f t="shared" si="30"/>
        <v>-13.598342027858127</v>
      </c>
    </row>
    <row r="326" spans="5:7" x14ac:dyDescent="0.25">
      <c r="E326" s="11">
        <f t="shared" si="28"/>
        <v>-96</v>
      </c>
      <c r="F326" s="11">
        <f t="shared" si="29"/>
        <v>-13.504172953692839</v>
      </c>
      <c r="G326" s="11">
        <f t="shared" si="30"/>
        <v>-13.515206694949796</v>
      </c>
    </row>
    <row r="327" spans="5:7" x14ac:dyDescent="0.25">
      <c r="E327" s="11">
        <f t="shared" si="28"/>
        <v>-95</v>
      </c>
      <c r="F327" s="11">
        <f t="shared" si="29"/>
        <v>-13.420430021486077</v>
      </c>
      <c r="G327" s="11">
        <f t="shared" si="30"/>
        <v>-13.431109539472008</v>
      </c>
    </row>
    <row r="328" spans="5:7" x14ac:dyDescent="0.25">
      <c r="E328" s="11">
        <f t="shared" si="28"/>
        <v>-94</v>
      </c>
      <c r="F328" s="11">
        <f t="shared" si="29"/>
        <v>-13.335648787635652</v>
      </c>
      <c r="G328" s="11">
        <f t="shared" si="30"/>
        <v>-13.345988870034422</v>
      </c>
    </row>
    <row r="329" spans="5:7" x14ac:dyDescent="0.25">
      <c r="E329" s="11">
        <f t="shared" si="28"/>
        <v>-93</v>
      </c>
      <c r="F329" s="11">
        <f t="shared" si="29"/>
        <v>-13.24975947570768</v>
      </c>
      <c r="G329" s="11">
        <f t="shared" si="30"/>
        <v>-13.259782995246704</v>
      </c>
    </row>
    <row r="330" spans="5:7" x14ac:dyDescent="0.25">
      <c r="E330" s="11">
        <f t="shared" si="28"/>
        <v>-92</v>
      </c>
      <c r="F330" s="11">
        <f t="shared" si="29"/>
        <v>-13.162695253567074</v>
      </c>
      <c r="G330" s="11">
        <f t="shared" si="30"/>
        <v>-13.172430223718516</v>
      </c>
    </row>
    <row r="331" spans="5:7" x14ac:dyDescent="0.25">
      <c r="E331" s="11">
        <f t="shared" si="28"/>
        <v>-91</v>
      </c>
      <c r="F331" s="11">
        <f t="shared" si="29"/>
        <v>-13.074392375870918</v>
      </c>
      <c r="G331" s="11">
        <f t="shared" si="30"/>
        <v>-13.083868864059522</v>
      </c>
    </row>
    <row r="332" spans="5:7" x14ac:dyDescent="0.25">
      <c r="E332" s="11">
        <f t="shared" si="28"/>
        <v>-90</v>
      </c>
      <c r="F332" s="11">
        <f t="shared" si="29"/>
        <v>-12.9847903154661</v>
      </c>
      <c r="G332" s="11">
        <f t="shared" si="30"/>
        <v>-12.994037224879383</v>
      </c>
    </row>
    <row r="333" spans="5:7" x14ac:dyDescent="0.25">
      <c r="E333" s="11">
        <f t="shared" si="28"/>
        <v>-89</v>
      </c>
      <c r="F333" s="11">
        <f t="shared" si="29"/>
        <v>-12.893831883511664</v>
      </c>
      <c r="G333" s="11">
        <f t="shared" si="30"/>
        <v>-12.902873614787765</v>
      </c>
    </row>
    <row r="334" spans="5:7" x14ac:dyDescent="0.25">
      <c r="E334" s="11">
        <f t="shared" si="28"/>
        <v>-88</v>
      </c>
      <c r="F334" s="11">
        <f t="shared" si="29"/>
        <v>-12.801463338171466</v>
      </c>
      <c r="G334" s="11">
        <f t="shared" si="30"/>
        <v>-12.810316342394328</v>
      </c>
    </row>
    <row r="335" spans="5:7" x14ac:dyDescent="0.25">
      <c r="E335" s="11">
        <f t="shared" si="28"/>
        <v>-87</v>
      </c>
      <c r="F335" s="11">
        <f t="shared" si="29"/>
        <v>-12.707634481745403</v>
      </c>
      <c r="G335" s="11">
        <f t="shared" si="30"/>
        <v>-12.71630371630874</v>
      </c>
    </row>
    <row r="336" spans="5:7" x14ac:dyDescent="0.25">
      <c r="E336" s="11">
        <f t="shared" si="28"/>
        <v>-86</v>
      </c>
      <c r="F336" s="11">
        <f t="shared" si="29"/>
        <v>-12.612298746132305</v>
      </c>
      <c r="G336" s="11">
        <f t="shared" si="30"/>
        <v>-12.62077404514066</v>
      </c>
    </row>
    <row r="337" spans="5:7" x14ac:dyDescent="0.25">
      <c r="E337" s="11">
        <f t="shared" si="28"/>
        <v>-85</v>
      </c>
      <c r="F337" s="11">
        <f t="shared" si="29"/>
        <v>-12.515413266541069</v>
      </c>
      <c r="G337" s="11">
        <f t="shared" si="30"/>
        <v>-12.523665637499748</v>
      </c>
    </row>
    <row r="338" spans="5:7" x14ac:dyDescent="0.25">
      <c r="E338" s="11">
        <f t="shared" si="28"/>
        <v>-84</v>
      </c>
      <c r="F338" s="11">
        <f t="shared" si="29"/>
        <v>-12.416938943390477</v>
      </c>
      <c r="G338" s="11">
        <f t="shared" si="30"/>
        <v>-12.424916801995675</v>
      </c>
    </row>
    <row r="339" spans="5:7" x14ac:dyDescent="0.25">
      <c r="E339" s="11">
        <f t="shared" si="28"/>
        <v>-83</v>
      </c>
      <c r="F339" s="11">
        <f t="shared" si="29"/>
        <v>-12.316840492362058</v>
      </c>
      <c r="G339" s="11">
        <f t="shared" si="30"/>
        <v>-12.324465847238098</v>
      </c>
    </row>
    <row r="340" spans="5:7" x14ac:dyDescent="0.25">
      <c r="E340" s="11">
        <f t="shared" si="28"/>
        <v>-82</v>
      </c>
      <c r="F340" s="11">
        <f t="shared" si="29"/>
        <v>-12.215086482594575</v>
      </c>
      <c r="G340" s="11">
        <f t="shared" si="30"/>
        <v>-12.222251081836685</v>
      </c>
    </row>
    <row r="341" spans="5:7" x14ac:dyDescent="0.25">
      <c r="E341" s="11">
        <f t="shared" si="28"/>
        <v>-81</v>
      </c>
      <c r="F341" s="11">
        <f t="shared" si="29"/>
        <v>-12.111649363031969</v>
      </c>
      <c r="G341" s="11">
        <f t="shared" si="30"/>
        <v>-12.118210814401094</v>
      </c>
    </row>
    <row r="342" spans="5:7" x14ac:dyDescent="0.25">
      <c r="E342" s="11">
        <f t="shared" si="28"/>
        <v>-80</v>
      </c>
      <c r="F342" s="11">
        <f t="shared" si="29"/>
        <v>-12.006505476961191</v>
      </c>
      <c r="G342" s="11">
        <f t="shared" si="30"/>
        <v>-12.012283353540992</v>
      </c>
    </row>
    <row r="343" spans="5:7" x14ac:dyDescent="0.25">
      <c r="E343" s="11">
        <f t="shared" si="28"/>
        <v>-79</v>
      </c>
      <c r="F343" s="11">
        <f t="shared" si="29"/>
        <v>-11.899635064799661</v>
      </c>
      <c r="G343" s="11">
        <f t="shared" si="30"/>
        <v>-11.904423032712371</v>
      </c>
    </row>
    <row r="344" spans="5:7" x14ac:dyDescent="0.25">
      <c r="E344" s="11">
        <f t="shared" si="28"/>
        <v>-78</v>
      </c>
      <c r="F344" s="11">
        <f t="shared" si="29"/>
        <v>-11.791022255216353</v>
      </c>
      <c r="G344" s="11">
        <f t="shared" si="30"/>
        <v>-11.794648284756542</v>
      </c>
    </row>
    <row r="345" spans="5:7" x14ac:dyDescent="0.25">
      <c r="E345" s="11">
        <f t="shared" si="28"/>
        <v>-77</v>
      </c>
      <c r="F345" s="11">
        <f t="shared" si="29"/>
        <v>-11.680655044694342</v>
      </c>
      <c r="G345" s="11">
        <f t="shared" si="30"/>
        <v>-11.682993567361141</v>
      </c>
    </row>
    <row r="346" spans="5:7" x14ac:dyDescent="0.25">
      <c r="E346" s="11">
        <f t="shared" si="28"/>
        <v>-76</v>
      </c>
      <c r="F346" s="11">
        <f t="shared" si="29"/>
        <v>-11.568525265666237</v>
      </c>
      <c r="G346" s="11">
        <f t="shared" si="30"/>
        <v>-11.569493338213809</v>
      </c>
    </row>
    <row r="347" spans="5:7" x14ac:dyDescent="0.25">
      <c r="E347" s="11">
        <f t="shared" si="28"/>
        <v>-75</v>
      </c>
      <c r="F347" s="11">
        <f t="shared" si="29"/>
        <v>-11.454628543378368</v>
      </c>
      <c r="G347" s="11">
        <f t="shared" si="30"/>
        <v>-11.454182055002187</v>
      </c>
    </row>
    <row r="348" spans="5:7" x14ac:dyDescent="0.25">
      <c r="E348" s="11">
        <f t="shared" si="28"/>
        <v>-74</v>
      </c>
      <c r="F348" s="11">
        <f t="shared" si="29"/>
        <v>-11.338964241662989</v>
      </c>
      <c r="G348" s="11">
        <f t="shared" si="30"/>
        <v>-11.337094175413915</v>
      </c>
    </row>
    <row r="349" spans="5:7" x14ac:dyDescent="0.25">
      <c r="E349" s="11">
        <f t="shared" si="28"/>
        <v>-73</v>
      </c>
      <c r="F349" s="11">
        <f t="shared" si="29"/>
        <v>-11.221535397821796</v>
      </c>
      <c r="G349" s="11">
        <f t="shared" si="30"/>
        <v>-11.218264157136632</v>
      </c>
    </row>
    <row r="350" spans="5:7" x14ac:dyDescent="0.25">
      <c r="E350" s="11">
        <f t="shared" si="28"/>
        <v>-72</v>
      </c>
      <c r="F350" s="11">
        <f t="shared" si="29"/>
        <v>-11.102348646848244</v>
      </c>
      <c r="G350" s="11">
        <f t="shared" si="30"/>
        <v>-11.097726457857979</v>
      </c>
    </row>
    <row r="351" spans="5:7" x14ac:dyDescent="0.25">
      <c r="E351" s="11">
        <f t="shared" ref="E351:E414" si="31">E144</f>
        <v>-71</v>
      </c>
      <c r="F351" s="11">
        <f t="shared" ref="F351:F414" si="32">$H$217*0+E351*$I$217+E351^2*$J$217+E351^3*$K$217+E351^4*$L$217+E351^5*$M$217+E351^6*$N$217+E351^7*$O$217+E351^8*$P$217</f>
        <v>-10.981414135239508</v>
      </c>
      <c r="G351" s="11">
        <f t="shared" ref="G351:G414" si="33">F144</f>
        <v>-10.975515535265593</v>
      </c>
    </row>
    <row r="352" spans="5:7" x14ac:dyDescent="0.25">
      <c r="E352" s="11">
        <f t="shared" si="31"/>
        <v>-70</v>
      </c>
      <c r="F352" s="11">
        <f t="shared" si="32"/>
        <v>-10.858745424673259</v>
      </c>
      <c r="G352" s="11">
        <f t="shared" si="33"/>
        <v>-10.851665847047116</v>
      </c>
    </row>
    <row r="353" spans="5:7" x14ac:dyDescent="0.25">
      <c r="E353" s="11">
        <f t="shared" si="31"/>
        <v>-69</v>
      </c>
      <c r="F353" s="11">
        <f t="shared" si="32"/>
        <v>-10.734359385848238</v>
      </c>
      <c r="G353" s="11">
        <f t="shared" si="33"/>
        <v>-10.72621185089019</v>
      </c>
    </row>
    <row r="354" spans="5:7" x14ac:dyDescent="0.25">
      <c r="E354" s="11">
        <f t="shared" si="31"/>
        <v>-68</v>
      </c>
      <c r="F354" s="11">
        <f t="shared" si="32"/>
        <v>-10.608276082811257</v>
      </c>
      <c r="G354" s="11">
        <f t="shared" si="33"/>
        <v>-10.599188004482448</v>
      </c>
    </row>
    <row r="355" spans="5:7" x14ac:dyDescent="0.25">
      <c r="E355" s="11">
        <f t="shared" si="31"/>
        <v>-67</v>
      </c>
      <c r="F355" s="11">
        <f t="shared" si="32"/>
        <v>-10.480518648117464</v>
      </c>
      <c r="G355" s="11">
        <f t="shared" si="33"/>
        <v>-10.470628765511535</v>
      </c>
    </row>
    <row r="356" spans="5:7" x14ac:dyDescent="0.25">
      <c r="E356" s="11">
        <f t="shared" si="31"/>
        <v>-66</v>
      </c>
      <c r="F356" s="11">
        <f t="shared" si="32"/>
        <v>-10.351113149194454</v>
      </c>
      <c r="G356" s="11">
        <f t="shared" si="33"/>
        <v>-10.34056859166509</v>
      </c>
    </row>
    <row r="357" spans="5:7" x14ac:dyDescent="0.25">
      <c r="E357" s="11">
        <f t="shared" si="31"/>
        <v>-65</v>
      </c>
      <c r="F357" s="11">
        <f t="shared" si="32"/>
        <v>-10.220088446304652</v>
      </c>
      <c r="G357" s="11">
        <f t="shared" si="33"/>
        <v>-10.209041940630749</v>
      </c>
    </row>
    <row r="358" spans="5:7" x14ac:dyDescent="0.25">
      <c r="E358" s="11">
        <f t="shared" si="31"/>
        <v>-64</v>
      </c>
      <c r="F358" s="11">
        <f t="shared" si="32"/>
        <v>-10.087476042524431</v>
      </c>
      <c r="G358" s="11">
        <f t="shared" si="33"/>
        <v>-10.076083270096159</v>
      </c>
    </row>
    <row r="359" spans="5:7" x14ac:dyDescent="0.25">
      <c r="E359" s="11">
        <f t="shared" si="31"/>
        <v>-63</v>
      </c>
      <c r="F359" s="11">
        <f t="shared" si="32"/>
        <v>-9.9533099261821576</v>
      </c>
      <c r="G359" s="11">
        <f t="shared" si="33"/>
        <v>-9.9417270377489562</v>
      </c>
    </row>
    <row r="360" spans="5:7" x14ac:dyDescent="0.25">
      <c r="E360" s="11">
        <f t="shared" si="31"/>
        <v>-62</v>
      </c>
      <c r="F360" s="11">
        <f t="shared" si="32"/>
        <v>-9.8176264062214074</v>
      </c>
      <c r="G360" s="11">
        <f t="shared" si="33"/>
        <v>-9.8060077012767763</v>
      </c>
    </row>
    <row r="361" spans="5:7" x14ac:dyDescent="0.25">
      <c r="E361" s="11">
        <f t="shared" si="31"/>
        <v>-61</v>
      </c>
      <c r="F361" s="11">
        <f t="shared" si="32"/>
        <v>-9.680463940979374</v>
      </c>
      <c r="G361" s="11">
        <f t="shared" si="33"/>
        <v>-9.6689597183672653</v>
      </c>
    </row>
    <row r="362" spans="5:7" x14ac:dyDescent="0.25">
      <c r="E362" s="11">
        <f t="shared" si="31"/>
        <v>-60</v>
      </c>
      <c r="F362" s="11">
        <f t="shared" si="32"/>
        <v>-9.5418629608944183</v>
      </c>
      <c r="G362" s="11">
        <f t="shared" si="33"/>
        <v>-9.5306175467080596</v>
      </c>
    </row>
    <row r="363" spans="5:7" x14ac:dyDescent="0.25">
      <c r="E363" s="11">
        <f t="shared" si="31"/>
        <v>-59</v>
      </c>
      <c r="F363" s="11">
        <f t="shared" si="32"/>
        <v>-9.4018656856806437</v>
      </c>
      <c r="G363" s="11">
        <f t="shared" si="33"/>
        <v>-9.3910156439867993</v>
      </c>
    </row>
    <row r="364" spans="5:7" x14ac:dyDescent="0.25">
      <c r="E364" s="11">
        <f t="shared" si="31"/>
        <v>-58</v>
      </c>
      <c r="F364" s="11">
        <f t="shared" si="32"/>
        <v>-9.2605159365311671</v>
      </c>
      <c r="G364" s="11">
        <f t="shared" si="33"/>
        <v>-9.2501884678911246</v>
      </c>
    </row>
    <row r="365" spans="5:7" x14ac:dyDescent="0.25">
      <c r="E365" s="11">
        <f t="shared" si="31"/>
        <v>-57</v>
      </c>
      <c r="F365" s="11">
        <f t="shared" si="32"/>
        <v>-9.1178589439358237</v>
      </c>
      <c r="G365" s="11">
        <f t="shared" si="33"/>
        <v>-9.1081704761086755</v>
      </c>
    </row>
    <row r="366" spans="5:7" x14ac:dyDescent="0.25">
      <c r="E366" s="11">
        <f t="shared" si="31"/>
        <v>-56</v>
      </c>
      <c r="F366" s="11">
        <f t="shared" si="32"/>
        <v>-8.9739411517227037</v>
      </c>
      <c r="G366" s="11">
        <f t="shared" si="33"/>
        <v>-8.9649961263270903</v>
      </c>
    </row>
    <row r="367" spans="5:7" x14ac:dyDescent="0.25">
      <c r="E367" s="11">
        <f t="shared" si="31"/>
        <v>-55</v>
      </c>
      <c r="F367" s="11">
        <f t="shared" si="32"/>
        <v>-8.8288100179570748</v>
      </c>
      <c r="G367" s="11">
        <f t="shared" si="33"/>
        <v>-8.8206998762340092</v>
      </c>
    </row>
    <row r="368" spans="5:7" x14ac:dyDescent="0.25">
      <c r="E368" s="11">
        <f t="shared" si="31"/>
        <v>-54</v>
      </c>
      <c r="F368" s="11">
        <f t="shared" si="32"/>
        <v>-8.6825138133548858</v>
      </c>
      <c r="G368" s="11">
        <f t="shared" si="33"/>
        <v>-8.6753161835170758</v>
      </c>
    </row>
    <row r="369" spans="5:7" x14ac:dyDescent="0.25">
      <c r="E369" s="11">
        <f t="shared" si="31"/>
        <v>-53</v>
      </c>
      <c r="F369" s="11">
        <f t="shared" si="32"/>
        <v>-8.5351014178921201</v>
      </c>
      <c r="G369" s="11">
        <f t="shared" si="33"/>
        <v>-8.5288795058639231</v>
      </c>
    </row>
    <row r="370" spans="5:7" x14ac:dyDescent="0.25">
      <c r="E370" s="11">
        <f t="shared" si="31"/>
        <v>-52</v>
      </c>
      <c r="F370" s="11">
        <f t="shared" si="32"/>
        <v>-8.3866221163150918</v>
      </c>
      <c r="G370" s="11">
        <f t="shared" si="33"/>
        <v>-8.3814243009621947</v>
      </c>
    </row>
    <row r="371" spans="5:7" x14ac:dyDescent="0.25">
      <c r="E371" s="11">
        <f t="shared" si="31"/>
        <v>-51</v>
      </c>
      <c r="F371" s="11">
        <f t="shared" si="32"/>
        <v>-8.2371253932806621</v>
      </c>
      <c r="G371" s="11">
        <f t="shared" si="33"/>
        <v>-8.2329850264995308</v>
      </c>
    </row>
    <row r="372" spans="5:7" x14ac:dyDescent="0.25">
      <c r="E372" s="11">
        <f t="shared" si="31"/>
        <v>-50</v>
      </c>
      <c r="F372" s="11">
        <f t="shared" si="32"/>
        <v>-8.0866607288792416</v>
      </c>
      <c r="G372" s="11">
        <f t="shared" si="33"/>
        <v>-8.0835961401635714</v>
      </c>
    </row>
    <row r="373" spans="5:7" x14ac:dyDescent="0.25">
      <c r="E373" s="11">
        <f t="shared" si="31"/>
        <v>-49</v>
      </c>
      <c r="F373" s="11">
        <f t="shared" si="32"/>
        <v>-7.9352773953174163</v>
      </c>
      <c r="G373" s="11">
        <f t="shared" si="33"/>
        <v>-7.9332920996419531</v>
      </c>
    </row>
    <row r="374" spans="5:7" x14ac:dyDescent="0.25">
      <c r="E374" s="11">
        <f t="shared" si="31"/>
        <v>-48</v>
      </c>
      <c r="F374" s="11">
        <f t="shared" si="32"/>
        <v>-7.7830242555608056</v>
      </c>
      <c r="G374" s="11">
        <f t="shared" si="33"/>
        <v>-7.7821073626223196</v>
      </c>
    </row>
    <row r="375" spans="5:7" x14ac:dyDescent="0.25">
      <c r="E375" s="11">
        <f t="shared" si="31"/>
        <v>-47</v>
      </c>
      <c r="F375" s="11">
        <f t="shared" si="32"/>
        <v>-7.6299495647617297</v>
      </c>
      <c r="G375" s="11">
        <f t="shared" si="33"/>
        <v>-7.6300763867923083</v>
      </c>
    </row>
    <row r="376" spans="5:7" x14ac:dyDescent="0.25">
      <c r="E376" s="11">
        <f t="shared" si="31"/>
        <v>-46</v>
      </c>
      <c r="F376" s="11">
        <f t="shared" si="32"/>
        <v>-7.476100775320166</v>
      </c>
      <c r="G376" s="11">
        <f t="shared" si="33"/>
        <v>-7.4772336298395583</v>
      </c>
    </row>
    <row r="377" spans="5:7" x14ac:dyDescent="0.25">
      <c r="E377" s="11">
        <f t="shared" si="31"/>
        <v>-45</v>
      </c>
      <c r="F377" s="11">
        <f t="shared" si="32"/>
        <v>-7.321524346450329</v>
      </c>
      <c r="G377" s="11">
        <f t="shared" si="33"/>
        <v>-7.3236135494517107</v>
      </c>
    </row>
    <row r="378" spans="5:7" x14ac:dyDescent="0.25">
      <c r="E378" s="11">
        <f t="shared" si="31"/>
        <v>-44</v>
      </c>
      <c r="F378" s="11">
        <f t="shared" si="32"/>
        <v>-7.166265559149104</v>
      </c>
      <c r="G378" s="11">
        <f t="shared" si="33"/>
        <v>-7.1692506033164065</v>
      </c>
    </row>
    <row r="379" spans="5:7" x14ac:dyDescent="0.25">
      <c r="E379" s="11">
        <f t="shared" si="31"/>
        <v>-43</v>
      </c>
      <c r="F379" s="11">
        <f t="shared" si="32"/>
        <v>-7.0103683374864794</v>
      </c>
      <c r="G379" s="11">
        <f t="shared" si="33"/>
        <v>-7.0141792491212822</v>
      </c>
    </row>
    <row r="380" spans="5:7" x14ac:dyDescent="0.25">
      <c r="E380" s="11">
        <f t="shared" si="31"/>
        <v>-42</v>
      </c>
      <c r="F380" s="11">
        <f t="shared" si="32"/>
        <v>-6.853875077162022</v>
      </c>
      <c r="G380" s="11">
        <f t="shared" si="33"/>
        <v>-6.8584339445539806</v>
      </c>
    </row>
    <row r="381" spans="5:7" x14ac:dyDescent="0.25">
      <c r="E381" s="11">
        <f t="shared" si="31"/>
        <v>-41</v>
      </c>
      <c r="F381" s="11">
        <f t="shared" si="32"/>
        <v>-6.6968264822952746</v>
      </c>
      <c r="G381" s="11">
        <f t="shared" si="33"/>
        <v>-6.7020491473021391</v>
      </c>
    </row>
    <row r="382" spans="5:7" x14ac:dyDescent="0.25">
      <c r="E382" s="11">
        <f t="shared" si="31"/>
        <v>-40</v>
      </c>
      <c r="F382" s="11">
        <f t="shared" si="32"/>
        <v>-6.5392614114419336</v>
      </c>
      <c r="G382" s="11">
        <f t="shared" si="33"/>
        <v>-6.5450593150533996</v>
      </c>
    </row>
    <row r="383" spans="5:7" x14ac:dyDescent="0.25">
      <c r="E383" s="11">
        <f t="shared" si="31"/>
        <v>-39</v>
      </c>
      <c r="F383" s="11">
        <f t="shared" si="32"/>
        <v>-6.3812167338514953</v>
      </c>
      <c r="G383" s="11">
        <f t="shared" si="33"/>
        <v>-6.3874989054953994</v>
      </c>
    </row>
    <row r="384" spans="5:7" x14ac:dyDescent="0.25">
      <c r="E384" s="11">
        <f t="shared" si="31"/>
        <v>-38</v>
      </c>
      <c r="F384" s="11">
        <f t="shared" si="32"/>
        <v>-6.2227271970059457</v>
      </c>
      <c r="G384" s="11">
        <f t="shared" si="33"/>
        <v>-6.2294023763157806</v>
      </c>
    </row>
    <row r="385" spans="5:7" x14ac:dyDescent="0.25">
      <c r="E385" s="11">
        <f t="shared" si="31"/>
        <v>-37</v>
      </c>
      <c r="F385" s="11">
        <f t="shared" si="32"/>
        <v>-6.0638253065030421</v>
      </c>
      <c r="G385" s="11">
        <f t="shared" si="33"/>
        <v>-6.0708041852021815</v>
      </c>
    </row>
    <row r="386" spans="5:7" x14ac:dyDescent="0.25">
      <c r="E386" s="11">
        <f t="shared" si="31"/>
        <v>-36</v>
      </c>
      <c r="F386" s="11">
        <f t="shared" si="32"/>
        <v>-5.9045412193715219</v>
      </c>
      <c r="G386" s="11">
        <f t="shared" si="33"/>
        <v>-5.911738789842242</v>
      </c>
    </row>
    <row r="387" spans="5:7" x14ac:dyDescent="0.25">
      <c r="E387" s="11">
        <f t="shared" si="31"/>
        <v>-35</v>
      </c>
      <c r="F387" s="11">
        <f t="shared" si="32"/>
        <v>-5.744902651929535</v>
      </c>
      <c r="G387" s="11">
        <f t="shared" si="33"/>
        <v>-5.7522406479236023</v>
      </c>
    </row>
    <row r="388" spans="5:7" x14ac:dyDescent="0.25">
      <c r="E388" s="11">
        <f t="shared" si="31"/>
        <v>-34</v>
      </c>
      <c r="F388" s="11">
        <f t="shared" si="32"/>
        <v>-5.5849348033214836</v>
      </c>
      <c r="G388" s="11">
        <f t="shared" si="33"/>
        <v>-5.5923403707996338</v>
      </c>
    </row>
    <row r="389" spans="5:7" x14ac:dyDescent="0.25">
      <c r="E389" s="11">
        <f t="shared" si="31"/>
        <v>-33</v>
      </c>
      <c r="F389" s="11">
        <f t="shared" si="32"/>
        <v>-5.4246602958923091</v>
      </c>
      <c r="G389" s="11">
        <f t="shared" si="33"/>
        <v>-5.4320531844866355</v>
      </c>
    </row>
    <row r="390" spans="5:7" x14ac:dyDescent="0.25">
      <c r="E390" s="11">
        <f t="shared" si="31"/>
        <v>-32</v>
      </c>
      <c r="F390" s="11">
        <f t="shared" si="32"/>
        <v>-5.2640991335822065</v>
      </c>
      <c r="G390" s="11">
        <f t="shared" si="33"/>
        <v>-5.2713904686666364</v>
      </c>
    </row>
    <row r="391" spans="5:7" x14ac:dyDescent="0.25">
      <c r="E391" s="11">
        <f t="shared" si="31"/>
        <v>-31</v>
      </c>
      <c r="F391" s="11">
        <f t="shared" si="32"/>
        <v>-5.1032686795486049</v>
      </c>
      <c r="G391" s="11">
        <f t="shared" si="33"/>
        <v>-5.1103636030216677</v>
      </c>
    </row>
    <row r="392" spans="5:7" x14ac:dyDescent="0.25">
      <c r="E392" s="11">
        <f t="shared" si="31"/>
        <v>-30</v>
      </c>
      <c r="F392" s="11">
        <f t="shared" si="32"/>
        <v>-4.9421836542461577</v>
      </c>
      <c r="G392" s="11">
        <f t="shared" si="33"/>
        <v>-4.9489839672337599</v>
      </c>
    </row>
    <row r="393" spans="5:7" x14ac:dyDescent="0.25">
      <c r="E393" s="11">
        <f t="shared" si="31"/>
        <v>-29</v>
      </c>
      <c r="F393" s="11">
        <f t="shared" si="32"/>
        <v>-4.7808561552193831</v>
      </c>
      <c r="G393" s="11">
        <f t="shared" si="33"/>
        <v>-4.7872629409849425</v>
      </c>
    </row>
    <row r="394" spans="5:7" x14ac:dyDescent="0.25">
      <c r="E394" s="11">
        <f t="shared" si="31"/>
        <v>-28</v>
      </c>
      <c r="F394" s="11">
        <f t="shared" si="32"/>
        <v>-4.6192956998864911</v>
      </c>
      <c r="G394" s="11">
        <f t="shared" si="33"/>
        <v>-4.625211903957247</v>
      </c>
    </row>
    <row r="395" spans="5:7" x14ac:dyDescent="0.25">
      <c r="E395" s="11">
        <f t="shared" si="31"/>
        <v>-27</v>
      </c>
      <c r="F395" s="11">
        <f t="shared" si="32"/>
        <v>-4.4575092926167876</v>
      </c>
      <c r="G395" s="11">
        <f t="shared" si="33"/>
        <v>-4.4628422358327029</v>
      </c>
    </row>
    <row r="396" spans="5:7" x14ac:dyDescent="0.25">
      <c r="E396" s="11">
        <f t="shared" si="31"/>
        <v>-26</v>
      </c>
      <c r="F396" s="11">
        <f t="shared" si="32"/>
        <v>-4.2955015174280273</v>
      </c>
      <c r="G396" s="11">
        <f t="shared" si="33"/>
        <v>-4.3001653162933398</v>
      </c>
    </row>
    <row r="397" spans="5:7" x14ac:dyDescent="0.25">
      <c r="E397" s="11">
        <f t="shared" si="31"/>
        <v>-25</v>
      </c>
      <c r="F397" s="11">
        <f t="shared" si="32"/>
        <v>-4.1332746576538621</v>
      </c>
      <c r="G397" s="11">
        <f t="shared" si="33"/>
        <v>-4.1371925250211889</v>
      </c>
    </row>
    <row r="398" spans="5:7" x14ac:dyDescent="0.25">
      <c r="E398" s="11">
        <f t="shared" si="31"/>
        <v>-24</v>
      </c>
      <c r="F398" s="11">
        <f t="shared" si="32"/>
        <v>-3.9708288439555339</v>
      </c>
      <c r="G398" s="11">
        <f t="shared" si="33"/>
        <v>-3.9739352416982818</v>
      </c>
    </row>
    <row r="399" spans="5:7" x14ac:dyDescent="0.25">
      <c r="E399" s="11">
        <f t="shared" si="31"/>
        <v>-23</v>
      </c>
      <c r="F399" s="11">
        <f t="shared" si="32"/>
        <v>-3.8081622320757784</v>
      </c>
      <c r="G399" s="11">
        <f t="shared" si="33"/>
        <v>-3.8104048460066462</v>
      </c>
    </row>
    <row r="400" spans="5:7" x14ac:dyDescent="0.25">
      <c r="E400" s="11">
        <f t="shared" si="31"/>
        <v>-22</v>
      </c>
      <c r="F400" s="11">
        <f t="shared" si="32"/>
        <v>-3.6452712117568424</v>
      </c>
      <c r="G400" s="11">
        <f t="shared" si="33"/>
        <v>-3.6466127176283138</v>
      </c>
    </row>
    <row r="401" spans="5:7" x14ac:dyDescent="0.25">
      <c r="E401" s="11">
        <f t="shared" si="31"/>
        <v>-21</v>
      </c>
      <c r="F401" s="11">
        <f t="shared" si="32"/>
        <v>-3.4821506482683842</v>
      </c>
      <c r="G401" s="11">
        <f t="shared" si="33"/>
        <v>-3.4825702362453153</v>
      </c>
    </row>
    <row r="402" spans="5:7" x14ac:dyDescent="0.25">
      <c r="E402" s="11">
        <f t="shared" si="31"/>
        <v>-20</v>
      </c>
      <c r="F402" s="11">
        <f t="shared" si="32"/>
        <v>-3.3187941580149429</v>
      </c>
      <c r="G402" s="11">
        <f t="shared" si="33"/>
        <v>-3.3182887815396795</v>
      </c>
    </row>
    <row r="403" spans="5:7" x14ac:dyDescent="0.25">
      <c r="E403" s="11">
        <f t="shared" si="31"/>
        <v>-19</v>
      </c>
      <c r="F403" s="11">
        <f t="shared" si="32"/>
        <v>-3.1551944197165223</v>
      </c>
      <c r="G403" s="11">
        <f t="shared" si="33"/>
        <v>-3.1537797331934381</v>
      </c>
    </row>
    <row r="404" spans="5:7" x14ac:dyDescent="0.25">
      <c r="E404" s="11">
        <f t="shared" si="31"/>
        <v>-18</v>
      </c>
      <c r="F404" s="11">
        <f t="shared" si="32"/>
        <v>-2.9913435226797813</v>
      </c>
      <c r="G404" s="11">
        <f t="shared" si="33"/>
        <v>-2.9890544708886209</v>
      </c>
    </row>
    <row r="405" spans="5:7" x14ac:dyDescent="0.25">
      <c r="E405" s="11">
        <f t="shared" si="31"/>
        <v>-17</v>
      </c>
      <c r="F405" s="11">
        <f t="shared" si="32"/>
        <v>-2.8272333537011445</v>
      </c>
      <c r="G405" s="11">
        <f t="shared" si="33"/>
        <v>-2.8241243743072579</v>
      </c>
    </row>
    <row r="406" spans="5:7" x14ac:dyDescent="0.25">
      <c r="E406" s="11">
        <f t="shared" si="31"/>
        <v>-16</v>
      </c>
      <c r="F406" s="11">
        <f t="shared" si="32"/>
        <v>-2.6628560241671093</v>
      </c>
      <c r="G406" s="11">
        <f t="shared" si="33"/>
        <v>-2.6590008231313802</v>
      </c>
    </row>
    <row r="407" spans="5:7" x14ac:dyDescent="0.25">
      <c r="E407" s="11">
        <f t="shared" si="31"/>
        <v>-15</v>
      </c>
      <c r="F407" s="11">
        <f t="shared" si="32"/>
        <v>-2.4982043389408752</v>
      </c>
      <c r="G407" s="11">
        <f t="shared" si="33"/>
        <v>-2.4936951970430177</v>
      </c>
    </row>
    <row r="408" spans="5:7" x14ac:dyDescent="0.25">
      <c r="E408" s="11">
        <f t="shared" si="31"/>
        <v>-14</v>
      </c>
      <c r="F408" s="11">
        <f t="shared" si="32"/>
        <v>-2.3332723086483216</v>
      </c>
      <c r="G408" s="11">
        <f t="shared" si="33"/>
        <v>-2.3282188757241999</v>
      </c>
    </row>
    <row r="409" spans="5:7" x14ac:dyDescent="0.25">
      <c r="E409" s="11">
        <f t="shared" si="31"/>
        <v>-13</v>
      </c>
      <c r="F409" s="11">
        <f t="shared" si="32"/>
        <v>-2.1680557070002711</v>
      </c>
      <c r="G409" s="11">
        <f t="shared" si="33"/>
        <v>-2.1625832388569588</v>
      </c>
    </row>
    <row r="410" spans="5:7" x14ac:dyDescent="0.25">
      <c r="E410" s="11">
        <f t="shared" si="31"/>
        <v>-12</v>
      </c>
      <c r="F410" s="11">
        <f t="shared" si="32"/>
        <v>-2.0025526748118403</v>
      </c>
      <c r="G410" s="11">
        <f t="shared" si="33"/>
        <v>-1.9967996661233234</v>
      </c>
    </row>
    <row r="411" spans="5:7" x14ac:dyDescent="0.25">
      <c r="E411" s="11">
        <f t="shared" si="31"/>
        <v>-11</v>
      </c>
      <c r="F411" s="11">
        <f t="shared" si="32"/>
        <v>-1.8367643724036098</v>
      </c>
      <c r="G411" s="11">
        <f t="shared" si="33"/>
        <v>-1.8308795372053241</v>
      </c>
    </row>
    <row r="412" spans="5:7" x14ac:dyDescent="0.25">
      <c r="E412" s="11">
        <f t="shared" si="31"/>
        <v>-10</v>
      </c>
      <c r="F412" s="11">
        <f t="shared" si="32"/>
        <v>-1.6706956820931853</v>
      </c>
      <c r="G412" s="11">
        <f t="shared" si="33"/>
        <v>-1.6648342317849916</v>
      </c>
    </row>
    <row r="413" spans="5:7" x14ac:dyDescent="0.25">
      <c r="E413" s="11">
        <f t="shared" si="31"/>
        <v>-9</v>
      </c>
      <c r="F413" s="11">
        <f t="shared" si="32"/>
        <v>-1.5043559625096823</v>
      </c>
      <c r="G413" s="11">
        <f t="shared" si="33"/>
        <v>-1.4986751295443563</v>
      </c>
    </row>
    <row r="414" spans="5:7" x14ac:dyDescent="0.25">
      <c r="E414" s="11">
        <f t="shared" si="31"/>
        <v>-8</v>
      </c>
      <c r="F414" s="11">
        <f t="shared" si="32"/>
        <v>-1.3377598564874915</v>
      </c>
      <c r="G414" s="11">
        <f t="shared" si="33"/>
        <v>-1.332413610165448</v>
      </c>
    </row>
    <row r="415" spans="5:7" x14ac:dyDescent="0.25">
      <c r="E415" s="11">
        <f t="shared" ref="E415:E422" si="34">E208</f>
        <v>-7</v>
      </c>
      <c r="F415" s="11">
        <f t="shared" ref="F415:F422" si="35">$H$217*0+E415*$I$217+E415^2*$J$217+E415^3*$K$217+E415^4*$L$217+E415^5*$M$217+E415^6*$N$217+E415^7*$O$217+E415^8*$P$217</f>
        <v>-1.1709281543196279</v>
      </c>
      <c r="G415" s="11">
        <f t="shared" ref="G415:G422" si="36">F208</f>
        <v>-1.1660610533302971</v>
      </c>
    </row>
    <row r="416" spans="5:7" x14ac:dyDescent="0.25">
      <c r="E416" s="11">
        <f t="shared" si="34"/>
        <v>-6</v>
      </c>
      <c r="F416" s="11">
        <f t="shared" si="35"/>
        <v>-1.0038887141748294</v>
      </c>
      <c r="G416" s="11">
        <f t="shared" si="36"/>
        <v>-0.99962883872093444</v>
      </c>
    </row>
    <row r="417" spans="5:7" x14ac:dyDescent="0.25">
      <c r="E417" s="11">
        <f t="shared" si="34"/>
        <v>-5</v>
      </c>
      <c r="F417" s="11">
        <f t="shared" si="35"/>
        <v>-0.83667744150647638</v>
      </c>
      <c r="G417" s="11">
        <f t="shared" si="36"/>
        <v>-0.83312834601938979</v>
      </c>
    </row>
    <row r="418" spans="5:7" x14ac:dyDescent="0.25">
      <c r="E418" s="11">
        <f t="shared" si="34"/>
        <v>-4</v>
      </c>
      <c r="F418" s="11">
        <f t="shared" si="35"/>
        <v>-0.66933932930528928</v>
      </c>
      <c r="G418" s="11">
        <f t="shared" si="36"/>
        <v>-0.66657095490769369</v>
      </c>
    </row>
    <row r="419" spans="5:7" x14ac:dyDescent="0.25">
      <c r="E419" s="11">
        <f t="shared" si="34"/>
        <v>-3</v>
      </c>
      <c r="F419" s="11">
        <f t="shared" si="35"/>
        <v>-0.50192956107166498</v>
      </c>
      <c r="G419" s="11">
        <f t="shared" si="36"/>
        <v>-0.49996804506787634</v>
      </c>
    </row>
    <row r="420" spans="5:7" x14ac:dyDescent="0.25">
      <c r="E420" s="11">
        <f t="shared" si="34"/>
        <v>-2</v>
      </c>
      <c r="F420" s="11">
        <f t="shared" si="35"/>
        <v>-0.33451467840739219</v>
      </c>
      <c r="G420" s="11">
        <f t="shared" si="36"/>
        <v>-0.33333099618196804</v>
      </c>
    </row>
    <row r="421" spans="5:7" x14ac:dyDescent="0.25">
      <c r="E421" s="11">
        <f t="shared" si="34"/>
        <v>-1</v>
      </c>
      <c r="F421" s="11">
        <f t="shared" si="35"/>
        <v>-0.16717381515038973</v>
      </c>
      <c r="G421" s="11">
        <f t="shared" si="36"/>
        <v>-0.16667118793199917</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9.3029999999999995E-5</v>
      </c>
      <c r="C3" s="2">
        <v>1.204E-4</v>
      </c>
      <c r="D3" s="2">
        <v>-3.3950000000000001E-4</v>
      </c>
      <c r="E3" s="2">
        <v>0</v>
      </c>
      <c r="F3" s="2">
        <v>0</v>
      </c>
      <c r="G3" s="2">
        <v>0</v>
      </c>
      <c r="H3" s="2">
        <v>4.5256902999999999E-5</v>
      </c>
      <c r="I3" s="2">
        <v>1.200315E-5</v>
      </c>
      <c r="J3" s="2">
        <v>-1.2599827999999999E-4</v>
      </c>
      <c r="K3" s="3"/>
      <c r="L3" s="3">
        <f>-B3/D3</f>
        <v>0.27402061855670101</v>
      </c>
      <c r="M3" s="3"/>
      <c r="N3" s="2">
        <f>IF('Modell einstellen'!$B$1="Voll",H3/0.35,H3/0.35*2)</f>
        <v>1.2930543714285715E-4</v>
      </c>
      <c r="O3" s="2">
        <f>IF('Modell einstellen'!$B$1="Voll",J3/0.35,J3/0.35*2)</f>
        <v>-3.5999508571428571E-4</v>
      </c>
      <c r="P3" s="3">
        <f>-N3/O3</f>
        <v>0.35918667302442542</v>
      </c>
      <c r="Q3" s="3"/>
      <c r="R3" s="3"/>
      <c r="S3" s="3"/>
      <c r="T3" s="3"/>
      <c r="U3" s="3"/>
      <c r="V3" s="3"/>
      <c r="W3" s="3"/>
    </row>
    <row r="4" spans="1:23" x14ac:dyDescent="0.25">
      <c r="A4" s="2">
        <v>1E-14</v>
      </c>
      <c r="B4" s="2">
        <v>9.3360000000000001E-5</v>
      </c>
      <c r="C4" s="2">
        <v>1.215E-4</v>
      </c>
      <c r="D4" s="2">
        <v>-3.412E-4</v>
      </c>
      <c r="E4" s="2">
        <v>0</v>
      </c>
      <c r="F4" s="2">
        <v>0</v>
      </c>
      <c r="G4" s="2">
        <v>0</v>
      </c>
      <c r="H4" s="2">
        <v>4.5766544999999999E-5</v>
      </c>
      <c r="I4" s="2">
        <v>1.2127703000000001E-5</v>
      </c>
      <c r="J4" s="2">
        <v>-1.2697509999999999E-4</v>
      </c>
      <c r="K4" s="3"/>
      <c r="L4" s="3">
        <f t="shared" ref="L4:L33" si="0">-B4/D4</f>
        <v>0.27362250879249705</v>
      </c>
      <c r="M4" s="3"/>
      <c r="N4" s="2">
        <f>IF('Modell einstellen'!$B$1="Voll",H4/0.35,H4/0.35*2)</f>
        <v>1.3076155714285715E-4</v>
      </c>
      <c r="O4" s="2">
        <f>IF('Modell einstellen'!$B$1="Voll",J4/0.35,J4/0.35*2)</f>
        <v>-3.6278599999999998E-4</v>
      </c>
      <c r="P4" s="3">
        <f t="shared" ref="P4:P33" si="1">-N4/O4</f>
        <v>0.36043716445192803</v>
      </c>
      <c r="Q4" s="3"/>
      <c r="R4" s="3"/>
      <c r="S4" s="3"/>
      <c r="T4" s="3"/>
      <c r="U4" s="3"/>
      <c r="V4" s="3"/>
      <c r="W4" s="3"/>
    </row>
    <row r="5" spans="1:23" x14ac:dyDescent="0.25">
      <c r="A5" s="2">
        <v>1E-13</v>
      </c>
      <c r="B5" s="2">
        <v>9.5340000000000005E-5</v>
      </c>
      <c r="C5" s="2">
        <v>1.259E-4</v>
      </c>
      <c r="D5" s="2">
        <v>-3.4820000000000001E-4</v>
      </c>
      <c r="E5" s="2">
        <v>0</v>
      </c>
      <c r="F5" s="2">
        <v>0</v>
      </c>
      <c r="G5" s="2">
        <v>0</v>
      </c>
      <c r="H5" s="2">
        <v>4.7655207000000003E-5</v>
      </c>
      <c r="I5" s="2">
        <v>1.2589958E-5</v>
      </c>
      <c r="J5" s="2">
        <v>-1.3063405000000001E-4</v>
      </c>
      <c r="K5" s="3"/>
      <c r="L5" s="3">
        <f t="shared" si="0"/>
        <v>0.27380815623205057</v>
      </c>
      <c r="M5" s="3"/>
      <c r="N5" s="2">
        <f>IF('Modell einstellen'!$B$1="Voll",H5/0.35,H5/0.35*2)</f>
        <v>1.3615773428571429E-4</v>
      </c>
      <c r="O5" s="2">
        <f>IF('Modell einstellen'!$B$1="Voll",J5/0.35,J5/0.35*2)</f>
        <v>-3.7324014285714294E-4</v>
      </c>
      <c r="P5" s="3">
        <f t="shared" si="1"/>
        <v>0.36479927706444065</v>
      </c>
      <c r="Q5" s="3"/>
      <c r="R5" s="3"/>
      <c r="S5" s="3"/>
      <c r="T5" s="3"/>
      <c r="U5" s="3"/>
      <c r="V5" s="3"/>
      <c r="W5" s="3"/>
    </row>
    <row r="6" spans="1:23" x14ac:dyDescent="0.25">
      <c r="A6" s="2">
        <v>9.9999999999999998E-13</v>
      </c>
      <c r="B6" s="2">
        <v>9.6509999999999996E-5</v>
      </c>
      <c r="C6" s="2">
        <v>1.2889999999999999E-4</v>
      </c>
      <c r="D6" s="2">
        <v>-3.5290000000000001E-4</v>
      </c>
      <c r="E6" s="2">
        <v>0</v>
      </c>
      <c r="F6" s="2">
        <v>0</v>
      </c>
      <c r="G6" s="2">
        <v>0</v>
      </c>
      <c r="H6" s="2">
        <v>4.9006703000000001E-5</v>
      </c>
      <c r="I6" s="2">
        <v>1.2916457999999999E-5</v>
      </c>
      <c r="J6" s="2">
        <v>-1.3323200999999999E-4</v>
      </c>
      <c r="K6" s="3"/>
      <c r="L6" s="3">
        <f t="shared" si="0"/>
        <v>0.27347690563899119</v>
      </c>
      <c r="M6" s="3"/>
      <c r="N6" s="2">
        <f>IF('Modell einstellen'!$B$1="Voll",H6/0.35,H6/0.35*2)</f>
        <v>1.4001915142857144E-4</v>
      </c>
      <c r="O6" s="2">
        <f>IF('Modell einstellen'!$B$1="Voll",J6/0.35,J6/0.35*2)</f>
        <v>-3.806628857142857E-4</v>
      </c>
      <c r="P6" s="3">
        <f t="shared" si="1"/>
        <v>0.36782979555738898</v>
      </c>
      <c r="Q6" s="3"/>
      <c r="R6" s="3"/>
      <c r="S6" s="3"/>
      <c r="T6" s="3"/>
      <c r="U6" s="3"/>
      <c r="V6" s="3"/>
      <c r="W6" s="3"/>
    </row>
    <row r="7" spans="1:23" x14ac:dyDescent="0.25">
      <c r="A7" s="2">
        <v>9.9999999999999994E-12</v>
      </c>
      <c r="B7" s="2">
        <v>9.7579999999999997E-5</v>
      </c>
      <c r="C7" s="2">
        <v>1.3180000000000001E-4</v>
      </c>
      <c r="D7" s="2">
        <v>-3.5740000000000001E-4</v>
      </c>
      <c r="E7" s="2">
        <v>0</v>
      </c>
      <c r="F7" s="2">
        <v>0</v>
      </c>
      <c r="G7" s="2">
        <v>0</v>
      </c>
      <c r="H7" s="2">
        <v>5.0328477999999997E-5</v>
      </c>
      <c r="I7" s="2">
        <v>1.3233172000000001E-5</v>
      </c>
      <c r="J7" s="2">
        <v>-1.3576263E-4</v>
      </c>
      <c r="K7" s="3"/>
      <c r="L7" s="3">
        <f t="shared" si="0"/>
        <v>0.27302742025741467</v>
      </c>
      <c r="M7" s="3"/>
      <c r="N7" s="2">
        <f>IF('Modell einstellen'!$B$1="Voll",H7/0.35,H7/0.35*2)</f>
        <v>1.4379565142857143E-4</v>
      </c>
      <c r="O7" s="2">
        <f>IF('Modell einstellen'!$B$1="Voll",J7/0.35,J7/0.35*2)</f>
        <v>-3.878932285714286E-4</v>
      </c>
      <c r="P7" s="3">
        <f t="shared" si="1"/>
        <v>0.37070936236282398</v>
      </c>
      <c r="Q7" s="3"/>
      <c r="R7" s="3"/>
      <c r="S7" s="3"/>
      <c r="T7" s="3"/>
      <c r="U7" s="3"/>
      <c r="V7" s="3"/>
      <c r="W7" s="3"/>
    </row>
    <row r="8" spans="1:23" x14ac:dyDescent="0.25">
      <c r="A8" s="2">
        <v>1E-10</v>
      </c>
      <c r="B8" s="2">
        <v>9.8720000000000003E-5</v>
      </c>
      <c r="C8" s="2">
        <v>1.351E-4</v>
      </c>
      <c r="D8" s="2">
        <v>-3.6240000000000003E-4</v>
      </c>
      <c r="E8" s="2">
        <v>0</v>
      </c>
      <c r="F8" s="2">
        <v>0</v>
      </c>
      <c r="G8" s="2">
        <v>0</v>
      </c>
      <c r="H8" s="2">
        <v>5.1850778000000002E-5</v>
      </c>
      <c r="I8" s="2">
        <v>1.3594670999999999E-5</v>
      </c>
      <c r="J8" s="2">
        <v>-1.3866409999999999E-4</v>
      </c>
      <c r="K8" s="3"/>
      <c r="L8" s="3">
        <f t="shared" si="0"/>
        <v>0.27240618101545255</v>
      </c>
      <c r="M8" s="3"/>
      <c r="N8" s="2">
        <f>IF('Modell einstellen'!$B$1="Voll",H8/0.35,H8/0.35*2)</f>
        <v>1.4814508E-4</v>
      </c>
      <c r="O8" s="2">
        <f>IF('Modell einstellen'!$B$1="Voll",J8/0.35,J8/0.35*2)</f>
        <v>-3.9618314285714287E-4</v>
      </c>
      <c r="P8" s="3">
        <f t="shared" si="1"/>
        <v>0.37393080112300153</v>
      </c>
      <c r="Q8" s="3"/>
      <c r="R8" s="3"/>
      <c r="S8" s="3"/>
      <c r="T8" s="3"/>
      <c r="U8" s="3"/>
      <c r="V8" s="3"/>
      <c r="W8" s="3"/>
    </row>
    <row r="9" spans="1:23" x14ac:dyDescent="0.25">
      <c r="A9" s="2">
        <v>1.0000000000000001E-9</v>
      </c>
      <c r="B9" s="2">
        <v>9.9870000000000004E-5</v>
      </c>
      <c r="C9" s="2">
        <v>1.3870000000000001E-4</v>
      </c>
      <c r="D9" s="2">
        <v>-3.678E-4</v>
      </c>
      <c r="E9" s="2">
        <v>0</v>
      </c>
      <c r="F9" s="2">
        <v>0</v>
      </c>
      <c r="G9" s="2">
        <v>0</v>
      </c>
      <c r="H9" s="2">
        <v>5.3534444999999997E-5</v>
      </c>
      <c r="I9" s="2">
        <v>1.3990455E-5</v>
      </c>
      <c r="J9" s="2">
        <v>-1.4185688E-4</v>
      </c>
      <c r="K9" s="3"/>
      <c r="L9" s="3">
        <f t="shared" si="0"/>
        <v>0.27153344208809138</v>
      </c>
      <c r="M9" s="3"/>
      <c r="N9" s="2">
        <f>IF('Modell einstellen'!$B$1="Voll",H9/0.35,H9/0.35*2)</f>
        <v>1.5295555714285713E-4</v>
      </c>
      <c r="O9" s="2">
        <f>IF('Modell einstellen'!$B$1="Voll",J9/0.35,J9/0.35*2)</f>
        <v>-4.0530537142857145E-4</v>
      </c>
      <c r="P9" s="3">
        <f t="shared" si="1"/>
        <v>0.37738349384252629</v>
      </c>
      <c r="Q9" s="3"/>
      <c r="R9" s="3"/>
      <c r="S9" s="3"/>
      <c r="T9" s="3"/>
      <c r="U9" s="3"/>
      <c r="V9" s="3"/>
      <c r="W9" s="3"/>
    </row>
    <row r="10" spans="1:23" x14ac:dyDescent="0.25">
      <c r="A10" s="2">
        <v>1E-8</v>
      </c>
      <c r="B10" s="2">
        <v>1.011E-4</v>
      </c>
      <c r="C10" s="2">
        <v>1.4300000000000001E-4</v>
      </c>
      <c r="D10" s="2">
        <v>-3.7399999999999998E-4</v>
      </c>
      <c r="E10" s="2">
        <v>0</v>
      </c>
      <c r="F10" s="2">
        <v>0</v>
      </c>
      <c r="G10" s="2">
        <v>0</v>
      </c>
      <c r="H10" s="2">
        <v>5.5577649999999998E-5</v>
      </c>
      <c r="I10" s="2">
        <v>1.4465203999999999E-5</v>
      </c>
      <c r="J10" s="2">
        <v>-1.457095E-4</v>
      </c>
      <c r="K10" s="3"/>
      <c r="L10" s="3">
        <f t="shared" si="0"/>
        <v>0.27032085561497327</v>
      </c>
      <c r="M10" s="3"/>
      <c r="N10" s="2">
        <f>IF('Modell einstellen'!$B$1="Voll",H10/0.35,H10/0.35*2)</f>
        <v>1.5879328571428571E-4</v>
      </c>
      <c r="O10" s="2">
        <f>IF('Modell einstellen'!$B$1="Voll",J10/0.35,J10/0.35*2)</f>
        <v>-4.1631285714285719E-4</v>
      </c>
      <c r="P10" s="3">
        <f t="shared" si="1"/>
        <v>0.38142777238272035</v>
      </c>
      <c r="Q10" s="3"/>
      <c r="R10" s="3"/>
      <c r="S10" s="3"/>
      <c r="T10" s="3"/>
      <c r="U10" s="3"/>
      <c r="V10" s="3"/>
      <c r="W10" s="3"/>
    </row>
    <row r="11" spans="1:23" x14ac:dyDescent="0.25">
      <c r="A11" s="2">
        <v>9.9999999999999995E-8</v>
      </c>
      <c r="B11" s="2">
        <v>1.0230000000000001E-4</v>
      </c>
      <c r="C11" s="2">
        <v>1.4760000000000001E-4</v>
      </c>
      <c r="D11" s="2">
        <v>-3.8059999999999998E-4</v>
      </c>
      <c r="E11" s="2">
        <v>0</v>
      </c>
      <c r="F11" s="2">
        <v>0</v>
      </c>
      <c r="G11" s="2">
        <v>0</v>
      </c>
      <c r="H11" s="2">
        <v>5.7838172000000001E-5</v>
      </c>
      <c r="I11" s="2">
        <v>1.4983349999999999E-5</v>
      </c>
      <c r="J11" s="2">
        <v>-1.4994379E-4</v>
      </c>
      <c r="K11" s="3"/>
      <c r="L11" s="3">
        <f t="shared" si="0"/>
        <v>0.26878612716763006</v>
      </c>
      <c r="M11" s="3"/>
      <c r="N11" s="2">
        <f>IF('Modell einstellen'!$B$1="Voll",H11/0.35,H11/0.35*2)</f>
        <v>1.6525192E-4</v>
      </c>
      <c r="O11" s="2">
        <f>IF('Modell einstellen'!$B$1="Voll",J11/0.35,J11/0.35*2)</f>
        <v>-4.2841082857142859E-4</v>
      </c>
      <c r="P11" s="3">
        <f t="shared" si="1"/>
        <v>0.38573236010641054</v>
      </c>
      <c r="Q11" s="3"/>
      <c r="R11" s="3"/>
      <c r="S11" s="3"/>
      <c r="T11" s="3"/>
      <c r="U11" s="3"/>
      <c r="V11" s="3"/>
      <c r="W11" s="3"/>
    </row>
    <row r="12" spans="1:23" x14ac:dyDescent="0.25">
      <c r="A12" s="2">
        <v>9.9999999999999995E-7</v>
      </c>
      <c r="B12" s="2">
        <v>1.0340000000000001E-4</v>
      </c>
      <c r="C12" s="2">
        <v>1.5310000000000001E-4</v>
      </c>
      <c r="D12" s="2">
        <v>-3.881E-4</v>
      </c>
      <c r="E12" s="2">
        <v>0</v>
      </c>
      <c r="F12" s="2">
        <v>0</v>
      </c>
      <c r="G12" s="2">
        <v>0</v>
      </c>
      <c r="H12" s="2">
        <v>6.0551667999999997E-5</v>
      </c>
      <c r="I12" s="2">
        <v>1.5595718E-5</v>
      </c>
      <c r="J12" s="2">
        <v>-1.5498911000000001E-4</v>
      </c>
      <c r="K12" s="3"/>
      <c r="L12" s="3">
        <f t="shared" si="0"/>
        <v>0.26642617881989178</v>
      </c>
      <c r="M12" s="3"/>
      <c r="N12" s="2">
        <f>IF('Modell einstellen'!$B$1="Voll",H12/0.35,H12/0.35*2)</f>
        <v>1.7300476571428572E-4</v>
      </c>
      <c r="O12" s="2">
        <f>IF('Modell einstellen'!$B$1="Voll",J12/0.35,J12/0.35*2)</f>
        <v>-4.4282602857142865E-4</v>
      </c>
      <c r="P12" s="3">
        <f t="shared" si="1"/>
        <v>0.39068337123814695</v>
      </c>
      <c r="Q12" s="3"/>
      <c r="R12" s="3"/>
      <c r="S12" s="3"/>
      <c r="T12" s="3"/>
      <c r="U12" s="3"/>
      <c r="V12" s="3"/>
      <c r="W12" s="3"/>
    </row>
    <row r="13" spans="1:23" x14ac:dyDescent="0.25">
      <c r="A13" s="2">
        <v>1.0000000000000001E-5</v>
      </c>
      <c r="B13" s="2">
        <v>1.042E-4</v>
      </c>
      <c r="C13" s="2">
        <v>1.582E-4</v>
      </c>
      <c r="D13" s="2">
        <v>-3.949E-4</v>
      </c>
      <c r="E13" s="2">
        <v>0</v>
      </c>
      <c r="F13" s="2">
        <v>0</v>
      </c>
      <c r="G13" s="2">
        <v>0</v>
      </c>
      <c r="H13" s="2">
        <v>6.3163086999999996E-5</v>
      </c>
      <c r="I13" s="2">
        <v>1.6174773999999999E-5</v>
      </c>
      <c r="J13" s="2">
        <v>-1.5980435E-4</v>
      </c>
      <c r="K13" s="3"/>
      <c r="L13" s="3">
        <f t="shared" si="0"/>
        <v>0.26386426943530006</v>
      </c>
      <c r="M13" s="3"/>
      <c r="N13" s="2">
        <f>IF('Modell einstellen'!$B$1="Voll",H13/0.35,H13/0.35*2)</f>
        <v>1.8046596285714285E-4</v>
      </c>
      <c r="O13" s="2">
        <f>IF('Modell einstellen'!$B$1="Voll",J13/0.35,J13/0.35*2)</f>
        <v>-4.5658385714285717E-4</v>
      </c>
      <c r="P13" s="3">
        <f t="shared" si="1"/>
        <v>0.39525261358655128</v>
      </c>
      <c r="Q13" s="3"/>
      <c r="R13" s="3"/>
      <c r="S13" s="3"/>
      <c r="T13" s="3"/>
      <c r="U13" s="3"/>
      <c r="V13" s="3"/>
      <c r="W13" s="3"/>
    </row>
    <row r="14" spans="1:23" x14ac:dyDescent="0.25">
      <c r="A14" s="2">
        <v>1E-4</v>
      </c>
      <c r="B14" s="2">
        <v>1.048E-4</v>
      </c>
      <c r="C14" s="2">
        <v>1.639E-4</v>
      </c>
      <c r="D14" s="2">
        <v>-4.0220000000000002E-4</v>
      </c>
      <c r="E14" s="2">
        <v>0</v>
      </c>
      <c r="F14" s="2">
        <v>0</v>
      </c>
      <c r="G14" s="2">
        <v>0</v>
      </c>
      <c r="H14" s="2">
        <v>6.6154943000000003E-5</v>
      </c>
      <c r="I14" s="2">
        <v>1.6827084999999999E-5</v>
      </c>
      <c r="J14" s="2">
        <v>-1.6527841999999999E-4</v>
      </c>
      <c r="K14" s="3"/>
      <c r="L14" s="3">
        <f t="shared" si="0"/>
        <v>0.26056688214818496</v>
      </c>
      <c r="M14" s="3"/>
      <c r="N14" s="2">
        <f>IF('Modell einstellen'!$B$1="Voll",H14/0.35,H14/0.35*2)</f>
        <v>1.8901412285714288E-4</v>
      </c>
      <c r="O14" s="2">
        <f>IF('Modell einstellen'!$B$1="Voll",J14/0.35,J14/0.35*2)</f>
        <v>-4.7222405714285716E-4</v>
      </c>
      <c r="P14" s="3">
        <f t="shared" si="1"/>
        <v>0.40026364603437042</v>
      </c>
      <c r="Q14" s="3"/>
      <c r="R14" s="3"/>
      <c r="S14" s="3"/>
      <c r="T14" s="3"/>
      <c r="U14" s="3"/>
      <c r="V14" s="3"/>
      <c r="W14" s="3"/>
    </row>
    <row r="15" spans="1:23" x14ac:dyDescent="0.25">
      <c r="A15" s="2">
        <v>1E-3</v>
      </c>
      <c r="B15" s="2">
        <v>1.052E-4</v>
      </c>
      <c r="C15" s="2">
        <v>1.7129999999999999E-4</v>
      </c>
      <c r="D15" s="2">
        <v>-4.1120000000000002E-4</v>
      </c>
      <c r="E15" s="2">
        <v>0</v>
      </c>
      <c r="F15" s="2">
        <v>0</v>
      </c>
      <c r="G15" s="2">
        <v>0</v>
      </c>
      <c r="H15" s="2">
        <v>7.0143365000000001E-5</v>
      </c>
      <c r="I15" s="2">
        <v>1.7678177999999999E-5</v>
      </c>
      <c r="J15" s="2">
        <v>-1.7250478999999999E-4</v>
      </c>
      <c r="K15" s="3"/>
      <c r="L15" s="3">
        <f t="shared" si="0"/>
        <v>0.25583657587548636</v>
      </c>
      <c r="M15" s="3"/>
      <c r="N15" s="2">
        <f>IF('Modell einstellen'!$B$1="Voll",H15/0.35,H15/0.35*2)</f>
        <v>2.0040961428571431E-4</v>
      </c>
      <c r="O15" s="2">
        <f>IF('Modell einstellen'!$B$1="Voll",J15/0.35,J15/0.35*2)</f>
        <v>-4.9287082857142855E-4</v>
      </c>
      <c r="P15" s="3">
        <f t="shared" si="1"/>
        <v>0.40661691191299681</v>
      </c>
      <c r="Q15" s="3"/>
      <c r="R15" s="3"/>
      <c r="S15" s="3"/>
      <c r="T15" s="3"/>
      <c r="U15" s="3"/>
      <c r="V15" s="3"/>
      <c r="W15" s="3"/>
    </row>
    <row r="16" spans="1:23" x14ac:dyDescent="0.25">
      <c r="A16" s="2">
        <v>0.01</v>
      </c>
      <c r="B16" s="2">
        <v>1.049E-4</v>
      </c>
      <c r="C16" s="2">
        <v>1.8000000000000001E-4</v>
      </c>
      <c r="D16" s="2">
        <v>-4.2099999999999999E-4</v>
      </c>
      <c r="E16" s="2">
        <v>0</v>
      </c>
      <c r="F16" s="2">
        <v>0</v>
      </c>
      <c r="G16" s="2">
        <v>0</v>
      </c>
      <c r="H16" s="2">
        <v>7.5064675999999994E-5</v>
      </c>
      <c r="I16" s="2">
        <v>1.8698231000000001E-5</v>
      </c>
      <c r="J16" s="2">
        <v>-1.8130555000000001E-4</v>
      </c>
      <c r="K16" s="3"/>
      <c r="L16" s="3">
        <f t="shared" si="0"/>
        <v>0.24916864608076011</v>
      </c>
      <c r="M16" s="3"/>
      <c r="N16" s="2">
        <f>IF('Modell einstellen'!$B$1="Voll",H16/0.35,H16/0.35*2)</f>
        <v>2.1447050285714286E-4</v>
      </c>
      <c r="O16" s="2">
        <f>IF('Modell einstellen'!$B$1="Voll",J16/0.35,J16/0.35*2)</f>
        <v>-5.1801585714285716E-4</v>
      </c>
      <c r="P16" s="3">
        <f t="shared" si="1"/>
        <v>0.41402304562656794</v>
      </c>
      <c r="Q16" s="3"/>
      <c r="R16" s="3"/>
      <c r="S16" s="3"/>
      <c r="T16" s="3"/>
      <c r="U16" s="3"/>
      <c r="V16" s="3"/>
      <c r="W16" s="3"/>
    </row>
    <row r="17" spans="1:23" x14ac:dyDescent="0.25">
      <c r="A17" s="2">
        <v>0.1</v>
      </c>
      <c r="B17" s="2">
        <v>1.038E-4</v>
      </c>
      <c r="C17" s="2">
        <v>1.886E-4</v>
      </c>
      <c r="D17" s="2">
        <v>-4.2989999999999999E-4</v>
      </c>
      <c r="E17" s="2">
        <v>0</v>
      </c>
      <c r="F17" s="2">
        <v>0</v>
      </c>
      <c r="G17" s="2">
        <v>0</v>
      </c>
      <c r="H17" s="2">
        <v>8.0194111999999998E-5</v>
      </c>
      <c r="I17" s="2">
        <v>1.9725416999999999E-5</v>
      </c>
      <c r="J17" s="2">
        <v>-1.9034031000000001E-4</v>
      </c>
      <c r="K17" s="3"/>
      <c r="L17" s="3">
        <f t="shared" si="0"/>
        <v>0.24145150034891835</v>
      </c>
      <c r="M17" s="3"/>
      <c r="N17" s="2">
        <f>IF('Modell einstellen'!$B$1="Voll",H17/0.35,H17/0.35*2)</f>
        <v>2.2912603428571428E-4</v>
      </c>
      <c r="O17" s="2">
        <f>IF('Modell einstellen'!$B$1="Voll",J17/0.35,J17/0.35*2)</f>
        <v>-5.4382945714285722E-4</v>
      </c>
      <c r="P17" s="3">
        <f t="shared" si="1"/>
        <v>0.4213196458490584</v>
      </c>
      <c r="Q17" s="3"/>
      <c r="R17" s="3"/>
      <c r="S17" s="3"/>
      <c r="T17" s="3"/>
      <c r="U17" s="3"/>
      <c r="V17" s="3"/>
      <c r="W17" s="3"/>
    </row>
    <row r="18" spans="1:23" x14ac:dyDescent="0.25">
      <c r="A18" s="2">
        <v>1</v>
      </c>
      <c r="B18" s="2">
        <v>1.021E-4</v>
      </c>
      <c r="C18" s="2">
        <v>1.9589999999999999E-4</v>
      </c>
      <c r="D18" s="2">
        <v>-4.3669999999999999E-4</v>
      </c>
      <c r="E18" s="2">
        <v>0</v>
      </c>
      <c r="F18" s="2">
        <v>0</v>
      </c>
      <c r="G18" s="2">
        <v>0</v>
      </c>
      <c r="H18" s="2">
        <v>8.4727028999999996E-5</v>
      </c>
      <c r="I18" s="2">
        <v>2.0603751E-5</v>
      </c>
      <c r="J18" s="2">
        <v>-1.9821185E-4</v>
      </c>
      <c r="K18" s="3"/>
      <c r="L18" s="3">
        <f t="shared" si="0"/>
        <v>0.23379894664529427</v>
      </c>
      <c r="M18" s="3"/>
      <c r="N18" s="2">
        <f>IF('Modell einstellen'!$B$1="Voll",H18/0.35,H18/0.35*2)</f>
        <v>2.4207722571428572E-4</v>
      </c>
      <c r="O18" s="2">
        <f>IF('Modell einstellen'!$B$1="Voll",J18/0.35,J18/0.35*2)</f>
        <v>-5.6631957142857148E-4</v>
      </c>
      <c r="P18" s="3">
        <f t="shared" si="1"/>
        <v>0.42745693055183126</v>
      </c>
      <c r="Q18" s="3"/>
      <c r="R18" s="3"/>
      <c r="S18" s="3"/>
      <c r="T18" s="3"/>
      <c r="U18" s="3"/>
      <c r="V18" s="3"/>
      <c r="W18" s="3"/>
    </row>
    <row r="19" spans="1:23" x14ac:dyDescent="0.25">
      <c r="A19" s="2">
        <v>10</v>
      </c>
      <c r="B19" s="2">
        <v>9.9549999999999994E-5</v>
      </c>
      <c r="C19" s="2">
        <v>2.0379999999999999E-4</v>
      </c>
      <c r="D19" s="2">
        <v>-4.4329999999999999E-4</v>
      </c>
      <c r="E19" s="2">
        <v>0</v>
      </c>
      <c r="F19" s="2">
        <v>0</v>
      </c>
      <c r="G19" s="2">
        <v>0</v>
      </c>
      <c r="H19" s="2">
        <v>8.9836380999999994E-5</v>
      </c>
      <c r="I19" s="2">
        <v>2.1564857999999999E-5</v>
      </c>
      <c r="J19" s="2">
        <v>-2.0697466000000001E-4</v>
      </c>
      <c r="K19" s="3"/>
      <c r="L19" s="3">
        <f t="shared" si="0"/>
        <v>0.22456575682382132</v>
      </c>
      <c r="M19" s="3"/>
      <c r="N19" s="2">
        <f>IF('Modell einstellen'!$B$1="Voll",H19/0.35,H19/0.35*2)</f>
        <v>2.5667537428571428E-4</v>
      </c>
      <c r="O19" s="2">
        <f>IF('Modell einstellen'!$B$1="Voll",J19/0.35,J19/0.35*2)</f>
        <v>-5.9135617142857145E-4</v>
      </c>
      <c r="P19" s="3">
        <f t="shared" si="1"/>
        <v>0.43404531260010282</v>
      </c>
      <c r="Q19" s="3"/>
      <c r="R19" s="3"/>
      <c r="S19" s="3"/>
      <c r="T19" s="3"/>
      <c r="U19" s="3"/>
      <c r="V19" s="3"/>
      <c r="W19" s="3"/>
    </row>
    <row r="20" spans="1:23" x14ac:dyDescent="0.25">
      <c r="A20" s="2">
        <v>100</v>
      </c>
      <c r="B20" s="2">
        <v>9.6150000000000006E-5</v>
      </c>
      <c r="C20" s="2">
        <v>2.117E-4</v>
      </c>
      <c r="D20" s="2">
        <v>-4.4920000000000002E-4</v>
      </c>
      <c r="E20" s="2">
        <v>0</v>
      </c>
      <c r="F20" s="2">
        <v>0</v>
      </c>
      <c r="G20" s="2">
        <v>0</v>
      </c>
      <c r="H20" s="2">
        <v>9.5248750000000005E-5</v>
      </c>
      <c r="I20" s="2">
        <v>2.2548738E-5</v>
      </c>
      <c r="J20" s="2">
        <v>-2.1612625999999999E-4</v>
      </c>
      <c r="K20" s="3"/>
      <c r="L20" s="3">
        <f t="shared" si="0"/>
        <v>0.21404719501335709</v>
      </c>
      <c r="M20" s="3"/>
      <c r="N20" s="2">
        <f>IF('Modell einstellen'!$B$1="Voll",H20/0.35,H20/0.35*2)</f>
        <v>2.7213928571428574E-4</v>
      </c>
      <c r="O20" s="2">
        <f>IF('Modell einstellen'!$B$1="Voll",J20/0.35,J20/0.35*2)</f>
        <v>-6.1750360000000003E-4</v>
      </c>
      <c r="P20" s="3">
        <f t="shared" si="1"/>
        <v>0.44070882455468396</v>
      </c>
      <c r="Q20" s="3"/>
      <c r="R20" s="3"/>
      <c r="S20" s="3"/>
      <c r="T20" s="3"/>
      <c r="U20" s="3"/>
      <c r="V20" s="3"/>
      <c r="W20" s="3"/>
    </row>
    <row r="21" spans="1:23" x14ac:dyDescent="0.25">
      <c r="A21" s="2">
        <v>1000</v>
      </c>
      <c r="B21" s="2">
        <v>9.1409999999999994E-5</v>
      </c>
      <c r="C21" s="2">
        <v>2.206E-4</v>
      </c>
      <c r="D21" s="2">
        <v>-4.5469999999999999E-4</v>
      </c>
      <c r="E21" s="2">
        <v>0</v>
      </c>
      <c r="F21" s="2">
        <v>0</v>
      </c>
      <c r="G21" s="2">
        <v>0</v>
      </c>
      <c r="H21" s="2">
        <v>1.0157988E-4</v>
      </c>
      <c r="I21" s="2">
        <v>2.3667205E-5</v>
      </c>
      <c r="J21" s="2">
        <v>-2.2670222E-4</v>
      </c>
      <c r="K21" s="3"/>
      <c r="L21" s="3">
        <f t="shared" si="0"/>
        <v>0.20103364855948977</v>
      </c>
      <c r="M21" s="3"/>
      <c r="N21" s="2">
        <f>IF('Modell einstellen'!$B$1="Voll",H21/0.35,H21/0.35*2)</f>
        <v>2.9022822857142862E-4</v>
      </c>
      <c r="O21" s="2">
        <f>IF('Modell einstellen'!$B$1="Voll",J21/0.35,J21/0.35*2)</f>
        <v>-6.4772062857142859E-4</v>
      </c>
      <c r="P21" s="3">
        <f t="shared" si="1"/>
        <v>0.44807624733449902</v>
      </c>
      <c r="Q21" s="3"/>
      <c r="R21" s="3"/>
      <c r="S21" s="3"/>
      <c r="T21" s="3"/>
      <c r="U21" s="3"/>
      <c r="V21" s="3"/>
      <c r="W21" s="3"/>
    </row>
    <row r="22" spans="1:23" x14ac:dyDescent="0.25">
      <c r="A22" s="2">
        <v>10000</v>
      </c>
      <c r="B22" s="2">
        <v>8.6349999999999998E-5</v>
      </c>
      <c r="C22" s="2">
        <v>2.3039999999999999E-4</v>
      </c>
      <c r="D22" s="2">
        <v>-4.6059999999999997E-4</v>
      </c>
      <c r="E22" s="2">
        <v>0</v>
      </c>
      <c r="F22" s="2">
        <v>0</v>
      </c>
      <c r="G22" s="2">
        <v>0</v>
      </c>
      <c r="H22" s="2">
        <v>1.0817081000000001E-4</v>
      </c>
      <c r="I22" s="2">
        <v>2.4903907E-5</v>
      </c>
      <c r="J22" s="2">
        <v>-2.379212E-4</v>
      </c>
      <c r="K22" s="3"/>
      <c r="L22" s="3">
        <f t="shared" si="0"/>
        <v>0.18747286148501954</v>
      </c>
      <c r="M22" s="3"/>
      <c r="N22" s="2">
        <f>IF('Modell einstellen'!$B$1="Voll",H22/0.35,H22/0.35*2)</f>
        <v>3.0905945714285719E-4</v>
      </c>
      <c r="O22" s="2">
        <f>IF('Modell einstellen'!$B$1="Voll",J22/0.35,J22/0.35*2)</f>
        <v>-6.7977485714285719E-4</v>
      </c>
      <c r="P22" s="3">
        <f t="shared" si="1"/>
        <v>0.45464973276866461</v>
      </c>
      <c r="Q22" s="3"/>
      <c r="R22" s="3"/>
      <c r="S22" s="3"/>
      <c r="T22" s="3"/>
      <c r="U22" s="3"/>
      <c r="V22" s="3"/>
      <c r="W22" s="3"/>
    </row>
    <row r="23" spans="1:23" x14ac:dyDescent="0.25">
      <c r="A23" s="2">
        <v>100000</v>
      </c>
      <c r="B23" s="2">
        <v>8.2319999999999998E-5</v>
      </c>
      <c r="C23" s="2">
        <v>2.4949999999999999E-4</v>
      </c>
      <c r="D23" s="2">
        <v>-4.7649999999999998E-4</v>
      </c>
      <c r="E23" s="2">
        <v>0</v>
      </c>
      <c r="F23" s="2">
        <v>0</v>
      </c>
      <c r="G23" s="2">
        <v>0</v>
      </c>
      <c r="H23" s="2">
        <v>1.1750177E-4</v>
      </c>
      <c r="I23" s="2">
        <v>2.7326585999999999E-5</v>
      </c>
      <c r="J23" s="2">
        <v>-2.5598046E-4</v>
      </c>
      <c r="K23" s="3"/>
      <c r="L23" s="3">
        <f t="shared" si="0"/>
        <v>0.17275970619097586</v>
      </c>
      <c r="M23" s="3"/>
      <c r="N23" s="2">
        <f>IF('Modell einstellen'!$B$1="Voll",H23/0.35,H23/0.35*2)</f>
        <v>3.3571934285714285E-4</v>
      </c>
      <c r="O23" s="2">
        <f>IF('Modell einstellen'!$B$1="Voll",J23/0.35,J23/0.35*2)</f>
        <v>-7.3137274285714287E-4</v>
      </c>
      <c r="P23" s="3">
        <f t="shared" si="1"/>
        <v>0.45902632568126489</v>
      </c>
      <c r="Q23" s="3"/>
      <c r="R23" s="3"/>
      <c r="S23" s="3"/>
      <c r="T23" s="3"/>
      <c r="U23" s="3"/>
      <c r="V23" s="3"/>
      <c r="W23" s="3"/>
    </row>
    <row r="24" spans="1:23" x14ac:dyDescent="0.25">
      <c r="A24" s="2">
        <v>1000000</v>
      </c>
      <c r="B24" s="2">
        <v>8.4330000000000001E-5</v>
      </c>
      <c r="C24" s="2">
        <v>2.8190000000000002E-4</v>
      </c>
      <c r="D24" s="2">
        <v>-5.1020000000000004E-4</v>
      </c>
      <c r="E24" s="2">
        <v>0</v>
      </c>
      <c r="F24" s="2">
        <v>0</v>
      </c>
      <c r="G24" s="2">
        <v>0</v>
      </c>
      <c r="H24" s="2">
        <v>1.2832318E-4</v>
      </c>
      <c r="I24" s="2">
        <v>3.1465494000000002E-5</v>
      </c>
      <c r="J24" s="2">
        <v>-2.8133732000000002E-4</v>
      </c>
      <c r="K24" s="3"/>
      <c r="L24" s="3">
        <f t="shared" si="0"/>
        <v>0.16528812230497844</v>
      </c>
      <c r="M24" s="3"/>
      <c r="N24" s="2">
        <f>IF('Modell einstellen'!$B$1="Voll",H24/0.35,H24/0.35*2)</f>
        <v>3.6663765714285717E-4</v>
      </c>
      <c r="O24" s="2">
        <f>IF('Modell einstellen'!$B$1="Voll",J24/0.35,J24/0.35*2)</f>
        <v>-8.0382091428571442E-4</v>
      </c>
      <c r="P24" s="3">
        <f t="shared" si="1"/>
        <v>0.45611858391200993</v>
      </c>
      <c r="Q24" s="3"/>
      <c r="R24" s="3"/>
      <c r="S24" s="3"/>
      <c r="T24" s="3"/>
      <c r="U24" s="3"/>
      <c r="V24" s="3"/>
      <c r="W24" s="3"/>
    </row>
    <row r="25" spans="1:23" x14ac:dyDescent="0.25">
      <c r="A25" s="2">
        <v>10000000</v>
      </c>
      <c r="B25" s="2">
        <v>8.6089999999999997E-5</v>
      </c>
      <c r="C25" s="2">
        <v>3.2620000000000001E-4</v>
      </c>
      <c r="D25" s="2">
        <v>-5.555E-4</v>
      </c>
      <c r="E25" s="2">
        <v>0</v>
      </c>
      <c r="F25" s="2">
        <v>0</v>
      </c>
      <c r="G25" s="2">
        <v>0</v>
      </c>
      <c r="H25" s="2">
        <v>1.4307290000000001E-4</v>
      </c>
      <c r="I25" s="2">
        <v>3.7255092E-5</v>
      </c>
      <c r="J25" s="2">
        <v>-3.1654987E-4</v>
      </c>
      <c r="K25" s="3"/>
      <c r="L25" s="3">
        <f t="shared" si="0"/>
        <v>0.15497749774977498</v>
      </c>
      <c r="M25" s="3"/>
      <c r="N25" s="2">
        <f>IF('Modell einstellen'!$B$1="Voll",H25/0.35,H25/0.35*2)</f>
        <v>4.0877971428571435E-4</v>
      </c>
      <c r="O25" s="2">
        <f>IF('Modell einstellen'!$B$1="Voll",J25/0.35,J25/0.35*2)</f>
        <v>-9.0442820000000005E-4</v>
      </c>
      <c r="P25" s="3">
        <f t="shared" si="1"/>
        <v>0.45197586086514591</v>
      </c>
      <c r="Q25" s="3"/>
      <c r="R25" s="3"/>
      <c r="S25" s="3"/>
      <c r="T25" s="3"/>
      <c r="U25" s="3"/>
      <c r="V25" s="3"/>
      <c r="W25" s="3"/>
    </row>
    <row r="26" spans="1:23" x14ac:dyDescent="0.25">
      <c r="A26" s="2">
        <v>100000000</v>
      </c>
      <c r="B26" s="2">
        <v>7.5939999999999995E-5</v>
      </c>
      <c r="C26" s="2">
        <v>3.7800000000000003E-4</v>
      </c>
      <c r="D26" s="2">
        <v>-5.9730000000000004E-4</v>
      </c>
      <c r="E26" s="2">
        <v>0</v>
      </c>
      <c r="F26" s="2">
        <v>0</v>
      </c>
      <c r="G26" s="2">
        <v>0</v>
      </c>
      <c r="H26" s="2">
        <v>1.6307084E-4</v>
      </c>
      <c r="I26" s="2">
        <v>4.4350268E-5</v>
      </c>
      <c r="J26" s="2">
        <v>-3.6191077000000002E-4</v>
      </c>
      <c r="K26" s="3"/>
      <c r="L26" s="3">
        <f t="shared" si="0"/>
        <v>0.12713879122718899</v>
      </c>
      <c r="M26" s="3"/>
      <c r="N26" s="2">
        <f>IF('Modell einstellen'!$B$1="Voll",H26/0.35,H26/0.35*2)</f>
        <v>4.6591668571428573E-4</v>
      </c>
      <c r="O26" s="2">
        <f>IF('Modell einstellen'!$B$1="Voll",J26/0.35,J26/0.35*2)</f>
        <v>-1.0340307714285716E-3</v>
      </c>
      <c r="P26" s="3">
        <f t="shared" si="1"/>
        <v>0.45058299867671792</v>
      </c>
      <c r="Q26" s="3"/>
      <c r="R26" s="3"/>
      <c r="S26" s="3"/>
      <c r="T26" s="3"/>
      <c r="U26" s="3"/>
      <c r="V26" s="3"/>
      <c r="W26" s="3"/>
    </row>
    <row r="27" spans="1:23" x14ac:dyDescent="0.25">
      <c r="A27" s="2">
        <v>1000000000</v>
      </c>
      <c r="B27" s="2">
        <v>3.7809999999999999E-5</v>
      </c>
      <c r="C27" s="2">
        <v>4.4410000000000001E-4</v>
      </c>
      <c r="D27" s="2">
        <v>-6.269E-4</v>
      </c>
      <c r="E27" s="2">
        <v>0</v>
      </c>
      <c r="F27" s="2">
        <v>0</v>
      </c>
      <c r="G27" s="2">
        <v>0</v>
      </c>
      <c r="H27" s="2">
        <v>1.941585E-4</v>
      </c>
      <c r="I27" s="2">
        <v>5.3956304000000001E-5</v>
      </c>
      <c r="J27" s="2">
        <v>-4.2774665000000001E-4</v>
      </c>
      <c r="K27" s="3"/>
      <c r="L27" s="3">
        <f t="shared" si="0"/>
        <v>6.0312649545382034E-2</v>
      </c>
      <c r="M27" s="3"/>
      <c r="N27" s="2">
        <f>IF('Modell einstellen'!$B$1="Voll",H27/0.35,H27/0.35*2)</f>
        <v>5.5473857142857149E-4</v>
      </c>
      <c r="O27" s="2">
        <f>IF('Modell einstellen'!$B$1="Voll",J27/0.35,J27/0.35*2)</f>
        <v>-1.2221332857142858E-3</v>
      </c>
      <c r="P27" s="3">
        <f t="shared" si="1"/>
        <v>0.45391004231126064</v>
      </c>
      <c r="Q27" s="3"/>
      <c r="R27" s="3"/>
      <c r="S27" s="3"/>
      <c r="T27" s="3"/>
      <c r="U27" s="3"/>
      <c r="V27" s="3"/>
      <c r="W27" s="3"/>
    </row>
    <row r="28" spans="1:23" x14ac:dyDescent="0.25">
      <c r="A28" s="2">
        <v>10000000000</v>
      </c>
      <c r="B28" s="2">
        <v>-5.6879999999999998E-5</v>
      </c>
      <c r="C28" s="2">
        <v>5.3490000000000005E-4</v>
      </c>
      <c r="D28" s="2">
        <v>-6.2589999999999998E-4</v>
      </c>
      <c r="E28" s="2">
        <v>0</v>
      </c>
      <c r="F28" s="2">
        <v>0</v>
      </c>
      <c r="G28" s="2">
        <v>0</v>
      </c>
      <c r="H28" s="2">
        <v>2.4391889999999999E-4</v>
      </c>
      <c r="I28" s="2">
        <v>6.8064414999999999E-5</v>
      </c>
      <c r="J28" s="2">
        <v>-5.2885290999999995E-4</v>
      </c>
      <c r="K28" s="3"/>
      <c r="L28" s="3">
        <f t="shared" si="0"/>
        <v>-9.0877136922831128E-2</v>
      </c>
      <c r="M28" s="3"/>
      <c r="N28" s="2">
        <f>IF('Modell einstellen'!$B$1="Voll",H28/0.35,H28/0.35*2)</f>
        <v>6.9691114285714282E-4</v>
      </c>
      <c r="O28" s="2">
        <f>IF('Modell einstellen'!$B$1="Voll",J28/0.35,J28/0.35*2)</f>
        <v>-1.5110083142857143E-3</v>
      </c>
      <c r="P28" s="3">
        <f t="shared" si="1"/>
        <v>0.46122257321038468</v>
      </c>
      <c r="Q28" s="3"/>
      <c r="R28" s="3"/>
      <c r="S28" s="3"/>
      <c r="T28" s="3"/>
      <c r="U28" s="3"/>
      <c r="V28" s="3"/>
      <c r="W28" s="3"/>
    </row>
    <row r="29" spans="1:23" x14ac:dyDescent="0.25">
      <c r="A29" s="2">
        <v>100000000000</v>
      </c>
      <c r="B29" s="2">
        <v>-2.8160000000000001E-4</v>
      </c>
      <c r="C29" s="2">
        <v>6.7520000000000004E-4</v>
      </c>
      <c r="D29" s="2">
        <v>-5.4540000000000003E-4</v>
      </c>
      <c r="E29" s="2">
        <v>0</v>
      </c>
      <c r="F29" s="2">
        <v>0</v>
      </c>
      <c r="G29" s="2">
        <v>0</v>
      </c>
      <c r="H29" s="2">
        <v>3.3211554000000003E-4</v>
      </c>
      <c r="I29" s="2">
        <v>9.1448072000000006E-5</v>
      </c>
      <c r="J29" s="2">
        <v>-7.0234659999999995E-4</v>
      </c>
      <c r="K29" s="3"/>
      <c r="L29" s="3">
        <f t="shared" si="0"/>
        <v>-0.51631829849651634</v>
      </c>
      <c r="M29" s="3"/>
      <c r="N29" s="2">
        <f>IF('Modell einstellen'!$B$1="Voll",H29/0.35,H29/0.35*2)</f>
        <v>9.4890154285714296E-4</v>
      </c>
      <c r="O29" s="2">
        <f>IF('Modell einstellen'!$B$1="Voll",J29/0.35,J29/0.35*2)</f>
        <v>-2.0067045714285713E-3</v>
      </c>
      <c r="P29" s="3">
        <f t="shared" si="1"/>
        <v>0.47286559086354235</v>
      </c>
      <c r="Q29" s="3"/>
      <c r="R29" s="3"/>
      <c r="S29" s="3"/>
      <c r="T29" s="3"/>
      <c r="U29" s="3"/>
      <c r="V29" s="3"/>
      <c r="W29" s="3"/>
    </row>
    <row r="30" spans="1:23" x14ac:dyDescent="0.25">
      <c r="A30" s="2">
        <v>1000000000000</v>
      </c>
      <c r="B30" s="2">
        <v>-6.8389999999999998E-4</v>
      </c>
      <c r="C30" s="2">
        <v>8.6370000000000001E-4</v>
      </c>
      <c r="D30" s="2">
        <v>-3.3520000000000002E-4</v>
      </c>
      <c r="E30" s="2">
        <v>0</v>
      </c>
      <c r="F30" s="2">
        <v>0</v>
      </c>
      <c r="G30" s="2">
        <v>0</v>
      </c>
      <c r="H30" s="2">
        <v>4.6491061999999998E-4</v>
      </c>
      <c r="I30" s="2">
        <v>1.2499762E-4</v>
      </c>
      <c r="J30" s="2">
        <v>-9.5744837999999996E-4</v>
      </c>
      <c r="K30" s="3"/>
      <c r="L30" s="3">
        <f t="shared" si="0"/>
        <v>-2.0402744630071599</v>
      </c>
      <c r="M30" s="3"/>
      <c r="N30" s="2">
        <f>IF('Modell einstellen'!$B$1="Voll",H30/0.35,H30/0.35*2)</f>
        <v>1.3283160571428572E-3</v>
      </c>
      <c r="O30" s="2">
        <f>IF('Modell einstellen'!$B$1="Voll",J30/0.35,J30/0.35*2)</f>
        <v>-2.7355667999999999E-3</v>
      </c>
      <c r="P30" s="3">
        <f t="shared" si="1"/>
        <v>0.48557251723586398</v>
      </c>
      <c r="Q30" s="3"/>
      <c r="R30" s="3"/>
      <c r="S30" s="3"/>
      <c r="T30" s="3"/>
      <c r="U30" s="3"/>
      <c r="V30" s="3"/>
      <c r="W30" s="3"/>
    </row>
    <row r="31" spans="1:23" x14ac:dyDescent="0.25">
      <c r="A31" s="2">
        <v>10000000000000</v>
      </c>
      <c r="B31" s="2">
        <v>-1.3140000000000001E-3</v>
      </c>
      <c r="C31" s="2">
        <v>1.1100000000000001E-3</v>
      </c>
      <c r="D31" s="2">
        <v>4.613E-5</v>
      </c>
      <c r="E31" s="2">
        <v>0</v>
      </c>
      <c r="F31" s="2">
        <v>0</v>
      </c>
      <c r="G31" s="2">
        <v>0</v>
      </c>
      <c r="H31" s="2">
        <v>6.5525694000000004E-4</v>
      </c>
      <c r="I31" s="2">
        <v>1.7092086E-4</v>
      </c>
      <c r="J31" s="2">
        <v>-1.3148941999999999E-3</v>
      </c>
      <c r="K31" s="3"/>
      <c r="L31" s="3">
        <f t="shared" si="0"/>
        <v>28.484717103836985</v>
      </c>
      <c r="M31" s="3"/>
      <c r="N31" s="2">
        <f>IF('Modell einstellen'!$B$1="Voll",H31/0.35,H31/0.35*2)</f>
        <v>1.872162685714286E-3</v>
      </c>
      <c r="O31" s="2">
        <f>IF('Modell einstellen'!$B$1="Voll",J31/0.35,J31/0.35*2)</f>
        <v>-3.7568405714285716E-3</v>
      </c>
      <c r="P31" s="3">
        <f t="shared" si="1"/>
        <v>0.49833434507506391</v>
      </c>
      <c r="Q31" s="3"/>
      <c r="R31" s="3"/>
      <c r="S31" s="3"/>
      <c r="T31" s="3"/>
      <c r="U31" s="3"/>
      <c r="V31" s="3"/>
      <c r="W31" s="3"/>
    </row>
    <row r="32" spans="1:23" x14ac:dyDescent="0.25">
      <c r="A32" s="2">
        <v>100000000000000</v>
      </c>
      <c r="B32" s="2">
        <v>-1.915E-3</v>
      </c>
      <c r="C32" s="2">
        <v>1.3270000000000001E-3</v>
      </c>
      <c r="D32" s="2">
        <v>4.283E-4</v>
      </c>
      <c r="E32" s="2">
        <v>0</v>
      </c>
      <c r="F32" s="2">
        <v>0</v>
      </c>
      <c r="G32" s="2">
        <v>0</v>
      </c>
      <c r="H32" s="2">
        <v>8.2902365999999999E-4</v>
      </c>
      <c r="I32" s="2">
        <v>2.1255037999999999E-4</v>
      </c>
      <c r="J32" s="2">
        <v>-1.6397065000000001E-3</v>
      </c>
      <c r="K32" s="3"/>
      <c r="L32" s="3">
        <f t="shared" si="0"/>
        <v>4.4711650712117672</v>
      </c>
      <c r="M32" s="3"/>
      <c r="N32" s="2">
        <f>IF('Modell einstellen'!$B$1="Voll",H32/0.35,H32/0.35*2)</f>
        <v>2.3686390285714287E-3</v>
      </c>
      <c r="O32" s="2">
        <f>IF('Modell einstellen'!$B$1="Voll",J32/0.35,J32/0.35*2)</f>
        <v>-4.6848757142857146E-3</v>
      </c>
      <c r="P32" s="3">
        <f t="shared" si="1"/>
        <v>0.50559271430588337</v>
      </c>
      <c r="Q32" s="3"/>
      <c r="R32" s="3"/>
      <c r="S32" s="3"/>
      <c r="T32" s="3"/>
      <c r="U32" s="3"/>
      <c r="V32" s="3"/>
      <c r="W32" s="3"/>
    </row>
    <row r="33" spans="1:23" x14ac:dyDescent="0.25">
      <c r="A33" s="2">
        <v>1000000000000000</v>
      </c>
      <c r="B33" s="2">
        <v>-2.4199999999999998E-3</v>
      </c>
      <c r="C33" s="2">
        <v>1.505E-3</v>
      </c>
      <c r="D33" s="2">
        <v>7.5520000000000003E-4</v>
      </c>
      <c r="E33" s="2">
        <v>0</v>
      </c>
      <c r="F33" s="2">
        <v>0</v>
      </c>
      <c r="G33" s="2">
        <v>0</v>
      </c>
      <c r="H33" s="2">
        <v>9.7326358999999996E-4</v>
      </c>
      <c r="I33" s="2">
        <v>2.4709378999999997E-4</v>
      </c>
      <c r="J33" s="2">
        <v>-1.9089707000000001E-3</v>
      </c>
      <c r="K33" s="3"/>
      <c r="L33" s="3">
        <f t="shared" si="0"/>
        <v>3.2044491525423724</v>
      </c>
      <c r="M33" s="3"/>
      <c r="N33" s="2">
        <f>IF('Modell einstellen'!$B$1="Voll",H33/0.35,H33/0.35*2)</f>
        <v>2.7807531142857145E-3</v>
      </c>
      <c r="O33" s="2">
        <f>IF('Modell einstellen'!$B$1="Voll",J33/0.35,J33/0.35*2)</f>
        <v>-5.4542020000000009E-3</v>
      </c>
      <c r="P33" s="3">
        <f t="shared" si="1"/>
        <v>0.50983684034542798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9.4790000000000006E-5</v>
      </c>
      <c r="C3" s="3">
        <v>1.226E-4</v>
      </c>
      <c r="D3" s="3">
        <v>-3.4370000000000001E-4</v>
      </c>
      <c r="E3" s="3">
        <v>0</v>
      </c>
      <c r="F3" s="3">
        <v>0</v>
      </c>
      <c r="G3" s="3">
        <v>0</v>
      </c>
      <c r="H3" s="3">
        <v>4.6113411999999997E-5</v>
      </c>
      <c r="I3" s="3">
        <v>1.2237786999999999E-5</v>
      </c>
      <c r="J3" s="3">
        <v>-1.2774705000000001E-4</v>
      </c>
      <c r="L3" s="3">
        <f>-B3/D3</f>
        <v>0.27579284259528658</v>
      </c>
      <c r="M3" s="3"/>
      <c r="N3" s="2">
        <f>IF('Modell einstellen'!$B$1="Voll",H3/0.35,H3/0.35*2)</f>
        <v>1.317526057142857E-4</v>
      </c>
      <c r="O3" s="2">
        <f>IF('Modell einstellen'!$B$1="Voll",J3/0.35,J3/0.35*2)</f>
        <v>-3.6499157142857151E-4</v>
      </c>
      <c r="P3" s="3">
        <f>-N3/O3</f>
        <v>0.36097437866471271</v>
      </c>
    </row>
    <row r="4" spans="1:16" x14ac:dyDescent="0.25">
      <c r="A4" s="3">
        <v>1E-14</v>
      </c>
      <c r="B4" s="3">
        <v>9.6849999999999996E-5</v>
      </c>
      <c r="C4" s="3">
        <v>1.2750000000000001E-4</v>
      </c>
      <c r="D4" s="3">
        <v>-3.5149999999999998E-4</v>
      </c>
      <c r="E4" s="3">
        <v>0</v>
      </c>
      <c r="F4" s="3">
        <v>0</v>
      </c>
      <c r="G4" s="3">
        <v>0</v>
      </c>
      <c r="H4" s="3">
        <v>4.8291144000000003E-5</v>
      </c>
      <c r="I4" s="3">
        <v>1.2772734E-5</v>
      </c>
      <c r="J4" s="3">
        <v>-1.3195865999999999E-4</v>
      </c>
      <c r="L4" s="3">
        <f t="shared" ref="L4:L33" si="0">-B4/D4</f>
        <v>0.27553342816500714</v>
      </c>
      <c r="M4" s="3"/>
      <c r="N4" s="2">
        <f>IF('Modell einstellen'!$B$1="Voll",H4/0.35,H4/0.35*2)</f>
        <v>1.3797469714285716E-4</v>
      </c>
      <c r="O4" s="2">
        <f>IF('Modell einstellen'!$B$1="Voll",J4/0.35,J4/0.35*2)</f>
        <v>-3.7702474285714288E-4</v>
      </c>
      <c r="P4" s="3">
        <f t="shared" ref="P4:P33" si="1">-N4/O4</f>
        <v>0.3659566109567951</v>
      </c>
    </row>
    <row r="5" spans="1:16" x14ac:dyDescent="0.25">
      <c r="A5" s="3">
        <v>1E-13</v>
      </c>
      <c r="B5" s="3">
        <v>9.7979999999999994E-5</v>
      </c>
      <c r="C5" s="3">
        <v>1.305E-4</v>
      </c>
      <c r="D5" s="3">
        <v>-3.5609999999999998E-4</v>
      </c>
      <c r="E5" s="3">
        <v>0</v>
      </c>
      <c r="F5" s="3">
        <v>0</v>
      </c>
      <c r="G5" s="3">
        <v>0</v>
      </c>
      <c r="H5" s="3">
        <v>4.9617865999999998E-5</v>
      </c>
      <c r="I5" s="3">
        <v>1.3095233999999999E-5</v>
      </c>
      <c r="J5" s="3">
        <v>-1.3451357E-4</v>
      </c>
      <c r="L5" s="3">
        <f t="shared" si="0"/>
        <v>0.27514743049705137</v>
      </c>
      <c r="M5" s="3"/>
      <c r="N5" s="2">
        <f>IF('Modell einstellen'!$B$1="Voll",H5/0.35,H5/0.35*2)</f>
        <v>1.4176533142857143E-4</v>
      </c>
      <c r="O5" s="2">
        <f>IF('Modell einstellen'!$B$1="Voll",J5/0.35,J5/0.35*2)</f>
        <v>-3.8432448571428576E-4</v>
      </c>
      <c r="P5" s="3">
        <f t="shared" si="1"/>
        <v>0.36886885092708488</v>
      </c>
    </row>
    <row r="6" spans="1:16" x14ac:dyDescent="0.25">
      <c r="A6" s="3">
        <v>9.9999999999999998E-13</v>
      </c>
      <c r="B6" s="3">
        <v>9.9099999999999996E-5</v>
      </c>
      <c r="C6" s="3">
        <v>1.3359999999999999E-4</v>
      </c>
      <c r="D6" s="3">
        <v>-3.6079999999999999E-4</v>
      </c>
      <c r="E6" s="3">
        <v>0</v>
      </c>
      <c r="F6" s="3">
        <v>0</v>
      </c>
      <c r="G6" s="3">
        <v>0</v>
      </c>
      <c r="H6" s="3">
        <v>5.1019395999999997E-5</v>
      </c>
      <c r="I6" s="3">
        <v>1.3432961E-5</v>
      </c>
      <c r="J6" s="3">
        <v>-1.3720114999999999E-4</v>
      </c>
      <c r="L6" s="3">
        <f t="shared" si="0"/>
        <v>0.27466740576496673</v>
      </c>
      <c r="M6" s="3"/>
      <c r="N6" s="2">
        <f>IF('Modell einstellen'!$B$1="Voll",H6/0.35,H6/0.35*2)</f>
        <v>1.4576970285714287E-4</v>
      </c>
      <c r="O6" s="2">
        <f>IF('Modell einstellen'!$B$1="Voll",J6/0.35,J6/0.35*2)</f>
        <v>-3.9200328571428571E-4</v>
      </c>
      <c r="P6" s="3">
        <f t="shared" si="1"/>
        <v>0.37185836999179678</v>
      </c>
    </row>
    <row r="7" spans="1:16" x14ac:dyDescent="0.25">
      <c r="A7" s="3">
        <v>9.9999999999999994E-12</v>
      </c>
      <c r="B7" s="3">
        <v>1.003E-4</v>
      </c>
      <c r="C7" s="3">
        <v>1.37E-4</v>
      </c>
      <c r="D7" s="3">
        <v>-3.6600000000000001E-4</v>
      </c>
      <c r="E7" s="3">
        <v>0</v>
      </c>
      <c r="F7" s="3">
        <v>0</v>
      </c>
      <c r="G7" s="3">
        <v>0</v>
      </c>
      <c r="H7" s="3">
        <v>5.2591813000000002E-5</v>
      </c>
      <c r="I7" s="3">
        <v>1.3808335E-5</v>
      </c>
      <c r="J7" s="3">
        <v>-1.4020221E-4</v>
      </c>
      <c r="L7" s="3">
        <f t="shared" si="0"/>
        <v>0.27404371584699455</v>
      </c>
      <c r="M7" s="3"/>
      <c r="N7" s="2">
        <f>IF('Modell einstellen'!$B$1="Voll",H7/0.35,H7/0.35*2)</f>
        <v>1.5026232285714287E-4</v>
      </c>
      <c r="O7" s="2">
        <f>IF('Modell einstellen'!$B$1="Voll",J7/0.35,J7/0.35*2)</f>
        <v>-4.0057774285714288E-4</v>
      </c>
      <c r="P7" s="3">
        <f t="shared" si="1"/>
        <v>0.37511400854522908</v>
      </c>
    </row>
    <row r="8" spans="1:16" x14ac:dyDescent="0.25">
      <c r="A8" s="3">
        <v>1E-10</v>
      </c>
      <c r="B8" s="3">
        <v>1.015E-4</v>
      </c>
      <c r="C8" s="3">
        <v>1.4100000000000001E-4</v>
      </c>
      <c r="D8" s="3">
        <v>-3.7179999999999998E-4</v>
      </c>
      <c r="E8" s="3">
        <v>0</v>
      </c>
      <c r="F8" s="3">
        <v>0</v>
      </c>
      <c r="G8" s="3">
        <v>0</v>
      </c>
      <c r="H8" s="3">
        <v>5.4421678000000001E-5</v>
      </c>
      <c r="I8" s="3">
        <v>1.4240702E-5</v>
      </c>
      <c r="J8" s="3">
        <v>-1.436768E-4</v>
      </c>
      <c r="L8" s="3">
        <f t="shared" si="0"/>
        <v>0.27299623453469607</v>
      </c>
      <c r="M8" s="3"/>
      <c r="N8" s="2">
        <f>IF('Modell einstellen'!$B$1="Voll",H8/0.35,H8/0.35*2)</f>
        <v>1.5549050857142859E-4</v>
      </c>
      <c r="O8" s="2">
        <f>IF('Modell einstellen'!$B$1="Voll",J8/0.35,J8/0.35*2)</f>
        <v>-4.1050514285714286E-4</v>
      </c>
      <c r="P8" s="3">
        <f t="shared" si="1"/>
        <v>0.37877846666963633</v>
      </c>
    </row>
    <row r="9" spans="1:16" x14ac:dyDescent="0.25">
      <c r="A9" s="3">
        <v>1.0000000000000001E-9</v>
      </c>
      <c r="B9" s="3">
        <v>1.027E-4</v>
      </c>
      <c r="C9" s="3">
        <v>1.4540000000000001E-4</v>
      </c>
      <c r="D9" s="3">
        <v>-3.7819999999999998E-4</v>
      </c>
      <c r="E9" s="3">
        <v>0</v>
      </c>
      <c r="F9" s="3">
        <v>0</v>
      </c>
      <c r="G9" s="3">
        <v>0</v>
      </c>
      <c r="H9" s="3">
        <v>5.6533480999999998E-5</v>
      </c>
      <c r="I9" s="3">
        <v>1.4733568E-5</v>
      </c>
      <c r="J9" s="3">
        <v>-1.4766249999999999E-4</v>
      </c>
      <c r="L9" s="3">
        <f t="shared" si="0"/>
        <v>0.27154944473823378</v>
      </c>
      <c r="M9" s="3"/>
      <c r="N9" s="2">
        <f>IF('Modell einstellen'!$B$1="Voll",H9/0.35,H9/0.35*2)</f>
        <v>1.6152423142857142E-4</v>
      </c>
      <c r="O9" s="2">
        <f>IF('Modell einstellen'!$B$1="Voll",J9/0.35,J9/0.35*2)</f>
        <v>-4.2189285714285712E-4</v>
      </c>
      <c r="P9" s="3">
        <f t="shared" si="1"/>
        <v>0.38285604672818085</v>
      </c>
    </row>
    <row r="10" spans="1:16" x14ac:dyDescent="0.25">
      <c r="A10" s="3">
        <v>1E-8</v>
      </c>
      <c r="B10" s="3">
        <v>1.039E-4</v>
      </c>
      <c r="C10" s="3">
        <v>1.505E-4</v>
      </c>
      <c r="D10" s="3">
        <v>-3.8529999999999999E-4</v>
      </c>
      <c r="E10" s="3">
        <v>0</v>
      </c>
      <c r="F10" s="3">
        <v>0</v>
      </c>
      <c r="G10" s="3">
        <v>0</v>
      </c>
      <c r="H10" s="3">
        <v>5.8996897999999999E-5</v>
      </c>
      <c r="I10" s="3">
        <v>1.530069E-5</v>
      </c>
      <c r="J10" s="3">
        <v>-1.5228118999999999E-4</v>
      </c>
      <c r="L10" s="3">
        <f t="shared" si="0"/>
        <v>0.26966000519076044</v>
      </c>
      <c r="M10" s="3"/>
      <c r="N10" s="2">
        <f>IF('Modell einstellen'!$B$1="Voll",H10/0.35,H10/0.35*2)</f>
        <v>1.6856256571428572E-4</v>
      </c>
      <c r="O10" s="2">
        <f>IF('Modell einstellen'!$B$1="Voll",J10/0.35,J10/0.35*2)</f>
        <v>-4.350891142857143E-4</v>
      </c>
      <c r="P10" s="3">
        <f t="shared" si="1"/>
        <v>0.38742078388013651</v>
      </c>
    </row>
    <row r="11" spans="1:16" x14ac:dyDescent="0.25">
      <c r="A11" s="3">
        <v>9.9999999999999995E-8</v>
      </c>
      <c r="B11" s="3">
        <v>1.049E-4</v>
      </c>
      <c r="C11" s="3">
        <v>1.5579999999999999E-4</v>
      </c>
      <c r="D11" s="3">
        <v>-3.926E-4</v>
      </c>
      <c r="E11" s="3">
        <v>0</v>
      </c>
      <c r="F11" s="3">
        <v>0</v>
      </c>
      <c r="G11" s="3">
        <v>0</v>
      </c>
      <c r="H11" s="3">
        <v>6.1670152999999996E-5</v>
      </c>
      <c r="I11" s="3">
        <v>1.5906020000000001E-5</v>
      </c>
      <c r="J11" s="3">
        <v>-1.5725386E-4</v>
      </c>
      <c r="L11" s="3">
        <f t="shared" si="0"/>
        <v>0.2671930718288334</v>
      </c>
      <c r="M11" s="3"/>
      <c r="N11" s="2">
        <f>IF('Modell einstellen'!$B$1="Voll",H11/0.35,H11/0.35*2)</f>
        <v>1.7620043714285715E-4</v>
      </c>
      <c r="O11" s="2">
        <f>IF('Modell einstellen'!$B$1="Voll",J11/0.35,J11/0.35*2)</f>
        <v>-4.4929674285714289E-4</v>
      </c>
      <c r="P11" s="3">
        <f t="shared" si="1"/>
        <v>0.39216940684317697</v>
      </c>
    </row>
    <row r="12" spans="1:16" x14ac:dyDescent="0.25">
      <c r="A12" s="3">
        <v>9.9999999999999995E-7</v>
      </c>
      <c r="B12" s="3">
        <v>1.0569999999999999E-4</v>
      </c>
      <c r="C12" s="3">
        <v>1.6110000000000001E-4</v>
      </c>
      <c r="D12" s="3">
        <v>-3.9950000000000001E-4</v>
      </c>
      <c r="E12" s="3">
        <v>0</v>
      </c>
      <c r="F12" s="3">
        <v>0</v>
      </c>
      <c r="G12" s="3">
        <v>0</v>
      </c>
      <c r="H12" s="3">
        <v>6.4370942999999995E-5</v>
      </c>
      <c r="I12" s="3">
        <v>1.6507691E-5</v>
      </c>
      <c r="J12" s="3">
        <v>-1.6223931000000001E-4</v>
      </c>
      <c r="L12" s="3">
        <f t="shared" si="0"/>
        <v>0.26458072590738418</v>
      </c>
      <c r="M12" s="3"/>
      <c r="N12" s="2">
        <f>IF('Modell einstellen'!$B$1="Voll",H12/0.35,H12/0.35*2)</f>
        <v>1.8391697999999999E-4</v>
      </c>
      <c r="O12" s="2">
        <f>IF('Modell einstellen'!$B$1="Voll",J12/0.35,J12/0.35*2)</f>
        <v>-4.6354088571428579E-4</v>
      </c>
      <c r="P12" s="3">
        <f t="shared" si="1"/>
        <v>0.39676538934984368</v>
      </c>
    </row>
    <row r="13" spans="1:16" x14ac:dyDescent="0.25">
      <c r="A13" s="3">
        <v>1.0000000000000001E-5</v>
      </c>
      <c r="B13" s="3">
        <v>1.0620000000000001E-4</v>
      </c>
      <c r="C13" s="3">
        <v>1.6750000000000001E-4</v>
      </c>
      <c r="D13" s="3">
        <v>-4.0749999999999998E-4</v>
      </c>
      <c r="E13" s="3">
        <v>0</v>
      </c>
      <c r="F13" s="3">
        <v>0</v>
      </c>
      <c r="G13" s="3">
        <v>0</v>
      </c>
      <c r="H13" s="3">
        <v>6.7725370000000005E-5</v>
      </c>
      <c r="I13" s="3">
        <v>1.7241733000000002E-5</v>
      </c>
      <c r="J13" s="3">
        <v>-1.6838062E-4</v>
      </c>
      <c r="L13" s="3">
        <f t="shared" si="0"/>
        <v>0.26061349693251534</v>
      </c>
      <c r="M13" s="3"/>
      <c r="N13" s="2">
        <f>IF('Modell einstellen'!$B$1="Voll",H13/0.35,H13/0.35*2)</f>
        <v>1.9350105714285718E-4</v>
      </c>
      <c r="O13" s="2">
        <f>IF('Modell einstellen'!$B$1="Voll",J13/0.35,J13/0.35*2)</f>
        <v>-4.8108748571428574E-4</v>
      </c>
      <c r="P13" s="3">
        <f t="shared" si="1"/>
        <v>0.40221594385387111</v>
      </c>
    </row>
    <row r="14" spans="1:16" x14ac:dyDescent="0.25">
      <c r="A14" s="3">
        <v>1E-4</v>
      </c>
      <c r="B14" s="3">
        <v>1.064E-4</v>
      </c>
      <c r="C14" s="3">
        <v>1.7560000000000001E-4</v>
      </c>
      <c r="D14" s="3">
        <v>-4.17E-4</v>
      </c>
      <c r="E14" s="3">
        <v>0</v>
      </c>
      <c r="F14" s="3">
        <v>0</v>
      </c>
      <c r="G14" s="3">
        <v>0</v>
      </c>
      <c r="H14" s="3">
        <v>7.2106434000000004E-5</v>
      </c>
      <c r="I14" s="3">
        <v>1.8177641999999998E-5</v>
      </c>
      <c r="J14" s="3">
        <v>-1.7631402999999999E-4</v>
      </c>
      <c r="L14" s="3">
        <f t="shared" si="0"/>
        <v>0.25515587529976019</v>
      </c>
      <c r="M14" s="3"/>
      <c r="N14" s="2">
        <f>IF('Modell einstellen'!$B$1="Voll",H14/0.35,H14/0.35*2)</f>
        <v>2.0601838285714289E-4</v>
      </c>
      <c r="O14" s="2">
        <f>IF('Modell einstellen'!$B$1="Voll",J14/0.35,J14/0.35*2)</f>
        <v>-5.0375437142857141E-4</v>
      </c>
      <c r="P14" s="3">
        <f t="shared" si="1"/>
        <v>0.40896594559151084</v>
      </c>
    </row>
    <row r="15" spans="1:16" x14ac:dyDescent="0.25">
      <c r="A15" s="3">
        <v>1E-3</v>
      </c>
      <c r="B15" s="3">
        <v>1.058E-4</v>
      </c>
      <c r="C15" s="3">
        <v>1.8450000000000001E-4</v>
      </c>
      <c r="D15" s="3">
        <v>-4.2680000000000002E-4</v>
      </c>
      <c r="E15" s="3">
        <v>0</v>
      </c>
      <c r="F15" s="3">
        <v>0</v>
      </c>
      <c r="G15" s="3">
        <v>0</v>
      </c>
      <c r="H15" s="3">
        <v>7.7191012000000006E-5</v>
      </c>
      <c r="I15" s="3">
        <v>1.9230794999999999E-5</v>
      </c>
      <c r="J15" s="3">
        <v>-1.8539467E-4</v>
      </c>
      <c r="L15" s="3">
        <f t="shared" si="0"/>
        <v>0.24789128397375818</v>
      </c>
      <c r="M15" s="3"/>
      <c r="N15" s="2">
        <f>IF('Modell einstellen'!$B$1="Voll",H15/0.35,H15/0.35*2)</f>
        <v>2.2054574857142861E-4</v>
      </c>
      <c r="O15" s="2">
        <f>IF('Modell einstellen'!$B$1="Voll",J15/0.35,J15/0.35*2)</f>
        <v>-5.2969905714285719E-4</v>
      </c>
      <c r="P15" s="3">
        <f t="shared" si="1"/>
        <v>0.41636047034146129</v>
      </c>
    </row>
    <row r="16" spans="1:16" x14ac:dyDescent="0.25">
      <c r="A16" s="3">
        <v>0.01</v>
      </c>
      <c r="B16" s="3">
        <v>1.044E-4</v>
      </c>
      <c r="C16" s="3">
        <v>1.9269999999999999E-4</v>
      </c>
      <c r="D16" s="3">
        <v>-4.348E-4</v>
      </c>
      <c r="E16" s="3">
        <v>0</v>
      </c>
      <c r="F16" s="3">
        <v>0</v>
      </c>
      <c r="G16" s="3">
        <v>0</v>
      </c>
      <c r="H16" s="3">
        <v>8.2042080000000004E-5</v>
      </c>
      <c r="I16" s="3">
        <v>2.0202170999999998E-5</v>
      </c>
      <c r="J16" s="3">
        <v>-1.9393046000000001E-4</v>
      </c>
      <c r="L16" s="3">
        <f t="shared" si="0"/>
        <v>0.24011039558417663</v>
      </c>
      <c r="M16" s="3"/>
      <c r="N16" s="2">
        <f>IF('Modell einstellen'!$B$1="Voll",H16/0.35,H16/0.35*2)</f>
        <v>2.344059428571429E-4</v>
      </c>
      <c r="O16" s="2">
        <f>IF('Modell einstellen'!$B$1="Voll",J16/0.35,J16/0.35*2)</f>
        <v>-5.5408702857142863E-4</v>
      </c>
      <c r="P16" s="3">
        <f t="shared" si="1"/>
        <v>0.42304896301488693</v>
      </c>
    </row>
    <row r="17" spans="1:16" x14ac:dyDescent="0.25">
      <c r="A17" s="3">
        <v>0.1</v>
      </c>
      <c r="B17" s="3">
        <v>1.024E-4</v>
      </c>
      <c r="C17" s="3">
        <v>2.0019999999999999E-4</v>
      </c>
      <c r="D17" s="3">
        <v>-4.416E-4</v>
      </c>
      <c r="E17" s="3">
        <v>0</v>
      </c>
      <c r="F17" s="3">
        <v>0</v>
      </c>
      <c r="G17" s="3">
        <v>0</v>
      </c>
      <c r="H17" s="3">
        <v>8.6756880999999997E-5</v>
      </c>
      <c r="I17" s="3">
        <v>2.1118996000000001E-5</v>
      </c>
      <c r="J17" s="3">
        <v>-2.0212278999999999E-4</v>
      </c>
      <c r="L17" s="3">
        <f t="shared" si="0"/>
        <v>0.2318840579710145</v>
      </c>
      <c r="M17" s="3"/>
      <c r="N17" s="2">
        <f>IF('Modell einstellen'!$B$1="Voll",H17/0.35,H17/0.35*2)</f>
        <v>2.4787680285714287E-4</v>
      </c>
      <c r="O17" s="2">
        <f>IF('Modell einstellen'!$B$1="Voll",J17/0.35,J17/0.35*2)</f>
        <v>-5.774936857142857E-4</v>
      </c>
      <c r="P17" s="3">
        <f t="shared" si="1"/>
        <v>0.42922859416298381</v>
      </c>
    </row>
    <row r="18" spans="1:16" x14ac:dyDescent="0.25">
      <c r="A18" s="3">
        <v>1</v>
      </c>
      <c r="B18" s="3">
        <v>9.959E-5</v>
      </c>
      <c r="C18" s="3">
        <v>2.0819999999999999E-4</v>
      </c>
      <c r="D18" s="3">
        <v>-4.4799999999999999E-4</v>
      </c>
      <c r="E18" s="3">
        <v>0</v>
      </c>
      <c r="F18" s="3">
        <v>0</v>
      </c>
      <c r="G18" s="3">
        <v>0</v>
      </c>
      <c r="H18" s="3">
        <v>9.1944983000000002E-5</v>
      </c>
      <c r="I18" s="3">
        <v>2.2096280999999999E-5</v>
      </c>
      <c r="J18" s="3">
        <v>-2.1101754000000001E-4</v>
      </c>
      <c r="L18" s="3">
        <f t="shared" si="0"/>
        <v>0.22229910714285714</v>
      </c>
      <c r="M18" s="3"/>
      <c r="N18" s="2">
        <f>IF('Modell einstellen'!$B$1="Voll",H18/0.35,H18/0.35*2)</f>
        <v>2.6269995142857143E-4</v>
      </c>
      <c r="O18" s="2">
        <f>IF('Modell einstellen'!$B$1="Voll",J18/0.35,J18/0.35*2)</f>
        <v>-6.0290725714285721E-4</v>
      </c>
      <c r="P18" s="3">
        <f t="shared" si="1"/>
        <v>0.43572199258886246</v>
      </c>
    </row>
    <row r="19" spans="1:16" x14ac:dyDescent="0.25">
      <c r="A19" s="3">
        <v>10</v>
      </c>
      <c r="B19" s="3">
        <v>9.569E-5</v>
      </c>
      <c r="C19" s="3">
        <v>2.1670000000000001E-4</v>
      </c>
      <c r="D19" s="3">
        <v>-4.5399999999999998E-4</v>
      </c>
      <c r="E19" s="3">
        <v>0</v>
      </c>
      <c r="F19" s="3">
        <v>0</v>
      </c>
      <c r="G19" s="3">
        <v>0</v>
      </c>
      <c r="H19" s="3">
        <v>9.7739307E-5</v>
      </c>
      <c r="I19" s="3">
        <v>2.3155308E-5</v>
      </c>
      <c r="J19" s="3">
        <v>-2.2082577E-4</v>
      </c>
      <c r="L19" s="3">
        <f t="shared" si="0"/>
        <v>0.21077092511013218</v>
      </c>
      <c r="M19" s="3"/>
      <c r="N19" s="2">
        <f>IF('Modell einstellen'!$B$1="Voll",H19/0.35,H19/0.35*2)</f>
        <v>2.7925516285714287E-4</v>
      </c>
      <c r="O19" s="2">
        <f>IF('Modell einstellen'!$B$1="Voll",J19/0.35,J19/0.35*2)</f>
        <v>-6.3093077142857145E-4</v>
      </c>
      <c r="P19" s="3">
        <f t="shared" si="1"/>
        <v>0.44260824721679903</v>
      </c>
    </row>
    <row r="20" spans="1:16" x14ac:dyDescent="0.25">
      <c r="A20" s="3">
        <v>100</v>
      </c>
      <c r="B20" s="3">
        <v>9.0950000000000002E-5</v>
      </c>
      <c r="C20" s="3">
        <v>2.2589999999999999E-4</v>
      </c>
      <c r="D20" s="3">
        <v>-4.5970000000000001E-4</v>
      </c>
      <c r="E20" s="3">
        <v>0</v>
      </c>
      <c r="F20" s="3">
        <v>0</v>
      </c>
      <c r="G20" s="3">
        <v>0</v>
      </c>
      <c r="H20" s="3">
        <v>1.0403789E-4</v>
      </c>
      <c r="I20" s="3">
        <v>2.4317586000000001E-5</v>
      </c>
      <c r="J20" s="3">
        <v>-2.3149828999999999E-4</v>
      </c>
      <c r="L20" s="3">
        <f t="shared" si="0"/>
        <v>0.19784642157929083</v>
      </c>
      <c r="M20" s="3"/>
      <c r="N20" s="2">
        <f>IF('Modell einstellen'!$B$1="Voll",H20/0.35,H20/0.35*2)</f>
        <v>2.9725111428571431E-4</v>
      </c>
      <c r="O20" s="2">
        <f>IF('Modell einstellen'!$B$1="Voll",J20/0.35,J20/0.35*2)</f>
        <v>-6.6142368571428577E-4</v>
      </c>
      <c r="P20" s="3">
        <f t="shared" si="1"/>
        <v>0.44941105180517749</v>
      </c>
    </row>
    <row r="21" spans="1:16" x14ac:dyDescent="0.25">
      <c r="A21" s="3">
        <v>1000</v>
      </c>
      <c r="B21" s="3">
        <v>8.7239999999999998E-5</v>
      </c>
      <c r="C21" s="3">
        <v>2.4020000000000001E-4</v>
      </c>
      <c r="D21" s="3">
        <v>-4.7120000000000002E-4</v>
      </c>
      <c r="E21" s="3">
        <v>0</v>
      </c>
      <c r="F21" s="3">
        <v>0</v>
      </c>
      <c r="G21" s="3">
        <v>0</v>
      </c>
      <c r="H21" s="3">
        <v>1.1163507E-4</v>
      </c>
      <c r="I21" s="3">
        <v>2.6126708E-5</v>
      </c>
      <c r="J21" s="3">
        <v>-2.4567498000000002E-4</v>
      </c>
      <c r="L21" s="3">
        <f t="shared" si="0"/>
        <v>0.18514431239388793</v>
      </c>
      <c r="M21" s="3"/>
      <c r="N21" s="2">
        <f>IF('Modell einstellen'!$B$1="Voll",H21/0.35,H21/0.35*2)</f>
        <v>3.1895734285714288E-4</v>
      </c>
      <c r="O21" s="2">
        <f>IF('Modell einstellen'!$B$1="Voll",J21/0.35,J21/0.35*2)</f>
        <v>-7.0192851428571438E-4</v>
      </c>
      <c r="P21" s="3">
        <f t="shared" si="1"/>
        <v>0.45440146163846229</v>
      </c>
    </row>
    <row r="22" spans="1:16" x14ac:dyDescent="0.25">
      <c r="A22" s="3">
        <v>10000</v>
      </c>
      <c r="B22" s="3">
        <v>8.8700000000000001E-5</v>
      </c>
      <c r="C22" s="3">
        <v>2.677E-4</v>
      </c>
      <c r="D22" s="3">
        <v>-4.9989999999999995E-4</v>
      </c>
      <c r="E22" s="3">
        <v>0</v>
      </c>
      <c r="F22" s="3">
        <v>0</v>
      </c>
      <c r="G22" s="3">
        <v>0</v>
      </c>
      <c r="H22" s="3">
        <v>1.2147889E-4</v>
      </c>
      <c r="I22" s="3">
        <v>2.9607184E-5</v>
      </c>
      <c r="J22" s="3">
        <v>-2.6778008000000002E-4</v>
      </c>
      <c r="L22" s="3">
        <f t="shared" si="0"/>
        <v>0.17743548709741949</v>
      </c>
      <c r="M22" s="3"/>
      <c r="N22" s="2">
        <f>IF('Modell einstellen'!$B$1="Voll",H22/0.35,H22/0.35*2)</f>
        <v>3.4708254285714289E-4</v>
      </c>
      <c r="O22" s="2">
        <f>IF('Modell einstellen'!$B$1="Voll",J22/0.35,J22/0.35*2)</f>
        <v>-7.6508594285714293E-4</v>
      </c>
      <c r="P22" s="3">
        <f t="shared" si="1"/>
        <v>0.45365170553388434</v>
      </c>
    </row>
    <row r="23" spans="1:16" x14ac:dyDescent="0.25">
      <c r="A23" s="3">
        <v>100000</v>
      </c>
      <c r="B23" s="3">
        <v>9.3049999999999998E-5</v>
      </c>
      <c r="C23" s="3">
        <v>3.0630000000000002E-4</v>
      </c>
      <c r="D23" s="3">
        <v>-5.419E-4</v>
      </c>
      <c r="E23" s="3">
        <v>0</v>
      </c>
      <c r="F23" s="3">
        <v>0</v>
      </c>
      <c r="G23" s="3">
        <v>0</v>
      </c>
      <c r="H23" s="3">
        <v>1.3368283999999999E-4</v>
      </c>
      <c r="I23" s="3">
        <v>3.4573931999999999E-5</v>
      </c>
      <c r="J23" s="3">
        <v>-2.9743708000000001E-4</v>
      </c>
      <c r="L23" s="3">
        <f t="shared" si="0"/>
        <v>0.17171064772098174</v>
      </c>
      <c r="M23" s="3"/>
      <c r="N23" s="2">
        <f>IF('Modell einstellen'!$B$1="Voll",H23/0.35,H23/0.35*2)</f>
        <v>3.8195097142857141E-4</v>
      </c>
      <c r="O23" s="2">
        <f>IF('Modell einstellen'!$B$1="Voll",J23/0.35,J23/0.35*2)</f>
        <v>-8.4982022857142865E-4</v>
      </c>
      <c r="P23" s="3">
        <f t="shared" si="1"/>
        <v>0.44944914063841662</v>
      </c>
    </row>
    <row r="24" spans="1:16" x14ac:dyDescent="0.25">
      <c r="A24" s="3">
        <v>1000000</v>
      </c>
      <c r="B24" s="3">
        <v>9.1949999999999999E-5</v>
      </c>
      <c r="C24" s="3">
        <v>3.5260000000000001E-4</v>
      </c>
      <c r="D24" s="3">
        <v>-5.8690000000000001E-4</v>
      </c>
      <c r="E24" s="3">
        <v>0</v>
      </c>
      <c r="F24" s="3">
        <v>0</v>
      </c>
      <c r="G24" s="3">
        <v>0</v>
      </c>
      <c r="H24" s="3">
        <v>1.5032813E-4</v>
      </c>
      <c r="I24" s="3">
        <v>4.0763743999999998E-5</v>
      </c>
      <c r="J24" s="3">
        <v>-3.361099E-4</v>
      </c>
      <c r="L24" s="3">
        <f t="shared" si="0"/>
        <v>0.15667064235815301</v>
      </c>
      <c r="M24" s="3"/>
      <c r="N24" s="2">
        <f>IF('Modell einstellen'!$B$1="Voll",H24/0.35,H24/0.35*2)</f>
        <v>4.2950894285714289E-4</v>
      </c>
      <c r="O24" s="2">
        <f>IF('Modell einstellen'!$B$1="Voll",J24/0.35,J24/0.35*2)</f>
        <v>-9.6031400000000009E-4</v>
      </c>
      <c r="P24" s="3">
        <f t="shared" si="1"/>
        <v>0.44725885789142183</v>
      </c>
    </row>
    <row r="25" spans="1:16" x14ac:dyDescent="0.25">
      <c r="A25" s="3">
        <v>10000000</v>
      </c>
      <c r="B25" s="3">
        <v>7.2570000000000005E-5</v>
      </c>
      <c r="C25" s="3">
        <v>4.0779999999999999E-4</v>
      </c>
      <c r="D25" s="3">
        <v>-6.2370000000000004E-4</v>
      </c>
      <c r="E25" s="3">
        <v>0</v>
      </c>
      <c r="F25" s="3">
        <v>0</v>
      </c>
      <c r="G25" s="3">
        <v>0</v>
      </c>
      <c r="H25" s="3">
        <v>1.7414690999999999E-4</v>
      </c>
      <c r="I25" s="3">
        <v>4.8547558999999997E-5</v>
      </c>
      <c r="J25" s="3">
        <v>-3.8795797E-4</v>
      </c>
      <c r="L25" s="3">
        <f t="shared" si="0"/>
        <v>0.11635401635401635</v>
      </c>
      <c r="M25" s="3"/>
      <c r="N25" s="2">
        <f>IF('Modell einstellen'!$B$1="Voll",H25/0.35,H25/0.35*2)</f>
        <v>4.9756259999999999E-4</v>
      </c>
      <c r="O25" s="2">
        <f>IF('Modell einstellen'!$B$1="Voll",J25/0.35,J25/0.35*2)</f>
        <v>-1.1084513428571429E-3</v>
      </c>
      <c r="P25" s="3">
        <f t="shared" si="1"/>
        <v>0.4488808671722867</v>
      </c>
    </row>
    <row r="26" spans="1:16" x14ac:dyDescent="0.25">
      <c r="A26" s="3">
        <v>100000000</v>
      </c>
      <c r="B26" s="3">
        <v>1.5999999999999999E-5</v>
      </c>
      <c r="C26" s="3">
        <v>4.8109999999999998E-4</v>
      </c>
      <c r="D26" s="3">
        <v>-6.4269999999999996E-4</v>
      </c>
      <c r="E26" s="3">
        <v>0</v>
      </c>
      <c r="F26" s="3">
        <v>0</v>
      </c>
      <c r="G26" s="3">
        <v>0</v>
      </c>
      <c r="H26" s="3">
        <v>2.1136846999999999E-4</v>
      </c>
      <c r="I26" s="3">
        <v>5.9524531000000001E-5</v>
      </c>
      <c r="J26" s="3">
        <v>-4.6504723000000001E-4</v>
      </c>
      <c r="L26" s="3">
        <f t="shared" si="0"/>
        <v>2.4894974327057725E-2</v>
      </c>
      <c r="M26" s="3"/>
      <c r="N26" s="2">
        <f>IF('Modell einstellen'!$B$1="Voll",H26/0.35,H26/0.35*2)</f>
        <v>6.0390991428571432E-4</v>
      </c>
      <c r="O26" s="2">
        <f>IF('Modell einstellen'!$B$1="Voll",J26/0.35,J26/0.35*2)</f>
        <v>-1.3287063714285715E-3</v>
      </c>
      <c r="P26" s="3">
        <f t="shared" si="1"/>
        <v>0.45450968496253596</v>
      </c>
    </row>
    <row r="27" spans="1:16" x14ac:dyDescent="0.25">
      <c r="A27" s="3">
        <v>1000000000</v>
      </c>
      <c r="B27" s="3">
        <v>-1.209E-4</v>
      </c>
      <c r="C27" s="3">
        <v>5.886E-4</v>
      </c>
      <c r="D27" s="3">
        <v>-6.1689999999999998E-4</v>
      </c>
      <c r="E27" s="3">
        <v>0</v>
      </c>
      <c r="F27" s="3">
        <v>0</v>
      </c>
      <c r="G27" s="3">
        <v>0</v>
      </c>
      <c r="H27" s="3">
        <v>2.7376766999999999E-4</v>
      </c>
      <c r="I27" s="3">
        <v>7.6737693999999999E-5</v>
      </c>
      <c r="J27" s="3">
        <v>-5.9019556999999995E-4</v>
      </c>
      <c r="L27" s="3">
        <f t="shared" si="0"/>
        <v>-0.19597989949748745</v>
      </c>
      <c r="M27" s="3"/>
      <c r="N27" s="2">
        <f>IF('Modell einstellen'!$B$1="Voll",H27/0.35,H27/0.35*2)</f>
        <v>7.8219334285714289E-4</v>
      </c>
      <c r="O27" s="2">
        <f>IF('Modell einstellen'!$B$1="Voll",J27/0.35,J27/0.35*2)</f>
        <v>-1.6862730571428571E-3</v>
      </c>
      <c r="P27" s="3">
        <f t="shared" si="1"/>
        <v>0.46385924245415805</v>
      </c>
    </row>
    <row r="28" spans="1:16" x14ac:dyDescent="0.25">
      <c r="A28" s="3">
        <v>10000000000</v>
      </c>
      <c r="B28" s="3">
        <v>-4.1520000000000001E-4</v>
      </c>
      <c r="C28" s="3">
        <v>7.4910000000000005E-4</v>
      </c>
      <c r="D28" s="3">
        <v>-4.8700000000000002E-4</v>
      </c>
      <c r="E28" s="3">
        <v>0</v>
      </c>
      <c r="F28" s="3">
        <v>0</v>
      </c>
      <c r="G28" s="3">
        <v>0</v>
      </c>
      <c r="H28" s="3">
        <v>3.7939232000000001E-4</v>
      </c>
      <c r="I28" s="3">
        <v>1.0430163000000001E-4</v>
      </c>
      <c r="J28" s="3">
        <v>-7.9637101E-4</v>
      </c>
      <c r="L28" s="3">
        <f t="shared" si="0"/>
        <v>-0.85256673511293635</v>
      </c>
      <c r="M28" s="3"/>
      <c r="N28" s="2">
        <f>IF('Modell einstellen'!$B$1="Voll",H28/0.35,H28/0.35*2)</f>
        <v>1.0839780571428573E-3</v>
      </c>
      <c r="O28" s="2">
        <f>IF('Modell einstellen'!$B$1="Voll",J28/0.35,J28/0.35*2)</f>
        <v>-2.2753457428571428E-3</v>
      </c>
      <c r="P28" s="3">
        <f t="shared" si="1"/>
        <v>0.47640147021424106</v>
      </c>
    </row>
    <row r="29" spans="1:16" x14ac:dyDescent="0.25">
      <c r="A29" s="3">
        <v>100000000000</v>
      </c>
      <c r="B29" s="3">
        <v>-9.0819999999999996E-4</v>
      </c>
      <c r="C29" s="3">
        <v>9.6139999999999995E-4</v>
      </c>
      <c r="D29" s="3">
        <v>-2.098E-4</v>
      </c>
      <c r="E29" s="3">
        <v>0</v>
      </c>
      <c r="F29" s="3">
        <v>0</v>
      </c>
      <c r="G29" s="3">
        <v>0</v>
      </c>
      <c r="H29" s="3">
        <v>5.3487304E-4</v>
      </c>
      <c r="I29" s="3">
        <v>1.4293169000000001E-4</v>
      </c>
      <c r="J29" s="3">
        <v>-1.0926040000000001E-3</v>
      </c>
      <c r="L29" s="3">
        <f t="shared" si="0"/>
        <v>-4.3288846520495712</v>
      </c>
      <c r="M29" s="3"/>
      <c r="N29" s="2">
        <f>IF('Modell einstellen'!$B$1="Voll",H29/0.35,H29/0.35*2)</f>
        <v>1.5282086857142858E-3</v>
      </c>
      <c r="O29" s="2">
        <f>IF('Modell einstellen'!$B$1="Voll",J29/0.35,J29/0.35*2)</f>
        <v>-3.1217257142857145E-3</v>
      </c>
      <c r="P29" s="3">
        <f t="shared" si="1"/>
        <v>0.48953970514477341</v>
      </c>
    </row>
    <row r="30" spans="1:16" x14ac:dyDescent="0.25">
      <c r="A30" s="3">
        <v>1000000000000</v>
      </c>
      <c r="B30" s="3">
        <v>-1.57E-3</v>
      </c>
      <c r="C30" s="3">
        <v>1.209E-3</v>
      </c>
      <c r="D30" s="3">
        <v>2.028E-4</v>
      </c>
      <c r="E30" s="3">
        <v>0</v>
      </c>
      <c r="F30" s="3">
        <v>0</v>
      </c>
      <c r="G30" s="3">
        <v>0</v>
      </c>
      <c r="H30" s="3">
        <v>7.3035378000000002E-4</v>
      </c>
      <c r="I30" s="3">
        <v>1.8973808000000001E-4</v>
      </c>
      <c r="J30" s="3">
        <v>-1.4582206000000001E-3</v>
      </c>
      <c r="L30" s="3">
        <f t="shared" si="0"/>
        <v>7.7416173570019726</v>
      </c>
      <c r="M30" s="3"/>
      <c r="N30" s="2">
        <f>IF('Modell einstellen'!$B$1="Voll",H30/0.35,H30/0.35*2)</f>
        <v>2.0867250857142857E-3</v>
      </c>
      <c r="O30" s="2">
        <f>IF('Modell einstellen'!$B$1="Voll",J30/0.35,J30/0.35*2)</f>
        <v>-4.1663445714285718E-3</v>
      </c>
      <c r="P30" s="3">
        <f t="shared" si="1"/>
        <v>0.50085273791907747</v>
      </c>
    </row>
    <row r="31" spans="1:16" x14ac:dyDescent="0.25">
      <c r="A31" s="3">
        <v>10000000000000</v>
      </c>
      <c r="B31" s="3">
        <v>-2.1280000000000001E-3</v>
      </c>
      <c r="C31" s="3">
        <v>1.408E-3</v>
      </c>
      <c r="D31" s="3">
        <v>5.6079999999999997E-4</v>
      </c>
      <c r="E31" s="3">
        <v>0</v>
      </c>
      <c r="F31" s="3">
        <v>0</v>
      </c>
      <c r="G31" s="3">
        <v>0</v>
      </c>
      <c r="H31" s="3">
        <v>8.9063733999999995E-4</v>
      </c>
      <c r="I31" s="3">
        <v>2.2808394999999999E-4</v>
      </c>
      <c r="J31" s="3">
        <v>-1.7574909000000001E-3</v>
      </c>
      <c r="L31" s="3">
        <f t="shared" si="0"/>
        <v>3.7945791726105567</v>
      </c>
      <c r="M31" s="3"/>
      <c r="N31" s="2">
        <f>IF('Modell einstellen'!$B$1="Voll",H31/0.35,H31/0.35*2)</f>
        <v>2.5446781142857144E-3</v>
      </c>
      <c r="O31" s="2">
        <f>IF('Modell einstellen'!$B$1="Voll",J31/0.35,J31/0.35*2)</f>
        <v>-5.0214025714285723E-3</v>
      </c>
      <c r="P31" s="3">
        <f t="shared" si="1"/>
        <v>0.50676640203371748</v>
      </c>
    </row>
    <row r="32" spans="1:16" x14ac:dyDescent="0.25">
      <c r="A32" s="3">
        <v>100000000000000</v>
      </c>
      <c r="B32" s="3">
        <v>-2.5349999999999999E-3</v>
      </c>
      <c r="C32" s="3">
        <v>1.5510000000000001E-3</v>
      </c>
      <c r="D32" s="3">
        <v>8.2370000000000002E-4</v>
      </c>
      <c r="E32" s="3">
        <v>0</v>
      </c>
      <c r="F32" s="3">
        <v>0</v>
      </c>
      <c r="G32" s="3">
        <v>0</v>
      </c>
      <c r="H32" s="3">
        <v>1.0063603999999999E-3</v>
      </c>
      <c r="I32" s="3">
        <v>2.5596434999999997E-4</v>
      </c>
      <c r="J32" s="3">
        <v>-1.9740483000000001E-3</v>
      </c>
      <c r="L32" s="3">
        <f t="shared" si="0"/>
        <v>3.0775767876654121</v>
      </c>
      <c r="M32" s="3"/>
      <c r="N32" s="2">
        <f>IF('Modell einstellen'!$B$1="Voll",H32/0.35,H32/0.35*2)</f>
        <v>2.8753154285714286E-3</v>
      </c>
      <c r="O32" s="2">
        <f>IF('Modell einstellen'!$B$1="Voll",J32/0.35,J32/0.35*2)</f>
        <v>-5.6401380000000003E-3</v>
      </c>
      <c r="P32" s="3">
        <f t="shared" si="1"/>
        <v>0.50979522638833097</v>
      </c>
    </row>
    <row r="33" spans="1:16" x14ac:dyDescent="0.25">
      <c r="A33" s="3">
        <v>1000000000000000</v>
      </c>
      <c r="B33" s="3">
        <v>-2.7659999999999998E-3</v>
      </c>
      <c r="C33" s="3">
        <v>1.634E-3</v>
      </c>
      <c r="D33" s="3">
        <v>9.7170000000000004E-4</v>
      </c>
      <c r="E33" s="3">
        <v>0</v>
      </c>
      <c r="F33" s="3">
        <v>0</v>
      </c>
      <c r="G33" s="3">
        <v>0</v>
      </c>
      <c r="H33" s="3">
        <v>1.0722454E-3</v>
      </c>
      <c r="I33" s="3">
        <v>2.7219494E-4</v>
      </c>
      <c r="J33" s="3">
        <v>-2.0985484000000001E-3</v>
      </c>
      <c r="L33" s="3">
        <f t="shared" si="0"/>
        <v>2.8465575794998452</v>
      </c>
      <c r="M33" s="3"/>
      <c r="N33" s="2">
        <f>IF('Modell einstellen'!$B$1="Voll",H33/0.35,H33/0.35*2)</f>
        <v>3.0635582857142861E-3</v>
      </c>
      <c r="O33" s="2">
        <f>IF('Modell einstellen'!$B$1="Voll",J33/0.35,J33/0.35*2)</f>
        <v>-5.9958525714285723E-3</v>
      </c>
      <c r="P33" s="3">
        <f t="shared" si="1"/>
        <v>0.51094623311999854</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9.7310000000000002E-5</v>
      </c>
      <c r="C3" s="3">
        <v>1.273E-4</v>
      </c>
      <c r="D3" s="3">
        <v>-3.5159999999999998E-4</v>
      </c>
      <c r="E3" s="3">
        <v>0</v>
      </c>
      <c r="F3" s="3">
        <v>0</v>
      </c>
      <c r="G3" s="3">
        <v>0</v>
      </c>
      <c r="H3" s="3">
        <v>4.8136965999999997E-5</v>
      </c>
      <c r="I3" s="3">
        <v>1.2750401E-5</v>
      </c>
      <c r="J3" s="3">
        <v>-1.3171883999999999E-4</v>
      </c>
      <c r="K3" s="3"/>
      <c r="L3" s="3">
        <f>-B3/D3</f>
        <v>0.27676336746302621</v>
      </c>
      <c r="M3" s="3"/>
      <c r="N3" s="2">
        <f>IF('Modell einstellen'!$B$1="Voll",H3/0.35,H3/0.35*2)</f>
        <v>1.3753418857142857E-4</v>
      </c>
      <c r="O3" s="2">
        <f>IF('Modell einstellen'!$B$1="Voll",J3/0.35,J3/0.35*2)</f>
        <v>-3.7633954285714287E-4</v>
      </c>
      <c r="P3" s="3">
        <f>-N3/O3</f>
        <v>0.36545239845719868</v>
      </c>
      <c r="Q3" s="3"/>
      <c r="R3" s="3"/>
      <c r="S3" s="3"/>
      <c r="T3" s="3"/>
      <c r="U3" s="3"/>
    </row>
    <row r="4" spans="1:21" x14ac:dyDescent="0.25">
      <c r="A4" s="3">
        <v>1E-14</v>
      </c>
      <c r="B4" s="3">
        <v>9.8750000000000002E-5</v>
      </c>
      <c r="C4" s="3">
        <v>1.3100000000000001E-4</v>
      </c>
      <c r="D4" s="3">
        <v>-3.5730000000000001E-4</v>
      </c>
      <c r="E4" s="3">
        <v>0</v>
      </c>
      <c r="F4" s="3">
        <v>0</v>
      </c>
      <c r="G4" s="3">
        <v>0</v>
      </c>
      <c r="H4" s="3">
        <v>4.9782735999999999E-5</v>
      </c>
      <c r="I4" s="3">
        <v>1.3153213E-5</v>
      </c>
      <c r="J4" s="3">
        <v>-1.3489137000000001E-4</v>
      </c>
      <c r="K4" s="3"/>
      <c r="L4" s="3">
        <f t="shared" ref="L4:L33" si="0">-B4/D4</f>
        <v>0.276378393506857</v>
      </c>
      <c r="M4" s="3"/>
      <c r="N4" s="2">
        <f>IF('Modell einstellen'!$B$1="Voll",H4/0.35,H4/0.35*2)</f>
        <v>1.4223638857142857E-4</v>
      </c>
      <c r="O4" s="2">
        <f>IF('Modell einstellen'!$B$1="Voll",J4/0.35,J4/0.35*2)</f>
        <v>-3.8540391428571434E-4</v>
      </c>
      <c r="P4" s="3">
        <f t="shared" ref="P4:P33" si="1">-N4/O4</f>
        <v>0.36905797605880936</v>
      </c>
      <c r="Q4" s="3"/>
      <c r="R4" s="3"/>
      <c r="S4" s="3"/>
      <c r="T4" s="3"/>
      <c r="U4" s="3"/>
    </row>
    <row r="5" spans="1:21" x14ac:dyDescent="0.25">
      <c r="A5" s="3">
        <v>1E-13</v>
      </c>
      <c r="B5" s="3">
        <v>9.9900000000000002E-5</v>
      </c>
      <c r="C5" s="3">
        <v>1.3420000000000001E-4</v>
      </c>
      <c r="D5" s="3">
        <v>-3.6220000000000002E-4</v>
      </c>
      <c r="E5" s="3">
        <v>0</v>
      </c>
      <c r="F5" s="3">
        <v>0</v>
      </c>
      <c r="G5" s="3">
        <v>0</v>
      </c>
      <c r="H5" s="3">
        <v>5.1229649000000002E-5</v>
      </c>
      <c r="I5" s="3">
        <v>1.3504047E-5</v>
      </c>
      <c r="J5" s="3">
        <v>-1.3767259999999999E-4</v>
      </c>
      <c r="K5" s="3"/>
      <c r="L5" s="3">
        <f t="shared" si="0"/>
        <v>0.27581446714522362</v>
      </c>
      <c r="M5" s="3"/>
      <c r="N5" s="2">
        <f>IF('Modell einstellen'!$B$1="Voll",H5/0.35,H5/0.35*2)</f>
        <v>1.4637042571428573E-4</v>
      </c>
      <c r="O5" s="2">
        <f>IF('Modell einstellen'!$B$1="Voll",J5/0.35,J5/0.35*2)</f>
        <v>-3.9335028571428572E-4</v>
      </c>
      <c r="P5" s="3">
        <f t="shared" si="1"/>
        <v>0.37211216320458834</v>
      </c>
      <c r="Q5" s="3"/>
      <c r="R5" s="3"/>
      <c r="S5" s="3"/>
      <c r="T5" s="3"/>
      <c r="U5" s="3"/>
    </row>
    <row r="6" spans="1:21" x14ac:dyDescent="0.25">
      <c r="A6" s="3">
        <v>9.9999999999999998E-13</v>
      </c>
      <c r="B6" s="3">
        <v>1.011E-4</v>
      </c>
      <c r="C6" s="3">
        <v>1.3770000000000001E-4</v>
      </c>
      <c r="D6" s="3">
        <v>-3.6749999999999999E-4</v>
      </c>
      <c r="E6" s="3">
        <v>0</v>
      </c>
      <c r="F6" s="3">
        <v>0</v>
      </c>
      <c r="G6" s="3">
        <v>0</v>
      </c>
      <c r="H6" s="3">
        <v>5.2815934999999999E-5</v>
      </c>
      <c r="I6" s="3">
        <v>1.3884939999999999E-5</v>
      </c>
      <c r="J6" s="3">
        <v>-1.4070677999999999E-4</v>
      </c>
      <c r="K6" s="3"/>
      <c r="L6" s="3">
        <f t="shared" si="0"/>
        <v>0.27510204081632655</v>
      </c>
      <c r="M6" s="3"/>
      <c r="N6" s="2">
        <f>IF('Modell einstellen'!$B$1="Voll",H6/0.35,H6/0.35*2)</f>
        <v>1.5090267142857145E-4</v>
      </c>
      <c r="O6" s="2">
        <f>IF('Modell einstellen'!$B$1="Voll",J6/0.35,J6/0.35*2)</f>
        <v>-4.0201937142857143E-4</v>
      </c>
      <c r="P6" s="3">
        <f t="shared" si="1"/>
        <v>0.37536169188151419</v>
      </c>
      <c r="Q6" s="3"/>
      <c r="R6" s="3"/>
      <c r="S6" s="3"/>
      <c r="T6" s="3"/>
      <c r="U6" s="3"/>
    </row>
    <row r="7" spans="1:21" x14ac:dyDescent="0.25">
      <c r="A7" s="3">
        <v>9.9999999999999994E-12</v>
      </c>
      <c r="B7" s="3">
        <v>1.0230000000000001E-4</v>
      </c>
      <c r="C7" s="3">
        <v>1.418E-4</v>
      </c>
      <c r="D7" s="3">
        <v>-3.7340000000000002E-4</v>
      </c>
      <c r="E7" s="3">
        <v>0</v>
      </c>
      <c r="F7" s="3">
        <v>0</v>
      </c>
      <c r="G7" s="3">
        <v>0</v>
      </c>
      <c r="H7" s="3">
        <v>5.4682860999999998E-5</v>
      </c>
      <c r="I7" s="3">
        <v>1.4328581999999999E-5</v>
      </c>
      <c r="J7" s="3">
        <v>-1.4425918E-4</v>
      </c>
      <c r="K7" s="3"/>
      <c r="L7" s="3">
        <f t="shared" si="0"/>
        <v>0.27396893411890733</v>
      </c>
      <c r="M7" s="3"/>
      <c r="N7" s="2">
        <f>IF('Modell einstellen'!$B$1="Voll",H7/0.35,H7/0.35*2)</f>
        <v>1.5623674571428573E-4</v>
      </c>
      <c r="O7" s="2">
        <f>IF('Modell einstellen'!$B$1="Voll",J7/0.35,J7/0.35*2)</f>
        <v>-4.1216908571428576E-4</v>
      </c>
      <c r="P7" s="3">
        <f t="shared" si="1"/>
        <v>0.37905983522157827</v>
      </c>
      <c r="Q7" s="3"/>
      <c r="R7" s="3"/>
      <c r="S7" s="3"/>
      <c r="T7" s="3"/>
      <c r="U7" s="3"/>
    </row>
    <row r="8" spans="1:21" x14ac:dyDescent="0.25">
      <c r="A8" s="3">
        <v>1E-10</v>
      </c>
      <c r="B8" s="3">
        <v>1.0349999999999999E-4</v>
      </c>
      <c r="C8" s="3">
        <v>1.462E-4</v>
      </c>
      <c r="D8" s="3">
        <v>-3.7980000000000002E-4</v>
      </c>
      <c r="E8" s="3">
        <v>0</v>
      </c>
      <c r="F8" s="3">
        <v>0</v>
      </c>
      <c r="G8" s="3">
        <v>0</v>
      </c>
      <c r="H8" s="3">
        <v>5.6808631000000002E-5</v>
      </c>
      <c r="I8" s="3">
        <v>1.4827483E-5</v>
      </c>
      <c r="J8" s="3">
        <v>-1.4827924000000001E-4</v>
      </c>
      <c r="K8" s="3"/>
      <c r="L8" s="3">
        <f t="shared" si="0"/>
        <v>0.27251184834123221</v>
      </c>
      <c r="M8" s="3"/>
      <c r="N8" s="2">
        <f>IF('Modell einstellen'!$B$1="Voll",H8/0.35,H8/0.35*2)</f>
        <v>1.623103742857143E-4</v>
      </c>
      <c r="O8" s="2">
        <f>IF('Modell einstellen'!$B$1="Voll",J8/0.35,J8/0.35*2)</f>
        <v>-4.2365497142857146E-4</v>
      </c>
      <c r="P8" s="3">
        <f t="shared" si="1"/>
        <v>0.38311924852056162</v>
      </c>
      <c r="Q8" s="3"/>
      <c r="R8" s="3"/>
      <c r="S8" s="3"/>
      <c r="T8" s="3"/>
      <c r="U8" s="3"/>
    </row>
    <row r="9" spans="1:21" x14ac:dyDescent="0.25">
      <c r="A9" s="3">
        <v>1.0000000000000001E-9</v>
      </c>
      <c r="B9" s="3">
        <v>1.048E-4</v>
      </c>
      <c r="C9" s="3">
        <v>1.5139999999999999E-4</v>
      </c>
      <c r="D9" s="3">
        <v>-3.8709999999999998E-4</v>
      </c>
      <c r="E9" s="3">
        <v>0</v>
      </c>
      <c r="F9" s="3">
        <v>0</v>
      </c>
      <c r="G9" s="3">
        <v>0</v>
      </c>
      <c r="H9" s="3">
        <v>5.9321830000000001E-5</v>
      </c>
      <c r="I9" s="3">
        <v>1.5409267000000001E-5</v>
      </c>
      <c r="J9" s="3">
        <v>-1.5300040000000001E-4</v>
      </c>
      <c r="K9" s="3"/>
      <c r="L9" s="3">
        <f t="shared" si="0"/>
        <v>0.27073107724102302</v>
      </c>
      <c r="M9" s="3"/>
      <c r="N9" s="2">
        <f>IF('Modell einstellen'!$B$1="Voll",H9/0.35,H9/0.35*2)</f>
        <v>1.6949094285714287E-4</v>
      </c>
      <c r="O9" s="2">
        <f>IF('Modell einstellen'!$B$1="Voll",J9/0.35,J9/0.35*2)</f>
        <v>-4.3714400000000004E-4</v>
      </c>
      <c r="P9" s="3">
        <f t="shared" si="1"/>
        <v>0.38772336542910996</v>
      </c>
      <c r="Q9" s="3"/>
      <c r="R9" s="3"/>
      <c r="S9" s="3"/>
      <c r="T9" s="3"/>
      <c r="U9" s="3"/>
    </row>
    <row r="10" spans="1:21" x14ac:dyDescent="0.25">
      <c r="A10" s="3">
        <v>1E-8</v>
      </c>
      <c r="B10" s="3">
        <v>1.0569999999999999E-4</v>
      </c>
      <c r="C10" s="3">
        <v>1.5679999999999999E-4</v>
      </c>
      <c r="D10" s="3">
        <v>-3.9429999999999999E-4</v>
      </c>
      <c r="E10" s="3">
        <v>0</v>
      </c>
      <c r="F10" s="3">
        <v>0</v>
      </c>
      <c r="G10" s="3">
        <v>0</v>
      </c>
      <c r="H10" s="3">
        <v>6.1974566000000002E-5</v>
      </c>
      <c r="I10" s="3">
        <v>1.6013247E-5</v>
      </c>
      <c r="J10" s="3">
        <v>-1.5794415E-4</v>
      </c>
      <c r="K10" s="3"/>
      <c r="L10" s="3">
        <f t="shared" si="0"/>
        <v>0.26806999746386001</v>
      </c>
      <c r="M10" s="3"/>
      <c r="N10" s="2">
        <f>IF('Modell einstellen'!$B$1="Voll",H10/0.35,H10/0.35*2)</f>
        <v>1.7707018857142858E-4</v>
      </c>
      <c r="O10" s="2">
        <f>IF('Modell einstellen'!$B$1="Voll",J10/0.35,J10/0.35*2)</f>
        <v>-4.5126900000000002E-4</v>
      </c>
      <c r="P10" s="3">
        <f t="shared" si="1"/>
        <v>0.39238278847301405</v>
      </c>
      <c r="Q10" s="3"/>
      <c r="R10" s="3"/>
      <c r="S10" s="3"/>
      <c r="T10" s="3"/>
      <c r="U10" s="3"/>
    </row>
    <row r="11" spans="1:21" x14ac:dyDescent="0.25">
      <c r="A11" s="3">
        <v>9.9999999999999995E-8</v>
      </c>
      <c r="B11" s="3">
        <v>1.065E-4</v>
      </c>
      <c r="C11" s="3">
        <v>1.6220000000000001E-4</v>
      </c>
      <c r="D11" s="3">
        <v>-4.013E-4</v>
      </c>
      <c r="E11" s="3">
        <v>0</v>
      </c>
      <c r="F11" s="3">
        <v>0</v>
      </c>
      <c r="G11" s="3">
        <v>0</v>
      </c>
      <c r="H11" s="3">
        <v>6.4706723999999994E-5</v>
      </c>
      <c r="I11" s="3">
        <v>1.6625421999999999E-5</v>
      </c>
      <c r="J11" s="3">
        <v>-1.629976E-4</v>
      </c>
      <c r="K11" s="3"/>
      <c r="L11" s="3">
        <f t="shared" si="0"/>
        <v>0.26538749065537004</v>
      </c>
      <c r="M11" s="3"/>
      <c r="N11" s="2">
        <f>IF('Modell einstellen'!$B$1="Voll",H11/0.35,H11/0.35*2)</f>
        <v>1.8487635428571429E-4</v>
      </c>
      <c r="O11" s="2">
        <f>IF('Modell einstellen'!$B$1="Voll",J11/0.35,J11/0.35*2)</f>
        <v>-4.6570742857142861E-4</v>
      </c>
      <c r="P11" s="3">
        <f t="shared" si="1"/>
        <v>0.39697961196974679</v>
      </c>
      <c r="Q11" s="3"/>
      <c r="R11" s="3"/>
      <c r="S11" s="3"/>
      <c r="T11" s="3"/>
      <c r="U11" s="3"/>
    </row>
    <row r="12" spans="1:21" x14ac:dyDescent="0.25">
      <c r="A12" s="3">
        <v>9.9999999999999995E-7</v>
      </c>
      <c r="B12" s="3">
        <v>1.071E-4</v>
      </c>
      <c r="C12" s="3">
        <v>1.6880000000000001E-4</v>
      </c>
      <c r="D12" s="3">
        <v>-4.0959999999999998E-4</v>
      </c>
      <c r="E12" s="3">
        <v>0</v>
      </c>
      <c r="F12" s="3">
        <v>0</v>
      </c>
      <c r="G12" s="3">
        <v>0</v>
      </c>
      <c r="H12" s="3">
        <v>6.8156760999999998E-5</v>
      </c>
      <c r="I12" s="3">
        <v>1.7384649E-5</v>
      </c>
      <c r="J12" s="3">
        <v>-1.6932604999999999E-4</v>
      </c>
      <c r="K12" s="3"/>
      <c r="L12" s="3">
        <f t="shared" si="0"/>
        <v>0.261474609375</v>
      </c>
      <c r="M12" s="3"/>
      <c r="N12" s="2">
        <f>IF('Modell einstellen'!$B$1="Voll",H12/0.35,H12/0.35*2)</f>
        <v>1.9473360285714286E-4</v>
      </c>
      <c r="O12" s="2">
        <f>IF('Modell einstellen'!$B$1="Voll",J12/0.35,J12/0.35*2)</f>
        <v>-4.8378871428571426E-4</v>
      </c>
      <c r="P12" s="3">
        <f t="shared" si="1"/>
        <v>0.40251787010917695</v>
      </c>
      <c r="Q12" s="3"/>
      <c r="R12" s="3"/>
      <c r="S12" s="3"/>
      <c r="T12" s="3"/>
      <c r="U12" s="3"/>
    </row>
    <row r="13" spans="1:21" x14ac:dyDescent="0.25">
      <c r="A13" s="3">
        <v>1.0000000000000001E-5</v>
      </c>
      <c r="B13" s="3">
        <v>1.072E-4</v>
      </c>
      <c r="C13" s="3">
        <v>1.7699999999999999E-4</v>
      </c>
      <c r="D13" s="3">
        <v>-4.193E-4</v>
      </c>
      <c r="E13" s="3">
        <v>0</v>
      </c>
      <c r="F13" s="3">
        <v>0</v>
      </c>
      <c r="G13" s="3">
        <v>0</v>
      </c>
      <c r="H13" s="3">
        <v>7.2625534999999993E-5</v>
      </c>
      <c r="I13" s="3">
        <v>1.8344361999999999E-5</v>
      </c>
      <c r="J13" s="3">
        <v>-1.7743229E-4</v>
      </c>
      <c r="K13" s="3"/>
      <c r="L13" s="3">
        <f t="shared" si="0"/>
        <v>0.25566420224183162</v>
      </c>
      <c r="M13" s="3"/>
      <c r="N13" s="2">
        <f>IF('Modell einstellen'!$B$1="Voll",H13/0.35,H13/0.35*2)</f>
        <v>2.0750152857142856E-4</v>
      </c>
      <c r="O13" s="2">
        <f>IF('Modell einstellen'!$B$1="Voll",J13/0.35,J13/0.35*2)</f>
        <v>-5.0694940000000006E-4</v>
      </c>
      <c r="P13" s="3">
        <f t="shared" si="1"/>
        <v>0.4093140825720053</v>
      </c>
      <c r="Q13" s="3"/>
      <c r="R13" s="3"/>
      <c r="S13" s="3"/>
      <c r="T13" s="3"/>
      <c r="U13" s="3"/>
    </row>
    <row r="14" spans="1:21" x14ac:dyDescent="0.25">
      <c r="A14" s="3">
        <v>1E-4</v>
      </c>
      <c r="B14" s="3">
        <v>1.065E-4</v>
      </c>
      <c r="C14" s="3">
        <v>1.861E-4</v>
      </c>
      <c r="D14" s="3">
        <v>-4.2900000000000002E-4</v>
      </c>
      <c r="E14" s="3">
        <v>0</v>
      </c>
      <c r="F14" s="3">
        <v>0</v>
      </c>
      <c r="G14" s="3">
        <v>0</v>
      </c>
      <c r="H14" s="3">
        <v>7.7727688999999994E-5</v>
      </c>
      <c r="I14" s="3">
        <v>1.9406678000000002E-5</v>
      </c>
      <c r="J14" s="3">
        <v>-1.8655951000000001E-4</v>
      </c>
      <c r="K14" s="3"/>
      <c r="L14" s="3">
        <f t="shared" si="0"/>
        <v>0.24825174825174823</v>
      </c>
      <c r="M14" s="3"/>
      <c r="N14" s="2">
        <f>IF('Modell einstellen'!$B$1="Voll",H14/0.35,H14/0.35*2)</f>
        <v>2.2207911142857142E-4</v>
      </c>
      <c r="O14" s="2">
        <f>IF('Modell einstellen'!$B$1="Voll",J14/0.35,J14/0.35*2)</f>
        <v>-5.3302717142857147E-4</v>
      </c>
      <c r="P14" s="3">
        <f t="shared" si="1"/>
        <v>0.41663750617698336</v>
      </c>
      <c r="Q14" s="3"/>
      <c r="R14" s="3"/>
      <c r="S14" s="3"/>
      <c r="T14" s="3"/>
      <c r="U14" s="3"/>
    </row>
    <row r="15" spans="1:21" x14ac:dyDescent="0.25">
      <c r="A15" s="3">
        <v>1E-3</v>
      </c>
      <c r="B15" s="3">
        <v>1.0509999999999999E-4</v>
      </c>
      <c r="C15" s="3">
        <v>1.941E-4</v>
      </c>
      <c r="D15" s="3">
        <v>-4.3689999999999999E-4</v>
      </c>
      <c r="E15" s="3">
        <v>0</v>
      </c>
      <c r="F15" s="3">
        <v>0</v>
      </c>
      <c r="G15" s="3">
        <v>0</v>
      </c>
      <c r="H15" s="3">
        <v>8.2496445999999998E-5</v>
      </c>
      <c r="I15" s="3">
        <v>2.0367038000000001E-5</v>
      </c>
      <c r="J15" s="3">
        <v>-1.9496602999999999E-4</v>
      </c>
      <c r="K15" s="3"/>
      <c r="L15" s="3">
        <f t="shared" si="0"/>
        <v>0.24055848020141907</v>
      </c>
      <c r="M15" s="3"/>
      <c r="N15" s="2">
        <f>IF('Modell einstellen'!$B$1="Voll",H15/0.35,H15/0.35*2)</f>
        <v>2.3570413142857144E-4</v>
      </c>
      <c r="O15" s="2">
        <f>IF('Modell einstellen'!$B$1="Voll",J15/0.35,J15/0.35*2)</f>
        <v>-5.5704579999999999E-4</v>
      </c>
      <c r="P15" s="3">
        <f t="shared" si="1"/>
        <v>0.42313240927150236</v>
      </c>
      <c r="Q15" s="3"/>
      <c r="R15" s="3"/>
      <c r="S15" s="3"/>
      <c r="T15" s="3"/>
      <c r="U15" s="3"/>
    </row>
    <row r="16" spans="1:21" x14ac:dyDescent="0.25">
      <c r="A16" s="3">
        <v>0.01</v>
      </c>
      <c r="B16" s="3">
        <v>1.03E-4</v>
      </c>
      <c r="C16" s="3">
        <v>2.018E-4</v>
      </c>
      <c r="D16" s="3">
        <v>-4.438E-4</v>
      </c>
      <c r="E16" s="3">
        <v>0</v>
      </c>
      <c r="F16" s="3">
        <v>0</v>
      </c>
      <c r="G16" s="3">
        <v>0</v>
      </c>
      <c r="H16" s="3">
        <v>8.7273881000000006E-5</v>
      </c>
      <c r="I16" s="3">
        <v>2.1302112999999999E-5</v>
      </c>
      <c r="J16" s="3">
        <v>-2.0328532000000001E-4</v>
      </c>
      <c r="K16" s="3"/>
      <c r="L16" s="3">
        <f t="shared" si="0"/>
        <v>0.23208652546191977</v>
      </c>
      <c r="M16" s="3"/>
      <c r="N16" s="2">
        <f>IF('Modell einstellen'!$B$1="Voll",H16/0.35,H16/0.35*2)</f>
        <v>2.4935394571428576E-4</v>
      </c>
      <c r="O16" s="2">
        <f>IF('Modell einstellen'!$B$1="Voll",J16/0.35,J16/0.35*2)</f>
        <v>-5.8081520000000011E-4</v>
      </c>
      <c r="P16" s="3">
        <f t="shared" si="1"/>
        <v>0.4293171833558862</v>
      </c>
      <c r="Q16" s="3"/>
      <c r="R16" s="3"/>
      <c r="S16" s="3"/>
      <c r="T16" s="3"/>
      <c r="U16" s="3"/>
    </row>
    <row r="17" spans="1:25" x14ac:dyDescent="0.25">
      <c r="A17" s="3">
        <v>0.1</v>
      </c>
      <c r="B17" s="3">
        <v>1.0009999999999999E-4</v>
      </c>
      <c r="C17" s="3">
        <v>2.098E-4</v>
      </c>
      <c r="D17" s="3">
        <v>-4.5009999999999999E-4</v>
      </c>
      <c r="E17" s="3">
        <v>0</v>
      </c>
      <c r="F17" s="3">
        <v>0</v>
      </c>
      <c r="G17" s="3">
        <v>0</v>
      </c>
      <c r="H17" s="3">
        <v>9.2470346999999996E-5</v>
      </c>
      <c r="I17" s="3">
        <v>2.2287179000000002E-5</v>
      </c>
      <c r="J17" s="3">
        <v>-2.1221283E-4</v>
      </c>
      <c r="K17" s="3"/>
      <c r="L17" s="3">
        <f t="shared" si="0"/>
        <v>0.22239502332814928</v>
      </c>
      <c r="M17" s="3"/>
      <c r="N17" s="2">
        <f>IF('Modell einstellen'!$B$1="Voll",H17/0.35,H17/0.35*2)</f>
        <v>2.6420099142857143E-4</v>
      </c>
      <c r="O17" s="2">
        <f>IF('Modell einstellen'!$B$1="Voll",J17/0.35,J17/0.35*2)</f>
        <v>-6.0632237142857145E-4</v>
      </c>
      <c r="P17" s="3">
        <f t="shared" si="1"/>
        <v>0.43574343266615878</v>
      </c>
      <c r="Q17" s="3"/>
      <c r="R17" s="3"/>
      <c r="S17" s="3"/>
      <c r="T17" s="3"/>
      <c r="U17" s="3"/>
      <c r="V17" s="3"/>
      <c r="W17" s="3"/>
      <c r="X17" s="3"/>
      <c r="Y17" s="3"/>
    </row>
    <row r="18" spans="1:25" x14ac:dyDescent="0.25">
      <c r="A18" s="3">
        <v>1</v>
      </c>
      <c r="B18" s="3">
        <v>9.6069999999999993E-5</v>
      </c>
      <c r="C18" s="3">
        <v>2.185E-4</v>
      </c>
      <c r="D18" s="3">
        <v>-4.5609999999999997E-4</v>
      </c>
      <c r="E18" s="3">
        <v>0</v>
      </c>
      <c r="F18" s="3">
        <v>0</v>
      </c>
      <c r="G18" s="3">
        <v>0</v>
      </c>
      <c r="H18" s="3">
        <v>9.8359188000000006E-5</v>
      </c>
      <c r="I18" s="3">
        <v>2.3369010999999999E-5</v>
      </c>
      <c r="J18" s="3">
        <v>-2.2219741E-4</v>
      </c>
      <c r="K18" s="3"/>
      <c r="L18" s="3">
        <f t="shared" si="0"/>
        <v>0.21063363297522472</v>
      </c>
      <c r="M18" s="3"/>
      <c r="N18" s="2">
        <f>IF('Modell einstellen'!$B$1="Voll",H18/0.35,H18/0.35*2)</f>
        <v>2.8102625142857146E-4</v>
      </c>
      <c r="O18" s="2">
        <f>IF('Modell einstellen'!$B$1="Voll",J18/0.35,J18/0.35*2)</f>
        <v>-6.3484974285714293E-4</v>
      </c>
      <c r="P18" s="3">
        <f t="shared" si="1"/>
        <v>0.44266577184675554</v>
      </c>
      <c r="Q18" s="3"/>
      <c r="R18" s="3"/>
      <c r="S18" s="3"/>
      <c r="T18" s="3"/>
      <c r="U18" s="3"/>
      <c r="V18" s="3"/>
      <c r="W18" s="3"/>
      <c r="X18" s="3"/>
      <c r="Y18" s="3"/>
    </row>
    <row r="19" spans="1:25" x14ac:dyDescent="0.25">
      <c r="A19" s="3">
        <v>10</v>
      </c>
      <c r="B19" s="3">
        <v>9.1130000000000003E-5</v>
      </c>
      <c r="C19" s="3">
        <v>2.275E-4</v>
      </c>
      <c r="D19" s="3">
        <v>-4.615E-4</v>
      </c>
      <c r="E19" s="3">
        <v>0</v>
      </c>
      <c r="F19" s="3">
        <v>0</v>
      </c>
      <c r="G19" s="3">
        <v>0</v>
      </c>
      <c r="H19" s="3">
        <v>1.0463891999999999E-4</v>
      </c>
      <c r="I19" s="3">
        <v>2.4516511000000002E-5</v>
      </c>
      <c r="J19" s="3">
        <v>-2.3279986000000001E-4</v>
      </c>
      <c r="K19" s="3"/>
      <c r="L19" s="3">
        <f t="shared" si="0"/>
        <v>0.19746478873239437</v>
      </c>
      <c r="M19" s="3"/>
      <c r="N19" s="2">
        <f>IF('Modell einstellen'!$B$1="Voll",H19/0.35,H19/0.35*2)</f>
        <v>2.9896834285714284E-4</v>
      </c>
      <c r="O19" s="2">
        <f>IF('Modell einstellen'!$B$1="Voll",J19/0.35,J19/0.35*2)</f>
        <v>-6.6514245714285717E-4</v>
      </c>
      <c r="P19" s="3">
        <f t="shared" si="1"/>
        <v>0.44948016721315892</v>
      </c>
      <c r="Q19" s="3"/>
      <c r="R19" s="3"/>
      <c r="S19" s="3"/>
      <c r="T19" s="3"/>
      <c r="U19" s="3"/>
      <c r="V19" s="3"/>
      <c r="W19" s="3"/>
      <c r="X19" s="3"/>
      <c r="Y19" s="3"/>
    </row>
    <row r="20" spans="1:25" x14ac:dyDescent="0.25">
      <c r="A20" s="3">
        <v>100</v>
      </c>
      <c r="B20" s="3">
        <v>8.6180000000000005E-5</v>
      </c>
      <c r="C20" s="3">
        <v>2.4130000000000001E-4</v>
      </c>
      <c r="D20" s="3">
        <v>-4.7150000000000002E-4</v>
      </c>
      <c r="E20" s="3">
        <v>0</v>
      </c>
      <c r="F20" s="3">
        <v>0</v>
      </c>
      <c r="G20" s="3">
        <v>0</v>
      </c>
      <c r="H20" s="3">
        <v>1.1254941E-4</v>
      </c>
      <c r="I20" s="3">
        <v>2.6266886999999999E-5</v>
      </c>
      <c r="J20" s="3">
        <v>-2.4712505000000002E-4</v>
      </c>
      <c r="K20" s="3"/>
      <c r="L20" s="3">
        <f t="shared" si="0"/>
        <v>0.18277836691410393</v>
      </c>
      <c r="M20" s="3"/>
      <c r="N20" s="2">
        <f>IF('Modell einstellen'!$B$1="Voll",H20/0.35,H20/0.35*2)</f>
        <v>3.2156974285714289E-4</v>
      </c>
      <c r="O20" s="2">
        <f>IF('Modell einstellen'!$B$1="Voll",J20/0.35,J20/0.35*2)</f>
        <v>-7.0607157142857152E-4</v>
      </c>
      <c r="P20" s="3">
        <f t="shared" si="1"/>
        <v>0.45543505201111745</v>
      </c>
      <c r="Q20" s="3"/>
      <c r="R20" s="3"/>
      <c r="S20" s="3"/>
      <c r="T20" s="3"/>
      <c r="U20" s="3"/>
      <c r="V20" s="3"/>
      <c r="W20" s="3"/>
      <c r="X20" s="3"/>
      <c r="Y20" s="3"/>
    </row>
    <row r="21" spans="1:25" x14ac:dyDescent="0.25">
      <c r="A21" s="3">
        <v>1000</v>
      </c>
      <c r="B21" s="3">
        <v>8.5829999999999996E-5</v>
      </c>
      <c r="C21" s="3">
        <v>2.675E-4</v>
      </c>
      <c r="D21" s="3">
        <v>-4.9720000000000005E-4</v>
      </c>
      <c r="E21" s="3">
        <v>0</v>
      </c>
      <c r="F21" s="3">
        <v>0</v>
      </c>
      <c r="G21" s="3">
        <v>0</v>
      </c>
      <c r="H21" s="3">
        <v>1.2252743999999999E-4</v>
      </c>
      <c r="I21" s="3">
        <v>2.9590327000000001E-5</v>
      </c>
      <c r="J21" s="3">
        <v>-2.6885633999999999E-4</v>
      </c>
      <c r="K21" s="3"/>
      <c r="L21" s="3">
        <f t="shared" si="0"/>
        <v>0.1726267095736122</v>
      </c>
      <c r="M21" s="3"/>
      <c r="N21" s="2">
        <f>IF('Modell einstellen'!$B$1="Voll",H21/0.35,H21/0.35*2)</f>
        <v>3.5007840000000001E-4</v>
      </c>
      <c r="O21" s="2">
        <f>IF('Modell einstellen'!$B$1="Voll",J21/0.35,J21/0.35*2)</f>
        <v>-7.6816097142857142E-4</v>
      </c>
      <c r="P21" s="3">
        <f t="shared" si="1"/>
        <v>0.4557357286050982</v>
      </c>
      <c r="Q21" s="3"/>
      <c r="R21" s="3"/>
      <c r="S21" s="3"/>
      <c r="T21" s="3"/>
      <c r="U21" s="3"/>
      <c r="V21" s="3"/>
      <c r="W21" s="3"/>
      <c r="X21" s="3"/>
      <c r="Y21" s="3"/>
    </row>
    <row r="22" spans="1:25" x14ac:dyDescent="0.25">
      <c r="A22" s="3">
        <v>10000</v>
      </c>
      <c r="B22" s="3">
        <v>8.8739999999999994E-5</v>
      </c>
      <c r="C22" s="3">
        <v>3.0620000000000002E-4</v>
      </c>
      <c r="D22" s="3">
        <v>-5.3799999999999996E-4</v>
      </c>
      <c r="E22" s="3">
        <v>0</v>
      </c>
      <c r="F22" s="3">
        <v>0</v>
      </c>
      <c r="G22" s="3">
        <v>0</v>
      </c>
      <c r="H22" s="3">
        <v>1.3509393E-4</v>
      </c>
      <c r="I22" s="3">
        <v>3.4591687000000001E-5</v>
      </c>
      <c r="J22" s="3">
        <v>-2.9901411E-4</v>
      </c>
      <c r="K22" s="3"/>
      <c r="L22" s="3">
        <f t="shared" si="0"/>
        <v>0.16494423791821561</v>
      </c>
      <c r="M22" s="3"/>
      <c r="N22" s="2">
        <f>IF('Modell einstellen'!$B$1="Voll",H22/0.35,H22/0.35*2)</f>
        <v>3.8598265714285716E-4</v>
      </c>
      <c r="O22" s="2">
        <f>IF('Modell einstellen'!$B$1="Voll",J22/0.35,J22/0.35*2)</f>
        <v>-8.5432602857142862E-4</v>
      </c>
      <c r="P22" s="3">
        <f t="shared" si="1"/>
        <v>0.45179784325227995</v>
      </c>
      <c r="Q22" s="3"/>
      <c r="R22" s="3"/>
      <c r="S22" s="3"/>
      <c r="T22" s="3"/>
      <c r="U22" s="3"/>
      <c r="V22" s="3"/>
      <c r="W22" s="3"/>
      <c r="X22" s="3"/>
      <c r="Y22" s="3"/>
    </row>
    <row r="23" spans="1:25" x14ac:dyDescent="0.25">
      <c r="A23" s="3">
        <v>100000</v>
      </c>
      <c r="B23" s="3">
        <v>8.6479999999999999E-5</v>
      </c>
      <c r="C23" s="3">
        <v>3.5369999999999998E-4</v>
      </c>
      <c r="D23" s="3">
        <v>-5.8299999999999997E-4</v>
      </c>
      <c r="E23" s="3">
        <v>0</v>
      </c>
      <c r="F23" s="3">
        <v>0</v>
      </c>
      <c r="G23" s="3">
        <v>0</v>
      </c>
      <c r="H23" s="3">
        <v>1.5215927E-4</v>
      </c>
      <c r="I23" s="3">
        <v>4.0943628000000002E-5</v>
      </c>
      <c r="J23" s="3">
        <v>-3.3867662000000001E-4</v>
      </c>
      <c r="K23" s="3"/>
      <c r="L23" s="3">
        <f t="shared" si="0"/>
        <v>0.14833619210977703</v>
      </c>
      <c r="M23" s="3"/>
      <c r="N23" s="2">
        <f>IF('Modell einstellen'!$B$1="Voll",H23/0.35,H23/0.35*2)</f>
        <v>4.3474077142857144E-4</v>
      </c>
      <c r="O23" s="2">
        <f>IF('Modell einstellen'!$B$1="Voll",J23/0.35,J23/0.35*2)</f>
        <v>-9.6764748571428582E-4</v>
      </c>
      <c r="P23" s="3">
        <f t="shared" si="1"/>
        <v>0.44927597895597277</v>
      </c>
      <c r="Q23" s="3"/>
      <c r="R23" s="3"/>
      <c r="S23" s="3"/>
      <c r="T23" s="3"/>
      <c r="U23" s="3"/>
      <c r="V23" s="3"/>
      <c r="W23" s="3"/>
      <c r="X23" s="3"/>
      <c r="Y23" s="3"/>
    </row>
    <row r="24" spans="1:25" x14ac:dyDescent="0.25">
      <c r="A24" s="3">
        <v>1000000</v>
      </c>
      <c r="B24" s="3">
        <v>6.4759999999999997E-5</v>
      </c>
      <c r="C24" s="3">
        <v>4.1110000000000002E-4</v>
      </c>
      <c r="D24" s="3">
        <v>-6.1959999999999999E-4</v>
      </c>
      <c r="E24" s="3">
        <v>0</v>
      </c>
      <c r="F24" s="3">
        <v>0</v>
      </c>
      <c r="G24" s="3">
        <v>0</v>
      </c>
      <c r="H24" s="3">
        <v>1.7695948999999999E-4</v>
      </c>
      <c r="I24" s="3">
        <v>4.9047508999999999E-5</v>
      </c>
      <c r="J24" s="3">
        <v>-3.9265004999999999E-4</v>
      </c>
      <c r="K24" s="3"/>
      <c r="L24" s="3">
        <f t="shared" si="0"/>
        <v>0.10451904454486766</v>
      </c>
      <c r="M24" s="3"/>
      <c r="N24" s="2">
        <f>IF('Modell einstellen'!$B$1="Voll",H24/0.35,H24/0.35*2)</f>
        <v>5.0559854285714282E-4</v>
      </c>
      <c r="O24" s="2">
        <f>IF('Modell einstellen'!$B$1="Voll",J24/0.35,J24/0.35*2)</f>
        <v>-1.1218572857142858E-3</v>
      </c>
      <c r="P24" s="3">
        <f t="shared" si="1"/>
        <v>0.45067991204890967</v>
      </c>
      <c r="Q24" s="3"/>
      <c r="R24" s="3"/>
      <c r="S24" s="3"/>
      <c r="T24" s="3"/>
      <c r="U24" s="3"/>
      <c r="V24" s="3"/>
      <c r="W24" s="3"/>
      <c r="X24" s="3"/>
      <c r="Y24" s="3"/>
    </row>
    <row r="25" spans="1:25" x14ac:dyDescent="0.25">
      <c r="A25" s="3">
        <v>10000000</v>
      </c>
      <c r="B25" s="3">
        <v>3.641E-6</v>
      </c>
      <c r="C25" s="3">
        <v>4.8710000000000002E-4</v>
      </c>
      <c r="D25" s="3">
        <v>-6.3679999999999997E-4</v>
      </c>
      <c r="E25" s="3">
        <v>0</v>
      </c>
      <c r="F25" s="3">
        <v>0</v>
      </c>
      <c r="G25" s="3">
        <v>0</v>
      </c>
      <c r="H25" s="3">
        <v>2.1578769000000001E-4</v>
      </c>
      <c r="I25" s="3">
        <v>6.0478137000000001E-5</v>
      </c>
      <c r="J25" s="3">
        <v>-4.7298035999999999E-4</v>
      </c>
      <c r="K25" s="3"/>
      <c r="L25" s="3">
        <f t="shared" si="0"/>
        <v>5.7176507537688446E-3</v>
      </c>
      <c r="M25" s="3"/>
      <c r="N25" s="2">
        <f>IF('Modell einstellen'!$B$1="Voll",H25/0.35,H25/0.35*2)</f>
        <v>6.1653625714285724E-4</v>
      </c>
      <c r="O25" s="2">
        <f>IF('Modell einstellen'!$B$1="Voll",J25/0.35,J25/0.35*2)</f>
        <v>-1.3513724571428572E-3</v>
      </c>
      <c r="P25" s="3">
        <f t="shared" si="1"/>
        <v>0.45622970475983404</v>
      </c>
      <c r="Q25" s="3"/>
      <c r="R25" s="3"/>
      <c r="S25" s="3"/>
      <c r="T25" s="3"/>
      <c r="U25" s="3"/>
      <c r="V25" s="3"/>
      <c r="W25" s="3"/>
      <c r="X25" s="3"/>
      <c r="Y25" s="3"/>
    </row>
    <row r="26" spans="1:25" x14ac:dyDescent="0.25">
      <c r="A26" s="3">
        <v>100000000</v>
      </c>
      <c r="B26" s="3">
        <v>-1.4430000000000001E-4</v>
      </c>
      <c r="C26" s="3">
        <v>5.9940000000000004E-4</v>
      </c>
      <c r="D26" s="3">
        <v>-6.0479999999999996E-4</v>
      </c>
      <c r="E26" s="3">
        <v>0</v>
      </c>
      <c r="F26" s="3">
        <v>0</v>
      </c>
      <c r="G26" s="3">
        <v>0</v>
      </c>
      <c r="H26" s="3">
        <v>2.8171993999999998E-4</v>
      </c>
      <c r="I26" s="3">
        <v>7.8549946999999993E-5</v>
      </c>
      <c r="J26" s="3">
        <v>-6.0477885999999997E-4</v>
      </c>
      <c r="K26" s="3"/>
      <c r="L26" s="3">
        <f t="shared" si="0"/>
        <v>-0.23859126984126988</v>
      </c>
      <c r="M26" s="3"/>
      <c r="N26" s="2">
        <f>IF('Modell einstellen'!$B$1="Voll",H26/0.35,H26/0.35*2)</f>
        <v>8.0491411428571425E-4</v>
      </c>
      <c r="O26" s="2">
        <f>IF('Modell einstellen'!$B$1="Voll",J26/0.35,J26/0.35*2)</f>
        <v>-1.7279395999999999E-3</v>
      </c>
      <c r="P26" s="3">
        <f t="shared" si="1"/>
        <v>0.46582306134179358</v>
      </c>
      <c r="Q26" s="3"/>
      <c r="R26" s="3"/>
      <c r="S26" s="3"/>
      <c r="T26" s="3"/>
      <c r="U26" s="3"/>
      <c r="V26" s="3"/>
      <c r="W26" s="3"/>
      <c r="X26" s="3"/>
      <c r="Y26" s="3"/>
    </row>
    <row r="27" spans="1:25" x14ac:dyDescent="0.25">
      <c r="A27" s="3">
        <v>1000000000</v>
      </c>
      <c r="B27" s="3">
        <v>-4.5300000000000001E-4</v>
      </c>
      <c r="C27" s="3">
        <v>7.6369999999999997E-4</v>
      </c>
      <c r="D27" s="3">
        <v>-4.6430000000000001E-4</v>
      </c>
      <c r="E27" s="3">
        <v>0</v>
      </c>
      <c r="F27" s="3">
        <v>0</v>
      </c>
      <c r="G27" s="3">
        <v>0</v>
      </c>
      <c r="H27" s="3">
        <v>3.9111518000000002E-4</v>
      </c>
      <c r="I27" s="3">
        <v>1.0692068000000001E-4</v>
      </c>
      <c r="J27" s="3">
        <v>-8.1764090999999995E-4</v>
      </c>
      <c r="K27" s="3"/>
      <c r="L27" s="3">
        <f t="shared" si="0"/>
        <v>-0.97566228731423643</v>
      </c>
      <c r="M27" s="3"/>
      <c r="N27" s="2">
        <f>IF('Modell einstellen'!$B$1="Voll",H27/0.35,H27/0.35*2)</f>
        <v>1.1174719428571429E-3</v>
      </c>
      <c r="O27" s="2">
        <f>IF('Modell einstellen'!$B$1="Voll",J27/0.35,J27/0.35*2)</f>
        <v>-2.3361168857142858E-3</v>
      </c>
      <c r="P27" s="3">
        <f t="shared" si="1"/>
        <v>0.47834590370484276</v>
      </c>
      <c r="Q27" s="3"/>
      <c r="R27" s="3"/>
      <c r="S27" s="3"/>
      <c r="T27" s="3"/>
      <c r="U27" s="3"/>
      <c r="V27" s="3"/>
      <c r="W27" s="3"/>
      <c r="X27" s="3"/>
      <c r="Y27" s="3"/>
    </row>
    <row r="28" spans="1:25" x14ac:dyDescent="0.25">
      <c r="A28" s="3">
        <v>10000000000</v>
      </c>
      <c r="B28" s="3">
        <v>-9.6690000000000003E-4</v>
      </c>
      <c r="C28" s="3">
        <v>9.8149999999999995E-4</v>
      </c>
      <c r="D28" s="3">
        <v>-1.7149999999999999E-4</v>
      </c>
      <c r="E28" s="3">
        <v>0</v>
      </c>
      <c r="F28" s="3">
        <v>0</v>
      </c>
      <c r="G28" s="3">
        <v>0</v>
      </c>
      <c r="H28" s="3">
        <v>5.5213829000000001E-4</v>
      </c>
      <c r="I28" s="3">
        <v>1.4669219E-4</v>
      </c>
      <c r="J28" s="3">
        <v>-1.1235335999999999E-3</v>
      </c>
      <c r="K28" s="3"/>
      <c r="L28" s="3">
        <f t="shared" si="0"/>
        <v>-5.6379008746355685</v>
      </c>
      <c r="M28" s="3"/>
      <c r="N28" s="2">
        <f>IF('Modell einstellen'!$B$1="Voll",H28/0.35,H28/0.35*2)</f>
        <v>1.5775379714285716E-3</v>
      </c>
      <c r="O28" s="2">
        <f>IF('Modell einstellen'!$B$1="Voll",J28/0.35,J28/0.35*2)</f>
        <v>-3.210096E-3</v>
      </c>
      <c r="P28" s="3">
        <f t="shared" si="1"/>
        <v>0.49143015393576134</v>
      </c>
      <c r="Q28" s="3"/>
      <c r="R28" s="3"/>
      <c r="S28" s="3"/>
      <c r="T28" s="3"/>
      <c r="U28" s="3"/>
      <c r="V28" s="3"/>
      <c r="W28" s="3"/>
      <c r="X28" s="3"/>
      <c r="Y28" s="3"/>
    </row>
    <row r="29" spans="1:25" x14ac:dyDescent="0.25">
      <c r="A29" s="3">
        <v>100000000000</v>
      </c>
      <c r="B29" s="3">
        <v>-1.6249999999999999E-3</v>
      </c>
      <c r="C29" s="3">
        <v>1.2260000000000001E-3</v>
      </c>
      <c r="D29" s="3">
        <v>2.4010000000000001E-4</v>
      </c>
      <c r="E29" s="3">
        <v>0</v>
      </c>
      <c r="F29" s="3">
        <v>0</v>
      </c>
      <c r="G29" s="3">
        <v>0</v>
      </c>
      <c r="H29" s="3">
        <v>7.4568340000000005E-4</v>
      </c>
      <c r="I29" s="3">
        <v>1.9298513999999999E-4</v>
      </c>
      <c r="J29" s="3">
        <v>-1.4852931E-3</v>
      </c>
      <c r="K29" s="3"/>
      <c r="L29" s="3">
        <f t="shared" si="0"/>
        <v>6.7680133277800909</v>
      </c>
      <c r="M29" s="3"/>
      <c r="N29" s="2">
        <f>IF('Modell einstellen'!$B$1="Voll",H29/0.35,H29/0.35*2)</f>
        <v>2.1305240000000004E-3</v>
      </c>
      <c r="O29" s="2">
        <f>IF('Modell einstellen'!$B$1="Voll",J29/0.35,J29/0.35*2)</f>
        <v>-4.2436945714285712E-3</v>
      </c>
      <c r="P29" s="3">
        <f t="shared" si="1"/>
        <v>0.50204461328205197</v>
      </c>
      <c r="Q29" s="3"/>
      <c r="R29" s="3"/>
      <c r="S29" s="3"/>
      <c r="T29" s="3"/>
      <c r="U29" s="3"/>
      <c r="V29" s="3"/>
      <c r="W29" s="3"/>
      <c r="X29" s="3"/>
      <c r="Y29" s="3"/>
    </row>
    <row r="30" spans="1:25" x14ac:dyDescent="0.25">
      <c r="A30" s="3">
        <v>1000000000000</v>
      </c>
      <c r="B30" s="3">
        <v>-2.1779999999999998E-3</v>
      </c>
      <c r="C30" s="3">
        <v>1.423E-3</v>
      </c>
      <c r="D30" s="3">
        <v>5.955E-4</v>
      </c>
      <c r="E30" s="3">
        <v>0</v>
      </c>
      <c r="F30" s="3">
        <v>0</v>
      </c>
      <c r="G30" s="3">
        <v>0</v>
      </c>
      <c r="H30" s="3">
        <v>9.0451116E-4</v>
      </c>
      <c r="I30" s="3">
        <v>2.3102925E-4</v>
      </c>
      <c r="J30" s="3">
        <v>-1.7819767E-3</v>
      </c>
      <c r="K30" s="3"/>
      <c r="L30" s="3">
        <f t="shared" si="0"/>
        <v>3.6574307304785889</v>
      </c>
      <c r="M30" s="3"/>
      <c r="N30" s="2">
        <f>IF('Modell einstellen'!$B$1="Voll",H30/0.35,H30/0.35*2)</f>
        <v>2.5843176000000002E-3</v>
      </c>
      <c r="O30" s="2">
        <f>IF('Modell einstellen'!$B$1="Voll",J30/0.35,J30/0.35*2)</f>
        <v>-5.0913620000000003E-3</v>
      </c>
      <c r="P30" s="3">
        <f t="shared" si="1"/>
        <v>0.5075886570234055</v>
      </c>
      <c r="Q30" s="3"/>
      <c r="R30" s="3"/>
      <c r="S30" s="3"/>
      <c r="T30" s="3"/>
      <c r="U30" s="3"/>
      <c r="V30" s="3"/>
      <c r="W30" s="3"/>
      <c r="X30" s="3"/>
      <c r="Y30" s="3"/>
    </row>
    <row r="31" spans="1:25" x14ac:dyDescent="0.25">
      <c r="A31" s="3">
        <v>10000000000000</v>
      </c>
      <c r="B31" s="3">
        <v>-2.5579999999999999E-3</v>
      </c>
      <c r="C31" s="3">
        <v>1.5579999999999999E-3</v>
      </c>
      <c r="D31" s="3">
        <v>8.4020000000000004E-4</v>
      </c>
      <c r="E31" s="3">
        <v>0</v>
      </c>
      <c r="F31" s="3">
        <v>0</v>
      </c>
      <c r="G31" s="3">
        <v>0</v>
      </c>
      <c r="H31" s="3">
        <v>1.0125774999999999E-3</v>
      </c>
      <c r="I31" s="3">
        <v>2.5729425000000001E-4</v>
      </c>
      <c r="J31" s="3">
        <v>-1.9850181999999999E-3</v>
      </c>
      <c r="K31" s="3"/>
      <c r="L31" s="3">
        <f t="shared" si="0"/>
        <v>3.0445132111402047</v>
      </c>
      <c r="M31" s="3"/>
      <c r="N31" s="2">
        <f>IF('Modell einstellen'!$B$1="Voll",H31/0.35,H31/0.35*2)</f>
        <v>2.8930785714285714E-3</v>
      </c>
      <c r="O31" s="2">
        <f>IF('Modell einstellen'!$B$1="Voll",J31/0.35,J31/0.35*2)</f>
        <v>-5.6714805714285716E-3</v>
      </c>
      <c r="P31" s="3">
        <f t="shared" si="1"/>
        <v>0.51010993249331416</v>
      </c>
      <c r="Q31" s="3"/>
      <c r="R31" s="3"/>
      <c r="S31" s="3"/>
      <c r="T31" s="3"/>
      <c r="U31" s="3"/>
      <c r="V31" s="3"/>
      <c r="W31" s="3"/>
      <c r="X31" s="3"/>
      <c r="Y31" s="3"/>
    </row>
    <row r="32" spans="1:25" x14ac:dyDescent="0.25">
      <c r="A32" s="3">
        <v>100000000000000</v>
      </c>
      <c r="B32" s="3">
        <v>-2.7910000000000001E-3</v>
      </c>
      <c r="C32" s="3">
        <v>1.6410000000000001E-3</v>
      </c>
      <c r="D32" s="3">
        <v>9.8890000000000002E-4</v>
      </c>
      <c r="E32" s="3">
        <v>0</v>
      </c>
      <c r="F32" s="3">
        <v>0</v>
      </c>
      <c r="G32" s="3">
        <v>0</v>
      </c>
      <c r="H32" s="3">
        <v>1.0788970000000001E-3</v>
      </c>
      <c r="I32" s="3">
        <v>2.7363685999999999E-4</v>
      </c>
      <c r="J32" s="3">
        <v>-2.1103508999999999E-3</v>
      </c>
      <c r="K32" s="3"/>
      <c r="L32" s="3">
        <f t="shared" si="0"/>
        <v>2.8223278390130448</v>
      </c>
      <c r="M32" s="3"/>
      <c r="N32" s="2">
        <f>IF('Modell einstellen'!$B$1="Voll",H32/0.35,H32/0.35*2)</f>
        <v>3.0825628571428576E-3</v>
      </c>
      <c r="O32" s="2">
        <f>IF('Modell einstellen'!$B$1="Voll",J32/0.35,J32/0.35*2)</f>
        <v>-6.0295740000000002E-3</v>
      </c>
      <c r="P32" s="3">
        <f t="shared" si="1"/>
        <v>0.51124057141397672</v>
      </c>
      <c r="Q32" s="3"/>
      <c r="R32" s="3"/>
      <c r="S32" s="3"/>
      <c r="T32" s="3"/>
      <c r="U32" s="3"/>
      <c r="V32" s="3"/>
      <c r="W32" s="3"/>
      <c r="X32" s="3"/>
      <c r="Y32" s="3"/>
    </row>
    <row r="33" spans="1:25" x14ac:dyDescent="0.25">
      <c r="A33" s="2">
        <v>1000000000000000</v>
      </c>
      <c r="B33" s="3">
        <v>-2.9629999999999999E-3</v>
      </c>
      <c r="C33" s="3">
        <v>1.702E-3</v>
      </c>
      <c r="D33" s="3">
        <v>1.1000000000000001E-3</v>
      </c>
      <c r="E33" s="3">
        <v>0</v>
      </c>
      <c r="F33" s="3">
        <v>0</v>
      </c>
      <c r="G33" s="3">
        <v>0</v>
      </c>
      <c r="H33" s="3">
        <v>1.1283097000000001E-3</v>
      </c>
      <c r="I33" s="3">
        <v>2.8565549E-4</v>
      </c>
      <c r="J33" s="3">
        <v>-2.2031231E-3</v>
      </c>
      <c r="K33" s="3"/>
      <c r="L33" s="3">
        <f t="shared" si="0"/>
        <v>2.6936363636363634</v>
      </c>
      <c r="M33" s="3"/>
      <c r="N33" s="2">
        <f>IF('Modell einstellen'!$B$1="Voll",H33/0.35,H33/0.35*2)</f>
        <v>3.2237420000000004E-3</v>
      </c>
      <c r="O33" s="2">
        <f>IF('Modell einstellen'!$B$1="Voll",J33/0.35,J33/0.35*2)</f>
        <v>-6.2946374285714288E-3</v>
      </c>
      <c r="P33" s="3">
        <f t="shared" si="1"/>
        <v>0.51214101472586804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9.9110000000000005E-5</v>
      </c>
      <c r="C3" s="3">
        <v>1.304E-4</v>
      </c>
      <c r="D3" s="3">
        <v>-3.569E-4</v>
      </c>
      <c r="E3" s="3">
        <v>0</v>
      </c>
      <c r="F3" s="3">
        <v>0</v>
      </c>
      <c r="G3" s="3">
        <v>0</v>
      </c>
      <c r="H3" s="3">
        <v>4.9460333999999998E-5</v>
      </c>
      <c r="I3" s="3">
        <v>1.3092459E-5</v>
      </c>
      <c r="J3" s="3">
        <v>-1.3433793E-4</v>
      </c>
      <c r="K3" s="3"/>
      <c r="L3" s="3">
        <f>-B3/D3</f>
        <v>0.27769683384701599</v>
      </c>
      <c r="M3" s="3"/>
      <c r="N3" s="2">
        <f>IF('Modell einstellen'!$B$1="Voll",H3/0.35,H3/0.35*2)</f>
        <v>1.4131524E-4</v>
      </c>
      <c r="O3" s="2">
        <f>IF('Modell einstellen'!$B$1="Voll",J3/0.35,J3/0.35*2)</f>
        <v>-3.8382265714285714E-4</v>
      </c>
      <c r="P3" s="3">
        <f>-N3/O3</f>
        <v>0.36817847349590693</v>
      </c>
      <c r="Q3" s="3"/>
      <c r="R3" s="3"/>
      <c r="S3" s="3"/>
      <c r="T3" s="3"/>
      <c r="U3" s="3"/>
    </row>
    <row r="4" spans="1:21" x14ac:dyDescent="0.25">
      <c r="A4" s="3">
        <v>1E-14</v>
      </c>
      <c r="B4" s="3">
        <v>1.005E-4</v>
      </c>
      <c r="C4" s="3">
        <v>1.3439999999999999E-4</v>
      </c>
      <c r="D4" s="3">
        <v>-3.6289999999999998E-4</v>
      </c>
      <c r="E4" s="3">
        <v>0</v>
      </c>
      <c r="F4" s="3">
        <v>0</v>
      </c>
      <c r="G4" s="3">
        <v>0</v>
      </c>
      <c r="H4" s="3">
        <v>5.1199209999999997E-5</v>
      </c>
      <c r="I4" s="3">
        <v>1.3517342999999999E-5</v>
      </c>
      <c r="J4" s="3">
        <v>-1.3768455999999999E-4</v>
      </c>
      <c r="K4" s="3"/>
      <c r="L4" s="3">
        <f t="shared" ref="L4:L33" si="0">-B4/D4</f>
        <v>0.27693579498484433</v>
      </c>
      <c r="M4" s="3"/>
      <c r="N4" s="2">
        <f>IF('Modell einstellen'!$B$1="Voll",H4/0.35,H4/0.35*2)</f>
        <v>1.4628345714285713E-4</v>
      </c>
      <c r="O4" s="2">
        <f>IF('Modell einstellen'!$B$1="Voll",J4/0.35,J4/0.35*2)</f>
        <v>-3.9338445714285714E-4</v>
      </c>
      <c r="P4" s="3">
        <f t="shared" ref="P4:P33" si="1">-N4/O4</f>
        <v>0.37185876179580335</v>
      </c>
      <c r="Q4" s="3"/>
      <c r="R4" s="3"/>
      <c r="S4" s="3"/>
      <c r="T4" s="3"/>
      <c r="U4" s="3"/>
    </row>
    <row r="5" spans="1:21" x14ac:dyDescent="0.25">
      <c r="A5" s="3">
        <v>1E-13</v>
      </c>
      <c r="B5" s="3">
        <v>1.0170000000000001E-4</v>
      </c>
      <c r="C5" s="3">
        <v>1.3789999999999999E-4</v>
      </c>
      <c r="D5" s="3">
        <v>-3.6820000000000001E-4</v>
      </c>
      <c r="E5" s="3">
        <v>0</v>
      </c>
      <c r="F5" s="3">
        <v>0</v>
      </c>
      <c r="G5" s="3">
        <v>0</v>
      </c>
      <c r="H5" s="3">
        <v>5.2807555999999999E-5</v>
      </c>
      <c r="I5" s="3">
        <v>1.390634E-5</v>
      </c>
      <c r="J5" s="3">
        <v>-1.4076966E-4</v>
      </c>
      <c r="K5" s="3"/>
      <c r="L5" s="3">
        <f t="shared" si="0"/>
        <v>0.2762085822922325</v>
      </c>
      <c r="M5" s="3"/>
      <c r="N5" s="2">
        <f>IF('Modell einstellen'!$B$1="Voll",H5/0.35,H5/0.35*2)</f>
        <v>1.5087873142857142E-4</v>
      </c>
      <c r="O5" s="2">
        <f>IF('Modell einstellen'!$B$1="Voll",J5/0.35,J5/0.35*2)</f>
        <v>-4.0219902857142859E-4</v>
      </c>
      <c r="P5" s="3">
        <f t="shared" si="1"/>
        <v>0.3751344998631097</v>
      </c>
      <c r="Q5" s="3"/>
      <c r="R5" s="3"/>
      <c r="S5" s="3"/>
      <c r="T5" s="3"/>
      <c r="U5" s="3"/>
    </row>
    <row r="6" spans="1:21" x14ac:dyDescent="0.25">
      <c r="A6" s="3">
        <v>9.9999999999999998E-13</v>
      </c>
      <c r="B6" s="3">
        <v>1.03E-4</v>
      </c>
      <c r="C6" s="3">
        <v>1.4190000000000001E-4</v>
      </c>
      <c r="D6" s="3">
        <v>-3.7409999999999999E-4</v>
      </c>
      <c r="E6" s="3">
        <v>0</v>
      </c>
      <c r="F6" s="3">
        <v>0</v>
      </c>
      <c r="G6" s="3">
        <v>0</v>
      </c>
      <c r="H6" s="3">
        <v>5.4658932E-5</v>
      </c>
      <c r="I6" s="3">
        <v>1.4349431E-5</v>
      </c>
      <c r="J6" s="3">
        <v>-1.4430224000000001E-4</v>
      </c>
      <c r="K6" s="3"/>
      <c r="L6" s="3">
        <f t="shared" si="0"/>
        <v>0.27532745255279339</v>
      </c>
      <c r="M6" s="3"/>
      <c r="N6" s="2">
        <f>IF('Modell einstellen'!$B$1="Voll",H6/0.35,H6/0.35*2)</f>
        <v>1.5616837714285716E-4</v>
      </c>
      <c r="O6" s="2">
        <f>IF('Modell einstellen'!$B$1="Voll",J6/0.35,J6/0.35*2)</f>
        <v>-4.1229211428571433E-4</v>
      </c>
      <c r="P6" s="3">
        <f t="shared" si="1"/>
        <v>0.37878089764926726</v>
      </c>
      <c r="Q6" s="3"/>
      <c r="R6" s="3"/>
      <c r="S6" s="3"/>
      <c r="T6" s="3"/>
      <c r="U6" s="3"/>
    </row>
    <row r="7" spans="1:21" x14ac:dyDescent="0.25">
      <c r="A7" s="3">
        <v>9.9999999999999994E-12</v>
      </c>
      <c r="B7" s="3">
        <v>1.042E-4</v>
      </c>
      <c r="C7" s="3">
        <v>1.4640000000000001E-4</v>
      </c>
      <c r="D7" s="3">
        <v>-3.8059999999999998E-4</v>
      </c>
      <c r="E7" s="3">
        <v>0</v>
      </c>
      <c r="F7" s="3">
        <v>0</v>
      </c>
      <c r="G7" s="3">
        <v>0</v>
      </c>
      <c r="H7" s="3">
        <v>5.6776127000000001E-5</v>
      </c>
      <c r="I7" s="3">
        <v>1.4849967999999999E-5</v>
      </c>
      <c r="J7" s="3">
        <v>-1.4831743000000001E-4</v>
      </c>
      <c r="K7" s="3"/>
      <c r="L7" s="3">
        <f t="shared" si="0"/>
        <v>0.27377824487651076</v>
      </c>
      <c r="M7" s="3"/>
      <c r="N7" s="2">
        <f>IF('Modell einstellen'!$B$1="Voll",H7/0.35,H7/0.35*2)</f>
        <v>1.6221750571428572E-4</v>
      </c>
      <c r="O7" s="2">
        <f>IF('Modell einstellen'!$B$1="Voll",J7/0.35,J7/0.35*2)</f>
        <v>-4.237640857142858E-4</v>
      </c>
      <c r="P7" s="3">
        <f t="shared" si="1"/>
        <v>0.38280144821818979</v>
      </c>
      <c r="Q7" s="3"/>
      <c r="R7" s="3"/>
      <c r="S7" s="3"/>
      <c r="T7" s="3"/>
      <c r="U7" s="3"/>
    </row>
    <row r="8" spans="1:21" x14ac:dyDescent="0.25">
      <c r="A8" s="3">
        <v>1E-10</v>
      </c>
      <c r="B8" s="3">
        <v>1.055E-4</v>
      </c>
      <c r="C8" s="3">
        <v>1.516E-4</v>
      </c>
      <c r="D8" s="3">
        <v>-3.879E-4</v>
      </c>
      <c r="E8" s="3">
        <v>0</v>
      </c>
      <c r="F8" s="3">
        <v>0</v>
      </c>
      <c r="G8" s="3">
        <v>0</v>
      </c>
      <c r="H8" s="3">
        <v>5.9264320999999998E-5</v>
      </c>
      <c r="I8" s="3">
        <v>1.5430324999999999E-5</v>
      </c>
      <c r="J8" s="3">
        <v>-1.5300515999999999E-4</v>
      </c>
      <c r="K8" s="3"/>
      <c r="L8" s="3">
        <f t="shared" si="0"/>
        <v>0.27197731374065481</v>
      </c>
      <c r="M8" s="3"/>
      <c r="N8" s="2">
        <f>IF('Modell einstellen'!$B$1="Voll",H8/0.35,H8/0.35*2)</f>
        <v>1.6932663142857143E-4</v>
      </c>
      <c r="O8" s="2">
        <f>IF('Modell einstellen'!$B$1="Voll",J8/0.35,J8/0.35*2)</f>
        <v>-4.3715760000000002E-4</v>
      </c>
      <c r="P8" s="3">
        <f t="shared" si="1"/>
        <v>0.38733544019038313</v>
      </c>
      <c r="Q8" s="3"/>
      <c r="R8" s="3"/>
      <c r="S8" s="3"/>
      <c r="T8" s="3"/>
      <c r="U8" s="3"/>
    </row>
    <row r="9" spans="1:21" x14ac:dyDescent="0.25">
      <c r="A9" s="3">
        <v>1.0000000000000001E-9</v>
      </c>
      <c r="B9" s="3">
        <v>1.065E-4</v>
      </c>
      <c r="C9" s="3">
        <v>1.5699999999999999E-4</v>
      </c>
      <c r="D9" s="3">
        <v>-3.9520000000000001E-4</v>
      </c>
      <c r="E9" s="3">
        <v>0</v>
      </c>
      <c r="F9" s="3">
        <v>0</v>
      </c>
      <c r="G9" s="3">
        <v>0</v>
      </c>
      <c r="H9" s="3">
        <v>6.1922609E-5</v>
      </c>
      <c r="I9" s="3">
        <v>1.6040349E-5</v>
      </c>
      <c r="J9" s="3">
        <v>-1.5797418999999999E-4</v>
      </c>
      <c r="K9" s="3"/>
      <c r="L9" s="3">
        <f t="shared" si="0"/>
        <v>0.26948380566801616</v>
      </c>
      <c r="M9" s="3"/>
      <c r="N9" s="2">
        <f>IF('Modell einstellen'!$B$1="Voll",H9/0.35,H9/0.35*2)</f>
        <v>1.7692174000000002E-4</v>
      </c>
      <c r="O9" s="2">
        <f>IF('Modell einstellen'!$B$1="Voll",J9/0.35,J9/0.35*2)</f>
        <v>-4.5135482857142859E-4</v>
      </c>
      <c r="P9" s="3">
        <f t="shared" si="1"/>
        <v>0.39197927838718466</v>
      </c>
      <c r="Q9" s="3"/>
      <c r="R9" s="3"/>
      <c r="S9" s="3"/>
      <c r="T9" s="3"/>
      <c r="U9" s="3"/>
    </row>
    <row r="10" spans="1:21" x14ac:dyDescent="0.25">
      <c r="A10" s="3">
        <v>1E-8</v>
      </c>
      <c r="B10" s="3">
        <v>1.0730000000000001E-4</v>
      </c>
      <c r="C10" s="3">
        <v>1.6239999999999999E-4</v>
      </c>
      <c r="D10" s="3">
        <v>-4.0220000000000002E-4</v>
      </c>
      <c r="E10" s="3">
        <v>0</v>
      </c>
      <c r="F10" s="3">
        <v>0</v>
      </c>
      <c r="G10" s="3">
        <v>0</v>
      </c>
      <c r="H10" s="3">
        <v>6.4636566999999993E-5</v>
      </c>
      <c r="I10" s="3">
        <v>1.6653371999999999E-5</v>
      </c>
      <c r="J10" s="3">
        <v>-1.6300937E-4</v>
      </c>
      <c r="K10" s="3"/>
      <c r="L10" s="3">
        <f t="shared" si="0"/>
        <v>0.26678269517652908</v>
      </c>
      <c r="M10" s="3"/>
      <c r="N10" s="2">
        <f>IF('Modell einstellen'!$B$1="Voll",H10/0.35,H10/0.35*2)</f>
        <v>1.8467590571428572E-4</v>
      </c>
      <c r="O10" s="2">
        <f>IF('Modell einstellen'!$B$1="Voll",J10/0.35,J10/0.35*2)</f>
        <v>-4.6574105714285716E-4</v>
      </c>
      <c r="P10" s="3">
        <f t="shared" si="1"/>
        <v>0.39652056197751084</v>
      </c>
      <c r="Q10" s="3"/>
      <c r="R10" s="3"/>
      <c r="S10" s="3"/>
      <c r="T10" s="3"/>
      <c r="U10" s="3"/>
    </row>
    <row r="11" spans="1:21" x14ac:dyDescent="0.25">
      <c r="A11" s="3">
        <v>9.9999999999999995E-8</v>
      </c>
      <c r="B11" s="3">
        <v>1.0789999999999999E-4</v>
      </c>
      <c r="C11" s="3">
        <v>1.6899999999999999E-4</v>
      </c>
      <c r="D11" s="3">
        <v>-4.104E-4</v>
      </c>
      <c r="E11" s="3">
        <v>0</v>
      </c>
      <c r="F11" s="3">
        <v>0</v>
      </c>
      <c r="G11" s="3">
        <v>0</v>
      </c>
      <c r="H11" s="3">
        <v>6.8038557999999994E-5</v>
      </c>
      <c r="I11" s="3">
        <v>1.7408406000000001E-5</v>
      </c>
      <c r="J11" s="3">
        <v>-1.6926981000000001E-4</v>
      </c>
      <c r="K11" s="3"/>
      <c r="L11" s="3">
        <f t="shared" si="0"/>
        <v>0.26291423001949316</v>
      </c>
      <c r="M11" s="3"/>
      <c r="N11" s="2">
        <f>IF('Modell einstellen'!$B$1="Voll",H11/0.35,H11/0.35*2)</f>
        <v>1.9439587999999999E-4</v>
      </c>
      <c r="O11" s="2">
        <f>IF('Modell einstellen'!$B$1="Voll",J11/0.35,J11/0.35*2)</f>
        <v>-4.8362802857142864E-4</v>
      </c>
      <c r="P11" s="3">
        <f t="shared" si="1"/>
        <v>0.40195329574718602</v>
      </c>
      <c r="Q11" s="3"/>
      <c r="R11" s="3"/>
      <c r="S11" s="3"/>
      <c r="T11" s="3"/>
      <c r="U11" s="3"/>
    </row>
    <row r="12" spans="1:21" x14ac:dyDescent="0.25">
      <c r="A12" s="3">
        <v>9.9999999999999995E-7</v>
      </c>
      <c r="B12" s="3">
        <v>1.08E-4</v>
      </c>
      <c r="C12" s="3">
        <v>1.773E-4</v>
      </c>
      <c r="D12" s="3">
        <v>-4.2010000000000002E-4</v>
      </c>
      <c r="E12" s="3">
        <v>0</v>
      </c>
      <c r="F12" s="3">
        <v>0</v>
      </c>
      <c r="G12" s="3">
        <v>0</v>
      </c>
      <c r="H12" s="3">
        <v>7.2460772999999995E-5</v>
      </c>
      <c r="I12" s="3">
        <v>1.8366869E-5</v>
      </c>
      <c r="J12" s="3">
        <v>-1.7731959E-4</v>
      </c>
      <c r="K12" s="3"/>
      <c r="L12" s="3">
        <f t="shared" si="0"/>
        <v>0.25708164722685073</v>
      </c>
      <c r="M12" s="3"/>
      <c r="N12" s="2">
        <f>IF('Modell einstellen'!$B$1="Voll",H12/0.35,H12/0.35*2)</f>
        <v>2.0703078E-4</v>
      </c>
      <c r="O12" s="2">
        <f>IF('Modell einstellen'!$B$1="Voll",J12/0.35,J12/0.35*2)</f>
        <v>-5.0662740000000008E-4</v>
      </c>
      <c r="P12" s="3">
        <f t="shared" si="1"/>
        <v>0.40864505157044401</v>
      </c>
      <c r="Q12" s="3"/>
      <c r="R12" s="3"/>
      <c r="S12" s="3"/>
      <c r="T12" s="3"/>
      <c r="U12" s="3"/>
    </row>
    <row r="13" spans="1:21" x14ac:dyDescent="0.25">
      <c r="A13" s="3">
        <v>1.0000000000000001E-5</v>
      </c>
      <c r="B13" s="3">
        <v>1.0739999999999999E-4</v>
      </c>
      <c r="C13" s="3">
        <v>1.863E-4</v>
      </c>
      <c r="D13" s="3">
        <v>-4.2999999999999999E-4</v>
      </c>
      <c r="E13" s="3">
        <v>0</v>
      </c>
      <c r="F13" s="3">
        <v>0</v>
      </c>
      <c r="G13" s="3">
        <v>0</v>
      </c>
      <c r="H13" s="3">
        <v>7.7545886999999997E-5</v>
      </c>
      <c r="I13" s="3">
        <v>1.943617E-5</v>
      </c>
      <c r="J13" s="3">
        <v>-1.8645050000000001E-4</v>
      </c>
      <c r="K13" s="3"/>
      <c r="L13" s="3">
        <f t="shared" si="0"/>
        <v>0.24976744186046512</v>
      </c>
      <c r="M13" s="3"/>
      <c r="N13" s="2">
        <f>IF('Modell einstellen'!$B$1="Voll",H13/0.35,H13/0.35*2)</f>
        <v>2.2155967714285714E-4</v>
      </c>
      <c r="O13" s="2">
        <f>IF('Modell einstellen'!$B$1="Voll",J13/0.35,J13/0.35*2)</f>
        <v>-5.3271571428571435E-4</v>
      </c>
      <c r="P13" s="3">
        <f t="shared" si="1"/>
        <v>0.41590602867785276</v>
      </c>
      <c r="Q13" s="3"/>
      <c r="R13" s="3"/>
      <c r="S13" s="3"/>
      <c r="T13" s="3"/>
      <c r="U13" s="3"/>
    </row>
    <row r="14" spans="1:21" x14ac:dyDescent="0.25">
      <c r="A14" s="3">
        <v>1E-4</v>
      </c>
      <c r="B14" s="3">
        <v>1.06E-4</v>
      </c>
      <c r="C14" s="3">
        <v>1.9450000000000001E-4</v>
      </c>
      <c r="D14" s="3">
        <v>-4.3800000000000002E-4</v>
      </c>
      <c r="E14" s="3">
        <v>0</v>
      </c>
      <c r="F14" s="3">
        <v>0</v>
      </c>
      <c r="G14" s="3">
        <v>0</v>
      </c>
      <c r="H14" s="3">
        <v>8.2340898000000004E-5</v>
      </c>
      <c r="I14" s="3">
        <v>2.0411924999999999E-5</v>
      </c>
      <c r="J14" s="3">
        <v>-1.9493637E-4</v>
      </c>
      <c r="K14" s="3"/>
      <c r="L14" s="3">
        <f t="shared" si="0"/>
        <v>0.24200913242009131</v>
      </c>
      <c r="M14" s="3"/>
      <c r="N14" s="2">
        <f>IF('Modell einstellen'!$B$1="Voll",H14/0.35,H14/0.35*2)</f>
        <v>2.3525970857142859E-4</v>
      </c>
      <c r="O14" s="2">
        <f>IF('Modell einstellen'!$B$1="Voll",J14/0.35,J14/0.35*2)</f>
        <v>-5.569610571428572E-4</v>
      </c>
      <c r="P14" s="3">
        <f t="shared" si="1"/>
        <v>0.42239884737773664</v>
      </c>
      <c r="Q14" s="3"/>
      <c r="R14" s="3"/>
      <c r="S14" s="3"/>
      <c r="T14" s="3"/>
      <c r="U14" s="3"/>
    </row>
    <row r="15" spans="1:21" x14ac:dyDescent="0.25">
      <c r="A15" s="3">
        <v>1E-3</v>
      </c>
      <c r="B15" s="3">
        <v>1.0399999999999999E-4</v>
      </c>
      <c r="C15" s="3">
        <v>2.0220000000000001E-4</v>
      </c>
      <c r="D15" s="3">
        <v>-4.4499999999999997E-4</v>
      </c>
      <c r="E15" s="3">
        <v>0</v>
      </c>
      <c r="F15" s="3">
        <v>0</v>
      </c>
      <c r="G15" s="3">
        <v>0</v>
      </c>
      <c r="H15" s="3">
        <v>8.7079653000000004E-5</v>
      </c>
      <c r="I15" s="3">
        <v>2.1349371E-5</v>
      </c>
      <c r="J15" s="3">
        <v>-2.0322090999999999E-4</v>
      </c>
      <c r="K15" s="3"/>
      <c r="L15" s="3">
        <f t="shared" si="0"/>
        <v>0.23370786516853934</v>
      </c>
      <c r="M15" s="3"/>
      <c r="N15" s="2">
        <f>IF('Modell einstellen'!$B$1="Voll",H15/0.35,H15/0.35*2)</f>
        <v>2.4879900857142857E-4</v>
      </c>
      <c r="O15" s="2">
        <f>IF('Modell einstellen'!$B$1="Voll",J15/0.35,J15/0.35*2)</f>
        <v>-5.8063117142857139E-4</v>
      </c>
      <c r="P15" s="3">
        <f t="shared" si="1"/>
        <v>0.42849750549783489</v>
      </c>
      <c r="Q15" s="3"/>
      <c r="R15" s="3"/>
      <c r="S15" s="3"/>
      <c r="T15" s="3"/>
      <c r="U15" s="3"/>
    </row>
    <row r="16" spans="1:21" x14ac:dyDescent="0.25">
      <c r="A16" s="3">
        <v>0.01</v>
      </c>
      <c r="B16" s="3">
        <v>1.011E-4</v>
      </c>
      <c r="C16" s="3">
        <v>2.1029999999999999E-4</v>
      </c>
      <c r="D16" s="3">
        <v>-4.5140000000000002E-4</v>
      </c>
      <c r="E16" s="3">
        <v>0</v>
      </c>
      <c r="F16" s="3">
        <v>0</v>
      </c>
      <c r="G16" s="3">
        <v>0</v>
      </c>
      <c r="H16" s="3">
        <v>9.2259535999999998E-5</v>
      </c>
      <c r="I16" s="3">
        <v>2.2342363E-5</v>
      </c>
      <c r="J16" s="3">
        <v>-2.1215665E-4</v>
      </c>
      <c r="K16" s="3"/>
      <c r="L16" s="3">
        <f t="shared" si="0"/>
        <v>0.22396987151085512</v>
      </c>
      <c r="M16" s="3"/>
      <c r="N16" s="2">
        <f>IF('Modell einstellen'!$B$1="Voll",H16/0.35,H16/0.35*2)</f>
        <v>2.6359867428571432E-4</v>
      </c>
      <c r="O16" s="2">
        <f>IF('Modell einstellen'!$B$1="Voll",J16/0.35,J16/0.35*2)</f>
        <v>-6.0616185714285715E-4</v>
      </c>
      <c r="P16" s="3">
        <f t="shared" si="1"/>
        <v>0.43486516213373472</v>
      </c>
      <c r="Q16" s="3"/>
      <c r="R16" s="3"/>
      <c r="S16" s="3"/>
      <c r="T16" s="3"/>
      <c r="U16" s="3"/>
    </row>
    <row r="17" spans="1:21" x14ac:dyDescent="0.25">
      <c r="A17" s="3">
        <v>0.1</v>
      </c>
      <c r="B17" s="3">
        <v>9.7139999999999995E-5</v>
      </c>
      <c r="C17" s="3">
        <v>2.1900000000000001E-4</v>
      </c>
      <c r="D17" s="3">
        <v>-4.5750000000000001E-4</v>
      </c>
      <c r="E17" s="3">
        <v>0</v>
      </c>
      <c r="F17" s="3">
        <v>0</v>
      </c>
      <c r="G17" s="3">
        <v>0</v>
      </c>
      <c r="H17" s="3">
        <v>9.8091642000000003E-5</v>
      </c>
      <c r="I17" s="3">
        <v>2.3424817E-5</v>
      </c>
      <c r="J17" s="3">
        <v>-2.2208212999999999E-4</v>
      </c>
      <c r="K17" s="3"/>
      <c r="L17" s="3">
        <f t="shared" si="0"/>
        <v>0.212327868852459</v>
      </c>
      <c r="M17" s="3"/>
      <c r="N17" s="2">
        <f>IF('Modell einstellen'!$B$1="Voll",H17/0.35,H17/0.35*2)</f>
        <v>2.8026183428571432E-4</v>
      </c>
      <c r="O17" s="2">
        <f>IF('Modell einstellen'!$B$1="Voll",J17/0.35,J17/0.35*2)</f>
        <v>-6.3452037142857146E-4</v>
      </c>
      <c r="P17" s="3">
        <f t="shared" si="1"/>
        <v>0.44169083752934107</v>
      </c>
      <c r="Q17" s="3"/>
      <c r="R17" s="3"/>
      <c r="S17" s="3"/>
      <c r="T17" s="3"/>
      <c r="U17" s="3"/>
    </row>
    <row r="18" spans="1:21" x14ac:dyDescent="0.25">
      <c r="A18" s="3">
        <v>1</v>
      </c>
      <c r="B18" s="3">
        <v>9.2079999999999999E-5</v>
      </c>
      <c r="C18" s="3">
        <v>2.2800000000000001E-4</v>
      </c>
      <c r="D18" s="3">
        <v>-4.6270000000000003E-4</v>
      </c>
      <c r="E18" s="3">
        <v>0</v>
      </c>
      <c r="F18" s="3">
        <v>0</v>
      </c>
      <c r="G18" s="3">
        <v>0</v>
      </c>
      <c r="H18" s="3">
        <v>1.0436461999999999E-4</v>
      </c>
      <c r="I18" s="3">
        <v>2.4563282999999999E-5</v>
      </c>
      <c r="J18" s="3">
        <v>-2.3264974E-4</v>
      </c>
      <c r="K18" s="3"/>
      <c r="L18" s="3">
        <f t="shared" si="0"/>
        <v>0.19900583531445859</v>
      </c>
      <c r="M18" s="3"/>
      <c r="N18" s="2">
        <f>IF('Modell einstellen'!$B$1="Voll",H18/0.35,H18/0.35*2)</f>
        <v>2.9818462857142858E-4</v>
      </c>
      <c r="O18" s="2">
        <f>IF('Modell einstellen'!$B$1="Voll",J18/0.35,J18/0.35*2)</f>
        <v>-6.6471354285714285E-4</v>
      </c>
      <c r="P18" s="3">
        <f t="shared" si="1"/>
        <v>0.44859117401119813</v>
      </c>
      <c r="Q18" s="3"/>
      <c r="R18" s="3"/>
      <c r="S18" s="3"/>
      <c r="T18" s="3"/>
      <c r="U18" s="3"/>
    </row>
    <row r="19" spans="1:21" x14ac:dyDescent="0.25">
      <c r="A19" s="3">
        <v>10</v>
      </c>
      <c r="B19" s="3">
        <v>8.6130000000000004E-5</v>
      </c>
      <c r="C19" s="3">
        <v>2.4030000000000001E-4</v>
      </c>
      <c r="D19" s="3">
        <v>-4.704E-4</v>
      </c>
      <c r="E19" s="3">
        <v>0</v>
      </c>
      <c r="F19" s="3">
        <v>0</v>
      </c>
      <c r="G19" s="3">
        <v>0</v>
      </c>
      <c r="H19" s="3">
        <v>1.1215078E-4</v>
      </c>
      <c r="I19" s="3">
        <v>2.613031E-5</v>
      </c>
      <c r="J19" s="3">
        <v>-2.4624233999999997E-4</v>
      </c>
      <c r="K19" s="3"/>
      <c r="L19" s="3">
        <f t="shared" si="0"/>
        <v>0.18309948979591836</v>
      </c>
      <c r="M19" s="3"/>
      <c r="N19" s="2">
        <f>IF('Modell einstellen'!$B$1="Voll",H19/0.35,H19/0.35*2)</f>
        <v>3.2043080000000002E-4</v>
      </c>
      <c r="O19" s="2">
        <f>IF('Modell einstellen'!$B$1="Voll",J19/0.35,J19/0.35*2)</f>
        <v>-7.0354954285714285E-4</v>
      </c>
      <c r="P19" s="3">
        <f t="shared" si="1"/>
        <v>0.45544880705730789</v>
      </c>
      <c r="Q19" s="3"/>
      <c r="R19" s="3"/>
      <c r="S19" s="3"/>
      <c r="T19" s="3"/>
      <c r="U19" s="3"/>
    </row>
    <row r="20" spans="1:21" x14ac:dyDescent="0.25">
      <c r="A20" s="3">
        <v>100</v>
      </c>
      <c r="B20" s="3">
        <v>8.3020000000000001E-5</v>
      </c>
      <c r="C20" s="3">
        <v>2.632E-4</v>
      </c>
      <c r="D20" s="3">
        <v>-4.906E-4</v>
      </c>
      <c r="E20" s="3">
        <v>0</v>
      </c>
      <c r="F20" s="3">
        <v>0</v>
      </c>
      <c r="G20" s="3">
        <v>0</v>
      </c>
      <c r="H20" s="3">
        <v>1.2211264999999999E-4</v>
      </c>
      <c r="I20" s="3">
        <v>2.9056566999999999E-5</v>
      </c>
      <c r="J20" s="3">
        <v>-2.6664320999999998E-4</v>
      </c>
      <c r="K20" s="3"/>
      <c r="L20" s="3">
        <f t="shared" si="0"/>
        <v>0.16922136159804321</v>
      </c>
      <c r="M20" s="3"/>
      <c r="N20" s="2">
        <f>IF('Modell einstellen'!$B$1="Voll",H20/0.35,H20/0.35*2)</f>
        <v>3.4889328571428569E-4</v>
      </c>
      <c r="O20" s="2">
        <f>IF('Modell einstellen'!$B$1="Voll",J20/0.35,J20/0.35*2)</f>
        <v>-7.6183774285714279E-4</v>
      </c>
      <c r="P20" s="3">
        <f t="shared" si="1"/>
        <v>0.45796272104585001</v>
      </c>
      <c r="Q20" s="3"/>
      <c r="R20" s="3"/>
      <c r="S20" s="3"/>
      <c r="T20" s="3"/>
      <c r="U20" s="3"/>
    </row>
    <row r="21" spans="1:21" x14ac:dyDescent="0.25">
      <c r="A21" s="3">
        <v>1000</v>
      </c>
      <c r="B21" s="3">
        <v>8.4419999999999995E-5</v>
      </c>
      <c r="C21" s="3">
        <v>3.0009999999999998E-4</v>
      </c>
      <c r="D21" s="3">
        <v>-5.2820000000000005E-4</v>
      </c>
      <c r="E21" s="3">
        <v>0</v>
      </c>
      <c r="F21" s="3">
        <v>0</v>
      </c>
      <c r="G21" s="3">
        <v>0</v>
      </c>
      <c r="H21" s="3">
        <v>1.3450796E-4</v>
      </c>
      <c r="I21" s="3">
        <v>3.3826184999999997E-5</v>
      </c>
      <c r="J21" s="3">
        <v>-2.9582585999999997E-4</v>
      </c>
      <c r="K21" s="3"/>
      <c r="L21" s="3">
        <f t="shared" si="0"/>
        <v>0.15982582355168495</v>
      </c>
      <c r="M21" s="3"/>
      <c r="N21" s="2">
        <f>IF('Modell einstellen'!$B$1="Voll",H21/0.35,H21/0.35*2)</f>
        <v>3.8430845714285719E-4</v>
      </c>
      <c r="O21" s="2">
        <f>IF('Modell einstellen'!$B$1="Voll",J21/0.35,J21/0.35*2)</f>
        <v>-8.4521674285714286E-4</v>
      </c>
      <c r="P21" s="3">
        <f t="shared" si="1"/>
        <v>0.45468628063821065</v>
      </c>
      <c r="Q21" s="3"/>
      <c r="R21" s="3"/>
      <c r="S21" s="3"/>
      <c r="T21" s="3"/>
      <c r="U21" s="3"/>
    </row>
    <row r="22" spans="1:21" x14ac:dyDescent="0.25">
      <c r="A22" s="3">
        <v>10000</v>
      </c>
      <c r="B22" s="3">
        <v>8.2230000000000004E-5</v>
      </c>
      <c r="C22" s="3">
        <v>3.4759999999999999E-4</v>
      </c>
      <c r="D22" s="3">
        <v>-5.731E-4</v>
      </c>
      <c r="E22" s="3">
        <v>0</v>
      </c>
      <c r="F22" s="3">
        <v>0</v>
      </c>
      <c r="G22" s="3">
        <v>0</v>
      </c>
      <c r="H22" s="3">
        <v>1.5132627999999999E-4</v>
      </c>
      <c r="I22" s="3">
        <v>4.0153256E-5</v>
      </c>
      <c r="J22" s="3">
        <v>-3.3511336999999999E-4</v>
      </c>
      <c r="K22" s="3"/>
      <c r="L22" s="3">
        <f t="shared" si="0"/>
        <v>0.14348281277264002</v>
      </c>
      <c r="M22" s="3"/>
      <c r="N22" s="2">
        <f>IF('Modell einstellen'!$B$1="Voll",H22/0.35,H22/0.35*2)</f>
        <v>4.3236080000000002E-4</v>
      </c>
      <c r="O22" s="2">
        <f>IF('Modell einstellen'!$B$1="Voll",J22/0.35,J22/0.35*2)</f>
        <v>-9.5746677142857144E-4</v>
      </c>
      <c r="P22" s="3">
        <f t="shared" si="1"/>
        <v>0.45156742030316488</v>
      </c>
      <c r="Q22" s="3"/>
      <c r="R22" s="3"/>
      <c r="S22" s="3"/>
      <c r="T22" s="3"/>
      <c r="U22" s="3"/>
    </row>
    <row r="23" spans="1:21" x14ac:dyDescent="0.25">
      <c r="A23" s="3">
        <v>100000</v>
      </c>
      <c r="B23" s="3">
        <v>6.1779999999999995E-5</v>
      </c>
      <c r="C23" s="3">
        <v>4.0519999999999998E-4</v>
      </c>
      <c r="D23" s="3">
        <v>-6.11E-4</v>
      </c>
      <c r="E23" s="3">
        <v>0</v>
      </c>
      <c r="F23" s="3">
        <v>0</v>
      </c>
      <c r="G23" s="3">
        <v>0</v>
      </c>
      <c r="H23" s="3">
        <v>1.7562198000000001E-4</v>
      </c>
      <c r="I23" s="3">
        <v>4.8234047999999997E-5</v>
      </c>
      <c r="J23" s="3">
        <v>-3.8844440000000002E-4</v>
      </c>
      <c r="K23" s="3"/>
      <c r="L23" s="3">
        <f t="shared" si="0"/>
        <v>0.10111292962356791</v>
      </c>
      <c r="M23" s="3"/>
      <c r="N23" s="2">
        <f>IF('Modell einstellen'!$B$1="Voll",H23/0.35,H23/0.35*2)</f>
        <v>5.0177708571428573E-4</v>
      </c>
      <c r="O23" s="2">
        <f>IF('Modell einstellen'!$B$1="Voll",J23/0.35,J23/0.35*2)</f>
        <v>-1.1098411428571431E-3</v>
      </c>
      <c r="P23" s="3">
        <f t="shared" si="1"/>
        <v>0.45211613296523251</v>
      </c>
      <c r="Q23" s="3"/>
      <c r="R23" s="3"/>
      <c r="S23" s="3"/>
      <c r="T23" s="3"/>
      <c r="U23" s="3"/>
    </row>
    <row r="24" spans="1:21" x14ac:dyDescent="0.25">
      <c r="A24" s="3">
        <v>1000000</v>
      </c>
      <c r="B24" s="3">
        <v>3.1109999999999999E-6</v>
      </c>
      <c r="C24" s="3">
        <v>4.8089999999999998E-4</v>
      </c>
      <c r="D24" s="3">
        <v>-6.3020000000000003E-4</v>
      </c>
      <c r="E24" s="3">
        <v>0</v>
      </c>
      <c r="F24" s="3">
        <v>0</v>
      </c>
      <c r="G24" s="3">
        <v>0</v>
      </c>
      <c r="H24" s="3">
        <v>2.1371861999999999E-4</v>
      </c>
      <c r="I24" s="3">
        <v>5.9550077000000001E-5</v>
      </c>
      <c r="J24" s="3">
        <v>-4.6758092E-4</v>
      </c>
      <c r="K24" s="3"/>
      <c r="L24" s="3">
        <f t="shared" si="0"/>
        <v>4.9365280863218021E-3</v>
      </c>
      <c r="M24" s="3"/>
      <c r="N24" s="2">
        <f>IF('Modell einstellen'!$B$1="Voll",H24/0.35,H24/0.35*2)</f>
        <v>6.1062462857142856E-4</v>
      </c>
      <c r="O24" s="2">
        <f>IF('Modell einstellen'!$B$1="Voll",J24/0.35,J24/0.35*2)</f>
        <v>-1.3359454857142859E-3</v>
      </c>
      <c r="P24" s="3">
        <f t="shared" si="1"/>
        <v>0.45707301315887733</v>
      </c>
      <c r="Q24" s="3"/>
      <c r="R24" s="3"/>
      <c r="S24" s="3"/>
      <c r="T24" s="3"/>
      <c r="U24" s="3"/>
    </row>
    <row r="25" spans="1:21" x14ac:dyDescent="0.25">
      <c r="A25" s="3">
        <v>10000000</v>
      </c>
      <c r="B25" s="3">
        <v>-1.392E-4</v>
      </c>
      <c r="C25" s="3">
        <v>5.9130000000000001E-4</v>
      </c>
      <c r="D25" s="3">
        <v>-6.0170000000000004E-4</v>
      </c>
      <c r="E25" s="3">
        <v>0</v>
      </c>
      <c r="F25" s="3">
        <v>0</v>
      </c>
      <c r="G25" s="3">
        <v>0</v>
      </c>
      <c r="H25" s="3">
        <v>2.7816693000000002E-4</v>
      </c>
      <c r="I25" s="3">
        <v>7.7251737000000006E-5</v>
      </c>
      <c r="J25" s="3">
        <v>-5.9651306999999995E-4</v>
      </c>
      <c r="K25" s="3"/>
      <c r="L25" s="3">
        <f t="shared" si="0"/>
        <v>-0.23134452384909421</v>
      </c>
      <c r="M25" s="3"/>
      <c r="N25" s="2">
        <f>IF('Modell einstellen'!$B$1="Voll",H25/0.35,H25/0.35*2)</f>
        <v>7.9476265714285724E-4</v>
      </c>
      <c r="O25" s="2">
        <f>IF('Modell einstellen'!$B$1="Voll",J25/0.35,J25/0.35*2)</f>
        <v>-1.7043230571428571E-3</v>
      </c>
      <c r="P25" s="3">
        <f t="shared" si="1"/>
        <v>0.46632160130204697</v>
      </c>
      <c r="Q25" s="3"/>
      <c r="R25" s="3"/>
      <c r="S25" s="3"/>
      <c r="T25" s="3"/>
      <c r="U25" s="3"/>
    </row>
    <row r="26" spans="1:21" x14ac:dyDescent="0.25">
      <c r="A26" s="3">
        <v>100000000</v>
      </c>
      <c r="B26" s="3">
        <v>-4.4079999999999998E-4</v>
      </c>
      <c r="C26" s="3">
        <v>7.5389999999999995E-4</v>
      </c>
      <c r="D26" s="3">
        <v>-4.6660000000000001E-4</v>
      </c>
      <c r="E26" s="3">
        <v>0</v>
      </c>
      <c r="F26" s="3">
        <v>0</v>
      </c>
      <c r="G26" s="3">
        <v>0</v>
      </c>
      <c r="H26" s="3">
        <v>3.8608463E-4</v>
      </c>
      <c r="I26" s="3">
        <v>1.0522171E-4</v>
      </c>
      <c r="J26" s="3">
        <v>-8.0641619999999997E-4</v>
      </c>
      <c r="K26" s="3"/>
      <c r="L26" s="3">
        <f t="shared" si="0"/>
        <v>-0.94470638662666084</v>
      </c>
      <c r="M26" s="3"/>
      <c r="N26" s="2">
        <f>IF('Modell einstellen'!$B$1="Voll",H26/0.35,H26/0.35*2)</f>
        <v>1.1030989428571429E-3</v>
      </c>
      <c r="O26" s="2">
        <f>IF('Modell einstellen'!$B$1="Voll",J26/0.35,J26/0.35*2)</f>
        <v>-2.3040462857142857E-3</v>
      </c>
      <c r="P26" s="3">
        <f t="shared" si="1"/>
        <v>0.47876596477104505</v>
      </c>
      <c r="Q26" s="3"/>
      <c r="R26" s="3"/>
      <c r="S26" s="3"/>
      <c r="T26" s="3"/>
      <c r="U26" s="3"/>
    </row>
    <row r="27" spans="1:21" x14ac:dyDescent="0.25">
      <c r="A27" s="3">
        <v>1000000000</v>
      </c>
      <c r="B27" s="3">
        <v>-9.4490000000000004E-4</v>
      </c>
      <c r="C27" s="3">
        <v>9.6920000000000003E-4</v>
      </c>
      <c r="D27" s="3">
        <v>-1.8120000000000001E-4</v>
      </c>
      <c r="E27" s="3">
        <v>0</v>
      </c>
      <c r="F27" s="3">
        <v>0</v>
      </c>
      <c r="G27" s="3">
        <v>0</v>
      </c>
      <c r="H27" s="3">
        <v>5.4480641999999995E-4</v>
      </c>
      <c r="I27" s="3">
        <v>1.4443713E-4</v>
      </c>
      <c r="J27" s="3">
        <v>-1.1079727000000001E-3</v>
      </c>
      <c r="K27" s="3"/>
      <c r="L27" s="3">
        <f t="shared" si="0"/>
        <v>-5.2146799116997791</v>
      </c>
      <c r="M27" s="3"/>
      <c r="N27" s="2">
        <f>IF('Modell einstellen'!$B$1="Voll",H27/0.35,H27/0.35*2)</f>
        <v>1.5565897714285713E-3</v>
      </c>
      <c r="O27" s="2">
        <f>IF('Modell einstellen'!$B$1="Voll",J27/0.35,J27/0.35*2)</f>
        <v>-3.1656362857142859E-3</v>
      </c>
      <c r="P27" s="3">
        <f t="shared" si="1"/>
        <v>0.49171466047854784</v>
      </c>
      <c r="Q27" s="3"/>
      <c r="R27" s="3"/>
      <c r="S27" s="3"/>
      <c r="T27" s="3"/>
      <c r="U27" s="3"/>
    </row>
    <row r="28" spans="1:21" x14ac:dyDescent="0.25">
      <c r="A28" s="3">
        <v>10000000000</v>
      </c>
      <c r="B28" s="3">
        <v>-1.6050000000000001E-3</v>
      </c>
      <c r="C28" s="3">
        <v>1.2149999999999999E-3</v>
      </c>
      <c r="D28" s="3">
        <v>2.3049999999999999E-4</v>
      </c>
      <c r="E28" s="3">
        <v>0</v>
      </c>
      <c r="F28" s="3">
        <v>0</v>
      </c>
      <c r="G28" s="3">
        <v>0</v>
      </c>
      <c r="H28" s="3">
        <v>7.3938002999999997E-4</v>
      </c>
      <c r="I28" s="3">
        <v>1.9098259E-4</v>
      </c>
      <c r="J28" s="3">
        <v>-1.4716829000000001E-3</v>
      </c>
      <c r="K28" s="3"/>
      <c r="L28" s="3">
        <f t="shared" si="0"/>
        <v>6.9631236442516276</v>
      </c>
      <c r="M28" s="3"/>
      <c r="N28" s="2">
        <f>IF('Modell einstellen'!$B$1="Voll",H28/0.35,H28/0.35*2)</f>
        <v>2.1125143714285713E-3</v>
      </c>
      <c r="O28" s="2">
        <f>IF('Modell einstellen'!$B$1="Voll",J28/0.35,J28/0.35*2)</f>
        <v>-4.2048082857142864E-3</v>
      </c>
      <c r="P28" s="3">
        <f t="shared" si="1"/>
        <v>0.50240444459876499</v>
      </c>
      <c r="Q28" s="3"/>
      <c r="R28" s="3"/>
      <c r="S28" s="3"/>
      <c r="T28" s="3"/>
      <c r="U28" s="3"/>
    </row>
    <row r="29" spans="1:21" x14ac:dyDescent="0.25">
      <c r="A29" s="3">
        <v>100000000000</v>
      </c>
      <c r="B29" s="3">
        <v>-2.16E-3</v>
      </c>
      <c r="C29" s="3">
        <v>1.4139999999999999E-3</v>
      </c>
      <c r="D29" s="3">
        <v>5.8600000000000004E-4</v>
      </c>
      <c r="E29" s="3">
        <v>0</v>
      </c>
      <c r="F29" s="3">
        <v>0</v>
      </c>
      <c r="G29" s="3">
        <v>0</v>
      </c>
      <c r="H29" s="3">
        <v>8.9873489999999997E-4</v>
      </c>
      <c r="I29" s="3">
        <v>2.2926439000000001E-4</v>
      </c>
      <c r="J29" s="3">
        <v>-1.7697612E-3</v>
      </c>
      <c r="K29" s="3"/>
      <c r="L29" s="3">
        <f t="shared" si="0"/>
        <v>3.6860068259385663</v>
      </c>
      <c r="M29" s="3"/>
      <c r="N29" s="2">
        <f>IF('Modell einstellen'!$B$1="Voll",H29/0.35,H29/0.35*2)</f>
        <v>2.5678140000000003E-3</v>
      </c>
      <c r="O29" s="2">
        <f>IF('Modell einstellen'!$B$1="Voll",J29/0.35,J29/0.35*2)</f>
        <v>-5.0564605714285716E-3</v>
      </c>
      <c r="P29" s="3">
        <f t="shared" si="1"/>
        <v>0.50782834429865453</v>
      </c>
      <c r="Q29" s="3"/>
      <c r="R29" s="3"/>
      <c r="S29" s="3"/>
      <c r="T29" s="3"/>
      <c r="U29" s="3"/>
    </row>
    <row r="30" spans="1:21" x14ac:dyDescent="0.25">
      <c r="A30" s="3">
        <v>1000000000000</v>
      </c>
      <c r="B30" s="3">
        <v>-2.5509999999999999E-3</v>
      </c>
      <c r="C30" s="3">
        <v>1.5529999999999999E-3</v>
      </c>
      <c r="D30" s="3">
        <v>8.3750000000000003E-4</v>
      </c>
      <c r="E30" s="3">
        <v>0</v>
      </c>
      <c r="F30" s="3">
        <v>0</v>
      </c>
      <c r="G30" s="3">
        <v>0</v>
      </c>
      <c r="H30" s="3">
        <v>1.010064E-3</v>
      </c>
      <c r="I30" s="3">
        <v>2.5638969E-4</v>
      </c>
      <c r="J30" s="3">
        <v>-1.979181E-3</v>
      </c>
      <c r="K30" s="3"/>
      <c r="L30" s="3">
        <f t="shared" si="0"/>
        <v>3.0459701492537312</v>
      </c>
      <c r="M30" s="3"/>
      <c r="N30" s="2">
        <f>IF('Modell einstellen'!$B$1="Voll",H30/0.35,H30/0.35*2)</f>
        <v>2.8858971428571429E-3</v>
      </c>
      <c r="O30" s="2">
        <f>IF('Modell einstellen'!$B$1="Voll",J30/0.35,J30/0.35*2)</f>
        <v>-5.6548028571428571E-3</v>
      </c>
      <c r="P30" s="3">
        <f t="shared" si="1"/>
        <v>0.51034443034770449</v>
      </c>
      <c r="Q30" s="3"/>
      <c r="R30" s="3"/>
      <c r="S30" s="3"/>
      <c r="T30" s="3"/>
      <c r="U30" s="3"/>
    </row>
    <row r="31" spans="1:21" x14ac:dyDescent="0.25">
      <c r="A31" s="3">
        <v>10000000000000</v>
      </c>
      <c r="B31" s="3">
        <v>-2.7820000000000002E-3</v>
      </c>
      <c r="C31" s="3">
        <v>1.637E-3</v>
      </c>
      <c r="D31" s="3">
        <v>9.8459999999999997E-4</v>
      </c>
      <c r="E31" s="3">
        <v>0</v>
      </c>
      <c r="F31" s="3">
        <v>0</v>
      </c>
      <c r="G31" s="3">
        <v>0</v>
      </c>
      <c r="H31" s="3">
        <v>1.0760399999999999E-3</v>
      </c>
      <c r="I31" s="3">
        <v>2.7280913000000002E-4</v>
      </c>
      <c r="J31" s="3">
        <v>-2.1044504E-3</v>
      </c>
      <c r="K31" s="3"/>
      <c r="L31" s="3">
        <f t="shared" si="0"/>
        <v>2.8255128986390416</v>
      </c>
      <c r="M31" s="3"/>
      <c r="N31" s="2">
        <f>IF('Modell einstellen'!$B$1="Voll",H31/0.35,H31/0.35*2)</f>
        <v>3.0743999999999997E-3</v>
      </c>
      <c r="O31" s="2">
        <f>IF('Modell einstellen'!$B$1="Voll",J31/0.35,J31/0.35*2)</f>
        <v>-6.0127154285714293E-3</v>
      </c>
      <c r="P31" s="3">
        <f t="shared" si="1"/>
        <v>0.5113163988089241</v>
      </c>
      <c r="Q31" s="3"/>
      <c r="R31" s="3"/>
      <c r="S31" s="3"/>
      <c r="T31" s="3"/>
      <c r="U31" s="3"/>
    </row>
    <row r="32" spans="1:21" x14ac:dyDescent="0.25">
      <c r="A32" s="3">
        <v>100000000000000</v>
      </c>
      <c r="B32" s="3">
        <v>-2.96E-3</v>
      </c>
      <c r="C32" s="3">
        <v>1.6999999999999999E-3</v>
      </c>
      <c r="D32" s="3">
        <v>1.0989999999999999E-3</v>
      </c>
      <c r="E32" s="3">
        <v>0</v>
      </c>
      <c r="F32" s="3">
        <v>0</v>
      </c>
      <c r="G32" s="3">
        <v>0</v>
      </c>
      <c r="H32" s="3">
        <v>1.1270130000000001E-3</v>
      </c>
      <c r="I32" s="3">
        <v>2.8524752000000001E-4</v>
      </c>
      <c r="J32" s="3">
        <v>-2.2002987000000001E-3</v>
      </c>
      <c r="K32" s="3"/>
      <c r="L32" s="3">
        <f t="shared" si="0"/>
        <v>2.6933575978161968</v>
      </c>
      <c r="M32" s="3"/>
      <c r="N32" s="2">
        <f>IF('Modell einstellen'!$B$1="Voll",H32/0.35,H32/0.35*2)</f>
        <v>3.220037142857143E-3</v>
      </c>
      <c r="O32" s="2">
        <f>IF('Modell einstellen'!$B$1="Voll",J32/0.35,J32/0.35*2)</f>
        <v>-6.2865677142857146E-3</v>
      </c>
      <c r="P32" s="3">
        <f t="shared" si="1"/>
        <v>0.51220909233823575</v>
      </c>
      <c r="Q32" s="3"/>
      <c r="R32" s="3"/>
      <c r="S32" s="3"/>
      <c r="T32" s="3"/>
      <c r="U32" s="3"/>
    </row>
    <row r="33" spans="1:21" x14ac:dyDescent="0.25">
      <c r="A33" s="2">
        <v>1000000000000000</v>
      </c>
      <c r="B33" s="3">
        <v>-3.045E-3</v>
      </c>
      <c r="C33" s="3">
        <v>1.7290000000000001E-3</v>
      </c>
      <c r="D33" s="3">
        <v>1.155E-3</v>
      </c>
      <c r="E33" s="3">
        <v>0</v>
      </c>
      <c r="F33" s="3">
        <v>0</v>
      </c>
      <c r="G33" s="3">
        <v>0</v>
      </c>
      <c r="H33" s="3">
        <v>1.1508366999999999E-3</v>
      </c>
      <c r="I33" s="3">
        <v>2.9101696999999998E-4</v>
      </c>
      <c r="J33" s="3">
        <v>-2.2449112000000001E-3</v>
      </c>
      <c r="K33" s="3"/>
      <c r="L33" s="3">
        <f t="shared" si="0"/>
        <v>2.6363636363636362</v>
      </c>
      <c r="M33" s="3"/>
      <c r="N33" s="2">
        <f>IF('Modell einstellen'!$B$1="Voll",H33/0.35,H33/0.35*2)</f>
        <v>3.2881048571428572E-3</v>
      </c>
      <c r="O33" s="2">
        <f>IF('Modell einstellen'!$B$1="Voll",J33/0.35,J33/0.35*2)</f>
        <v>-6.4140320000000009E-3</v>
      </c>
      <c r="P33" s="3">
        <f t="shared" si="1"/>
        <v>0.51264241543273503</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1.014E-4</v>
      </c>
      <c r="C3" s="3">
        <v>1.3459999999999999E-4</v>
      </c>
      <c r="D3" s="3">
        <v>-3.6380000000000001E-4</v>
      </c>
      <c r="E3" s="3">
        <v>0</v>
      </c>
      <c r="F3" s="3">
        <v>0</v>
      </c>
      <c r="G3" s="3">
        <v>0</v>
      </c>
      <c r="H3" s="3">
        <v>5.1204169999999998E-5</v>
      </c>
      <c r="I3" s="3">
        <v>1.3542549E-5</v>
      </c>
      <c r="J3" s="3">
        <v>-1.3778269000000001E-4</v>
      </c>
      <c r="K3" s="2"/>
      <c r="L3" s="3"/>
      <c r="M3" s="3"/>
      <c r="N3" s="2">
        <f>IF('Modell einstellen'!$B$1="Voll",H3/0.35,H3/0.35*2)</f>
        <v>1.4629762857142856E-4</v>
      </c>
      <c r="O3" s="2">
        <f>IF('Modell einstellen'!$B$1="Voll",J3/0.35,J3/0.35*2)</f>
        <v>-3.9366482857142865E-4</v>
      </c>
      <c r="P3" s="3">
        <f>-N3/O3</f>
        <v>0.3716299195494005</v>
      </c>
      <c r="Q3" s="3"/>
      <c r="R3" s="3"/>
      <c r="S3" s="3"/>
      <c r="T3" s="3"/>
      <c r="U3" s="3"/>
    </row>
    <row r="4" spans="1:21" x14ac:dyDescent="0.25">
      <c r="A4" s="3">
        <v>1E-14</v>
      </c>
      <c r="B4" s="3">
        <v>1.0289999999999999E-4</v>
      </c>
      <c r="C4" s="3">
        <v>1.3909999999999999E-4</v>
      </c>
      <c r="D4" s="3">
        <v>-3.7060000000000001E-4</v>
      </c>
      <c r="E4" s="3">
        <v>0</v>
      </c>
      <c r="F4" s="3">
        <v>0</v>
      </c>
      <c r="G4" s="3">
        <v>0</v>
      </c>
      <c r="H4" s="3">
        <v>5.3255252E-5</v>
      </c>
      <c r="I4" s="3">
        <v>1.4042207E-5</v>
      </c>
      <c r="J4" s="3">
        <v>-1.4172132E-4</v>
      </c>
      <c r="K4" s="2"/>
      <c r="L4" s="3"/>
      <c r="M4" s="3"/>
      <c r="N4" s="2">
        <f>IF('Modell einstellen'!$B$1="Voll",H4/0.35,H4/0.35*2)</f>
        <v>1.5215786285714287E-4</v>
      </c>
      <c r="O4" s="2">
        <f>IF('Modell einstellen'!$B$1="Voll",J4/0.35,J4/0.35*2)</f>
        <v>-4.0491805714285717E-4</v>
      </c>
      <c r="P4" s="3">
        <f t="shared" ref="P4:P33" si="0">-N4/O4</f>
        <v>0.37577445651790431</v>
      </c>
      <c r="Q4" s="3"/>
      <c r="R4" s="3"/>
      <c r="S4" s="3"/>
      <c r="T4" s="3"/>
      <c r="U4" s="3"/>
    </row>
    <row r="5" spans="1:21" x14ac:dyDescent="0.25">
      <c r="A5" s="3">
        <v>1E-13</v>
      </c>
      <c r="B5" s="3">
        <v>1.042E-4</v>
      </c>
      <c r="C5" s="3">
        <v>1.4339999999999999E-4</v>
      </c>
      <c r="D5" s="3">
        <v>-3.769E-4</v>
      </c>
      <c r="E5" s="3">
        <v>0</v>
      </c>
      <c r="F5" s="3">
        <v>0</v>
      </c>
      <c r="G5" s="3">
        <v>0</v>
      </c>
      <c r="H5" s="3">
        <v>5.5231185E-5</v>
      </c>
      <c r="I5" s="3">
        <v>1.4517870999999999E-5</v>
      </c>
      <c r="J5" s="3">
        <v>-1.4549879E-4</v>
      </c>
      <c r="K5" s="2"/>
      <c r="L5" s="3"/>
      <c r="M5" s="3"/>
      <c r="N5" s="2">
        <f>IF('Modell einstellen'!$B$1="Voll",H5/0.35,H5/0.35*2)</f>
        <v>1.5780338571428571E-4</v>
      </c>
      <c r="O5" s="2">
        <f>IF('Modell einstellen'!$B$1="Voll",J5/0.35,J5/0.35*2)</f>
        <v>-4.1571082857142861E-4</v>
      </c>
      <c r="P5" s="3">
        <f t="shared" si="0"/>
        <v>0.37959892999797451</v>
      </c>
      <c r="Q5" s="3"/>
      <c r="R5" s="3"/>
      <c r="S5" s="3"/>
      <c r="T5" s="3"/>
      <c r="U5" s="3"/>
    </row>
    <row r="6" spans="1:21" x14ac:dyDescent="0.25">
      <c r="A6" s="3">
        <v>9.9999999999999998E-13</v>
      </c>
      <c r="B6" s="3">
        <v>1.055E-4</v>
      </c>
      <c r="C6" s="3">
        <v>1.4809999999999999E-4</v>
      </c>
      <c r="D6" s="3">
        <v>-3.835E-4</v>
      </c>
      <c r="E6" s="3">
        <v>0</v>
      </c>
      <c r="F6" s="3">
        <v>0</v>
      </c>
      <c r="G6" s="3">
        <v>0</v>
      </c>
      <c r="H6" s="3">
        <v>5.7395529000000002E-5</v>
      </c>
      <c r="I6" s="3">
        <v>1.5032300999999999E-5</v>
      </c>
      <c r="J6" s="3">
        <v>-1.4961034E-4</v>
      </c>
      <c r="K6" s="2"/>
      <c r="L6" s="3"/>
      <c r="M6" s="3"/>
      <c r="N6" s="2">
        <f>IF('Modell einstellen'!$B$1="Voll",H6/0.35,H6/0.35*2)</f>
        <v>1.6398722571428574E-4</v>
      </c>
      <c r="O6" s="2">
        <f>IF('Modell einstellen'!$B$1="Voll",J6/0.35,J6/0.35*2)</f>
        <v>-4.2745811428571433E-4</v>
      </c>
      <c r="P6" s="3">
        <f t="shared" si="0"/>
        <v>0.38363343736803218</v>
      </c>
      <c r="Q6" s="3"/>
      <c r="R6" s="3"/>
      <c r="S6" s="3"/>
      <c r="T6" s="3"/>
      <c r="U6" s="3"/>
    </row>
    <row r="7" spans="1:21" x14ac:dyDescent="0.25">
      <c r="A7" s="3">
        <v>9.9999999999999994E-12</v>
      </c>
      <c r="B7" s="3">
        <v>1.0670000000000001E-4</v>
      </c>
      <c r="C7" s="3">
        <v>1.5349999999999999E-4</v>
      </c>
      <c r="D7" s="3">
        <v>-3.9110000000000002E-4</v>
      </c>
      <c r="E7" s="3">
        <v>0</v>
      </c>
      <c r="F7" s="3">
        <v>0</v>
      </c>
      <c r="G7" s="3">
        <v>0</v>
      </c>
      <c r="H7" s="3">
        <v>6.0001080000000003E-5</v>
      </c>
      <c r="I7" s="3">
        <v>1.5643117999999999E-5</v>
      </c>
      <c r="J7" s="3">
        <v>-1.5452675E-4</v>
      </c>
      <c r="K7" s="2"/>
      <c r="L7" s="3"/>
      <c r="M7" s="3"/>
      <c r="N7" s="2">
        <f>IF('Modell einstellen'!$B$1="Voll",H7/0.35,H7/0.35*2)</f>
        <v>1.7143165714285716E-4</v>
      </c>
      <c r="O7" s="2">
        <f>IF('Modell einstellen'!$B$1="Voll",J7/0.35,J7/0.35*2)</f>
        <v>-4.4150500000000002E-4</v>
      </c>
      <c r="P7" s="3">
        <f t="shared" si="0"/>
        <v>0.38828927677570391</v>
      </c>
      <c r="Q7" s="3"/>
      <c r="R7" s="3"/>
      <c r="S7" s="3"/>
      <c r="T7" s="3"/>
      <c r="U7" s="3"/>
    </row>
    <row r="8" spans="1:21" x14ac:dyDescent="0.25">
      <c r="A8" s="3">
        <v>1E-10</v>
      </c>
      <c r="B8" s="3">
        <v>1.077E-4</v>
      </c>
      <c r="C8" s="3">
        <v>1.5890000000000001E-4</v>
      </c>
      <c r="D8" s="3">
        <v>-3.9819999999999998E-4</v>
      </c>
      <c r="E8" s="3">
        <v>0</v>
      </c>
      <c r="F8" s="3">
        <v>0</v>
      </c>
      <c r="G8" s="3">
        <v>0</v>
      </c>
      <c r="H8" s="3">
        <v>6.2616624999999994E-5</v>
      </c>
      <c r="I8" s="3">
        <v>1.6246296E-5</v>
      </c>
      <c r="J8" s="3">
        <v>-1.5942288E-4</v>
      </c>
      <c r="K8" s="2"/>
      <c r="L8" s="3"/>
      <c r="M8" s="3"/>
      <c r="N8" s="2">
        <f>IF('Modell einstellen'!$B$1="Voll",H8/0.35,H8/0.35*2)</f>
        <v>1.7890464285714286E-4</v>
      </c>
      <c r="O8" s="2">
        <f>IF('Modell einstellen'!$B$1="Voll",J8/0.35,J8/0.35*2)</f>
        <v>-4.554939428571429E-4</v>
      </c>
      <c r="P8" s="3">
        <f t="shared" si="0"/>
        <v>0.39277062991209288</v>
      </c>
      <c r="Q8" s="3"/>
      <c r="R8" s="3"/>
      <c r="S8" s="3"/>
      <c r="T8" s="3"/>
      <c r="U8" s="3"/>
    </row>
    <row r="9" spans="1:21" x14ac:dyDescent="0.25">
      <c r="A9" s="3">
        <v>1.0000000000000001E-9</v>
      </c>
      <c r="B9" s="3">
        <v>1.0840000000000001E-4</v>
      </c>
      <c r="C9" s="3">
        <v>1.6449999999999999E-4</v>
      </c>
      <c r="D9" s="3">
        <v>-4.0539999999999999E-4</v>
      </c>
      <c r="E9" s="3">
        <v>0</v>
      </c>
      <c r="F9" s="3">
        <v>0</v>
      </c>
      <c r="G9" s="3">
        <v>0</v>
      </c>
      <c r="H9" s="3">
        <v>6.5421734000000004E-5</v>
      </c>
      <c r="I9" s="3">
        <v>1.6883275999999999E-5</v>
      </c>
      <c r="J9" s="3">
        <v>-1.6463565E-4</v>
      </c>
      <c r="K9" s="2"/>
      <c r="L9" s="3"/>
      <c r="M9" s="3"/>
      <c r="N9" s="2">
        <f>IF('Modell einstellen'!$B$1="Voll",H9/0.35,H9/0.35*2)</f>
        <v>1.8691924000000003E-4</v>
      </c>
      <c r="O9" s="2">
        <f>IF('Modell einstellen'!$B$1="Voll",J9/0.35,J9/0.35*2)</f>
        <v>-4.7038757142857146E-4</v>
      </c>
      <c r="P9" s="3">
        <f t="shared" si="0"/>
        <v>0.39737282903186527</v>
      </c>
      <c r="Q9" s="3"/>
      <c r="R9" s="3"/>
      <c r="S9" s="3"/>
      <c r="T9" s="3"/>
      <c r="U9" s="3"/>
    </row>
    <row r="10" spans="1:21" x14ac:dyDescent="0.25">
      <c r="A10" s="3">
        <v>1E-8</v>
      </c>
      <c r="B10" s="3">
        <v>1.0900000000000001E-4</v>
      </c>
      <c r="C10" s="3">
        <v>1.7149999999999999E-4</v>
      </c>
      <c r="D10" s="3">
        <v>-4.1419999999999998E-4</v>
      </c>
      <c r="E10" s="3">
        <v>0</v>
      </c>
      <c r="F10" s="3">
        <v>0</v>
      </c>
      <c r="G10" s="3">
        <v>0</v>
      </c>
      <c r="H10" s="3">
        <v>6.9067643E-5</v>
      </c>
      <c r="I10" s="3">
        <v>1.769623E-5</v>
      </c>
      <c r="J10" s="3">
        <v>-1.7135372000000001E-4</v>
      </c>
      <c r="K10" s="2"/>
      <c r="L10" s="3"/>
      <c r="M10" s="3"/>
      <c r="N10" s="2">
        <f>IF('Modell einstellen'!$B$1="Voll",H10/0.35,H10/0.35*2)</f>
        <v>1.9733612285714286E-4</v>
      </c>
      <c r="O10" s="2">
        <f>IF('Modell einstellen'!$B$1="Voll",J10/0.35,J10/0.35*2)</f>
        <v>-4.8958205714285719E-4</v>
      </c>
      <c r="P10" s="3">
        <f t="shared" si="0"/>
        <v>0.40307057821680203</v>
      </c>
      <c r="Q10" s="3"/>
      <c r="R10" s="3"/>
      <c r="S10" s="3"/>
      <c r="T10" s="3"/>
      <c r="U10" s="3"/>
    </row>
    <row r="11" spans="1:21" x14ac:dyDescent="0.25">
      <c r="A11" s="3">
        <v>9.9999999999999995E-8</v>
      </c>
      <c r="B11" s="3">
        <v>1.0900000000000001E-4</v>
      </c>
      <c r="C11" s="3">
        <v>1.8019999999999999E-4</v>
      </c>
      <c r="D11" s="3">
        <v>-4.2420000000000001E-4</v>
      </c>
      <c r="E11" s="3">
        <v>0</v>
      </c>
      <c r="F11" s="3">
        <v>0</v>
      </c>
      <c r="G11" s="3">
        <v>0</v>
      </c>
      <c r="H11" s="3">
        <v>7.3708435000000003E-5</v>
      </c>
      <c r="I11" s="3">
        <v>1.8705598E-5</v>
      </c>
      <c r="J11" s="3">
        <v>-1.7980772999999999E-4</v>
      </c>
      <c r="K11" s="2"/>
      <c r="L11" s="3"/>
      <c r="M11" s="3"/>
      <c r="N11" s="2">
        <f>IF('Modell einstellen'!$B$1="Voll",H11/0.35,H11/0.35*2)</f>
        <v>2.105955285714286E-4</v>
      </c>
      <c r="O11" s="2">
        <f>IF('Modell einstellen'!$B$1="Voll",J11/0.35,J11/0.35*2)</f>
        <v>-5.1373637142857148E-4</v>
      </c>
      <c r="P11" s="3">
        <f t="shared" si="0"/>
        <v>0.40992917823944497</v>
      </c>
      <c r="Q11" s="3"/>
      <c r="R11" s="3"/>
      <c r="S11" s="3"/>
      <c r="T11" s="3"/>
      <c r="U11" s="3"/>
    </row>
    <row r="12" spans="1:21" x14ac:dyDescent="0.25">
      <c r="A12" s="3">
        <v>9.9999999999999995E-7</v>
      </c>
      <c r="B12" s="3">
        <v>1.082E-4</v>
      </c>
      <c r="C12" s="3">
        <v>1.8929999999999999E-4</v>
      </c>
      <c r="D12" s="3">
        <v>-4.3389999999999998E-4</v>
      </c>
      <c r="E12" s="3">
        <v>0</v>
      </c>
      <c r="F12" s="3">
        <v>0</v>
      </c>
      <c r="G12" s="3">
        <v>0</v>
      </c>
      <c r="H12" s="3">
        <v>7.8829455999999994E-5</v>
      </c>
      <c r="I12" s="3">
        <v>1.9785543E-5</v>
      </c>
      <c r="J12" s="3">
        <v>-1.8900735E-4</v>
      </c>
      <c r="K12" s="2"/>
      <c r="L12" s="3"/>
      <c r="M12" s="3"/>
      <c r="N12" s="2">
        <f>IF('Modell einstellen'!$B$1="Voll",H12/0.35,H12/0.35*2)</f>
        <v>2.2522701714285714E-4</v>
      </c>
      <c r="O12" s="2">
        <f>IF('Modell einstellen'!$B$1="Voll",J12/0.35,J12/0.35*2)</f>
        <v>-5.4002100000000001E-4</v>
      </c>
      <c r="P12" s="3">
        <f t="shared" si="0"/>
        <v>0.41707084936114919</v>
      </c>
      <c r="Q12" s="3"/>
      <c r="R12" s="3"/>
      <c r="S12" s="3"/>
      <c r="T12" s="3"/>
      <c r="U12" s="3"/>
    </row>
    <row r="13" spans="1:21" x14ac:dyDescent="0.25">
      <c r="A13" s="3">
        <v>1.0000000000000001E-5</v>
      </c>
      <c r="B13" s="3">
        <v>1.0670000000000001E-4</v>
      </c>
      <c r="C13" s="3">
        <v>1.972E-4</v>
      </c>
      <c r="D13" s="3">
        <v>-4.415E-4</v>
      </c>
      <c r="E13" s="3">
        <v>0</v>
      </c>
      <c r="F13" s="3">
        <v>0</v>
      </c>
      <c r="G13" s="3">
        <v>0</v>
      </c>
      <c r="H13" s="3">
        <v>8.3444184000000006E-5</v>
      </c>
      <c r="I13" s="3">
        <v>2.0728058000000001E-5</v>
      </c>
      <c r="J13" s="3">
        <v>-1.9718080000000001E-4</v>
      </c>
      <c r="K13" s="2"/>
      <c r="L13" s="3"/>
      <c r="M13" s="3"/>
      <c r="N13" s="2">
        <f>IF('Modell einstellen'!$B$1="Voll",H13/0.35,H13/0.35*2)</f>
        <v>2.3841195428571431E-4</v>
      </c>
      <c r="O13" s="2">
        <f>IF('Modell einstellen'!$B$1="Voll",J13/0.35,J13/0.35*2)</f>
        <v>-5.6337371428571439E-4</v>
      </c>
      <c r="P13" s="3">
        <f t="shared" si="0"/>
        <v>0.42318615199857185</v>
      </c>
      <c r="Q13" s="3"/>
      <c r="R13" s="3"/>
      <c r="S13" s="3"/>
      <c r="T13" s="3"/>
      <c r="U13" s="3"/>
    </row>
    <row r="14" spans="1:21" x14ac:dyDescent="0.25">
      <c r="A14" s="3">
        <v>1E-4</v>
      </c>
      <c r="B14" s="3">
        <v>1.0450000000000001E-4</v>
      </c>
      <c r="C14" s="3">
        <v>2.052E-4</v>
      </c>
      <c r="D14" s="3">
        <v>-4.4850000000000001E-4</v>
      </c>
      <c r="E14" s="3">
        <v>0</v>
      </c>
      <c r="F14" s="3">
        <v>0</v>
      </c>
      <c r="G14" s="3">
        <v>0</v>
      </c>
      <c r="H14" s="3">
        <v>8.8342143E-5</v>
      </c>
      <c r="I14" s="3">
        <v>2.1701699E-5</v>
      </c>
      <c r="J14" s="3">
        <v>-2.0575511999999999E-4</v>
      </c>
      <c r="K14" s="2"/>
      <c r="L14" s="3"/>
      <c r="M14" s="3"/>
      <c r="N14" s="2">
        <f>IF('Modell einstellen'!$B$1="Voll",H14/0.35,H14/0.35*2)</f>
        <v>2.5240612285714286E-4</v>
      </c>
      <c r="O14" s="2">
        <f>IF('Modell einstellen'!$B$1="Voll",J14/0.35,J14/0.35*2)</f>
        <v>-5.8787177142857142E-4</v>
      </c>
      <c r="P14" s="3">
        <f t="shared" si="0"/>
        <v>0.42935574580112512</v>
      </c>
      <c r="Q14" s="3"/>
      <c r="R14" s="3"/>
      <c r="S14" s="3"/>
      <c r="T14" s="3"/>
      <c r="U14" s="3"/>
    </row>
    <row r="15" spans="1:21" x14ac:dyDescent="0.25">
      <c r="A15" s="3">
        <v>1E-3</v>
      </c>
      <c r="B15" s="3">
        <v>1.014E-4</v>
      </c>
      <c r="C15" s="3">
        <v>2.1330000000000001E-4</v>
      </c>
      <c r="D15" s="3">
        <v>-4.549E-4</v>
      </c>
      <c r="E15" s="3">
        <v>0</v>
      </c>
      <c r="F15" s="3">
        <v>0</v>
      </c>
      <c r="G15" s="3">
        <v>0</v>
      </c>
      <c r="H15" s="3">
        <v>9.3565431000000002E-5</v>
      </c>
      <c r="I15" s="3">
        <v>2.2707324000000001E-5</v>
      </c>
      <c r="J15" s="3">
        <v>-2.1477542000000001E-4</v>
      </c>
      <c r="K15" s="2"/>
      <c r="L15" s="3"/>
      <c r="M15" s="3"/>
      <c r="N15" s="2">
        <f>IF('Modell einstellen'!$B$1="Voll",H15/0.35,H15/0.35*2)</f>
        <v>2.6732980285714287E-4</v>
      </c>
      <c r="O15" s="2">
        <f>IF('Modell einstellen'!$B$1="Voll",J15/0.35,J15/0.35*2)</f>
        <v>-6.1364405714285717E-4</v>
      </c>
      <c r="P15" s="3">
        <f t="shared" si="0"/>
        <v>0.43564310571479736</v>
      </c>
      <c r="Q15" s="3"/>
      <c r="R15" s="3"/>
      <c r="S15" s="3"/>
      <c r="T15" s="3"/>
      <c r="U15" s="3"/>
    </row>
    <row r="16" spans="1:21" x14ac:dyDescent="0.25">
      <c r="A16" s="3">
        <v>0.01</v>
      </c>
      <c r="B16" s="3">
        <v>9.7070000000000004E-5</v>
      </c>
      <c r="C16" s="3">
        <v>2.2230000000000001E-4</v>
      </c>
      <c r="D16" s="3">
        <v>-4.6089999999999998E-4</v>
      </c>
      <c r="E16" s="3">
        <v>0</v>
      </c>
      <c r="F16" s="3">
        <v>0</v>
      </c>
      <c r="G16" s="3">
        <v>0</v>
      </c>
      <c r="H16" s="3">
        <v>9.9628676999999994E-5</v>
      </c>
      <c r="I16" s="3">
        <v>2.3836581999999999E-5</v>
      </c>
      <c r="J16" s="3">
        <v>-2.2510223E-4</v>
      </c>
      <c r="K16" s="2"/>
      <c r="L16" s="3"/>
      <c r="M16" s="3"/>
      <c r="N16" s="2">
        <f>IF('Modell einstellen'!$B$1="Voll",H16/0.35,H16/0.35*2)</f>
        <v>2.8465336285714288E-4</v>
      </c>
      <c r="O16" s="2">
        <f>IF('Modell einstellen'!$B$1="Voll",J16/0.35,J16/0.35*2)</f>
        <v>-6.4314922857142858E-4</v>
      </c>
      <c r="P16" s="3">
        <f t="shared" si="0"/>
        <v>0.44259302540005935</v>
      </c>
      <c r="Q16" s="3"/>
      <c r="R16" s="3"/>
      <c r="S16" s="3"/>
      <c r="T16" s="3"/>
      <c r="U16" s="3"/>
    </row>
    <row r="17" spans="1:21" x14ac:dyDescent="0.25">
      <c r="A17" s="3">
        <v>0.1</v>
      </c>
      <c r="B17" s="3">
        <v>9.1719999999999996E-5</v>
      </c>
      <c r="C17" s="3">
        <v>2.3130000000000001E-4</v>
      </c>
      <c r="D17" s="3">
        <v>-4.6579999999999999E-4</v>
      </c>
      <c r="E17" s="3">
        <v>0</v>
      </c>
      <c r="F17" s="3">
        <v>0</v>
      </c>
      <c r="G17" s="3">
        <v>0</v>
      </c>
      <c r="H17" s="3">
        <v>1.0590650999999999E-4</v>
      </c>
      <c r="I17" s="3">
        <v>2.4970006999999999E-5</v>
      </c>
      <c r="J17" s="3">
        <v>-2.3565395999999999E-4</v>
      </c>
      <c r="K17" s="2"/>
      <c r="L17" s="3"/>
      <c r="M17" s="3"/>
      <c r="N17" s="2">
        <f>IF('Modell einstellen'!$B$1="Voll",H17/0.35,H17/0.35*2)</f>
        <v>3.0259002857142858E-4</v>
      </c>
      <c r="O17" s="2">
        <f>IF('Modell einstellen'!$B$1="Voll",J17/0.35,J17/0.35*2)</f>
        <v>-6.7329702857142854E-4</v>
      </c>
      <c r="P17" s="3">
        <f t="shared" si="0"/>
        <v>0.4494153631027461</v>
      </c>
      <c r="Q17" s="3"/>
      <c r="R17" s="3"/>
      <c r="S17" s="3"/>
      <c r="T17" s="3"/>
      <c r="U17" s="3"/>
    </row>
    <row r="18" spans="1:21" x14ac:dyDescent="0.25">
      <c r="A18" s="3">
        <v>1</v>
      </c>
      <c r="B18" s="3">
        <v>8.4049999999999997E-5</v>
      </c>
      <c r="C18" s="3">
        <v>2.4369999999999999E-4</v>
      </c>
      <c r="D18" s="3">
        <v>-4.7209999999999998E-4</v>
      </c>
      <c r="E18" s="3">
        <v>0</v>
      </c>
      <c r="F18" s="3">
        <v>0</v>
      </c>
      <c r="G18" s="3">
        <v>0</v>
      </c>
      <c r="H18" s="3">
        <v>1.1445318E-4</v>
      </c>
      <c r="I18" s="3">
        <v>2.6572671000000001E-5</v>
      </c>
      <c r="J18" s="3">
        <v>-2.5018478E-4</v>
      </c>
      <c r="K18" s="2"/>
      <c r="L18" s="3"/>
      <c r="M18" s="3"/>
      <c r="N18" s="2">
        <f>IF('Modell einstellen'!$B$1="Voll",H18/0.35,H18/0.35*2)</f>
        <v>3.2700908571428573E-4</v>
      </c>
      <c r="O18" s="2">
        <f>IF('Modell einstellen'!$B$1="Voll",J18/0.35,J18/0.35*2)</f>
        <v>-7.1481365714285718E-4</v>
      </c>
      <c r="P18" s="3">
        <f t="shared" si="0"/>
        <v>0.45747459138001917</v>
      </c>
      <c r="Q18" s="3"/>
      <c r="R18" s="3"/>
      <c r="S18" s="3"/>
      <c r="T18" s="3"/>
      <c r="U18" s="3"/>
    </row>
    <row r="19" spans="1:21" x14ac:dyDescent="0.25">
      <c r="A19" s="3">
        <v>10</v>
      </c>
      <c r="B19" s="3">
        <v>7.7639999999999995E-5</v>
      </c>
      <c r="C19" s="3">
        <v>2.6429999999999997E-4</v>
      </c>
      <c r="D19" s="3">
        <v>-4.8720000000000002E-4</v>
      </c>
      <c r="E19" s="3">
        <v>0</v>
      </c>
      <c r="F19" s="3">
        <v>0</v>
      </c>
      <c r="G19" s="3">
        <v>0</v>
      </c>
      <c r="H19" s="3">
        <v>1.2482676E-4</v>
      </c>
      <c r="I19" s="3">
        <v>2.9233327000000001E-5</v>
      </c>
      <c r="J19" s="3">
        <v>-2.7014770000000001E-4</v>
      </c>
      <c r="K19" s="2"/>
      <c r="L19" s="3"/>
      <c r="M19" s="3"/>
      <c r="N19" s="2">
        <f>IF('Modell einstellen'!$B$1="Voll",H19/0.35,H19/0.35*2)</f>
        <v>3.5664788571428574E-4</v>
      </c>
      <c r="O19" s="2">
        <f>IF('Modell einstellen'!$B$1="Voll",J19/0.35,J19/0.35*2)</f>
        <v>-7.7185057142857148E-4</v>
      </c>
      <c r="P19" s="3">
        <f t="shared" si="0"/>
        <v>0.4620685647147838</v>
      </c>
      <c r="Q19" s="3"/>
      <c r="R19" s="3"/>
      <c r="S19" s="3"/>
      <c r="T19" s="3"/>
      <c r="U19" s="3"/>
    </row>
    <row r="20" spans="1:21" x14ac:dyDescent="0.25">
      <c r="A20" s="3">
        <v>100</v>
      </c>
      <c r="B20" s="3">
        <v>7.4939999999999997E-5</v>
      </c>
      <c r="C20" s="3">
        <v>3.009E-4</v>
      </c>
      <c r="D20" s="3">
        <v>-5.2070000000000003E-4</v>
      </c>
      <c r="E20" s="3">
        <v>0</v>
      </c>
      <c r="F20" s="3">
        <v>0</v>
      </c>
      <c r="G20" s="3">
        <v>0</v>
      </c>
      <c r="H20" s="3">
        <v>1.3821315000000001E-4</v>
      </c>
      <c r="I20" s="3">
        <v>3.3988754000000003E-5</v>
      </c>
      <c r="J20" s="3">
        <v>-3.0033902999999999E-4</v>
      </c>
      <c r="K20" s="2"/>
      <c r="L20" s="3"/>
      <c r="M20" s="3"/>
      <c r="N20" s="2">
        <f>IF('Modell einstellen'!$B$1="Voll",H20/0.35,H20/0.35*2)</f>
        <v>3.9489471428571436E-4</v>
      </c>
      <c r="O20" s="2">
        <f>IF('Modell einstellen'!$B$1="Voll",J20/0.35,J20/0.35*2)</f>
        <v>-8.5811151428571433E-4</v>
      </c>
      <c r="P20" s="3">
        <f t="shared" si="0"/>
        <v>0.460190438785129</v>
      </c>
      <c r="Q20" s="3"/>
      <c r="R20" s="3"/>
      <c r="S20" s="3"/>
      <c r="T20" s="3"/>
      <c r="U20" s="3"/>
    </row>
    <row r="21" spans="1:21" x14ac:dyDescent="0.25">
      <c r="A21" s="3">
        <v>1000</v>
      </c>
      <c r="B21" s="3">
        <v>6.9170000000000004E-5</v>
      </c>
      <c r="C21" s="3">
        <v>3.5070000000000001E-4</v>
      </c>
      <c r="D21" s="3">
        <v>-5.643E-4</v>
      </c>
      <c r="E21" s="3">
        <v>0</v>
      </c>
      <c r="F21" s="3">
        <v>0</v>
      </c>
      <c r="G21" s="3">
        <v>0</v>
      </c>
      <c r="H21" s="3">
        <v>1.5620382E-4</v>
      </c>
      <c r="I21" s="3">
        <v>4.0652043000000001E-5</v>
      </c>
      <c r="J21" s="3">
        <v>-3.4200016999999999E-4</v>
      </c>
      <c r="K21" s="2"/>
      <c r="L21" s="3"/>
      <c r="M21" s="3"/>
      <c r="N21" s="2">
        <f>IF('Modell einstellen'!$B$1="Voll",H21/0.35,H21/0.35*2)</f>
        <v>4.4629662857142857E-4</v>
      </c>
      <c r="O21" s="2">
        <f>IF('Modell einstellen'!$B$1="Voll",J21/0.35,J21/0.35*2)</f>
        <v>-9.7714334285714283E-4</v>
      </c>
      <c r="P21" s="3">
        <f t="shared" si="0"/>
        <v>0.45673608875691496</v>
      </c>
      <c r="Q21" s="3"/>
      <c r="R21" s="3"/>
      <c r="S21" s="3"/>
      <c r="T21" s="3"/>
      <c r="U21" s="3"/>
    </row>
    <row r="22" spans="1:21" x14ac:dyDescent="0.25">
      <c r="A22" s="3">
        <v>10000</v>
      </c>
      <c r="B22" s="3">
        <v>4.21E-5</v>
      </c>
      <c r="C22" s="3">
        <v>4.1340000000000002E-4</v>
      </c>
      <c r="D22" s="3">
        <v>-6.0070000000000002E-4</v>
      </c>
      <c r="E22" s="3">
        <v>0</v>
      </c>
      <c r="F22" s="3">
        <v>0</v>
      </c>
      <c r="G22" s="3">
        <v>0</v>
      </c>
      <c r="H22" s="3">
        <v>1.8312052999999999E-4</v>
      </c>
      <c r="I22" s="3">
        <v>4.9517909E-5</v>
      </c>
      <c r="J22" s="3">
        <v>-4.0077198E-4</v>
      </c>
      <c r="K22" s="2"/>
      <c r="L22" s="3"/>
      <c r="M22" s="3"/>
      <c r="N22" s="2">
        <f>IF('Modell einstellen'!$B$1="Voll",H22/0.35,H22/0.35*2)</f>
        <v>5.2320151428571432E-4</v>
      </c>
      <c r="O22" s="2">
        <f>IF('Modell einstellen'!$B$1="Voll",J22/0.35,J22/0.35*2)</f>
        <v>-1.1450628000000001E-3</v>
      </c>
      <c r="P22" s="3">
        <f t="shared" si="0"/>
        <v>0.45691949322405223</v>
      </c>
      <c r="Q22" s="3"/>
      <c r="R22" s="3"/>
      <c r="S22" s="3"/>
      <c r="T22" s="3"/>
      <c r="U22" s="3"/>
    </row>
    <row r="23" spans="1:21" x14ac:dyDescent="0.25">
      <c r="A23" s="3">
        <v>100000</v>
      </c>
      <c r="B23" s="3">
        <v>-2.936E-5</v>
      </c>
      <c r="C23" s="3">
        <v>4.9620000000000003E-4</v>
      </c>
      <c r="D23" s="3">
        <v>-6.1419999999999997E-4</v>
      </c>
      <c r="E23" s="3">
        <v>0</v>
      </c>
      <c r="F23" s="3">
        <v>0</v>
      </c>
      <c r="G23" s="3">
        <v>0</v>
      </c>
      <c r="H23" s="3">
        <v>2.2558588E-4</v>
      </c>
      <c r="I23" s="3">
        <v>6.2017654000000002E-5</v>
      </c>
      <c r="J23" s="3">
        <v>-4.8855412000000005E-4</v>
      </c>
      <c r="K23" s="2"/>
      <c r="L23" s="3"/>
      <c r="M23" s="3"/>
      <c r="N23" s="2">
        <f>IF('Modell einstellen'!$B$1="Voll",H23/0.35,H23/0.35*2)</f>
        <v>6.4453108571428577E-4</v>
      </c>
      <c r="O23" s="2">
        <f>IF('Modell einstellen'!$B$1="Voll",J23/0.35,J23/0.35*2)</f>
        <v>-1.3958689142857146E-3</v>
      </c>
      <c r="P23" s="3">
        <f t="shared" si="0"/>
        <v>0.46174184346250108</v>
      </c>
      <c r="Q23" s="3"/>
      <c r="R23" s="3"/>
      <c r="S23" s="3"/>
      <c r="T23" s="3"/>
      <c r="U23" s="3"/>
    </row>
    <row r="24" spans="1:21" x14ac:dyDescent="0.25">
      <c r="A24" s="3">
        <v>1000000</v>
      </c>
      <c r="B24" s="3">
        <v>-2.0230000000000001E-4</v>
      </c>
      <c r="C24" s="3">
        <v>6.1910000000000003E-4</v>
      </c>
      <c r="D24" s="3">
        <v>-5.6780000000000003E-4</v>
      </c>
      <c r="E24" s="3">
        <v>0</v>
      </c>
      <c r="F24" s="3">
        <v>0</v>
      </c>
      <c r="G24" s="3">
        <v>0</v>
      </c>
      <c r="H24" s="3">
        <v>2.9955447000000002E-4</v>
      </c>
      <c r="I24" s="3">
        <v>8.1973131999999997E-5</v>
      </c>
      <c r="J24" s="3">
        <v>-6.3519743000000001E-4</v>
      </c>
      <c r="K24" s="2"/>
      <c r="L24" s="3"/>
      <c r="M24" s="3"/>
      <c r="N24" s="2">
        <f>IF('Modell einstellen'!$B$1="Voll",H24/0.35,H24/0.35*2)</f>
        <v>8.558699142857144E-4</v>
      </c>
      <c r="O24" s="2">
        <f>IF('Modell einstellen'!$B$1="Voll",J24/0.35,J24/0.35*2)</f>
        <v>-1.8148498000000002E-3</v>
      </c>
      <c r="P24" s="3">
        <f t="shared" si="0"/>
        <v>0.47159269835206985</v>
      </c>
      <c r="Q24" s="3"/>
      <c r="R24" s="3"/>
      <c r="S24" s="3"/>
      <c r="T24" s="3"/>
      <c r="U24" s="3"/>
    </row>
    <row r="25" spans="1:21" x14ac:dyDescent="0.25">
      <c r="A25" s="3">
        <v>10000000</v>
      </c>
      <c r="B25" s="3">
        <v>-5.4169999999999999E-4</v>
      </c>
      <c r="C25" s="3">
        <v>7.917E-4</v>
      </c>
      <c r="D25" s="3">
        <v>-4.0460000000000002E-4</v>
      </c>
      <c r="E25" s="3">
        <v>0</v>
      </c>
      <c r="F25" s="3">
        <v>0</v>
      </c>
      <c r="G25" s="3">
        <v>0</v>
      </c>
      <c r="H25" s="3">
        <v>4.1729041E-4</v>
      </c>
      <c r="I25" s="3">
        <v>1.1202855E-4</v>
      </c>
      <c r="J25" s="3">
        <v>-8.6246282000000001E-4</v>
      </c>
      <c r="K25" s="2"/>
      <c r="L25" s="3"/>
      <c r="M25" s="3"/>
      <c r="N25" s="2">
        <f>IF('Modell einstellen'!$B$1="Voll",H25/0.35,H25/0.35*2)</f>
        <v>1.1922583142857143E-3</v>
      </c>
      <c r="O25" s="2">
        <f>IF('Modell einstellen'!$B$1="Voll",J25/0.35,J25/0.35*2)</f>
        <v>-2.464179485714286E-3</v>
      </c>
      <c r="P25" s="3">
        <f t="shared" si="0"/>
        <v>0.48383582494605387</v>
      </c>
      <c r="Q25" s="3"/>
      <c r="R25" s="3"/>
      <c r="S25" s="3"/>
      <c r="T25" s="3"/>
      <c r="U25" s="3"/>
    </row>
    <row r="26" spans="1:21" x14ac:dyDescent="0.25">
      <c r="A26" s="3">
        <v>100000000</v>
      </c>
      <c r="B26" s="3">
        <v>-1.1000000000000001E-3</v>
      </c>
      <c r="C26" s="3">
        <v>1.021E-3</v>
      </c>
      <c r="D26" s="3">
        <v>-7.8880000000000004E-5</v>
      </c>
      <c r="E26" s="3">
        <v>0</v>
      </c>
      <c r="F26" s="3">
        <v>0</v>
      </c>
      <c r="G26" s="3">
        <v>0</v>
      </c>
      <c r="H26" s="3">
        <v>5.9018472000000005E-4</v>
      </c>
      <c r="I26" s="3">
        <v>1.5413235999999999E-4</v>
      </c>
      <c r="J26" s="3">
        <v>-1.1886105000000001E-3</v>
      </c>
      <c r="K26" s="2"/>
      <c r="L26" s="3"/>
      <c r="M26" s="3"/>
      <c r="N26" s="2">
        <f>IF('Modell einstellen'!$B$1="Voll",H26/0.35,H26/0.35*2)</f>
        <v>1.6862420571428574E-3</v>
      </c>
      <c r="O26" s="2">
        <f>IF('Modell einstellen'!$B$1="Voll",J26/0.35,J26/0.35*2)</f>
        <v>-3.3960300000000004E-3</v>
      </c>
      <c r="P26" s="3">
        <f t="shared" si="0"/>
        <v>0.49653332189140181</v>
      </c>
      <c r="Q26" s="3"/>
      <c r="R26" s="3"/>
      <c r="S26" s="3"/>
      <c r="T26" s="3"/>
      <c r="U26" s="3"/>
    </row>
    <row r="27" spans="1:21" x14ac:dyDescent="0.25">
      <c r="A27" s="3">
        <v>1000000000</v>
      </c>
      <c r="B27" s="3">
        <v>-1.7409999999999999E-3</v>
      </c>
      <c r="C27" s="3">
        <v>1.2570000000000001E-3</v>
      </c>
      <c r="D27" s="3">
        <v>3.2459999999999998E-4</v>
      </c>
      <c r="E27" s="3">
        <v>0</v>
      </c>
      <c r="F27" s="3">
        <v>0</v>
      </c>
      <c r="G27" s="3">
        <v>0</v>
      </c>
      <c r="H27" s="3">
        <v>7.7781422999999999E-4</v>
      </c>
      <c r="I27" s="3">
        <v>1.9904581000000001E-4</v>
      </c>
      <c r="J27" s="3">
        <v>-1.5393167E-3</v>
      </c>
      <c r="K27" s="2"/>
      <c r="L27" s="3"/>
      <c r="M27" s="3"/>
      <c r="N27" s="2">
        <f>IF('Modell einstellen'!$B$1="Voll",H27/0.35,H27/0.35*2)</f>
        <v>2.2223263714285717E-3</v>
      </c>
      <c r="O27" s="2">
        <f>IF('Modell einstellen'!$B$1="Voll",J27/0.35,J27/0.35*2)</f>
        <v>-4.3980477142857143E-3</v>
      </c>
      <c r="P27" s="3">
        <f t="shared" si="0"/>
        <v>0.50529837687072454</v>
      </c>
      <c r="Q27" s="3"/>
      <c r="R27" s="3"/>
      <c r="S27" s="3"/>
      <c r="T27" s="3"/>
      <c r="U27" s="3"/>
    </row>
    <row r="28" spans="1:21" x14ac:dyDescent="0.25">
      <c r="A28" s="3">
        <v>10000000000</v>
      </c>
      <c r="B28" s="3">
        <v>-2.2829999999999999E-3</v>
      </c>
      <c r="C28" s="3">
        <v>1.451E-3</v>
      </c>
      <c r="D28" s="3">
        <v>6.7239999999999997E-4</v>
      </c>
      <c r="E28" s="3">
        <v>0</v>
      </c>
      <c r="F28" s="3">
        <v>0</v>
      </c>
      <c r="G28" s="3">
        <v>0</v>
      </c>
      <c r="H28" s="3">
        <v>9.3310276999999996E-4</v>
      </c>
      <c r="I28" s="3">
        <v>2.3650464999999999E-4</v>
      </c>
      <c r="J28" s="3">
        <v>-1.8302612E-3</v>
      </c>
      <c r="K28" s="2"/>
      <c r="L28" s="3"/>
      <c r="M28" s="3"/>
      <c r="N28" s="2">
        <f>IF('Modell einstellen'!$B$1="Voll",H28/0.35,H28/0.35*2)</f>
        <v>2.6660079142857142E-3</v>
      </c>
      <c r="O28" s="2">
        <f>IF('Modell einstellen'!$B$1="Voll",J28/0.35,J28/0.35*2)</f>
        <v>-5.2293177142857146E-3</v>
      </c>
      <c r="P28" s="3">
        <f t="shared" si="0"/>
        <v>0.50981945637048953</v>
      </c>
      <c r="Q28" s="3"/>
      <c r="R28" s="3"/>
      <c r="S28" s="3"/>
      <c r="T28" s="3"/>
      <c r="U28" s="3"/>
    </row>
    <row r="29" spans="1:21" x14ac:dyDescent="0.25">
      <c r="A29" s="3">
        <v>100000000000</v>
      </c>
      <c r="B29" s="3">
        <v>-2.6090000000000002E-3</v>
      </c>
      <c r="C29" s="3">
        <v>1.57E-3</v>
      </c>
      <c r="D29" s="3">
        <v>8.7870000000000005E-4</v>
      </c>
      <c r="E29" s="3">
        <v>0</v>
      </c>
      <c r="F29" s="3">
        <v>0</v>
      </c>
      <c r="G29" s="3">
        <v>0</v>
      </c>
      <c r="H29" s="3">
        <v>1.0253949999999999E-3</v>
      </c>
      <c r="I29" s="3">
        <v>2.5965207999999998E-4</v>
      </c>
      <c r="J29" s="3">
        <v>-2.0062254000000001E-3</v>
      </c>
      <c r="K29" s="2"/>
      <c r="L29" s="3"/>
      <c r="M29" s="3"/>
      <c r="N29" s="2">
        <f>IF('Modell einstellen'!$B$1="Voll",H29/0.35,H29/0.35*2)</f>
        <v>2.9296999999999999E-3</v>
      </c>
      <c r="O29" s="2">
        <f>IF('Modell einstellen'!$B$1="Voll",J29/0.35,J29/0.35*2)</f>
        <v>-5.7320725714285724E-3</v>
      </c>
      <c r="P29" s="3">
        <f t="shared" si="0"/>
        <v>0.51110657855293817</v>
      </c>
      <c r="Q29" s="3"/>
      <c r="R29" s="3"/>
      <c r="S29" s="3"/>
      <c r="T29" s="3"/>
      <c r="U29" s="3"/>
    </row>
    <row r="30" spans="1:21" x14ac:dyDescent="0.25">
      <c r="A30" s="3">
        <v>1000000000000</v>
      </c>
      <c r="B30" s="3">
        <v>-2.8419999999999999E-3</v>
      </c>
      <c r="C30" s="3">
        <v>1.655E-3</v>
      </c>
      <c r="D30" s="3">
        <v>1.0269999999999999E-3</v>
      </c>
      <c r="E30" s="3">
        <v>0</v>
      </c>
      <c r="F30" s="3">
        <v>0</v>
      </c>
      <c r="G30" s="3">
        <v>0</v>
      </c>
      <c r="H30" s="3">
        <v>1.0922391000000001E-3</v>
      </c>
      <c r="I30" s="3">
        <v>2.7630212999999999E-4</v>
      </c>
      <c r="J30" s="3">
        <v>-2.1331814000000002E-3</v>
      </c>
      <c r="K30" s="2"/>
      <c r="L30" s="3"/>
      <c r="M30" s="3"/>
      <c r="N30" s="2">
        <f>IF('Modell einstellen'!$B$1="Voll",H30/0.35,H30/0.35*2)</f>
        <v>3.1206831428571432E-3</v>
      </c>
      <c r="O30" s="2">
        <f>IF('Modell einstellen'!$B$1="Voll",J30/0.35,J30/0.35*2)</f>
        <v>-6.0948040000000005E-3</v>
      </c>
      <c r="P30" s="3">
        <f t="shared" si="0"/>
        <v>0.51202354380176018</v>
      </c>
      <c r="Q30" s="3"/>
      <c r="R30" s="3"/>
      <c r="S30" s="3"/>
      <c r="T30" s="3"/>
      <c r="U30" s="3"/>
    </row>
    <row r="31" spans="1:21" x14ac:dyDescent="0.25">
      <c r="A31" s="3">
        <v>10000000000000</v>
      </c>
      <c r="B31" s="3">
        <v>-2.9940000000000001E-3</v>
      </c>
      <c r="C31" s="3">
        <v>1.7049999999999999E-3</v>
      </c>
      <c r="D31" s="3">
        <v>1.129E-3</v>
      </c>
      <c r="E31" s="3">
        <v>0</v>
      </c>
      <c r="F31" s="3">
        <v>0</v>
      </c>
      <c r="G31" s="3">
        <v>0</v>
      </c>
      <c r="H31" s="3">
        <v>1.1345432999999999E-3</v>
      </c>
      <c r="I31" s="3">
        <v>2.8622423999999998E-4</v>
      </c>
      <c r="J31" s="3">
        <v>-2.2112479999999999E-3</v>
      </c>
      <c r="K31" s="2"/>
      <c r="L31" s="3"/>
      <c r="M31" s="3"/>
      <c r="N31" s="2">
        <f>IF('Modell einstellen'!$B$1="Voll",H31/0.35,H31/0.35*2)</f>
        <v>3.2415522857142855E-3</v>
      </c>
      <c r="O31" s="2">
        <f>IF('Modell einstellen'!$B$1="Voll",J31/0.35,J31/0.35*2)</f>
        <v>-6.3178514285714285E-3</v>
      </c>
      <c r="P31" s="3">
        <f t="shared" si="0"/>
        <v>0.51307827073218382</v>
      </c>
      <c r="Q31" s="3"/>
      <c r="R31" s="3"/>
      <c r="S31" s="3"/>
      <c r="T31" s="3"/>
      <c r="U31" s="3"/>
    </row>
    <row r="32" spans="1:21" x14ac:dyDescent="0.25">
      <c r="A32" s="3">
        <v>100000000000000</v>
      </c>
      <c r="B32" s="3">
        <v>-3.0720000000000001E-3</v>
      </c>
      <c r="C32" s="3">
        <v>1.7359999999999999E-3</v>
      </c>
      <c r="D32" s="3">
        <v>1.175E-3</v>
      </c>
      <c r="E32" s="3">
        <v>0</v>
      </c>
      <c r="F32" s="3">
        <v>0</v>
      </c>
      <c r="G32" s="3">
        <v>0</v>
      </c>
      <c r="H32" s="3">
        <v>1.1561500000000001E-3</v>
      </c>
      <c r="I32" s="3">
        <v>2.9236090000000001E-4</v>
      </c>
      <c r="J32" s="3">
        <v>-2.2549974E-3</v>
      </c>
      <c r="K32" s="2"/>
      <c r="L32" s="3"/>
      <c r="M32" s="3"/>
      <c r="N32" s="2">
        <f>IF('Modell einstellen'!$B$1="Voll",H32/0.35,H32/0.35*2)</f>
        <v>3.3032857142857148E-3</v>
      </c>
      <c r="O32" s="2">
        <f>IF('Modell einstellen'!$B$1="Voll",J32/0.35,J32/0.35*2)</f>
        <v>-6.4428497142857144E-3</v>
      </c>
      <c r="P32" s="3">
        <f t="shared" si="0"/>
        <v>0.51270569092452178</v>
      </c>
      <c r="Q32" s="3"/>
      <c r="R32" s="3"/>
      <c r="S32" s="3"/>
      <c r="T32" s="3"/>
      <c r="U32" s="3"/>
    </row>
    <row r="33" spans="1:21" x14ac:dyDescent="0.25">
      <c r="A33" s="2">
        <v>1000000000000000</v>
      </c>
      <c r="B33" s="3">
        <v>-3.2750000000000001E-3</v>
      </c>
      <c r="C33" s="3">
        <v>1.807E-3</v>
      </c>
      <c r="D33" s="3">
        <v>1.307E-3</v>
      </c>
      <c r="E33" s="3">
        <v>0</v>
      </c>
      <c r="F33" s="3">
        <v>0</v>
      </c>
      <c r="G33" s="3">
        <v>0</v>
      </c>
      <c r="H33" s="3">
        <v>1.215994E-3</v>
      </c>
      <c r="I33" s="3">
        <v>3.062559E-4</v>
      </c>
      <c r="J33" s="3">
        <v>-2.3649074E-3</v>
      </c>
      <c r="K33" s="2"/>
      <c r="L33" s="3"/>
      <c r="M33" s="3"/>
      <c r="N33" s="2">
        <f>IF('Modell einstellen'!$B$1="Voll",H33/0.35,H33/0.35*2)</f>
        <v>3.4742685714285715E-3</v>
      </c>
      <c r="O33" s="2">
        <f>IF('Modell einstellen'!$B$1="Voll",J33/0.35,J33/0.35*2)</f>
        <v>-6.7568782857142864E-3</v>
      </c>
      <c r="P33" s="3">
        <f t="shared" si="0"/>
        <v>0.51418250033806812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1.061E-4</v>
      </c>
      <c r="C3" s="3">
        <v>1.4569999999999999E-4</v>
      </c>
      <c r="D3" s="3">
        <v>-3.812E-4</v>
      </c>
      <c r="E3" s="3">
        <v>0</v>
      </c>
      <c r="F3" s="3">
        <v>0</v>
      </c>
      <c r="G3" s="3">
        <v>0</v>
      </c>
      <c r="H3" s="3">
        <v>5.6118625999999999E-5</v>
      </c>
      <c r="I3" s="3">
        <v>1.4776821E-5</v>
      </c>
      <c r="J3" s="3">
        <v>-1.4734892000000001E-4</v>
      </c>
      <c r="L3" s="3">
        <f>-B3/D3</f>
        <v>0.27833158447009443</v>
      </c>
      <c r="M3" s="3"/>
      <c r="N3" s="2">
        <f>IF('Modell einstellen'!$B$1="Voll",H3/0.35,H3/0.35*2)</f>
        <v>1.6033893142857145E-4</v>
      </c>
      <c r="O3" s="2">
        <f>IF('Modell einstellen'!$B$1="Voll",J3/0.35,J3/0.35*2)</f>
        <v>-4.2099691428571434E-4</v>
      </c>
      <c r="P3" s="3">
        <f>-N3/O3</f>
        <v>0.38085536018859178</v>
      </c>
    </row>
    <row r="4" spans="1:16" x14ac:dyDescent="0.25">
      <c r="A4" s="3">
        <v>1E-14</v>
      </c>
      <c r="B4" s="3">
        <v>1.077E-4</v>
      </c>
      <c r="C4" s="3">
        <v>1.5200000000000001E-4</v>
      </c>
      <c r="D4" s="3">
        <v>-3.8999999999999999E-4</v>
      </c>
      <c r="E4" s="3">
        <v>0</v>
      </c>
      <c r="F4" s="3">
        <v>0</v>
      </c>
      <c r="G4" s="3">
        <v>0</v>
      </c>
      <c r="H4" s="3">
        <v>5.9024919000000003E-5</v>
      </c>
      <c r="I4" s="3">
        <v>1.5472959E-5</v>
      </c>
      <c r="J4" s="3">
        <v>-1.5287760000000001E-4</v>
      </c>
      <c r="L4" s="3">
        <f t="shared" ref="L4:L33" si="0">-B4/D4</f>
        <v>0.27615384615384614</v>
      </c>
      <c r="M4" s="3"/>
      <c r="N4" s="2">
        <f>IF('Modell einstellen'!$B$1="Voll",H4/0.35,H4/0.35*2)</f>
        <v>1.6864262571428574E-4</v>
      </c>
      <c r="O4" s="2">
        <f>IF('Modell einstellen'!$B$1="Voll",J4/0.35,J4/0.35*2)</f>
        <v>-4.3679314285714293E-4</v>
      </c>
      <c r="P4" s="3">
        <f t="shared" ref="P4:P33" si="1">-N4/O4</f>
        <v>0.38609265844047785</v>
      </c>
    </row>
    <row r="5" spans="1:16" x14ac:dyDescent="0.25">
      <c r="A5" s="3">
        <v>1E-13</v>
      </c>
      <c r="B5" s="3">
        <v>1.089E-4</v>
      </c>
      <c r="C5" s="3">
        <v>1.5770000000000001E-4</v>
      </c>
      <c r="D5" s="3">
        <v>-3.9770000000000002E-4</v>
      </c>
      <c r="E5" s="3">
        <v>0</v>
      </c>
      <c r="F5" s="3">
        <v>0</v>
      </c>
      <c r="G5" s="3">
        <v>0</v>
      </c>
      <c r="H5" s="3">
        <v>6.1755568999999997E-5</v>
      </c>
      <c r="I5" s="3">
        <v>1.6116E-5</v>
      </c>
      <c r="J5" s="3">
        <v>-1.5803424E-4</v>
      </c>
      <c r="L5" s="3">
        <f t="shared" si="0"/>
        <v>0.27382449082222782</v>
      </c>
      <c r="M5" s="3"/>
      <c r="N5" s="2">
        <f>IF('Modell einstellen'!$B$1="Voll",H5/0.35,H5/0.35*2)</f>
        <v>1.7644448285714285E-4</v>
      </c>
      <c r="O5" s="2">
        <f>IF('Modell einstellen'!$B$1="Voll",J5/0.35,J5/0.35*2)</f>
        <v>-4.5152640000000003E-4</v>
      </c>
      <c r="P5" s="3">
        <f t="shared" si="1"/>
        <v>0.39077334759859633</v>
      </c>
    </row>
    <row r="6" spans="1:16" x14ac:dyDescent="0.25">
      <c r="A6" s="3">
        <v>9.9999999999999998E-13</v>
      </c>
      <c r="B6" s="3">
        <v>1.097E-4</v>
      </c>
      <c r="C6" s="3">
        <v>1.6320000000000001E-4</v>
      </c>
      <c r="D6" s="3">
        <v>-4.0489999999999998E-4</v>
      </c>
      <c r="E6" s="3">
        <v>0</v>
      </c>
      <c r="F6" s="3">
        <v>0</v>
      </c>
      <c r="G6" s="3">
        <v>0</v>
      </c>
      <c r="H6" s="3">
        <v>6.4419568000000001E-5</v>
      </c>
      <c r="I6" s="3">
        <v>1.6733576999999999E-5</v>
      </c>
      <c r="J6" s="3">
        <v>-1.6302695000000001E-4</v>
      </c>
      <c r="L6" s="3">
        <f t="shared" si="0"/>
        <v>0.27093109409730798</v>
      </c>
      <c r="M6" s="3"/>
      <c r="N6" s="2">
        <f>IF('Modell einstellen'!$B$1="Voll",H6/0.35,H6/0.35*2)</f>
        <v>1.840559085714286E-4</v>
      </c>
      <c r="O6" s="2">
        <f>IF('Modell einstellen'!$B$1="Voll",J6/0.35,J6/0.35*2)</f>
        <v>-4.6579128571428574E-4</v>
      </c>
      <c r="P6" s="3">
        <f t="shared" si="1"/>
        <v>0.39514674107563202</v>
      </c>
    </row>
    <row r="7" spans="1:16" x14ac:dyDescent="0.25">
      <c r="A7" s="3">
        <v>9.9999999999999994E-12</v>
      </c>
      <c r="B7" s="3">
        <v>1.104E-4</v>
      </c>
      <c r="C7" s="3">
        <v>1.696E-4</v>
      </c>
      <c r="D7" s="3">
        <v>-4.1300000000000001E-4</v>
      </c>
      <c r="E7" s="3">
        <v>0</v>
      </c>
      <c r="F7" s="3">
        <v>0</v>
      </c>
      <c r="G7" s="3">
        <v>0</v>
      </c>
      <c r="H7" s="3">
        <v>6.7669161999999995E-5</v>
      </c>
      <c r="I7" s="3">
        <v>1.7474541999999998E-5</v>
      </c>
      <c r="J7" s="3">
        <v>-1.6906968000000001E-4</v>
      </c>
      <c r="L7" s="3">
        <f t="shared" si="0"/>
        <v>0.26731234866828085</v>
      </c>
      <c r="M7" s="3"/>
      <c r="N7" s="2">
        <f>IF('Modell einstellen'!$B$1="Voll",H7/0.35,H7/0.35*2)</f>
        <v>1.9334046285714285E-4</v>
      </c>
      <c r="O7" s="2">
        <f>IF('Modell einstellen'!$B$1="Voll",J7/0.35,J7/0.35*2)</f>
        <v>-4.8305622857142865E-4</v>
      </c>
      <c r="P7" s="3">
        <f t="shared" si="1"/>
        <v>0.40024421883332356</v>
      </c>
    </row>
    <row r="8" spans="1:16" x14ac:dyDescent="0.25">
      <c r="A8" s="3">
        <v>1E-10</v>
      </c>
      <c r="B8" s="3">
        <v>1.1069999999999999E-4</v>
      </c>
      <c r="C8" s="3">
        <v>1.7780000000000001E-4</v>
      </c>
      <c r="D8" s="3">
        <v>-4.2279999999999998E-4</v>
      </c>
      <c r="E8" s="3">
        <v>0</v>
      </c>
      <c r="F8" s="3">
        <v>0</v>
      </c>
      <c r="G8" s="3">
        <v>0</v>
      </c>
      <c r="H8" s="3">
        <v>7.1940580000000006E-5</v>
      </c>
      <c r="I8" s="3">
        <v>1.8427477999999999E-5</v>
      </c>
      <c r="J8" s="3">
        <v>-1.7693202999999999E-4</v>
      </c>
      <c r="L8" s="3">
        <f t="shared" si="0"/>
        <v>0.26182592242194891</v>
      </c>
      <c r="M8" s="3"/>
      <c r="N8" s="2">
        <f>IF('Modell einstellen'!$B$1="Voll",H8/0.35,H8/0.35*2)</f>
        <v>2.0554451428571433E-4</v>
      </c>
      <c r="O8" s="2">
        <f>IF('Modell einstellen'!$B$1="Voll",J8/0.35,J8/0.35*2)</f>
        <v>-5.0552008571428568E-4</v>
      </c>
      <c r="P8" s="3">
        <f t="shared" si="1"/>
        <v>0.40660009383264306</v>
      </c>
    </row>
    <row r="9" spans="1:16" x14ac:dyDescent="0.25">
      <c r="A9" s="3">
        <v>1.0000000000000001E-9</v>
      </c>
      <c r="B9" s="3">
        <v>1.102E-4</v>
      </c>
      <c r="C9" s="3">
        <v>1.8709999999999999E-4</v>
      </c>
      <c r="D9" s="3">
        <v>-4.3300000000000001E-4</v>
      </c>
      <c r="E9" s="3">
        <v>0</v>
      </c>
      <c r="F9" s="3">
        <v>0</v>
      </c>
      <c r="G9" s="3">
        <v>0</v>
      </c>
      <c r="H9" s="3">
        <v>7.6966114999999996E-5</v>
      </c>
      <c r="I9" s="3">
        <v>1.9517568E-5</v>
      </c>
      <c r="J9" s="3">
        <v>-1.8606385999999999E-4</v>
      </c>
      <c r="L9" s="3">
        <f t="shared" si="0"/>
        <v>0.25450346420323322</v>
      </c>
      <c r="M9" s="3"/>
      <c r="N9" s="2">
        <f>IF('Modell einstellen'!$B$1="Voll",H9/0.35,H9/0.35*2)</f>
        <v>2.1990318571428572E-4</v>
      </c>
      <c r="O9" s="2">
        <f>IF('Modell einstellen'!$B$1="Voll",J9/0.35,J9/0.35*2)</f>
        <v>-5.3161102857142862E-4</v>
      </c>
      <c r="P9" s="3">
        <f t="shared" si="1"/>
        <v>0.41365429589604341</v>
      </c>
    </row>
    <row r="10" spans="1:16" x14ac:dyDescent="0.25">
      <c r="A10" s="3">
        <v>1E-8</v>
      </c>
      <c r="B10" s="3">
        <v>1.0900000000000001E-4</v>
      </c>
      <c r="C10" s="3">
        <v>1.9570000000000001E-4</v>
      </c>
      <c r="D10" s="3">
        <v>-4.416E-4</v>
      </c>
      <c r="E10" s="3">
        <v>0</v>
      </c>
      <c r="F10" s="3">
        <v>0</v>
      </c>
      <c r="G10" s="3">
        <v>0</v>
      </c>
      <c r="H10" s="3">
        <v>8.1849819000000002E-5</v>
      </c>
      <c r="I10" s="3">
        <v>2.0544299999999999E-5</v>
      </c>
      <c r="J10" s="3">
        <v>-1.9481410999999999E-4</v>
      </c>
      <c r="L10" s="3">
        <f t="shared" si="0"/>
        <v>0.24682971014492755</v>
      </c>
      <c r="M10" s="3"/>
      <c r="N10" s="2">
        <f>IF('Modell einstellen'!$B$1="Voll",H10/0.35,H10/0.35*2)</f>
        <v>2.3385662571428573E-4</v>
      </c>
      <c r="O10" s="2">
        <f>IF('Modell einstellen'!$B$1="Voll",J10/0.35,J10/0.35*2)</f>
        <v>-5.5661174285714281E-4</v>
      </c>
      <c r="P10" s="3">
        <f t="shared" si="1"/>
        <v>0.42014317648757582</v>
      </c>
    </row>
    <row r="11" spans="1:16" x14ac:dyDescent="0.25">
      <c r="A11" s="3">
        <v>9.9999999999999995E-8</v>
      </c>
      <c r="B11" s="3">
        <v>1.071E-4</v>
      </c>
      <c r="C11" s="3">
        <v>2.0350000000000001E-4</v>
      </c>
      <c r="D11" s="3">
        <v>-4.4870000000000001E-4</v>
      </c>
      <c r="E11" s="3">
        <v>0</v>
      </c>
      <c r="F11" s="3">
        <v>0</v>
      </c>
      <c r="G11" s="3">
        <v>0</v>
      </c>
      <c r="H11" s="3">
        <v>8.6466450999999995E-5</v>
      </c>
      <c r="I11" s="3">
        <v>2.1488459000000001E-5</v>
      </c>
      <c r="J11" s="3">
        <v>-2.02986E-4</v>
      </c>
      <c r="L11" s="3">
        <f t="shared" si="0"/>
        <v>0.23868954758190328</v>
      </c>
      <c r="M11" s="3"/>
      <c r="N11" s="2">
        <f>IF('Modell einstellen'!$B$1="Voll",H11/0.35,H11/0.35*2)</f>
        <v>2.4704700285714288E-4</v>
      </c>
      <c r="O11" s="2">
        <f>IF('Modell einstellen'!$B$1="Voll",J11/0.35,J11/0.35*2)</f>
        <v>-5.7996000000000002E-4</v>
      </c>
      <c r="P11" s="3">
        <f t="shared" si="1"/>
        <v>0.42597248578719715</v>
      </c>
    </row>
    <row r="12" spans="1:16" x14ac:dyDescent="0.25">
      <c r="A12" s="3">
        <v>9.9999999999999995E-7</v>
      </c>
      <c r="B12" s="3">
        <v>1.044E-4</v>
      </c>
      <c r="C12" s="3">
        <v>2.118E-4</v>
      </c>
      <c r="D12" s="3">
        <v>-4.5560000000000002E-4</v>
      </c>
      <c r="E12" s="3">
        <v>0</v>
      </c>
      <c r="F12" s="3">
        <v>0</v>
      </c>
      <c r="G12" s="3">
        <v>0</v>
      </c>
      <c r="H12" s="3">
        <v>9.1596968000000003E-5</v>
      </c>
      <c r="I12" s="3">
        <v>2.2507358999999999E-5</v>
      </c>
      <c r="J12" s="3">
        <v>-2.119534E-4</v>
      </c>
      <c r="L12" s="3">
        <f t="shared" si="0"/>
        <v>0.22914837576821773</v>
      </c>
      <c r="M12" s="3"/>
      <c r="N12" s="2">
        <f>IF('Modell einstellen'!$B$1="Voll",H12/0.35,H12/0.35*2)</f>
        <v>2.6170562285714286E-4</v>
      </c>
      <c r="O12" s="2">
        <f>IF('Modell einstellen'!$B$1="Voll",J12/0.35,J12/0.35*2)</f>
        <v>-6.0558114285714289E-4</v>
      </c>
      <c r="P12" s="3">
        <f t="shared" si="1"/>
        <v>0.43215616262820034</v>
      </c>
    </row>
    <row r="13" spans="1:16" x14ac:dyDescent="0.25">
      <c r="A13" s="3">
        <v>1.0000000000000001E-5</v>
      </c>
      <c r="B13" s="3">
        <v>1.0060000000000001E-4</v>
      </c>
      <c r="C13" s="3">
        <v>2.206E-4</v>
      </c>
      <c r="D13" s="3">
        <v>-4.618E-4</v>
      </c>
      <c r="E13" s="3">
        <v>0</v>
      </c>
      <c r="F13" s="3">
        <v>0</v>
      </c>
      <c r="G13" s="3">
        <v>0</v>
      </c>
      <c r="H13" s="3">
        <v>9.7244852000000003E-5</v>
      </c>
      <c r="I13" s="3">
        <v>2.3593635E-5</v>
      </c>
      <c r="J13" s="3">
        <v>-2.2169188E-4</v>
      </c>
      <c r="L13" s="3">
        <f t="shared" si="0"/>
        <v>0.21784322217410135</v>
      </c>
      <c r="M13" s="3"/>
      <c r="N13" s="2">
        <f>IF('Modell einstellen'!$B$1="Voll",H13/0.35,H13/0.35*2)</f>
        <v>2.7784243428571431E-4</v>
      </c>
      <c r="O13" s="2">
        <f>IF('Modell einstellen'!$B$1="Voll",J13/0.35,J13/0.35*2)</f>
        <v>-6.3340537142857146E-4</v>
      </c>
      <c r="P13" s="3">
        <f t="shared" si="1"/>
        <v>0.43864868663660572</v>
      </c>
    </row>
    <row r="14" spans="1:16" x14ac:dyDescent="0.25">
      <c r="A14" s="3">
        <v>1E-4</v>
      </c>
      <c r="B14" s="3">
        <v>9.5539999999999997E-5</v>
      </c>
      <c r="C14" s="3">
        <v>2.297E-4</v>
      </c>
      <c r="D14" s="3">
        <v>-4.6729999999999997E-4</v>
      </c>
      <c r="E14" s="3">
        <v>0</v>
      </c>
      <c r="F14" s="3">
        <v>0</v>
      </c>
      <c r="G14" s="3">
        <v>0</v>
      </c>
      <c r="H14" s="3">
        <v>1.0350210999999999E-4</v>
      </c>
      <c r="I14" s="3">
        <v>2.4753168000000001E-5</v>
      </c>
      <c r="J14" s="3">
        <v>-2.3231578999999999E-4</v>
      </c>
      <c r="L14" s="3">
        <f t="shared" si="0"/>
        <v>0.20445110207575434</v>
      </c>
      <c r="M14" s="3"/>
      <c r="N14" s="2">
        <f>IF('Modell einstellen'!$B$1="Voll",H14/0.35,H14/0.35*2)</f>
        <v>2.9572031428571428E-4</v>
      </c>
      <c r="O14" s="2">
        <f>IF('Modell einstellen'!$B$1="Voll",J14/0.35,J14/0.35*2)</f>
        <v>-6.6375940000000001E-4</v>
      </c>
      <c r="P14" s="3">
        <f t="shared" si="1"/>
        <v>0.44552335422400691</v>
      </c>
    </row>
    <row r="15" spans="1:16" x14ac:dyDescent="0.25">
      <c r="A15" s="3">
        <v>1E-3</v>
      </c>
      <c r="B15" s="3">
        <v>8.8590000000000004E-5</v>
      </c>
      <c r="C15" s="3">
        <v>2.399E-4</v>
      </c>
      <c r="D15" s="3">
        <v>-4.7199999999999998E-4</v>
      </c>
      <c r="E15" s="3">
        <v>0</v>
      </c>
      <c r="F15" s="3">
        <v>0</v>
      </c>
      <c r="G15" s="3">
        <v>0</v>
      </c>
      <c r="H15" s="3">
        <v>1.108326E-4</v>
      </c>
      <c r="I15" s="3">
        <v>2.6061202999999999E-5</v>
      </c>
      <c r="J15" s="3">
        <v>-2.4457222999999998E-4</v>
      </c>
      <c r="L15" s="3">
        <f t="shared" si="0"/>
        <v>0.1876906779661017</v>
      </c>
      <c r="M15" s="3"/>
      <c r="N15" s="2">
        <f>IF('Modell einstellen'!$B$1="Voll",H15/0.35,H15/0.35*2)</f>
        <v>3.1666457142857143E-4</v>
      </c>
      <c r="O15" s="2">
        <f>IF('Modell einstellen'!$B$1="Voll",J15/0.35,J15/0.35*2)</f>
        <v>-6.9877779999999998E-4</v>
      </c>
      <c r="P15" s="3">
        <f t="shared" si="1"/>
        <v>0.4531691925939425</v>
      </c>
    </row>
    <row r="16" spans="1:16" x14ac:dyDescent="0.25">
      <c r="A16" s="3">
        <v>0.01</v>
      </c>
      <c r="B16" s="3">
        <v>7.7550000000000001E-5</v>
      </c>
      <c r="C16" s="3">
        <v>2.5290000000000002E-4</v>
      </c>
      <c r="D16" s="3">
        <v>-4.7580000000000002E-4</v>
      </c>
      <c r="E16" s="3">
        <v>0</v>
      </c>
      <c r="F16" s="3">
        <v>0</v>
      </c>
      <c r="G16" s="3">
        <v>0</v>
      </c>
      <c r="H16" s="3">
        <v>1.2081008E-4</v>
      </c>
      <c r="I16" s="3">
        <v>2.7762136000000002E-5</v>
      </c>
      <c r="J16" s="3">
        <v>-2.6095114000000003E-4</v>
      </c>
      <c r="L16" s="3">
        <f t="shared" si="0"/>
        <v>0.16298865069356872</v>
      </c>
      <c r="M16" s="3"/>
      <c r="N16" s="2">
        <f>IF('Modell einstellen'!$B$1="Voll",H16/0.35,H16/0.35*2)</f>
        <v>3.4517165714285713E-4</v>
      </c>
      <c r="O16" s="2">
        <f>IF('Modell einstellen'!$B$1="Voll",J16/0.35,J16/0.35*2)</f>
        <v>-7.4557468571428585E-4</v>
      </c>
      <c r="P16" s="3">
        <f t="shared" si="1"/>
        <v>0.46296053736343123</v>
      </c>
    </row>
    <row r="17" spans="1:16" x14ac:dyDescent="0.25">
      <c r="A17" s="3">
        <v>0.1</v>
      </c>
      <c r="B17" s="3">
        <v>6.2310000000000005E-5</v>
      </c>
      <c r="C17" s="3">
        <v>2.6879999999999997E-4</v>
      </c>
      <c r="D17" s="3">
        <v>-4.7849999999999998E-4</v>
      </c>
      <c r="E17" s="3">
        <v>0</v>
      </c>
      <c r="F17" s="3">
        <v>0</v>
      </c>
      <c r="G17" s="3">
        <v>0</v>
      </c>
      <c r="H17" s="3">
        <v>1.332308E-4</v>
      </c>
      <c r="I17" s="3">
        <v>2.9897567E-5</v>
      </c>
      <c r="J17" s="3">
        <v>-2.8134463000000003E-4</v>
      </c>
      <c r="L17" s="3">
        <f t="shared" si="0"/>
        <v>0.13021943573667713</v>
      </c>
      <c r="M17" s="3"/>
      <c r="N17" s="2">
        <f>IF('Modell einstellen'!$B$1="Voll",H17/0.35,H17/0.35*2)</f>
        <v>3.8065942857142861E-4</v>
      </c>
      <c r="O17" s="2">
        <f>IF('Modell einstellen'!$B$1="Voll",J17/0.35,J17/0.35*2)</f>
        <v>-8.0384180000000007E-4</v>
      </c>
      <c r="P17" s="3">
        <f t="shared" si="1"/>
        <v>0.47355017936542809</v>
      </c>
    </row>
    <row r="18" spans="1:16" x14ac:dyDescent="0.25">
      <c r="A18" s="3">
        <v>1</v>
      </c>
      <c r="B18" s="3">
        <v>4.2880000000000003E-5</v>
      </c>
      <c r="C18" s="3">
        <v>2.967E-4</v>
      </c>
      <c r="D18" s="3">
        <v>-4.8840000000000005E-4</v>
      </c>
      <c r="E18" s="3">
        <v>0</v>
      </c>
      <c r="F18" s="3">
        <v>0</v>
      </c>
      <c r="G18" s="3">
        <v>0</v>
      </c>
      <c r="H18" s="3">
        <v>1.4999073E-4</v>
      </c>
      <c r="I18" s="3">
        <v>3.3660050999999999E-5</v>
      </c>
      <c r="J18" s="3">
        <v>-3.1175832E-4</v>
      </c>
      <c r="L18" s="3">
        <f t="shared" si="0"/>
        <v>8.7796887796887796E-2</v>
      </c>
      <c r="M18" s="3"/>
      <c r="N18" s="2">
        <f>IF('Modell einstellen'!$B$1="Voll",H18/0.35,H18/0.35*2)</f>
        <v>4.2854494285714289E-4</v>
      </c>
      <c r="O18" s="2">
        <f>IF('Modell einstellen'!$B$1="Voll",J18/0.35,J18/0.35*2)</f>
        <v>-8.9073805714285725E-4</v>
      </c>
      <c r="P18" s="3">
        <f t="shared" si="1"/>
        <v>0.48111219613962503</v>
      </c>
    </row>
    <row r="19" spans="1:16" x14ac:dyDescent="0.25">
      <c r="A19" s="3">
        <v>10</v>
      </c>
      <c r="B19" s="3">
        <v>1.7329999999999998E-5</v>
      </c>
      <c r="C19" s="3">
        <v>3.4769999999999999E-4</v>
      </c>
      <c r="D19" s="3">
        <v>-5.1420000000000003E-4</v>
      </c>
      <c r="E19" s="3">
        <v>0</v>
      </c>
      <c r="F19" s="3">
        <v>0</v>
      </c>
      <c r="G19" s="3">
        <v>0</v>
      </c>
      <c r="H19" s="3">
        <v>1.7306169E-4</v>
      </c>
      <c r="I19" s="3">
        <v>4.0666162999999999E-5</v>
      </c>
      <c r="J19" s="3">
        <v>-3.5984639E-4</v>
      </c>
      <c r="L19" s="3">
        <f t="shared" si="0"/>
        <v>3.3702839362115905E-2</v>
      </c>
      <c r="M19" s="3"/>
      <c r="N19" s="2">
        <f>IF('Modell einstellen'!$B$1="Voll",H19/0.35,H19/0.35*2)</f>
        <v>4.9446197142857145E-4</v>
      </c>
      <c r="O19" s="2">
        <f>IF('Modell einstellen'!$B$1="Voll",J19/0.35,J19/0.35*2)</f>
        <v>-1.0281325428571429E-3</v>
      </c>
      <c r="P19" s="3">
        <f t="shared" si="1"/>
        <v>0.48093212773372551</v>
      </c>
    </row>
    <row r="20" spans="1:16" x14ac:dyDescent="0.25">
      <c r="A20" s="3">
        <v>100</v>
      </c>
      <c r="B20" s="3">
        <v>-3.5200000000000002E-5</v>
      </c>
      <c r="C20" s="3">
        <v>4.2539999999999999E-4</v>
      </c>
      <c r="D20" s="3">
        <v>-5.3989999999999995E-4</v>
      </c>
      <c r="E20" s="3">
        <v>0</v>
      </c>
      <c r="F20" s="3">
        <v>0</v>
      </c>
      <c r="G20" s="3">
        <v>0</v>
      </c>
      <c r="H20" s="3">
        <v>2.089425E-4</v>
      </c>
      <c r="I20" s="3">
        <v>5.1793901000000002E-5</v>
      </c>
      <c r="J20" s="3">
        <v>-4.3569361000000002E-4</v>
      </c>
      <c r="L20" s="3">
        <f t="shared" si="0"/>
        <v>-6.5197258751620676E-2</v>
      </c>
      <c r="M20" s="3"/>
      <c r="N20" s="2">
        <f>IF('Modell einstellen'!$B$1="Voll",H20/0.35,H20/0.35*2)</f>
        <v>5.9697857142857141E-4</v>
      </c>
      <c r="O20" s="2">
        <f>IF('Modell einstellen'!$B$1="Voll",J20/0.35,J20/0.35*2)</f>
        <v>-1.2448388857142858E-3</v>
      </c>
      <c r="P20" s="3">
        <f t="shared" si="1"/>
        <v>0.47956292037425102</v>
      </c>
    </row>
    <row r="21" spans="1:16" x14ac:dyDescent="0.25">
      <c r="A21" s="3">
        <v>1000</v>
      </c>
      <c r="B21" s="3">
        <v>-1.6090000000000001E-4</v>
      </c>
      <c r="C21" s="3">
        <v>5.3359999999999996E-4</v>
      </c>
      <c r="D21" s="3">
        <v>-5.2459999999999996E-4</v>
      </c>
      <c r="E21" s="3">
        <v>0</v>
      </c>
      <c r="F21" s="3">
        <v>0</v>
      </c>
      <c r="G21" s="3">
        <v>0</v>
      </c>
      <c r="H21" s="3">
        <v>2.6897230999999998E-4</v>
      </c>
      <c r="I21" s="3">
        <v>6.8546564E-5</v>
      </c>
      <c r="J21" s="3">
        <v>-5.5636743000000001E-4</v>
      </c>
      <c r="L21" s="3">
        <f t="shared" si="0"/>
        <v>-0.30670987418985896</v>
      </c>
      <c r="M21" s="3"/>
      <c r="N21" s="2">
        <f>IF('Modell einstellen'!$B$1="Voll",H21/0.35,H21/0.35*2)</f>
        <v>7.6849231428571428E-4</v>
      </c>
      <c r="O21" s="2">
        <f>IF('Modell einstellen'!$B$1="Voll",J21/0.35,J21/0.35*2)</f>
        <v>-1.5896212285714288E-3</v>
      </c>
      <c r="P21" s="3">
        <f t="shared" si="1"/>
        <v>0.48344366599604865</v>
      </c>
    </row>
    <row r="22" spans="1:16" x14ac:dyDescent="0.25">
      <c r="A22" s="3">
        <v>10000</v>
      </c>
      <c r="B22" s="3">
        <v>-4.3780000000000002E-4</v>
      </c>
      <c r="C22" s="3">
        <v>6.9079999999999999E-4</v>
      </c>
      <c r="D22" s="3">
        <v>-4.08E-4</v>
      </c>
      <c r="E22" s="3">
        <v>0</v>
      </c>
      <c r="F22" s="3">
        <v>0</v>
      </c>
      <c r="G22" s="3">
        <v>0</v>
      </c>
      <c r="H22" s="3">
        <v>3.7311240000000002E-4</v>
      </c>
      <c r="I22" s="3">
        <v>9.4938605E-5</v>
      </c>
      <c r="J22" s="3">
        <v>-7.5648453000000003E-4</v>
      </c>
      <c r="L22" s="3">
        <f t="shared" si="0"/>
        <v>-1.0730392156862745</v>
      </c>
      <c r="M22" s="3"/>
      <c r="N22" s="2">
        <f>IF('Modell einstellen'!$B$1="Voll",H22/0.35,H22/0.35*2)</f>
        <v>1.0660354285714287E-3</v>
      </c>
      <c r="O22" s="2">
        <f>IF('Modell einstellen'!$B$1="Voll",J22/0.35,J22/0.35*2)</f>
        <v>-2.1613843714285716E-3</v>
      </c>
      <c r="P22" s="3">
        <f t="shared" si="1"/>
        <v>0.49321881043621607</v>
      </c>
    </row>
    <row r="23" spans="1:16" x14ac:dyDescent="0.25">
      <c r="A23" s="3">
        <v>100000</v>
      </c>
      <c r="B23" s="3">
        <v>-9.0779999999999995E-4</v>
      </c>
      <c r="C23" s="3">
        <v>8.9709999999999996E-4</v>
      </c>
      <c r="D23" s="3">
        <v>-1.473E-4</v>
      </c>
      <c r="E23" s="3">
        <v>0</v>
      </c>
      <c r="F23" s="3">
        <v>0</v>
      </c>
      <c r="G23" s="3">
        <v>0</v>
      </c>
      <c r="H23" s="3">
        <v>5.2578944999999997E-4</v>
      </c>
      <c r="I23" s="3">
        <v>1.3191381000000001E-4</v>
      </c>
      <c r="J23" s="3">
        <v>-1.0436381E-3</v>
      </c>
      <c r="L23" s="3">
        <f t="shared" si="0"/>
        <v>-6.1629327902240325</v>
      </c>
      <c r="M23" s="3"/>
      <c r="N23" s="2">
        <f>IF('Modell einstellen'!$B$1="Voll",H23/0.35,H23/0.35*2)</f>
        <v>1.5022555714285714E-3</v>
      </c>
      <c r="O23" s="2">
        <f>IF('Modell einstellen'!$B$1="Voll",J23/0.35,J23/0.35*2)</f>
        <v>-2.981823142857143E-3</v>
      </c>
      <c r="P23" s="3">
        <f t="shared" si="1"/>
        <v>0.50380438391430893</v>
      </c>
    </row>
    <row r="24" spans="1:16" x14ac:dyDescent="0.25">
      <c r="A24" s="3">
        <v>1000000</v>
      </c>
      <c r="B24" s="3">
        <v>-1.567E-3</v>
      </c>
      <c r="C24" s="3">
        <v>1.1479999999999999E-3</v>
      </c>
      <c r="D24" s="3">
        <v>2.5989999999999997E-4</v>
      </c>
      <c r="E24" s="3">
        <v>0</v>
      </c>
      <c r="F24" s="3">
        <v>0</v>
      </c>
      <c r="G24" s="3">
        <v>0</v>
      </c>
      <c r="H24" s="3">
        <v>7.2353084000000001E-4</v>
      </c>
      <c r="I24" s="3">
        <v>1.7882339999999999E-4</v>
      </c>
      <c r="J24" s="3">
        <v>-1.4117285000000001E-3</v>
      </c>
      <c r="L24" s="3">
        <f t="shared" si="0"/>
        <v>6.0292420161600626</v>
      </c>
      <c r="M24" s="3"/>
      <c r="N24" s="2">
        <f>IF('Modell einstellen'!$B$1="Voll",H24/0.35,H24/0.35*2)</f>
        <v>2.0672309714285715E-3</v>
      </c>
      <c r="O24" s="2">
        <f>IF('Modell einstellen'!$B$1="Voll",J24/0.35,J24/0.35*2)</f>
        <v>-4.0335100000000006E-3</v>
      </c>
      <c r="P24" s="3">
        <f t="shared" si="1"/>
        <v>0.51251415551928003</v>
      </c>
    </row>
    <row r="25" spans="1:16" x14ac:dyDescent="0.25">
      <c r="A25" s="3">
        <v>10000000</v>
      </c>
      <c r="B25" s="3">
        <v>-2.1259999999999999E-3</v>
      </c>
      <c r="C25" s="3">
        <v>1.3569999999999999E-3</v>
      </c>
      <c r="D25" s="3">
        <v>6.0829999999999999E-4</v>
      </c>
      <c r="E25" s="3">
        <v>0</v>
      </c>
      <c r="F25" s="3">
        <v>0</v>
      </c>
      <c r="G25" s="3">
        <v>0</v>
      </c>
      <c r="H25" s="3">
        <v>8.8416636999999996E-4</v>
      </c>
      <c r="I25" s="3">
        <v>2.1881772E-4</v>
      </c>
      <c r="J25" s="3">
        <v>-1.7172447E-3</v>
      </c>
      <c r="L25" s="3">
        <f t="shared" si="0"/>
        <v>3.494986026631596</v>
      </c>
      <c r="M25" s="3"/>
      <c r="N25" s="2">
        <f>IF('Modell einstellen'!$B$1="Voll",H25/0.35,H25/0.35*2)</f>
        <v>2.5261896285714287E-3</v>
      </c>
      <c r="O25" s="2">
        <f>IF('Modell einstellen'!$B$1="Voll",J25/0.35,J25/0.35*2)</f>
        <v>-4.9064134285714284E-3</v>
      </c>
      <c r="P25" s="3">
        <f t="shared" si="1"/>
        <v>0.5148750029625947</v>
      </c>
    </row>
    <row r="26" spans="1:16" x14ac:dyDescent="0.25">
      <c r="A26" s="3">
        <v>100000000</v>
      </c>
      <c r="B26" s="3">
        <v>-2.552E-3</v>
      </c>
      <c r="C26" s="3">
        <v>1.518E-3</v>
      </c>
      <c r="D26" s="3">
        <v>8.7230000000000001E-4</v>
      </c>
      <c r="E26" s="3">
        <v>0</v>
      </c>
      <c r="F26" s="3">
        <v>0</v>
      </c>
      <c r="G26" s="3">
        <v>0</v>
      </c>
      <c r="H26" s="3">
        <v>1.0046841000000001E-3</v>
      </c>
      <c r="I26" s="3">
        <v>2.4987426000000002E-4</v>
      </c>
      <c r="J26" s="3">
        <v>-1.950065E-3</v>
      </c>
      <c r="L26" s="3">
        <f t="shared" si="0"/>
        <v>2.9255989911727616</v>
      </c>
      <c r="M26" s="3"/>
      <c r="N26" s="2">
        <f>IF('Modell einstellen'!$B$1="Voll",H26/0.35,H26/0.35*2)</f>
        <v>2.8705260000000004E-3</v>
      </c>
      <c r="O26" s="2">
        <f>IF('Modell einstellen'!$B$1="Voll",J26/0.35,J26/0.35*2)</f>
        <v>-5.5716142857142863E-3</v>
      </c>
      <c r="P26" s="3">
        <f t="shared" si="1"/>
        <v>0.51520544186988637</v>
      </c>
    </row>
    <row r="27" spans="1:16" x14ac:dyDescent="0.25">
      <c r="A27" s="3">
        <v>1000000000</v>
      </c>
      <c r="B27" s="3">
        <v>-2.7759999999999998E-3</v>
      </c>
      <c r="C27" s="3">
        <v>1.611E-3</v>
      </c>
      <c r="D27" s="3">
        <v>1.0039999999999999E-3</v>
      </c>
      <c r="E27" s="3">
        <v>0</v>
      </c>
      <c r="F27" s="3">
        <v>0</v>
      </c>
      <c r="G27" s="3">
        <v>0</v>
      </c>
      <c r="H27" s="3">
        <v>1.0682655000000001E-3</v>
      </c>
      <c r="I27" s="3">
        <v>2.6783471999999999E-4</v>
      </c>
      <c r="J27" s="3">
        <v>-2.0785166000000001E-3</v>
      </c>
      <c r="L27" s="3">
        <f t="shared" si="0"/>
        <v>2.7649402390438249</v>
      </c>
      <c r="M27" s="3"/>
      <c r="N27" s="2">
        <f>IF('Modell einstellen'!$B$1="Voll",H27/0.35,H27/0.35*2)</f>
        <v>3.0521871428571433E-3</v>
      </c>
      <c r="O27" s="2">
        <f>IF('Modell einstellen'!$B$1="Voll",J27/0.35,J27/0.35*2)</f>
        <v>-5.9386188571428581E-3</v>
      </c>
      <c r="P27" s="3">
        <f t="shared" si="1"/>
        <v>0.5139557220760228</v>
      </c>
    </row>
    <row r="28" spans="1:16" x14ac:dyDescent="0.25">
      <c r="A28" s="3">
        <v>10000000000</v>
      </c>
      <c r="B28" s="3">
        <v>-2.967E-3</v>
      </c>
      <c r="C28" s="3">
        <v>1.686E-3</v>
      </c>
      <c r="D28" s="3">
        <v>1.1199999999999999E-3</v>
      </c>
      <c r="E28" s="3">
        <v>0</v>
      </c>
      <c r="F28" s="3">
        <v>0</v>
      </c>
      <c r="G28" s="3">
        <v>0</v>
      </c>
      <c r="H28" s="3">
        <v>1.1234081E-3</v>
      </c>
      <c r="I28" s="3">
        <v>2.8241192E-4</v>
      </c>
      <c r="J28" s="3">
        <v>-2.1862642999999999E-3</v>
      </c>
      <c r="L28" s="3">
        <f t="shared" si="0"/>
        <v>2.6491071428571433</v>
      </c>
      <c r="M28" s="3"/>
      <c r="N28" s="2">
        <f>IF('Modell einstellen'!$B$1="Voll",H28/0.35,H28/0.35*2)</f>
        <v>3.209737428571429E-3</v>
      </c>
      <c r="O28" s="2">
        <f>IF('Modell einstellen'!$B$1="Voll",J28/0.35,J28/0.35*2)</f>
        <v>-6.2464694285714285E-3</v>
      </c>
      <c r="P28" s="3">
        <f t="shared" si="1"/>
        <v>0.5138482570474211</v>
      </c>
    </row>
    <row r="29" spans="1:16" x14ac:dyDescent="0.25">
      <c r="A29" s="3">
        <v>100000000000</v>
      </c>
      <c r="B29" s="3">
        <v>-3.0569999999999998E-3</v>
      </c>
      <c r="C29" s="3">
        <v>1.694E-3</v>
      </c>
      <c r="D29" s="3">
        <v>1.2019999999999999E-3</v>
      </c>
      <c r="E29" s="3">
        <v>0</v>
      </c>
      <c r="F29" s="3">
        <v>0</v>
      </c>
      <c r="G29" s="3">
        <v>0</v>
      </c>
      <c r="H29" s="3">
        <v>1.1559795999999999E-3</v>
      </c>
      <c r="I29" s="3">
        <v>2.8422707000000001E-4</v>
      </c>
      <c r="J29" s="3">
        <v>-2.2253317999999999E-3</v>
      </c>
      <c r="L29" s="3">
        <f t="shared" si="0"/>
        <v>2.543261231281198</v>
      </c>
      <c r="M29" s="3"/>
      <c r="N29" s="2">
        <f>IF('Modell einstellen'!$B$1="Voll",H29/0.35,H29/0.35*2)</f>
        <v>3.3027988571428571E-3</v>
      </c>
      <c r="O29" s="2">
        <f>IF('Modell einstellen'!$B$1="Voll",J29/0.35,J29/0.35*2)</f>
        <v>-6.358090857142857E-3</v>
      </c>
      <c r="P29" s="3">
        <f t="shared" si="1"/>
        <v>0.51946392892960958</v>
      </c>
    </row>
    <row r="30" spans="1:16" x14ac:dyDescent="0.25">
      <c r="A30" s="3">
        <v>1000000000000</v>
      </c>
      <c r="B30" s="3">
        <v>-3.192E-3</v>
      </c>
      <c r="C30" s="3">
        <v>1.7719999999999999E-3</v>
      </c>
      <c r="D30" s="3">
        <v>1.258E-3</v>
      </c>
      <c r="E30" s="3">
        <v>0</v>
      </c>
      <c r="F30" s="3">
        <v>0</v>
      </c>
      <c r="G30" s="3">
        <v>0</v>
      </c>
      <c r="H30" s="3">
        <v>1.1889868E-3</v>
      </c>
      <c r="I30" s="3">
        <v>2.9928925999999999E-4</v>
      </c>
      <c r="J30" s="3">
        <v>-2.3126840000000002E-3</v>
      </c>
      <c r="L30" s="3">
        <f t="shared" si="0"/>
        <v>2.5373608903020668</v>
      </c>
      <c r="M30" s="3"/>
      <c r="N30" s="2">
        <f>IF('Modell einstellen'!$B$1="Voll",H30/0.35,H30/0.35*2)</f>
        <v>3.3971051428571429E-3</v>
      </c>
      <c r="O30" s="2">
        <f>IF('Modell einstellen'!$B$1="Voll",J30/0.35,J30/0.35*2)</f>
        <v>-6.6076685714285726E-3</v>
      </c>
      <c r="P30" s="3">
        <f t="shared" si="1"/>
        <v>0.5141155471305201</v>
      </c>
    </row>
    <row r="31" spans="1:16" x14ac:dyDescent="0.25">
      <c r="A31" s="3">
        <v>10000000000000</v>
      </c>
      <c r="B31" s="3">
        <v>-3.3730000000000001E-3</v>
      </c>
      <c r="C31" s="3">
        <v>1.836E-3</v>
      </c>
      <c r="D31" s="3">
        <v>1.3760000000000001E-3</v>
      </c>
      <c r="E31" s="3">
        <v>0</v>
      </c>
      <c r="F31" s="3">
        <v>0</v>
      </c>
      <c r="G31" s="3">
        <v>0</v>
      </c>
      <c r="H31" s="3">
        <v>1.2423511999999999E-3</v>
      </c>
      <c r="I31" s="3">
        <v>3.1186852000000001E-4</v>
      </c>
      <c r="J31" s="3">
        <v>-2.4113423E-3</v>
      </c>
      <c r="L31" s="3">
        <f t="shared" si="0"/>
        <v>2.4513081395348837</v>
      </c>
      <c r="M31" s="3"/>
      <c r="N31" s="2">
        <f>IF('Modell einstellen'!$B$1="Voll",H31/0.35,H31/0.35*2)</f>
        <v>3.5495748571428569E-3</v>
      </c>
      <c r="O31" s="2">
        <f>IF('Modell einstellen'!$B$1="Voll",J31/0.35,J31/0.35*2)</f>
        <v>-6.8895494285714292E-3</v>
      </c>
      <c r="P31" s="3">
        <f t="shared" si="1"/>
        <v>0.51521146541492668</v>
      </c>
    </row>
    <row r="32" spans="1:16" x14ac:dyDescent="0.25">
      <c r="A32" s="3">
        <v>100000000000000</v>
      </c>
      <c r="B32" s="3">
        <v>-3.4039999999999999E-3</v>
      </c>
      <c r="C32" s="3">
        <v>1.8400000000000001E-3</v>
      </c>
      <c r="D32" s="3">
        <v>1.403E-3</v>
      </c>
      <c r="E32" s="3">
        <v>0</v>
      </c>
      <c r="F32" s="3">
        <v>0</v>
      </c>
      <c r="G32" s="3">
        <v>0</v>
      </c>
      <c r="H32" s="3">
        <v>1.2533123E-3</v>
      </c>
      <c r="I32" s="3">
        <v>3.1282346E-4</v>
      </c>
      <c r="J32" s="3">
        <v>-2.4257110000000001E-3</v>
      </c>
      <c r="L32" s="3">
        <f t="shared" si="0"/>
        <v>2.4262295081967213</v>
      </c>
      <c r="M32" s="3"/>
      <c r="N32" s="2">
        <f>IF('Modell einstellen'!$B$1="Voll",H32/0.35,H32/0.35*2)</f>
        <v>3.580892285714286E-3</v>
      </c>
      <c r="O32" s="2">
        <f>IF('Modell einstellen'!$B$1="Voll",J32/0.35,J32/0.35*2)</f>
        <v>-6.9306028571428577E-3</v>
      </c>
      <c r="P32" s="3">
        <f t="shared" si="1"/>
        <v>0.51667832647829848</v>
      </c>
    </row>
    <row r="33" spans="1:16" x14ac:dyDescent="0.25">
      <c r="A33" s="3">
        <v>1000000000000000</v>
      </c>
      <c r="B33" s="3">
        <v>-3.4060000000000002E-3</v>
      </c>
      <c r="C33" s="3">
        <v>1.843E-3</v>
      </c>
      <c r="D33" s="3">
        <v>1.402E-3</v>
      </c>
      <c r="E33" s="3">
        <v>0</v>
      </c>
      <c r="F33" s="3">
        <v>0</v>
      </c>
      <c r="G33" s="3">
        <v>0</v>
      </c>
      <c r="H33" s="3">
        <v>1.2532718000000001E-3</v>
      </c>
      <c r="I33" s="3">
        <v>3.1331966000000002E-4</v>
      </c>
      <c r="J33" s="3">
        <v>-2.4274638999999998E-3</v>
      </c>
      <c r="L33" s="3">
        <f t="shared" si="0"/>
        <v>2.4293865905848788</v>
      </c>
      <c r="M33" s="3"/>
      <c r="N33" s="2">
        <f>IF('Modell einstellen'!$B$1="Voll",H33/0.35,H33/0.35*2)</f>
        <v>3.5807765714285719E-3</v>
      </c>
      <c r="O33" s="2">
        <f>IF('Modell einstellen'!$B$1="Voll",J33/0.35,J33/0.35*2)</f>
        <v>-6.9356111428571432E-3</v>
      </c>
      <c r="P33" s="3">
        <f t="shared" si="1"/>
        <v>0.5162885429521733</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1.103E-4</v>
      </c>
      <c r="C3" s="3">
        <v>1.595E-4</v>
      </c>
      <c r="D3" s="3">
        <v>-4.0099999999999999E-4</v>
      </c>
      <c r="E3" s="3">
        <v>0</v>
      </c>
      <c r="F3" s="3">
        <v>0</v>
      </c>
      <c r="G3" s="3">
        <v>0</v>
      </c>
      <c r="H3" s="3">
        <v>6.2444491000000004E-5</v>
      </c>
      <c r="I3" s="3">
        <v>1.6326941999999999E-5</v>
      </c>
      <c r="J3" s="3">
        <v>-1.5949523000000001E-4</v>
      </c>
      <c r="L3" s="3">
        <f>-B3/D3</f>
        <v>0.27506234413965086</v>
      </c>
      <c r="M3" s="3"/>
      <c r="N3" s="2">
        <f>IF('Modell einstellen'!$B$1="Voll",H3/0.35,H3/0.35*2)</f>
        <v>1.7841283142857144E-4</v>
      </c>
      <c r="O3" s="2">
        <f>IF('Modell einstellen'!$B$1="Voll",J3/0.35,J3/0.35*2)</f>
        <v>-4.5570065714285718E-4</v>
      </c>
      <c r="P3" s="3">
        <f>-N3/O3</f>
        <v>0.39151321954894824</v>
      </c>
    </row>
    <row r="4" spans="1:16" x14ac:dyDescent="0.25">
      <c r="A4" s="3">
        <v>1E-14</v>
      </c>
      <c r="B4" s="3">
        <v>1.114E-4</v>
      </c>
      <c r="C4" s="3">
        <v>1.6689999999999999E-4</v>
      </c>
      <c r="D4" s="3">
        <v>-4.1060000000000001E-4</v>
      </c>
      <c r="E4" s="3">
        <v>0</v>
      </c>
      <c r="F4" s="3">
        <v>0</v>
      </c>
      <c r="G4" s="3">
        <v>0</v>
      </c>
      <c r="H4" s="3">
        <v>6.6046517000000005E-5</v>
      </c>
      <c r="I4" s="3">
        <v>1.7168305999999999E-5</v>
      </c>
      <c r="J4" s="3">
        <v>-1.6625831999999999E-4</v>
      </c>
      <c r="L4" s="3">
        <f t="shared" ref="L4:L33" si="0">-B4/D4</f>
        <v>0.2713102776424744</v>
      </c>
      <c r="M4" s="3"/>
      <c r="N4" s="2">
        <f>IF('Modell einstellen'!$B$1="Voll",H4/0.35,H4/0.35*2)</f>
        <v>1.887043342857143E-4</v>
      </c>
      <c r="O4" s="2">
        <f>IF('Modell einstellen'!$B$1="Voll",J4/0.35,J4/0.35*2)</f>
        <v>-4.7502377142857145E-4</v>
      </c>
      <c r="P4" s="3">
        <f t="shared" ref="P4:P33" si="1">-N4/O4</f>
        <v>0.39725240216549768</v>
      </c>
    </row>
    <row r="5" spans="1:16" x14ac:dyDescent="0.25">
      <c r="A5" s="3">
        <v>1E-13</v>
      </c>
      <c r="B5" s="3">
        <v>1.12E-4</v>
      </c>
      <c r="C5" s="3">
        <v>1.7459999999999999E-4</v>
      </c>
      <c r="D5" s="3">
        <v>-4.2000000000000002E-4</v>
      </c>
      <c r="E5" s="3">
        <v>0</v>
      </c>
      <c r="F5" s="3">
        <v>0</v>
      </c>
      <c r="G5" s="3">
        <v>0</v>
      </c>
      <c r="H5" s="3">
        <v>6.9909023999999997E-5</v>
      </c>
      <c r="I5" s="3">
        <v>1.8051369E-5</v>
      </c>
      <c r="J5" s="3">
        <v>-1.7344259E-4</v>
      </c>
      <c r="L5" s="3">
        <f t="shared" si="0"/>
        <v>0.26666666666666666</v>
      </c>
      <c r="M5" s="3"/>
      <c r="N5" s="2">
        <f>IF('Modell einstellen'!$B$1="Voll",H5/0.35,H5/0.35*2)</f>
        <v>1.9974006857142857E-4</v>
      </c>
      <c r="O5" s="2">
        <f>IF('Modell einstellen'!$B$1="Voll",J5/0.35,J5/0.35*2)</f>
        <v>-4.9555025714285712E-4</v>
      </c>
      <c r="P5" s="3">
        <f t="shared" si="1"/>
        <v>0.40306722818195923</v>
      </c>
    </row>
    <row r="6" spans="1:16" x14ac:dyDescent="0.25">
      <c r="A6" s="3">
        <v>9.9999999999999998E-13</v>
      </c>
      <c r="B6" s="3">
        <v>1.12E-4</v>
      </c>
      <c r="C6" s="3">
        <v>1.8369999999999999E-4</v>
      </c>
      <c r="D6" s="3">
        <v>-4.305E-4</v>
      </c>
      <c r="E6" s="3">
        <v>0</v>
      </c>
      <c r="F6" s="3">
        <v>0</v>
      </c>
      <c r="G6" s="3">
        <v>0</v>
      </c>
      <c r="H6" s="3">
        <v>7.4676175000000007E-5</v>
      </c>
      <c r="I6" s="3">
        <v>1.9114200000000001E-5</v>
      </c>
      <c r="J6" s="3">
        <v>-1.8220595000000001E-4</v>
      </c>
      <c r="L6" s="3">
        <f t="shared" si="0"/>
        <v>0.26016260162601623</v>
      </c>
      <c r="M6" s="3"/>
      <c r="N6" s="2">
        <f>IF('Modell einstellen'!$B$1="Voll",H6/0.35,H6/0.35*2)</f>
        <v>2.1336050000000004E-4</v>
      </c>
      <c r="O6" s="2">
        <f>IF('Modell einstellen'!$B$1="Voll",J6/0.35,J6/0.35*2)</f>
        <v>-5.2058842857142867E-4</v>
      </c>
      <c r="P6" s="3">
        <f t="shared" si="1"/>
        <v>0.4098448760866481</v>
      </c>
    </row>
    <row r="7" spans="1:16" x14ac:dyDescent="0.25">
      <c r="A7" s="3">
        <v>9.9999999999999994E-12</v>
      </c>
      <c r="B7" s="3">
        <v>1.111E-4</v>
      </c>
      <c r="C7" s="3">
        <v>1.93E-4</v>
      </c>
      <c r="D7" s="3">
        <v>-4.4030000000000002E-4</v>
      </c>
      <c r="E7" s="3">
        <v>0</v>
      </c>
      <c r="F7" s="3">
        <v>0</v>
      </c>
      <c r="G7" s="3">
        <v>0</v>
      </c>
      <c r="H7" s="3">
        <v>7.9778361000000002E-5</v>
      </c>
      <c r="I7" s="3">
        <v>2.0217951000000001E-5</v>
      </c>
      <c r="J7" s="3">
        <v>-1.9145651999999999E-4</v>
      </c>
      <c r="L7" s="3">
        <f t="shared" si="0"/>
        <v>0.25232795821031112</v>
      </c>
      <c r="M7" s="3"/>
      <c r="N7" s="2">
        <f>IF('Modell einstellen'!$B$1="Voll",H7/0.35,H7/0.35*2)</f>
        <v>2.2793817428571432E-4</v>
      </c>
      <c r="O7" s="2">
        <f>IF('Modell einstellen'!$B$1="Voll",J7/0.35,J7/0.35*2)</f>
        <v>-5.4701862857142855E-4</v>
      </c>
      <c r="P7" s="3">
        <f t="shared" si="1"/>
        <v>0.41669179508746956</v>
      </c>
    </row>
    <row r="8" spans="1:16" x14ac:dyDescent="0.25">
      <c r="A8" s="3">
        <v>1E-10</v>
      </c>
      <c r="B8" s="3">
        <v>1.0950000000000001E-4</v>
      </c>
      <c r="C8" s="3">
        <v>2.009E-4</v>
      </c>
      <c r="D8" s="3">
        <v>-4.4779999999999999E-4</v>
      </c>
      <c r="E8" s="3">
        <v>0</v>
      </c>
      <c r="F8" s="3">
        <v>0</v>
      </c>
      <c r="G8" s="3">
        <v>0</v>
      </c>
      <c r="H8" s="3">
        <v>8.4287397000000001E-5</v>
      </c>
      <c r="I8" s="3">
        <v>2.1164523999999999E-5</v>
      </c>
      <c r="J8" s="3">
        <v>-1.9952225E-4</v>
      </c>
      <c r="L8" s="3">
        <f t="shared" si="0"/>
        <v>0.24452880750334974</v>
      </c>
      <c r="M8" s="3"/>
      <c r="N8" s="2">
        <f>IF('Modell einstellen'!$B$1="Voll",H8/0.35,H8/0.35*2)</f>
        <v>2.4082113428571431E-4</v>
      </c>
      <c r="O8" s="2">
        <f>IF('Modell einstellen'!$B$1="Voll",J8/0.35,J8/0.35*2)</f>
        <v>-5.7006357142857145E-4</v>
      </c>
      <c r="P8" s="3">
        <f t="shared" si="1"/>
        <v>0.42244610312884906</v>
      </c>
    </row>
    <row r="9" spans="1:16" x14ac:dyDescent="0.25">
      <c r="A9" s="3">
        <v>1.0000000000000001E-9</v>
      </c>
      <c r="B9" s="3">
        <v>1.072E-4</v>
      </c>
      <c r="C9" s="3">
        <v>2.0929999999999999E-4</v>
      </c>
      <c r="D9" s="3">
        <v>-4.55E-4</v>
      </c>
      <c r="E9" s="3">
        <v>0</v>
      </c>
      <c r="F9" s="3">
        <v>0</v>
      </c>
      <c r="G9" s="3">
        <v>0</v>
      </c>
      <c r="H9" s="3">
        <v>8.9255874000000003E-5</v>
      </c>
      <c r="I9" s="3">
        <v>2.2180876000000001E-5</v>
      </c>
      <c r="J9" s="3">
        <v>-2.0830976999999999E-4</v>
      </c>
      <c r="L9" s="3">
        <f t="shared" si="0"/>
        <v>0.23560439560439561</v>
      </c>
      <c r="M9" s="3"/>
      <c r="N9" s="2">
        <f>IF('Modell einstellen'!$B$1="Voll",H9/0.35,H9/0.35*2)</f>
        <v>2.5501678285714288E-4</v>
      </c>
      <c r="O9" s="2">
        <f>IF('Modell einstellen'!$B$1="Voll",J9/0.35,J9/0.35*2)</f>
        <v>-5.9517077142857142E-4</v>
      </c>
      <c r="P9" s="3">
        <f t="shared" si="1"/>
        <v>0.42847665762388393</v>
      </c>
    </row>
    <row r="10" spans="1:16" x14ac:dyDescent="0.25">
      <c r="A10" s="3">
        <v>1E-8</v>
      </c>
      <c r="B10" s="3">
        <v>1.0399999999999999E-4</v>
      </c>
      <c r="C10" s="3">
        <v>2.1770000000000001E-4</v>
      </c>
      <c r="D10" s="3">
        <v>-4.615E-4</v>
      </c>
      <c r="E10" s="3">
        <v>0</v>
      </c>
      <c r="F10" s="3">
        <v>0</v>
      </c>
      <c r="G10" s="3">
        <v>0</v>
      </c>
      <c r="H10" s="3">
        <v>9.4506358999999995E-5</v>
      </c>
      <c r="I10" s="3">
        <v>2.3222131000000001E-5</v>
      </c>
      <c r="J10" s="3">
        <v>-2.1747271999999999E-4</v>
      </c>
      <c r="L10" s="3">
        <f t="shared" si="0"/>
        <v>0.22535211267605632</v>
      </c>
      <c r="M10" s="3"/>
      <c r="N10" s="2">
        <f>IF('Modell einstellen'!$B$1="Voll",H10/0.35,H10/0.35*2)</f>
        <v>2.7001816857142859E-4</v>
      </c>
      <c r="O10" s="2">
        <f>IF('Modell einstellen'!$B$1="Voll",J10/0.35,J10/0.35*2)</f>
        <v>-6.2135062857142864E-4</v>
      </c>
      <c r="P10" s="3">
        <f t="shared" si="1"/>
        <v>0.43456650103056604</v>
      </c>
    </row>
    <row r="11" spans="1:16" x14ac:dyDescent="0.25">
      <c r="A11" s="3">
        <v>9.9999999999999995E-8</v>
      </c>
      <c r="B11" s="3">
        <v>9.9469999999999995E-5</v>
      </c>
      <c r="C11" s="3">
        <v>2.2709999999999999E-4</v>
      </c>
      <c r="D11" s="3">
        <v>-4.6769999999999998E-4</v>
      </c>
      <c r="E11" s="3">
        <v>0</v>
      </c>
      <c r="F11" s="3">
        <v>0</v>
      </c>
      <c r="G11" s="3">
        <v>0</v>
      </c>
      <c r="H11" s="3">
        <v>1.0066229E-4</v>
      </c>
      <c r="I11" s="3">
        <v>2.4403290999999999E-5</v>
      </c>
      <c r="J11" s="3">
        <v>-2.2806709999999999E-4</v>
      </c>
      <c r="L11" s="3">
        <f t="shared" si="0"/>
        <v>0.21267906777849049</v>
      </c>
      <c r="M11" s="3"/>
      <c r="N11" s="2">
        <f>IF('Modell einstellen'!$B$1="Voll",H11/0.35,H11/0.35*2)</f>
        <v>2.8760654285714285E-4</v>
      </c>
      <c r="O11" s="2">
        <f>IF('Modell einstellen'!$B$1="Voll",J11/0.35,J11/0.35*2)</f>
        <v>-6.5162028571428578E-4</v>
      </c>
      <c r="P11" s="3">
        <f t="shared" si="1"/>
        <v>0.44137137710787738</v>
      </c>
    </row>
    <row r="12" spans="1:16" x14ac:dyDescent="0.25">
      <c r="A12" s="3">
        <v>9.9999999999999995E-7</v>
      </c>
      <c r="B12" s="3">
        <v>9.3839999999999996E-5</v>
      </c>
      <c r="C12" s="3">
        <v>2.363E-4</v>
      </c>
      <c r="D12" s="3">
        <v>-4.7249999999999999E-4</v>
      </c>
      <c r="E12" s="3">
        <v>0</v>
      </c>
      <c r="F12" s="3">
        <v>0</v>
      </c>
      <c r="G12" s="3">
        <v>0</v>
      </c>
      <c r="H12" s="3">
        <v>1.0698536E-4</v>
      </c>
      <c r="I12" s="3">
        <v>2.5570647000000001E-5</v>
      </c>
      <c r="J12" s="3">
        <v>-2.3877685E-4</v>
      </c>
      <c r="L12" s="3">
        <f t="shared" si="0"/>
        <v>0.19860317460317459</v>
      </c>
      <c r="M12" s="3"/>
      <c r="N12" s="2">
        <f>IF('Modell einstellen'!$B$1="Voll",H12/0.35,H12/0.35*2)</f>
        <v>3.056724571428572E-4</v>
      </c>
      <c r="O12" s="2">
        <f>IF('Modell einstellen'!$B$1="Voll",J12/0.35,J12/0.35*2)</f>
        <v>-6.8221957142857142E-4</v>
      </c>
      <c r="P12" s="3">
        <f t="shared" si="1"/>
        <v>0.4480558312080925</v>
      </c>
    </row>
    <row r="13" spans="1:16" x14ac:dyDescent="0.25">
      <c r="A13" s="3">
        <v>1.0000000000000001E-5</v>
      </c>
      <c r="B13" s="3">
        <v>8.4580000000000007E-5</v>
      </c>
      <c r="C13" s="3">
        <v>2.4850000000000002E-4</v>
      </c>
      <c r="D13" s="3">
        <v>-4.773E-4</v>
      </c>
      <c r="E13" s="3">
        <v>0</v>
      </c>
      <c r="F13" s="3">
        <v>0</v>
      </c>
      <c r="G13" s="3">
        <v>0</v>
      </c>
      <c r="H13" s="3">
        <v>1.1596888000000001E-4</v>
      </c>
      <c r="I13" s="3">
        <v>2.7162527999999999E-5</v>
      </c>
      <c r="J13" s="3">
        <v>-2.5374354000000002E-4</v>
      </c>
      <c r="L13" s="3">
        <f t="shared" si="0"/>
        <v>0.17720511208883302</v>
      </c>
      <c r="M13" s="3"/>
      <c r="N13" s="2">
        <f>IF('Modell einstellen'!$B$1="Voll",H13/0.35,H13/0.35*2)</f>
        <v>3.3133965714285716E-4</v>
      </c>
      <c r="O13" s="2">
        <f>IF('Modell einstellen'!$B$1="Voll",J13/0.35,J13/0.35*2)</f>
        <v>-7.24981542857143E-4</v>
      </c>
      <c r="P13" s="3">
        <f t="shared" si="1"/>
        <v>0.45703185192419077</v>
      </c>
    </row>
    <row r="14" spans="1:16" x14ac:dyDescent="0.25">
      <c r="A14" s="3">
        <v>1E-4</v>
      </c>
      <c r="B14" s="3">
        <v>7.1359999999999994E-5</v>
      </c>
      <c r="C14" s="3">
        <v>2.6219999999999998E-4</v>
      </c>
      <c r="D14" s="3">
        <v>-4.797E-4</v>
      </c>
      <c r="E14" s="3">
        <v>0</v>
      </c>
      <c r="F14" s="3">
        <v>0</v>
      </c>
      <c r="G14" s="3">
        <v>0</v>
      </c>
      <c r="H14" s="3">
        <v>1.2684615000000001E-4</v>
      </c>
      <c r="I14" s="3">
        <v>2.8977692E-5</v>
      </c>
      <c r="J14" s="3">
        <v>-2.7144393999999999E-4</v>
      </c>
      <c r="L14" s="3">
        <f t="shared" si="0"/>
        <v>0.14875964144256826</v>
      </c>
      <c r="M14" s="3"/>
      <c r="N14" s="2">
        <f>IF('Modell einstellen'!$B$1="Voll",H14/0.35,H14/0.35*2)</f>
        <v>3.6241757142857148E-4</v>
      </c>
      <c r="O14" s="2">
        <f>IF('Modell einstellen'!$B$1="Voll",J14/0.35,J14/0.35*2)</f>
        <v>-7.7555411428571427E-4</v>
      </c>
      <c r="P14" s="3">
        <f t="shared" si="1"/>
        <v>0.46730146195195965</v>
      </c>
    </row>
    <row r="15" spans="1:16" x14ac:dyDescent="0.25">
      <c r="A15" s="3">
        <v>1E-3</v>
      </c>
      <c r="B15" s="3">
        <v>5.0529999999999999E-5</v>
      </c>
      <c r="C15" s="3">
        <v>2.7920000000000001E-4</v>
      </c>
      <c r="D15" s="3">
        <v>-4.7830000000000003E-4</v>
      </c>
      <c r="E15" s="3">
        <v>0</v>
      </c>
      <c r="F15" s="3">
        <v>0</v>
      </c>
      <c r="G15" s="3">
        <v>0</v>
      </c>
      <c r="H15" s="3">
        <v>1.4174869999999999E-4</v>
      </c>
      <c r="I15" s="3">
        <v>3.1301823999999998E-5</v>
      </c>
      <c r="J15" s="3">
        <v>-2.9508223000000001E-4</v>
      </c>
      <c r="L15" s="3">
        <f t="shared" si="0"/>
        <v>0.10564499268241688</v>
      </c>
      <c r="M15" s="3"/>
      <c r="N15" s="2">
        <f>IF('Modell einstellen'!$B$1="Voll",H15/0.35,H15/0.35*2)</f>
        <v>4.049962857142857E-4</v>
      </c>
      <c r="O15" s="2">
        <f>IF('Modell einstellen'!$B$1="Voll",J15/0.35,J15/0.35*2)</f>
        <v>-8.4309208571428575E-4</v>
      </c>
      <c r="P15" s="3">
        <f t="shared" si="1"/>
        <v>0.48037016664812376</v>
      </c>
    </row>
    <row r="16" spans="1:16" x14ac:dyDescent="0.25">
      <c r="A16" s="3">
        <v>0.01</v>
      </c>
      <c r="B16" s="3">
        <v>1.7790000000000001E-5</v>
      </c>
      <c r="C16" s="3">
        <v>3.0049999999999999E-4</v>
      </c>
      <c r="D16" s="3">
        <v>-4.6979999999999998E-4</v>
      </c>
      <c r="E16" s="3">
        <v>0</v>
      </c>
      <c r="F16" s="3">
        <v>0</v>
      </c>
      <c r="G16" s="3">
        <v>0</v>
      </c>
      <c r="H16" s="3">
        <v>1.6233824000000001E-4</v>
      </c>
      <c r="I16" s="3">
        <v>3.4326708E-5</v>
      </c>
      <c r="J16" s="3">
        <v>-3.2700344E-4</v>
      </c>
      <c r="L16" s="3">
        <f t="shared" si="0"/>
        <v>3.7867177522349936E-2</v>
      </c>
      <c r="M16" s="3"/>
      <c r="N16" s="2">
        <f>IF('Modell einstellen'!$B$1="Voll",H16/0.35,H16/0.35*2)</f>
        <v>4.638235428571429E-4</v>
      </c>
      <c r="O16" s="2">
        <f>IF('Modell einstellen'!$B$1="Voll",J16/0.35,J16/0.35*2)</f>
        <v>-9.3429554285714294E-4</v>
      </c>
      <c r="P16" s="3">
        <f t="shared" si="1"/>
        <v>0.49644199461632577</v>
      </c>
    </row>
    <row r="17" spans="1:16" x14ac:dyDescent="0.25">
      <c r="A17" s="3">
        <v>0.1</v>
      </c>
      <c r="B17" s="3">
        <v>-3.7110000000000002E-5</v>
      </c>
      <c r="C17" s="3">
        <v>3.3710000000000001E-4</v>
      </c>
      <c r="D17" s="3">
        <v>-4.5429999999999998E-4</v>
      </c>
      <c r="E17" s="3">
        <v>0</v>
      </c>
      <c r="F17" s="3">
        <v>0</v>
      </c>
      <c r="G17" s="3">
        <v>0</v>
      </c>
      <c r="H17" s="3">
        <v>1.9394641E-4</v>
      </c>
      <c r="I17" s="3">
        <v>3.9612917000000001E-5</v>
      </c>
      <c r="J17" s="3">
        <v>-3.7803716999999998E-4</v>
      </c>
      <c r="L17" s="3">
        <f t="shared" si="0"/>
        <v>-8.1686110499669826E-2</v>
      </c>
      <c r="M17" s="3"/>
      <c r="N17" s="2">
        <f>IF('Modell einstellen'!$B$1="Voll",H17/0.35,H17/0.35*2)</f>
        <v>5.5413260000000003E-4</v>
      </c>
      <c r="O17" s="2">
        <f>IF('Modell einstellen'!$B$1="Voll",J17/0.35,J17/0.35*2)</f>
        <v>-1.0801062E-3</v>
      </c>
      <c r="P17" s="3">
        <f t="shared" si="1"/>
        <v>0.51303529227033418</v>
      </c>
    </row>
    <row r="18" spans="1:16" x14ac:dyDescent="0.25">
      <c r="A18" s="3">
        <v>1</v>
      </c>
      <c r="B18" s="3">
        <v>-1.3119999999999999E-4</v>
      </c>
      <c r="C18" s="3">
        <v>4.1149999999999997E-4</v>
      </c>
      <c r="D18" s="3">
        <v>-4.3619999999999998E-4</v>
      </c>
      <c r="E18" s="3">
        <v>0</v>
      </c>
      <c r="F18" s="3">
        <v>0</v>
      </c>
      <c r="G18" s="3">
        <v>0</v>
      </c>
      <c r="H18" s="3">
        <v>2.4246074E-4</v>
      </c>
      <c r="I18" s="3">
        <v>5.0586617000000001E-5</v>
      </c>
      <c r="J18" s="3">
        <v>-4.6617001999999999E-4</v>
      </c>
      <c r="L18" s="3">
        <f t="shared" si="0"/>
        <v>-0.30077945896377806</v>
      </c>
      <c r="M18" s="3"/>
      <c r="N18" s="2">
        <f>IF('Modell einstellen'!$B$1="Voll",H18/0.35,H18/0.35*2)</f>
        <v>6.927449714285715E-4</v>
      </c>
      <c r="O18" s="2">
        <f>IF('Modell einstellen'!$B$1="Voll",J18/0.35,J18/0.35*2)</f>
        <v>-1.3319143428571429E-3</v>
      </c>
      <c r="P18" s="3">
        <f t="shared" si="1"/>
        <v>0.52011225432300434</v>
      </c>
    </row>
    <row r="19" spans="1:16" x14ac:dyDescent="0.25">
      <c r="A19" s="3">
        <v>10</v>
      </c>
      <c r="B19" s="3">
        <v>-3.3300000000000002E-4</v>
      </c>
      <c r="C19" s="3">
        <v>5.3910000000000004E-4</v>
      </c>
      <c r="D19" s="3">
        <v>-3.6380000000000001E-4</v>
      </c>
      <c r="E19" s="3">
        <v>0</v>
      </c>
      <c r="F19" s="3">
        <v>0</v>
      </c>
      <c r="G19" s="3">
        <v>0</v>
      </c>
      <c r="H19" s="3">
        <v>3.2665187000000001E-4</v>
      </c>
      <c r="I19" s="3">
        <v>7.0681114000000002E-5</v>
      </c>
      <c r="J19" s="3">
        <v>-6.2299014999999997E-4</v>
      </c>
      <c r="L19" s="3">
        <f t="shared" si="0"/>
        <v>-0.91533809785596487</v>
      </c>
      <c r="M19" s="3"/>
      <c r="N19" s="2">
        <f>IF('Modell einstellen'!$B$1="Voll",H19/0.35,H19/0.35*2)</f>
        <v>9.3329105714285722E-4</v>
      </c>
      <c r="O19" s="2">
        <f>IF('Modell einstellen'!$B$1="Voll",J19/0.35,J19/0.35*2)</f>
        <v>-1.7799718571428571E-3</v>
      </c>
      <c r="P19" s="3">
        <f t="shared" si="1"/>
        <v>0.52432910857418857</v>
      </c>
    </row>
    <row r="20" spans="1:16" x14ac:dyDescent="0.25">
      <c r="A20" s="3">
        <v>100</v>
      </c>
      <c r="B20" s="3">
        <v>-7.0129999999999997E-4</v>
      </c>
      <c r="C20" s="3">
        <v>7.1650000000000001E-4</v>
      </c>
      <c r="D20" s="3">
        <v>-1.749E-4</v>
      </c>
      <c r="E20" s="3">
        <v>0</v>
      </c>
      <c r="F20" s="3">
        <v>0</v>
      </c>
      <c r="G20" s="3">
        <v>0</v>
      </c>
      <c r="H20" s="3">
        <v>4.5564565999999998E-4</v>
      </c>
      <c r="I20" s="3">
        <v>1.0085202E-4</v>
      </c>
      <c r="J20" s="3">
        <v>-8.6135808000000001E-4</v>
      </c>
      <c r="L20" s="3">
        <f t="shared" si="0"/>
        <v>-4.0097198399085192</v>
      </c>
      <c r="M20" s="3"/>
      <c r="N20" s="2">
        <f>IF('Modell einstellen'!$B$1="Voll",H20/0.35,H20/0.35*2)</f>
        <v>1.3018447428571429E-3</v>
      </c>
      <c r="O20" s="2">
        <f>IF('Modell einstellen'!$B$1="Voll",J20/0.35,J20/0.35*2)</f>
        <v>-2.461023085714286E-3</v>
      </c>
      <c r="P20" s="3">
        <f t="shared" si="1"/>
        <v>0.52898518116878868</v>
      </c>
    </row>
    <row r="21" spans="1:16" x14ac:dyDescent="0.25">
      <c r="A21" s="3">
        <v>1000</v>
      </c>
      <c r="B21" s="3">
        <v>-1.294E-3</v>
      </c>
      <c r="C21" s="3">
        <v>9.5149999999999998E-4</v>
      </c>
      <c r="D21" s="3">
        <v>1.8039999999999999E-4</v>
      </c>
      <c r="E21" s="3">
        <v>0</v>
      </c>
      <c r="F21" s="3">
        <v>0</v>
      </c>
      <c r="G21" s="3">
        <v>0</v>
      </c>
      <c r="H21" s="3">
        <v>6.4216841999999998E-4</v>
      </c>
      <c r="I21" s="3">
        <v>1.4339718000000001E-4</v>
      </c>
      <c r="J21" s="3">
        <v>-1.2021969999999999E-3</v>
      </c>
      <c r="L21" s="3">
        <f t="shared" si="0"/>
        <v>7.1729490022172948</v>
      </c>
      <c r="M21" s="3"/>
      <c r="N21" s="2">
        <f>IF('Modell einstellen'!$B$1="Voll",H21/0.35,H21/0.35*2)</f>
        <v>1.8347669142857145E-3</v>
      </c>
      <c r="O21" s="2">
        <f>IF('Modell einstellen'!$B$1="Voll",J21/0.35,J21/0.35*2)</f>
        <v>-3.4348485714285715E-3</v>
      </c>
      <c r="P21" s="3">
        <f t="shared" si="1"/>
        <v>0.53416238769519475</v>
      </c>
    </row>
    <row r="22" spans="1:16" x14ac:dyDescent="0.25">
      <c r="A22" s="3">
        <v>10000</v>
      </c>
      <c r="B22" s="3">
        <v>-1.9139999999999999E-3</v>
      </c>
      <c r="C22" s="3">
        <v>1.1900000000000001E-3</v>
      </c>
      <c r="D22" s="3">
        <v>5.6130000000000004E-4</v>
      </c>
      <c r="E22" s="3">
        <v>0</v>
      </c>
      <c r="F22" s="3">
        <v>0</v>
      </c>
      <c r="G22" s="3">
        <v>0</v>
      </c>
      <c r="H22" s="3">
        <v>8.2254291000000005E-4</v>
      </c>
      <c r="I22" s="3">
        <v>1.8804573E-4</v>
      </c>
      <c r="J22" s="3">
        <v>-1.5442574E-3</v>
      </c>
      <c r="L22" s="3">
        <f t="shared" si="0"/>
        <v>3.409941207910208</v>
      </c>
      <c r="M22" s="3"/>
      <c r="N22" s="2">
        <f>IF('Modell einstellen'!$B$1="Voll",H22/0.35,H22/0.35*2)</f>
        <v>2.3501226000000003E-3</v>
      </c>
      <c r="O22" s="2">
        <f>IF('Modell einstellen'!$B$1="Voll",J22/0.35,J22/0.35*2)</f>
        <v>-4.4121640000000005E-3</v>
      </c>
      <c r="P22" s="3">
        <f t="shared" si="1"/>
        <v>0.53264624796358429</v>
      </c>
    </row>
    <row r="23" spans="1:16" x14ac:dyDescent="0.25">
      <c r="A23" s="3">
        <v>100000</v>
      </c>
      <c r="B23" s="3">
        <v>-2.4369999999999999E-3</v>
      </c>
      <c r="C23" s="3">
        <v>1.3990000000000001E-3</v>
      </c>
      <c r="D23" s="3">
        <v>8.7529999999999997E-4</v>
      </c>
      <c r="E23" s="3">
        <v>0</v>
      </c>
      <c r="F23" s="3">
        <v>0</v>
      </c>
      <c r="G23" s="3">
        <v>0</v>
      </c>
      <c r="H23" s="3">
        <v>9.6936389000000002E-4</v>
      </c>
      <c r="I23" s="3">
        <v>2.2769448E-4</v>
      </c>
      <c r="J23" s="3">
        <v>-1.8344587E-3</v>
      </c>
      <c r="L23" s="3">
        <f t="shared" si="0"/>
        <v>2.7841882783045815</v>
      </c>
      <c r="M23" s="3"/>
      <c r="N23" s="2">
        <f>IF('Modell einstellen'!$B$1="Voll",H23/0.35,H23/0.35*2)</f>
        <v>2.7696111142857145E-3</v>
      </c>
      <c r="O23" s="2">
        <f>IF('Modell einstellen'!$B$1="Voll",J23/0.35,J23/0.35*2)</f>
        <v>-5.2413105714285719E-3</v>
      </c>
      <c r="P23" s="3">
        <f t="shared" si="1"/>
        <v>0.52841957684847307</v>
      </c>
    </row>
    <row r="24" spans="1:16" x14ac:dyDescent="0.25">
      <c r="A24" s="3">
        <v>1000000</v>
      </c>
      <c r="B24" s="3">
        <v>-2.7100000000000002E-3</v>
      </c>
      <c r="C24" s="3">
        <v>1.531E-3</v>
      </c>
      <c r="D24" s="3">
        <v>1.0169999999999999E-3</v>
      </c>
      <c r="E24" s="3">
        <v>0</v>
      </c>
      <c r="F24" s="3">
        <v>0</v>
      </c>
      <c r="G24" s="3">
        <v>0</v>
      </c>
      <c r="H24" s="3">
        <v>1.0441262000000001E-3</v>
      </c>
      <c r="I24" s="3">
        <v>2.5285956000000001E-4</v>
      </c>
      <c r="J24" s="3">
        <v>-2.0001560999999999E-3</v>
      </c>
      <c r="L24" s="3">
        <f t="shared" si="0"/>
        <v>2.6647000983284173</v>
      </c>
      <c r="M24" s="3"/>
      <c r="N24" s="2">
        <f>IF('Modell einstellen'!$B$1="Voll",H24/0.35,H24/0.35*2)</f>
        <v>2.9832177142857146E-3</v>
      </c>
      <c r="O24" s="2">
        <f>IF('Modell einstellen'!$B$1="Voll",J24/0.35,J24/0.35*2)</f>
        <v>-5.7147317142857146E-3</v>
      </c>
      <c r="P24" s="3">
        <f t="shared" si="1"/>
        <v>0.52202235615510217</v>
      </c>
    </row>
    <row r="25" spans="1:16" x14ac:dyDescent="0.25">
      <c r="A25" s="3">
        <v>10000000</v>
      </c>
      <c r="B25" s="3">
        <v>-2.9320000000000001E-3</v>
      </c>
      <c r="C25" s="3">
        <v>1.6329999999999999E-3</v>
      </c>
      <c r="D25" s="3">
        <v>1.1379999999999999E-3</v>
      </c>
      <c r="E25" s="3">
        <v>0</v>
      </c>
      <c r="F25" s="3">
        <v>0</v>
      </c>
      <c r="G25" s="3">
        <v>0</v>
      </c>
      <c r="H25" s="3">
        <v>1.1071504E-3</v>
      </c>
      <c r="I25" s="3">
        <v>2.7232838000000001E-4</v>
      </c>
      <c r="J25" s="3">
        <v>-2.1334738000000002E-3</v>
      </c>
      <c r="L25" s="3">
        <f t="shared" si="0"/>
        <v>2.5764499121265381</v>
      </c>
      <c r="M25" s="3"/>
      <c r="N25" s="2">
        <f>IF('Modell einstellen'!$B$1="Voll",H25/0.35,H25/0.35*2)</f>
        <v>3.1632868571428575E-3</v>
      </c>
      <c r="O25" s="2">
        <f>IF('Modell einstellen'!$B$1="Voll",J25/0.35,J25/0.35*2)</f>
        <v>-6.0956394285714291E-3</v>
      </c>
      <c r="P25" s="3">
        <f t="shared" si="1"/>
        <v>0.51894258087444056</v>
      </c>
    </row>
    <row r="26" spans="1:16" x14ac:dyDescent="0.25">
      <c r="A26" s="3">
        <v>100000000</v>
      </c>
      <c r="B26" s="3">
        <v>-3.0609999999999999E-3</v>
      </c>
      <c r="C26" s="3">
        <v>1.684E-3</v>
      </c>
      <c r="D26" s="3">
        <v>1.2160000000000001E-3</v>
      </c>
      <c r="E26" s="3">
        <v>0</v>
      </c>
      <c r="F26" s="3">
        <v>0</v>
      </c>
      <c r="G26" s="3">
        <v>0</v>
      </c>
      <c r="H26" s="3">
        <v>1.1420193000000001E-3</v>
      </c>
      <c r="I26" s="3">
        <v>2.8238895000000001E-4</v>
      </c>
      <c r="J26" s="3">
        <v>-2.2046092999999998E-3</v>
      </c>
      <c r="L26" s="3">
        <f t="shared" si="0"/>
        <v>2.5172697368421049</v>
      </c>
      <c r="M26" s="3"/>
      <c r="N26" s="2">
        <f>IF('Modell einstellen'!$B$1="Voll",H26/0.35,H26/0.35*2)</f>
        <v>3.2629122857142862E-3</v>
      </c>
      <c r="O26" s="2">
        <f>IF('Modell einstellen'!$B$1="Voll",J26/0.35,J26/0.35*2)</f>
        <v>-6.2988837142857138E-3</v>
      </c>
      <c r="P26" s="3">
        <f t="shared" si="1"/>
        <v>0.51801437107246184</v>
      </c>
    </row>
    <row r="27" spans="1:16" x14ac:dyDescent="0.25">
      <c r="A27" s="3">
        <v>1000000000</v>
      </c>
      <c r="B27" s="3">
        <v>-3.137E-3</v>
      </c>
      <c r="C27" s="3">
        <v>1.7260000000000001E-3</v>
      </c>
      <c r="D27" s="3">
        <v>1.2489999999999999E-3</v>
      </c>
      <c r="E27" s="3">
        <v>0</v>
      </c>
      <c r="F27" s="3">
        <v>0</v>
      </c>
      <c r="G27" s="3">
        <v>0</v>
      </c>
      <c r="H27" s="3">
        <v>1.1621555E-3</v>
      </c>
      <c r="I27" s="3">
        <v>2.9047304000000003E-4</v>
      </c>
      <c r="J27" s="3">
        <v>-2.2539299999999999E-3</v>
      </c>
      <c r="L27" s="3">
        <f t="shared" si="0"/>
        <v>2.5116092874299443</v>
      </c>
      <c r="M27" s="3"/>
      <c r="N27" s="2">
        <f>IF('Modell einstellen'!$B$1="Voll",H27/0.35,H27/0.35*2)</f>
        <v>3.3204442857142857E-3</v>
      </c>
      <c r="O27" s="2">
        <f>IF('Modell einstellen'!$B$1="Voll",J27/0.35,J27/0.35*2)</f>
        <v>-6.4397999999999999E-3</v>
      </c>
      <c r="P27" s="3">
        <f t="shared" si="1"/>
        <v>0.51561295160009402</v>
      </c>
    </row>
    <row r="28" spans="1:16" x14ac:dyDescent="0.25">
      <c r="A28" s="3">
        <v>10000000000</v>
      </c>
      <c r="B28" s="3">
        <v>-3.359E-3</v>
      </c>
      <c r="C28" s="3">
        <v>1.8010000000000001E-3</v>
      </c>
      <c r="D28" s="3">
        <v>1.3960000000000001E-3</v>
      </c>
      <c r="E28" s="3">
        <v>0</v>
      </c>
      <c r="F28" s="3">
        <v>0</v>
      </c>
      <c r="G28" s="3">
        <v>0</v>
      </c>
      <c r="H28" s="3">
        <v>1.2265326E-3</v>
      </c>
      <c r="I28" s="3">
        <v>3.0539256000000002E-4</v>
      </c>
      <c r="J28" s="3">
        <v>-2.3720225999999999E-3</v>
      </c>
      <c r="L28" s="3">
        <f t="shared" si="0"/>
        <v>2.4061604584527219</v>
      </c>
      <c r="M28" s="3"/>
      <c r="N28" s="2">
        <f>IF('Modell einstellen'!$B$1="Voll",H28/0.35,H28/0.35*2)</f>
        <v>3.5043788571428574E-3</v>
      </c>
      <c r="O28" s="2">
        <f>IF('Modell einstellen'!$B$1="Voll",J28/0.35,J28/0.35*2)</f>
        <v>-6.7772074285714287E-3</v>
      </c>
      <c r="P28" s="3">
        <f t="shared" si="1"/>
        <v>0.51708301598812767</v>
      </c>
    </row>
    <row r="29" spans="1:16" x14ac:dyDescent="0.25">
      <c r="A29" s="3">
        <v>100000000000</v>
      </c>
      <c r="B29" s="3">
        <v>-3.431E-3</v>
      </c>
      <c r="C29" s="3">
        <v>1.841E-3</v>
      </c>
      <c r="D29" s="3">
        <v>1.4289999999999999E-3</v>
      </c>
      <c r="E29" s="3">
        <v>0</v>
      </c>
      <c r="F29" s="3">
        <v>0</v>
      </c>
      <c r="G29" s="3">
        <v>0</v>
      </c>
      <c r="H29" s="3">
        <v>1.2475000999999999E-3</v>
      </c>
      <c r="I29" s="3">
        <v>3.1287903E-4</v>
      </c>
      <c r="J29" s="3">
        <v>-2.4200068E-3</v>
      </c>
      <c r="L29" s="3">
        <f t="shared" si="0"/>
        <v>2.4009797060881737</v>
      </c>
      <c r="M29" s="3"/>
      <c r="N29" s="2">
        <f>IF('Modell einstellen'!$B$1="Voll",H29/0.35,H29/0.35*2)</f>
        <v>3.5642860000000003E-3</v>
      </c>
      <c r="O29" s="2">
        <f>IF('Modell einstellen'!$B$1="Voll",J29/0.35,J29/0.35*2)</f>
        <v>-6.9143051428571436E-3</v>
      </c>
      <c r="P29" s="3">
        <f t="shared" si="1"/>
        <v>0.51549446059407766</v>
      </c>
    </row>
    <row r="30" spans="1:16" x14ac:dyDescent="0.25">
      <c r="A30" s="3">
        <v>1000000000000</v>
      </c>
      <c r="B30" s="3">
        <v>-3.437E-3</v>
      </c>
      <c r="C30" s="3">
        <v>1.8439999999999999E-3</v>
      </c>
      <c r="D30" s="3">
        <v>1.431E-3</v>
      </c>
      <c r="E30" s="3">
        <v>0</v>
      </c>
      <c r="F30" s="3">
        <v>0</v>
      </c>
      <c r="G30" s="3">
        <v>0</v>
      </c>
      <c r="H30" s="3">
        <v>1.2499195999999999E-3</v>
      </c>
      <c r="I30" s="3">
        <v>3.1354031999999998E-4</v>
      </c>
      <c r="J30" s="3">
        <v>-2.4248068000000001E-3</v>
      </c>
      <c r="L30" s="3">
        <f t="shared" si="0"/>
        <v>2.4018169112508736</v>
      </c>
      <c r="M30" s="3"/>
      <c r="N30" s="2">
        <f>IF('Modell einstellen'!$B$1="Voll",H30/0.35,H30/0.35*2)</f>
        <v>3.5711988571428574E-3</v>
      </c>
      <c r="O30" s="2">
        <f>IF('Modell einstellen'!$B$1="Voll",J30/0.35,J30/0.35*2)</f>
        <v>-6.9280194285714298E-3</v>
      </c>
      <c r="P30" s="3">
        <f t="shared" si="1"/>
        <v>0.51547183058048163</v>
      </c>
    </row>
    <row r="31" spans="1:16" x14ac:dyDescent="0.25">
      <c r="A31" s="3">
        <v>10000000000000</v>
      </c>
      <c r="B31" s="3">
        <v>-3.4380000000000001E-3</v>
      </c>
      <c r="C31" s="3">
        <v>1.846E-3</v>
      </c>
      <c r="D31" s="3">
        <v>1.4300000000000001E-3</v>
      </c>
      <c r="E31" s="3">
        <v>0</v>
      </c>
      <c r="F31" s="3">
        <v>0</v>
      </c>
      <c r="G31" s="3">
        <v>0</v>
      </c>
      <c r="H31" s="3">
        <v>1.2504059999999999E-3</v>
      </c>
      <c r="I31" s="3">
        <v>3.1379478999999999E-4</v>
      </c>
      <c r="J31" s="3">
        <v>-2.4262153999999999E-3</v>
      </c>
      <c r="L31" s="3">
        <f t="shared" si="0"/>
        <v>2.4041958041958043</v>
      </c>
      <c r="M31" s="3"/>
      <c r="N31" s="2">
        <f>IF('Modell einstellen'!$B$1="Voll",H31/0.35,H31/0.35*2)</f>
        <v>3.5725885714285714E-3</v>
      </c>
      <c r="O31" s="2">
        <f>IF('Modell einstellen'!$B$1="Voll",J31/0.35,J31/0.35*2)</f>
        <v>-6.9320440000000001E-3</v>
      </c>
      <c r="P31" s="3">
        <f t="shared" si="1"/>
        <v>0.51537303736510776</v>
      </c>
    </row>
    <row r="32" spans="1:16" x14ac:dyDescent="0.25">
      <c r="A32" s="3">
        <v>100000000000000</v>
      </c>
      <c r="B32" s="3">
        <v>-3.4390000000000002E-3</v>
      </c>
      <c r="C32" s="3">
        <v>1.846E-3</v>
      </c>
      <c r="D32" s="3">
        <v>1.431E-3</v>
      </c>
      <c r="E32" s="3">
        <v>0</v>
      </c>
      <c r="F32" s="3">
        <v>0</v>
      </c>
      <c r="G32" s="3">
        <v>0</v>
      </c>
      <c r="H32" s="3">
        <v>1.2510918E-3</v>
      </c>
      <c r="I32" s="3">
        <v>3.1387020999999998E-4</v>
      </c>
      <c r="J32" s="3">
        <v>-2.4271774000000001E-3</v>
      </c>
      <c r="L32" s="3">
        <f t="shared" si="0"/>
        <v>2.4032145352900072</v>
      </c>
      <c r="M32" s="3"/>
      <c r="N32" s="2">
        <f>IF('Modell einstellen'!$B$1="Voll",H32/0.35,H32/0.35*2)</f>
        <v>3.5745480000000003E-3</v>
      </c>
      <c r="O32" s="2">
        <f>IF('Modell einstellen'!$B$1="Voll",J32/0.35,J32/0.35*2)</f>
        <v>-6.9347925714285724E-3</v>
      </c>
      <c r="P32" s="3">
        <f t="shared" si="1"/>
        <v>0.51545132218188916</v>
      </c>
    </row>
    <row r="33" spans="1:16" x14ac:dyDescent="0.25">
      <c r="A33" s="3">
        <v>1000000000000000</v>
      </c>
      <c r="B33" s="3">
        <v>-3.4399999999999999E-3</v>
      </c>
      <c r="C33" s="3">
        <v>1.8469999999999999E-3</v>
      </c>
      <c r="D33" s="3">
        <v>1.431E-3</v>
      </c>
      <c r="E33" s="3">
        <v>0</v>
      </c>
      <c r="F33" s="3">
        <v>0</v>
      </c>
      <c r="G33" s="3">
        <v>0</v>
      </c>
      <c r="H33" s="3">
        <v>1.2517467E-3</v>
      </c>
      <c r="I33" s="3">
        <v>3.1396454999999999E-4</v>
      </c>
      <c r="J33" s="3">
        <v>-2.4281709000000002E-3</v>
      </c>
      <c r="L33" s="3">
        <f t="shared" si="0"/>
        <v>2.4039133473095737</v>
      </c>
      <c r="M33" s="3"/>
      <c r="N33" s="2">
        <f>IF('Modell einstellen'!$B$1="Voll",H33/0.35,H33/0.35*2)</f>
        <v>3.5764191428571432E-3</v>
      </c>
      <c r="O33" s="2">
        <f>IF('Modell einstellen'!$B$1="Voll",J33/0.35,J33/0.35*2)</f>
        <v>-6.9376311428571442E-3</v>
      </c>
      <c r="P33" s="3">
        <f t="shared" si="1"/>
        <v>0.51551013151504277</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2022-01-07T10:53:24Z</dcterms:modified>
</cp:coreProperties>
</file>